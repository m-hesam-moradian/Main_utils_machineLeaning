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am\Desktop\ML\"/>
    </mc:Choice>
  </mc:AlternateContent>
  <xr:revisionPtr revIDLastSave="0" documentId="13_ncr:1_{E12AB9BD-82CD-40B1-BF25-E8138F8B5378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W4" i="1" l="1"/>
  <c r="DX4" i="1"/>
  <c r="DY4" i="1"/>
  <c r="DW5" i="1"/>
  <c r="DX5" i="1"/>
  <c r="DY5" i="1"/>
  <c r="DW6" i="1"/>
  <c r="DX6" i="1"/>
  <c r="DY6" i="1"/>
  <c r="DW7" i="1"/>
  <c r="DX7" i="1"/>
  <c r="DY7" i="1"/>
  <c r="DW8" i="1"/>
  <c r="DX8" i="1"/>
  <c r="DY8" i="1"/>
  <c r="DW9" i="1"/>
  <c r="DX9" i="1"/>
  <c r="DY9" i="1"/>
  <c r="DW10" i="1"/>
  <c r="DX10" i="1"/>
  <c r="DY10" i="1"/>
  <c r="DW11" i="1"/>
  <c r="DX11" i="1"/>
  <c r="DY11" i="1"/>
  <c r="DW12" i="1"/>
  <c r="DX12" i="1"/>
  <c r="DY12" i="1"/>
  <c r="DW13" i="1"/>
  <c r="DX13" i="1"/>
  <c r="DY13" i="1"/>
  <c r="DW14" i="1"/>
  <c r="DX14" i="1"/>
  <c r="DY14" i="1"/>
  <c r="DW15" i="1"/>
  <c r="DX15" i="1"/>
  <c r="DY15" i="1"/>
  <c r="DW16" i="1"/>
  <c r="DX16" i="1"/>
  <c r="DY16" i="1"/>
  <c r="DW17" i="1"/>
  <c r="DX17" i="1"/>
  <c r="DY17" i="1"/>
  <c r="DW18" i="1"/>
  <c r="DX18" i="1"/>
  <c r="DY18" i="1"/>
  <c r="DW19" i="1"/>
  <c r="DX19" i="1"/>
  <c r="DY19" i="1"/>
  <c r="DW20" i="1"/>
  <c r="DX20" i="1"/>
  <c r="DY20" i="1"/>
  <c r="DW21" i="1"/>
  <c r="DX21" i="1"/>
  <c r="DY21" i="1"/>
  <c r="DW22" i="1"/>
  <c r="DX22" i="1"/>
  <c r="DY22" i="1"/>
  <c r="DW23" i="1"/>
  <c r="DX23" i="1"/>
  <c r="DY23" i="1"/>
  <c r="DW24" i="1"/>
  <c r="DX24" i="1"/>
  <c r="DY24" i="1"/>
  <c r="DW25" i="1"/>
  <c r="DX25" i="1"/>
  <c r="DY25" i="1"/>
  <c r="DW26" i="1"/>
  <c r="DX26" i="1"/>
  <c r="DY26" i="1"/>
  <c r="DW27" i="1"/>
  <c r="DX27" i="1"/>
  <c r="DY27" i="1"/>
  <c r="DW28" i="1"/>
  <c r="DX28" i="1"/>
  <c r="DY28" i="1"/>
  <c r="DW29" i="1"/>
  <c r="DX29" i="1"/>
  <c r="DY29" i="1"/>
  <c r="DW30" i="1"/>
  <c r="DX30" i="1"/>
  <c r="DY30" i="1"/>
  <c r="DW31" i="1"/>
  <c r="DX31" i="1"/>
  <c r="DY31" i="1"/>
  <c r="DW32" i="1"/>
  <c r="DX32" i="1"/>
  <c r="DY32" i="1"/>
  <c r="DW33" i="1"/>
  <c r="DX33" i="1"/>
  <c r="DY33" i="1"/>
  <c r="DW34" i="1"/>
  <c r="DX34" i="1"/>
  <c r="DY34" i="1"/>
  <c r="DW35" i="1"/>
  <c r="DX35" i="1"/>
  <c r="DY35" i="1"/>
  <c r="DW36" i="1"/>
  <c r="DX36" i="1"/>
  <c r="DY36" i="1"/>
  <c r="DW37" i="1"/>
  <c r="DX37" i="1"/>
  <c r="DY37" i="1"/>
  <c r="DW38" i="1"/>
  <c r="DX38" i="1"/>
  <c r="DY38" i="1"/>
  <c r="DW39" i="1"/>
  <c r="DX39" i="1"/>
  <c r="DY39" i="1"/>
  <c r="DW40" i="1"/>
  <c r="DX40" i="1"/>
  <c r="DY40" i="1"/>
  <c r="DW41" i="1"/>
  <c r="DX41" i="1"/>
  <c r="DY41" i="1"/>
  <c r="DW42" i="1"/>
  <c r="DX42" i="1"/>
  <c r="DY42" i="1"/>
  <c r="DW43" i="1"/>
  <c r="DX43" i="1"/>
  <c r="DY43" i="1"/>
  <c r="DW44" i="1"/>
  <c r="DX44" i="1"/>
  <c r="DY44" i="1"/>
  <c r="DW45" i="1"/>
  <c r="DX45" i="1"/>
  <c r="DY45" i="1"/>
  <c r="DW46" i="1"/>
  <c r="DX46" i="1"/>
  <c r="DY46" i="1"/>
  <c r="DW47" i="1"/>
  <c r="DX47" i="1"/>
  <c r="DY47" i="1"/>
  <c r="DW48" i="1"/>
  <c r="DX48" i="1"/>
  <c r="DY48" i="1"/>
  <c r="DW49" i="1"/>
  <c r="DX49" i="1"/>
  <c r="DY49" i="1"/>
  <c r="DW50" i="1"/>
  <c r="DX50" i="1"/>
  <c r="DY50" i="1"/>
  <c r="DW51" i="1"/>
  <c r="DX51" i="1"/>
  <c r="DY51" i="1"/>
  <c r="DW52" i="1"/>
  <c r="DX52" i="1"/>
  <c r="DY52" i="1"/>
  <c r="DW53" i="1"/>
  <c r="DX53" i="1"/>
  <c r="DY53" i="1"/>
  <c r="DW54" i="1"/>
  <c r="DX54" i="1"/>
  <c r="DY54" i="1"/>
  <c r="DW55" i="1"/>
  <c r="DX55" i="1"/>
  <c r="DY55" i="1"/>
  <c r="DW56" i="1"/>
  <c r="DX56" i="1"/>
  <c r="DY56" i="1"/>
  <c r="DW57" i="1"/>
  <c r="DX57" i="1"/>
  <c r="DY57" i="1"/>
  <c r="DW58" i="1"/>
  <c r="DX58" i="1"/>
  <c r="DY58" i="1"/>
  <c r="DW59" i="1"/>
  <c r="DX59" i="1"/>
  <c r="DY59" i="1"/>
  <c r="DW60" i="1"/>
  <c r="DX60" i="1"/>
  <c r="DY60" i="1"/>
  <c r="DW61" i="1"/>
  <c r="DX61" i="1"/>
  <c r="DY61" i="1"/>
  <c r="DW62" i="1"/>
  <c r="DX62" i="1"/>
  <c r="DY62" i="1"/>
  <c r="DW63" i="1"/>
  <c r="DX63" i="1"/>
  <c r="DY63" i="1"/>
  <c r="DW64" i="1"/>
  <c r="DX64" i="1"/>
  <c r="DY64" i="1"/>
  <c r="DW65" i="1"/>
  <c r="DX65" i="1"/>
  <c r="DY65" i="1"/>
  <c r="DW66" i="1"/>
  <c r="DX66" i="1"/>
  <c r="DY66" i="1"/>
  <c r="DW67" i="1"/>
  <c r="DX67" i="1"/>
  <c r="DY67" i="1"/>
  <c r="DW68" i="1"/>
  <c r="DX68" i="1"/>
  <c r="DY68" i="1"/>
  <c r="DW69" i="1"/>
  <c r="DX69" i="1"/>
  <c r="DY69" i="1"/>
  <c r="DW70" i="1"/>
  <c r="DX70" i="1"/>
  <c r="DY70" i="1"/>
  <c r="DW71" i="1"/>
  <c r="DX71" i="1"/>
  <c r="DY71" i="1"/>
  <c r="DW72" i="1"/>
  <c r="DX72" i="1"/>
  <c r="DY72" i="1"/>
  <c r="DW73" i="1"/>
  <c r="DX73" i="1"/>
  <c r="DY73" i="1"/>
  <c r="DW74" i="1"/>
  <c r="DX74" i="1"/>
  <c r="DY74" i="1"/>
  <c r="DW75" i="1"/>
  <c r="DX75" i="1"/>
  <c r="DY75" i="1"/>
  <c r="DW76" i="1"/>
  <c r="DX76" i="1"/>
  <c r="DY76" i="1"/>
  <c r="DW77" i="1"/>
  <c r="DX77" i="1"/>
  <c r="DY77" i="1"/>
  <c r="DW78" i="1"/>
  <c r="DX78" i="1"/>
  <c r="DY78" i="1"/>
  <c r="DW79" i="1"/>
  <c r="DX79" i="1"/>
  <c r="DY79" i="1"/>
  <c r="DW80" i="1"/>
  <c r="DX80" i="1"/>
  <c r="DY80" i="1"/>
  <c r="DW81" i="1"/>
  <c r="DX81" i="1"/>
  <c r="DY81" i="1"/>
  <c r="DW82" i="1"/>
  <c r="DX82" i="1"/>
  <c r="DY82" i="1"/>
  <c r="DW83" i="1"/>
  <c r="DX83" i="1"/>
  <c r="DY83" i="1"/>
  <c r="DW84" i="1"/>
  <c r="DX84" i="1"/>
  <c r="DY84" i="1"/>
  <c r="DW85" i="1"/>
  <c r="DX85" i="1"/>
  <c r="DY85" i="1"/>
  <c r="DW86" i="1"/>
  <c r="DX86" i="1"/>
  <c r="DY86" i="1"/>
  <c r="DW87" i="1"/>
  <c r="DX87" i="1"/>
  <c r="DY87" i="1"/>
  <c r="DW88" i="1"/>
  <c r="DX88" i="1"/>
  <c r="DY88" i="1"/>
  <c r="DW89" i="1"/>
  <c r="DX89" i="1"/>
  <c r="DY89" i="1"/>
  <c r="DW90" i="1"/>
  <c r="DX90" i="1"/>
  <c r="DY90" i="1"/>
  <c r="DW91" i="1"/>
  <c r="DX91" i="1"/>
  <c r="DY91" i="1"/>
  <c r="DW92" i="1"/>
  <c r="DX92" i="1"/>
  <c r="DY92" i="1"/>
  <c r="DW93" i="1"/>
  <c r="DX93" i="1"/>
  <c r="DY93" i="1"/>
  <c r="DW94" i="1"/>
  <c r="DX94" i="1"/>
  <c r="DY94" i="1"/>
  <c r="DW95" i="1"/>
  <c r="DX95" i="1"/>
  <c r="DY95" i="1"/>
  <c r="DW96" i="1"/>
  <c r="DX96" i="1"/>
  <c r="DY96" i="1"/>
  <c r="DW97" i="1"/>
  <c r="DX97" i="1"/>
  <c r="DY97" i="1"/>
  <c r="DW98" i="1"/>
  <c r="DX98" i="1"/>
  <c r="DY98" i="1"/>
  <c r="DW99" i="1"/>
  <c r="DX99" i="1"/>
  <c r="DY99" i="1"/>
  <c r="DW100" i="1"/>
  <c r="DX100" i="1"/>
  <c r="DY100" i="1"/>
  <c r="DW101" i="1"/>
  <c r="DX101" i="1"/>
  <c r="DY101" i="1"/>
  <c r="DW102" i="1"/>
  <c r="DX102" i="1"/>
  <c r="DY102" i="1"/>
  <c r="DW103" i="1"/>
  <c r="DX103" i="1"/>
  <c r="DY103" i="1"/>
  <c r="DW104" i="1"/>
  <c r="DX104" i="1"/>
  <c r="DY104" i="1"/>
  <c r="DW105" i="1"/>
  <c r="DX105" i="1"/>
  <c r="DY105" i="1"/>
  <c r="DW106" i="1"/>
  <c r="DX106" i="1"/>
  <c r="DY106" i="1"/>
  <c r="DW107" i="1"/>
  <c r="DX107" i="1"/>
  <c r="DY107" i="1"/>
  <c r="DW108" i="1"/>
  <c r="DX108" i="1"/>
  <c r="DY108" i="1"/>
  <c r="DW109" i="1"/>
  <c r="DX109" i="1"/>
  <c r="DY109" i="1"/>
  <c r="DW110" i="1"/>
  <c r="DX110" i="1"/>
  <c r="DY110" i="1"/>
  <c r="DW111" i="1"/>
  <c r="DX111" i="1"/>
  <c r="DY111" i="1"/>
  <c r="DW112" i="1"/>
  <c r="DX112" i="1"/>
  <c r="DY112" i="1"/>
  <c r="DW113" i="1"/>
  <c r="DX113" i="1"/>
  <c r="DY113" i="1"/>
  <c r="DW114" i="1"/>
  <c r="DX114" i="1"/>
  <c r="DY114" i="1"/>
  <c r="DW115" i="1"/>
  <c r="DX115" i="1"/>
  <c r="DY115" i="1"/>
  <c r="DW116" i="1"/>
  <c r="DX116" i="1"/>
  <c r="DY116" i="1"/>
  <c r="DW117" i="1"/>
  <c r="DX117" i="1"/>
  <c r="DY117" i="1"/>
  <c r="DW118" i="1"/>
  <c r="DX118" i="1"/>
  <c r="DY118" i="1"/>
  <c r="DW119" i="1"/>
  <c r="DX119" i="1"/>
  <c r="DY119" i="1"/>
  <c r="DW120" i="1"/>
  <c r="DX120" i="1"/>
  <c r="DY120" i="1"/>
  <c r="DW121" i="1"/>
  <c r="DX121" i="1"/>
  <c r="DY121" i="1"/>
  <c r="DW122" i="1"/>
  <c r="DX122" i="1"/>
  <c r="DY122" i="1"/>
  <c r="DW123" i="1"/>
  <c r="DX123" i="1"/>
  <c r="DY123" i="1"/>
  <c r="DW124" i="1"/>
  <c r="DX124" i="1"/>
  <c r="DY124" i="1"/>
  <c r="DW125" i="1"/>
  <c r="DX125" i="1"/>
  <c r="DY125" i="1"/>
  <c r="DW126" i="1"/>
  <c r="DX126" i="1"/>
  <c r="DY126" i="1"/>
  <c r="DW127" i="1"/>
  <c r="DX127" i="1"/>
  <c r="DY127" i="1"/>
  <c r="DW128" i="1"/>
  <c r="DX128" i="1"/>
  <c r="DY128" i="1"/>
  <c r="DW129" i="1"/>
  <c r="DX129" i="1"/>
  <c r="DY129" i="1"/>
  <c r="DW130" i="1"/>
  <c r="DX130" i="1"/>
  <c r="DY130" i="1"/>
  <c r="DW131" i="1"/>
  <c r="DX131" i="1"/>
  <c r="DY131" i="1"/>
  <c r="DW132" i="1"/>
  <c r="DX132" i="1"/>
  <c r="DY132" i="1"/>
  <c r="DW133" i="1"/>
  <c r="DX133" i="1"/>
  <c r="DY133" i="1"/>
  <c r="DW134" i="1"/>
  <c r="DX134" i="1"/>
  <c r="DY134" i="1"/>
  <c r="DW135" i="1"/>
  <c r="DX135" i="1"/>
  <c r="DY135" i="1"/>
  <c r="DW136" i="1"/>
  <c r="DX136" i="1"/>
  <c r="DY136" i="1"/>
  <c r="DW137" i="1"/>
  <c r="DX137" i="1"/>
  <c r="DY137" i="1"/>
  <c r="DW138" i="1"/>
  <c r="DX138" i="1"/>
  <c r="DY138" i="1"/>
  <c r="DW139" i="1"/>
  <c r="DX139" i="1"/>
  <c r="DY139" i="1"/>
  <c r="DW140" i="1"/>
  <c r="DX140" i="1"/>
  <c r="DY140" i="1"/>
  <c r="DW141" i="1"/>
  <c r="DX141" i="1"/>
  <c r="DY141" i="1"/>
  <c r="DW142" i="1"/>
  <c r="DX142" i="1"/>
  <c r="DY142" i="1"/>
  <c r="DW143" i="1"/>
  <c r="DX143" i="1"/>
  <c r="DY143" i="1"/>
  <c r="DW144" i="1"/>
  <c r="DX144" i="1"/>
  <c r="DY144" i="1"/>
  <c r="DW145" i="1"/>
  <c r="DX145" i="1"/>
  <c r="DY145" i="1"/>
  <c r="DW146" i="1"/>
  <c r="DX146" i="1"/>
  <c r="DY146" i="1"/>
  <c r="DW147" i="1"/>
  <c r="DX147" i="1"/>
  <c r="DY147" i="1"/>
  <c r="DW148" i="1"/>
  <c r="DX148" i="1"/>
  <c r="DY148" i="1"/>
  <c r="DW149" i="1"/>
  <c r="DX149" i="1"/>
  <c r="DY149" i="1"/>
  <c r="DW150" i="1"/>
  <c r="DX150" i="1"/>
  <c r="DY150" i="1"/>
  <c r="DW151" i="1"/>
  <c r="DX151" i="1"/>
  <c r="DY151" i="1"/>
  <c r="DW152" i="1"/>
  <c r="DX152" i="1"/>
  <c r="DY152" i="1"/>
  <c r="DW153" i="1"/>
  <c r="DX153" i="1"/>
  <c r="DY153" i="1"/>
  <c r="DW154" i="1"/>
  <c r="DX154" i="1"/>
  <c r="DY154" i="1"/>
  <c r="DW155" i="1"/>
  <c r="DX155" i="1"/>
  <c r="DY155" i="1"/>
  <c r="DW156" i="1"/>
  <c r="DX156" i="1"/>
  <c r="DY156" i="1"/>
  <c r="DW157" i="1"/>
  <c r="DX157" i="1"/>
  <c r="DY157" i="1"/>
  <c r="DW158" i="1"/>
  <c r="DX158" i="1"/>
  <c r="DY158" i="1"/>
  <c r="DW159" i="1"/>
  <c r="DX159" i="1"/>
  <c r="DY159" i="1"/>
  <c r="DW160" i="1"/>
  <c r="DX160" i="1"/>
  <c r="DY160" i="1"/>
  <c r="DW161" i="1"/>
  <c r="DX161" i="1"/>
  <c r="DY161" i="1"/>
  <c r="DW162" i="1"/>
  <c r="DX162" i="1"/>
  <c r="DY162" i="1"/>
  <c r="DW163" i="1"/>
  <c r="DX163" i="1"/>
  <c r="DY163" i="1"/>
  <c r="DW164" i="1"/>
  <c r="DX164" i="1"/>
  <c r="DY164" i="1"/>
  <c r="DW165" i="1"/>
  <c r="DX165" i="1"/>
  <c r="DY165" i="1"/>
  <c r="DW166" i="1"/>
  <c r="DX166" i="1"/>
  <c r="DY166" i="1"/>
  <c r="DW167" i="1"/>
  <c r="DX167" i="1"/>
  <c r="DY167" i="1"/>
  <c r="DW168" i="1"/>
  <c r="DX168" i="1"/>
  <c r="DY168" i="1"/>
  <c r="DW169" i="1"/>
  <c r="DX169" i="1"/>
  <c r="DY169" i="1"/>
  <c r="DW170" i="1"/>
  <c r="DX170" i="1"/>
  <c r="DY170" i="1"/>
  <c r="DW171" i="1"/>
  <c r="DX171" i="1"/>
  <c r="DY171" i="1"/>
  <c r="DW172" i="1"/>
  <c r="DX172" i="1"/>
  <c r="DY172" i="1"/>
  <c r="DW173" i="1"/>
  <c r="DX173" i="1"/>
  <c r="DY173" i="1"/>
  <c r="DW174" i="1"/>
  <c r="DX174" i="1"/>
  <c r="DY174" i="1"/>
  <c r="DW175" i="1"/>
  <c r="DX175" i="1"/>
  <c r="DY175" i="1"/>
  <c r="DW176" i="1"/>
  <c r="DX176" i="1"/>
  <c r="DY176" i="1"/>
  <c r="DW177" i="1"/>
  <c r="DX177" i="1"/>
  <c r="DY177" i="1"/>
  <c r="DW178" i="1"/>
  <c r="DX178" i="1"/>
  <c r="DY178" i="1"/>
  <c r="DW179" i="1"/>
  <c r="DX179" i="1"/>
  <c r="DY179" i="1"/>
  <c r="DW180" i="1"/>
  <c r="DX180" i="1"/>
  <c r="DY180" i="1"/>
  <c r="DW181" i="1"/>
  <c r="DX181" i="1"/>
  <c r="DY181" i="1"/>
  <c r="DW182" i="1"/>
  <c r="DX182" i="1"/>
  <c r="DY182" i="1"/>
  <c r="DW183" i="1"/>
  <c r="DX183" i="1"/>
  <c r="DY183" i="1"/>
  <c r="DW184" i="1"/>
  <c r="DX184" i="1"/>
  <c r="DY184" i="1"/>
  <c r="DW185" i="1"/>
  <c r="DX185" i="1"/>
  <c r="DY185" i="1"/>
  <c r="DW186" i="1"/>
  <c r="DX186" i="1"/>
  <c r="DY186" i="1"/>
  <c r="DW187" i="1"/>
  <c r="DX187" i="1"/>
  <c r="DY187" i="1"/>
  <c r="DW188" i="1"/>
  <c r="DX188" i="1"/>
  <c r="DY188" i="1"/>
  <c r="DW189" i="1"/>
  <c r="DX189" i="1"/>
  <c r="DY189" i="1"/>
  <c r="DW190" i="1"/>
  <c r="DX190" i="1"/>
  <c r="DY190" i="1"/>
  <c r="DW191" i="1"/>
  <c r="DX191" i="1"/>
  <c r="DY191" i="1"/>
  <c r="DW192" i="1"/>
  <c r="DX192" i="1"/>
  <c r="DY192" i="1"/>
  <c r="DW193" i="1"/>
  <c r="DX193" i="1"/>
  <c r="DY193" i="1"/>
  <c r="DW194" i="1"/>
  <c r="DX194" i="1"/>
  <c r="DY194" i="1"/>
  <c r="DW195" i="1"/>
  <c r="DX195" i="1"/>
  <c r="DY195" i="1"/>
  <c r="DW196" i="1"/>
  <c r="DX196" i="1"/>
  <c r="DY196" i="1"/>
  <c r="DW197" i="1"/>
  <c r="DX197" i="1"/>
  <c r="DY197" i="1"/>
  <c r="DW198" i="1"/>
  <c r="DX198" i="1"/>
  <c r="DY198" i="1"/>
  <c r="DW199" i="1"/>
  <c r="DX199" i="1"/>
  <c r="DY199" i="1"/>
  <c r="DW200" i="1"/>
  <c r="DX200" i="1"/>
  <c r="DY200" i="1"/>
  <c r="DW201" i="1"/>
  <c r="DX201" i="1"/>
  <c r="DY201" i="1"/>
  <c r="DW202" i="1"/>
  <c r="DX202" i="1"/>
  <c r="DY202" i="1"/>
  <c r="DW3" i="1"/>
  <c r="DX3" i="1"/>
  <c r="DY3" i="1"/>
  <c r="DS4" i="1"/>
  <c r="DT4" i="1"/>
  <c r="DU4" i="1"/>
  <c r="DS5" i="1"/>
  <c r="DT5" i="1"/>
  <c r="DU5" i="1"/>
  <c r="DS6" i="1"/>
  <c r="DT6" i="1"/>
  <c r="DU6" i="1"/>
  <c r="DS7" i="1"/>
  <c r="DT7" i="1"/>
  <c r="DU7" i="1"/>
  <c r="DU3" i="1"/>
  <c r="DT3" i="1"/>
  <c r="DS3" i="1"/>
  <c r="CV10" i="1"/>
  <c r="CW10" i="1"/>
  <c r="CX10" i="1"/>
  <c r="CV11" i="1"/>
  <c r="CW11" i="1"/>
  <c r="CX11" i="1"/>
  <c r="CV12" i="1"/>
  <c r="CW12" i="1"/>
  <c r="CX12" i="1"/>
  <c r="CV13" i="1"/>
  <c r="CW13" i="1"/>
  <c r="CX13" i="1"/>
  <c r="CV14" i="1"/>
  <c r="CW14" i="1"/>
  <c r="CX14" i="1"/>
  <c r="CV15" i="1"/>
  <c r="CW15" i="1"/>
  <c r="CX15" i="1"/>
  <c r="CV16" i="1"/>
  <c r="CW16" i="1"/>
  <c r="CX16" i="1"/>
  <c r="CV17" i="1"/>
  <c r="CW17" i="1"/>
  <c r="CX17" i="1"/>
  <c r="CV18" i="1"/>
  <c r="CW18" i="1"/>
  <c r="CX18" i="1"/>
  <c r="CV19" i="1"/>
  <c r="CW19" i="1"/>
  <c r="CX19" i="1"/>
  <c r="CV20" i="1"/>
  <c r="CW20" i="1"/>
  <c r="CX20" i="1"/>
  <c r="CV21" i="1"/>
  <c r="CW21" i="1"/>
  <c r="CX21" i="1"/>
  <c r="CV22" i="1"/>
  <c r="CW22" i="1"/>
  <c r="CX22" i="1"/>
  <c r="CV23" i="1"/>
  <c r="CW23" i="1"/>
  <c r="CX23" i="1"/>
  <c r="CV24" i="1"/>
  <c r="CW24" i="1"/>
  <c r="CX24" i="1"/>
  <c r="CV25" i="1"/>
  <c r="CW25" i="1"/>
  <c r="CX25" i="1"/>
  <c r="CV26" i="1"/>
  <c r="CW26" i="1"/>
  <c r="CX26" i="1"/>
  <c r="CV27" i="1"/>
  <c r="CW27" i="1"/>
  <c r="CX27" i="1"/>
  <c r="CV28" i="1"/>
  <c r="CW28" i="1"/>
  <c r="CX28" i="1"/>
  <c r="CV29" i="1"/>
  <c r="CW29" i="1"/>
  <c r="CX29" i="1"/>
  <c r="CV30" i="1"/>
  <c r="CW30" i="1"/>
  <c r="CX30" i="1"/>
  <c r="CV31" i="1"/>
  <c r="CW31" i="1"/>
  <c r="CX31" i="1"/>
  <c r="CV32" i="1"/>
  <c r="CW32" i="1"/>
  <c r="CX32" i="1"/>
  <c r="CV33" i="1"/>
  <c r="CW33" i="1"/>
  <c r="CX33" i="1"/>
  <c r="CV34" i="1"/>
  <c r="CW34" i="1"/>
  <c r="CX34" i="1"/>
  <c r="CV35" i="1"/>
  <c r="CW35" i="1"/>
  <c r="CX35" i="1"/>
  <c r="CV36" i="1"/>
  <c r="CW36" i="1"/>
  <c r="CX36" i="1"/>
  <c r="CV37" i="1"/>
  <c r="CW37" i="1"/>
  <c r="CX37" i="1"/>
  <c r="CV38" i="1"/>
  <c r="CW38" i="1"/>
  <c r="CX38" i="1"/>
  <c r="CV39" i="1"/>
  <c r="CW39" i="1"/>
  <c r="CX39" i="1"/>
  <c r="CV40" i="1"/>
  <c r="CW40" i="1"/>
  <c r="CX40" i="1"/>
  <c r="CV41" i="1"/>
  <c r="CW41" i="1"/>
  <c r="CX41" i="1"/>
  <c r="CV42" i="1"/>
  <c r="CW42" i="1"/>
  <c r="CX42" i="1"/>
  <c r="CV43" i="1"/>
  <c r="CW43" i="1"/>
  <c r="CX43" i="1"/>
  <c r="CV44" i="1"/>
  <c r="CW44" i="1"/>
  <c r="CX44" i="1"/>
  <c r="CV45" i="1"/>
  <c r="CW45" i="1"/>
  <c r="CX45" i="1"/>
  <c r="CV46" i="1"/>
  <c r="CW46" i="1"/>
  <c r="CX46" i="1"/>
  <c r="CV47" i="1"/>
  <c r="CW47" i="1"/>
  <c r="CX47" i="1"/>
  <c r="CV48" i="1"/>
  <c r="CW48" i="1"/>
  <c r="CX48" i="1"/>
  <c r="CV49" i="1"/>
  <c r="CW49" i="1"/>
  <c r="CX49" i="1"/>
  <c r="CV50" i="1"/>
  <c r="CW50" i="1"/>
  <c r="CX50" i="1"/>
  <c r="CV51" i="1"/>
  <c r="CW51" i="1"/>
  <c r="CX51" i="1"/>
  <c r="CV52" i="1"/>
  <c r="CW52" i="1"/>
  <c r="CX52" i="1"/>
  <c r="CV53" i="1"/>
  <c r="CW53" i="1"/>
  <c r="CX53" i="1"/>
  <c r="CV54" i="1"/>
  <c r="CW54" i="1"/>
  <c r="CX54" i="1"/>
  <c r="CV55" i="1"/>
  <c r="CW55" i="1"/>
  <c r="CX55" i="1"/>
  <c r="CV56" i="1"/>
  <c r="CW56" i="1"/>
  <c r="CX56" i="1"/>
  <c r="CV57" i="1"/>
  <c r="CW57" i="1"/>
  <c r="CX57" i="1"/>
  <c r="CV58" i="1"/>
  <c r="CW58" i="1"/>
  <c r="CX58" i="1"/>
  <c r="CV59" i="1"/>
  <c r="CW59" i="1"/>
  <c r="CX59" i="1"/>
  <c r="CV60" i="1"/>
  <c r="CW60" i="1"/>
  <c r="CX60" i="1"/>
  <c r="CV61" i="1"/>
  <c r="CW61" i="1"/>
  <c r="CX61" i="1"/>
  <c r="CV62" i="1"/>
  <c r="CW62" i="1"/>
  <c r="CX62" i="1"/>
  <c r="CV63" i="1"/>
  <c r="CW63" i="1"/>
  <c r="CX63" i="1"/>
  <c r="CV64" i="1"/>
  <c r="CW64" i="1"/>
  <c r="CX64" i="1"/>
  <c r="CV65" i="1"/>
  <c r="CW65" i="1"/>
  <c r="CX65" i="1"/>
  <c r="CV66" i="1"/>
  <c r="CW66" i="1"/>
  <c r="CX66" i="1"/>
  <c r="CV67" i="1"/>
  <c r="CW67" i="1"/>
  <c r="CX67" i="1"/>
  <c r="CV68" i="1"/>
  <c r="CW68" i="1"/>
  <c r="CX68" i="1"/>
  <c r="CV69" i="1"/>
  <c r="CW69" i="1"/>
  <c r="CX69" i="1"/>
  <c r="CV70" i="1"/>
  <c r="CW70" i="1"/>
  <c r="CX70" i="1"/>
  <c r="CV71" i="1"/>
  <c r="CW71" i="1"/>
  <c r="CX71" i="1"/>
  <c r="CV72" i="1"/>
  <c r="CW72" i="1"/>
  <c r="CX72" i="1"/>
  <c r="CV73" i="1"/>
  <c r="CW73" i="1"/>
  <c r="CX73" i="1"/>
  <c r="CV74" i="1"/>
  <c r="CW74" i="1"/>
  <c r="CX74" i="1"/>
  <c r="CV75" i="1"/>
  <c r="CW75" i="1"/>
  <c r="CX75" i="1"/>
  <c r="CV76" i="1"/>
  <c r="CW76" i="1"/>
  <c r="CX76" i="1"/>
  <c r="CV77" i="1"/>
  <c r="CW77" i="1"/>
  <c r="CX77" i="1"/>
  <c r="CV78" i="1"/>
  <c r="CW78" i="1"/>
  <c r="CX78" i="1"/>
  <c r="CV79" i="1"/>
  <c r="CW79" i="1"/>
  <c r="CX79" i="1"/>
  <c r="CV80" i="1"/>
  <c r="CW80" i="1"/>
  <c r="CX80" i="1"/>
  <c r="CV81" i="1"/>
  <c r="CW81" i="1"/>
  <c r="CX81" i="1"/>
  <c r="CV82" i="1"/>
  <c r="CW82" i="1"/>
  <c r="CX82" i="1"/>
  <c r="CV83" i="1"/>
  <c r="CW83" i="1"/>
  <c r="CX83" i="1"/>
  <c r="CV84" i="1"/>
  <c r="CW84" i="1"/>
  <c r="CX84" i="1"/>
  <c r="CV85" i="1"/>
  <c r="CW85" i="1"/>
  <c r="CX85" i="1"/>
  <c r="CV86" i="1"/>
  <c r="CW86" i="1"/>
  <c r="CX86" i="1"/>
  <c r="CV87" i="1"/>
  <c r="CW87" i="1"/>
  <c r="CX87" i="1"/>
  <c r="CV88" i="1"/>
  <c r="CW88" i="1"/>
  <c r="CX88" i="1"/>
  <c r="CV89" i="1"/>
  <c r="CW89" i="1"/>
  <c r="CX89" i="1"/>
  <c r="CV90" i="1"/>
  <c r="CW90" i="1"/>
  <c r="CX90" i="1"/>
  <c r="CV91" i="1"/>
  <c r="CW91" i="1"/>
  <c r="CX91" i="1"/>
  <c r="CV92" i="1"/>
  <c r="CW92" i="1"/>
  <c r="CX92" i="1"/>
  <c r="CV93" i="1"/>
  <c r="CW93" i="1"/>
  <c r="CX93" i="1"/>
  <c r="CV94" i="1"/>
  <c r="CW94" i="1"/>
  <c r="CX94" i="1"/>
  <c r="CV95" i="1"/>
  <c r="CW95" i="1"/>
  <c r="CX95" i="1"/>
  <c r="CV96" i="1"/>
  <c r="CW96" i="1"/>
  <c r="CX96" i="1"/>
  <c r="CV97" i="1"/>
  <c r="CW97" i="1"/>
  <c r="CX97" i="1"/>
  <c r="CV98" i="1"/>
  <c r="CW98" i="1"/>
  <c r="CX98" i="1"/>
  <c r="CV99" i="1"/>
  <c r="CW99" i="1"/>
  <c r="CX99" i="1"/>
  <c r="CV100" i="1"/>
  <c r="CW100" i="1"/>
  <c r="CX100" i="1"/>
  <c r="CV101" i="1"/>
  <c r="CW101" i="1"/>
  <c r="CX101" i="1"/>
  <c r="CV102" i="1"/>
  <c r="CW102" i="1"/>
  <c r="CX102" i="1"/>
  <c r="CV103" i="1"/>
  <c r="CW103" i="1"/>
  <c r="CX103" i="1"/>
  <c r="CV104" i="1"/>
  <c r="CW104" i="1"/>
  <c r="CX104" i="1"/>
  <c r="CV105" i="1"/>
  <c r="CW105" i="1"/>
  <c r="CX105" i="1"/>
  <c r="CV106" i="1"/>
  <c r="CW106" i="1"/>
  <c r="CX106" i="1"/>
  <c r="CV107" i="1"/>
  <c r="CW107" i="1"/>
  <c r="CX107" i="1"/>
  <c r="CV108" i="1"/>
  <c r="CW108" i="1"/>
  <c r="CX108" i="1"/>
  <c r="CV109" i="1"/>
  <c r="CW109" i="1"/>
  <c r="CX109" i="1"/>
  <c r="CV110" i="1"/>
  <c r="CW110" i="1"/>
  <c r="CX110" i="1"/>
  <c r="CV111" i="1"/>
  <c r="CW111" i="1"/>
  <c r="CX111" i="1"/>
  <c r="CV112" i="1"/>
  <c r="CW112" i="1"/>
  <c r="CX112" i="1"/>
  <c r="CV113" i="1"/>
  <c r="CW113" i="1"/>
  <c r="CX113" i="1"/>
  <c r="CV114" i="1"/>
  <c r="CW114" i="1"/>
  <c r="CX114" i="1"/>
  <c r="CV115" i="1"/>
  <c r="CW115" i="1"/>
  <c r="CX115" i="1"/>
  <c r="CV116" i="1"/>
  <c r="CW116" i="1"/>
  <c r="CX116" i="1"/>
  <c r="CV117" i="1"/>
  <c r="CW117" i="1"/>
  <c r="CX117" i="1"/>
  <c r="CV118" i="1"/>
  <c r="CW118" i="1"/>
  <c r="CX118" i="1"/>
  <c r="CV119" i="1"/>
  <c r="CW119" i="1"/>
  <c r="CX119" i="1"/>
  <c r="CV120" i="1"/>
  <c r="CW120" i="1"/>
  <c r="CX120" i="1"/>
  <c r="CV121" i="1"/>
  <c r="CW121" i="1"/>
  <c r="CX121" i="1"/>
  <c r="CV122" i="1"/>
  <c r="CW122" i="1"/>
  <c r="CX122" i="1"/>
  <c r="CV123" i="1"/>
  <c r="CW123" i="1"/>
  <c r="CX123" i="1"/>
  <c r="CV124" i="1"/>
  <c r="CW124" i="1"/>
  <c r="CX124" i="1"/>
  <c r="CV125" i="1"/>
  <c r="CW125" i="1"/>
  <c r="CX125" i="1"/>
  <c r="CV126" i="1"/>
  <c r="CW126" i="1"/>
  <c r="CX126" i="1"/>
  <c r="CV127" i="1"/>
  <c r="CW127" i="1"/>
  <c r="CX127" i="1"/>
  <c r="CV128" i="1"/>
  <c r="CW128" i="1"/>
  <c r="CX128" i="1"/>
  <c r="CV129" i="1"/>
  <c r="CW129" i="1"/>
  <c r="CX129" i="1"/>
  <c r="CV130" i="1"/>
  <c r="CW130" i="1"/>
  <c r="CX130" i="1"/>
  <c r="CV131" i="1"/>
  <c r="CW131" i="1"/>
  <c r="CX131" i="1"/>
  <c r="CV132" i="1"/>
  <c r="CW132" i="1"/>
  <c r="CX132" i="1"/>
  <c r="CV133" i="1"/>
  <c r="CW133" i="1"/>
  <c r="CX133" i="1"/>
  <c r="CV134" i="1"/>
  <c r="CW134" i="1"/>
  <c r="CX134" i="1"/>
  <c r="CV135" i="1"/>
  <c r="CW135" i="1"/>
  <c r="CX135" i="1"/>
  <c r="CV136" i="1"/>
  <c r="CW136" i="1"/>
  <c r="CX136" i="1"/>
  <c r="CV137" i="1"/>
  <c r="CW137" i="1"/>
  <c r="CX137" i="1"/>
  <c r="CV138" i="1"/>
  <c r="CW138" i="1"/>
  <c r="CX138" i="1"/>
  <c r="CV139" i="1"/>
  <c r="CW139" i="1"/>
  <c r="CX139" i="1"/>
  <c r="CV140" i="1"/>
  <c r="CW140" i="1"/>
  <c r="CX140" i="1"/>
  <c r="CV141" i="1"/>
  <c r="CW141" i="1"/>
  <c r="CX141" i="1"/>
  <c r="CV142" i="1"/>
  <c r="CW142" i="1"/>
  <c r="CX142" i="1"/>
  <c r="CV143" i="1"/>
  <c r="CW143" i="1"/>
  <c r="CX143" i="1"/>
  <c r="CV144" i="1"/>
  <c r="CW144" i="1"/>
  <c r="CX144" i="1"/>
  <c r="CV145" i="1"/>
  <c r="CW145" i="1"/>
  <c r="CX145" i="1"/>
  <c r="CV146" i="1"/>
  <c r="CW146" i="1"/>
  <c r="CX146" i="1"/>
  <c r="CV147" i="1"/>
  <c r="CW147" i="1"/>
  <c r="CX147" i="1"/>
  <c r="CV148" i="1"/>
  <c r="CW148" i="1"/>
  <c r="CX148" i="1"/>
  <c r="CV149" i="1"/>
  <c r="CW149" i="1"/>
  <c r="CX149" i="1"/>
  <c r="CV150" i="1"/>
  <c r="CW150" i="1"/>
  <c r="CX150" i="1"/>
  <c r="CV151" i="1"/>
  <c r="CW151" i="1"/>
  <c r="CX151" i="1"/>
  <c r="CV152" i="1"/>
  <c r="CW152" i="1"/>
  <c r="CX152" i="1"/>
  <c r="CV153" i="1"/>
  <c r="CW153" i="1"/>
  <c r="CX153" i="1"/>
  <c r="CV154" i="1"/>
  <c r="CW154" i="1"/>
  <c r="CX154" i="1"/>
  <c r="CV155" i="1"/>
  <c r="CW155" i="1"/>
  <c r="CX155" i="1"/>
  <c r="CV156" i="1"/>
  <c r="CW156" i="1"/>
  <c r="CX156" i="1"/>
  <c r="CV157" i="1"/>
  <c r="CW157" i="1"/>
  <c r="CX157" i="1"/>
  <c r="CV158" i="1"/>
  <c r="CW158" i="1"/>
  <c r="CX158" i="1"/>
  <c r="CV159" i="1"/>
  <c r="CW159" i="1"/>
  <c r="CX159" i="1"/>
  <c r="CV160" i="1"/>
  <c r="CW160" i="1"/>
  <c r="CX160" i="1"/>
  <c r="CV161" i="1"/>
  <c r="CW161" i="1"/>
  <c r="CX161" i="1"/>
  <c r="CV162" i="1"/>
  <c r="CW162" i="1"/>
  <c r="CX162" i="1"/>
  <c r="CV163" i="1"/>
  <c r="CW163" i="1"/>
  <c r="CX163" i="1"/>
  <c r="CV164" i="1"/>
  <c r="CW164" i="1"/>
  <c r="CX164" i="1"/>
  <c r="CV165" i="1"/>
  <c r="CW165" i="1"/>
  <c r="CX165" i="1"/>
  <c r="CV166" i="1"/>
  <c r="CW166" i="1"/>
  <c r="CX166" i="1"/>
  <c r="CV167" i="1"/>
  <c r="CW167" i="1"/>
  <c r="CX167" i="1"/>
  <c r="CV168" i="1"/>
  <c r="CW168" i="1"/>
  <c r="CX168" i="1"/>
  <c r="CV169" i="1"/>
  <c r="CW169" i="1"/>
  <c r="CX169" i="1"/>
  <c r="CV170" i="1"/>
  <c r="CW170" i="1"/>
  <c r="CX170" i="1"/>
  <c r="CV171" i="1"/>
  <c r="CW171" i="1"/>
  <c r="CX171" i="1"/>
  <c r="CV172" i="1"/>
  <c r="CW172" i="1"/>
  <c r="CX172" i="1"/>
  <c r="CV173" i="1"/>
  <c r="CW173" i="1"/>
  <c r="CX173" i="1"/>
  <c r="CV174" i="1"/>
  <c r="CW174" i="1"/>
  <c r="CX174" i="1"/>
  <c r="CV175" i="1"/>
  <c r="CW175" i="1"/>
  <c r="CX175" i="1"/>
  <c r="CV176" i="1"/>
  <c r="CW176" i="1"/>
  <c r="CX176" i="1"/>
  <c r="CV177" i="1"/>
  <c r="CW177" i="1"/>
  <c r="CX177" i="1"/>
  <c r="CV178" i="1"/>
  <c r="CW178" i="1"/>
  <c r="CX178" i="1"/>
  <c r="CV179" i="1"/>
  <c r="CW179" i="1"/>
  <c r="CX179" i="1"/>
  <c r="CV180" i="1"/>
  <c r="CW180" i="1"/>
  <c r="CX180" i="1"/>
  <c r="CV181" i="1"/>
  <c r="CW181" i="1"/>
  <c r="CX181" i="1"/>
  <c r="CV182" i="1"/>
  <c r="CW182" i="1"/>
  <c r="CX182" i="1"/>
  <c r="CV183" i="1"/>
  <c r="CW183" i="1"/>
  <c r="CX183" i="1"/>
  <c r="CV184" i="1"/>
  <c r="CW184" i="1"/>
  <c r="CX184" i="1"/>
  <c r="CV185" i="1"/>
  <c r="CW185" i="1"/>
  <c r="CX185" i="1"/>
  <c r="CV186" i="1"/>
  <c r="CW186" i="1"/>
  <c r="CX186" i="1"/>
  <c r="CV187" i="1"/>
  <c r="CW187" i="1"/>
  <c r="CX187" i="1"/>
  <c r="CV188" i="1"/>
  <c r="CW188" i="1"/>
  <c r="CX188" i="1"/>
  <c r="CV189" i="1"/>
  <c r="CW189" i="1"/>
  <c r="CX189" i="1"/>
  <c r="CV190" i="1"/>
  <c r="CW190" i="1"/>
  <c r="CX190" i="1"/>
  <c r="CV191" i="1"/>
  <c r="CW191" i="1"/>
  <c r="CX191" i="1"/>
  <c r="CV192" i="1"/>
  <c r="CW192" i="1"/>
  <c r="CX192" i="1"/>
  <c r="CV193" i="1"/>
  <c r="CW193" i="1"/>
  <c r="CX193" i="1"/>
  <c r="CV194" i="1"/>
  <c r="CW194" i="1"/>
  <c r="CX194" i="1"/>
  <c r="CV195" i="1"/>
  <c r="CW195" i="1"/>
  <c r="CX195" i="1"/>
  <c r="CV196" i="1"/>
  <c r="CW196" i="1"/>
  <c r="CX196" i="1"/>
  <c r="CV197" i="1"/>
  <c r="CW197" i="1"/>
  <c r="CX197" i="1"/>
  <c r="CV198" i="1"/>
  <c r="CW198" i="1"/>
  <c r="CX198" i="1"/>
  <c r="CV199" i="1"/>
  <c r="CW199" i="1"/>
  <c r="CX199" i="1"/>
  <c r="CV200" i="1"/>
  <c r="CW200" i="1"/>
  <c r="CX200" i="1"/>
  <c r="CV201" i="1"/>
  <c r="CW201" i="1"/>
  <c r="CX201" i="1"/>
  <c r="CV202" i="1"/>
  <c r="CW202" i="1"/>
  <c r="CX202" i="1"/>
  <c r="CV4" i="1"/>
  <c r="CW4" i="1"/>
  <c r="CX4" i="1"/>
  <c r="CV5" i="1"/>
  <c r="CW5" i="1"/>
  <c r="CX5" i="1"/>
  <c r="CV6" i="1"/>
  <c r="CW6" i="1"/>
  <c r="CX6" i="1"/>
  <c r="CV7" i="1"/>
  <c r="CW7" i="1"/>
  <c r="CX7" i="1"/>
  <c r="CV8" i="1"/>
  <c r="CW8" i="1"/>
  <c r="CX8" i="1"/>
  <c r="CV9" i="1"/>
  <c r="CW9" i="1"/>
  <c r="CX9" i="1"/>
  <c r="BG4" i="1"/>
  <c r="BH4" i="1"/>
  <c r="BI4" i="1"/>
  <c r="BG5" i="1"/>
  <c r="BH5" i="1"/>
  <c r="BI5" i="1"/>
  <c r="BG6" i="1"/>
  <c r="BH6" i="1"/>
  <c r="BI6" i="1"/>
  <c r="BG7" i="1"/>
  <c r="BH7" i="1"/>
  <c r="BI7" i="1"/>
  <c r="BG8" i="1"/>
  <c r="BH8" i="1"/>
  <c r="BI8" i="1"/>
  <c r="BG9" i="1"/>
  <c r="BH9" i="1"/>
  <c r="BI9" i="1"/>
  <c r="BG10" i="1"/>
  <c r="BH10" i="1"/>
  <c r="BI10" i="1"/>
  <c r="BG11" i="1"/>
  <c r="BH11" i="1"/>
  <c r="BI11" i="1"/>
  <c r="BG12" i="1"/>
  <c r="BH12" i="1"/>
  <c r="BI12" i="1"/>
  <c r="BG13" i="1"/>
  <c r="BH13" i="1"/>
  <c r="BI13" i="1"/>
  <c r="BG14" i="1"/>
  <c r="BH14" i="1"/>
  <c r="BI14" i="1"/>
  <c r="BG15" i="1"/>
  <c r="BH15" i="1"/>
  <c r="BI15" i="1"/>
  <c r="BG16" i="1"/>
  <c r="BH16" i="1"/>
  <c r="BI16" i="1"/>
  <c r="BG17" i="1"/>
  <c r="BH17" i="1"/>
  <c r="BI17" i="1"/>
  <c r="BG18" i="1"/>
  <c r="BH18" i="1"/>
  <c r="BI18" i="1"/>
  <c r="BG19" i="1"/>
  <c r="BH19" i="1"/>
  <c r="BI19" i="1"/>
  <c r="BG20" i="1"/>
  <c r="BH20" i="1"/>
  <c r="BI20" i="1"/>
  <c r="BG21" i="1"/>
  <c r="BH21" i="1"/>
  <c r="BI21" i="1"/>
  <c r="BG22" i="1"/>
  <c r="BH22" i="1"/>
  <c r="BI22" i="1"/>
  <c r="BG23" i="1"/>
  <c r="BH23" i="1"/>
  <c r="BI23" i="1"/>
  <c r="BG24" i="1"/>
  <c r="BH24" i="1"/>
  <c r="BI24" i="1"/>
  <c r="BG25" i="1"/>
  <c r="BH25" i="1"/>
  <c r="BI25" i="1"/>
  <c r="BG26" i="1"/>
  <c r="BH26" i="1"/>
  <c r="BI26" i="1"/>
  <c r="BG27" i="1"/>
  <c r="BH27" i="1"/>
  <c r="BI27" i="1"/>
  <c r="BG28" i="1"/>
  <c r="BH28" i="1"/>
  <c r="BI28" i="1"/>
  <c r="BG29" i="1"/>
  <c r="BH29" i="1"/>
  <c r="BI29" i="1"/>
  <c r="BG30" i="1"/>
  <c r="BH30" i="1"/>
  <c r="BI30" i="1"/>
  <c r="BG31" i="1"/>
  <c r="BH31" i="1"/>
  <c r="BI31" i="1"/>
  <c r="BG32" i="1"/>
  <c r="BH32" i="1"/>
  <c r="BI32" i="1"/>
  <c r="BG33" i="1"/>
  <c r="BH33" i="1"/>
  <c r="BI33" i="1"/>
  <c r="BG34" i="1"/>
  <c r="BH34" i="1"/>
  <c r="BI34" i="1"/>
  <c r="BG35" i="1"/>
  <c r="BH35" i="1"/>
  <c r="BI35" i="1"/>
  <c r="BG36" i="1"/>
  <c r="BH36" i="1"/>
  <c r="BI36" i="1"/>
  <c r="BG37" i="1"/>
  <c r="BH37" i="1"/>
  <c r="BI37" i="1"/>
  <c r="BG38" i="1"/>
  <c r="BH38" i="1"/>
  <c r="BI38" i="1"/>
  <c r="BG39" i="1"/>
  <c r="BH39" i="1"/>
  <c r="BI39" i="1"/>
  <c r="BG40" i="1"/>
  <c r="BH40" i="1"/>
  <c r="BI40" i="1"/>
  <c r="BG41" i="1"/>
  <c r="BH41" i="1"/>
  <c r="BI41" i="1"/>
  <c r="BG42" i="1"/>
  <c r="BH42" i="1"/>
  <c r="BI42" i="1"/>
  <c r="BG43" i="1"/>
  <c r="BH43" i="1"/>
  <c r="BI43" i="1"/>
  <c r="BG44" i="1"/>
  <c r="BH44" i="1"/>
  <c r="BI44" i="1"/>
  <c r="BG45" i="1"/>
  <c r="BH45" i="1"/>
  <c r="BI45" i="1"/>
  <c r="BG46" i="1"/>
  <c r="BH46" i="1"/>
  <c r="BI46" i="1"/>
  <c r="BG47" i="1"/>
  <c r="BH47" i="1"/>
  <c r="BI47" i="1"/>
  <c r="BG48" i="1"/>
  <c r="BH48" i="1"/>
  <c r="BI48" i="1"/>
  <c r="BG49" i="1"/>
  <c r="BH49" i="1"/>
  <c r="BI49" i="1"/>
  <c r="BG50" i="1"/>
  <c r="BH50" i="1"/>
  <c r="BI50" i="1"/>
  <c r="BG51" i="1"/>
  <c r="BH51" i="1"/>
  <c r="BI51" i="1"/>
  <c r="BG52" i="1"/>
  <c r="BH52" i="1"/>
  <c r="BI52" i="1"/>
  <c r="BG53" i="1"/>
  <c r="BH53" i="1"/>
  <c r="BI53" i="1"/>
  <c r="BG54" i="1"/>
  <c r="BH54" i="1"/>
  <c r="BI54" i="1"/>
  <c r="BG55" i="1"/>
  <c r="BH55" i="1"/>
  <c r="BI55" i="1"/>
  <c r="BG56" i="1"/>
  <c r="BH56" i="1"/>
  <c r="BI56" i="1"/>
  <c r="BG57" i="1"/>
  <c r="BH57" i="1"/>
  <c r="BI57" i="1"/>
  <c r="BG58" i="1"/>
  <c r="BH58" i="1"/>
  <c r="BI58" i="1"/>
  <c r="BG59" i="1"/>
  <c r="BH59" i="1"/>
  <c r="BI59" i="1"/>
  <c r="BG60" i="1"/>
  <c r="BH60" i="1"/>
  <c r="BI60" i="1"/>
  <c r="BG61" i="1"/>
  <c r="BH61" i="1"/>
  <c r="BI61" i="1"/>
  <c r="BG62" i="1"/>
  <c r="BH62" i="1"/>
  <c r="BI62" i="1"/>
  <c r="BG63" i="1"/>
  <c r="BH63" i="1"/>
  <c r="BI63" i="1"/>
  <c r="BG64" i="1"/>
  <c r="BH64" i="1"/>
  <c r="BI64" i="1"/>
  <c r="BG65" i="1"/>
  <c r="BH65" i="1"/>
  <c r="BI65" i="1"/>
  <c r="BG66" i="1"/>
  <c r="BH66" i="1"/>
  <c r="BI66" i="1"/>
  <c r="BG67" i="1"/>
  <c r="BH67" i="1"/>
  <c r="BI67" i="1"/>
  <c r="BG68" i="1"/>
  <c r="BH68" i="1"/>
  <c r="BI68" i="1"/>
  <c r="BG69" i="1"/>
  <c r="BH69" i="1"/>
  <c r="BI69" i="1"/>
  <c r="BG70" i="1"/>
  <c r="BH70" i="1"/>
  <c r="BI70" i="1"/>
  <c r="BG71" i="1"/>
  <c r="BH71" i="1"/>
  <c r="BI71" i="1"/>
  <c r="BG72" i="1"/>
  <c r="BH72" i="1"/>
  <c r="BI72" i="1"/>
  <c r="BG73" i="1"/>
  <c r="BH73" i="1"/>
  <c r="BI73" i="1"/>
  <c r="BG74" i="1"/>
  <c r="BH74" i="1"/>
  <c r="BI74" i="1"/>
  <c r="BG75" i="1"/>
  <c r="BH75" i="1"/>
  <c r="BI75" i="1"/>
  <c r="BG76" i="1"/>
  <c r="BH76" i="1"/>
  <c r="BI76" i="1"/>
  <c r="BG77" i="1"/>
  <c r="BH77" i="1"/>
  <c r="BI77" i="1"/>
  <c r="BG78" i="1"/>
  <c r="BH78" i="1"/>
  <c r="BI78" i="1"/>
  <c r="BG79" i="1"/>
  <c r="BH79" i="1"/>
  <c r="BI79" i="1"/>
  <c r="BG80" i="1"/>
  <c r="BH80" i="1"/>
  <c r="BI80" i="1"/>
  <c r="BG81" i="1"/>
  <c r="BH81" i="1"/>
  <c r="BI81" i="1"/>
  <c r="BG82" i="1"/>
  <c r="BH82" i="1"/>
  <c r="BI82" i="1"/>
  <c r="BG83" i="1"/>
  <c r="BH83" i="1"/>
  <c r="BI83" i="1"/>
  <c r="BG84" i="1"/>
  <c r="BH84" i="1"/>
  <c r="BI84" i="1"/>
  <c r="BG85" i="1"/>
  <c r="BH85" i="1"/>
  <c r="BI85" i="1"/>
  <c r="BG86" i="1"/>
  <c r="BH86" i="1"/>
  <c r="BI86" i="1"/>
  <c r="BG87" i="1"/>
  <c r="BH87" i="1"/>
  <c r="BI87" i="1"/>
  <c r="BG88" i="1"/>
  <c r="BH88" i="1"/>
  <c r="BI88" i="1"/>
  <c r="BG89" i="1"/>
  <c r="BH89" i="1"/>
  <c r="BI89" i="1"/>
  <c r="BG90" i="1"/>
  <c r="BH90" i="1"/>
  <c r="BI90" i="1"/>
  <c r="BG91" i="1"/>
  <c r="BH91" i="1"/>
  <c r="BI91" i="1"/>
  <c r="BG92" i="1"/>
  <c r="BH92" i="1"/>
  <c r="BI92" i="1"/>
  <c r="BG93" i="1"/>
  <c r="BH93" i="1"/>
  <c r="BI93" i="1"/>
  <c r="BG94" i="1"/>
  <c r="BH94" i="1"/>
  <c r="BI94" i="1"/>
  <c r="BG95" i="1"/>
  <c r="BH95" i="1"/>
  <c r="BI95" i="1"/>
  <c r="BG96" i="1"/>
  <c r="BH96" i="1"/>
  <c r="BI96" i="1"/>
  <c r="BG97" i="1"/>
  <c r="BH97" i="1"/>
  <c r="BI97" i="1"/>
  <c r="BG98" i="1"/>
  <c r="BH98" i="1"/>
  <c r="BI98" i="1"/>
  <c r="BG99" i="1"/>
  <c r="BH99" i="1"/>
  <c r="BI99" i="1"/>
  <c r="BG100" i="1"/>
  <c r="BH100" i="1"/>
  <c r="BI100" i="1"/>
  <c r="BG101" i="1"/>
  <c r="BH101" i="1"/>
  <c r="BI101" i="1"/>
  <c r="BG102" i="1"/>
  <c r="BH102" i="1"/>
  <c r="BI102" i="1"/>
  <c r="BG103" i="1"/>
  <c r="BH103" i="1"/>
  <c r="BI103" i="1"/>
  <c r="BG104" i="1"/>
  <c r="BH104" i="1"/>
  <c r="BI104" i="1"/>
  <c r="BG105" i="1"/>
  <c r="BH105" i="1"/>
  <c r="BI105" i="1"/>
  <c r="BG106" i="1"/>
  <c r="BH106" i="1"/>
  <c r="BI106" i="1"/>
  <c r="BG107" i="1"/>
  <c r="BH107" i="1"/>
  <c r="BI107" i="1"/>
  <c r="BG108" i="1"/>
  <c r="BH108" i="1"/>
  <c r="BI108" i="1"/>
  <c r="BG109" i="1"/>
  <c r="BH109" i="1"/>
  <c r="BI109" i="1"/>
  <c r="BG110" i="1"/>
  <c r="BH110" i="1"/>
  <c r="BI110" i="1"/>
  <c r="BG111" i="1"/>
  <c r="BH111" i="1"/>
  <c r="BI111" i="1"/>
  <c r="BG112" i="1"/>
  <c r="BH112" i="1"/>
  <c r="BI112" i="1"/>
  <c r="BG113" i="1"/>
  <c r="BH113" i="1"/>
  <c r="BI113" i="1"/>
  <c r="BG114" i="1"/>
  <c r="BH114" i="1"/>
  <c r="BI114" i="1"/>
  <c r="BG115" i="1"/>
  <c r="BH115" i="1"/>
  <c r="BI115" i="1"/>
  <c r="BG116" i="1"/>
  <c r="BH116" i="1"/>
  <c r="BI116" i="1"/>
  <c r="BG117" i="1"/>
  <c r="BH117" i="1"/>
  <c r="BI117" i="1"/>
  <c r="BG118" i="1"/>
  <c r="BH118" i="1"/>
  <c r="BI118" i="1"/>
  <c r="BG119" i="1"/>
  <c r="BH119" i="1"/>
  <c r="BI119" i="1"/>
  <c r="BG120" i="1"/>
  <c r="BH120" i="1"/>
  <c r="BI120" i="1"/>
  <c r="BG121" i="1"/>
  <c r="BH121" i="1"/>
  <c r="BI121" i="1"/>
  <c r="BG122" i="1"/>
  <c r="BH122" i="1"/>
  <c r="BI122" i="1"/>
  <c r="BG123" i="1"/>
  <c r="BH123" i="1"/>
  <c r="BI123" i="1"/>
  <c r="BG124" i="1"/>
  <c r="BH124" i="1"/>
  <c r="BI124" i="1"/>
  <c r="BG125" i="1"/>
  <c r="BH125" i="1"/>
  <c r="BI125" i="1"/>
  <c r="BG126" i="1"/>
  <c r="BH126" i="1"/>
  <c r="BI126" i="1"/>
  <c r="BG127" i="1"/>
  <c r="BH127" i="1"/>
  <c r="BI127" i="1"/>
  <c r="BG128" i="1"/>
  <c r="BH128" i="1"/>
  <c r="BI128" i="1"/>
  <c r="BG129" i="1"/>
  <c r="BH129" i="1"/>
  <c r="BI129" i="1"/>
  <c r="BG130" i="1"/>
  <c r="BH130" i="1"/>
  <c r="BI130" i="1"/>
  <c r="BG131" i="1"/>
  <c r="BH131" i="1"/>
  <c r="BI131" i="1"/>
  <c r="BG132" i="1"/>
  <c r="BH132" i="1"/>
  <c r="BI132" i="1"/>
  <c r="BG133" i="1"/>
  <c r="BH133" i="1"/>
  <c r="BI133" i="1"/>
  <c r="BG134" i="1"/>
  <c r="BH134" i="1"/>
  <c r="BI134" i="1"/>
  <c r="BG135" i="1"/>
  <c r="BH135" i="1"/>
  <c r="BI135" i="1"/>
  <c r="BG136" i="1"/>
  <c r="BH136" i="1"/>
  <c r="BI136" i="1"/>
  <c r="BG137" i="1"/>
  <c r="BH137" i="1"/>
  <c r="BI137" i="1"/>
  <c r="BG138" i="1"/>
  <c r="BH138" i="1"/>
  <c r="BI138" i="1"/>
  <c r="BG139" i="1"/>
  <c r="BH139" i="1"/>
  <c r="BI139" i="1"/>
  <c r="BG140" i="1"/>
  <c r="BH140" i="1"/>
  <c r="BI140" i="1"/>
  <c r="BG141" i="1"/>
  <c r="BH141" i="1"/>
  <c r="BI141" i="1"/>
  <c r="BG142" i="1"/>
  <c r="BH142" i="1"/>
  <c r="BI142" i="1"/>
  <c r="BG143" i="1"/>
  <c r="BH143" i="1"/>
  <c r="BI143" i="1"/>
  <c r="BG144" i="1"/>
  <c r="BH144" i="1"/>
  <c r="BI144" i="1"/>
  <c r="BG145" i="1"/>
  <c r="BH145" i="1"/>
  <c r="BI145" i="1"/>
  <c r="BG146" i="1"/>
  <c r="BH146" i="1"/>
  <c r="BI146" i="1"/>
  <c r="BG147" i="1"/>
  <c r="BH147" i="1"/>
  <c r="BI147" i="1"/>
  <c r="BG148" i="1"/>
  <c r="BH148" i="1"/>
  <c r="BI148" i="1"/>
  <c r="BG149" i="1"/>
  <c r="BH149" i="1"/>
  <c r="BI149" i="1"/>
  <c r="BG150" i="1"/>
  <c r="BH150" i="1"/>
  <c r="BI150" i="1"/>
  <c r="BG151" i="1"/>
  <c r="BH151" i="1"/>
  <c r="BI151" i="1"/>
  <c r="BG152" i="1"/>
  <c r="BH152" i="1"/>
  <c r="BI152" i="1"/>
  <c r="BG153" i="1"/>
  <c r="BH153" i="1"/>
  <c r="BI153" i="1"/>
  <c r="BG154" i="1"/>
  <c r="BH154" i="1"/>
  <c r="BI154" i="1"/>
  <c r="BG155" i="1"/>
  <c r="BH155" i="1"/>
  <c r="BI155" i="1"/>
  <c r="BG156" i="1"/>
  <c r="BH156" i="1"/>
  <c r="BI156" i="1"/>
  <c r="BG157" i="1"/>
  <c r="BH157" i="1"/>
  <c r="BI157" i="1"/>
  <c r="BG158" i="1"/>
  <c r="BH158" i="1"/>
  <c r="BI158" i="1"/>
  <c r="BG159" i="1"/>
  <c r="BH159" i="1"/>
  <c r="BI159" i="1"/>
  <c r="BG160" i="1"/>
  <c r="BH160" i="1"/>
  <c r="BI160" i="1"/>
  <c r="BG161" i="1"/>
  <c r="BH161" i="1"/>
  <c r="BI161" i="1"/>
  <c r="BG162" i="1"/>
  <c r="BH162" i="1"/>
  <c r="BI162" i="1"/>
  <c r="BG163" i="1"/>
  <c r="BH163" i="1"/>
  <c r="BI163" i="1"/>
  <c r="BG164" i="1"/>
  <c r="BH164" i="1"/>
  <c r="BI164" i="1"/>
  <c r="BG165" i="1"/>
  <c r="BH165" i="1"/>
  <c r="BI165" i="1"/>
  <c r="BG166" i="1"/>
  <c r="BH166" i="1"/>
  <c r="BI166" i="1"/>
  <c r="BG167" i="1"/>
  <c r="BH167" i="1"/>
  <c r="BI167" i="1"/>
  <c r="BG168" i="1"/>
  <c r="BH168" i="1"/>
  <c r="BI168" i="1"/>
  <c r="BG169" i="1"/>
  <c r="BH169" i="1"/>
  <c r="BI169" i="1"/>
  <c r="BG170" i="1"/>
  <c r="BH170" i="1"/>
  <c r="BI170" i="1"/>
  <c r="BG171" i="1"/>
  <c r="BH171" i="1"/>
  <c r="BI171" i="1"/>
  <c r="BG172" i="1"/>
  <c r="BH172" i="1"/>
  <c r="BI172" i="1"/>
  <c r="BG173" i="1"/>
  <c r="BH173" i="1"/>
  <c r="BI173" i="1"/>
  <c r="BG174" i="1"/>
  <c r="BH174" i="1"/>
  <c r="BI174" i="1"/>
  <c r="BG175" i="1"/>
  <c r="BH175" i="1"/>
  <c r="BI175" i="1"/>
  <c r="BG176" i="1"/>
  <c r="BH176" i="1"/>
  <c r="BI176" i="1"/>
  <c r="BG177" i="1"/>
  <c r="BH177" i="1"/>
  <c r="BI177" i="1"/>
  <c r="BG178" i="1"/>
  <c r="BH178" i="1"/>
  <c r="BI178" i="1"/>
  <c r="BG179" i="1"/>
  <c r="BH179" i="1"/>
  <c r="BI179" i="1"/>
  <c r="BG180" i="1"/>
  <c r="BH180" i="1"/>
  <c r="BI180" i="1"/>
  <c r="BG181" i="1"/>
  <c r="BH181" i="1"/>
  <c r="BI181" i="1"/>
  <c r="BG182" i="1"/>
  <c r="BH182" i="1"/>
  <c r="BI182" i="1"/>
  <c r="BG183" i="1"/>
  <c r="BH183" i="1"/>
  <c r="BI183" i="1"/>
  <c r="BG184" i="1"/>
  <c r="BH184" i="1"/>
  <c r="BI184" i="1"/>
  <c r="BG185" i="1"/>
  <c r="BH185" i="1"/>
  <c r="BI185" i="1"/>
  <c r="BG186" i="1"/>
  <c r="BH186" i="1"/>
  <c r="BI186" i="1"/>
  <c r="BG187" i="1"/>
  <c r="BH187" i="1"/>
  <c r="BI187" i="1"/>
  <c r="BG188" i="1"/>
  <c r="BH188" i="1"/>
  <c r="BI188" i="1"/>
  <c r="BG189" i="1"/>
  <c r="BH189" i="1"/>
  <c r="BI189" i="1"/>
  <c r="BG190" i="1"/>
  <c r="BH190" i="1"/>
  <c r="BI190" i="1"/>
  <c r="BG191" i="1"/>
  <c r="BH191" i="1"/>
  <c r="BI191" i="1"/>
  <c r="BG192" i="1"/>
  <c r="BH192" i="1"/>
  <c r="BI192" i="1"/>
  <c r="BG193" i="1"/>
  <c r="BH193" i="1"/>
  <c r="BI193" i="1"/>
  <c r="BG194" i="1"/>
  <c r="BH194" i="1"/>
  <c r="BI194" i="1"/>
  <c r="BG195" i="1"/>
  <c r="BH195" i="1"/>
  <c r="BI195" i="1"/>
  <c r="BG196" i="1"/>
  <c r="BH196" i="1"/>
  <c r="BI196" i="1"/>
  <c r="BG197" i="1"/>
  <c r="BH197" i="1"/>
  <c r="BI197" i="1"/>
  <c r="BG198" i="1"/>
  <c r="BH198" i="1"/>
  <c r="BI198" i="1"/>
  <c r="BG199" i="1"/>
  <c r="BH199" i="1"/>
  <c r="BI199" i="1"/>
  <c r="BG200" i="1"/>
  <c r="BH200" i="1"/>
  <c r="BI200" i="1"/>
  <c r="BG201" i="1"/>
  <c r="BH201" i="1"/>
  <c r="BI201" i="1"/>
  <c r="BG202" i="1"/>
  <c r="BH202" i="1"/>
  <c r="BI202" i="1"/>
  <c r="DL4" i="1"/>
  <c r="DM4" i="1"/>
  <c r="DN4" i="1"/>
  <c r="DL5" i="1"/>
  <c r="DM5" i="1"/>
  <c r="DN5" i="1"/>
  <c r="DL6" i="1"/>
  <c r="DM6" i="1"/>
  <c r="DN6" i="1"/>
  <c r="DL7" i="1"/>
  <c r="DM7" i="1"/>
  <c r="DN7" i="1"/>
  <c r="DL8" i="1"/>
  <c r="DM8" i="1"/>
  <c r="DN8" i="1"/>
  <c r="DL9" i="1"/>
  <c r="DM9" i="1"/>
  <c r="DN9" i="1"/>
  <c r="DL10" i="1"/>
  <c r="DM10" i="1"/>
  <c r="DN10" i="1"/>
  <c r="DL11" i="1"/>
  <c r="DM11" i="1"/>
  <c r="DN11" i="1"/>
  <c r="DL12" i="1"/>
  <c r="DM12" i="1"/>
  <c r="DN12" i="1"/>
  <c r="DL13" i="1"/>
  <c r="DM13" i="1"/>
  <c r="DN13" i="1"/>
  <c r="DL14" i="1"/>
  <c r="DM14" i="1"/>
  <c r="DN14" i="1"/>
  <c r="DL15" i="1"/>
  <c r="DM15" i="1"/>
  <c r="DN15" i="1"/>
  <c r="DL16" i="1"/>
  <c r="DM16" i="1"/>
  <c r="DN16" i="1"/>
  <c r="DL17" i="1"/>
  <c r="DM17" i="1"/>
  <c r="DN17" i="1"/>
  <c r="DL18" i="1"/>
  <c r="DM18" i="1"/>
  <c r="DN18" i="1"/>
  <c r="DL19" i="1"/>
  <c r="DM19" i="1"/>
  <c r="DN19" i="1"/>
  <c r="DL20" i="1"/>
  <c r="DM20" i="1"/>
  <c r="DN20" i="1"/>
  <c r="DL21" i="1"/>
  <c r="DM21" i="1"/>
  <c r="DN21" i="1"/>
  <c r="DL22" i="1"/>
  <c r="DM22" i="1"/>
  <c r="DN22" i="1"/>
  <c r="DL23" i="1"/>
  <c r="DM23" i="1"/>
  <c r="DN23" i="1"/>
  <c r="DL24" i="1"/>
  <c r="DM24" i="1"/>
  <c r="DN24" i="1"/>
  <c r="DL25" i="1"/>
  <c r="DM25" i="1"/>
  <c r="DN25" i="1"/>
  <c r="DL26" i="1"/>
  <c r="DM26" i="1"/>
  <c r="DN26" i="1"/>
  <c r="DL27" i="1"/>
  <c r="DM27" i="1"/>
  <c r="DN27" i="1"/>
  <c r="DL28" i="1"/>
  <c r="DM28" i="1"/>
  <c r="DN28" i="1"/>
  <c r="DL29" i="1"/>
  <c r="DM29" i="1"/>
  <c r="DN29" i="1"/>
  <c r="DL30" i="1"/>
  <c r="DM30" i="1"/>
  <c r="DN30" i="1"/>
  <c r="DL31" i="1"/>
  <c r="DM31" i="1"/>
  <c r="DN31" i="1"/>
  <c r="DL32" i="1"/>
  <c r="DM32" i="1"/>
  <c r="DN32" i="1"/>
  <c r="DL33" i="1"/>
  <c r="DM33" i="1"/>
  <c r="DN33" i="1"/>
  <c r="DL34" i="1"/>
  <c r="DM34" i="1"/>
  <c r="DN34" i="1"/>
  <c r="DL35" i="1"/>
  <c r="DM35" i="1"/>
  <c r="DN35" i="1"/>
  <c r="DL36" i="1"/>
  <c r="DM36" i="1"/>
  <c r="DN36" i="1"/>
  <c r="DL37" i="1"/>
  <c r="DM37" i="1"/>
  <c r="DN37" i="1"/>
  <c r="DL38" i="1"/>
  <c r="DM38" i="1"/>
  <c r="DN38" i="1"/>
  <c r="DL39" i="1"/>
  <c r="DM39" i="1"/>
  <c r="DN39" i="1"/>
  <c r="DL40" i="1"/>
  <c r="DM40" i="1"/>
  <c r="DN40" i="1"/>
  <c r="DL41" i="1"/>
  <c r="DM41" i="1"/>
  <c r="DN41" i="1"/>
  <c r="DL42" i="1"/>
  <c r="DM42" i="1"/>
  <c r="DN42" i="1"/>
  <c r="DL43" i="1"/>
  <c r="DM43" i="1"/>
  <c r="DN43" i="1"/>
  <c r="DL44" i="1"/>
  <c r="DM44" i="1"/>
  <c r="DN44" i="1"/>
  <c r="DL45" i="1"/>
  <c r="DM45" i="1"/>
  <c r="DN45" i="1"/>
  <c r="DL46" i="1"/>
  <c r="DM46" i="1"/>
  <c r="DN46" i="1"/>
  <c r="DL47" i="1"/>
  <c r="DM47" i="1"/>
  <c r="DN47" i="1"/>
  <c r="DL48" i="1"/>
  <c r="DM48" i="1"/>
  <c r="DN48" i="1"/>
  <c r="DL49" i="1"/>
  <c r="DM49" i="1"/>
  <c r="DN49" i="1"/>
  <c r="DL50" i="1"/>
  <c r="DM50" i="1"/>
  <c r="DN50" i="1"/>
  <c r="DL51" i="1"/>
  <c r="DM51" i="1"/>
  <c r="DN51" i="1"/>
  <c r="DL52" i="1"/>
  <c r="DM52" i="1"/>
  <c r="DN52" i="1"/>
  <c r="DL53" i="1"/>
  <c r="DM53" i="1"/>
  <c r="DN53" i="1"/>
  <c r="DL54" i="1"/>
  <c r="DM54" i="1"/>
  <c r="DN54" i="1"/>
  <c r="DL55" i="1"/>
  <c r="DM55" i="1"/>
  <c r="DN55" i="1"/>
  <c r="DL56" i="1"/>
  <c r="DM56" i="1"/>
  <c r="DN56" i="1"/>
  <c r="DL57" i="1"/>
  <c r="DM57" i="1"/>
  <c r="DN57" i="1"/>
  <c r="DL58" i="1"/>
  <c r="DM58" i="1"/>
  <c r="DN58" i="1"/>
  <c r="DL59" i="1"/>
  <c r="DM59" i="1"/>
  <c r="DN59" i="1"/>
  <c r="DL60" i="1"/>
  <c r="DM60" i="1"/>
  <c r="DN60" i="1"/>
  <c r="DL61" i="1"/>
  <c r="DM61" i="1"/>
  <c r="DN61" i="1"/>
  <c r="DL62" i="1"/>
  <c r="DM62" i="1"/>
  <c r="DN62" i="1"/>
  <c r="DL63" i="1"/>
  <c r="DM63" i="1"/>
  <c r="DN63" i="1"/>
  <c r="DL64" i="1"/>
  <c r="DM64" i="1"/>
  <c r="DN64" i="1"/>
  <c r="DL65" i="1"/>
  <c r="DM65" i="1"/>
  <c r="DN65" i="1"/>
  <c r="DL66" i="1"/>
  <c r="DM66" i="1"/>
  <c r="DN66" i="1"/>
  <c r="DL67" i="1"/>
  <c r="DM67" i="1"/>
  <c r="DN67" i="1"/>
  <c r="DL68" i="1"/>
  <c r="DM68" i="1"/>
  <c r="DN68" i="1"/>
  <c r="DL69" i="1"/>
  <c r="DM69" i="1"/>
  <c r="DN69" i="1"/>
  <c r="DL70" i="1"/>
  <c r="DM70" i="1"/>
  <c r="DN70" i="1"/>
  <c r="DL71" i="1"/>
  <c r="DM71" i="1"/>
  <c r="DN71" i="1"/>
  <c r="DL72" i="1"/>
  <c r="DM72" i="1"/>
  <c r="DN72" i="1"/>
  <c r="DL73" i="1"/>
  <c r="DM73" i="1"/>
  <c r="DN73" i="1"/>
  <c r="DL74" i="1"/>
  <c r="DM74" i="1"/>
  <c r="DN74" i="1"/>
  <c r="DL75" i="1"/>
  <c r="DM75" i="1"/>
  <c r="DN75" i="1"/>
  <c r="DL76" i="1"/>
  <c r="DM76" i="1"/>
  <c r="DN76" i="1"/>
  <c r="DL77" i="1"/>
  <c r="DM77" i="1"/>
  <c r="DN77" i="1"/>
  <c r="DL78" i="1"/>
  <c r="DM78" i="1"/>
  <c r="DN78" i="1"/>
  <c r="DL79" i="1"/>
  <c r="DM79" i="1"/>
  <c r="DN79" i="1"/>
  <c r="DL80" i="1"/>
  <c r="DM80" i="1"/>
  <c r="DN80" i="1"/>
  <c r="DL81" i="1"/>
  <c r="DM81" i="1"/>
  <c r="DN81" i="1"/>
  <c r="DL82" i="1"/>
  <c r="DM82" i="1"/>
  <c r="DN82" i="1"/>
  <c r="DL83" i="1"/>
  <c r="DM83" i="1"/>
  <c r="DN83" i="1"/>
  <c r="DL84" i="1"/>
  <c r="DM84" i="1"/>
  <c r="DN84" i="1"/>
  <c r="DL85" i="1"/>
  <c r="DM85" i="1"/>
  <c r="DN85" i="1"/>
  <c r="DL86" i="1"/>
  <c r="DM86" i="1"/>
  <c r="DN86" i="1"/>
  <c r="DL87" i="1"/>
  <c r="DM87" i="1"/>
  <c r="DN87" i="1"/>
  <c r="DL88" i="1"/>
  <c r="DM88" i="1"/>
  <c r="DN88" i="1"/>
  <c r="DL89" i="1"/>
  <c r="DM89" i="1"/>
  <c r="DN89" i="1"/>
  <c r="DL90" i="1"/>
  <c r="DM90" i="1"/>
  <c r="DN90" i="1"/>
  <c r="DL91" i="1"/>
  <c r="DM91" i="1"/>
  <c r="DN91" i="1"/>
  <c r="DL92" i="1"/>
  <c r="DM92" i="1"/>
  <c r="DN92" i="1"/>
  <c r="DL93" i="1"/>
  <c r="DM93" i="1"/>
  <c r="DN93" i="1"/>
  <c r="DL94" i="1"/>
  <c r="DM94" i="1"/>
  <c r="DN94" i="1"/>
  <c r="DL95" i="1"/>
  <c r="DM95" i="1"/>
  <c r="DN95" i="1"/>
  <c r="DL96" i="1"/>
  <c r="DM96" i="1"/>
  <c r="DN96" i="1"/>
  <c r="DL97" i="1"/>
  <c r="DM97" i="1"/>
  <c r="DN97" i="1"/>
  <c r="DL98" i="1"/>
  <c r="DM98" i="1"/>
  <c r="DN98" i="1"/>
  <c r="DL99" i="1"/>
  <c r="DM99" i="1"/>
  <c r="DN99" i="1"/>
  <c r="DL100" i="1"/>
  <c r="DM100" i="1"/>
  <c r="DN100" i="1"/>
  <c r="DL101" i="1"/>
  <c r="DM101" i="1"/>
  <c r="DN101" i="1"/>
  <c r="DL102" i="1"/>
  <c r="DM102" i="1"/>
  <c r="DN102" i="1"/>
  <c r="DL103" i="1"/>
  <c r="DM103" i="1"/>
  <c r="DN103" i="1"/>
  <c r="DL104" i="1"/>
  <c r="DM104" i="1"/>
  <c r="DN104" i="1"/>
  <c r="DL105" i="1"/>
  <c r="DM105" i="1"/>
  <c r="DN105" i="1"/>
  <c r="DL106" i="1"/>
  <c r="DM106" i="1"/>
  <c r="DN106" i="1"/>
  <c r="DL107" i="1"/>
  <c r="DM107" i="1"/>
  <c r="DN107" i="1"/>
  <c r="DL108" i="1"/>
  <c r="DM108" i="1"/>
  <c r="DN108" i="1"/>
  <c r="DL109" i="1"/>
  <c r="DM109" i="1"/>
  <c r="DN109" i="1"/>
  <c r="DL110" i="1"/>
  <c r="DM110" i="1"/>
  <c r="DN110" i="1"/>
  <c r="DL111" i="1"/>
  <c r="DM111" i="1"/>
  <c r="DN111" i="1"/>
  <c r="DL112" i="1"/>
  <c r="DM112" i="1"/>
  <c r="DN112" i="1"/>
  <c r="DL113" i="1"/>
  <c r="DM113" i="1"/>
  <c r="DN113" i="1"/>
  <c r="DL114" i="1"/>
  <c r="DM114" i="1"/>
  <c r="DN114" i="1"/>
  <c r="DL115" i="1"/>
  <c r="DM115" i="1"/>
  <c r="DN115" i="1"/>
  <c r="DL116" i="1"/>
  <c r="DM116" i="1"/>
  <c r="DN116" i="1"/>
  <c r="DL117" i="1"/>
  <c r="DM117" i="1"/>
  <c r="DN117" i="1"/>
  <c r="DL118" i="1"/>
  <c r="DM118" i="1"/>
  <c r="DN118" i="1"/>
  <c r="DL119" i="1"/>
  <c r="DM119" i="1"/>
  <c r="DN119" i="1"/>
  <c r="DL120" i="1"/>
  <c r="DM120" i="1"/>
  <c r="DN120" i="1"/>
  <c r="DL121" i="1"/>
  <c r="DM121" i="1"/>
  <c r="DN121" i="1"/>
  <c r="DL122" i="1"/>
  <c r="DM122" i="1"/>
  <c r="DN122" i="1"/>
  <c r="DL123" i="1"/>
  <c r="DM123" i="1"/>
  <c r="DN123" i="1"/>
  <c r="DL124" i="1"/>
  <c r="DM124" i="1"/>
  <c r="DN124" i="1"/>
  <c r="DL125" i="1"/>
  <c r="DM125" i="1"/>
  <c r="DN125" i="1"/>
  <c r="DL126" i="1"/>
  <c r="DM126" i="1"/>
  <c r="DN126" i="1"/>
  <c r="DL127" i="1"/>
  <c r="DM127" i="1"/>
  <c r="DN127" i="1"/>
  <c r="DL128" i="1"/>
  <c r="DM128" i="1"/>
  <c r="DN128" i="1"/>
  <c r="DL129" i="1"/>
  <c r="DM129" i="1"/>
  <c r="DN129" i="1"/>
  <c r="DL130" i="1"/>
  <c r="DM130" i="1"/>
  <c r="DN130" i="1"/>
  <c r="DL131" i="1"/>
  <c r="DM131" i="1"/>
  <c r="DN131" i="1"/>
  <c r="DL132" i="1"/>
  <c r="DM132" i="1"/>
  <c r="DN132" i="1"/>
  <c r="DL133" i="1"/>
  <c r="DM133" i="1"/>
  <c r="DN133" i="1"/>
  <c r="DL134" i="1"/>
  <c r="DM134" i="1"/>
  <c r="DN134" i="1"/>
  <c r="DL135" i="1"/>
  <c r="DM135" i="1"/>
  <c r="DN135" i="1"/>
  <c r="DL136" i="1"/>
  <c r="DM136" i="1"/>
  <c r="DN136" i="1"/>
  <c r="DL137" i="1"/>
  <c r="DM137" i="1"/>
  <c r="DN137" i="1"/>
  <c r="DL138" i="1"/>
  <c r="DM138" i="1"/>
  <c r="DN138" i="1"/>
  <c r="DL139" i="1"/>
  <c r="DM139" i="1"/>
  <c r="DN139" i="1"/>
  <c r="DL140" i="1"/>
  <c r="DM140" i="1"/>
  <c r="DN140" i="1"/>
  <c r="DL141" i="1"/>
  <c r="DM141" i="1"/>
  <c r="DN141" i="1"/>
  <c r="DL142" i="1"/>
  <c r="DM142" i="1"/>
  <c r="DN142" i="1"/>
  <c r="DL143" i="1"/>
  <c r="DM143" i="1"/>
  <c r="DN143" i="1"/>
  <c r="DL144" i="1"/>
  <c r="DM144" i="1"/>
  <c r="DN144" i="1"/>
  <c r="DL145" i="1"/>
  <c r="DM145" i="1"/>
  <c r="DN145" i="1"/>
  <c r="DL146" i="1"/>
  <c r="DM146" i="1"/>
  <c r="DN146" i="1"/>
  <c r="DL147" i="1"/>
  <c r="DM147" i="1"/>
  <c r="DN147" i="1"/>
  <c r="DL148" i="1"/>
  <c r="DM148" i="1"/>
  <c r="DN148" i="1"/>
  <c r="DL149" i="1"/>
  <c r="DM149" i="1"/>
  <c r="DN149" i="1"/>
  <c r="DL150" i="1"/>
  <c r="DM150" i="1"/>
  <c r="DN150" i="1"/>
  <c r="DL151" i="1"/>
  <c r="DM151" i="1"/>
  <c r="DN151" i="1"/>
  <c r="DL152" i="1"/>
  <c r="DM152" i="1"/>
  <c r="DN152" i="1"/>
  <c r="DL153" i="1"/>
  <c r="DM153" i="1"/>
  <c r="DN153" i="1"/>
  <c r="DL154" i="1"/>
  <c r="DM154" i="1"/>
  <c r="DN154" i="1"/>
  <c r="DL155" i="1"/>
  <c r="DM155" i="1"/>
  <c r="DN155" i="1"/>
  <c r="DL156" i="1"/>
  <c r="DM156" i="1"/>
  <c r="DN156" i="1"/>
  <c r="DL157" i="1"/>
  <c r="DM157" i="1"/>
  <c r="DN157" i="1"/>
  <c r="DL158" i="1"/>
  <c r="DM158" i="1"/>
  <c r="DN158" i="1"/>
  <c r="DL159" i="1"/>
  <c r="DM159" i="1"/>
  <c r="DN159" i="1"/>
  <c r="DL160" i="1"/>
  <c r="DM160" i="1"/>
  <c r="DN160" i="1"/>
  <c r="DL161" i="1"/>
  <c r="DM161" i="1"/>
  <c r="DN161" i="1"/>
  <c r="DL162" i="1"/>
  <c r="DM162" i="1"/>
  <c r="DN162" i="1"/>
  <c r="DL163" i="1"/>
  <c r="DM163" i="1"/>
  <c r="DN163" i="1"/>
  <c r="DL164" i="1"/>
  <c r="DM164" i="1"/>
  <c r="DN164" i="1"/>
  <c r="DL165" i="1"/>
  <c r="DM165" i="1"/>
  <c r="DN165" i="1"/>
  <c r="DL166" i="1"/>
  <c r="DM166" i="1"/>
  <c r="DN166" i="1"/>
  <c r="DL167" i="1"/>
  <c r="DM167" i="1"/>
  <c r="DN167" i="1"/>
  <c r="DL168" i="1"/>
  <c r="DM168" i="1"/>
  <c r="DN168" i="1"/>
  <c r="DL169" i="1"/>
  <c r="DM169" i="1"/>
  <c r="DN169" i="1"/>
  <c r="DL170" i="1"/>
  <c r="DM170" i="1"/>
  <c r="DN170" i="1"/>
  <c r="DL171" i="1"/>
  <c r="DM171" i="1"/>
  <c r="DN171" i="1"/>
  <c r="DL172" i="1"/>
  <c r="DM172" i="1"/>
  <c r="DN172" i="1"/>
  <c r="DL173" i="1"/>
  <c r="DM173" i="1"/>
  <c r="DN173" i="1"/>
  <c r="DL174" i="1"/>
  <c r="DM174" i="1"/>
  <c r="DN174" i="1"/>
  <c r="DL175" i="1"/>
  <c r="DM175" i="1"/>
  <c r="DN175" i="1"/>
  <c r="DL176" i="1"/>
  <c r="DM176" i="1"/>
  <c r="DN176" i="1"/>
  <c r="DL177" i="1"/>
  <c r="DM177" i="1"/>
  <c r="DN177" i="1"/>
  <c r="DL178" i="1"/>
  <c r="DM178" i="1"/>
  <c r="DN178" i="1"/>
  <c r="DL179" i="1"/>
  <c r="DM179" i="1"/>
  <c r="DN179" i="1"/>
  <c r="DL180" i="1"/>
  <c r="DM180" i="1"/>
  <c r="DN180" i="1"/>
  <c r="DL181" i="1"/>
  <c r="DM181" i="1"/>
  <c r="DN181" i="1"/>
  <c r="DL182" i="1"/>
  <c r="DM182" i="1"/>
  <c r="DN182" i="1"/>
  <c r="DL183" i="1"/>
  <c r="DM183" i="1"/>
  <c r="DN183" i="1"/>
  <c r="DL184" i="1"/>
  <c r="DM184" i="1"/>
  <c r="DN184" i="1"/>
  <c r="DL185" i="1"/>
  <c r="DM185" i="1"/>
  <c r="DN185" i="1"/>
  <c r="DL186" i="1"/>
  <c r="DM186" i="1"/>
  <c r="DN186" i="1"/>
  <c r="DL187" i="1"/>
  <c r="DM187" i="1"/>
  <c r="DN187" i="1"/>
  <c r="DL188" i="1"/>
  <c r="DM188" i="1"/>
  <c r="DN188" i="1"/>
  <c r="DL189" i="1"/>
  <c r="DM189" i="1"/>
  <c r="DN189" i="1"/>
  <c r="DL190" i="1"/>
  <c r="DM190" i="1"/>
  <c r="DN190" i="1"/>
  <c r="DL191" i="1"/>
  <c r="DM191" i="1"/>
  <c r="DN191" i="1"/>
  <c r="DL192" i="1"/>
  <c r="DM192" i="1"/>
  <c r="DN192" i="1"/>
  <c r="DL193" i="1"/>
  <c r="DM193" i="1"/>
  <c r="DN193" i="1"/>
  <c r="DL194" i="1"/>
  <c r="DM194" i="1"/>
  <c r="DN194" i="1"/>
  <c r="DL195" i="1"/>
  <c r="DM195" i="1"/>
  <c r="DN195" i="1"/>
  <c r="DL196" i="1"/>
  <c r="DM196" i="1"/>
  <c r="DN196" i="1"/>
  <c r="DL197" i="1"/>
  <c r="DM197" i="1"/>
  <c r="DN197" i="1"/>
  <c r="DL198" i="1"/>
  <c r="DM198" i="1"/>
  <c r="DN198" i="1"/>
  <c r="DL199" i="1"/>
  <c r="DM199" i="1"/>
  <c r="DN199" i="1"/>
  <c r="DL200" i="1"/>
  <c r="DM200" i="1"/>
  <c r="DN200" i="1"/>
  <c r="DL201" i="1"/>
  <c r="DM201" i="1"/>
  <c r="DN201" i="1"/>
  <c r="DL202" i="1"/>
  <c r="DM202" i="1"/>
  <c r="DN202" i="1"/>
  <c r="DL3" i="1"/>
  <c r="DM3" i="1"/>
  <c r="DN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H4" i="1"/>
  <c r="DH5" i="1"/>
  <c r="DH6" i="1"/>
  <c r="DH7" i="1"/>
  <c r="DH8" i="1"/>
  <c r="DH9" i="1"/>
  <c r="DH10" i="1"/>
  <c r="DH11" i="1"/>
  <c r="DH12" i="1"/>
  <c r="DH13" i="1"/>
  <c r="DH14" i="1"/>
  <c r="DH15" i="1"/>
  <c r="DH16" i="1"/>
  <c r="DH17" i="1"/>
  <c r="DH18" i="1"/>
  <c r="DH19" i="1"/>
  <c r="DH20" i="1"/>
  <c r="DH21" i="1"/>
  <c r="DH22" i="1"/>
  <c r="DH23" i="1"/>
  <c r="DH24" i="1"/>
  <c r="DH25" i="1"/>
  <c r="DH26" i="1"/>
  <c r="DH27" i="1"/>
  <c r="DH28" i="1"/>
  <c r="DH29" i="1"/>
  <c r="DH30" i="1"/>
  <c r="DH31" i="1"/>
  <c r="DH32" i="1"/>
  <c r="DH33" i="1"/>
  <c r="DH34" i="1"/>
  <c r="DH35" i="1"/>
  <c r="DH36" i="1"/>
  <c r="DH37" i="1"/>
  <c r="DH38" i="1"/>
  <c r="DH39" i="1"/>
  <c r="DH40" i="1"/>
  <c r="DH41" i="1"/>
  <c r="DH42" i="1"/>
  <c r="DH43" i="1"/>
  <c r="DH44" i="1"/>
  <c r="DH45" i="1"/>
  <c r="DH46" i="1"/>
  <c r="DH47" i="1"/>
  <c r="DH48" i="1"/>
  <c r="DH49" i="1"/>
  <c r="DH50" i="1"/>
  <c r="DH51" i="1"/>
  <c r="DH52" i="1"/>
  <c r="DH53" i="1"/>
  <c r="DH54" i="1"/>
  <c r="DH55" i="1"/>
  <c r="DH56" i="1"/>
  <c r="DH57" i="1"/>
  <c r="DH58" i="1"/>
  <c r="DH59" i="1"/>
  <c r="DH60" i="1"/>
  <c r="DH61" i="1"/>
  <c r="DH62" i="1"/>
  <c r="DH63" i="1"/>
  <c r="DH64" i="1"/>
  <c r="DH65" i="1"/>
  <c r="DH66" i="1"/>
  <c r="DH67" i="1"/>
  <c r="DH68" i="1"/>
  <c r="DH69" i="1"/>
  <c r="DH70" i="1"/>
  <c r="DH71" i="1"/>
  <c r="DH72" i="1"/>
  <c r="DH73" i="1"/>
  <c r="DH74" i="1"/>
  <c r="DH75" i="1"/>
  <c r="DH76" i="1"/>
  <c r="DH77" i="1"/>
  <c r="DH78" i="1"/>
  <c r="DH79" i="1"/>
  <c r="DH80" i="1"/>
  <c r="DH81" i="1"/>
  <c r="DH82" i="1"/>
  <c r="DH83" i="1"/>
  <c r="DH84" i="1"/>
  <c r="DH85" i="1"/>
  <c r="DH86" i="1"/>
  <c r="DH87" i="1"/>
  <c r="DH88" i="1"/>
  <c r="DH89" i="1"/>
  <c r="DH90" i="1"/>
  <c r="DH91" i="1"/>
  <c r="DH92" i="1"/>
  <c r="DH93" i="1"/>
  <c r="DH94" i="1"/>
  <c r="DH95" i="1"/>
  <c r="DH96" i="1"/>
  <c r="DH97" i="1"/>
  <c r="DH98" i="1"/>
  <c r="DH99" i="1"/>
  <c r="DH100" i="1"/>
  <c r="DH101" i="1"/>
  <c r="DH102" i="1"/>
  <c r="DH103" i="1"/>
  <c r="DH104" i="1"/>
  <c r="DH105" i="1"/>
  <c r="DH106" i="1"/>
  <c r="DH107" i="1"/>
  <c r="DH108" i="1"/>
  <c r="DH109" i="1"/>
  <c r="DH110" i="1"/>
  <c r="DH111" i="1"/>
  <c r="DH112" i="1"/>
  <c r="DH113" i="1"/>
  <c r="DH114" i="1"/>
  <c r="DH115" i="1"/>
  <c r="DH116" i="1"/>
  <c r="DH117" i="1"/>
  <c r="DH118" i="1"/>
  <c r="DH119" i="1"/>
  <c r="DH120" i="1"/>
  <c r="DH121" i="1"/>
  <c r="DH122" i="1"/>
  <c r="DH123" i="1"/>
  <c r="DH124" i="1"/>
  <c r="DH125" i="1"/>
  <c r="DH126" i="1"/>
  <c r="DH127" i="1"/>
  <c r="DH128" i="1"/>
  <c r="DH129" i="1"/>
  <c r="DH130" i="1"/>
  <c r="DH131" i="1"/>
  <c r="DH132" i="1"/>
  <c r="DH133" i="1"/>
  <c r="DH134" i="1"/>
  <c r="DH135" i="1"/>
  <c r="DH136" i="1"/>
  <c r="DH137" i="1"/>
  <c r="DH138" i="1"/>
  <c r="DH139" i="1"/>
  <c r="DH140" i="1"/>
  <c r="DH141" i="1"/>
  <c r="DH142" i="1"/>
  <c r="DH143" i="1"/>
  <c r="DH144" i="1"/>
  <c r="DH145" i="1"/>
  <c r="DH146" i="1"/>
  <c r="DH147" i="1"/>
  <c r="DH148" i="1"/>
  <c r="DH149" i="1"/>
  <c r="DH150" i="1"/>
  <c r="DH151" i="1"/>
  <c r="DH152" i="1"/>
  <c r="DH153" i="1"/>
  <c r="DH154" i="1"/>
  <c r="DH155" i="1"/>
  <c r="DH156" i="1"/>
  <c r="DH157" i="1"/>
  <c r="DH158" i="1"/>
  <c r="DH159" i="1"/>
  <c r="DH160" i="1"/>
  <c r="DH161" i="1"/>
  <c r="DH162" i="1"/>
  <c r="DH163" i="1"/>
  <c r="DH164" i="1"/>
  <c r="DH165" i="1"/>
  <c r="DH166" i="1"/>
  <c r="DH167" i="1"/>
  <c r="DH168" i="1"/>
  <c r="DH169" i="1"/>
  <c r="DH170" i="1"/>
  <c r="DH171" i="1"/>
  <c r="DH172" i="1"/>
  <c r="DH173" i="1"/>
  <c r="DH174" i="1"/>
  <c r="DH175" i="1"/>
  <c r="DH176" i="1"/>
  <c r="DH177" i="1"/>
  <c r="DH178" i="1"/>
  <c r="DH179" i="1"/>
  <c r="DH180" i="1"/>
  <c r="DH181" i="1"/>
  <c r="DH182" i="1"/>
  <c r="DH183" i="1"/>
  <c r="DH184" i="1"/>
  <c r="DH185" i="1"/>
  <c r="DH186" i="1"/>
  <c r="DH187" i="1"/>
  <c r="DH188" i="1"/>
  <c r="DH189" i="1"/>
  <c r="DH190" i="1"/>
  <c r="DH191" i="1"/>
  <c r="DH192" i="1"/>
  <c r="DH193" i="1"/>
  <c r="DH194" i="1"/>
  <c r="DH195" i="1"/>
  <c r="DH196" i="1"/>
  <c r="DH197" i="1"/>
  <c r="DH198" i="1"/>
  <c r="DH199" i="1"/>
  <c r="DH200" i="1"/>
  <c r="DH201" i="1"/>
  <c r="DH202" i="1"/>
  <c r="DH3" i="1"/>
  <c r="DJ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3" i="1"/>
  <c r="DD3" i="1"/>
  <c r="DE3" i="1"/>
  <c r="DF3" i="1"/>
  <c r="CZ3" i="1"/>
  <c r="DA3" i="1"/>
  <c r="DB3" i="1"/>
  <c r="CV3" i="1"/>
  <c r="CW3" i="1"/>
  <c r="CX3" i="1"/>
  <c r="CS3" i="1"/>
  <c r="CT3" i="1"/>
  <c r="CN4" i="1"/>
  <c r="CO4" i="1"/>
  <c r="CP4" i="1"/>
  <c r="CN5" i="1"/>
  <c r="CO5" i="1"/>
  <c r="CP5" i="1"/>
  <c r="CN6" i="1"/>
  <c r="CO6" i="1"/>
  <c r="CP6" i="1"/>
  <c r="CN7" i="1"/>
  <c r="CO7" i="1"/>
  <c r="CP7" i="1"/>
  <c r="CN8" i="1"/>
  <c r="CO8" i="1"/>
  <c r="CP8" i="1"/>
  <c r="CN9" i="1"/>
  <c r="CO9" i="1"/>
  <c r="CP9" i="1"/>
  <c r="CN10" i="1"/>
  <c r="CO10" i="1"/>
  <c r="CP10" i="1"/>
  <c r="CN11" i="1"/>
  <c r="CO11" i="1"/>
  <c r="CP11" i="1"/>
  <c r="CN12" i="1"/>
  <c r="CO12" i="1"/>
  <c r="CP12" i="1"/>
  <c r="CN13" i="1"/>
  <c r="CO13" i="1"/>
  <c r="CP13" i="1"/>
  <c r="CN14" i="1"/>
  <c r="CO14" i="1"/>
  <c r="CP14" i="1"/>
  <c r="CN15" i="1"/>
  <c r="CO15" i="1"/>
  <c r="CP15" i="1"/>
  <c r="CN16" i="1"/>
  <c r="CO16" i="1"/>
  <c r="CP16" i="1"/>
  <c r="CN17" i="1"/>
  <c r="CO17" i="1"/>
  <c r="CP17" i="1"/>
  <c r="CN18" i="1"/>
  <c r="CO18" i="1"/>
  <c r="CP18" i="1"/>
  <c r="CN19" i="1"/>
  <c r="CO19" i="1"/>
  <c r="CP19" i="1"/>
  <c r="CN20" i="1"/>
  <c r="CO20" i="1"/>
  <c r="CP20" i="1"/>
  <c r="CN21" i="1"/>
  <c r="CO21" i="1"/>
  <c r="CP21" i="1"/>
  <c r="CN22" i="1"/>
  <c r="CO22" i="1"/>
  <c r="CP22" i="1"/>
  <c r="CN23" i="1"/>
  <c r="CO23" i="1"/>
  <c r="CP23" i="1"/>
  <c r="CN24" i="1"/>
  <c r="CO24" i="1"/>
  <c r="CP24" i="1"/>
  <c r="CN25" i="1"/>
  <c r="CO25" i="1"/>
  <c r="CP25" i="1"/>
  <c r="CN26" i="1"/>
  <c r="CO26" i="1"/>
  <c r="CP26" i="1"/>
  <c r="CN27" i="1"/>
  <c r="CO27" i="1"/>
  <c r="CP27" i="1"/>
  <c r="CN28" i="1"/>
  <c r="CO28" i="1"/>
  <c r="CP28" i="1"/>
  <c r="CN29" i="1"/>
  <c r="CO29" i="1"/>
  <c r="CP29" i="1"/>
  <c r="CN30" i="1"/>
  <c r="CO30" i="1"/>
  <c r="CP30" i="1"/>
  <c r="CN31" i="1"/>
  <c r="CO31" i="1"/>
  <c r="CP31" i="1"/>
  <c r="CN32" i="1"/>
  <c r="CO32" i="1"/>
  <c r="CP32" i="1"/>
  <c r="CN33" i="1"/>
  <c r="CO33" i="1"/>
  <c r="CP33" i="1"/>
  <c r="CN34" i="1"/>
  <c r="CO34" i="1"/>
  <c r="CP34" i="1"/>
  <c r="CN35" i="1"/>
  <c r="CO35" i="1"/>
  <c r="CP35" i="1"/>
  <c r="CN36" i="1"/>
  <c r="CO36" i="1"/>
  <c r="CP36" i="1"/>
  <c r="CN37" i="1"/>
  <c r="CO37" i="1"/>
  <c r="CP37" i="1"/>
  <c r="CN38" i="1"/>
  <c r="CO38" i="1"/>
  <c r="CP38" i="1"/>
  <c r="CN39" i="1"/>
  <c r="CO39" i="1"/>
  <c r="CP39" i="1"/>
  <c r="CN40" i="1"/>
  <c r="CO40" i="1"/>
  <c r="CP40" i="1"/>
  <c r="CN41" i="1"/>
  <c r="CO41" i="1"/>
  <c r="CP41" i="1"/>
  <c r="CN42" i="1"/>
  <c r="CO42" i="1"/>
  <c r="CP42" i="1"/>
  <c r="CN43" i="1"/>
  <c r="CO43" i="1"/>
  <c r="CP43" i="1"/>
  <c r="CN44" i="1"/>
  <c r="CO44" i="1"/>
  <c r="CP44" i="1"/>
  <c r="CN45" i="1"/>
  <c r="CO45" i="1"/>
  <c r="CP45" i="1"/>
  <c r="CN46" i="1"/>
  <c r="CO46" i="1"/>
  <c r="CP46" i="1"/>
  <c r="CN47" i="1"/>
  <c r="CO47" i="1"/>
  <c r="CP47" i="1"/>
  <c r="CN48" i="1"/>
  <c r="CO48" i="1"/>
  <c r="CP48" i="1"/>
  <c r="CN49" i="1"/>
  <c r="CO49" i="1"/>
  <c r="CP49" i="1"/>
  <c r="CN50" i="1"/>
  <c r="CO50" i="1"/>
  <c r="CP50" i="1"/>
  <c r="CN51" i="1"/>
  <c r="CO51" i="1"/>
  <c r="CP51" i="1"/>
  <c r="CN52" i="1"/>
  <c r="CO52" i="1"/>
  <c r="CP52" i="1"/>
  <c r="CN53" i="1"/>
  <c r="CO53" i="1"/>
  <c r="CP53" i="1"/>
  <c r="CN54" i="1"/>
  <c r="CO54" i="1"/>
  <c r="CP54" i="1"/>
  <c r="CN55" i="1"/>
  <c r="CO55" i="1"/>
  <c r="CP55" i="1"/>
  <c r="CN56" i="1"/>
  <c r="CO56" i="1"/>
  <c r="CP56" i="1"/>
  <c r="CN57" i="1"/>
  <c r="CO57" i="1"/>
  <c r="CP57" i="1"/>
  <c r="CN58" i="1"/>
  <c r="CO58" i="1"/>
  <c r="CP58" i="1"/>
  <c r="CN59" i="1"/>
  <c r="CO59" i="1"/>
  <c r="CP59" i="1"/>
  <c r="CN60" i="1"/>
  <c r="CO60" i="1"/>
  <c r="CP60" i="1"/>
  <c r="CN61" i="1"/>
  <c r="CO61" i="1"/>
  <c r="CP61" i="1"/>
  <c r="CN62" i="1"/>
  <c r="CO62" i="1"/>
  <c r="CP62" i="1"/>
  <c r="CN63" i="1"/>
  <c r="CO63" i="1"/>
  <c r="CP63" i="1"/>
  <c r="CN64" i="1"/>
  <c r="CO64" i="1"/>
  <c r="CP64" i="1"/>
  <c r="CN65" i="1"/>
  <c r="CO65" i="1"/>
  <c r="CP65" i="1"/>
  <c r="CN66" i="1"/>
  <c r="CO66" i="1"/>
  <c r="CP66" i="1"/>
  <c r="CN67" i="1"/>
  <c r="CO67" i="1"/>
  <c r="CP67" i="1"/>
  <c r="CN68" i="1"/>
  <c r="CO68" i="1"/>
  <c r="CP68" i="1"/>
  <c r="CN69" i="1"/>
  <c r="CO69" i="1"/>
  <c r="CP69" i="1"/>
  <c r="CN70" i="1"/>
  <c r="CO70" i="1"/>
  <c r="CP70" i="1"/>
  <c r="CN71" i="1"/>
  <c r="CO71" i="1"/>
  <c r="CP71" i="1"/>
  <c r="CN72" i="1"/>
  <c r="CO72" i="1"/>
  <c r="CP72" i="1"/>
  <c r="CN73" i="1"/>
  <c r="CO73" i="1"/>
  <c r="CP73" i="1"/>
  <c r="CN74" i="1"/>
  <c r="CO74" i="1"/>
  <c r="CP74" i="1"/>
  <c r="CN75" i="1"/>
  <c r="CO75" i="1"/>
  <c r="CP75" i="1"/>
  <c r="CN76" i="1"/>
  <c r="CO76" i="1"/>
  <c r="CP76" i="1"/>
  <c r="CN77" i="1"/>
  <c r="CO77" i="1"/>
  <c r="CP77" i="1"/>
  <c r="CN78" i="1"/>
  <c r="CO78" i="1"/>
  <c r="CP78" i="1"/>
  <c r="CN79" i="1"/>
  <c r="CO79" i="1"/>
  <c r="CP79" i="1"/>
  <c r="CN80" i="1"/>
  <c r="CO80" i="1"/>
  <c r="CP80" i="1"/>
  <c r="CN81" i="1"/>
  <c r="CO81" i="1"/>
  <c r="CP81" i="1"/>
  <c r="CN82" i="1"/>
  <c r="CO82" i="1"/>
  <c r="CP82" i="1"/>
  <c r="CN83" i="1"/>
  <c r="CO83" i="1"/>
  <c r="CP83" i="1"/>
  <c r="CN84" i="1"/>
  <c r="CO84" i="1"/>
  <c r="CP84" i="1"/>
  <c r="CN85" i="1"/>
  <c r="CO85" i="1"/>
  <c r="CP85" i="1"/>
  <c r="CN86" i="1"/>
  <c r="CO86" i="1"/>
  <c r="CP86" i="1"/>
  <c r="CN87" i="1"/>
  <c r="CO87" i="1"/>
  <c r="CP87" i="1"/>
  <c r="CN88" i="1"/>
  <c r="CO88" i="1"/>
  <c r="CP88" i="1"/>
  <c r="CN89" i="1"/>
  <c r="CO89" i="1"/>
  <c r="CP89" i="1"/>
  <c r="CN90" i="1"/>
  <c r="CO90" i="1"/>
  <c r="CP90" i="1"/>
  <c r="CN91" i="1"/>
  <c r="CO91" i="1"/>
  <c r="CP91" i="1"/>
  <c r="CN92" i="1"/>
  <c r="CO92" i="1"/>
  <c r="CP92" i="1"/>
  <c r="CN93" i="1"/>
  <c r="CO93" i="1"/>
  <c r="CP93" i="1"/>
  <c r="CN94" i="1"/>
  <c r="CO94" i="1"/>
  <c r="CP94" i="1"/>
  <c r="CN95" i="1"/>
  <c r="CO95" i="1"/>
  <c r="CP95" i="1"/>
  <c r="CN96" i="1"/>
  <c r="CO96" i="1"/>
  <c r="CP96" i="1"/>
  <c r="CN97" i="1"/>
  <c r="CO97" i="1"/>
  <c r="CP97" i="1"/>
  <c r="CN98" i="1"/>
  <c r="CO98" i="1"/>
  <c r="CP98" i="1"/>
  <c r="CN99" i="1"/>
  <c r="CO99" i="1"/>
  <c r="CP99" i="1"/>
  <c r="CN100" i="1"/>
  <c r="CO100" i="1"/>
  <c r="CP100" i="1"/>
  <c r="CN101" i="1"/>
  <c r="CO101" i="1"/>
  <c r="CP101" i="1"/>
  <c r="CN102" i="1"/>
  <c r="CO102" i="1"/>
  <c r="CP102" i="1"/>
  <c r="CN103" i="1"/>
  <c r="CO103" i="1"/>
  <c r="CP103" i="1"/>
  <c r="CN104" i="1"/>
  <c r="CO104" i="1"/>
  <c r="CP104" i="1"/>
  <c r="CN105" i="1"/>
  <c r="CO105" i="1"/>
  <c r="CP105" i="1"/>
  <c r="CN106" i="1"/>
  <c r="CO106" i="1"/>
  <c r="CP106" i="1"/>
  <c r="CN107" i="1"/>
  <c r="CO107" i="1"/>
  <c r="CP107" i="1"/>
  <c r="CN108" i="1"/>
  <c r="CO108" i="1"/>
  <c r="CP108" i="1"/>
  <c r="CN109" i="1"/>
  <c r="CO109" i="1"/>
  <c r="CP109" i="1"/>
  <c r="CN110" i="1"/>
  <c r="CO110" i="1"/>
  <c r="CP110" i="1"/>
  <c r="CN111" i="1"/>
  <c r="CO111" i="1"/>
  <c r="CP111" i="1"/>
  <c r="CN112" i="1"/>
  <c r="CO112" i="1"/>
  <c r="CP112" i="1"/>
  <c r="CN113" i="1"/>
  <c r="CO113" i="1"/>
  <c r="CP113" i="1"/>
  <c r="CN114" i="1"/>
  <c r="CO114" i="1"/>
  <c r="CP114" i="1"/>
  <c r="CN115" i="1"/>
  <c r="CO115" i="1"/>
  <c r="CP115" i="1"/>
  <c r="CN116" i="1"/>
  <c r="CO116" i="1"/>
  <c r="CP116" i="1"/>
  <c r="CN117" i="1"/>
  <c r="CO117" i="1"/>
  <c r="CP117" i="1"/>
  <c r="CN118" i="1"/>
  <c r="CO118" i="1"/>
  <c r="CP118" i="1"/>
  <c r="CN119" i="1"/>
  <c r="CO119" i="1"/>
  <c r="CP119" i="1"/>
  <c r="CN120" i="1"/>
  <c r="CO120" i="1"/>
  <c r="CP120" i="1"/>
  <c r="CN121" i="1"/>
  <c r="CO121" i="1"/>
  <c r="CP121" i="1"/>
  <c r="CN122" i="1"/>
  <c r="CO122" i="1"/>
  <c r="CP122" i="1"/>
  <c r="CN123" i="1"/>
  <c r="CO123" i="1"/>
  <c r="CP123" i="1"/>
  <c r="CN124" i="1"/>
  <c r="CO124" i="1"/>
  <c r="CP124" i="1"/>
  <c r="CN125" i="1"/>
  <c r="CO125" i="1"/>
  <c r="CP125" i="1"/>
  <c r="CN126" i="1"/>
  <c r="CO126" i="1"/>
  <c r="CP126" i="1"/>
  <c r="CN127" i="1"/>
  <c r="CO127" i="1"/>
  <c r="CP127" i="1"/>
  <c r="CN128" i="1"/>
  <c r="CO128" i="1"/>
  <c r="CP128" i="1"/>
  <c r="CN129" i="1"/>
  <c r="CO129" i="1"/>
  <c r="CP129" i="1"/>
  <c r="CN130" i="1"/>
  <c r="CO130" i="1"/>
  <c r="CP130" i="1"/>
  <c r="CN131" i="1"/>
  <c r="CO131" i="1"/>
  <c r="CP131" i="1"/>
  <c r="CN132" i="1"/>
  <c r="CO132" i="1"/>
  <c r="CP132" i="1"/>
  <c r="CN133" i="1"/>
  <c r="CO133" i="1"/>
  <c r="CP133" i="1"/>
  <c r="CN134" i="1"/>
  <c r="CO134" i="1"/>
  <c r="CP134" i="1"/>
  <c r="CN135" i="1"/>
  <c r="CO135" i="1"/>
  <c r="CP135" i="1"/>
  <c r="CN136" i="1"/>
  <c r="CO136" i="1"/>
  <c r="CP136" i="1"/>
  <c r="CN137" i="1"/>
  <c r="CO137" i="1"/>
  <c r="CP137" i="1"/>
  <c r="CN138" i="1"/>
  <c r="CO138" i="1"/>
  <c r="CP138" i="1"/>
  <c r="CN139" i="1"/>
  <c r="CO139" i="1"/>
  <c r="CP139" i="1"/>
  <c r="CN140" i="1"/>
  <c r="CO140" i="1"/>
  <c r="CP140" i="1"/>
  <c r="CN141" i="1"/>
  <c r="CO141" i="1"/>
  <c r="CP141" i="1"/>
  <c r="CN142" i="1"/>
  <c r="CO142" i="1"/>
  <c r="CP142" i="1"/>
  <c r="CN143" i="1"/>
  <c r="CO143" i="1"/>
  <c r="CP143" i="1"/>
  <c r="CN144" i="1"/>
  <c r="CO144" i="1"/>
  <c r="CP144" i="1"/>
  <c r="CN145" i="1"/>
  <c r="CO145" i="1"/>
  <c r="CP145" i="1"/>
  <c r="CN146" i="1"/>
  <c r="CO146" i="1"/>
  <c r="CP146" i="1"/>
  <c r="CN147" i="1"/>
  <c r="CO147" i="1"/>
  <c r="CP147" i="1"/>
  <c r="CN148" i="1"/>
  <c r="CO148" i="1"/>
  <c r="CP148" i="1"/>
  <c r="CN149" i="1"/>
  <c r="CO149" i="1"/>
  <c r="CP149" i="1"/>
  <c r="CN150" i="1"/>
  <c r="CO150" i="1"/>
  <c r="CP150" i="1"/>
  <c r="CN151" i="1"/>
  <c r="CO151" i="1"/>
  <c r="CP151" i="1"/>
  <c r="CN152" i="1"/>
  <c r="CO152" i="1"/>
  <c r="CP152" i="1"/>
  <c r="CN153" i="1"/>
  <c r="CO153" i="1"/>
  <c r="CP153" i="1"/>
  <c r="CN154" i="1"/>
  <c r="CO154" i="1"/>
  <c r="CP154" i="1"/>
  <c r="CN155" i="1"/>
  <c r="CO155" i="1"/>
  <c r="CP155" i="1"/>
  <c r="CN156" i="1"/>
  <c r="CO156" i="1"/>
  <c r="CP156" i="1"/>
  <c r="CN157" i="1"/>
  <c r="CO157" i="1"/>
  <c r="CP157" i="1"/>
  <c r="CN158" i="1"/>
  <c r="CO158" i="1"/>
  <c r="CP158" i="1"/>
  <c r="CN159" i="1"/>
  <c r="CO159" i="1"/>
  <c r="CP159" i="1"/>
  <c r="CN160" i="1"/>
  <c r="CO160" i="1"/>
  <c r="CP160" i="1"/>
  <c r="CN161" i="1"/>
  <c r="CO161" i="1"/>
  <c r="CP161" i="1"/>
  <c r="CN162" i="1"/>
  <c r="CO162" i="1"/>
  <c r="CP162" i="1"/>
  <c r="CN163" i="1"/>
  <c r="CO163" i="1"/>
  <c r="CP163" i="1"/>
  <c r="CN164" i="1"/>
  <c r="CO164" i="1"/>
  <c r="CP164" i="1"/>
  <c r="CN165" i="1"/>
  <c r="CO165" i="1"/>
  <c r="CP165" i="1"/>
  <c r="CN166" i="1"/>
  <c r="CO166" i="1"/>
  <c r="CP166" i="1"/>
  <c r="CN167" i="1"/>
  <c r="CO167" i="1"/>
  <c r="CP167" i="1"/>
  <c r="CN168" i="1"/>
  <c r="CO168" i="1"/>
  <c r="CP168" i="1"/>
  <c r="CN169" i="1"/>
  <c r="CO169" i="1"/>
  <c r="CP169" i="1"/>
  <c r="CN170" i="1"/>
  <c r="CO170" i="1"/>
  <c r="CP170" i="1"/>
  <c r="CN171" i="1"/>
  <c r="CO171" i="1"/>
  <c r="CP171" i="1"/>
  <c r="CN172" i="1"/>
  <c r="CO172" i="1"/>
  <c r="CP172" i="1"/>
  <c r="CN173" i="1"/>
  <c r="CO173" i="1"/>
  <c r="CP173" i="1"/>
  <c r="CN174" i="1"/>
  <c r="CO174" i="1"/>
  <c r="CP174" i="1"/>
  <c r="CN175" i="1"/>
  <c r="CO175" i="1"/>
  <c r="CP175" i="1"/>
  <c r="CN176" i="1"/>
  <c r="CO176" i="1"/>
  <c r="CP176" i="1"/>
  <c r="CN177" i="1"/>
  <c r="CO177" i="1"/>
  <c r="CP177" i="1"/>
  <c r="CN178" i="1"/>
  <c r="CO178" i="1"/>
  <c r="CP178" i="1"/>
  <c r="CN179" i="1"/>
  <c r="CO179" i="1"/>
  <c r="CP179" i="1"/>
  <c r="CN180" i="1"/>
  <c r="CO180" i="1"/>
  <c r="CP180" i="1"/>
  <c r="CN181" i="1"/>
  <c r="CO181" i="1"/>
  <c r="CP181" i="1"/>
  <c r="CN182" i="1"/>
  <c r="CO182" i="1"/>
  <c r="CP182" i="1"/>
  <c r="CN183" i="1"/>
  <c r="CO183" i="1"/>
  <c r="CP183" i="1"/>
  <c r="CN184" i="1"/>
  <c r="CO184" i="1"/>
  <c r="CP184" i="1"/>
  <c r="CN185" i="1"/>
  <c r="CO185" i="1"/>
  <c r="CP185" i="1"/>
  <c r="CN186" i="1"/>
  <c r="CO186" i="1"/>
  <c r="CP186" i="1"/>
  <c r="CN187" i="1"/>
  <c r="CO187" i="1"/>
  <c r="CP187" i="1"/>
  <c r="CN188" i="1"/>
  <c r="CO188" i="1"/>
  <c r="CP188" i="1"/>
  <c r="CN189" i="1"/>
  <c r="CO189" i="1"/>
  <c r="CP189" i="1"/>
  <c r="CN190" i="1"/>
  <c r="CO190" i="1"/>
  <c r="CP190" i="1"/>
  <c r="CN191" i="1"/>
  <c r="CO191" i="1"/>
  <c r="CP191" i="1"/>
  <c r="CN192" i="1"/>
  <c r="CO192" i="1"/>
  <c r="CP192" i="1"/>
  <c r="CN193" i="1"/>
  <c r="CO193" i="1"/>
  <c r="CP193" i="1"/>
  <c r="CN194" i="1"/>
  <c r="CO194" i="1"/>
  <c r="CP194" i="1"/>
  <c r="CN195" i="1"/>
  <c r="CO195" i="1"/>
  <c r="CP195" i="1"/>
  <c r="CN196" i="1"/>
  <c r="CO196" i="1"/>
  <c r="CP196" i="1"/>
  <c r="CN197" i="1"/>
  <c r="CO197" i="1"/>
  <c r="CP197" i="1"/>
  <c r="CN198" i="1"/>
  <c r="CO198" i="1"/>
  <c r="CP198" i="1"/>
  <c r="CN199" i="1"/>
  <c r="CO199" i="1"/>
  <c r="CP199" i="1"/>
  <c r="CN200" i="1"/>
  <c r="CO200" i="1"/>
  <c r="CP200" i="1"/>
  <c r="CN201" i="1"/>
  <c r="CO201" i="1"/>
  <c r="CP201" i="1"/>
  <c r="CN202" i="1"/>
  <c r="CO202" i="1"/>
  <c r="CP202" i="1"/>
  <c r="CN3" i="1"/>
  <c r="CO3" i="1"/>
  <c r="CP3" i="1"/>
  <c r="CH4" i="1"/>
  <c r="CI4" i="1"/>
  <c r="CJ4" i="1"/>
  <c r="CK4" i="1"/>
  <c r="CL4" i="1"/>
  <c r="CH5" i="1"/>
  <c r="CI5" i="1"/>
  <c r="CJ5" i="1"/>
  <c r="CK5" i="1"/>
  <c r="CL5" i="1"/>
  <c r="CH6" i="1"/>
  <c r="CI6" i="1"/>
  <c r="CJ6" i="1"/>
  <c r="CK6" i="1"/>
  <c r="CL6" i="1"/>
  <c r="CH7" i="1"/>
  <c r="CI7" i="1"/>
  <c r="CJ7" i="1"/>
  <c r="CK7" i="1"/>
  <c r="CL7" i="1"/>
  <c r="CH8" i="1"/>
  <c r="CI8" i="1"/>
  <c r="CJ8" i="1"/>
  <c r="CK8" i="1"/>
  <c r="CL8" i="1"/>
  <c r="CH9" i="1"/>
  <c r="CI9" i="1"/>
  <c r="CJ9" i="1"/>
  <c r="CK9" i="1"/>
  <c r="CL9" i="1"/>
  <c r="CH10" i="1"/>
  <c r="CI10" i="1"/>
  <c r="CJ10" i="1"/>
  <c r="CK10" i="1"/>
  <c r="CL10" i="1"/>
  <c r="CH11" i="1"/>
  <c r="CI11" i="1"/>
  <c r="CJ11" i="1"/>
  <c r="CK11" i="1"/>
  <c r="CL11" i="1"/>
  <c r="CH12" i="1"/>
  <c r="CI12" i="1"/>
  <c r="CJ12" i="1"/>
  <c r="CK12" i="1"/>
  <c r="CL12" i="1"/>
  <c r="CH13" i="1"/>
  <c r="CI13" i="1"/>
  <c r="CJ13" i="1"/>
  <c r="CK13" i="1"/>
  <c r="CL13" i="1"/>
  <c r="CH14" i="1"/>
  <c r="CI14" i="1"/>
  <c r="CJ14" i="1"/>
  <c r="CK14" i="1"/>
  <c r="CL14" i="1"/>
  <c r="CH15" i="1"/>
  <c r="CI15" i="1"/>
  <c r="CJ15" i="1"/>
  <c r="CK15" i="1"/>
  <c r="CL15" i="1"/>
  <c r="CH16" i="1"/>
  <c r="CI16" i="1"/>
  <c r="CJ16" i="1"/>
  <c r="CK16" i="1"/>
  <c r="CL16" i="1"/>
  <c r="CH17" i="1"/>
  <c r="CI17" i="1"/>
  <c r="CJ17" i="1"/>
  <c r="CK17" i="1"/>
  <c r="CL17" i="1"/>
  <c r="CH18" i="1"/>
  <c r="CI18" i="1"/>
  <c r="CJ18" i="1"/>
  <c r="CK18" i="1"/>
  <c r="CL18" i="1"/>
  <c r="CH19" i="1"/>
  <c r="CI19" i="1"/>
  <c r="CJ19" i="1"/>
  <c r="CK19" i="1"/>
  <c r="CL19" i="1"/>
  <c r="CH20" i="1"/>
  <c r="CI20" i="1"/>
  <c r="CJ20" i="1"/>
  <c r="CK20" i="1"/>
  <c r="CL20" i="1"/>
  <c r="CH21" i="1"/>
  <c r="CI21" i="1"/>
  <c r="CJ21" i="1"/>
  <c r="CK21" i="1"/>
  <c r="CL21" i="1"/>
  <c r="CH22" i="1"/>
  <c r="CI22" i="1"/>
  <c r="CJ22" i="1"/>
  <c r="CK22" i="1"/>
  <c r="CL22" i="1"/>
  <c r="CH23" i="1"/>
  <c r="CI23" i="1"/>
  <c r="CJ23" i="1"/>
  <c r="CK23" i="1"/>
  <c r="CL23" i="1"/>
  <c r="CH24" i="1"/>
  <c r="CI24" i="1"/>
  <c r="CJ24" i="1"/>
  <c r="CK24" i="1"/>
  <c r="CL24" i="1"/>
  <c r="CH25" i="1"/>
  <c r="CI25" i="1"/>
  <c r="CJ25" i="1"/>
  <c r="CK25" i="1"/>
  <c r="CL25" i="1"/>
  <c r="CH26" i="1"/>
  <c r="CI26" i="1"/>
  <c r="CJ26" i="1"/>
  <c r="CK26" i="1"/>
  <c r="CL26" i="1"/>
  <c r="CH27" i="1"/>
  <c r="CI27" i="1"/>
  <c r="CJ27" i="1"/>
  <c r="CK27" i="1"/>
  <c r="CL27" i="1"/>
  <c r="CH28" i="1"/>
  <c r="CI28" i="1"/>
  <c r="CJ28" i="1"/>
  <c r="CK28" i="1"/>
  <c r="CL28" i="1"/>
  <c r="CH29" i="1"/>
  <c r="CI29" i="1"/>
  <c r="CJ29" i="1"/>
  <c r="CK29" i="1"/>
  <c r="CL29" i="1"/>
  <c r="CH30" i="1"/>
  <c r="CI30" i="1"/>
  <c r="CJ30" i="1"/>
  <c r="CK30" i="1"/>
  <c r="CL30" i="1"/>
  <c r="CH31" i="1"/>
  <c r="CI31" i="1"/>
  <c r="CJ31" i="1"/>
  <c r="CK31" i="1"/>
  <c r="CL31" i="1"/>
  <c r="CH32" i="1"/>
  <c r="CI32" i="1"/>
  <c r="CJ32" i="1"/>
  <c r="CK32" i="1"/>
  <c r="CL32" i="1"/>
  <c r="CH33" i="1"/>
  <c r="CI33" i="1"/>
  <c r="CJ33" i="1"/>
  <c r="CK33" i="1"/>
  <c r="CL33" i="1"/>
  <c r="CH34" i="1"/>
  <c r="CI34" i="1"/>
  <c r="CJ34" i="1"/>
  <c r="CK34" i="1"/>
  <c r="CL34" i="1"/>
  <c r="CH35" i="1"/>
  <c r="CI35" i="1"/>
  <c r="CJ35" i="1"/>
  <c r="CK35" i="1"/>
  <c r="CL35" i="1"/>
  <c r="CH36" i="1"/>
  <c r="CI36" i="1"/>
  <c r="CJ36" i="1"/>
  <c r="CK36" i="1"/>
  <c r="CL36" i="1"/>
  <c r="CH37" i="1"/>
  <c r="CI37" i="1"/>
  <c r="CJ37" i="1"/>
  <c r="CK37" i="1"/>
  <c r="CL37" i="1"/>
  <c r="CH38" i="1"/>
  <c r="CI38" i="1"/>
  <c r="CJ38" i="1"/>
  <c r="CK38" i="1"/>
  <c r="CL38" i="1"/>
  <c r="CH39" i="1"/>
  <c r="CI39" i="1"/>
  <c r="CJ39" i="1"/>
  <c r="CK39" i="1"/>
  <c r="CL39" i="1"/>
  <c r="CH40" i="1"/>
  <c r="CI40" i="1"/>
  <c r="CJ40" i="1"/>
  <c r="CK40" i="1"/>
  <c r="CL40" i="1"/>
  <c r="CH41" i="1"/>
  <c r="CI41" i="1"/>
  <c r="CJ41" i="1"/>
  <c r="CK41" i="1"/>
  <c r="CL41" i="1"/>
  <c r="CH42" i="1"/>
  <c r="CI42" i="1"/>
  <c r="CJ42" i="1"/>
  <c r="CK42" i="1"/>
  <c r="CL42" i="1"/>
  <c r="CH43" i="1"/>
  <c r="CI43" i="1"/>
  <c r="CJ43" i="1"/>
  <c r="CK43" i="1"/>
  <c r="CL43" i="1"/>
  <c r="CH44" i="1"/>
  <c r="CI44" i="1"/>
  <c r="CJ44" i="1"/>
  <c r="CK44" i="1"/>
  <c r="CL44" i="1"/>
  <c r="CH45" i="1"/>
  <c r="CI45" i="1"/>
  <c r="CJ45" i="1"/>
  <c r="CK45" i="1"/>
  <c r="CL45" i="1"/>
  <c r="CH46" i="1"/>
  <c r="CI46" i="1"/>
  <c r="CJ46" i="1"/>
  <c r="CK46" i="1"/>
  <c r="CL46" i="1"/>
  <c r="CH47" i="1"/>
  <c r="CI47" i="1"/>
  <c r="CJ47" i="1"/>
  <c r="CK47" i="1"/>
  <c r="CL47" i="1"/>
  <c r="CH48" i="1"/>
  <c r="CI48" i="1"/>
  <c r="CJ48" i="1"/>
  <c r="CK48" i="1"/>
  <c r="CL48" i="1"/>
  <c r="CH49" i="1"/>
  <c r="CI49" i="1"/>
  <c r="CJ49" i="1"/>
  <c r="CK49" i="1"/>
  <c r="CL49" i="1"/>
  <c r="CH50" i="1"/>
  <c r="CI50" i="1"/>
  <c r="CJ50" i="1"/>
  <c r="CK50" i="1"/>
  <c r="CL50" i="1"/>
  <c r="CH51" i="1"/>
  <c r="CI51" i="1"/>
  <c r="CJ51" i="1"/>
  <c r="CK51" i="1"/>
  <c r="CL51" i="1"/>
  <c r="CH52" i="1"/>
  <c r="CI52" i="1"/>
  <c r="CJ52" i="1"/>
  <c r="CK52" i="1"/>
  <c r="CL52" i="1"/>
  <c r="CH53" i="1"/>
  <c r="CI53" i="1"/>
  <c r="CJ53" i="1"/>
  <c r="CK53" i="1"/>
  <c r="CL53" i="1"/>
  <c r="CH54" i="1"/>
  <c r="CI54" i="1"/>
  <c r="CJ54" i="1"/>
  <c r="CK54" i="1"/>
  <c r="CL54" i="1"/>
  <c r="CH55" i="1"/>
  <c r="CI55" i="1"/>
  <c r="CJ55" i="1"/>
  <c r="CK55" i="1"/>
  <c r="CL55" i="1"/>
  <c r="CH56" i="1"/>
  <c r="CI56" i="1"/>
  <c r="CJ56" i="1"/>
  <c r="CK56" i="1"/>
  <c r="CL56" i="1"/>
  <c r="CH57" i="1"/>
  <c r="CI57" i="1"/>
  <c r="CJ57" i="1"/>
  <c r="CK57" i="1"/>
  <c r="CL57" i="1"/>
  <c r="CH58" i="1"/>
  <c r="CI58" i="1"/>
  <c r="CJ58" i="1"/>
  <c r="CK58" i="1"/>
  <c r="CL58" i="1"/>
  <c r="CH59" i="1"/>
  <c r="CI59" i="1"/>
  <c r="CJ59" i="1"/>
  <c r="CK59" i="1"/>
  <c r="CL59" i="1"/>
  <c r="CH60" i="1"/>
  <c r="CI60" i="1"/>
  <c r="CJ60" i="1"/>
  <c r="CK60" i="1"/>
  <c r="CL60" i="1"/>
  <c r="CH61" i="1"/>
  <c r="CI61" i="1"/>
  <c r="CJ61" i="1"/>
  <c r="CK61" i="1"/>
  <c r="CL61" i="1"/>
  <c r="CH62" i="1"/>
  <c r="CI62" i="1"/>
  <c r="CJ62" i="1"/>
  <c r="CK62" i="1"/>
  <c r="CL62" i="1"/>
  <c r="CH63" i="1"/>
  <c r="CI63" i="1"/>
  <c r="CJ63" i="1"/>
  <c r="CK63" i="1"/>
  <c r="CL63" i="1"/>
  <c r="CH64" i="1"/>
  <c r="CI64" i="1"/>
  <c r="CJ64" i="1"/>
  <c r="CK64" i="1"/>
  <c r="CL64" i="1"/>
  <c r="CH65" i="1"/>
  <c r="CI65" i="1"/>
  <c r="CJ65" i="1"/>
  <c r="CK65" i="1"/>
  <c r="CL65" i="1"/>
  <c r="CH66" i="1"/>
  <c r="CI66" i="1"/>
  <c r="CJ66" i="1"/>
  <c r="CK66" i="1"/>
  <c r="CL66" i="1"/>
  <c r="CH67" i="1"/>
  <c r="CI67" i="1"/>
  <c r="CJ67" i="1"/>
  <c r="CK67" i="1"/>
  <c r="CL67" i="1"/>
  <c r="CH68" i="1"/>
  <c r="CI68" i="1"/>
  <c r="CJ68" i="1"/>
  <c r="CK68" i="1"/>
  <c r="CL68" i="1"/>
  <c r="CH69" i="1"/>
  <c r="CI69" i="1"/>
  <c r="CJ69" i="1"/>
  <c r="CK69" i="1"/>
  <c r="CL69" i="1"/>
  <c r="CH70" i="1"/>
  <c r="CI70" i="1"/>
  <c r="CJ70" i="1"/>
  <c r="CK70" i="1"/>
  <c r="CL70" i="1"/>
  <c r="CH71" i="1"/>
  <c r="CI71" i="1"/>
  <c r="CJ71" i="1"/>
  <c r="CK71" i="1"/>
  <c r="CL71" i="1"/>
  <c r="CH72" i="1"/>
  <c r="CI72" i="1"/>
  <c r="CJ72" i="1"/>
  <c r="CK72" i="1"/>
  <c r="CL72" i="1"/>
  <c r="CH73" i="1"/>
  <c r="CI73" i="1"/>
  <c r="CJ73" i="1"/>
  <c r="CK73" i="1"/>
  <c r="CL73" i="1"/>
  <c r="CH74" i="1"/>
  <c r="CI74" i="1"/>
  <c r="CJ74" i="1"/>
  <c r="CK74" i="1"/>
  <c r="CL74" i="1"/>
  <c r="CH75" i="1"/>
  <c r="CI75" i="1"/>
  <c r="CJ75" i="1"/>
  <c r="CK75" i="1"/>
  <c r="CL75" i="1"/>
  <c r="CH76" i="1"/>
  <c r="CI76" i="1"/>
  <c r="CJ76" i="1"/>
  <c r="CK76" i="1"/>
  <c r="CL76" i="1"/>
  <c r="CH77" i="1"/>
  <c r="CI77" i="1"/>
  <c r="CJ77" i="1"/>
  <c r="CK77" i="1"/>
  <c r="CL77" i="1"/>
  <c r="CH78" i="1"/>
  <c r="CI78" i="1"/>
  <c r="CJ78" i="1"/>
  <c r="CK78" i="1"/>
  <c r="CL78" i="1"/>
  <c r="CH79" i="1"/>
  <c r="CI79" i="1"/>
  <c r="CJ79" i="1"/>
  <c r="CK79" i="1"/>
  <c r="CL79" i="1"/>
  <c r="CH80" i="1"/>
  <c r="CI80" i="1"/>
  <c r="CJ80" i="1"/>
  <c r="CK80" i="1"/>
  <c r="CL80" i="1"/>
  <c r="CH81" i="1"/>
  <c r="CI81" i="1"/>
  <c r="CJ81" i="1"/>
  <c r="CK81" i="1"/>
  <c r="CL81" i="1"/>
  <c r="CH82" i="1"/>
  <c r="CI82" i="1"/>
  <c r="CJ82" i="1"/>
  <c r="CK82" i="1"/>
  <c r="CL82" i="1"/>
  <c r="CH83" i="1"/>
  <c r="CI83" i="1"/>
  <c r="CJ83" i="1"/>
  <c r="CK83" i="1"/>
  <c r="CL83" i="1"/>
  <c r="CH84" i="1"/>
  <c r="CI84" i="1"/>
  <c r="CJ84" i="1"/>
  <c r="CK84" i="1"/>
  <c r="CL84" i="1"/>
  <c r="CH85" i="1"/>
  <c r="CI85" i="1"/>
  <c r="CJ85" i="1"/>
  <c r="CK85" i="1"/>
  <c r="CL85" i="1"/>
  <c r="CH86" i="1"/>
  <c r="CI86" i="1"/>
  <c r="CJ86" i="1"/>
  <c r="CK86" i="1"/>
  <c r="CL86" i="1"/>
  <c r="CH87" i="1"/>
  <c r="CI87" i="1"/>
  <c r="CJ87" i="1"/>
  <c r="CK87" i="1"/>
  <c r="CL87" i="1"/>
  <c r="CH88" i="1"/>
  <c r="CI88" i="1"/>
  <c r="CJ88" i="1"/>
  <c r="CK88" i="1"/>
  <c r="CL88" i="1"/>
  <c r="CH89" i="1"/>
  <c r="CI89" i="1"/>
  <c r="CJ89" i="1"/>
  <c r="CK89" i="1"/>
  <c r="CL89" i="1"/>
  <c r="CH90" i="1"/>
  <c r="CI90" i="1"/>
  <c r="CJ90" i="1"/>
  <c r="CK90" i="1"/>
  <c r="CL90" i="1"/>
  <c r="CH91" i="1"/>
  <c r="CI91" i="1"/>
  <c r="CJ91" i="1"/>
  <c r="CK91" i="1"/>
  <c r="CL91" i="1"/>
  <c r="CH92" i="1"/>
  <c r="CI92" i="1"/>
  <c r="CJ92" i="1"/>
  <c r="CK92" i="1"/>
  <c r="CL92" i="1"/>
  <c r="CH93" i="1"/>
  <c r="CI93" i="1"/>
  <c r="CJ93" i="1"/>
  <c r="CK93" i="1"/>
  <c r="CL93" i="1"/>
  <c r="CH94" i="1"/>
  <c r="CI94" i="1"/>
  <c r="CJ94" i="1"/>
  <c r="CK94" i="1"/>
  <c r="CL94" i="1"/>
  <c r="CH95" i="1"/>
  <c r="CI95" i="1"/>
  <c r="CJ95" i="1"/>
  <c r="CK95" i="1"/>
  <c r="CL95" i="1"/>
  <c r="CH96" i="1"/>
  <c r="CI96" i="1"/>
  <c r="CJ96" i="1"/>
  <c r="CK96" i="1"/>
  <c r="CL96" i="1"/>
  <c r="CH97" i="1"/>
  <c r="CI97" i="1"/>
  <c r="CJ97" i="1"/>
  <c r="CK97" i="1"/>
  <c r="CL97" i="1"/>
  <c r="CH98" i="1"/>
  <c r="CI98" i="1"/>
  <c r="CJ98" i="1"/>
  <c r="CK98" i="1"/>
  <c r="CL98" i="1"/>
  <c r="CH99" i="1"/>
  <c r="CI99" i="1"/>
  <c r="CJ99" i="1"/>
  <c r="CK99" i="1"/>
  <c r="CL99" i="1"/>
  <c r="CH100" i="1"/>
  <c r="CI100" i="1"/>
  <c r="CJ100" i="1"/>
  <c r="CK100" i="1"/>
  <c r="CL100" i="1"/>
  <c r="CH101" i="1"/>
  <c r="CI101" i="1"/>
  <c r="CJ101" i="1"/>
  <c r="CK101" i="1"/>
  <c r="CL101" i="1"/>
  <c r="CH102" i="1"/>
  <c r="CI102" i="1"/>
  <c r="CJ102" i="1"/>
  <c r="CK102" i="1"/>
  <c r="CL102" i="1"/>
  <c r="CH103" i="1"/>
  <c r="CI103" i="1"/>
  <c r="CJ103" i="1"/>
  <c r="CK103" i="1"/>
  <c r="CL103" i="1"/>
  <c r="CH104" i="1"/>
  <c r="CI104" i="1"/>
  <c r="CJ104" i="1"/>
  <c r="CK104" i="1"/>
  <c r="CL104" i="1"/>
  <c r="CH105" i="1"/>
  <c r="CI105" i="1"/>
  <c r="CJ105" i="1"/>
  <c r="CK105" i="1"/>
  <c r="CL105" i="1"/>
  <c r="CH106" i="1"/>
  <c r="CI106" i="1"/>
  <c r="CJ106" i="1"/>
  <c r="CK106" i="1"/>
  <c r="CL106" i="1"/>
  <c r="CH107" i="1"/>
  <c r="CI107" i="1"/>
  <c r="CJ107" i="1"/>
  <c r="CK107" i="1"/>
  <c r="CL107" i="1"/>
  <c r="CH108" i="1"/>
  <c r="CI108" i="1"/>
  <c r="CJ108" i="1"/>
  <c r="CK108" i="1"/>
  <c r="CL108" i="1"/>
  <c r="CH109" i="1"/>
  <c r="CI109" i="1"/>
  <c r="CJ109" i="1"/>
  <c r="CK109" i="1"/>
  <c r="CL109" i="1"/>
  <c r="CH110" i="1"/>
  <c r="CI110" i="1"/>
  <c r="CJ110" i="1"/>
  <c r="CK110" i="1"/>
  <c r="CL110" i="1"/>
  <c r="CH111" i="1"/>
  <c r="CI111" i="1"/>
  <c r="CJ111" i="1"/>
  <c r="CK111" i="1"/>
  <c r="CL111" i="1"/>
  <c r="CH112" i="1"/>
  <c r="CI112" i="1"/>
  <c r="CJ112" i="1"/>
  <c r="CK112" i="1"/>
  <c r="CL112" i="1"/>
  <c r="CH113" i="1"/>
  <c r="CI113" i="1"/>
  <c r="CJ113" i="1"/>
  <c r="CK113" i="1"/>
  <c r="CL113" i="1"/>
  <c r="CH114" i="1"/>
  <c r="CI114" i="1"/>
  <c r="CJ114" i="1"/>
  <c r="CK114" i="1"/>
  <c r="CL114" i="1"/>
  <c r="CH115" i="1"/>
  <c r="CI115" i="1"/>
  <c r="CJ115" i="1"/>
  <c r="CK115" i="1"/>
  <c r="CL115" i="1"/>
  <c r="CH116" i="1"/>
  <c r="CI116" i="1"/>
  <c r="CJ116" i="1"/>
  <c r="CK116" i="1"/>
  <c r="CL116" i="1"/>
  <c r="CH117" i="1"/>
  <c r="CI117" i="1"/>
  <c r="CJ117" i="1"/>
  <c r="CK117" i="1"/>
  <c r="CL117" i="1"/>
  <c r="CH118" i="1"/>
  <c r="CI118" i="1"/>
  <c r="CJ118" i="1"/>
  <c r="CK118" i="1"/>
  <c r="CL118" i="1"/>
  <c r="CH119" i="1"/>
  <c r="CI119" i="1"/>
  <c r="CJ119" i="1"/>
  <c r="CK119" i="1"/>
  <c r="CL119" i="1"/>
  <c r="CH120" i="1"/>
  <c r="CI120" i="1"/>
  <c r="CJ120" i="1"/>
  <c r="CK120" i="1"/>
  <c r="CL120" i="1"/>
  <c r="CH121" i="1"/>
  <c r="CI121" i="1"/>
  <c r="CJ121" i="1"/>
  <c r="CK121" i="1"/>
  <c r="CL121" i="1"/>
  <c r="CH122" i="1"/>
  <c r="CI122" i="1"/>
  <c r="CJ122" i="1"/>
  <c r="CK122" i="1"/>
  <c r="CL122" i="1"/>
  <c r="CH123" i="1"/>
  <c r="CI123" i="1"/>
  <c r="CJ123" i="1"/>
  <c r="CK123" i="1"/>
  <c r="CL123" i="1"/>
  <c r="CH124" i="1"/>
  <c r="CI124" i="1"/>
  <c r="CJ124" i="1"/>
  <c r="CK124" i="1"/>
  <c r="CL124" i="1"/>
  <c r="CH125" i="1"/>
  <c r="CI125" i="1"/>
  <c r="CJ125" i="1"/>
  <c r="CK125" i="1"/>
  <c r="CL125" i="1"/>
  <c r="CH126" i="1"/>
  <c r="CI126" i="1"/>
  <c r="CJ126" i="1"/>
  <c r="CK126" i="1"/>
  <c r="CL126" i="1"/>
  <c r="CH127" i="1"/>
  <c r="CI127" i="1"/>
  <c r="CJ127" i="1"/>
  <c r="CK127" i="1"/>
  <c r="CL127" i="1"/>
  <c r="CH128" i="1"/>
  <c r="CI128" i="1"/>
  <c r="CJ128" i="1"/>
  <c r="CK128" i="1"/>
  <c r="CL128" i="1"/>
  <c r="CH129" i="1"/>
  <c r="CI129" i="1"/>
  <c r="CJ129" i="1"/>
  <c r="CK129" i="1"/>
  <c r="CL129" i="1"/>
  <c r="CH130" i="1"/>
  <c r="CI130" i="1"/>
  <c r="CJ130" i="1"/>
  <c r="CK130" i="1"/>
  <c r="CL130" i="1"/>
  <c r="CH131" i="1"/>
  <c r="CI131" i="1"/>
  <c r="CJ131" i="1"/>
  <c r="CK131" i="1"/>
  <c r="CL131" i="1"/>
  <c r="CH132" i="1"/>
  <c r="CI132" i="1"/>
  <c r="CJ132" i="1"/>
  <c r="CK132" i="1"/>
  <c r="CL132" i="1"/>
  <c r="CH133" i="1"/>
  <c r="CI133" i="1"/>
  <c r="CJ133" i="1"/>
  <c r="CK133" i="1"/>
  <c r="CL133" i="1"/>
  <c r="CH134" i="1"/>
  <c r="CI134" i="1"/>
  <c r="CJ134" i="1"/>
  <c r="CK134" i="1"/>
  <c r="CL134" i="1"/>
  <c r="CH135" i="1"/>
  <c r="CI135" i="1"/>
  <c r="CJ135" i="1"/>
  <c r="CK135" i="1"/>
  <c r="CL135" i="1"/>
  <c r="CH136" i="1"/>
  <c r="CI136" i="1"/>
  <c r="CJ136" i="1"/>
  <c r="CK136" i="1"/>
  <c r="CL136" i="1"/>
  <c r="CH137" i="1"/>
  <c r="CI137" i="1"/>
  <c r="CJ137" i="1"/>
  <c r="CK137" i="1"/>
  <c r="CL137" i="1"/>
  <c r="CH138" i="1"/>
  <c r="CI138" i="1"/>
  <c r="CJ138" i="1"/>
  <c r="CK138" i="1"/>
  <c r="CL138" i="1"/>
  <c r="CH139" i="1"/>
  <c r="CI139" i="1"/>
  <c r="CJ139" i="1"/>
  <c r="CK139" i="1"/>
  <c r="CL139" i="1"/>
  <c r="CH140" i="1"/>
  <c r="CI140" i="1"/>
  <c r="CJ140" i="1"/>
  <c r="CK140" i="1"/>
  <c r="CL140" i="1"/>
  <c r="CH141" i="1"/>
  <c r="CI141" i="1"/>
  <c r="CJ141" i="1"/>
  <c r="CK141" i="1"/>
  <c r="CL141" i="1"/>
  <c r="CH142" i="1"/>
  <c r="CI142" i="1"/>
  <c r="CJ142" i="1"/>
  <c r="CK142" i="1"/>
  <c r="CL142" i="1"/>
  <c r="CH143" i="1"/>
  <c r="CI143" i="1"/>
  <c r="CJ143" i="1"/>
  <c r="CK143" i="1"/>
  <c r="CL143" i="1"/>
  <c r="CH144" i="1"/>
  <c r="CI144" i="1"/>
  <c r="CJ144" i="1"/>
  <c r="CK144" i="1"/>
  <c r="CL144" i="1"/>
  <c r="CH145" i="1"/>
  <c r="CI145" i="1"/>
  <c r="CJ145" i="1"/>
  <c r="CK145" i="1"/>
  <c r="CL145" i="1"/>
  <c r="CH146" i="1"/>
  <c r="CI146" i="1"/>
  <c r="CJ146" i="1"/>
  <c r="CK146" i="1"/>
  <c r="CL146" i="1"/>
  <c r="CH147" i="1"/>
  <c r="CI147" i="1"/>
  <c r="CJ147" i="1"/>
  <c r="CK147" i="1"/>
  <c r="CL147" i="1"/>
  <c r="CH148" i="1"/>
  <c r="CI148" i="1"/>
  <c r="CJ148" i="1"/>
  <c r="CK148" i="1"/>
  <c r="CL148" i="1"/>
  <c r="CH149" i="1"/>
  <c r="CI149" i="1"/>
  <c r="CJ149" i="1"/>
  <c r="CK149" i="1"/>
  <c r="CL149" i="1"/>
  <c r="CH150" i="1"/>
  <c r="CI150" i="1"/>
  <c r="CJ150" i="1"/>
  <c r="CK150" i="1"/>
  <c r="CL150" i="1"/>
  <c r="CH151" i="1"/>
  <c r="CI151" i="1"/>
  <c r="CJ151" i="1"/>
  <c r="CK151" i="1"/>
  <c r="CL151" i="1"/>
  <c r="CH152" i="1"/>
  <c r="CI152" i="1"/>
  <c r="CJ152" i="1"/>
  <c r="CK152" i="1"/>
  <c r="CL152" i="1"/>
  <c r="CH153" i="1"/>
  <c r="CI153" i="1"/>
  <c r="CJ153" i="1"/>
  <c r="CK153" i="1"/>
  <c r="CL153" i="1"/>
  <c r="CH154" i="1"/>
  <c r="CI154" i="1"/>
  <c r="CJ154" i="1"/>
  <c r="CK154" i="1"/>
  <c r="CL154" i="1"/>
  <c r="CH155" i="1"/>
  <c r="CI155" i="1"/>
  <c r="CJ155" i="1"/>
  <c r="CK155" i="1"/>
  <c r="CL155" i="1"/>
  <c r="CH156" i="1"/>
  <c r="CI156" i="1"/>
  <c r="CJ156" i="1"/>
  <c r="CK156" i="1"/>
  <c r="CL156" i="1"/>
  <c r="CH157" i="1"/>
  <c r="CI157" i="1"/>
  <c r="CJ157" i="1"/>
  <c r="CK157" i="1"/>
  <c r="CL157" i="1"/>
  <c r="CH158" i="1"/>
  <c r="CI158" i="1"/>
  <c r="CJ158" i="1"/>
  <c r="CK158" i="1"/>
  <c r="CL158" i="1"/>
  <c r="CH159" i="1"/>
  <c r="CI159" i="1"/>
  <c r="CJ159" i="1"/>
  <c r="CK159" i="1"/>
  <c r="CL159" i="1"/>
  <c r="CH160" i="1"/>
  <c r="CI160" i="1"/>
  <c r="CJ160" i="1"/>
  <c r="CK160" i="1"/>
  <c r="CL160" i="1"/>
  <c r="CH161" i="1"/>
  <c r="CI161" i="1"/>
  <c r="CJ161" i="1"/>
  <c r="CK161" i="1"/>
  <c r="CL161" i="1"/>
  <c r="CH162" i="1"/>
  <c r="CI162" i="1"/>
  <c r="CJ162" i="1"/>
  <c r="CK162" i="1"/>
  <c r="CL162" i="1"/>
  <c r="CH163" i="1"/>
  <c r="CI163" i="1"/>
  <c r="CJ163" i="1"/>
  <c r="CK163" i="1"/>
  <c r="CL163" i="1"/>
  <c r="CH164" i="1"/>
  <c r="CI164" i="1"/>
  <c r="CJ164" i="1"/>
  <c r="CK164" i="1"/>
  <c r="CL164" i="1"/>
  <c r="CH165" i="1"/>
  <c r="CI165" i="1"/>
  <c r="CJ165" i="1"/>
  <c r="CK165" i="1"/>
  <c r="CL165" i="1"/>
  <c r="CH166" i="1"/>
  <c r="CI166" i="1"/>
  <c r="CJ166" i="1"/>
  <c r="CK166" i="1"/>
  <c r="CL166" i="1"/>
  <c r="CH167" i="1"/>
  <c r="CI167" i="1"/>
  <c r="CJ167" i="1"/>
  <c r="CK167" i="1"/>
  <c r="CL167" i="1"/>
  <c r="CH168" i="1"/>
  <c r="CI168" i="1"/>
  <c r="CJ168" i="1"/>
  <c r="CK168" i="1"/>
  <c r="CL168" i="1"/>
  <c r="CH169" i="1"/>
  <c r="CI169" i="1"/>
  <c r="CJ169" i="1"/>
  <c r="CK169" i="1"/>
  <c r="CL169" i="1"/>
  <c r="CH170" i="1"/>
  <c r="CI170" i="1"/>
  <c r="CJ170" i="1"/>
  <c r="CK170" i="1"/>
  <c r="CL170" i="1"/>
  <c r="CH171" i="1"/>
  <c r="CI171" i="1"/>
  <c r="CJ171" i="1"/>
  <c r="CK171" i="1"/>
  <c r="CL171" i="1"/>
  <c r="CH172" i="1"/>
  <c r="CI172" i="1"/>
  <c r="CJ172" i="1"/>
  <c r="CK172" i="1"/>
  <c r="CL172" i="1"/>
  <c r="CH173" i="1"/>
  <c r="CI173" i="1"/>
  <c r="CJ173" i="1"/>
  <c r="CK173" i="1"/>
  <c r="CL173" i="1"/>
  <c r="CH174" i="1"/>
  <c r="CI174" i="1"/>
  <c r="CJ174" i="1"/>
  <c r="CK174" i="1"/>
  <c r="CL174" i="1"/>
  <c r="CH175" i="1"/>
  <c r="CI175" i="1"/>
  <c r="CJ175" i="1"/>
  <c r="CK175" i="1"/>
  <c r="CL175" i="1"/>
  <c r="CH176" i="1"/>
  <c r="CI176" i="1"/>
  <c r="CJ176" i="1"/>
  <c r="CK176" i="1"/>
  <c r="CL176" i="1"/>
  <c r="CH177" i="1"/>
  <c r="CI177" i="1"/>
  <c r="CJ177" i="1"/>
  <c r="CK177" i="1"/>
  <c r="CL177" i="1"/>
  <c r="CH178" i="1"/>
  <c r="CI178" i="1"/>
  <c r="CJ178" i="1"/>
  <c r="CK178" i="1"/>
  <c r="CL178" i="1"/>
  <c r="CH179" i="1"/>
  <c r="CI179" i="1"/>
  <c r="CJ179" i="1"/>
  <c r="CK179" i="1"/>
  <c r="CL179" i="1"/>
  <c r="CH180" i="1"/>
  <c r="CI180" i="1"/>
  <c r="CJ180" i="1"/>
  <c r="CK180" i="1"/>
  <c r="CL180" i="1"/>
  <c r="CH181" i="1"/>
  <c r="CI181" i="1"/>
  <c r="CJ181" i="1"/>
  <c r="CK181" i="1"/>
  <c r="CL181" i="1"/>
  <c r="CH182" i="1"/>
  <c r="CI182" i="1"/>
  <c r="CJ182" i="1"/>
  <c r="CK182" i="1"/>
  <c r="CL182" i="1"/>
  <c r="CH183" i="1"/>
  <c r="CI183" i="1"/>
  <c r="CJ183" i="1"/>
  <c r="CK183" i="1"/>
  <c r="CL183" i="1"/>
  <c r="CH184" i="1"/>
  <c r="CI184" i="1"/>
  <c r="CJ184" i="1"/>
  <c r="CK184" i="1"/>
  <c r="CL184" i="1"/>
  <c r="CH185" i="1"/>
  <c r="CI185" i="1"/>
  <c r="CJ185" i="1"/>
  <c r="CK185" i="1"/>
  <c r="CL185" i="1"/>
  <c r="CH186" i="1"/>
  <c r="CI186" i="1"/>
  <c r="CJ186" i="1"/>
  <c r="CK186" i="1"/>
  <c r="CL186" i="1"/>
  <c r="CH187" i="1"/>
  <c r="CI187" i="1"/>
  <c r="CJ187" i="1"/>
  <c r="CK187" i="1"/>
  <c r="CL187" i="1"/>
  <c r="CH188" i="1"/>
  <c r="CI188" i="1"/>
  <c r="CJ188" i="1"/>
  <c r="CK188" i="1"/>
  <c r="CL188" i="1"/>
  <c r="CH189" i="1"/>
  <c r="CI189" i="1"/>
  <c r="CJ189" i="1"/>
  <c r="CK189" i="1"/>
  <c r="CL189" i="1"/>
  <c r="CH190" i="1"/>
  <c r="CI190" i="1"/>
  <c r="CJ190" i="1"/>
  <c r="CK190" i="1"/>
  <c r="CL190" i="1"/>
  <c r="CH191" i="1"/>
  <c r="CI191" i="1"/>
  <c r="CJ191" i="1"/>
  <c r="CK191" i="1"/>
  <c r="CL191" i="1"/>
  <c r="CH192" i="1"/>
  <c r="CI192" i="1"/>
  <c r="CJ192" i="1"/>
  <c r="CK192" i="1"/>
  <c r="CL192" i="1"/>
  <c r="CH193" i="1"/>
  <c r="CI193" i="1"/>
  <c r="CJ193" i="1"/>
  <c r="CK193" i="1"/>
  <c r="CL193" i="1"/>
  <c r="CH194" i="1"/>
  <c r="CI194" i="1"/>
  <c r="CJ194" i="1"/>
  <c r="CK194" i="1"/>
  <c r="CL194" i="1"/>
  <c r="CH195" i="1"/>
  <c r="CI195" i="1"/>
  <c r="CJ195" i="1"/>
  <c r="CK195" i="1"/>
  <c r="CL195" i="1"/>
  <c r="CH196" i="1"/>
  <c r="CI196" i="1"/>
  <c r="CJ196" i="1"/>
  <c r="CK196" i="1"/>
  <c r="CL196" i="1"/>
  <c r="CH197" i="1"/>
  <c r="CI197" i="1"/>
  <c r="CJ197" i="1"/>
  <c r="CK197" i="1"/>
  <c r="CL197" i="1"/>
  <c r="CH198" i="1"/>
  <c r="CI198" i="1"/>
  <c r="CJ198" i="1"/>
  <c r="CK198" i="1"/>
  <c r="CL198" i="1"/>
  <c r="CH199" i="1"/>
  <c r="CI199" i="1"/>
  <c r="CJ199" i="1"/>
  <c r="CK199" i="1"/>
  <c r="CL199" i="1"/>
  <c r="CH200" i="1"/>
  <c r="CI200" i="1"/>
  <c r="CJ200" i="1"/>
  <c r="CK200" i="1"/>
  <c r="CL200" i="1"/>
  <c r="CH201" i="1"/>
  <c r="CI201" i="1"/>
  <c r="CJ201" i="1"/>
  <c r="CK201" i="1"/>
  <c r="CL201" i="1"/>
  <c r="CH202" i="1"/>
  <c r="CI202" i="1"/>
  <c r="CJ202" i="1"/>
  <c r="CK202" i="1"/>
  <c r="CL202" i="1"/>
  <c r="CH3" i="1"/>
  <c r="CI3" i="1"/>
  <c r="CJ3" i="1"/>
  <c r="CK3" i="1"/>
  <c r="CL3" i="1"/>
  <c r="CB4" i="1"/>
  <c r="CC4" i="1"/>
  <c r="CD4" i="1"/>
  <c r="CE4" i="1"/>
  <c r="CF4" i="1"/>
  <c r="CB5" i="1"/>
  <c r="CC5" i="1"/>
  <c r="CD5" i="1"/>
  <c r="CE5" i="1"/>
  <c r="CF5" i="1"/>
  <c r="CB6" i="1"/>
  <c r="CC6" i="1"/>
  <c r="CD6" i="1"/>
  <c r="CE6" i="1"/>
  <c r="CF6" i="1"/>
  <c r="CB7" i="1"/>
  <c r="CC7" i="1"/>
  <c r="CD7" i="1"/>
  <c r="CE7" i="1"/>
  <c r="CF7" i="1"/>
  <c r="CB8" i="1"/>
  <c r="CC8" i="1"/>
  <c r="CD8" i="1"/>
  <c r="CE8" i="1"/>
  <c r="CF8" i="1"/>
  <c r="CB9" i="1"/>
  <c r="CC9" i="1"/>
  <c r="CD9" i="1"/>
  <c r="CE9" i="1"/>
  <c r="CF9" i="1"/>
  <c r="CB10" i="1"/>
  <c r="CC10" i="1"/>
  <c r="CD10" i="1"/>
  <c r="CE10" i="1"/>
  <c r="CF10" i="1"/>
  <c r="CB11" i="1"/>
  <c r="CC11" i="1"/>
  <c r="CD11" i="1"/>
  <c r="CE11" i="1"/>
  <c r="CF11" i="1"/>
  <c r="CB12" i="1"/>
  <c r="CC12" i="1"/>
  <c r="CD12" i="1"/>
  <c r="CE12" i="1"/>
  <c r="CF12" i="1"/>
  <c r="CB13" i="1"/>
  <c r="CC13" i="1"/>
  <c r="CD13" i="1"/>
  <c r="CE13" i="1"/>
  <c r="CF13" i="1"/>
  <c r="CB14" i="1"/>
  <c r="CC14" i="1"/>
  <c r="CD14" i="1"/>
  <c r="CE14" i="1"/>
  <c r="CF14" i="1"/>
  <c r="CB15" i="1"/>
  <c r="CC15" i="1"/>
  <c r="CD15" i="1"/>
  <c r="CE15" i="1"/>
  <c r="CF15" i="1"/>
  <c r="CB16" i="1"/>
  <c r="CC16" i="1"/>
  <c r="CD16" i="1"/>
  <c r="CE16" i="1"/>
  <c r="CF16" i="1"/>
  <c r="CB17" i="1"/>
  <c r="CC17" i="1"/>
  <c r="CD17" i="1"/>
  <c r="CE17" i="1"/>
  <c r="CF17" i="1"/>
  <c r="CB18" i="1"/>
  <c r="CC18" i="1"/>
  <c r="CD18" i="1"/>
  <c r="CE18" i="1"/>
  <c r="CF18" i="1"/>
  <c r="CB19" i="1"/>
  <c r="CC19" i="1"/>
  <c r="CD19" i="1"/>
  <c r="CE19" i="1"/>
  <c r="CF19" i="1"/>
  <c r="CB20" i="1"/>
  <c r="CC20" i="1"/>
  <c r="CD20" i="1"/>
  <c r="CE20" i="1"/>
  <c r="CF20" i="1"/>
  <c r="CB21" i="1"/>
  <c r="CC21" i="1"/>
  <c r="CD21" i="1"/>
  <c r="CE21" i="1"/>
  <c r="CF21" i="1"/>
  <c r="CB22" i="1"/>
  <c r="CC22" i="1"/>
  <c r="CD22" i="1"/>
  <c r="CE22" i="1"/>
  <c r="CF22" i="1"/>
  <c r="CB23" i="1"/>
  <c r="CC23" i="1"/>
  <c r="CD23" i="1"/>
  <c r="CE23" i="1"/>
  <c r="CF23" i="1"/>
  <c r="CB24" i="1"/>
  <c r="CC24" i="1"/>
  <c r="CD24" i="1"/>
  <c r="CE24" i="1"/>
  <c r="CF24" i="1"/>
  <c r="CB25" i="1"/>
  <c r="CC25" i="1"/>
  <c r="CD25" i="1"/>
  <c r="CE25" i="1"/>
  <c r="CF25" i="1"/>
  <c r="CB26" i="1"/>
  <c r="CC26" i="1"/>
  <c r="CD26" i="1"/>
  <c r="CE26" i="1"/>
  <c r="CF26" i="1"/>
  <c r="CB27" i="1"/>
  <c r="CC27" i="1"/>
  <c r="CD27" i="1"/>
  <c r="CE27" i="1"/>
  <c r="CF27" i="1"/>
  <c r="CB28" i="1"/>
  <c r="CC28" i="1"/>
  <c r="CD28" i="1"/>
  <c r="CE28" i="1"/>
  <c r="CF28" i="1"/>
  <c r="CB29" i="1"/>
  <c r="CC29" i="1"/>
  <c r="CD29" i="1"/>
  <c r="CE29" i="1"/>
  <c r="CF29" i="1"/>
  <c r="CB30" i="1"/>
  <c r="CC30" i="1"/>
  <c r="CD30" i="1"/>
  <c r="CE30" i="1"/>
  <c r="CF30" i="1"/>
  <c r="CB31" i="1"/>
  <c r="CC31" i="1"/>
  <c r="CD31" i="1"/>
  <c r="CE31" i="1"/>
  <c r="CF31" i="1"/>
  <c r="CB32" i="1"/>
  <c r="CC32" i="1"/>
  <c r="CD32" i="1"/>
  <c r="CE32" i="1"/>
  <c r="CF32" i="1"/>
  <c r="CB33" i="1"/>
  <c r="CC33" i="1"/>
  <c r="CD33" i="1"/>
  <c r="CE33" i="1"/>
  <c r="CF33" i="1"/>
  <c r="CB34" i="1"/>
  <c r="CC34" i="1"/>
  <c r="CD34" i="1"/>
  <c r="CE34" i="1"/>
  <c r="CF34" i="1"/>
  <c r="CB35" i="1"/>
  <c r="CC35" i="1"/>
  <c r="CD35" i="1"/>
  <c r="CE35" i="1"/>
  <c r="CF35" i="1"/>
  <c r="CB36" i="1"/>
  <c r="CC36" i="1"/>
  <c r="CD36" i="1"/>
  <c r="CE36" i="1"/>
  <c r="CF36" i="1"/>
  <c r="CB37" i="1"/>
  <c r="CC37" i="1"/>
  <c r="CD37" i="1"/>
  <c r="CE37" i="1"/>
  <c r="CF37" i="1"/>
  <c r="CB38" i="1"/>
  <c r="CC38" i="1"/>
  <c r="CD38" i="1"/>
  <c r="CE38" i="1"/>
  <c r="CF38" i="1"/>
  <c r="CB39" i="1"/>
  <c r="CC39" i="1"/>
  <c r="CD39" i="1"/>
  <c r="CE39" i="1"/>
  <c r="CF39" i="1"/>
  <c r="CB40" i="1"/>
  <c r="CC40" i="1"/>
  <c r="CD40" i="1"/>
  <c r="CE40" i="1"/>
  <c r="CF40" i="1"/>
  <c r="CB41" i="1"/>
  <c r="CC41" i="1"/>
  <c r="CD41" i="1"/>
  <c r="CE41" i="1"/>
  <c r="CF41" i="1"/>
  <c r="CB42" i="1"/>
  <c r="CC42" i="1"/>
  <c r="CD42" i="1"/>
  <c r="CE42" i="1"/>
  <c r="CF42" i="1"/>
  <c r="CB43" i="1"/>
  <c r="CC43" i="1"/>
  <c r="CD43" i="1"/>
  <c r="CE43" i="1"/>
  <c r="CF43" i="1"/>
  <c r="CB44" i="1"/>
  <c r="CC44" i="1"/>
  <c r="CD44" i="1"/>
  <c r="CE44" i="1"/>
  <c r="CF44" i="1"/>
  <c r="CB45" i="1"/>
  <c r="CC45" i="1"/>
  <c r="CD45" i="1"/>
  <c r="CE45" i="1"/>
  <c r="CF45" i="1"/>
  <c r="CB46" i="1"/>
  <c r="CC46" i="1"/>
  <c r="CD46" i="1"/>
  <c r="CE46" i="1"/>
  <c r="CF46" i="1"/>
  <c r="CB47" i="1"/>
  <c r="CC47" i="1"/>
  <c r="CD47" i="1"/>
  <c r="CE47" i="1"/>
  <c r="CF47" i="1"/>
  <c r="CB48" i="1"/>
  <c r="CC48" i="1"/>
  <c r="CD48" i="1"/>
  <c r="CE48" i="1"/>
  <c r="CF48" i="1"/>
  <c r="CB49" i="1"/>
  <c r="CC49" i="1"/>
  <c r="CD49" i="1"/>
  <c r="CE49" i="1"/>
  <c r="CF49" i="1"/>
  <c r="CB50" i="1"/>
  <c r="CC50" i="1"/>
  <c r="CD50" i="1"/>
  <c r="CE50" i="1"/>
  <c r="CF50" i="1"/>
  <c r="CB51" i="1"/>
  <c r="CC51" i="1"/>
  <c r="CD51" i="1"/>
  <c r="CE51" i="1"/>
  <c r="CF51" i="1"/>
  <c r="CB52" i="1"/>
  <c r="CC52" i="1"/>
  <c r="CD52" i="1"/>
  <c r="CE52" i="1"/>
  <c r="CF52" i="1"/>
  <c r="CB53" i="1"/>
  <c r="CC53" i="1"/>
  <c r="CD53" i="1"/>
  <c r="CE53" i="1"/>
  <c r="CF53" i="1"/>
  <c r="CB54" i="1"/>
  <c r="CC54" i="1"/>
  <c r="CD54" i="1"/>
  <c r="CE54" i="1"/>
  <c r="CF54" i="1"/>
  <c r="CB55" i="1"/>
  <c r="CC55" i="1"/>
  <c r="CD55" i="1"/>
  <c r="CE55" i="1"/>
  <c r="CF55" i="1"/>
  <c r="CB56" i="1"/>
  <c r="CC56" i="1"/>
  <c r="CD56" i="1"/>
  <c r="CE56" i="1"/>
  <c r="CF56" i="1"/>
  <c r="CB57" i="1"/>
  <c r="CC57" i="1"/>
  <c r="CD57" i="1"/>
  <c r="CE57" i="1"/>
  <c r="CF57" i="1"/>
  <c r="CB58" i="1"/>
  <c r="CC58" i="1"/>
  <c r="CD58" i="1"/>
  <c r="CE58" i="1"/>
  <c r="CF58" i="1"/>
  <c r="CB59" i="1"/>
  <c r="CC59" i="1"/>
  <c r="CD59" i="1"/>
  <c r="CE59" i="1"/>
  <c r="CF59" i="1"/>
  <c r="CB60" i="1"/>
  <c r="CC60" i="1"/>
  <c r="CD60" i="1"/>
  <c r="CE60" i="1"/>
  <c r="CF60" i="1"/>
  <c r="CB61" i="1"/>
  <c r="CC61" i="1"/>
  <c r="CD61" i="1"/>
  <c r="CE61" i="1"/>
  <c r="CF61" i="1"/>
  <c r="CB62" i="1"/>
  <c r="CC62" i="1"/>
  <c r="CD62" i="1"/>
  <c r="CE62" i="1"/>
  <c r="CF62" i="1"/>
  <c r="CB63" i="1"/>
  <c r="CC63" i="1"/>
  <c r="CD63" i="1"/>
  <c r="CE63" i="1"/>
  <c r="CF63" i="1"/>
  <c r="CB64" i="1"/>
  <c r="CC64" i="1"/>
  <c r="CD64" i="1"/>
  <c r="CE64" i="1"/>
  <c r="CF64" i="1"/>
  <c r="CB65" i="1"/>
  <c r="CC65" i="1"/>
  <c r="CD65" i="1"/>
  <c r="CE65" i="1"/>
  <c r="CF65" i="1"/>
  <c r="CB66" i="1"/>
  <c r="CC66" i="1"/>
  <c r="CD66" i="1"/>
  <c r="CE66" i="1"/>
  <c r="CF66" i="1"/>
  <c r="CB67" i="1"/>
  <c r="CC67" i="1"/>
  <c r="CD67" i="1"/>
  <c r="CE67" i="1"/>
  <c r="CF67" i="1"/>
  <c r="CB68" i="1"/>
  <c r="CC68" i="1"/>
  <c r="CD68" i="1"/>
  <c r="CE68" i="1"/>
  <c r="CF68" i="1"/>
  <c r="CB69" i="1"/>
  <c r="CC69" i="1"/>
  <c r="CD69" i="1"/>
  <c r="CE69" i="1"/>
  <c r="CF69" i="1"/>
  <c r="CB70" i="1"/>
  <c r="CC70" i="1"/>
  <c r="CD70" i="1"/>
  <c r="CE70" i="1"/>
  <c r="CF70" i="1"/>
  <c r="CB71" i="1"/>
  <c r="CC71" i="1"/>
  <c r="CD71" i="1"/>
  <c r="CE71" i="1"/>
  <c r="CF71" i="1"/>
  <c r="CB72" i="1"/>
  <c r="CC72" i="1"/>
  <c r="CD72" i="1"/>
  <c r="CE72" i="1"/>
  <c r="CF72" i="1"/>
  <c r="CB73" i="1"/>
  <c r="CC73" i="1"/>
  <c r="CD73" i="1"/>
  <c r="CE73" i="1"/>
  <c r="CF73" i="1"/>
  <c r="CB74" i="1"/>
  <c r="CC74" i="1"/>
  <c r="CD74" i="1"/>
  <c r="CE74" i="1"/>
  <c r="CF74" i="1"/>
  <c r="CB75" i="1"/>
  <c r="CC75" i="1"/>
  <c r="CD75" i="1"/>
  <c r="CE75" i="1"/>
  <c r="CF75" i="1"/>
  <c r="CB76" i="1"/>
  <c r="CC76" i="1"/>
  <c r="CD76" i="1"/>
  <c r="CE76" i="1"/>
  <c r="CF76" i="1"/>
  <c r="CB77" i="1"/>
  <c r="CC77" i="1"/>
  <c r="CD77" i="1"/>
  <c r="CE77" i="1"/>
  <c r="CF77" i="1"/>
  <c r="CB78" i="1"/>
  <c r="CC78" i="1"/>
  <c r="CD78" i="1"/>
  <c r="CE78" i="1"/>
  <c r="CF78" i="1"/>
  <c r="CB79" i="1"/>
  <c r="CC79" i="1"/>
  <c r="CD79" i="1"/>
  <c r="CE79" i="1"/>
  <c r="CF79" i="1"/>
  <c r="CB80" i="1"/>
  <c r="CC80" i="1"/>
  <c r="CD80" i="1"/>
  <c r="CE80" i="1"/>
  <c r="CF80" i="1"/>
  <c r="CB81" i="1"/>
  <c r="CC81" i="1"/>
  <c r="CD81" i="1"/>
  <c r="CE81" i="1"/>
  <c r="CF81" i="1"/>
  <c r="CB82" i="1"/>
  <c r="CC82" i="1"/>
  <c r="CD82" i="1"/>
  <c r="CE82" i="1"/>
  <c r="CF82" i="1"/>
  <c r="CB83" i="1"/>
  <c r="CC83" i="1"/>
  <c r="CD83" i="1"/>
  <c r="CE83" i="1"/>
  <c r="CF83" i="1"/>
  <c r="CB84" i="1"/>
  <c r="CC84" i="1"/>
  <c r="CD84" i="1"/>
  <c r="CE84" i="1"/>
  <c r="CF84" i="1"/>
  <c r="CB85" i="1"/>
  <c r="CC85" i="1"/>
  <c r="CD85" i="1"/>
  <c r="CE85" i="1"/>
  <c r="CF85" i="1"/>
  <c r="CB86" i="1"/>
  <c r="CC86" i="1"/>
  <c r="CD86" i="1"/>
  <c r="CE86" i="1"/>
  <c r="CF86" i="1"/>
  <c r="CB87" i="1"/>
  <c r="CC87" i="1"/>
  <c r="CD87" i="1"/>
  <c r="CE87" i="1"/>
  <c r="CF87" i="1"/>
  <c r="CB88" i="1"/>
  <c r="CC88" i="1"/>
  <c r="CD88" i="1"/>
  <c r="CE88" i="1"/>
  <c r="CF88" i="1"/>
  <c r="CB89" i="1"/>
  <c r="CC89" i="1"/>
  <c r="CD89" i="1"/>
  <c r="CE89" i="1"/>
  <c r="CF89" i="1"/>
  <c r="CB90" i="1"/>
  <c r="CC90" i="1"/>
  <c r="CD90" i="1"/>
  <c r="CE90" i="1"/>
  <c r="CF90" i="1"/>
  <c r="CB91" i="1"/>
  <c r="CC91" i="1"/>
  <c r="CD91" i="1"/>
  <c r="CE91" i="1"/>
  <c r="CF91" i="1"/>
  <c r="CB92" i="1"/>
  <c r="CC92" i="1"/>
  <c r="CD92" i="1"/>
  <c r="CE92" i="1"/>
  <c r="CF92" i="1"/>
  <c r="CB93" i="1"/>
  <c r="CC93" i="1"/>
  <c r="CD93" i="1"/>
  <c r="CE93" i="1"/>
  <c r="CF93" i="1"/>
  <c r="CB94" i="1"/>
  <c r="CC94" i="1"/>
  <c r="CD94" i="1"/>
  <c r="CE94" i="1"/>
  <c r="CF94" i="1"/>
  <c r="CB95" i="1"/>
  <c r="CC95" i="1"/>
  <c r="CD95" i="1"/>
  <c r="CE95" i="1"/>
  <c r="CF95" i="1"/>
  <c r="CB96" i="1"/>
  <c r="CC96" i="1"/>
  <c r="CD96" i="1"/>
  <c r="CE96" i="1"/>
  <c r="CF96" i="1"/>
  <c r="CB97" i="1"/>
  <c r="CC97" i="1"/>
  <c r="CD97" i="1"/>
  <c r="CE97" i="1"/>
  <c r="CF97" i="1"/>
  <c r="CB98" i="1"/>
  <c r="CC98" i="1"/>
  <c r="CD98" i="1"/>
  <c r="CE98" i="1"/>
  <c r="CF98" i="1"/>
  <c r="CB99" i="1"/>
  <c r="CC99" i="1"/>
  <c r="CD99" i="1"/>
  <c r="CE99" i="1"/>
  <c r="CF99" i="1"/>
  <c r="CB100" i="1"/>
  <c r="CC100" i="1"/>
  <c r="CD100" i="1"/>
  <c r="CE100" i="1"/>
  <c r="CF100" i="1"/>
  <c r="CB101" i="1"/>
  <c r="CC101" i="1"/>
  <c r="CD101" i="1"/>
  <c r="CE101" i="1"/>
  <c r="CF101" i="1"/>
  <c r="CB102" i="1"/>
  <c r="CC102" i="1"/>
  <c r="CD102" i="1"/>
  <c r="CE102" i="1"/>
  <c r="CF102" i="1"/>
  <c r="CB103" i="1"/>
  <c r="CC103" i="1"/>
  <c r="CD103" i="1"/>
  <c r="CE103" i="1"/>
  <c r="CF103" i="1"/>
  <c r="CB104" i="1"/>
  <c r="CC104" i="1"/>
  <c r="CD104" i="1"/>
  <c r="CE104" i="1"/>
  <c r="CF104" i="1"/>
  <c r="CB105" i="1"/>
  <c r="CC105" i="1"/>
  <c r="CD105" i="1"/>
  <c r="CE105" i="1"/>
  <c r="CF105" i="1"/>
  <c r="CB106" i="1"/>
  <c r="CC106" i="1"/>
  <c r="CD106" i="1"/>
  <c r="CE106" i="1"/>
  <c r="CF106" i="1"/>
  <c r="CB107" i="1"/>
  <c r="CC107" i="1"/>
  <c r="CD107" i="1"/>
  <c r="CE107" i="1"/>
  <c r="CF107" i="1"/>
  <c r="CB108" i="1"/>
  <c r="CC108" i="1"/>
  <c r="CD108" i="1"/>
  <c r="CE108" i="1"/>
  <c r="CF108" i="1"/>
  <c r="CB109" i="1"/>
  <c r="CC109" i="1"/>
  <c r="CD109" i="1"/>
  <c r="CE109" i="1"/>
  <c r="CF109" i="1"/>
  <c r="CB110" i="1"/>
  <c r="CC110" i="1"/>
  <c r="CD110" i="1"/>
  <c r="CE110" i="1"/>
  <c r="CF110" i="1"/>
  <c r="CB111" i="1"/>
  <c r="CC111" i="1"/>
  <c r="CD111" i="1"/>
  <c r="CE111" i="1"/>
  <c r="CF111" i="1"/>
  <c r="CB112" i="1"/>
  <c r="CC112" i="1"/>
  <c r="CD112" i="1"/>
  <c r="CE112" i="1"/>
  <c r="CF112" i="1"/>
  <c r="CB113" i="1"/>
  <c r="CC113" i="1"/>
  <c r="CD113" i="1"/>
  <c r="CE113" i="1"/>
  <c r="CF113" i="1"/>
  <c r="CB114" i="1"/>
  <c r="CC114" i="1"/>
  <c r="CD114" i="1"/>
  <c r="CE114" i="1"/>
  <c r="CF114" i="1"/>
  <c r="CB115" i="1"/>
  <c r="CC115" i="1"/>
  <c r="CD115" i="1"/>
  <c r="CE115" i="1"/>
  <c r="CF115" i="1"/>
  <c r="CB116" i="1"/>
  <c r="CC116" i="1"/>
  <c r="CD116" i="1"/>
  <c r="CE116" i="1"/>
  <c r="CF116" i="1"/>
  <c r="CB117" i="1"/>
  <c r="CC117" i="1"/>
  <c r="CD117" i="1"/>
  <c r="CE117" i="1"/>
  <c r="CF117" i="1"/>
  <c r="CB118" i="1"/>
  <c r="CC118" i="1"/>
  <c r="CD118" i="1"/>
  <c r="CE118" i="1"/>
  <c r="CF118" i="1"/>
  <c r="CB119" i="1"/>
  <c r="CC119" i="1"/>
  <c r="CD119" i="1"/>
  <c r="CE119" i="1"/>
  <c r="CF119" i="1"/>
  <c r="CB120" i="1"/>
  <c r="CC120" i="1"/>
  <c r="CD120" i="1"/>
  <c r="CE120" i="1"/>
  <c r="CF120" i="1"/>
  <c r="CB121" i="1"/>
  <c r="CC121" i="1"/>
  <c r="CD121" i="1"/>
  <c r="CE121" i="1"/>
  <c r="CF121" i="1"/>
  <c r="CB122" i="1"/>
  <c r="CC122" i="1"/>
  <c r="CD122" i="1"/>
  <c r="CE122" i="1"/>
  <c r="CF122" i="1"/>
  <c r="CB123" i="1"/>
  <c r="CC123" i="1"/>
  <c r="CD123" i="1"/>
  <c r="CE123" i="1"/>
  <c r="CF123" i="1"/>
  <c r="CB124" i="1"/>
  <c r="CC124" i="1"/>
  <c r="CD124" i="1"/>
  <c r="CE124" i="1"/>
  <c r="CF124" i="1"/>
  <c r="CB125" i="1"/>
  <c r="CC125" i="1"/>
  <c r="CD125" i="1"/>
  <c r="CE125" i="1"/>
  <c r="CF125" i="1"/>
  <c r="CB126" i="1"/>
  <c r="CC126" i="1"/>
  <c r="CD126" i="1"/>
  <c r="CE126" i="1"/>
  <c r="CF126" i="1"/>
  <c r="CB127" i="1"/>
  <c r="CC127" i="1"/>
  <c r="CD127" i="1"/>
  <c r="CE127" i="1"/>
  <c r="CF127" i="1"/>
  <c r="CB128" i="1"/>
  <c r="CC128" i="1"/>
  <c r="CD128" i="1"/>
  <c r="CE128" i="1"/>
  <c r="CF128" i="1"/>
  <c r="CB129" i="1"/>
  <c r="CC129" i="1"/>
  <c r="CD129" i="1"/>
  <c r="CE129" i="1"/>
  <c r="CF129" i="1"/>
  <c r="CB130" i="1"/>
  <c r="CC130" i="1"/>
  <c r="CD130" i="1"/>
  <c r="CE130" i="1"/>
  <c r="CF130" i="1"/>
  <c r="CB131" i="1"/>
  <c r="CC131" i="1"/>
  <c r="CD131" i="1"/>
  <c r="CE131" i="1"/>
  <c r="CF131" i="1"/>
  <c r="CB132" i="1"/>
  <c r="CC132" i="1"/>
  <c r="CD132" i="1"/>
  <c r="CE132" i="1"/>
  <c r="CF132" i="1"/>
  <c r="CB133" i="1"/>
  <c r="CC133" i="1"/>
  <c r="CD133" i="1"/>
  <c r="CE133" i="1"/>
  <c r="CF133" i="1"/>
  <c r="CB134" i="1"/>
  <c r="CC134" i="1"/>
  <c r="CD134" i="1"/>
  <c r="CE134" i="1"/>
  <c r="CF134" i="1"/>
  <c r="CB135" i="1"/>
  <c r="CC135" i="1"/>
  <c r="CD135" i="1"/>
  <c r="CE135" i="1"/>
  <c r="CF135" i="1"/>
  <c r="CB136" i="1"/>
  <c r="CC136" i="1"/>
  <c r="CD136" i="1"/>
  <c r="CE136" i="1"/>
  <c r="CF136" i="1"/>
  <c r="CB137" i="1"/>
  <c r="CC137" i="1"/>
  <c r="CD137" i="1"/>
  <c r="CE137" i="1"/>
  <c r="CF137" i="1"/>
  <c r="CB138" i="1"/>
  <c r="CC138" i="1"/>
  <c r="CD138" i="1"/>
  <c r="CE138" i="1"/>
  <c r="CF138" i="1"/>
  <c r="CB139" i="1"/>
  <c r="CC139" i="1"/>
  <c r="CD139" i="1"/>
  <c r="CE139" i="1"/>
  <c r="CF139" i="1"/>
  <c r="CB140" i="1"/>
  <c r="CC140" i="1"/>
  <c r="CD140" i="1"/>
  <c r="CE140" i="1"/>
  <c r="CF140" i="1"/>
  <c r="CB141" i="1"/>
  <c r="CC141" i="1"/>
  <c r="CD141" i="1"/>
  <c r="CE141" i="1"/>
  <c r="CF141" i="1"/>
  <c r="CB142" i="1"/>
  <c r="CC142" i="1"/>
  <c r="CD142" i="1"/>
  <c r="CE142" i="1"/>
  <c r="CF142" i="1"/>
  <c r="CB143" i="1"/>
  <c r="CC143" i="1"/>
  <c r="CD143" i="1"/>
  <c r="CE143" i="1"/>
  <c r="CF143" i="1"/>
  <c r="CB144" i="1"/>
  <c r="CC144" i="1"/>
  <c r="CD144" i="1"/>
  <c r="CE144" i="1"/>
  <c r="CF144" i="1"/>
  <c r="CB145" i="1"/>
  <c r="CC145" i="1"/>
  <c r="CD145" i="1"/>
  <c r="CE145" i="1"/>
  <c r="CF145" i="1"/>
  <c r="CB146" i="1"/>
  <c r="CC146" i="1"/>
  <c r="CD146" i="1"/>
  <c r="CE146" i="1"/>
  <c r="CF146" i="1"/>
  <c r="CB147" i="1"/>
  <c r="CC147" i="1"/>
  <c r="CD147" i="1"/>
  <c r="CE147" i="1"/>
  <c r="CF147" i="1"/>
  <c r="CB148" i="1"/>
  <c r="CC148" i="1"/>
  <c r="CD148" i="1"/>
  <c r="CE148" i="1"/>
  <c r="CF148" i="1"/>
  <c r="CB149" i="1"/>
  <c r="CC149" i="1"/>
  <c r="CD149" i="1"/>
  <c r="CE149" i="1"/>
  <c r="CF149" i="1"/>
  <c r="CB150" i="1"/>
  <c r="CC150" i="1"/>
  <c r="CD150" i="1"/>
  <c r="CE150" i="1"/>
  <c r="CF150" i="1"/>
  <c r="CB151" i="1"/>
  <c r="CC151" i="1"/>
  <c r="CD151" i="1"/>
  <c r="CE151" i="1"/>
  <c r="CF151" i="1"/>
  <c r="CB152" i="1"/>
  <c r="CC152" i="1"/>
  <c r="CD152" i="1"/>
  <c r="CE152" i="1"/>
  <c r="CF152" i="1"/>
  <c r="CB153" i="1"/>
  <c r="CC153" i="1"/>
  <c r="CD153" i="1"/>
  <c r="CE153" i="1"/>
  <c r="CF153" i="1"/>
  <c r="CB154" i="1"/>
  <c r="CC154" i="1"/>
  <c r="CD154" i="1"/>
  <c r="CE154" i="1"/>
  <c r="CF154" i="1"/>
  <c r="CB155" i="1"/>
  <c r="CC155" i="1"/>
  <c r="CD155" i="1"/>
  <c r="CE155" i="1"/>
  <c r="CF155" i="1"/>
  <c r="CB156" i="1"/>
  <c r="CC156" i="1"/>
  <c r="CD156" i="1"/>
  <c r="CE156" i="1"/>
  <c r="CF156" i="1"/>
  <c r="CB157" i="1"/>
  <c r="CC157" i="1"/>
  <c r="CD157" i="1"/>
  <c r="CE157" i="1"/>
  <c r="CF157" i="1"/>
  <c r="CB158" i="1"/>
  <c r="CC158" i="1"/>
  <c r="CD158" i="1"/>
  <c r="CE158" i="1"/>
  <c r="CF158" i="1"/>
  <c r="CB159" i="1"/>
  <c r="CC159" i="1"/>
  <c r="CD159" i="1"/>
  <c r="CE159" i="1"/>
  <c r="CF159" i="1"/>
  <c r="CB160" i="1"/>
  <c r="CC160" i="1"/>
  <c r="CD160" i="1"/>
  <c r="CE160" i="1"/>
  <c r="CF160" i="1"/>
  <c r="CB161" i="1"/>
  <c r="CC161" i="1"/>
  <c r="CD161" i="1"/>
  <c r="CE161" i="1"/>
  <c r="CF161" i="1"/>
  <c r="CB162" i="1"/>
  <c r="CC162" i="1"/>
  <c r="CD162" i="1"/>
  <c r="CE162" i="1"/>
  <c r="CF162" i="1"/>
  <c r="CB163" i="1"/>
  <c r="CC163" i="1"/>
  <c r="CD163" i="1"/>
  <c r="CE163" i="1"/>
  <c r="CF163" i="1"/>
  <c r="CB164" i="1"/>
  <c r="CC164" i="1"/>
  <c r="CD164" i="1"/>
  <c r="CE164" i="1"/>
  <c r="CF164" i="1"/>
  <c r="CB165" i="1"/>
  <c r="CC165" i="1"/>
  <c r="CD165" i="1"/>
  <c r="CE165" i="1"/>
  <c r="CF165" i="1"/>
  <c r="CB166" i="1"/>
  <c r="CC166" i="1"/>
  <c r="CD166" i="1"/>
  <c r="CE166" i="1"/>
  <c r="CF166" i="1"/>
  <c r="CB167" i="1"/>
  <c r="CC167" i="1"/>
  <c r="CD167" i="1"/>
  <c r="CE167" i="1"/>
  <c r="CF167" i="1"/>
  <c r="CB168" i="1"/>
  <c r="CC168" i="1"/>
  <c r="CD168" i="1"/>
  <c r="CE168" i="1"/>
  <c r="CF168" i="1"/>
  <c r="CB169" i="1"/>
  <c r="CC169" i="1"/>
  <c r="CD169" i="1"/>
  <c r="CE169" i="1"/>
  <c r="CF169" i="1"/>
  <c r="CB170" i="1"/>
  <c r="CC170" i="1"/>
  <c r="CD170" i="1"/>
  <c r="CE170" i="1"/>
  <c r="CF170" i="1"/>
  <c r="CB171" i="1"/>
  <c r="CC171" i="1"/>
  <c r="CD171" i="1"/>
  <c r="CE171" i="1"/>
  <c r="CF171" i="1"/>
  <c r="CB172" i="1"/>
  <c r="CC172" i="1"/>
  <c r="CD172" i="1"/>
  <c r="CE172" i="1"/>
  <c r="CF172" i="1"/>
  <c r="CB173" i="1"/>
  <c r="CC173" i="1"/>
  <c r="CD173" i="1"/>
  <c r="CE173" i="1"/>
  <c r="CF173" i="1"/>
  <c r="CB174" i="1"/>
  <c r="CC174" i="1"/>
  <c r="CD174" i="1"/>
  <c r="CE174" i="1"/>
  <c r="CF174" i="1"/>
  <c r="CB175" i="1"/>
  <c r="CC175" i="1"/>
  <c r="CD175" i="1"/>
  <c r="CE175" i="1"/>
  <c r="CF175" i="1"/>
  <c r="CB176" i="1"/>
  <c r="CC176" i="1"/>
  <c r="CD176" i="1"/>
  <c r="CE176" i="1"/>
  <c r="CF176" i="1"/>
  <c r="CB177" i="1"/>
  <c r="CC177" i="1"/>
  <c r="CD177" i="1"/>
  <c r="CE177" i="1"/>
  <c r="CF177" i="1"/>
  <c r="CB178" i="1"/>
  <c r="CC178" i="1"/>
  <c r="CD178" i="1"/>
  <c r="CE178" i="1"/>
  <c r="CF178" i="1"/>
  <c r="CB179" i="1"/>
  <c r="CC179" i="1"/>
  <c r="CD179" i="1"/>
  <c r="CE179" i="1"/>
  <c r="CF179" i="1"/>
  <c r="CB180" i="1"/>
  <c r="CC180" i="1"/>
  <c r="CD180" i="1"/>
  <c r="CE180" i="1"/>
  <c r="CF180" i="1"/>
  <c r="CB181" i="1"/>
  <c r="CC181" i="1"/>
  <c r="CD181" i="1"/>
  <c r="CE181" i="1"/>
  <c r="CF181" i="1"/>
  <c r="CB182" i="1"/>
  <c r="CC182" i="1"/>
  <c r="CD182" i="1"/>
  <c r="CE182" i="1"/>
  <c r="CF182" i="1"/>
  <c r="CB183" i="1"/>
  <c r="CC183" i="1"/>
  <c r="CD183" i="1"/>
  <c r="CE183" i="1"/>
  <c r="CF183" i="1"/>
  <c r="CB184" i="1"/>
  <c r="CC184" i="1"/>
  <c r="CD184" i="1"/>
  <c r="CE184" i="1"/>
  <c r="CF184" i="1"/>
  <c r="CB185" i="1"/>
  <c r="CC185" i="1"/>
  <c r="CD185" i="1"/>
  <c r="CE185" i="1"/>
  <c r="CF185" i="1"/>
  <c r="CB186" i="1"/>
  <c r="CC186" i="1"/>
  <c r="CD186" i="1"/>
  <c r="CE186" i="1"/>
  <c r="CF186" i="1"/>
  <c r="CB187" i="1"/>
  <c r="CC187" i="1"/>
  <c r="CD187" i="1"/>
  <c r="CE187" i="1"/>
  <c r="CF187" i="1"/>
  <c r="CB188" i="1"/>
  <c r="CC188" i="1"/>
  <c r="CD188" i="1"/>
  <c r="CE188" i="1"/>
  <c r="CF188" i="1"/>
  <c r="CB189" i="1"/>
  <c r="CC189" i="1"/>
  <c r="CD189" i="1"/>
  <c r="CE189" i="1"/>
  <c r="CF189" i="1"/>
  <c r="CB190" i="1"/>
  <c r="CC190" i="1"/>
  <c r="CD190" i="1"/>
  <c r="CE190" i="1"/>
  <c r="CF190" i="1"/>
  <c r="CB191" i="1"/>
  <c r="CC191" i="1"/>
  <c r="CD191" i="1"/>
  <c r="CE191" i="1"/>
  <c r="CF191" i="1"/>
  <c r="CB192" i="1"/>
  <c r="CC192" i="1"/>
  <c r="CD192" i="1"/>
  <c r="CE192" i="1"/>
  <c r="CF192" i="1"/>
  <c r="CB193" i="1"/>
  <c r="CC193" i="1"/>
  <c r="CD193" i="1"/>
  <c r="CE193" i="1"/>
  <c r="CF193" i="1"/>
  <c r="CB194" i="1"/>
  <c r="CC194" i="1"/>
  <c r="CD194" i="1"/>
  <c r="CE194" i="1"/>
  <c r="CF194" i="1"/>
  <c r="CB195" i="1"/>
  <c r="CC195" i="1"/>
  <c r="CD195" i="1"/>
  <c r="CE195" i="1"/>
  <c r="CF195" i="1"/>
  <c r="CB196" i="1"/>
  <c r="CC196" i="1"/>
  <c r="CD196" i="1"/>
  <c r="CE196" i="1"/>
  <c r="CF196" i="1"/>
  <c r="CB197" i="1"/>
  <c r="CC197" i="1"/>
  <c r="CD197" i="1"/>
  <c r="CE197" i="1"/>
  <c r="CF197" i="1"/>
  <c r="CB198" i="1"/>
  <c r="CC198" i="1"/>
  <c r="CD198" i="1"/>
  <c r="CE198" i="1"/>
  <c r="CF198" i="1"/>
  <c r="CB199" i="1"/>
  <c r="CC199" i="1"/>
  <c r="CD199" i="1"/>
  <c r="CE199" i="1"/>
  <c r="CF199" i="1"/>
  <c r="CB200" i="1"/>
  <c r="CC200" i="1"/>
  <c r="CD200" i="1"/>
  <c r="CE200" i="1"/>
  <c r="CF200" i="1"/>
  <c r="CB201" i="1"/>
  <c r="CC201" i="1"/>
  <c r="CD201" i="1"/>
  <c r="CE201" i="1"/>
  <c r="CF201" i="1"/>
  <c r="CB202" i="1"/>
  <c r="CC202" i="1"/>
  <c r="CD202" i="1"/>
  <c r="CE202" i="1"/>
  <c r="CF202" i="1"/>
  <c r="CB3" i="1"/>
  <c r="CC3" i="1"/>
  <c r="CD3" i="1"/>
  <c r="CE3" i="1"/>
  <c r="CF3" i="1"/>
  <c r="BV4" i="1"/>
  <c r="BW4" i="1"/>
  <c r="BX4" i="1"/>
  <c r="BY4" i="1"/>
  <c r="BZ4" i="1"/>
  <c r="BV5" i="1"/>
  <c r="BW5" i="1"/>
  <c r="BX5" i="1"/>
  <c r="BY5" i="1"/>
  <c r="BZ5" i="1"/>
  <c r="BV6" i="1"/>
  <c r="BW6" i="1"/>
  <c r="BX6" i="1"/>
  <c r="BY6" i="1"/>
  <c r="BZ6" i="1"/>
  <c r="BV7" i="1"/>
  <c r="BW7" i="1"/>
  <c r="BX7" i="1"/>
  <c r="BY7" i="1"/>
  <c r="BZ7" i="1"/>
  <c r="BV8" i="1"/>
  <c r="BW8" i="1"/>
  <c r="BX8" i="1"/>
  <c r="BY8" i="1"/>
  <c r="BZ8" i="1"/>
  <c r="BV9" i="1"/>
  <c r="BW9" i="1"/>
  <c r="BX9" i="1"/>
  <c r="BY9" i="1"/>
  <c r="BZ9" i="1"/>
  <c r="BV10" i="1"/>
  <c r="BW10" i="1"/>
  <c r="BX10" i="1"/>
  <c r="BY10" i="1"/>
  <c r="BZ10" i="1"/>
  <c r="BV11" i="1"/>
  <c r="BW11" i="1"/>
  <c r="BX11" i="1"/>
  <c r="BY11" i="1"/>
  <c r="BZ11" i="1"/>
  <c r="BV12" i="1"/>
  <c r="BW12" i="1"/>
  <c r="BX12" i="1"/>
  <c r="BY12" i="1"/>
  <c r="BZ12" i="1"/>
  <c r="BV13" i="1"/>
  <c r="BW13" i="1"/>
  <c r="BX13" i="1"/>
  <c r="BY13" i="1"/>
  <c r="BZ13" i="1"/>
  <c r="BV14" i="1"/>
  <c r="BW14" i="1"/>
  <c r="BX14" i="1"/>
  <c r="BY14" i="1"/>
  <c r="BZ14" i="1"/>
  <c r="BV15" i="1"/>
  <c r="BW15" i="1"/>
  <c r="BX15" i="1"/>
  <c r="BY15" i="1"/>
  <c r="BZ15" i="1"/>
  <c r="BV16" i="1"/>
  <c r="BW16" i="1"/>
  <c r="BX16" i="1"/>
  <c r="BY16" i="1"/>
  <c r="BZ16" i="1"/>
  <c r="BV17" i="1"/>
  <c r="BW17" i="1"/>
  <c r="BX17" i="1"/>
  <c r="BY17" i="1"/>
  <c r="BZ17" i="1"/>
  <c r="BV18" i="1"/>
  <c r="BW18" i="1"/>
  <c r="BX18" i="1"/>
  <c r="BY18" i="1"/>
  <c r="BZ18" i="1"/>
  <c r="BV19" i="1"/>
  <c r="BW19" i="1"/>
  <c r="BX19" i="1"/>
  <c r="BY19" i="1"/>
  <c r="BZ19" i="1"/>
  <c r="BV20" i="1"/>
  <c r="BW20" i="1"/>
  <c r="BX20" i="1"/>
  <c r="BY20" i="1"/>
  <c r="BZ20" i="1"/>
  <c r="BV21" i="1"/>
  <c r="BW21" i="1"/>
  <c r="BX21" i="1"/>
  <c r="BY21" i="1"/>
  <c r="BZ21" i="1"/>
  <c r="BV22" i="1"/>
  <c r="BW22" i="1"/>
  <c r="BX22" i="1"/>
  <c r="BY22" i="1"/>
  <c r="BZ22" i="1"/>
  <c r="BV23" i="1"/>
  <c r="BW23" i="1"/>
  <c r="BX23" i="1"/>
  <c r="BY23" i="1"/>
  <c r="BZ23" i="1"/>
  <c r="BV24" i="1"/>
  <c r="BW24" i="1"/>
  <c r="BX24" i="1"/>
  <c r="BY24" i="1"/>
  <c r="BZ24" i="1"/>
  <c r="BV25" i="1"/>
  <c r="BW25" i="1"/>
  <c r="BX25" i="1"/>
  <c r="BY25" i="1"/>
  <c r="BZ25" i="1"/>
  <c r="BV26" i="1"/>
  <c r="BW26" i="1"/>
  <c r="BX26" i="1"/>
  <c r="BY26" i="1"/>
  <c r="BZ26" i="1"/>
  <c r="BV27" i="1"/>
  <c r="BW27" i="1"/>
  <c r="BX27" i="1"/>
  <c r="BY27" i="1"/>
  <c r="BZ27" i="1"/>
  <c r="BV28" i="1"/>
  <c r="BW28" i="1"/>
  <c r="BX28" i="1"/>
  <c r="BY28" i="1"/>
  <c r="BZ28" i="1"/>
  <c r="BV29" i="1"/>
  <c r="BW29" i="1"/>
  <c r="BX29" i="1"/>
  <c r="BY29" i="1"/>
  <c r="BZ29" i="1"/>
  <c r="BV30" i="1"/>
  <c r="BW30" i="1"/>
  <c r="BX30" i="1"/>
  <c r="BY30" i="1"/>
  <c r="BZ30" i="1"/>
  <c r="BV31" i="1"/>
  <c r="BW31" i="1"/>
  <c r="BX31" i="1"/>
  <c r="BY31" i="1"/>
  <c r="BZ31" i="1"/>
  <c r="BV32" i="1"/>
  <c r="BW32" i="1"/>
  <c r="BX32" i="1"/>
  <c r="BY32" i="1"/>
  <c r="BZ32" i="1"/>
  <c r="BV33" i="1"/>
  <c r="BW33" i="1"/>
  <c r="BX33" i="1"/>
  <c r="BY33" i="1"/>
  <c r="BZ33" i="1"/>
  <c r="BV34" i="1"/>
  <c r="BW34" i="1"/>
  <c r="BX34" i="1"/>
  <c r="BY34" i="1"/>
  <c r="BZ34" i="1"/>
  <c r="BV35" i="1"/>
  <c r="BW35" i="1"/>
  <c r="BX35" i="1"/>
  <c r="BY35" i="1"/>
  <c r="BZ35" i="1"/>
  <c r="BV36" i="1"/>
  <c r="BW36" i="1"/>
  <c r="BX36" i="1"/>
  <c r="BY36" i="1"/>
  <c r="BZ36" i="1"/>
  <c r="BV37" i="1"/>
  <c r="BW37" i="1"/>
  <c r="BX37" i="1"/>
  <c r="BY37" i="1"/>
  <c r="BZ37" i="1"/>
  <c r="BV38" i="1"/>
  <c r="BW38" i="1"/>
  <c r="BX38" i="1"/>
  <c r="BY38" i="1"/>
  <c r="BZ38" i="1"/>
  <c r="BV39" i="1"/>
  <c r="BW39" i="1"/>
  <c r="BX39" i="1"/>
  <c r="BY39" i="1"/>
  <c r="BZ39" i="1"/>
  <c r="BV40" i="1"/>
  <c r="BW40" i="1"/>
  <c r="BX40" i="1"/>
  <c r="BY40" i="1"/>
  <c r="BZ40" i="1"/>
  <c r="BV41" i="1"/>
  <c r="BW41" i="1"/>
  <c r="BX41" i="1"/>
  <c r="BY41" i="1"/>
  <c r="BZ41" i="1"/>
  <c r="BV42" i="1"/>
  <c r="BW42" i="1"/>
  <c r="BX42" i="1"/>
  <c r="BY42" i="1"/>
  <c r="BZ42" i="1"/>
  <c r="BV43" i="1"/>
  <c r="BW43" i="1"/>
  <c r="BX43" i="1"/>
  <c r="BY43" i="1"/>
  <c r="BZ43" i="1"/>
  <c r="BV44" i="1"/>
  <c r="BW44" i="1"/>
  <c r="BX44" i="1"/>
  <c r="BY44" i="1"/>
  <c r="BZ44" i="1"/>
  <c r="BV45" i="1"/>
  <c r="BW45" i="1"/>
  <c r="BX45" i="1"/>
  <c r="BY45" i="1"/>
  <c r="BZ45" i="1"/>
  <c r="BV46" i="1"/>
  <c r="BW46" i="1"/>
  <c r="BX46" i="1"/>
  <c r="BY46" i="1"/>
  <c r="BZ46" i="1"/>
  <c r="BV47" i="1"/>
  <c r="BW47" i="1"/>
  <c r="BX47" i="1"/>
  <c r="BY47" i="1"/>
  <c r="BZ47" i="1"/>
  <c r="BV48" i="1"/>
  <c r="BW48" i="1"/>
  <c r="BX48" i="1"/>
  <c r="BY48" i="1"/>
  <c r="BZ48" i="1"/>
  <c r="BV49" i="1"/>
  <c r="BW49" i="1"/>
  <c r="BX49" i="1"/>
  <c r="BY49" i="1"/>
  <c r="BZ49" i="1"/>
  <c r="BV50" i="1"/>
  <c r="BW50" i="1"/>
  <c r="BX50" i="1"/>
  <c r="BY50" i="1"/>
  <c r="BZ50" i="1"/>
  <c r="BV51" i="1"/>
  <c r="BW51" i="1"/>
  <c r="BX51" i="1"/>
  <c r="BY51" i="1"/>
  <c r="BZ51" i="1"/>
  <c r="BV52" i="1"/>
  <c r="BW52" i="1"/>
  <c r="BX52" i="1"/>
  <c r="BY52" i="1"/>
  <c r="BZ52" i="1"/>
  <c r="BV53" i="1"/>
  <c r="BW53" i="1"/>
  <c r="BX53" i="1"/>
  <c r="BY53" i="1"/>
  <c r="BZ53" i="1"/>
  <c r="BV54" i="1"/>
  <c r="BW54" i="1"/>
  <c r="BX54" i="1"/>
  <c r="BY54" i="1"/>
  <c r="BZ54" i="1"/>
  <c r="BV55" i="1"/>
  <c r="BW55" i="1"/>
  <c r="BX55" i="1"/>
  <c r="BY55" i="1"/>
  <c r="BZ55" i="1"/>
  <c r="BV56" i="1"/>
  <c r="BW56" i="1"/>
  <c r="BX56" i="1"/>
  <c r="BY56" i="1"/>
  <c r="BZ56" i="1"/>
  <c r="BV57" i="1"/>
  <c r="BW57" i="1"/>
  <c r="BX57" i="1"/>
  <c r="BY57" i="1"/>
  <c r="BZ57" i="1"/>
  <c r="BV58" i="1"/>
  <c r="BW58" i="1"/>
  <c r="BX58" i="1"/>
  <c r="BY58" i="1"/>
  <c r="BZ58" i="1"/>
  <c r="BV59" i="1"/>
  <c r="BW59" i="1"/>
  <c r="BX59" i="1"/>
  <c r="BY59" i="1"/>
  <c r="BZ59" i="1"/>
  <c r="BV60" i="1"/>
  <c r="BW60" i="1"/>
  <c r="BX60" i="1"/>
  <c r="BY60" i="1"/>
  <c r="BZ60" i="1"/>
  <c r="BV61" i="1"/>
  <c r="BW61" i="1"/>
  <c r="BX61" i="1"/>
  <c r="BY61" i="1"/>
  <c r="BZ61" i="1"/>
  <c r="BV62" i="1"/>
  <c r="BW62" i="1"/>
  <c r="BX62" i="1"/>
  <c r="BY62" i="1"/>
  <c r="BZ62" i="1"/>
  <c r="BV63" i="1"/>
  <c r="BW63" i="1"/>
  <c r="BX63" i="1"/>
  <c r="BY63" i="1"/>
  <c r="BZ63" i="1"/>
  <c r="BV64" i="1"/>
  <c r="BW64" i="1"/>
  <c r="BX64" i="1"/>
  <c r="BY64" i="1"/>
  <c r="BZ64" i="1"/>
  <c r="BV65" i="1"/>
  <c r="BW65" i="1"/>
  <c r="BX65" i="1"/>
  <c r="BY65" i="1"/>
  <c r="BZ65" i="1"/>
  <c r="BV66" i="1"/>
  <c r="BW66" i="1"/>
  <c r="BX66" i="1"/>
  <c r="BY66" i="1"/>
  <c r="BZ66" i="1"/>
  <c r="BV67" i="1"/>
  <c r="BW67" i="1"/>
  <c r="BX67" i="1"/>
  <c r="BY67" i="1"/>
  <c r="BZ67" i="1"/>
  <c r="BV68" i="1"/>
  <c r="BW68" i="1"/>
  <c r="BX68" i="1"/>
  <c r="BY68" i="1"/>
  <c r="BZ68" i="1"/>
  <c r="BV69" i="1"/>
  <c r="BW69" i="1"/>
  <c r="BX69" i="1"/>
  <c r="BY69" i="1"/>
  <c r="BZ69" i="1"/>
  <c r="BV70" i="1"/>
  <c r="BW70" i="1"/>
  <c r="BX70" i="1"/>
  <c r="BY70" i="1"/>
  <c r="BZ70" i="1"/>
  <c r="BV71" i="1"/>
  <c r="BW71" i="1"/>
  <c r="BX71" i="1"/>
  <c r="BY71" i="1"/>
  <c r="BZ71" i="1"/>
  <c r="BV72" i="1"/>
  <c r="BW72" i="1"/>
  <c r="BX72" i="1"/>
  <c r="BY72" i="1"/>
  <c r="BZ72" i="1"/>
  <c r="BV73" i="1"/>
  <c r="BW73" i="1"/>
  <c r="BX73" i="1"/>
  <c r="BY73" i="1"/>
  <c r="BZ73" i="1"/>
  <c r="BV74" i="1"/>
  <c r="BW74" i="1"/>
  <c r="BX74" i="1"/>
  <c r="BY74" i="1"/>
  <c r="BZ74" i="1"/>
  <c r="BV75" i="1"/>
  <c r="BW75" i="1"/>
  <c r="BX75" i="1"/>
  <c r="BY75" i="1"/>
  <c r="BZ75" i="1"/>
  <c r="BV76" i="1"/>
  <c r="BW76" i="1"/>
  <c r="BX76" i="1"/>
  <c r="BY76" i="1"/>
  <c r="BZ76" i="1"/>
  <c r="BV77" i="1"/>
  <c r="BW77" i="1"/>
  <c r="BX77" i="1"/>
  <c r="BY77" i="1"/>
  <c r="BZ77" i="1"/>
  <c r="BV78" i="1"/>
  <c r="BW78" i="1"/>
  <c r="BX78" i="1"/>
  <c r="BY78" i="1"/>
  <c r="BZ78" i="1"/>
  <c r="BV79" i="1"/>
  <c r="BW79" i="1"/>
  <c r="BX79" i="1"/>
  <c r="BY79" i="1"/>
  <c r="BZ79" i="1"/>
  <c r="BV80" i="1"/>
  <c r="BW80" i="1"/>
  <c r="BX80" i="1"/>
  <c r="BY80" i="1"/>
  <c r="BZ80" i="1"/>
  <c r="BV81" i="1"/>
  <c r="BW81" i="1"/>
  <c r="BX81" i="1"/>
  <c r="BY81" i="1"/>
  <c r="BZ81" i="1"/>
  <c r="BV82" i="1"/>
  <c r="BW82" i="1"/>
  <c r="BX82" i="1"/>
  <c r="BY82" i="1"/>
  <c r="BZ82" i="1"/>
  <c r="BV83" i="1"/>
  <c r="BW83" i="1"/>
  <c r="BX83" i="1"/>
  <c r="BY83" i="1"/>
  <c r="BZ83" i="1"/>
  <c r="BV84" i="1"/>
  <c r="BW84" i="1"/>
  <c r="BX84" i="1"/>
  <c r="BY84" i="1"/>
  <c r="BZ84" i="1"/>
  <c r="BV85" i="1"/>
  <c r="BW85" i="1"/>
  <c r="BX85" i="1"/>
  <c r="BY85" i="1"/>
  <c r="BZ85" i="1"/>
  <c r="BV86" i="1"/>
  <c r="BW86" i="1"/>
  <c r="BX86" i="1"/>
  <c r="BY86" i="1"/>
  <c r="BZ86" i="1"/>
  <c r="BV87" i="1"/>
  <c r="BW87" i="1"/>
  <c r="BX87" i="1"/>
  <c r="BY87" i="1"/>
  <c r="BZ87" i="1"/>
  <c r="BV88" i="1"/>
  <c r="BW88" i="1"/>
  <c r="BX88" i="1"/>
  <c r="BY88" i="1"/>
  <c r="BZ88" i="1"/>
  <c r="BV89" i="1"/>
  <c r="BW89" i="1"/>
  <c r="BX89" i="1"/>
  <c r="BY89" i="1"/>
  <c r="BZ89" i="1"/>
  <c r="BV90" i="1"/>
  <c r="BW90" i="1"/>
  <c r="BX90" i="1"/>
  <c r="BY90" i="1"/>
  <c r="BZ90" i="1"/>
  <c r="BV91" i="1"/>
  <c r="BW91" i="1"/>
  <c r="BX91" i="1"/>
  <c r="BY91" i="1"/>
  <c r="BZ91" i="1"/>
  <c r="BV92" i="1"/>
  <c r="BW92" i="1"/>
  <c r="BX92" i="1"/>
  <c r="BY92" i="1"/>
  <c r="BZ92" i="1"/>
  <c r="BV93" i="1"/>
  <c r="BW93" i="1"/>
  <c r="BX93" i="1"/>
  <c r="BY93" i="1"/>
  <c r="BZ93" i="1"/>
  <c r="BV94" i="1"/>
  <c r="BW94" i="1"/>
  <c r="BX94" i="1"/>
  <c r="BY94" i="1"/>
  <c r="BZ94" i="1"/>
  <c r="BV95" i="1"/>
  <c r="BW95" i="1"/>
  <c r="BX95" i="1"/>
  <c r="BY95" i="1"/>
  <c r="BZ95" i="1"/>
  <c r="BV96" i="1"/>
  <c r="BW96" i="1"/>
  <c r="BX96" i="1"/>
  <c r="BY96" i="1"/>
  <c r="BZ96" i="1"/>
  <c r="BV97" i="1"/>
  <c r="BW97" i="1"/>
  <c r="BX97" i="1"/>
  <c r="BY97" i="1"/>
  <c r="BZ97" i="1"/>
  <c r="BV98" i="1"/>
  <c r="BW98" i="1"/>
  <c r="BX98" i="1"/>
  <c r="BY98" i="1"/>
  <c r="BZ98" i="1"/>
  <c r="BV99" i="1"/>
  <c r="BW99" i="1"/>
  <c r="BX99" i="1"/>
  <c r="BY99" i="1"/>
  <c r="BZ99" i="1"/>
  <c r="BV100" i="1"/>
  <c r="BW100" i="1"/>
  <c r="BX100" i="1"/>
  <c r="BY100" i="1"/>
  <c r="BZ100" i="1"/>
  <c r="BV101" i="1"/>
  <c r="BW101" i="1"/>
  <c r="BX101" i="1"/>
  <c r="BY101" i="1"/>
  <c r="BZ101" i="1"/>
  <c r="BV102" i="1"/>
  <c r="BW102" i="1"/>
  <c r="BX102" i="1"/>
  <c r="BY102" i="1"/>
  <c r="BZ102" i="1"/>
  <c r="BV103" i="1"/>
  <c r="BW103" i="1"/>
  <c r="BX103" i="1"/>
  <c r="BY103" i="1"/>
  <c r="BZ103" i="1"/>
  <c r="BV104" i="1"/>
  <c r="BW104" i="1"/>
  <c r="BX104" i="1"/>
  <c r="BY104" i="1"/>
  <c r="BZ104" i="1"/>
  <c r="BV105" i="1"/>
  <c r="BW105" i="1"/>
  <c r="BX105" i="1"/>
  <c r="BY105" i="1"/>
  <c r="BZ105" i="1"/>
  <c r="BV106" i="1"/>
  <c r="BW106" i="1"/>
  <c r="BX106" i="1"/>
  <c r="BY106" i="1"/>
  <c r="BZ106" i="1"/>
  <c r="BV107" i="1"/>
  <c r="BW107" i="1"/>
  <c r="BX107" i="1"/>
  <c r="BY107" i="1"/>
  <c r="BZ107" i="1"/>
  <c r="BV108" i="1"/>
  <c r="BW108" i="1"/>
  <c r="BX108" i="1"/>
  <c r="BY108" i="1"/>
  <c r="BZ108" i="1"/>
  <c r="BV109" i="1"/>
  <c r="BW109" i="1"/>
  <c r="BX109" i="1"/>
  <c r="BY109" i="1"/>
  <c r="BZ109" i="1"/>
  <c r="BV110" i="1"/>
  <c r="BW110" i="1"/>
  <c r="BX110" i="1"/>
  <c r="BY110" i="1"/>
  <c r="BZ110" i="1"/>
  <c r="BV111" i="1"/>
  <c r="BW111" i="1"/>
  <c r="BX111" i="1"/>
  <c r="BY111" i="1"/>
  <c r="BZ111" i="1"/>
  <c r="BV112" i="1"/>
  <c r="BW112" i="1"/>
  <c r="BX112" i="1"/>
  <c r="BY112" i="1"/>
  <c r="BZ112" i="1"/>
  <c r="BV113" i="1"/>
  <c r="BW113" i="1"/>
  <c r="BX113" i="1"/>
  <c r="BY113" i="1"/>
  <c r="BZ113" i="1"/>
  <c r="BV114" i="1"/>
  <c r="BW114" i="1"/>
  <c r="BX114" i="1"/>
  <c r="BY114" i="1"/>
  <c r="BZ114" i="1"/>
  <c r="BV115" i="1"/>
  <c r="BW115" i="1"/>
  <c r="BX115" i="1"/>
  <c r="BY115" i="1"/>
  <c r="BZ115" i="1"/>
  <c r="BV116" i="1"/>
  <c r="BW116" i="1"/>
  <c r="BX116" i="1"/>
  <c r="BY116" i="1"/>
  <c r="BZ116" i="1"/>
  <c r="BV117" i="1"/>
  <c r="BW117" i="1"/>
  <c r="BX117" i="1"/>
  <c r="BY117" i="1"/>
  <c r="BZ117" i="1"/>
  <c r="BV118" i="1"/>
  <c r="BW118" i="1"/>
  <c r="BX118" i="1"/>
  <c r="BY118" i="1"/>
  <c r="BZ118" i="1"/>
  <c r="BV119" i="1"/>
  <c r="BW119" i="1"/>
  <c r="BX119" i="1"/>
  <c r="BY119" i="1"/>
  <c r="BZ119" i="1"/>
  <c r="BV120" i="1"/>
  <c r="BW120" i="1"/>
  <c r="BX120" i="1"/>
  <c r="BY120" i="1"/>
  <c r="BZ120" i="1"/>
  <c r="BV121" i="1"/>
  <c r="BW121" i="1"/>
  <c r="BX121" i="1"/>
  <c r="BY121" i="1"/>
  <c r="BZ121" i="1"/>
  <c r="BV122" i="1"/>
  <c r="BW122" i="1"/>
  <c r="BX122" i="1"/>
  <c r="BY122" i="1"/>
  <c r="BZ122" i="1"/>
  <c r="BV123" i="1"/>
  <c r="BW123" i="1"/>
  <c r="BX123" i="1"/>
  <c r="BY123" i="1"/>
  <c r="BZ123" i="1"/>
  <c r="BV124" i="1"/>
  <c r="BW124" i="1"/>
  <c r="BX124" i="1"/>
  <c r="BY124" i="1"/>
  <c r="BZ124" i="1"/>
  <c r="BV125" i="1"/>
  <c r="BW125" i="1"/>
  <c r="BX125" i="1"/>
  <c r="BY125" i="1"/>
  <c r="BZ125" i="1"/>
  <c r="BV126" i="1"/>
  <c r="BW126" i="1"/>
  <c r="BX126" i="1"/>
  <c r="BY126" i="1"/>
  <c r="BZ126" i="1"/>
  <c r="BV127" i="1"/>
  <c r="BW127" i="1"/>
  <c r="BX127" i="1"/>
  <c r="BY127" i="1"/>
  <c r="BZ127" i="1"/>
  <c r="BV128" i="1"/>
  <c r="BW128" i="1"/>
  <c r="BX128" i="1"/>
  <c r="BY128" i="1"/>
  <c r="BZ128" i="1"/>
  <c r="BV129" i="1"/>
  <c r="BW129" i="1"/>
  <c r="BX129" i="1"/>
  <c r="BY129" i="1"/>
  <c r="BZ129" i="1"/>
  <c r="BV130" i="1"/>
  <c r="BW130" i="1"/>
  <c r="BX130" i="1"/>
  <c r="BY130" i="1"/>
  <c r="BZ130" i="1"/>
  <c r="BV131" i="1"/>
  <c r="BW131" i="1"/>
  <c r="BX131" i="1"/>
  <c r="BY131" i="1"/>
  <c r="BZ131" i="1"/>
  <c r="BV132" i="1"/>
  <c r="BW132" i="1"/>
  <c r="BX132" i="1"/>
  <c r="BY132" i="1"/>
  <c r="BZ132" i="1"/>
  <c r="BV133" i="1"/>
  <c r="BW133" i="1"/>
  <c r="BX133" i="1"/>
  <c r="BY133" i="1"/>
  <c r="BZ133" i="1"/>
  <c r="BV134" i="1"/>
  <c r="BW134" i="1"/>
  <c r="BX134" i="1"/>
  <c r="BY134" i="1"/>
  <c r="BZ134" i="1"/>
  <c r="BV135" i="1"/>
  <c r="BW135" i="1"/>
  <c r="BX135" i="1"/>
  <c r="BY135" i="1"/>
  <c r="BZ135" i="1"/>
  <c r="BV136" i="1"/>
  <c r="BW136" i="1"/>
  <c r="BX136" i="1"/>
  <c r="BY136" i="1"/>
  <c r="BZ136" i="1"/>
  <c r="BV137" i="1"/>
  <c r="BW137" i="1"/>
  <c r="BX137" i="1"/>
  <c r="BY137" i="1"/>
  <c r="BZ137" i="1"/>
  <c r="BV138" i="1"/>
  <c r="BW138" i="1"/>
  <c r="BX138" i="1"/>
  <c r="BY138" i="1"/>
  <c r="BZ138" i="1"/>
  <c r="BV139" i="1"/>
  <c r="BW139" i="1"/>
  <c r="BX139" i="1"/>
  <c r="BY139" i="1"/>
  <c r="BZ139" i="1"/>
  <c r="BV140" i="1"/>
  <c r="BW140" i="1"/>
  <c r="BX140" i="1"/>
  <c r="BY140" i="1"/>
  <c r="BZ140" i="1"/>
  <c r="BV141" i="1"/>
  <c r="BW141" i="1"/>
  <c r="BX141" i="1"/>
  <c r="BY141" i="1"/>
  <c r="BZ141" i="1"/>
  <c r="BV142" i="1"/>
  <c r="BW142" i="1"/>
  <c r="BX142" i="1"/>
  <c r="BY142" i="1"/>
  <c r="BZ142" i="1"/>
  <c r="BV143" i="1"/>
  <c r="BW143" i="1"/>
  <c r="BX143" i="1"/>
  <c r="BY143" i="1"/>
  <c r="BZ143" i="1"/>
  <c r="BV144" i="1"/>
  <c r="BW144" i="1"/>
  <c r="BX144" i="1"/>
  <c r="BY144" i="1"/>
  <c r="BZ144" i="1"/>
  <c r="BV145" i="1"/>
  <c r="BW145" i="1"/>
  <c r="BX145" i="1"/>
  <c r="BY145" i="1"/>
  <c r="BZ145" i="1"/>
  <c r="BV146" i="1"/>
  <c r="BW146" i="1"/>
  <c r="BX146" i="1"/>
  <c r="BY146" i="1"/>
  <c r="BZ146" i="1"/>
  <c r="BV147" i="1"/>
  <c r="BW147" i="1"/>
  <c r="BX147" i="1"/>
  <c r="BY147" i="1"/>
  <c r="BZ147" i="1"/>
  <c r="BV148" i="1"/>
  <c r="BW148" i="1"/>
  <c r="BX148" i="1"/>
  <c r="BY148" i="1"/>
  <c r="BZ148" i="1"/>
  <c r="BV149" i="1"/>
  <c r="BW149" i="1"/>
  <c r="BX149" i="1"/>
  <c r="BY149" i="1"/>
  <c r="BZ149" i="1"/>
  <c r="BV150" i="1"/>
  <c r="BW150" i="1"/>
  <c r="BX150" i="1"/>
  <c r="BY150" i="1"/>
  <c r="BZ150" i="1"/>
  <c r="BV151" i="1"/>
  <c r="BW151" i="1"/>
  <c r="BX151" i="1"/>
  <c r="BY151" i="1"/>
  <c r="BZ151" i="1"/>
  <c r="BV152" i="1"/>
  <c r="BW152" i="1"/>
  <c r="BX152" i="1"/>
  <c r="BY152" i="1"/>
  <c r="BZ152" i="1"/>
  <c r="BV153" i="1"/>
  <c r="BW153" i="1"/>
  <c r="BX153" i="1"/>
  <c r="BY153" i="1"/>
  <c r="BZ153" i="1"/>
  <c r="BV154" i="1"/>
  <c r="BW154" i="1"/>
  <c r="BX154" i="1"/>
  <c r="BY154" i="1"/>
  <c r="BZ154" i="1"/>
  <c r="BV155" i="1"/>
  <c r="BW155" i="1"/>
  <c r="BX155" i="1"/>
  <c r="BY155" i="1"/>
  <c r="BZ155" i="1"/>
  <c r="BV156" i="1"/>
  <c r="BW156" i="1"/>
  <c r="BX156" i="1"/>
  <c r="BY156" i="1"/>
  <c r="BZ156" i="1"/>
  <c r="BV157" i="1"/>
  <c r="BW157" i="1"/>
  <c r="BX157" i="1"/>
  <c r="BY157" i="1"/>
  <c r="BZ157" i="1"/>
  <c r="BV158" i="1"/>
  <c r="BW158" i="1"/>
  <c r="BX158" i="1"/>
  <c r="BY158" i="1"/>
  <c r="BZ158" i="1"/>
  <c r="BV159" i="1"/>
  <c r="BW159" i="1"/>
  <c r="BX159" i="1"/>
  <c r="BY159" i="1"/>
  <c r="BZ159" i="1"/>
  <c r="BV160" i="1"/>
  <c r="BW160" i="1"/>
  <c r="BX160" i="1"/>
  <c r="BY160" i="1"/>
  <c r="BZ160" i="1"/>
  <c r="BV161" i="1"/>
  <c r="BW161" i="1"/>
  <c r="BX161" i="1"/>
  <c r="BY161" i="1"/>
  <c r="BZ161" i="1"/>
  <c r="BV162" i="1"/>
  <c r="BW162" i="1"/>
  <c r="BX162" i="1"/>
  <c r="BY162" i="1"/>
  <c r="BZ162" i="1"/>
  <c r="BV163" i="1"/>
  <c r="BW163" i="1"/>
  <c r="BX163" i="1"/>
  <c r="BY163" i="1"/>
  <c r="BZ163" i="1"/>
  <c r="BV164" i="1"/>
  <c r="BW164" i="1"/>
  <c r="BX164" i="1"/>
  <c r="BY164" i="1"/>
  <c r="BZ164" i="1"/>
  <c r="BV165" i="1"/>
  <c r="BW165" i="1"/>
  <c r="BX165" i="1"/>
  <c r="BY165" i="1"/>
  <c r="BZ165" i="1"/>
  <c r="BV166" i="1"/>
  <c r="BW166" i="1"/>
  <c r="BX166" i="1"/>
  <c r="BY166" i="1"/>
  <c r="BZ166" i="1"/>
  <c r="BV167" i="1"/>
  <c r="BW167" i="1"/>
  <c r="BX167" i="1"/>
  <c r="BY167" i="1"/>
  <c r="BZ167" i="1"/>
  <c r="BV168" i="1"/>
  <c r="BW168" i="1"/>
  <c r="BX168" i="1"/>
  <c r="BY168" i="1"/>
  <c r="BZ168" i="1"/>
  <c r="BV169" i="1"/>
  <c r="BW169" i="1"/>
  <c r="BX169" i="1"/>
  <c r="BY169" i="1"/>
  <c r="BZ169" i="1"/>
  <c r="BV170" i="1"/>
  <c r="BW170" i="1"/>
  <c r="BX170" i="1"/>
  <c r="BY170" i="1"/>
  <c r="BZ170" i="1"/>
  <c r="BV171" i="1"/>
  <c r="BW171" i="1"/>
  <c r="BX171" i="1"/>
  <c r="BY171" i="1"/>
  <c r="BZ171" i="1"/>
  <c r="BV172" i="1"/>
  <c r="BW172" i="1"/>
  <c r="BX172" i="1"/>
  <c r="BY172" i="1"/>
  <c r="BZ172" i="1"/>
  <c r="BV173" i="1"/>
  <c r="BW173" i="1"/>
  <c r="BX173" i="1"/>
  <c r="BY173" i="1"/>
  <c r="BZ173" i="1"/>
  <c r="BV174" i="1"/>
  <c r="BW174" i="1"/>
  <c r="BX174" i="1"/>
  <c r="BY174" i="1"/>
  <c r="BZ174" i="1"/>
  <c r="BV175" i="1"/>
  <c r="BW175" i="1"/>
  <c r="BX175" i="1"/>
  <c r="BY175" i="1"/>
  <c r="BZ175" i="1"/>
  <c r="BV176" i="1"/>
  <c r="BW176" i="1"/>
  <c r="BX176" i="1"/>
  <c r="BY176" i="1"/>
  <c r="BZ176" i="1"/>
  <c r="BV177" i="1"/>
  <c r="BW177" i="1"/>
  <c r="BX177" i="1"/>
  <c r="BY177" i="1"/>
  <c r="BZ177" i="1"/>
  <c r="BV178" i="1"/>
  <c r="BW178" i="1"/>
  <c r="BX178" i="1"/>
  <c r="BY178" i="1"/>
  <c r="BZ178" i="1"/>
  <c r="BV179" i="1"/>
  <c r="BW179" i="1"/>
  <c r="BX179" i="1"/>
  <c r="BY179" i="1"/>
  <c r="BZ179" i="1"/>
  <c r="BV180" i="1"/>
  <c r="BW180" i="1"/>
  <c r="BX180" i="1"/>
  <c r="BY180" i="1"/>
  <c r="BZ180" i="1"/>
  <c r="BV181" i="1"/>
  <c r="BW181" i="1"/>
  <c r="BX181" i="1"/>
  <c r="BY181" i="1"/>
  <c r="BZ181" i="1"/>
  <c r="BV182" i="1"/>
  <c r="BW182" i="1"/>
  <c r="BX182" i="1"/>
  <c r="BY182" i="1"/>
  <c r="BZ182" i="1"/>
  <c r="BV183" i="1"/>
  <c r="BW183" i="1"/>
  <c r="BX183" i="1"/>
  <c r="BY183" i="1"/>
  <c r="BZ183" i="1"/>
  <c r="BV184" i="1"/>
  <c r="BW184" i="1"/>
  <c r="BX184" i="1"/>
  <c r="BY184" i="1"/>
  <c r="BZ184" i="1"/>
  <c r="BV185" i="1"/>
  <c r="BW185" i="1"/>
  <c r="BX185" i="1"/>
  <c r="BY185" i="1"/>
  <c r="BZ185" i="1"/>
  <c r="BV186" i="1"/>
  <c r="BW186" i="1"/>
  <c r="BX186" i="1"/>
  <c r="BY186" i="1"/>
  <c r="BZ186" i="1"/>
  <c r="BV187" i="1"/>
  <c r="BW187" i="1"/>
  <c r="BX187" i="1"/>
  <c r="BY187" i="1"/>
  <c r="BZ187" i="1"/>
  <c r="BV188" i="1"/>
  <c r="BW188" i="1"/>
  <c r="BX188" i="1"/>
  <c r="BY188" i="1"/>
  <c r="BZ188" i="1"/>
  <c r="BV189" i="1"/>
  <c r="BW189" i="1"/>
  <c r="BX189" i="1"/>
  <c r="BY189" i="1"/>
  <c r="BZ189" i="1"/>
  <c r="BV190" i="1"/>
  <c r="BW190" i="1"/>
  <c r="BX190" i="1"/>
  <c r="BY190" i="1"/>
  <c r="BZ190" i="1"/>
  <c r="BV191" i="1"/>
  <c r="BW191" i="1"/>
  <c r="BX191" i="1"/>
  <c r="BY191" i="1"/>
  <c r="BZ191" i="1"/>
  <c r="BV192" i="1"/>
  <c r="BW192" i="1"/>
  <c r="BX192" i="1"/>
  <c r="BY192" i="1"/>
  <c r="BZ192" i="1"/>
  <c r="BV193" i="1"/>
  <c r="BW193" i="1"/>
  <c r="BX193" i="1"/>
  <c r="BY193" i="1"/>
  <c r="BZ193" i="1"/>
  <c r="BV194" i="1"/>
  <c r="BW194" i="1"/>
  <c r="BX194" i="1"/>
  <c r="BY194" i="1"/>
  <c r="BZ194" i="1"/>
  <c r="BV195" i="1"/>
  <c r="BW195" i="1"/>
  <c r="BX195" i="1"/>
  <c r="BY195" i="1"/>
  <c r="BZ195" i="1"/>
  <c r="BV196" i="1"/>
  <c r="BW196" i="1"/>
  <c r="BX196" i="1"/>
  <c r="BY196" i="1"/>
  <c r="BZ196" i="1"/>
  <c r="BV197" i="1"/>
  <c r="BW197" i="1"/>
  <c r="BX197" i="1"/>
  <c r="BY197" i="1"/>
  <c r="BZ197" i="1"/>
  <c r="BV198" i="1"/>
  <c r="BW198" i="1"/>
  <c r="BX198" i="1"/>
  <c r="BY198" i="1"/>
  <c r="BZ198" i="1"/>
  <c r="BV199" i="1"/>
  <c r="BW199" i="1"/>
  <c r="BX199" i="1"/>
  <c r="BY199" i="1"/>
  <c r="BZ199" i="1"/>
  <c r="BV200" i="1"/>
  <c r="BW200" i="1"/>
  <c r="BX200" i="1"/>
  <c r="BY200" i="1"/>
  <c r="BZ200" i="1"/>
  <c r="BV201" i="1"/>
  <c r="BW201" i="1"/>
  <c r="BX201" i="1"/>
  <c r="BY201" i="1"/>
  <c r="BZ201" i="1"/>
  <c r="BV202" i="1"/>
  <c r="BW202" i="1"/>
  <c r="BX202" i="1"/>
  <c r="BY202" i="1"/>
  <c r="BZ202" i="1"/>
  <c r="BV3" i="1"/>
  <c r="BW3" i="1"/>
  <c r="BX3" i="1"/>
  <c r="BY3" i="1"/>
  <c r="BZ3" i="1"/>
  <c r="BR3" i="1"/>
  <c r="BS3" i="1"/>
  <c r="BT3" i="1"/>
  <c r="BO3" i="1"/>
  <c r="BP3" i="1"/>
  <c r="BK3" i="1"/>
  <c r="BL3" i="1"/>
  <c r="BM3" i="1"/>
  <c r="BG3" i="1"/>
  <c r="BH3" i="1"/>
  <c r="BI3" i="1"/>
  <c r="BC3" i="1"/>
  <c r="BD3" i="1"/>
  <c r="BE3" i="1"/>
  <c r="AY4" i="1"/>
  <c r="AZ4" i="1"/>
  <c r="BA4" i="1"/>
  <c r="AY5" i="1"/>
  <c r="AZ5" i="1"/>
  <c r="BA5" i="1"/>
  <c r="AY6" i="1"/>
  <c r="AZ6" i="1"/>
  <c r="BA6" i="1"/>
  <c r="AY7" i="1"/>
  <c r="AZ7" i="1"/>
  <c r="BA7" i="1"/>
  <c r="AY8" i="1"/>
  <c r="AZ8" i="1"/>
  <c r="BA8" i="1"/>
  <c r="AY9" i="1"/>
  <c r="AZ9" i="1"/>
  <c r="BA9" i="1"/>
  <c r="AY10" i="1"/>
  <c r="AZ10" i="1"/>
  <c r="BA10" i="1"/>
  <c r="AY11" i="1"/>
  <c r="AZ11" i="1"/>
  <c r="BA11" i="1"/>
  <c r="AY12" i="1"/>
  <c r="AZ12" i="1"/>
  <c r="BA12" i="1"/>
  <c r="AY13" i="1"/>
  <c r="AZ13" i="1"/>
  <c r="BA13" i="1"/>
  <c r="AY14" i="1"/>
  <c r="AZ14" i="1"/>
  <c r="BA14" i="1"/>
  <c r="AY15" i="1"/>
  <c r="AZ15" i="1"/>
  <c r="BA15" i="1"/>
  <c r="AY16" i="1"/>
  <c r="AZ16" i="1"/>
  <c r="BA16" i="1"/>
  <c r="AY17" i="1"/>
  <c r="AZ17" i="1"/>
  <c r="BA17" i="1"/>
  <c r="AY18" i="1"/>
  <c r="AZ18" i="1"/>
  <c r="BA18" i="1"/>
  <c r="AY19" i="1"/>
  <c r="AZ19" i="1"/>
  <c r="BA19" i="1"/>
  <c r="AY20" i="1"/>
  <c r="AZ20" i="1"/>
  <c r="BA20" i="1"/>
  <c r="AY21" i="1"/>
  <c r="AZ21" i="1"/>
  <c r="BA21" i="1"/>
  <c r="AY22" i="1"/>
  <c r="AZ22" i="1"/>
  <c r="BA22" i="1"/>
  <c r="AY23" i="1"/>
  <c r="AZ23" i="1"/>
  <c r="BA23" i="1"/>
  <c r="AY24" i="1"/>
  <c r="AZ24" i="1"/>
  <c r="BA24" i="1"/>
  <c r="AY25" i="1"/>
  <c r="AZ25" i="1"/>
  <c r="BA25" i="1"/>
  <c r="AY26" i="1"/>
  <c r="AZ26" i="1"/>
  <c r="BA26" i="1"/>
  <c r="AY27" i="1"/>
  <c r="AZ27" i="1"/>
  <c r="BA27" i="1"/>
  <c r="AY28" i="1"/>
  <c r="AZ28" i="1"/>
  <c r="BA28" i="1"/>
  <c r="AY29" i="1"/>
  <c r="AZ29" i="1"/>
  <c r="BA29" i="1"/>
  <c r="AY30" i="1"/>
  <c r="AZ30" i="1"/>
  <c r="BA30" i="1"/>
  <c r="AY31" i="1"/>
  <c r="AZ31" i="1"/>
  <c r="BA31" i="1"/>
  <c r="AY32" i="1"/>
  <c r="AZ32" i="1"/>
  <c r="BA32" i="1"/>
  <c r="AY33" i="1"/>
  <c r="AZ33" i="1"/>
  <c r="BA33" i="1"/>
  <c r="AY34" i="1"/>
  <c r="AZ34" i="1"/>
  <c r="BA34" i="1"/>
  <c r="AY35" i="1"/>
  <c r="AZ35" i="1"/>
  <c r="BA35" i="1"/>
  <c r="AY36" i="1"/>
  <c r="AZ36" i="1"/>
  <c r="BA36" i="1"/>
  <c r="AY37" i="1"/>
  <c r="AZ37" i="1"/>
  <c r="BA37" i="1"/>
  <c r="AY38" i="1"/>
  <c r="AZ38" i="1"/>
  <c r="BA38" i="1"/>
  <c r="AY39" i="1"/>
  <c r="AZ39" i="1"/>
  <c r="BA39" i="1"/>
  <c r="AY40" i="1"/>
  <c r="AZ40" i="1"/>
  <c r="BA40" i="1"/>
  <c r="AY41" i="1"/>
  <c r="AZ41" i="1"/>
  <c r="BA41" i="1"/>
  <c r="AY42" i="1"/>
  <c r="AZ42" i="1"/>
  <c r="BA42" i="1"/>
  <c r="AY43" i="1"/>
  <c r="AZ43" i="1"/>
  <c r="BA43" i="1"/>
  <c r="AY44" i="1"/>
  <c r="AZ44" i="1"/>
  <c r="BA44" i="1"/>
  <c r="AY45" i="1"/>
  <c r="AZ45" i="1"/>
  <c r="BA45" i="1"/>
  <c r="AY46" i="1"/>
  <c r="AZ46" i="1"/>
  <c r="BA46" i="1"/>
  <c r="AY47" i="1"/>
  <c r="AZ47" i="1"/>
  <c r="BA47" i="1"/>
  <c r="AY48" i="1"/>
  <c r="AZ48" i="1"/>
  <c r="BA48" i="1"/>
  <c r="AY49" i="1"/>
  <c r="AZ49" i="1"/>
  <c r="BA49" i="1"/>
  <c r="AY50" i="1"/>
  <c r="AZ50" i="1"/>
  <c r="BA50" i="1"/>
  <c r="AY51" i="1"/>
  <c r="AZ51" i="1"/>
  <c r="BA51" i="1"/>
  <c r="AY52" i="1"/>
  <c r="AZ52" i="1"/>
  <c r="BA52" i="1"/>
  <c r="AY53" i="1"/>
  <c r="AZ53" i="1"/>
  <c r="BA53" i="1"/>
  <c r="AY54" i="1"/>
  <c r="AZ54" i="1"/>
  <c r="BA54" i="1"/>
  <c r="AY55" i="1"/>
  <c r="AZ55" i="1"/>
  <c r="BA55" i="1"/>
  <c r="AY56" i="1"/>
  <c r="AZ56" i="1"/>
  <c r="BA56" i="1"/>
  <c r="AY57" i="1"/>
  <c r="AZ57" i="1"/>
  <c r="BA57" i="1"/>
  <c r="AY58" i="1"/>
  <c r="AZ58" i="1"/>
  <c r="BA58" i="1"/>
  <c r="AY59" i="1"/>
  <c r="AZ59" i="1"/>
  <c r="BA59" i="1"/>
  <c r="AY60" i="1"/>
  <c r="AZ60" i="1"/>
  <c r="BA60" i="1"/>
  <c r="AY61" i="1"/>
  <c r="AZ61" i="1"/>
  <c r="BA61" i="1"/>
  <c r="AY62" i="1"/>
  <c r="AZ62" i="1"/>
  <c r="BA62" i="1"/>
  <c r="AY63" i="1"/>
  <c r="AZ63" i="1"/>
  <c r="BA63" i="1"/>
  <c r="AY64" i="1"/>
  <c r="AZ64" i="1"/>
  <c r="BA64" i="1"/>
  <c r="AY65" i="1"/>
  <c r="AZ65" i="1"/>
  <c r="BA65" i="1"/>
  <c r="AY66" i="1"/>
  <c r="AZ66" i="1"/>
  <c r="BA66" i="1"/>
  <c r="AY67" i="1"/>
  <c r="AZ67" i="1"/>
  <c r="BA67" i="1"/>
  <c r="AY68" i="1"/>
  <c r="AZ68" i="1"/>
  <c r="BA68" i="1"/>
  <c r="AY69" i="1"/>
  <c r="AZ69" i="1"/>
  <c r="BA69" i="1"/>
  <c r="AY70" i="1"/>
  <c r="AZ70" i="1"/>
  <c r="BA70" i="1"/>
  <c r="AY71" i="1"/>
  <c r="AZ71" i="1"/>
  <c r="BA71" i="1"/>
  <c r="AY72" i="1"/>
  <c r="AZ72" i="1"/>
  <c r="BA72" i="1"/>
  <c r="AY73" i="1"/>
  <c r="AZ73" i="1"/>
  <c r="BA73" i="1"/>
  <c r="AY74" i="1"/>
  <c r="AZ74" i="1"/>
  <c r="BA74" i="1"/>
  <c r="AY75" i="1"/>
  <c r="AZ75" i="1"/>
  <c r="BA75" i="1"/>
  <c r="AY76" i="1"/>
  <c r="AZ76" i="1"/>
  <c r="BA76" i="1"/>
  <c r="AY77" i="1"/>
  <c r="AZ77" i="1"/>
  <c r="BA77" i="1"/>
  <c r="AY78" i="1"/>
  <c r="AZ78" i="1"/>
  <c r="BA78" i="1"/>
  <c r="AY79" i="1"/>
  <c r="AZ79" i="1"/>
  <c r="BA79" i="1"/>
  <c r="AY80" i="1"/>
  <c r="AZ80" i="1"/>
  <c r="BA80" i="1"/>
  <c r="AY81" i="1"/>
  <c r="AZ81" i="1"/>
  <c r="BA81" i="1"/>
  <c r="AY82" i="1"/>
  <c r="AZ82" i="1"/>
  <c r="BA82" i="1"/>
  <c r="AY83" i="1"/>
  <c r="AZ83" i="1"/>
  <c r="BA83" i="1"/>
  <c r="AY84" i="1"/>
  <c r="AZ84" i="1"/>
  <c r="BA84" i="1"/>
  <c r="AY85" i="1"/>
  <c r="AZ85" i="1"/>
  <c r="BA85" i="1"/>
  <c r="AY86" i="1"/>
  <c r="AZ86" i="1"/>
  <c r="BA86" i="1"/>
  <c r="AY87" i="1"/>
  <c r="AZ87" i="1"/>
  <c r="BA87" i="1"/>
  <c r="AY88" i="1"/>
  <c r="AZ88" i="1"/>
  <c r="BA88" i="1"/>
  <c r="AY89" i="1"/>
  <c r="AZ89" i="1"/>
  <c r="BA89" i="1"/>
  <c r="AY90" i="1"/>
  <c r="AZ90" i="1"/>
  <c r="BA90" i="1"/>
  <c r="AY91" i="1"/>
  <c r="AZ91" i="1"/>
  <c r="BA91" i="1"/>
  <c r="AY92" i="1"/>
  <c r="AZ92" i="1"/>
  <c r="BA92" i="1"/>
  <c r="AY93" i="1"/>
  <c r="AZ93" i="1"/>
  <c r="BA93" i="1"/>
  <c r="AY94" i="1"/>
  <c r="AZ94" i="1"/>
  <c r="BA94" i="1"/>
  <c r="AY95" i="1"/>
  <c r="AZ95" i="1"/>
  <c r="BA95" i="1"/>
  <c r="AY96" i="1"/>
  <c r="AZ96" i="1"/>
  <c r="BA96" i="1"/>
  <c r="AY97" i="1"/>
  <c r="AZ97" i="1"/>
  <c r="BA97" i="1"/>
  <c r="AY98" i="1"/>
  <c r="AZ98" i="1"/>
  <c r="BA98" i="1"/>
  <c r="AY99" i="1"/>
  <c r="AZ99" i="1"/>
  <c r="BA99" i="1"/>
  <c r="AY100" i="1"/>
  <c r="AZ100" i="1"/>
  <c r="BA100" i="1"/>
  <c r="AY101" i="1"/>
  <c r="AZ101" i="1"/>
  <c r="BA101" i="1"/>
  <c r="AY102" i="1"/>
  <c r="AZ102" i="1"/>
  <c r="BA102" i="1"/>
  <c r="AY103" i="1"/>
  <c r="AZ103" i="1"/>
  <c r="BA103" i="1"/>
  <c r="AY104" i="1"/>
  <c r="AZ104" i="1"/>
  <c r="BA104" i="1"/>
  <c r="AY105" i="1"/>
  <c r="AZ105" i="1"/>
  <c r="BA105" i="1"/>
  <c r="AY106" i="1"/>
  <c r="AZ106" i="1"/>
  <c r="BA106" i="1"/>
  <c r="AY107" i="1"/>
  <c r="AZ107" i="1"/>
  <c r="BA107" i="1"/>
  <c r="AY108" i="1"/>
  <c r="AZ108" i="1"/>
  <c r="BA108" i="1"/>
  <c r="AY109" i="1"/>
  <c r="AZ109" i="1"/>
  <c r="BA109" i="1"/>
  <c r="AY110" i="1"/>
  <c r="AZ110" i="1"/>
  <c r="BA110" i="1"/>
  <c r="AY111" i="1"/>
  <c r="AZ111" i="1"/>
  <c r="BA111" i="1"/>
  <c r="AY112" i="1"/>
  <c r="AZ112" i="1"/>
  <c r="BA112" i="1"/>
  <c r="AY113" i="1"/>
  <c r="AZ113" i="1"/>
  <c r="BA113" i="1"/>
  <c r="AY114" i="1"/>
  <c r="AZ114" i="1"/>
  <c r="BA114" i="1"/>
  <c r="AY115" i="1"/>
  <c r="AZ115" i="1"/>
  <c r="BA115" i="1"/>
  <c r="AY116" i="1"/>
  <c r="AZ116" i="1"/>
  <c r="BA116" i="1"/>
  <c r="AY117" i="1"/>
  <c r="AZ117" i="1"/>
  <c r="BA117" i="1"/>
  <c r="AY118" i="1"/>
  <c r="AZ118" i="1"/>
  <c r="BA118" i="1"/>
  <c r="AY119" i="1"/>
  <c r="AZ119" i="1"/>
  <c r="BA119" i="1"/>
  <c r="AY120" i="1"/>
  <c r="AZ120" i="1"/>
  <c r="BA120" i="1"/>
  <c r="AY121" i="1"/>
  <c r="AZ121" i="1"/>
  <c r="BA121" i="1"/>
  <c r="AY122" i="1"/>
  <c r="AZ122" i="1"/>
  <c r="BA122" i="1"/>
  <c r="AY123" i="1"/>
  <c r="AZ123" i="1"/>
  <c r="BA123" i="1"/>
  <c r="AY124" i="1"/>
  <c r="AZ124" i="1"/>
  <c r="BA124" i="1"/>
  <c r="AY125" i="1"/>
  <c r="AZ125" i="1"/>
  <c r="BA125" i="1"/>
  <c r="AY126" i="1"/>
  <c r="AZ126" i="1"/>
  <c r="BA126" i="1"/>
  <c r="AY127" i="1"/>
  <c r="AZ127" i="1"/>
  <c r="BA127" i="1"/>
  <c r="AY128" i="1"/>
  <c r="AZ128" i="1"/>
  <c r="BA128" i="1"/>
  <c r="AY129" i="1"/>
  <c r="AZ129" i="1"/>
  <c r="BA129" i="1"/>
  <c r="AY130" i="1"/>
  <c r="AZ130" i="1"/>
  <c r="BA130" i="1"/>
  <c r="AY131" i="1"/>
  <c r="AZ131" i="1"/>
  <c r="BA131" i="1"/>
  <c r="AY132" i="1"/>
  <c r="AZ132" i="1"/>
  <c r="BA132" i="1"/>
  <c r="AY133" i="1"/>
  <c r="AZ133" i="1"/>
  <c r="BA133" i="1"/>
  <c r="AY134" i="1"/>
  <c r="AZ134" i="1"/>
  <c r="BA134" i="1"/>
  <c r="AY135" i="1"/>
  <c r="AZ135" i="1"/>
  <c r="BA135" i="1"/>
  <c r="AY136" i="1"/>
  <c r="AZ136" i="1"/>
  <c r="BA136" i="1"/>
  <c r="AY137" i="1"/>
  <c r="AZ137" i="1"/>
  <c r="BA137" i="1"/>
  <c r="AY138" i="1"/>
  <c r="AZ138" i="1"/>
  <c r="BA138" i="1"/>
  <c r="AY139" i="1"/>
  <c r="AZ139" i="1"/>
  <c r="BA139" i="1"/>
  <c r="AY140" i="1"/>
  <c r="AZ140" i="1"/>
  <c r="BA140" i="1"/>
  <c r="AY141" i="1"/>
  <c r="AZ141" i="1"/>
  <c r="BA141" i="1"/>
  <c r="AY142" i="1"/>
  <c r="AZ142" i="1"/>
  <c r="BA142" i="1"/>
  <c r="AY143" i="1"/>
  <c r="AZ143" i="1"/>
  <c r="BA143" i="1"/>
  <c r="AY144" i="1"/>
  <c r="AZ144" i="1"/>
  <c r="BA144" i="1"/>
  <c r="AY145" i="1"/>
  <c r="AZ145" i="1"/>
  <c r="BA145" i="1"/>
  <c r="AY146" i="1"/>
  <c r="AZ146" i="1"/>
  <c r="BA146" i="1"/>
  <c r="AY147" i="1"/>
  <c r="AZ147" i="1"/>
  <c r="BA147" i="1"/>
  <c r="AY148" i="1"/>
  <c r="AZ148" i="1"/>
  <c r="BA148" i="1"/>
  <c r="AY149" i="1"/>
  <c r="AZ149" i="1"/>
  <c r="BA149" i="1"/>
  <c r="AY150" i="1"/>
  <c r="AZ150" i="1"/>
  <c r="BA150" i="1"/>
  <c r="AY151" i="1"/>
  <c r="AZ151" i="1"/>
  <c r="BA151" i="1"/>
  <c r="AY152" i="1"/>
  <c r="AZ152" i="1"/>
  <c r="BA152" i="1"/>
  <c r="AY153" i="1"/>
  <c r="AZ153" i="1"/>
  <c r="BA153" i="1"/>
  <c r="AY154" i="1"/>
  <c r="AZ154" i="1"/>
  <c r="BA154" i="1"/>
  <c r="AY155" i="1"/>
  <c r="AZ155" i="1"/>
  <c r="BA155" i="1"/>
  <c r="AY156" i="1"/>
  <c r="AZ156" i="1"/>
  <c r="BA156" i="1"/>
  <c r="AY157" i="1"/>
  <c r="AZ157" i="1"/>
  <c r="BA157" i="1"/>
  <c r="AY158" i="1"/>
  <c r="AZ158" i="1"/>
  <c r="BA158" i="1"/>
  <c r="AY159" i="1"/>
  <c r="AZ159" i="1"/>
  <c r="BA159" i="1"/>
  <c r="AY160" i="1"/>
  <c r="AZ160" i="1"/>
  <c r="BA160" i="1"/>
  <c r="AY161" i="1"/>
  <c r="AZ161" i="1"/>
  <c r="BA161" i="1"/>
  <c r="AY162" i="1"/>
  <c r="AZ162" i="1"/>
  <c r="BA162" i="1"/>
  <c r="AY163" i="1"/>
  <c r="AZ163" i="1"/>
  <c r="BA163" i="1"/>
  <c r="AY164" i="1"/>
  <c r="AZ164" i="1"/>
  <c r="BA164" i="1"/>
  <c r="AY165" i="1"/>
  <c r="AZ165" i="1"/>
  <c r="BA165" i="1"/>
  <c r="AY166" i="1"/>
  <c r="AZ166" i="1"/>
  <c r="BA166" i="1"/>
  <c r="AY167" i="1"/>
  <c r="AZ167" i="1"/>
  <c r="BA167" i="1"/>
  <c r="AY168" i="1"/>
  <c r="AZ168" i="1"/>
  <c r="BA168" i="1"/>
  <c r="AY169" i="1"/>
  <c r="AZ169" i="1"/>
  <c r="BA169" i="1"/>
  <c r="AY170" i="1"/>
  <c r="AZ170" i="1"/>
  <c r="BA170" i="1"/>
  <c r="AY171" i="1"/>
  <c r="AZ171" i="1"/>
  <c r="BA171" i="1"/>
  <c r="AY172" i="1"/>
  <c r="AZ172" i="1"/>
  <c r="BA172" i="1"/>
  <c r="AY173" i="1"/>
  <c r="AZ173" i="1"/>
  <c r="BA173" i="1"/>
  <c r="AY174" i="1"/>
  <c r="AZ174" i="1"/>
  <c r="BA174" i="1"/>
  <c r="AY175" i="1"/>
  <c r="AZ175" i="1"/>
  <c r="BA175" i="1"/>
  <c r="AY176" i="1"/>
  <c r="AZ176" i="1"/>
  <c r="BA176" i="1"/>
  <c r="AY177" i="1"/>
  <c r="AZ177" i="1"/>
  <c r="BA177" i="1"/>
  <c r="AY178" i="1"/>
  <c r="AZ178" i="1"/>
  <c r="BA178" i="1"/>
  <c r="AY179" i="1"/>
  <c r="AZ179" i="1"/>
  <c r="BA179" i="1"/>
  <c r="AY180" i="1"/>
  <c r="AZ180" i="1"/>
  <c r="BA180" i="1"/>
  <c r="AY181" i="1"/>
  <c r="AZ181" i="1"/>
  <c r="BA181" i="1"/>
  <c r="AY182" i="1"/>
  <c r="AZ182" i="1"/>
  <c r="BA182" i="1"/>
  <c r="AY183" i="1"/>
  <c r="AZ183" i="1"/>
  <c r="BA183" i="1"/>
  <c r="AY184" i="1"/>
  <c r="AZ184" i="1"/>
  <c r="BA184" i="1"/>
  <c r="AY185" i="1"/>
  <c r="AZ185" i="1"/>
  <c r="BA185" i="1"/>
  <c r="AY186" i="1"/>
  <c r="AZ186" i="1"/>
  <c r="BA186" i="1"/>
  <c r="AY187" i="1"/>
  <c r="AZ187" i="1"/>
  <c r="BA187" i="1"/>
  <c r="AY188" i="1"/>
  <c r="AZ188" i="1"/>
  <c r="BA188" i="1"/>
  <c r="AY189" i="1"/>
  <c r="AZ189" i="1"/>
  <c r="BA189" i="1"/>
  <c r="AY190" i="1"/>
  <c r="AZ190" i="1"/>
  <c r="BA190" i="1"/>
  <c r="AY191" i="1"/>
  <c r="AZ191" i="1"/>
  <c r="BA191" i="1"/>
  <c r="AY192" i="1"/>
  <c r="AZ192" i="1"/>
  <c r="BA192" i="1"/>
  <c r="AY193" i="1"/>
  <c r="AZ193" i="1"/>
  <c r="BA193" i="1"/>
  <c r="AY194" i="1"/>
  <c r="AZ194" i="1"/>
  <c r="BA194" i="1"/>
  <c r="AY195" i="1"/>
  <c r="AZ195" i="1"/>
  <c r="BA195" i="1"/>
  <c r="AY196" i="1"/>
  <c r="AZ196" i="1"/>
  <c r="BA196" i="1"/>
  <c r="AY197" i="1"/>
  <c r="AZ197" i="1"/>
  <c r="BA197" i="1"/>
  <c r="AY198" i="1"/>
  <c r="AZ198" i="1"/>
  <c r="BA198" i="1"/>
  <c r="AY199" i="1"/>
  <c r="AZ199" i="1"/>
  <c r="BA199" i="1"/>
  <c r="AY200" i="1"/>
  <c r="AZ200" i="1"/>
  <c r="BA200" i="1"/>
  <c r="AY201" i="1"/>
  <c r="AZ201" i="1"/>
  <c r="BA201" i="1"/>
  <c r="AY202" i="1"/>
  <c r="AZ202" i="1"/>
  <c r="BA202" i="1"/>
  <c r="AY3" i="1"/>
  <c r="AZ3" i="1"/>
  <c r="BA3" i="1"/>
  <c r="AU4" i="1"/>
  <c r="AV4" i="1"/>
  <c r="AW4" i="1"/>
  <c r="AU5" i="1"/>
  <c r="AV5" i="1"/>
  <c r="AW5" i="1"/>
  <c r="AU6" i="1"/>
  <c r="AV6" i="1"/>
  <c r="AW6" i="1"/>
  <c r="AU7" i="1"/>
  <c r="AV7" i="1"/>
  <c r="AW7" i="1"/>
  <c r="AU8" i="1"/>
  <c r="AV8" i="1"/>
  <c r="AW8" i="1"/>
  <c r="AU9" i="1"/>
  <c r="AV9" i="1"/>
  <c r="AW9" i="1"/>
  <c r="AU10" i="1"/>
  <c r="AV10" i="1"/>
  <c r="AW10" i="1"/>
  <c r="AU11" i="1"/>
  <c r="AV11" i="1"/>
  <c r="AW11" i="1"/>
  <c r="AU12" i="1"/>
  <c r="AV12" i="1"/>
  <c r="AW12" i="1"/>
  <c r="AU13" i="1"/>
  <c r="AV13" i="1"/>
  <c r="AW13" i="1"/>
  <c r="AU14" i="1"/>
  <c r="AV14" i="1"/>
  <c r="AW14" i="1"/>
  <c r="AU15" i="1"/>
  <c r="AV15" i="1"/>
  <c r="AW15" i="1"/>
  <c r="AU16" i="1"/>
  <c r="AV16" i="1"/>
  <c r="AW16" i="1"/>
  <c r="AU17" i="1"/>
  <c r="AV17" i="1"/>
  <c r="AW17" i="1"/>
  <c r="AU18" i="1"/>
  <c r="AV18" i="1"/>
  <c r="AW18" i="1"/>
  <c r="AU19" i="1"/>
  <c r="AV19" i="1"/>
  <c r="AW19" i="1"/>
  <c r="AU20" i="1"/>
  <c r="AV20" i="1"/>
  <c r="AW20" i="1"/>
  <c r="AU21" i="1"/>
  <c r="AV21" i="1"/>
  <c r="AW21" i="1"/>
  <c r="AU22" i="1"/>
  <c r="AV22" i="1"/>
  <c r="AW22" i="1"/>
  <c r="AU23" i="1"/>
  <c r="AV23" i="1"/>
  <c r="AW23" i="1"/>
  <c r="AU24" i="1"/>
  <c r="AV24" i="1"/>
  <c r="AW24" i="1"/>
  <c r="AU25" i="1"/>
  <c r="AV25" i="1"/>
  <c r="AW25" i="1"/>
  <c r="AU26" i="1"/>
  <c r="AV26" i="1"/>
  <c r="AW26" i="1"/>
  <c r="AU27" i="1"/>
  <c r="AV27" i="1"/>
  <c r="AW27" i="1"/>
  <c r="AU28" i="1"/>
  <c r="AV28" i="1"/>
  <c r="AW28" i="1"/>
  <c r="AU29" i="1"/>
  <c r="AV29" i="1"/>
  <c r="AW29" i="1"/>
  <c r="AU30" i="1"/>
  <c r="AV30" i="1"/>
  <c r="AW30" i="1"/>
  <c r="AU31" i="1"/>
  <c r="AV31" i="1"/>
  <c r="AW31" i="1"/>
  <c r="AU32" i="1"/>
  <c r="AV32" i="1"/>
  <c r="AW32" i="1"/>
  <c r="AU33" i="1"/>
  <c r="AV33" i="1"/>
  <c r="AW33" i="1"/>
  <c r="AU34" i="1"/>
  <c r="AV34" i="1"/>
  <c r="AW34" i="1"/>
  <c r="AU35" i="1"/>
  <c r="AV35" i="1"/>
  <c r="AW35" i="1"/>
  <c r="AU36" i="1"/>
  <c r="AV36" i="1"/>
  <c r="AW36" i="1"/>
  <c r="AU37" i="1"/>
  <c r="AV37" i="1"/>
  <c r="AW37" i="1"/>
  <c r="AU38" i="1"/>
  <c r="AV38" i="1"/>
  <c r="AW38" i="1"/>
  <c r="AU39" i="1"/>
  <c r="AV39" i="1"/>
  <c r="AW39" i="1"/>
  <c r="AU40" i="1"/>
  <c r="AV40" i="1"/>
  <c r="AW40" i="1"/>
  <c r="AU41" i="1"/>
  <c r="AV41" i="1"/>
  <c r="AW41" i="1"/>
  <c r="AU42" i="1"/>
  <c r="AV42" i="1"/>
  <c r="AW42" i="1"/>
  <c r="AU43" i="1"/>
  <c r="AV43" i="1"/>
  <c r="AW43" i="1"/>
  <c r="AU44" i="1"/>
  <c r="AV44" i="1"/>
  <c r="AW44" i="1"/>
  <c r="AU45" i="1"/>
  <c r="AV45" i="1"/>
  <c r="AW45" i="1"/>
  <c r="AU46" i="1"/>
  <c r="AV46" i="1"/>
  <c r="AW46" i="1"/>
  <c r="AU47" i="1"/>
  <c r="AV47" i="1"/>
  <c r="AW47" i="1"/>
  <c r="AU48" i="1"/>
  <c r="AV48" i="1"/>
  <c r="AW48" i="1"/>
  <c r="AU49" i="1"/>
  <c r="AV49" i="1"/>
  <c r="AW49" i="1"/>
  <c r="AU50" i="1"/>
  <c r="AV50" i="1"/>
  <c r="AW50" i="1"/>
  <c r="AU51" i="1"/>
  <c r="AV51" i="1"/>
  <c r="AW51" i="1"/>
  <c r="AU52" i="1"/>
  <c r="AV52" i="1"/>
  <c r="AW52" i="1"/>
  <c r="AU53" i="1"/>
  <c r="AV53" i="1"/>
  <c r="AW53" i="1"/>
  <c r="AU54" i="1"/>
  <c r="AV54" i="1"/>
  <c r="AW54" i="1"/>
  <c r="AU55" i="1"/>
  <c r="AV55" i="1"/>
  <c r="AW55" i="1"/>
  <c r="AU56" i="1"/>
  <c r="AV56" i="1"/>
  <c r="AW56" i="1"/>
  <c r="AU57" i="1"/>
  <c r="AV57" i="1"/>
  <c r="AW57" i="1"/>
  <c r="AU58" i="1"/>
  <c r="AV58" i="1"/>
  <c r="AW58" i="1"/>
  <c r="AU59" i="1"/>
  <c r="AV59" i="1"/>
  <c r="AW59" i="1"/>
  <c r="AU60" i="1"/>
  <c r="AV60" i="1"/>
  <c r="AW60" i="1"/>
  <c r="AU61" i="1"/>
  <c r="AV61" i="1"/>
  <c r="AW61" i="1"/>
  <c r="AU62" i="1"/>
  <c r="AV62" i="1"/>
  <c r="AW62" i="1"/>
  <c r="AU63" i="1"/>
  <c r="AV63" i="1"/>
  <c r="AW63" i="1"/>
  <c r="AU64" i="1"/>
  <c r="AV64" i="1"/>
  <c r="AW64" i="1"/>
  <c r="AU65" i="1"/>
  <c r="AV65" i="1"/>
  <c r="AW65" i="1"/>
  <c r="AU66" i="1"/>
  <c r="AV66" i="1"/>
  <c r="AW66" i="1"/>
  <c r="AU67" i="1"/>
  <c r="AV67" i="1"/>
  <c r="AW67" i="1"/>
  <c r="AU68" i="1"/>
  <c r="AV68" i="1"/>
  <c r="AW68" i="1"/>
  <c r="AU69" i="1"/>
  <c r="AV69" i="1"/>
  <c r="AW69" i="1"/>
  <c r="AU70" i="1"/>
  <c r="AV70" i="1"/>
  <c r="AW70" i="1"/>
  <c r="AU71" i="1"/>
  <c r="AV71" i="1"/>
  <c r="AW71" i="1"/>
  <c r="AU72" i="1"/>
  <c r="AV72" i="1"/>
  <c r="AW72" i="1"/>
  <c r="AU73" i="1"/>
  <c r="AV73" i="1"/>
  <c r="AW73" i="1"/>
  <c r="AU74" i="1"/>
  <c r="AV74" i="1"/>
  <c r="AW74" i="1"/>
  <c r="AU75" i="1"/>
  <c r="AV75" i="1"/>
  <c r="AW75" i="1"/>
  <c r="AU76" i="1"/>
  <c r="AV76" i="1"/>
  <c r="AW76" i="1"/>
  <c r="AU77" i="1"/>
  <c r="AV77" i="1"/>
  <c r="AW77" i="1"/>
  <c r="AU78" i="1"/>
  <c r="AV78" i="1"/>
  <c r="AW78" i="1"/>
  <c r="AU79" i="1"/>
  <c r="AV79" i="1"/>
  <c r="AW79" i="1"/>
  <c r="AU80" i="1"/>
  <c r="AV80" i="1"/>
  <c r="AW80" i="1"/>
  <c r="AU81" i="1"/>
  <c r="AV81" i="1"/>
  <c r="AW81" i="1"/>
  <c r="AU82" i="1"/>
  <c r="AV82" i="1"/>
  <c r="AW82" i="1"/>
  <c r="AU83" i="1"/>
  <c r="AV83" i="1"/>
  <c r="AW83" i="1"/>
  <c r="AU84" i="1"/>
  <c r="AV84" i="1"/>
  <c r="AW84" i="1"/>
  <c r="AU85" i="1"/>
  <c r="AV85" i="1"/>
  <c r="AW85" i="1"/>
  <c r="AU86" i="1"/>
  <c r="AV86" i="1"/>
  <c r="AW86" i="1"/>
  <c r="AU87" i="1"/>
  <c r="AV87" i="1"/>
  <c r="AW87" i="1"/>
  <c r="AU88" i="1"/>
  <c r="AV88" i="1"/>
  <c r="AW88" i="1"/>
  <c r="AU89" i="1"/>
  <c r="AV89" i="1"/>
  <c r="AW89" i="1"/>
  <c r="AU90" i="1"/>
  <c r="AV90" i="1"/>
  <c r="AW90" i="1"/>
  <c r="AU91" i="1"/>
  <c r="AV91" i="1"/>
  <c r="AW91" i="1"/>
  <c r="AU92" i="1"/>
  <c r="AV92" i="1"/>
  <c r="AW92" i="1"/>
  <c r="AU93" i="1"/>
  <c r="AV93" i="1"/>
  <c r="AW93" i="1"/>
  <c r="AU94" i="1"/>
  <c r="AV94" i="1"/>
  <c r="AW94" i="1"/>
  <c r="AU95" i="1"/>
  <c r="AV95" i="1"/>
  <c r="AW95" i="1"/>
  <c r="AU96" i="1"/>
  <c r="AV96" i="1"/>
  <c r="AW96" i="1"/>
  <c r="AU97" i="1"/>
  <c r="AV97" i="1"/>
  <c r="AW97" i="1"/>
  <c r="AU98" i="1"/>
  <c r="AV98" i="1"/>
  <c r="AW98" i="1"/>
  <c r="AU99" i="1"/>
  <c r="AV99" i="1"/>
  <c r="AW99" i="1"/>
  <c r="AU100" i="1"/>
  <c r="AV100" i="1"/>
  <c r="AW100" i="1"/>
  <c r="AU101" i="1"/>
  <c r="AV101" i="1"/>
  <c r="AW101" i="1"/>
  <c r="AU102" i="1"/>
  <c r="AV102" i="1"/>
  <c r="AW102" i="1"/>
  <c r="AU103" i="1"/>
  <c r="AV103" i="1"/>
  <c r="AW103" i="1"/>
  <c r="AU104" i="1"/>
  <c r="AV104" i="1"/>
  <c r="AW104" i="1"/>
  <c r="AU105" i="1"/>
  <c r="AV105" i="1"/>
  <c r="AW105" i="1"/>
  <c r="AU106" i="1"/>
  <c r="AV106" i="1"/>
  <c r="AW106" i="1"/>
  <c r="AU107" i="1"/>
  <c r="AV107" i="1"/>
  <c r="AW107" i="1"/>
  <c r="AU108" i="1"/>
  <c r="AV108" i="1"/>
  <c r="AW108" i="1"/>
  <c r="AU109" i="1"/>
  <c r="AV109" i="1"/>
  <c r="AW109" i="1"/>
  <c r="AU110" i="1"/>
  <c r="AV110" i="1"/>
  <c r="AW110" i="1"/>
  <c r="AU111" i="1"/>
  <c r="AV111" i="1"/>
  <c r="AW111" i="1"/>
  <c r="AU112" i="1"/>
  <c r="AV112" i="1"/>
  <c r="AW112" i="1"/>
  <c r="AU113" i="1"/>
  <c r="AV113" i="1"/>
  <c r="AW113" i="1"/>
  <c r="AU114" i="1"/>
  <c r="AV114" i="1"/>
  <c r="AW114" i="1"/>
  <c r="AU115" i="1"/>
  <c r="AV115" i="1"/>
  <c r="AW115" i="1"/>
  <c r="AU116" i="1"/>
  <c r="AV116" i="1"/>
  <c r="AW116" i="1"/>
  <c r="AU117" i="1"/>
  <c r="AV117" i="1"/>
  <c r="AW117" i="1"/>
  <c r="AU118" i="1"/>
  <c r="AV118" i="1"/>
  <c r="AW118" i="1"/>
  <c r="AU119" i="1"/>
  <c r="AV119" i="1"/>
  <c r="AW119" i="1"/>
  <c r="AU120" i="1"/>
  <c r="AV120" i="1"/>
  <c r="AW120" i="1"/>
  <c r="AU121" i="1"/>
  <c r="AV121" i="1"/>
  <c r="AW121" i="1"/>
  <c r="AU122" i="1"/>
  <c r="AV122" i="1"/>
  <c r="AW122" i="1"/>
  <c r="AU123" i="1"/>
  <c r="AV123" i="1"/>
  <c r="AW123" i="1"/>
  <c r="AU124" i="1"/>
  <c r="AV124" i="1"/>
  <c r="AW124" i="1"/>
  <c r="AU125" i="1"/>
  <c r="AV125" i="1"/>
  <c r="AW125" i="1"/>
  <c r="AU126" i="1"/>
  <c r="AV126" i="1"/>
  <c r="AW126" i="1"/>
  <c r="AU127" i="1"/>
  <c r="AV127" i="1"/>
  <c r="AW127" i="1"/>
  <c r="AU128" i="1"/>
  <c r="AV128" i="1"/>
  <c r="AW128" i="1"/>
  <c r="AU129" i="1"/>
  <c r="AV129" i="1"/>
  <c r="AW129" i="1"/>
  <c r="AU130" i="1"/>
  <c r="AV130" i="1"/>
  <c r="AW130" i="1"/>
  <c r="AU131" i="1"/>
  <c r="AV131" i="1"/>
  <c r="AW131" i="1"/>
  <c r="AU132" i="1"/>
  <c r="AV132" i="1"/>
  <c r="AW132" i="1"/>
  <c r="AU133" i="1"/>
  <c r="AV133" i="1"/>
  <c r="AW133" i="1"/>
  <c r="AU134" i="1"/>
  <c r="AV134" i="1"/>
  <c r="AW134" i="1"/>
  <c r="AU135" i="1"/>
  <c r="AV135" i="1"/>
  <c r="AW135" i="1"/>
  <c r="AU136" i="1"/>
  <c r="AV136" i="1"/>
  <c r="AW136" i="1"/>
  <c r="AU137" i="1"/>
  <c r="AV137" i="1"/>
  <c r="AW137" i="1"/>
  <c r="AU138" i="1"/>
  <c r="AV138" i="1"/>
  <c r="AW138" i="1"/>
  <c r="AU139" i="1"/>
  <c r="AV139" i="1"/>
  <c r="AW139" i="1"/>
  <c r="AU140" i="1"/>
  <c r="AV140" i="1"/>
  <c r="AW140" i="1"/>
  <c r="AU141" i="1"/>
  <c r="AV141" i="1"/>
  <c r="AW141" i="1"/>
  <c r="AU142" i="1"/>
  <c r="AV142" i="1"/>
  <c r="AW142" i="1"/>
  <c r="AU143" i="1"/>
  <c r="AV143" i="1"/>
  <c r="AW143" i="1"/>
  <c r="AU144" i="1"/>
  <c r="AV144" i="1"/>
  <c r="AW144" i="1"/>
  <c r="AU145" i="1"/>
  <c r="AV145" i="1"/>
  <c r="AW145" i="1"/>
  <c r="AU146" i="1"/>
  <c r="AV146" i="1"/>
  <c r="AW146" i="1"/>
  <c r="AU147" i="1"/>
  <c r="AV147" i="1"/>
  <c r="AW147" i="1"/>
  <c r="AU148" i="1"/>
  <c r="AV148" i="1"/>
  <c r="AW148" i="1"/>
  <c r="AU149" i="1"/>
  <c r="AV149" i="1"/>
  <c r="AW149" i="1"/>
  <c r="AU150" i="1"/>
  <c r="AV150" i="1"/>
  <c r="AW150" i="1"/>
  <c r="AU151" i="1"/>
  <c r="AV151" i="1"/>
  <c r="AW151" i="1"/>
  <c r="AU152" i="1"/>
  <c r="AV152" i="1"/>
  <c r="AW152" i="1"/>
  <c r="AU153" i="1"/>
  <c r="AV153" i="1"/>
  <c r="AW153" i="1"/>
  <c r="AU154" i="1"/>
  <c r="AV154" i="1"/>
  <c r="AW154" i="1"/>
  <c r="AU155" i="1"/>
  <c r="AV155" i="1"/>
  <c r="AW155" i="1"/>
  <c r="AU156" i="1"/>
  <c r="AV156" i="1"/>
  <c r="AW156" i="1"/>
  <c r="AU157" i="1"/>
  <c r="AV157" i="1"/>
  <c r="AW157" i="1"/>
  <c r="AU158" i="1"/>
  <c r="AV158" i="1"/>
  <c r="AW158" i="1"/>
  <c r="AU159" i="1"/>
  <c r="AV159" i="1"/>
  <c r="AW159" i="1"/>
  <c r="AU160" i="1"/>
  <c r="AV160" i="1"/>
  <c r="AW160" i="1"/>
  <c r="AU161" i="1"/>
  <c r="AV161" i="1"/>
  <c r="AW161" i="1"/>
  <c r="AU162" i="1"/>
  <c r="AV162" i="1"/>
  <c r="AW162" i="1"/>
  <c r="AU163" i="1"/>
  <c r="AV163" i="1"/>
  <c r="AW163" i="1"/>
  <c r="AU164" i="1"/>
  <c r="AV164" i="1"/>
  <c r="AW164" i="1"/>
  <c r="AU165" i="1"/>
  <c r="AV165" i="1"/>
  <c r="AW165" i="1"/>
  <c r="AU166" i="1"/>
  <c r="AV166" i="1"/>
  <c r="AW166" i="1"/>
  <c r="AU167" i="1"/>
  <c r="AV167" i="1"/>
  <c r="AW167" i="1"/>
  <c r="AU168" i="1"/>
  <c r="AV168" i="1"/>
  <c r="AW168" i="1"/>
  <c r="AU169" i="1"/>
  <c r="AV169" i="1"/>
  <c r="AW169" i="1"/>
  <c r="AU170" i="1"/>
  <c r="AV170" i="1"/>
  <c r="AW170" i="1"/>
  <c r="AU171" i="1"/>
  <c r="AV171" i="1"/>
  <c r="AW171" i="1"/>
  <c r="AU172" i="1"/>
  <c r="AV172" i="1"/>
  <c r="AW172" i="1"/>
  <c r="AU173" i="1"/>
  <c r="AV173" i="1"/>
  <c r="AW173" i="1"/>
  <c r="AU174" i="1"/>
  <c r="AV174" i="1"/>
  <c r="AW174" i="1"/>
  <c r="AU175" i="1"/>
  <c r="AV175" i="1"/>
  <c r="AW175" i="1"/>
  <c r="AU176" i="1"/>
  <c r="AV176" i="1"/>
  <c r="AW176" i="1"/>
  <c r="AU177" i="1"/>
  <c r="AV177" i="1"/>
  <c r="AW177" i="1"/>
  <c r="AU178" i="1"/>
  <c r="AV178" i="1"/>
  <c r="AW178" i="1"/>
  <c r="AU179" i="1"/>
  <c r="AV179" i="1"/>
  <c r="AW179" i="1"/>
  <c r="AU180" i="1"/>
  <c r="AV180" i="1"/>
  <c r="AW180" i="1"/>
  <c r="AU181" i="1"/>
  <c r="AV181" i="1"/>
  <c r="AW181" i="1"/>
  <c r="AU182" i="1"/>
  <c r="AV182" i="1"/>
  <c r="AW182" i="1"/>
  <c r="AU183" i="1"/>
  <c r="AV183" i="1"/>
  <c r="AW183" i="1"/>
  <c r="AU184" i="1"/>
  <c r="AV184" i="1"/>
  <c r="AW184" i="1"/>
  <c r="AU185" i="1"/>
  <c r="AV185" i="1"/>
  <c r="AW185" i="1"/>
  <c r="AU186" i="1"/>
  <c r="AV186" i="1"/>
  <c r="AW186" i="1"/>
  <c r="AU187" i="1"/>
  <c r="AV187" i="1"/>
  <c r="AW187" i="1"/>
  <c r="AU188" i="1"/>
  <c r="AV188" i="1"/>
  <c r="AW188" i="1"/>
  <c r="AU189" i="1"/>
  <c r="AV189" i="1"/>
  <c r="AW189" i="1"/>
  <c r="AU190" i="1"/>
  <c r="AV190" i="1"/>
  <c r="AW190" i="1"/>
  <c r="AU191" i="1"/>
  <c r="AV191" i="1"/>
  <c r="AW191" i="1"/>
  <c r="AU192" i="1"/>
  <c r="AV192" i="1"/>
  <c r="AW192" i="1"/>
  <c r="AU193" i="1"/>
  <c r="AV193" i="1"/>
  <c r="AW193" i="1"/>
  <c r="AU194" i="1"/>
  <c r="AV194" i="1"/>
  <c r="AW194" i="1"/>
  <c r="AU195" i="1"/>
  <c r="AV195" i="1"/>
  <c r="AW195" i="1"/>
  <c r="AU196" i="1"/>
  <c r="AV196" i="1"/>
  <c r="AW196" i="1"/>
  <c r="AU197" i="1"/>
  <c r="AV197" i="1"/>
  <c r="AW197" i="1"/>
  <c r="AU198" i="1"/>
  <c r="AV198" i="1"/>
  <c r="AW198" i="1"/>
  <c r="AU199" i="1"/>
  <c r="AV199" i="1"/>
  <c r="AW199" i="1"/>
  <c r="AU200" i="1"/>
  <c r="AV200" i="1"/>
  <c r="AW200" i="1"/>
  <c r="AU201" i="1"/>
  <c r="AV201" i="1"/>
  <c r="AW201" i="1"/>
  <c r="AU202" i="1"/>
  <c r="AV202" i="1"/>
  <c r="AW202" i="1"/>
  <c r="AQ4" i="1"/>
  <c r="AR4" i="1"/>
  <c r="AS4" i="1"/>
  <c r="AQ5" i="1"/>
  <c r="AR5" i="1"/>
  <c r="AS5" i="1"/>
  <c r="AQ6" i="1"/>
  <c r="AR6" i="1"/>
  <c r="AS6" i="1"/>
  <c r="AQ7" i="1"/>
  <c r="AR7" i="1"/>
  <c r="AS7" i="1"/>
  <c r="AQ8" i="1"/>
  <c r="AR8" i="1"/>
  <c r="AS8" i="1"/>
  <c r="AQ9" i="1"/>
  <c r="AR9" i="1"/>
  <c r="AS9" i="1"/>
  <c r="AQ10" i="1"/>
  <c r="AR10" i="1"/>
  <c r="AS10" i="1"/>
  <c r="AQ11" i="1"/>
  <c r="AR11" i="1"/>
  <c r="AS11" i="1"/>
  <c r="AQ12" i="1"/>
  <c r="AR12" i="1"/>
  <c r="AS12" i="1"/>
  <c r="AQ13" i="1"/>
  <c r="AR13" i="1"/>
  <c r="AS13" i="1"/>
  <c r="AQ14" i="1"/>
  <c r="AR14" i="1"/>
  <c r="AS14" i="1"/>
  <c r="AQ15" i="1"/>
  <c r="AR15" i="1"/>
  <c r="AS15" i="1"/>
  <c r="AQ16" i="1"/>
  <c r="AR16" i="1"/>
  <c r="AS16" i="1"/>
  <c r="AQ17" i="1"/>
  <c r="AR17" i="1"/>
  <c r="AS17" i="1"/>
  <c r="AQ18" i="1"/>
  <c r="AR18" i="1"/>
  <c r="AS18" i="1"/>
  <c r="AQ19" i="1"/>
  <c r="AR19" i="1"/>
  <c r="AS19" i="1"/>
  <c r="AQ20" i="1"/>
  <c r="AR20" i="1"/>
  <c r="AS20" i="1"/>
  <c r="AQ21" i="1"/>
  <c r="AR21" i="1"/>
  <c r="AS21" i="1"/>
  <c r="AQ22" i="1"/>
  <c r="AR22" i="1"/>
  <c r="AS22" i="1"/>
  <c r="AQ23" i="1"/>
  <c r="AR23" i="1"/>
  <c r="AS23" i="1"/>
  <c r="AQ24" i="1"/>
  <c r="AR24" i="1"/>
  <c r="AS24" i="1"/>
  <c r="AQ25" i="1"/>
  <c r="AR25" i="1"/>
  <c r="AS25" i="1"/>
  <c r="AQ26" i="1"/>
  <c r="AR26" i="1"/>
  <c r="AS26" i="1"/>
  <c r="AQ27" i="1"/>
  <c r="AR27" i="1"/>
  <c r="AS27" i="1"/>
  <c r="AQ28" i="1"/>
  <c r="AR28" i="1"/>
  <c r="AS28" i="1"/>
  <c r="AQ29" i="1"/>
  <c r="AR29" i="1"/>
  <c r="AS29" i="1"/>
  <c r="AQ30" i="1"/>
  <c r="AR30" i="1"/>
  <c r="AS30" i="1"/>
  <c r="AQ31" i="1"/>
  <c r="AR31" i="1"/>
  <c r="AS31" i="1"/>
  <c r="AQ32" i="1"/>
  <c r="AR32" i="1"/>
  <c r="AS32" i="1"/>
  <c r="AQ33" i="1"/>
  <c r="AR33" i="1"/>
  <c r="AS33" i="1"/>
  <c r="AQ34" i="1"/>
  <c r="AR34" i="1"/>
  <c r="AS34" i="1"/>
  <c r="AQ35" i="1"/>
  <c r="AR35" i="1"/>
  <c r="AS35" i="1"/>
  <c r="AQ36" i="1"/>
  <c r="AR36" i="1"/>
  <c r="AS36" i="1"/>
  <c r="AQ37" i="1"/>
  <c r="AR37" i="1"/>
  <c r="AS37" i="1"/>
  <c r="AQ38" i="1"/>
  <c r="AR38" i="1"/>
  <c r="AS38" i="1"/>
  <c r="AQ39" i="1"/>
  <c r="AR39" i="1"/>
  <c r="AS39" i="1"/>
  <c r="AQ40" i="1"/>
  <c r="AR40" i="1"/>
  <c r="AS40" i="1"/>
  <c r="AQ41" i="1"/>
  <c r="AR41" i="1"/>
  <c r="AS41" i="1"/>
  <c r="AQ42" i="1"/>
  <c r="AR42" i="1"/>
  <c r="AS42" i="1"/>
  <c r="AQ43" i="1"/>
  <c r="AR43" i="1"/>
  <c r="AS43" i="1"/>
  <c r="AQ44" i="1"/>
  <c r="AR44" i="1"/>
  <c r="AS44" i="1"/>
  <c r="AQ45" i="1"/>
  <c r="AR45" i="1"/>
  <c r="AS45" i="1"/>
  <c r="AQ46" i="1"/>
  <c r="AR46" i="1"/>
  <c r="AS46" i="1"/>
  <c r="AQ47" i="1"/>
  <c r="AR47" i="1"/>
  <c r="AS47" i="1"/>
  <c r="AQ48" i="1"/>
  <c r="AR48" i="1"/>
  <c r="AS48" i="1"/>
  <c r="AQ49" i="1"/>
  <c r="AR49" i="1"/>
  <c r="AS49" i="1"/>
  <c r="AQ50" i="1"/>
  <c r="AR50" i="1"/>
  <c r="AS50" i="1"/>
  <c r="AQ51" i="1"/>
  <c r="AR51" i="1"/>
  <c r="AS51" i="1"/>
  <c r="AQ52" i="1"/>
  <c r="AR52" i="1"/>
  <c r="AS52" i="1"/>
  <c r="AQ53" i="1"/>
  <c r="AR53" i="1"/>
  <c r="AS53" i="1"/>
  <c r="AQ54" i="1"/>
  <c r="AR54" i="1"/>
  <c r="AS54" i="1"/>
  <c r="AQ55" i="1"/>
  <c r="AR55" i="1"/>
  <c r="AS55" i="1"/>
  <c r="AQ56" i="1"/>
  <c r="AR56" i="1"/>
  <c r="AS56" i="1"/>
  <c r="AQ57" i="1"/>
  <c r="AR57" i="1"/>
  <c r="AS57" i="1"/>
  <c r="AQ58" i="1"/>
  <c r="AR58" i="1"/>
  <c r="AS58" i="1"/>
  <c r="AQ59" i="1"/>
  <c r="AR59" i="1"/>
  <c r="AS59" i="1"/>
  <c r="AQ60" i="1"/>
  <c r="AR60" i="1"/>
  <c r="AS60" i="1"/>
  <c r="AQ61" i="1"/>
  <c r="AR61" i="1"/>
  <c r="AS61" i="1"/>
  <c r="AQ62" i="1"/>
  <c r="AR62" i="1"/>
  <c r="AS62" i="1"/>
  <c r="AQ63" i="1"/>
  <c r="AR63" i="1"/>
  <c r="AS63" i="1"/>
  <c r="AQ64" i="1"/>
  <c r="AR64" i="1"/>
  <c r="AS64" i="1"/>
  <c r="AQ65" i="1"/>
  <c r="AR65" i="1"/>
  <c r="AS65" i="1"/>
  <c r="AQ66" i="1"/>
  <c r="AR66" i="1"/>
  <c r="AS66" i="1"/>
  <c r="AQ67" i="1"/>
  <c r="AR67" i="1"/>
  <c r="AS67" i="1"/>
  <c r="AQ68" i="1"/>
  <c r="AR68" i="1"/>
  <c r="AS68" i="1"/>
  <c r="AQ69" i="1"/>
  <c r="AR69" i="1"/>
  <c r="AS69" i="1"/>
  <c r="AQ70" i="1"/>
  <c r="AR70" i="1"/>
  <c r="AS70" i="1"/>
  <c r="AQ71" i="1"/>
  <c r="AR71" i="1"/>
  <c r="AS71" i="1"/>
  <c r="AQ72" i="1"/>
  <c r="AR72" i="1"/>
  <c r="AS72" i="1"/>
  <c r="AQ73" i="1"/>
  <c r="AR73" i="1"/>
  <c r="AS73" i="1"/>
  <c r="AQ74" i="1"/>
  <c r="AR74" i="1"/>
  <c r="AS74" i="1"/>
  <c r="AQ75" i="1"/>
  <c r="AR75" i="1"/>
  <c r="AS75" i="1"/>
  <c r="AQ76" i="1"/>
  <c r="AR76" i="1"/>
  <c r="AS76" i="1"/>
  <c r="AQ77" i="1"/>
  <c r="AR77" i="1"/>
  <c r="AS77" i="1"/>
  <c r="AQ78" i="1"/>
  <c r="AR78" i="1"/>
  <c r="AS78" i="1"/>
  <c r="AQ79" i="1"/>
  <c r="AR79" i="1"/>
  <c r="AS79" i="1"/>
  <c r="AQ80" i="1"/>
  <c r="AR80" i="1"/>
  <c r="AS80" i="1"/>
  <c r="AQ81" i="1"/>
  <c r="AR81" i="1"/>
  <c r="AS81" i="1"/>
  <c r="AQ82" i="1"/>
  <c r="AR82" i="1"/>
  <c r="AS82" i="1"/>
  <c r="AQ83" i="1"/>
  <c r="AR83" i="1"/>
  <c r="AS83" i="1"/>
  <c r="AQ84" i="1"/>
  <c r="AR84" i="1"/>
  <c r="AS84" i="1"/>
  <c r="AQ85" i="1"/>
  <c r="AR85" i="1"/>
  <c r="AS85" i="1"/>
  <c r="AQ86" i="1"/>
  <c r="AR86" i="1"/>
  <c r="AS86" i="1"/>
  <c r="AQ87" i="1"/>
  <c r="AR87" i="1"/>
  <c r="AS87" i="1"/>
  <c r="AQ88" i="1"/>
  <c r="AR88" i="1"/>
  <c r="AS88" i="1"/>
  <c r="AQ89" i="1"/>
  <c r="AR89" i="1"/>
  <c r="AS89" i="1"/>
  <c r="AQ90" i="1"/>
  <c r="AR90" i="1"/>
  <c r="AS90" i="1"/>
  <c r="AQ91" i="1"/>
  <c r="AR91" i="1"/>
  <c r="AS91" i="1"/>
  <c r="AQ92" i="1"/>
  <c r="AR92" i="1"/>
  <c r="AS92" i="1"/>
  <c r="AQ93" i="1"/>
  <c r="AR93" i="1"/>
  <c r="AS93" i="1"/>
  <c r="AQ94" i="1"/>
  <c r="AR94" i="1"/>
  <c r="AS94" i="1"/>
  <c r="AQ95" i="1"/>
  <c r="AR95" i="1"/>
  <c r="AS95" i="1"/>
  <c r="AQ96" i="1"/>
  <c r="AR96" i="1"/>
  <c r="AS96" i="1"/>
  <c r="AQ97" i="1"/>
  <c r="AR97" i="1"/>
  <c r="AS97" i="1"/>
  <c r="AQ98" i="1"/>
  <c r="AR98" i="1"/>
  <c r="AS98" i="1"/>
  <c r="AQ99" i="1"/>
  <c r="AR99" i="1"/>
  <c r="AS99" i="1"/>
  <c r="AQ100" i="1"/>
  <c r="AR100" i="1"/>
  <c r="AS100" i="1"/>
  <c r="AQ101" i="1"/>
  <c r="AR101" i="1"/>
  <c r="AS101" i="1"/>
  <c r="AQ102" i="1"/>
  <c r="AR102" i="1"/>
  <c r="AS102" i="1"/>
  <c r="AQ103" i="1"/>
  <c r="AR103" i="1"/>
  <c r="AS103" i="1"/>
  <c r="AQ104" i="1"/>
  <c r="AR104" i="1"/>
  <c r="AS104" i="1"/>
  <c r="AQ105" i="1"/>
  <c r="AR105" i="1"/>
  <c r="AS105" i="1"/>
  <c r="AQ106" i="1"/>
  <c r="AR106" i="1"/>
  <c r="AS106" i="1"/>
  <c r="AQ107" i="1"/>
  <c r="AR107" i="1"/>
  <c r="AS107" i="1"/>
  <c r="AQ108" i="1"/>
  <c r="AR108" i="1"/>
  <c r="AS108" i="1"/>
  <c r="AQ109" i="1"/>
  <c r="AR109" i="1"/>
  <c r="AS109" i="1"/>
  <c r="AQ110" i="1"/>
  <c r="AR110" i="1"/>
  <c r="AS110" i="1"/>
  <c r="AQ111" i="1"/>
  <c r="AR111" i="1"/>
  <c r="AS111" i="1"/>
  <c r="AQ112" i="1"/>
  <c r="AR112" i="1"/>
  <c r="AS112" i="1"/>
  <c r="AQ113" i="1"/>
  <c r="AR113" i="1"/>
  <c r="AS113" i="1"/>
  <c r="AQ114" i="1"/>
  <c r="AR114" i="1"/>
  <c r="AS114" i="1"/>
  <c r="AQ115" i="1"/>
  <c r="AR115" i="1"/>
  <c r="AS115" i="1"/>
  <c r="AQ116" i="1"/>
  <c r="AR116" i="1"/>
  <c r="AS116" i="1"/>
  <c r="AQ117" i="1"/>
  <c r="AR117" i="1"/>
  <c r="AS117" i="1"/>
  <c r="AQ118" i="1"/>
  <c r="AR118" i="1"/>
  <c r="AS118" i="1"/>
  <c r="AQ119" i="1"/>
  <c r="AR119" i="1"/>
  <c r="AS119" i="1"/>
  <c r="AQ120" i="1"/>
  <c r="AR120" i="1"/>
  <c r="AS120" i="1"/>
  <c r="AQ121" i="1"/>
  <c r="AR121" i="1"/>
  <c r="AS121" i="1"/>
  <c r="AQ122" i="1"/>
  <c r="AR122" i="1"/>
  <c r="AS122" i="1"/>
  <c r="AQ123" i="1"/>
  <c r="AR123" i="1"/>
  <c r="AS123" i="1"/>
  <c r="AQ124" i="1"/>
  <c r="AR124" i="1"/>
  <c r="AS124" i="1"/>
  <c r="AQ125" i="1"/>
  <c r="AR125" i="1"/>
  <c r="AS125" i="1"/>
  <c r="AQ126" i="1"/>
  <c r="AR126" i="1"/>
  <c r="AS126" i="1"/>
  <c r="AQ127" i="1"/>
  <c r="AR127" i="1"/>
  <c r="AS127" i="1"/>
  <c r="AQ128" i="1"/>
  <c r="AR128" i="1"/>
  <c r="AS128" i="1"/>
  <c r="AQ129" i="1"/>
  <c r="AR129" i="1"/>
  <c r="AS129" i="1"/>
  <c r="AQ130" i="1"/>
  <c r="AR130" i="1"/>
  <c r="AS130" i="1"/>
  <c r="AQ131" i="1"/>
  <c r="AR131" i="1"/>
  <c r="AS131" i="1"/>
  <c r="AQ132" i="1"/>
  <c r="AR132" i="1"/>
  <c r="AS132" i="1"/>
  <c r="AQ133" i="1"/>
  <c r="AR133" i="1"/>
  <c r="AS133" i="1"/>
  <c r="AQ134" i="1"/>
  <c r="AR134" i="1"/>
  <c r="AS134" i="1"/>
  <c r="AQ135" i="1"/>
  <c r="AR135" i="1"/>
  <c r="AS135" i="1"/>
  <c r="AQ136" i="1"/>
  <c r="AR136" i="1"/>
  <c r="AS136" i="1"/>
  <c r="AQ137" i="1"/>
  <c r="AR137" i="1"/>
  <c r="AS137" i="1"/>
  <c r="AQ138" i="1"/>
  <c r="AR138" i="1"/>
  <c r="AS138" i="1"/>
  <c r="AQ139" i="1"/>
  <c r="AR139" i="1"/>
  <c r="AS139" i="1"/>
  <c r="AQ140" i="1"/>
  <c r="AR140" i="1"/>
  <c r="AS140" i="1"/>
  <c r="AQ141" i="1"/>
  <c r="AR141" i="1"/>
  <c r="AS141" i="1"/>
  <c r="AQ142" i="1"/>
  <c r="AR142" i="1"/>
  <c r="AS142" i="1"/>
  <c r="AQ143" i="1"/>
  <c r="AR143" i="1"/>
  <c r="AS143" i="1"/>
  <c r="AQ144" i="1"/>
  <c r="AR144" i="1"/>
  <c r="AS144" i="1"/>
  <c r="AQ145" i="1"/>
  <c r="AR145" i="1"/>
  <c r="AS145" i="1"/>
  <c r="AQ146" i="1"/>
  <c r="AR146" i="1"/>
  <c r="AS146" i="1"/>
  <c r="AQ147" i="1"/>
  <c r="AR147" i="1"/>
  <c r="AS147" i="1"/>
  <c r="AQ148" i="1"/>
  <c r="AR148" i="1"/>
  <c r="AS148" i="1"/>
  <c r="AQ149" i="1"/>
  <c r="AR149" i="1"/>
  <c r="AS149" i="1"/>
  <c r="AQ150" i="1"/>
  <c r="AR150" i="1"/>
  <c r="AS150" i="1"/>
  <c r="AQ151" i="1"/>
  <c r="AR151" i="1"/>
  <c r="AS151" i="1"/>
  <c r="AQ152" i="1"/>
  <c r="AR152" i="1"/>
  <c r="AS152" i="1"/>
  <c r="AQ153" i="1"/>
  <c r="AR153" i="1"/>
  <c r="AS153" i="1"/>
  <c r="AQ154" i="1"/>
  <c r="AR154" i="1"/>
  <c r="AS154" i="1"/>
  <c r="AQ155" i="1"/>
  <c r="AR155" i="1"/>
  <c r="AS155" i="1"/>
  <c r="AQ156" i="1"/>
  <c r="AR156" i="1"/>
  <c r="AS156" i="1"/>
  <c r="AQ157" i="1"/>
  <c r="AR157" i="1"/>
  <c r="AS157" i="1"/>
  <c r="AQ158" i="1"/>
  <c r="AR158" i="1"/>
  <c r="AS158" i="1"/>
  <c r="AQ159" i="1"/>
  <c r="AR159" i="1"/>
  <c r="AS159" i="1"/>
  <c r="AQ160" i="1"/>
  <c r="AR160" i="1"/>
  <c r="AS160" i="1"/>
  <c r="AQ161" i="1"/>
  <c r="AR161" i="1"/>
  <c r="AS161" i="1"/>
  <c r="AQ162" i="1"/>
  <c r="AR162" i="1"/>
  <c r="AS162" i="1"/>
  <c r="AQ163" i="1"/>
  <c r="AR163" i="1"/>
  <c r="AS163" i="1"/>
  <c r="AQ164" i="1"/>
  <c r="AR164" i="1"/>
  <c r="AS164" i="1"/>
  <c r="AQ165" i="1"/>
  <c r="AR165" i="1"/>
  <c r="AS165" i="1"/>
  <c r="AQ166" i="1"/>
  <c r="AR166" i="1"/>
  <c r="AS166" i="1"/>
  <c r="AQ167" i="1"/>
  <c r="AR167" i="1"/>
  <c r="AS167" i="1"/>
  <c r="AQ168" i="1"/>
  <c r="AR168" i="1"/>
  <c r="AS168" i="1"/>
  <c r="AQ169" i="1"/>
  <c r="AR169" i="1"/>
  <c r="AS169" i="1"/>
  <c r="AQ170" i="1"/>
  <c r="AR170" i="1"/>
  <c r="AS170" i="1"/>
  <c r="AQ171" i="1"/>
  <c r="AR171" i="1"/>
  <c r="AS171" i="1"/>
  <c r="AQ172" i="1"/>
  <c r="AR172" i="1"/>
  <c r="AS172" i="1"/>
  <c r="AQ173" i="1"/>
  <c r="AR173" i="1"/>
  <c r="AS173" i="1"/>
  <c r="AQ174" i="1"/>
  <c r="AR174" i="1"/>
  <c r="AS174" i="1"/>
  <c r="AQ175" i="1"/>
  <c r="AR175" i="1"/>
  <c r="AS175" i="1"/>
  <c r="AQ176" i="1"/>
  <c r="AR176" i="1"/>
  <c r="AS176" i="1"/>
  <c r="AQ177" i="1"/>
  <c r="AR177" i="1"/>
  <c r="AS177" i="1"/>
  <c r="AQ178" i="1"/>
  <c r="AR178" i="1"/>
  <c r="AS178" i="1"/>
  <c r="AQ179" i="1"/>
  <c r="AR179" i="1"/>
  <c r="AS179" i="1"/>
  <c r="AQ180" i="1"/>
  <c r="AR180" i="1"/>
  <c r="AS180" i="1"/>
  <c r="AQ181" i="1"/>
  <c r="AR181" i="1"/>
  <c r="AS181" i="1"/>
  <c r="AQ182" i="1"/>
  <c r="AR182" i="1"/>
  <c r="AS182" i="1"/>
  <c r="AQ183" i="1"/>
  <c r="AR183" i="1"/>
  <c r="AS183" i="1"/>
  <c r="AQ184" i="1"/>
  <c r="AR184" i="1"/>
  <c r="AS184" i="1"/>
  <c r="AQ185" i="1"/>
  <c r="AR185" i="1"/>
  <c r="AS185" i="1"/>
  <c r="AQ186" i="1"/>
  <c r="AR186" i="1"/>
  <c r="AS186" i="1"/>
  <c r="AQ187" i="1"/>
  <c r="AR187" i="1"/>
  <c r="AS187" i="1"/>
  <c r="AQ188" i="1"/>
  <c r="AR188" i="1"/>
  <c r="AS188" i="1"/>
  <c r="AQ189" i="1"/>
  <c r="AR189" i="1"/>
  <c r="AS189" i="1"/>
  <c r="AQ190" i="1"/>
  <c r="AR190" i="1"/>
  <c r="AS190" i="1"/>
  <c r="AQ191" i="1"/>
  <c r="AR191" i="1"/>
  <c r="AS191" i="1"/>
  <c r="AQ192" i="1"/>
  <c r="AR192" i="1"/>
  <c r="AS192" i="1"/>
  <c r="AQ193" i="1"/>
  <c r="AR193" i="1"/>
  <c r="AS193" i="1"/>
  <c r="AQ194" i="1"/>
  <c r="AR194" i="1"/>
  <c r="AS194" i="1"/>
  <c r="AQ195" i="1"/>
  <c r="AR195" i="1"/>
  <c r="AS195" i="1"/>
  <c r="AQ196" i="1"/>
  <c r="AR196" i="1"/>
  <c r="AS196" i="1"/>
  <c r="AQ197" i="1"/>
  <c r="AR197" i="1"/>
  <c r="AS197" i="1"/>
  <c r="AQ198" i="1"/>
  <c r="AR198" i="1"/>
  <c r="AS198" i="1"/>
  <c r="AQ199" i="1"/>
  <c r="AR199" i="1"/>
  <c r="AS199" i="1"/>
  <c r="AQ200" i="1"/>
  <c r="AR200" i="1"/>
  <c r="AS200" i="1"/>
  <c r="AQ201" i="1"/>
  <c r="AR201" i="1"/>
  <c r="AS201" i="1"/>
  <c r="AQ202" i="1"/>
  <c r="AR202" i="1"/>
  <c r="AS202" i="1"/>
  <c r="AU3" i="1"/>
  <c r="AV3" i="1"/>
  <c r="AW3" i="1"/>
  <c r="AQ3" i="1"/>
  <c r="AR3" i="1"/>
  <c r="AS3" i="1"/>
  <c r="AM4" i="1"/>
  <c r="AN4" i="1"/>
  <c r="AO4" i="1"/>
  <c r="AM5" i="1"/>
  <c r="AN5" i="1"/>
  <c r="AO5" i="1"/>
  <c r="AM6" i="1"/>
  <c r="AN6" i="1"/>
  <c r="AO6" i="1"/>
  <c r="AM7" i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37" i="1"/>
  <c r="AN37" i="1"/>
  <c r="AO37" i="1"/>
  <c r="AM38" i="1"/>
  <c r="AN38" i="1"/>
  <c r="AO38" i="1"/>
  <c r="AM39" i="1"/>
  <c r="AN39" i="1"/>
  <c r="AO39" i="1"/>
  <c r="AM40" i="1"/>
  <c r="AN40" i="1"/>
  <c r="AO40" i="1"/>
  <c r="AM41" i="1"/>
  <c r="AN41" i="1"/>
  <c r="AO41" i="1"/>
  <c r="AM42" i="1"/>
  <c r="AN42" i="1"/>
  <c r="AO42" i="1"/>
  <c r="AM43" i="1"/>
  <c r="AN43" i="1"/>
  <c r="AO43" i="1"/>
  <c r="AM44" i="1"/>
  <c r="AN44" i="1"/>
  <c r="AO44" i="1"/>
  <c r="AM45" i="1"/>
  <c r="AN45" i="1"/>
  <c r="AO45" i="1"/>
  <c r="AM46" i="1"/>
  <c r="AN46" i="1"/>
  <c r="AO4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M64" i="1"/>
  <c r="AN64" i="1"/>
  <c r="AO64" i="1"/>
  <c r="AM65" i="1"/>
  <c r="AN65" i="1"/>
  <c r="AO65" i="1"/>
  <c r="AM66" i="1"/>
  <c r="AN66" i="1"/>
  <c r="AO66" i="1"/>
  <c r="AM67" i="1"/>
  <c r="AN67" i="1"/>
  <c r="AO67" i="1"/>
  <c r="AM68" i="1"/>
  <c r="AN68" i="1"/>
  <c r="AO68" i="1"/>
  <c r="AM69" i="1"/>
  <c r="AN69" i="1"/>
  <c r="AO69" i="1"/>
  <c r="AM70" i="1"/>
  <c r="AN70" i="1"/>
  <c r="AO70" i="1"/>
  <c r="AM71" i="1"/>
  <c r="AN71" i="1"/>
  <c r="AO71" i="1"/>
  <c r="AM72" i="1"/>
  <c r="AN72" i="1"/>
  <c r="AO72" i="1"/>
  <c r="AM73" i="1"/>
  <c r="AN73" i="1"/>
  <c r="AO73" i="1"/>
  <c r="AM74" i="1"/>
  <c r="AN74" i="1"/>
  <c r="AO74" i="1"/>
  <c r="AM75" i="1"/>
  <c r="AN75" i="1"/>
  <c r="AO75" i="1"/>
  <c r="AM76" i="1"/>
  <c r="AN76" i="1"/>
  <c r="AO76" i="1"/>
  <c r="AM77" i="1"/>
  <c r="AN77" i="1"/>
  <c r="AO77" i="1"/>
  <c r="AM78" i="1"/>
  <c r="AN78" i="1"/>
  <c r="AO78" i="1"/>
  <c r="AM79" i="1"/>
  <c r="AN79" i="1"/>
  <c r="AO79" i="1"/>
  <c r="AM80" i="1"/>
  <c r="AN80" i="1"/>
  <c r="AO80" i="1"/>
  <c r="AM81" i="1"/>
  <c r="AN81" i="1"/>
  <c r="AO81" i="1"/>
  <c r="AM82" i="1"/>
  <c r="AN82" i="1"/>
  <c r="AO82" i="1"/>
  <c r="AM83" i="1"/>
  <c r="AN83" i="1"/>
  <c r="AO83" i="1"/>
  <c r="AM84" i="1"/>
  <c r="AN84" i="1"/>
  <c r="AO84" i="1"/>
  <c r="AM85" i="1"/>
  <c r="AN85" i="1"/>
  <c r="AO85" i="1"/>
  <c r="AM86" i="1"/>
  <c r="AN86" i="1"/>
  <c r="AO86" i="1"/>
  <c r="AM87" i="1"/>
  <c r="AN87" i="1"/>
  <c r="AO87" i="1"/>
  <c r="AM88" i="1"/>
  <c r="AN88" i="1"/>
  <c r="AO88" i="1"/>
  <c r="AM89" i="1"/>
  <c r="AN89" i="1"/>
  <c r="AO89" i="1"/>
  <c r="AM90" i="1"/>
  <c r="AN90" i="1"/>
  <c r="AO90" i="1"/>
  <c r="AM91" i="1"/>
  <c r="AN91" i="1"/>
  <c r="AO91" i="1"/>
  <c r="AM92" i="1"/>
  <c r="AN92" i="1"/>
  <c r="AO92" i="1"/>
  <c r="AM93" i="1"/>
  <c r="AN93" i="1"/>
  <c r="AO93" i="1"/>
  <c r="AM94" i="1"/>
  <c r="AN94" i="1"/>
  <c r="AO94" i="1"/>
  <c r="AM95" i="1"/>
  <c r="AN95" i="1"/>
  <c r="AO95" i="1"/>
  <c r="AM96" i="1"/>
  <c r="AN96" i="1"/>
  <c r="AO96" i="1"/>
  <c r="AM97" i="1"/>
  <c r="AN97" i="1"/>
  <c r="AO97" i="1"/>
  <c r="AM98" i="1"/>
  <c r="AN98" i="1"/>
  <c r="AO98" i="1"/>
  <c r="AM99" i="1"/>
  <c r="AN99" i="1"/>
  <c r="AO99" i="1"/>
  <c r="AM100" i="1"/>
  <c r="AN100" i="1"/>
  <c r="AO100" i="1"/>
  <c r="AM101" i="1"/>
  <c r="AN101" i="1"/>
  <c r="AO101" i="1"/>
  <c r="AM102" i="1"/>
  <c r="AN102" i="1"/>
  <c r="AO102" i="1"/>
  <c r="AM103" i="1"/>
  <c r="AN103" i="1"/>
  <c r="AO103" i="1"/>
  <c r="AM104" i="1"/>
  <c r="AN104" i="1"/>
  <c r="AO104" i="1"/>
  <c r="AM105" i="1"/>
  <c r="AN105" i="1"/>
  <c r="AO105" i="1"/>
  <c r="AM106" i="1"/>
  <c r="AN106" i="1"/>
  <c r="AO106" i="1"/>
  <c r="AM107" i="1"/>
  <c r="AN107" i="1"/>
  <c r="AO107" i="1"/>
  <c r="AM108" i="1"/>
  <c r="AN108" i="1"/>
  <c r="AO108" i="1"/>
  <c r="AM109" i="1"/>
  <c r="AN109" i="1"/>
  <c r="AO109" i="1"/>
  <c r="AM110" i="1"/>
  <c r="AN110" i="1"/>
  <c r="AO110" i="1"/>
  <c r="AM111" i="1"/>
  <c r="AN111" i="1"/>
  <c r="AO111" i="1"/>
  <c r="AM112" i="1"/>
  <c r="AN112" i="1"/>
  <c r="AO112" i="1"/>
  <c r="AM113" i="1"/>
  <c r="AN113" i="1"/>
  <c r="AO113" i="1"/>
  <c r="AM114" i="1"/>
  <c r="AN114" i="1"/>
  <c r="AO114" i="1"/>
  <c r="AM115" i="1"/>
  <c r="AN115" i="1"/>
  <c r="AO115" i="1"/>
  <c r="AM116" i="1"/>
  <c r="AN116" i="1"/>
  <c r="AO116" i="1"/>
  <c r="AM117" i="1"/>
  <c r="AN117" i="1"/>
  <c r="AO117" i="1"/>
  <c r="AM118" i="1"/>
  <c r="AN118" i="1"/>
  <c r="AO118" i="1"/>
  <c r="AM119" i="1"/>
  <c r="AN119" i="1"/>
  <c r="AO119" i="1"/>
  <c r="AM120" i="1"/>
  <c r="AN120" i="1"/>
  <c r="AO120" i="1"/>
  <c r="AM121" i="1"/>
  <c r="AN121" i="1"/>
  <c r="AO121" i="1"/>
  <c r="AM122" i="1"/>
  <c r="AN122" i="1"/>
  <c r="AO122" i="1"/>
  <c r="AM123" i="1"/>
  <c r="AN123" i="1"/>
  <c r="AO123" i="1"/>
  <c r="AM124" i="1"/>
  <c r="AN124" i="1"/>
  <c r="AO124" i="1"/>
  <c r="AM125" i="1"/>
  <c r="AN125" i="1"/>
  <c r="AO125" i="1"/>
  <c r="AM126" i="1"/>
  <c r="AN126" i="1"/>
  <c r="AO126" i="1"/>
  <c r="AM127" i="1"/>
  <c r="AN127" i="1"/>
  <c r="AO127" i="1"/>
  <c r="AM128" i="1"/>
  <c r="AN128" i="1"/>
  <c r="AO128" i="1"/>
  <c r="AM129" i="1"/>
  <c r="AN129" i="1"/>
  <c r="AO129" i="1"/>
  <c r="AM130" i="1"/>
  <c r="AN130" i="1"/>
  <c r="AO130" i="1"/>
  <c r="AM131" i="1"/>
  <c r="AN131" i="1"/>
  <c r="AO131" i="1"/>
  <c r="AM132" i="1"/>
  <c r="AN132" i="1"/>
  <c r="AO132" i="1"/>
  <c r="AM133" i="1"/>
  <c r="AN133" i="1"/>
  <c r="AO133" i="1"/>
  <c r="AM134" i="1"/>
  <c r="AN134" i="1"/>
  <c r="AO134" i="1"/>
  <c r="AM135" i="1"/>
  <c r="AN135" i="1"/>
  <c r="AO135" i="1"/>
  <c r="AM136" i="1"/>
  <c r="AN136" i="1"/>
  <c r="AO136" i="1"/>
  <c r="AM137" i="1"/>
  <c r="AN137" i="1"/>
  <c r="AO137" i="1"/>
  <c r="AM138" i="1"/>
  <c r="AN138" i="1"/>
  <c r="AO138" i="1"/>
  <c r="AM139" i="1"/>
  <c r="AN139" i="1"/>
  <c r="AO139" i="1"/>
  <c r="AM140" i="1"/>
  <c r="AN140" i="1"/>
  <c r="AO140" i="1"/>
  <c r="AM141" i="1"/>
  <c r="AN141" i="1"/>
  <c r="AO141" i="1"/>
  <c r="AM142" i="1"/>
  <c r="AN142" i="1"/>
  <c r="AO142" i="1"/>
  <c r="AM143" i="1"/>
  <c r="AN143" i="1"/>
  <c r="AO143" i="1"/>
  <c r="AM144" i="1"/>
  <c r="AN144" i="1"/>
  <c r="AO144" i="1"/>
  <c r="AM145" i="1"/>
  <c r="AN145" i="1"/>
  <c r="AO145" i="1"/>
  <c r="AM146" i="1"/>
  <c r="AN146" i="1"/>
  <c r="AO146" i="1"/>
  <c r="AM147" i="1"/>
  <c r="AN147" i="1"/>
  <c r="AO147" i="1"/>
  <c r="AM148" i="1"/>
  <c r="AN148" i="1"/>
  <c r="AO148" i="1"/>
  <c r="AM149" i="1"/>
  <c r="AN149" i="1"/>
  <c r="AO149" i="1"/>
  <c r="AM150" i="1"/>
  <c r="AN150" i="1"/>
  <c r="AO150" i="1"/>
  <c r="AM151" i="1"/>
  <c r="AN151" i="1"/>
  <c r="AO151" i="1"/>
  <c r="AM152" i="1"/>
  <c r="AN152" i="1"/>
  <c r="AO152" i="1"/>
  <c r="AM153" i="1"/>
  <c r="AN153" i="1"/>
  <c r="AO153" i="1"/>
  <c r="AM154" i="1"/>
  <c r="AN154" i="1"/>
  <c r="AO154" i="1"/>
  <c r="AM155" i="1"/>
  <c r="AN155" i="1"/>
  <c r="AO155" i="1"/>
  <c r="AM156" i="1"/>
  <c r="AN156" i="1"/>
  <c r="AO156" i="1"/>
  <c r="AM157" i="1"/>
  <c r="AN157" i="1"/>
  <c r="AO157" i="1"/>
  <c r="AM158" i="1"/>
  <c r="AN158" i="1"/>
  <c r="AO158" i="1"/>
  <c r="AM159" i="1"/>
  <c r="AN159" i="1"/>
  <c r="AO159" i="1"/>
  <c r="AM160" i="1"/>
  <c r="AN160" i="1"/>
  <c r="AO160" i="1"/>
  <c r="AM161" i="1"/>
  <c r="AN161" i="1"/>
  <c r="AO161" i="1"/>
  <c r="AM162" i="1"/>
  <c r="AN162" i="1"/>
  <c r="AO162" i="1"/>
  <c r="AM163" i="1"/>
  <c r="AN163" i="1"/>
  <c r="AO163" i="1"/>
  <c r="AM164" i="1"/>
  <c r="AN164" i="1"/>
  <c r="AO164" i="1"/>
  <c r="AM165" i="1"/>
  <c r="AN165" i="1"/>
  <c r="AO165" i="1"/>
  <c r="AM166" i="1"/>
  <c r="AN166" i="1"/>
  <c r="AO166" i="1"/>
  <c r="AM167" i="1"/>
  <c r="AN167" i="1"/>
  <c r="AO167" i="1"/>
  <c r="AM168" i="1"/>
  <c r="AN168" i="1"/>
  <c r="AO168" i="1"/>
  <c r="AM169" i="1"/>
  <c r="AN169" i="1"/>
  <c r="AO169" i="1"/>
  <c r="AM170" i="1"/>
  <c r="AN170" i="1"/>
  <c r="AO170" i="1"/>
  <c r="AM171" i="1"/>
  <c r="AN171" i="1"/>
  <c r="AO171" i="1"/>
  <c r="AM172" i="1"/>
  <c r="AN172" i="1"/>
  <c r="AO172" i="1"/>
  <c r="AM173" i="1"/>
  <c r="AN173" i="1"/>
  <c r="AO173" i="1"/>
  <c r="AM174" i="1"/>
  <c r="AN174" i="1"/>
  <c r="AO174" i="1"/>
  <c r="AM175" i="1"/>
  <c r="AN175" i="1"/>
  <c r="AO175" i="1"/>
  <c r="AM176" i="1"/>
  <c r="AN176" i="1"/>
  <c r="AO176" i="1"/>
  <c r="AM177" i="1"/>
  <c r="AN177" i="1"/>
  <c r="AO177" i="1"/>
  <c r="AM178" i="1"/>
  <c r="AN178" i="1"/>
  <c r="AO178" i="1"/>
  <c r="AM179" i="1"/>
  <c r="AN179" i="1"/>
  <c r="AO179" i="1"/>
  <c r="AM180" i="1"/>
  <c r="AN180" i="1"/>
  <c r="AO180" i="1"/>
  <c r="AM181" i="1"/>
  <c r="AN181" i="1"/>
  <c r="AO181" i="1"/>
  <c r="AM182" i="1"/>
  <c r="AN182" i="1"/>
  <c r="AO182" i="1"/>
  <c r="AM183" i="1"/>
  <c r="AN183" i="1"/>
  <c r="AO183" i="1"/>
  <c r="AM184" i="1"/>
  <c r="AN184" i="1"/>
  <c r="AO184" i="1"/>
  <c r="AM185" i="1"/>
  <c r="AN185" i="1"/>
  <c r="AO185" i="1"/>
  <c r="AM186" i="1"/>
  <c r="AN186" i="1"/>
  <c r="AO186" i="1"/>
  <c r="AM187" i="1"/>
  <c r="AN187" i="1"/>
  <c r="AO187" i="1"/>
  <c r="AM188" i="1"/>
  <c r="AN188" i="1"/>
  <c r="AO188" i="1"/>
  <c r="AM189" i="1"/>
  <c r="AN189" i="1"/>
  <c r="AO189" i="1"/>
  <c r="AM190" i="1"/>
  <c r="AN190" i="1"/>
  <c r="AO190" i="1"/>
  <c r="AM191" i="1"/>
  <c r="AN191" i="1"/>
  <c r="AO191" i="1"/>
  <c r="AM192" i="1"/>
  <c r="AN192" i="1"/>
  <c r="AO192" i="1"/>
  <c r="AM193" i="1"/>
  <c r="AN193" i="1"/>
  <c r="AO193" i="1"/>
  <c r="AM194" i="1"/>
  <c r="AN194" i="1"/>
  <c r="AO194" i="1"/>
  <c r="AM195" i="1"/>
  <c r="AN195" i="1"/>
  <c r="AO195" i="1"/>
  <c r="AM196" i="1"/>
  <c r="AN196" i="1"/>
  <c r="AO196" i="1"/>
  <c r="AM197" i="1"/>
  <c r="AN197" i="1"/>
  <c r="AO197" i="1"/>
  <c r="AM198" i="1"/>
  <c r="AN198" i="1"/>
  <c r="AO198" i="1"/>
  <c r="AM199" i="1"/>
  <c r="AN199" i="1"/>
  <c r="AO199" i="1"/>
  <c r="AM200" i="1"/>
  <c r="AN200" i="1"/>
  <c r="AO200" i="1"/>
  <c r="AM201" i="1"/>
  <c r="AN201" i="1"/>
  <c r="AO201" i="1"/>
  <c r="AM202" i="1"/>
  <c r="AN202" i="1"/>
  <c r="AO202" i="1"/>
  <c r="AM3" i="1"/>
  <c r="AN3" i="1"/>
  <c r="AO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8" i="1"/>
  <c r="AK18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3" i="1"/>
  <c r="AK3" i="1"/>
  <c r="AF4" i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3" i="1"/>
  <c r="AG3" i="1"/>
  <c r="AH3" i="1"/>
  <c r="AB4" i="1"/>
  <c r="AC4" i="1"/>
  <c r="AD4" i="1"/>
  <c r="AB5" i="1"/>
  <c r="AC5" i="1"/>
  <c r="AD5" i="1"/>
  <c r="AB6" i="1"/>
  <c r="AC6" i="1"/>
  <c r="AD6" i="1"/>
  <c r="AB7" i="1"/>
  <c r="AC7" i="1"/>
  <c r="AD7" i="1"/>
  <c r="AB8" i="1"/>
  <c r="AC8" i="1"/>
  <c r="AD8" i="1"/>
  <c r="AB9" i="1"/>
  <c r="AC9" i="1"/>
  <c r="AD9" i="1"/>
  <c r="AB10" i="1"/>
  <c r="AC10" i="1"/>
  <c r="AD10" i="1"/>
  <c r="AB11" i="1"/>
  <c r="AC11" i="1"/>
  <c r="AD11" i="1"/>
  <c r="AB12" i="1"/>
  <c r="AC12" i="1"/>
  <c r="AD12" i="1"/>
  <c r="AB13" i="1"/>
  <c r="AC13" i="1"/>
  <c r="AD13" i="1"/>
  <c r="AB14" i="1"/>
  <c r="AC14" i="1"/>
  <c r="AD14" i="1"/>
  <c r="AB15" i="1"/>
  <c r="AC15" i="1"/>
  <c r="AD15" i="1"/>
  <c r="AB16" i="1"/>
  <c r="AC16" i="1"/>
  <c r="AD16" i="1"/>
  <c r="AB17" i="1"/>
  <c r="AC17" i="1"/>
  <c r="AD17" i="1"/>
  <c r="AB18" i="1"/>
  <c r="AC18" i="1"/>
  <c r="AD18" i="1"/>
  <c r="AB19" i="1"/>
  <c r="AC19" i="1"/>
  <c r="AD19" i="1"/>
  <c r="AB20" i="1"/>
  <c r="AC20" i="1"/>
  <c r="AD20" i="1"/>
  <c r="AB21" i="1"/>
  <c r="AC21" i="1"/>
  <c r="AD21" i="1"/>
  <c r="AB22" i="1"/>
  <c r="AC22" i="1"/>
  <c r="AD22" i="1"/>
  <c r="AB23" i="1"/>
  <c r="AC23" i="1"/>
  <c r="AD23" i="1"/>
  <c r="AB24" i="1"/>
  <c r="AC24" i="1"/>
  <c r="AD24" i="1"/>
  <c r="AB25" i="1"/>
  <c r="AC25" i="1"/>
  <c r="AD25" i="1"/>
  <c r="AB26" i="1"/>
  <c r="AC26" i="1"/>
  <c r="AD26" i="1"/>
  <c r="AB27" i="1"/>
  <c r="AC27" i="1"/>
  <c r="AD27" i="1"/>
  <c r="AB28" i="1"/>
  <c r="AC28" i="1"/>
  <c r="AD28" i="1"/>
  <c r="AB29" i="1"/>
  <c r="AC29" i="1"/>
  <c r="AD29" i="1"/>
  <c r="AB30" i="1"/>
  <c r="AC30" i="1"/>
  <c r="AD30" i="1"/>
  <c r="AB31" i="1"/>
  <c r="AC31" i="1"/>
  <c r="AD31" i="1"/>
  <c r="AB32" i="1"/>
  <c r="AC32" i="1"/>
  <c r="AD32" i="1"/>
  <c r="AB33" i="1"/>
  <c r="AC33" i="1"/>
  <c r="AD33" i="1"/>
  <c r="AB34" i="1"/>
  <c r="AC34" i="1"/>
  <c r="AD34" i="1"/>
  <c r="AB35" i="1"/>
  <c r="AC35" i="1"/>
  <c r="AD35" i="1"/>
  <c r="AB36" i="1"/>
  <c r="AC36" i="1"/>
  <c r="AD36" i="1"/>
  <c r="AB37" i="1"/>
  <c r="AC37" i="1"/>
  <c r="AD37" i="1"/>
  <c r="AB38" i="1"/>
  <c r="AC38" i="1"/>
  <c r="AD38" i="1"/>
  <c r="AB39" i="1"/>
  <c r="AC39" i="1"/>
  <c r="AD39" i="1"/>
  <c r="AB40" i="1"/>
  <c r="AC40" i="1"/>
  <c r="AD40" i="1"/>
  <c r="AB41" i="1"/>
  <c r="AC41" i="1"/>
  <c r="AD41" i="1"/>
  <c r="AB42" i="1"/>
  <c r="AC42" i="1"/>
  <c r="AD42" i="1"/>
  <c r="AB43" i="1"/>
  <c r="AC43" i="1"/>
  <c r="AD43" i="1"/>
  <c r="AB44" i="1"/>
  <c r="AC44" i="1"/>
  <c r="AD44" i="1"/>
  <c r="AB45" i="1"/>
  <c r="AC45" i="1"/>
  <c r="AD45" i="1"/>
  <c r="AB46" i="1"/>
  <c r="AC46" i="1"/>
  <c r="AD46" i="1"/>
  <c r="AB47" i="1"/>
  <c r="AC47" i="1"/>
  <c r="AD47" i="1"/>
  <c r="AB48" i="1"/>
  <c r="AC48" i="1"/>
  <c r="AD48" i="1"/>
  <c r="AB49" i="1"/>
  <c r="AC49" i="1"/>
  <c r="AD49" i="1"/>
  <c r="AB50" i="1"/>
  <c r="AC50" i="1"/>
  <c r="AD50" i="1"/>
  <c r="AB51" i="1"/>
  <c r="AC51" i="1"/>
  <c r="AD51" i="1"/>
  <c r="AB52" i="1"/>
  <c r="AC52" i="1"/>
  <c r="AD52" i="1"/>
  <c r="AB53" i="1"/>
  <c r="AC53" i="1"/>
  <c r="AD53" i="1"/>
  <c r="AB54" i="1"/>
  <c r="AC54" i="1"/>
  <c r="AD54" i="1"/>
  <c r="AB55" i="1"/>
  <c r="AC55" i="1"/>
  <c r="AD55" i="1"/>
  <c r="AB56" i="1"/>
  <c r="AC56" i="1"/>
  <c r="AD56" i="1"/>
  <c r="AB57" i="1"/>
  <c r="AC57" i="1"/>
  <c r="AD57" i="1"/>
  <c r="AB58" i="1"/>
  <c r="AC58" i="1"/>
  <c r="AD58" i="1"/>
  <c r="AB59" i="1"/>
  <c r="AC59" i="1"/>
  <c r="AD59" i="1"/>
  <c r="AB60" i="1"/>
  <c r="AC60" i="1"/>
  <c r="AD60" i="1"/>
  <c r="AB61" i="1"/>
  <c r="AC61" i="1"/>
  <c r="AD61" i="1"/>
  <c r="AB62" i="1"/>
  <c r="AC62" i="1"/>
  <c r="AD62" i="1"/>
  <c r="AB63" i="1"/>
  <c r="AC63" i="1"/>
  <c r="AD63" i="1"/>
  <c r="AB64" i="1"/>
  <c r="AC64" i="1"/>
  <c r="AD64" i="1"/>
  <c r="AB65" i="1"/>
  <c r="AC65" i="1"/>
  <c r="AD65" i="1"/>
  <c r="AB66" i="1"/>
  <c r="AC66" i="1"/>
  <c r="AD66" i="1"/>
  <c r="AB67" i="1"/>
  <c r="AC67" i="1"/>
  <c r="AD67" i="1"/>
  <c r="AB68" i="1"/>
  <c r="AC68" i="1"/>
  <c r="AD68" i="1"/>
  <c r="AB69" i="1"/>
  <c r="AC69" i="1"/>
  <c r="AD69" i="1"/>
  <c r="AB70" i="1"/>
  <c r="AC70" i="1"/>
  <c r="AD70" i="1"/>
  <c r="AB71" i="1"/>
  <c r="AC71" i="1"/>
  <c r="AD71" i="1"/>
  <c r="AB72" i="1"/>
  <c r="AC72" i="1"/>
  <c r="AD72" i="1"/>
  <c r="AB73" i="1"/>
  <c r="AC73" i="1"/>
  <c r="AD73" i="1"/>
  <c r="AB74" i="1"/>
  <c r="AC74" i="1"/>
  <c r="AD74" i="1"/>
  <c r="AB75" i="1"/>
  <c r="AC75" i="1"/>
  <c r="AD75" i="1"/>
  <c r="AB76" i="1"/>
  <c r="AC76" i="1"/>
  <c r="AD76" i="1"/>
  <c r="AB77" i="1"/>
  <c r="AC77" i="1"/>
  <c r="AD77" i="1"/>
  <c r="AB78" i="1"/>
  <c r="AC78" i="1"/>
  <c r="AD78" i="1"/>
  <c r="AB79" i="1"/>
  <c r="AC79" i="1"/>
  <c r="AD79" i="1"/>
  <c r="AB80" i="1"/>
  <c r="AC80" i="1"/>
  <c r="AD80" i="1"/>
  <c r="AB81" i="1"/>
  <c r="AC81" i="1"/>
  <c r="AD81" i="1"/>
  <c r="AB82" i="1"/>
  <c r="AC82" i="1"/>
  <c r="AD82" i="1"/>
  <c r="AB83" i="1"/>
  <c r="AC83" i="1"/>
  <c r="AD83" i="1"/>
  <c r="AB84" i="1"/>
  <c r="AC84" i="1"/>
  <c r="AD84" i="1"/>
  <c r="AB85" i="1"/>
  <c r="AC85" i="1"/>
  <c r="AD85" i="1"/>
  <c r="AB86" i="1"/>
  <c r="AC86" i="1"/>
  <c r="AD86" i="1"/>
  <c r="AB87" i="1"/>
  <c r="AC87" i="1"/>
  <c r="AD87" i="1"/>
  <c r="AB88" i="1"/>
  <c r="AC88" i="1"/>
  <c r="AD88" i="1"/>
  <c r="AB89" i="1"/>
  <c r="AC89" i="1"/>
  <c r="AD89" i="1"/>
  <c r="AB90" i="1"/>
  <c r="AC90" i="1"/>
  <c r="AD90" i="1"/>
  <c r="AB91" i="1"/>
  <c r="AC91" i="1"/>
  <c r="AD91" i="1"/>
  <c r="AB92" i="1"/>
  <c r="AC92" i="1"/>
  <c r="AD92" i="1"/>
  <c r="AB93" i="1"/>
  <c r="AC93" i="1"/>
  <c r="AD93" i="1"/>
  <c r="AB94" i="1"/>
  <c r="AC94" i="1"/>
  <c r="AD94" i="1"/>
  <c r="AB95" i="1"/>
  <c r="AC95" i="1"/>
  <c r="AD95" i="1"/>
  <c r="AB96" i="1"/>
  <c r="AC96" i="1"/>
  <c r="AD96" i="1"/>
  <c r="AB97" i="1"/>
  <c r="AC97" i="1"/>
  <c r="AD97" i="1"/>
  <c r="AB98" i="1"/>
  <c r="AC98" i="1"/>
  <c r="AD98" i="1"/>
  <c r="AB99" i="1"/>
  <c r="AC99" i="1"/>
  <c r="AD99" i="1"/>
  <c r="AB100" i="1"/>
  <c r="AC100" i="1"/>
  <c r="AD100" i="1"/>
  <c r="AB101" i="1"/>
  <c r="AC101" i="1"/>
  <c r="AD101" i="1"/>
  <c r="AB102" i="1"/>
  <c r="AC102" i="1"/>
  <c r="AD102" i="1"/>
  <c r="AB103" i="1"/>
  <c r="AC103" i="1"/>
  <c r="AD103" i="1"/>
  <c r="AB104" i="1"/>
  <c r="AC104" i="1"/>
  <c r="AD104" i="1"/>
  <c r="AB105" i="1"/>
  <c r="AC105" i="1"/>
  <c r="AD105" i="1"/>
  <c r="AB106" i="1"/>
  <c r="AC106" i="1"/>
  <c r="AD106" i="1"/>
  <c r="AB107" i="1"/>
  <c r="AC107" i="1"/>
  <c r="AD107" i="1"/>
  <c r="AB108" i="1"/>
  <c r="AC108" i="1"/>
  <c r="AD108" i="1"/>
  <c r="AB109" i="1"/>
  <c r="AC109" i="1"/>
  <c r="AD109" i="1"/>
  <c r="AB110" i="1"/>
  <c r="AC110" i="1"/>
  <c r="AD110" i="1"/>
  <c r="AB111" i="1"/>
  <c r="AC111" i="1"/>
  <c r="AD111" i="1"/>
  <c r="AB112" i="1"/>
  <c r="AC112" i="1"/>
  <c r="AD112" i="1"/>
  <c r="AB113" i="1"/>
  <c r="AC113" i="1"/>
  <c r="AD113" i="1"/>
  <c r="AB114" i="1"/>
  <c r="AC114" i="1"/>
  <c r="AD114" i="1"/>
  <c r="AB115" i="1"/>
  <c r="AC115" i="1"/>
  <c r="AD115" i="1"/>
  <c r="AB116" i="1"/>
  <c r="AC116" i="1"/>
  <c r="AD116" i="1"/>
  <c r="AB117" i="1"/>
  <c r="AC117" i="1"/>
  <c r="AD117" i="1"/>
  <c r="AB118" i="1"/>
  <c r="AC118" i="1"/>
  <c r="AD118" i="1"/>
  <c r="AB119" i="1"/>
  <c r="AC119" i="1"/>
  <c r="AD119" i="1"/>
  <c r="AB120" i="1"/>
  <c r="AC120" i="1"/>
  <c r="AD120" i="1"/>
  <c r="AB121" i="1"/>
  <c r="AC121" i="1"/>
  <c r="AD121" i="1"/>
  <c r="AB122" i="1"/>
  <c r="AC122" i="1"/>
  <c r="AD122" i="1"/>
  <c r="AB123" i="1"/>
  <c r="AC123" i="1"/>
  <c r="AD123" i="1"/>
  <c r="AB124" i="1"/>
  <c r="AC124" i="1"/>
  <c r="AD124" i="1"/>
  <c r="AB125" i="1"/>
  <c r="AC125" i="1"/>
  <c r="AD125" i="1"/>
  <c r="AB126" i="1"/>
  <c r="AC126" i="1"/>
  <c r="AD126" i="1"/>
  <c r="AB127" i="1"/>
  <c r="AC127" i="1"/>
  <c r="AD127" i="1"/>
  <c r="AB128" i="1"/>
  <c r="AC128" i="1"/>
  <c r="AD128" i="1"/>
  <c r="AB129" i="1"/>
  <c r="AC129" i="1"/>
  <c r="AD129" i="1"/>
  <c r="AB130" i="1"/>
  <c r="AC130" i="1"/>
  <c r="AD130" i="1"/>
  <c r="AB131" i="1"/>
  <c r="AC131" i="1"/>
  <c r="AD131" i="1"/>
  <c r="AB132" i="1"/>
  <c r="AC132" i="1"/>
  <c r="AD132" i="1"/>
  <c r="AB133" i="1"/>
  <c r="AC133" i="1"/>
  <c r="AD133" i="1"/>
  <c r="AB134" i="1"/>
  <c r="AC134" i="1"/>
  <c r="AD134" i="1"/>
  <c r="AB135" i="1"/>
  <c r="AC135" i="1"/>
  <c r="AD135" i="1"/>
  <c r="AB136" i="1"/>
  <c r="AC136" i="1"/>
  <c r="AD136" i="1"/>
  <c r="AB137" i="1"/>
  <c r="AC137" i="1"/>
  <c r="AD137" i="1"/>
  <c r="AB138" i="1"/>
  <c r="AC138" i="1"/>
  <c r="AD138" i="1"/>
  <c r="AB139" i="1"/>
  <c r="AC139" i="1"/>
  <c r="AD139" i="1"/>
  <c r="AB140" i="1"/>
  <c r="AC140" i="1"/>
  <c r="AD140" i="1"/>
  <c r="AB141" i="1"/>
  <c r="AC141" i="1"/>
  <c r="AD141" i="1"/>
  <c r="AB142" i="1"/>
  <c r="AC142" i="1"/>
  <c r="AD142" i="1"/>
  <c r="AB143" i="1"/>
  <c r="AC143" i="1"/>
  <c r="AD143" i="1"/>
  <c r="AB144" i="1"/>
  <c r="AC144" i="1"/>
  <c r="AD144" i="1"/>
  <c r="AB145" i="1"/>
  <c r="AC145" i="1"/>
  <c r="AD145" i="1"/>
  <c r="AB146" i="1"/>
  <c r="AC146" i="1"/>
  <c r="AD146" i="1"/>
  <c r="AB147" i="1"/>
  <c r="AC147" i="1"/>
  <c r="AD147" i="1"/>
  <c r="AB148" i="1"/>
  <c r="AC148" i="1"/>
  <c r="AD148" i="1"/>
  <c r="AB149" i="1"/>
  <c r="AC149" i="1"/>
  <c r="AD149" i="1"/>
  <c r="AB150" i="1"/>
  <c r="AC150" i="1"/>
  <c r="AD150" i="1"/>
  <c r="AB151" i="1"/>
  <c r="AC151" i="1"/>
  <c r="AD151" i="1"/>
  <c r="AB152" i="1"/>
  <c r="AC152" i="1"/>
  <c r="AD152" i="1"/>
  <c r="AB153" i="1"/>
  <c r="AC153" i="1"/>
  <c r="AD153" i="1"/>
  <c r="AB154" i="1"/>
  <c r="AC154" i="1"/>
  <c r="AD154" i="1"/>
  <c r="AB155" i="1"/>
  <c r="AC155" i="1"/>
  <c r="AD155" i="1"/>
  <c r="AB156" i="1"/>
  <c r="AC156" i="1"/>
  <c r="AD156" i="1"/>
  <c r="AB157" i="1"/>
  <c r="AC157" i="1"/>
  <c r="AD157" i="1"/>
  <c r="AB158" i="1"/>
  <c r="AC158" i="1"/>
  <c r="AD158" i="1"/>
  <c r="AB159" i="1"/>
  <c r="AC159" i="1"/>
  <c r="AD159" i="1"/>
  <c r="AB160" i="1"/>
  <c r="AC160" i="1"/>
  <c r="AD160" i="1"/>
  <c r="AB161" i="1"/>
  <c r="AC161" i="1"/>
  <c r="AD161" i="1"/>
  <c r="AB162" i="1"/>
  <c r="AC162" i="1"/>
  <c r="AD162" i="1"/>
  <c r="AB163" i="1"/>
  <c r="AC163" i="1"/>
  <c r="AD163" i="1"/>
  <c r="AB164" i="1"/>
  <c r="AC164" i="1"/>
  <c r="AD164" i="1"/>
  <c r="AB165" i="1"/>
  <c r="AC165" i="1"/>
  <c r="AD165" i="1"/>
  <c r="AB166" i="1"/>
  <c r="AC166" i="1"/>
  <c r="AD166" i="1"/>
  <c r="AB167" i="1"/>
  <c r="AC167" i="1"/>
  <c r="AD167" i="1"/>
  <c r="AB168" i="1"/>
  <c r="AC168" i="1"/>
  <c r="AD168" i="1"/>
  <c r="AB169" i="1"/>
  <c r="AC169" i="1"/>
  <c r="AD169" i="1"/>
  <c r="AB170" i="1"/>
  <c r="AC170" i="1"/>
  <c r="AD170" i="1"/>
  <c r="AB171" i="1"/>
  <c r="AC171" i="1"/>
  <c r="AD171" i="1"/>
  <c r="AB172" i="1"/>
  <c r="AC172" i="1"/>
  <c r="AD172" i="1"/>
  <c r="AB173" i="1"/>
  <c r="AC173" i="1"/>
  <c r="AD173" i="1"/>
  <c r="AB174" i="1"/>
  <c r="AC174" i="1"/>
  <c r="AD174" i="1"/>
  <c r="AB175" i="1"/>
  <c r="AC175" i="1"/>
  <c r="AD175" i="1"/>
  <c r="AB176" i="1"/>
  <c r="AC176" i="1"/>
  <c r="AD176" i="1"/>
  <c r="AB177" i="1"/>
  <c r="AC177" i="1"/>
  <c r="AD177" i="1"/>
  <c r="AB178" i="1"/>
  <c r="AC178" i="1"/>
  <c r="AD178" i="1"/>
  <c r="AB179" i="1"/>
  <c r="AC179" i="1"/>
  <c r="AD179" i="1"/>
  <c r="AB180" i="1"/>
  <c r="AC180" i="1"/>
  <c r="AD180" i="1"/>
  <c r="AB181" i="1"/>
  <c r="AC181" i="1"/>
  <c r="AD181" i="1"/>
  <c r="AB182" i="1"/>
  <c r="AC182" i="1"/>
  <c r="AD182" i="1"/>
  <c r="AB183" i="1"/>
  <c r="AC183" i="1"/>
  <c r="AD183" i="1"/>
  <c r="AB184" i="1"/>
  <c r="AC184" i="1"/>
  <c r="AD184" i="1"/>
  <c r="AB185" i="1"/>
  <c r="AC185" i="1"/>
  <c r="AD185" i="1"/>
  <c r="AB186" i="1"/>
  <c r="AC186" i="1"/>
  <c r="AD186" i="1"/>
  <c r="AB187" i="1"/>
  <c r="AC187" i="1"/>
  <c r="AD187" i="1"/>
  <c r="AB188" i="1"/>
  <c r="AC188" i="1"/>
  <c r="AD188" i="1"/>
  <c r="AB189" i="1"/>
  <c r="AC189" i="1"/>
  <c r="AD189" i="1"/>
  <c r="AB190" i="1"/>
  <c r="AC190" i="1"/>
  <c r="AD190" i="1"/>
  <c r="AB191" i="1"/>
  <c r="AC191" i="1"/>
  <c r="AD191" i="1"/>
  <c r="AB192" i="1"/>
  <c r="AC192" i="1"/>
  <c r="AD192" i="1"/>
  <c r="AB193" i="1"/>
  <c r="AC193" i="1"/>
  <c r="AD193" i="1"/>
  <c r="AB194" i="1"/>
  <c r="AC194" i="1"/>
  <c r="AD194" i="1"/>
  <c r="AB195" i="1"/>
  <c r="AC195" i="1"/>
  <c r="AD195" i="1"/>
  <c r="AB196" i="1"/>
  <c r="AC196" i="1"/>
  <c r="AD196" i="1"/>
  <c r="AB197" i="1"/>
  <c r="AC197" i="1"/>
  <c r="AD197" i="1"/>
  <c r="AB198" i="1"/>
  <c r="AC198" i="1"/>
  <c r="AD198" i="1"/>
  <c r="AB199" i="1"/>
  <c r="AC199" i="1"/>
  <c r="AD199" i="1"/>
  <c r="AB200" i="1"/>
  <c r="AC200" i="1"/>
  <c r="AD200" i="1"/>
  <c r="AB201" i="1"/>
  <c r="AC201" i="1"/>
  <c r="AD201" i="1"/>
  <c r="AB202" i="1"/>
  <c r="AC202" i="1"/>
  <c r="AD202" i="1"/>
  <c r="AB3" i="1"/>
  <c r="AC3" i="1"/>
  <c r="AD3" i="1"/>
  <c r="J4" i="1"/>
  <c r="K4" i="1"/>
  <c r="L4" i="1"/>
  <c r="N4" i="1"/>
  <c r="O4" i="1"/>
  <c r="Q4" i="1"/>
  <c r="R4" i="1"/>
  <c r="T4" i="1"/>
  <c r="U4" i="1"/>
  <c r="V4" i="1"/>
  <c r="X4" i="1"/>
  <c r="Y4" i="1"/>
  <c r="Z4" i="1"/>
  <c r="J5" i="1"/>
  <c r="K5" i="1"/>
  <c r="L5" i="1"/>
  <c r="N5" i="1"/>
  <c r="O5" i="1"/>
  <c r="Q5" i="1"/>
  <c r="R5" i="1"/>
  <c r="T5" i="1"/>
  <c r="U5" i="1"/>
  <c r="V5" i="1"/>
  <c r="X5" i="1"/>
  <c r="Y5" i="1"/>
  <c r="Z5" i="1"/>
  <c r="J6" i="1"/>
  <c r="K6" i="1"/>
  <c r="L6" i="1"/>
  <c r="N6" i="1"/>
  <c r="O6" i="1"/>
  <c r="Q6" i="1"/>
  <c r="R6" i="1"/>
  <c r="T6" i="1"/>
  <c r="U6" i="1"/>
  <c r="V6" i="1"/>
  <c r="X6" i="1"/>
  <c r="Y6" i="1"/>
  <c r="Z6" i="1"/>
  <c r="J7" i="1"/>
  <c r="K7" i="1"/>
  <c r="L7" i="1"/>
  <c r="N7" i="1"/>
  <c r="O7" i="1"/>
  <c r="Q7" i="1"/>
  <c r="R7" i="1"/>
  <c r="T7" i="1"/>
  <c r="U7" i="1"/>
  <c r="V7" i="1"/>
  <c r="X7" i="1"/>
  <c r="Y7" i="1"/>
  <c r="Z7" i="1"/>
  <c r="J8" i="1"/>
  <c r="K8" i="1"/>
  <c r="L8" i="1"/>
  <c r="N8" i="1"/>
  <c r="O8" i="1"/>
  <c r="Q8" i="1"/>
  <c r="R8" i="1"/>
  <c r="T8" i="1"/>
  <c r="U8" i="1"/>
  <c r="V8" i="1"/>
  <c r="X8" i="1"/>
  <c r="Y8" i="1"/>
  <c r="Z8" i="1"/>
  <c r="J9" i="1"/>
  <c r="K9" i="1"/>
  <c r="L9" i="1"/>
  <c r="N9" i="1"/>
  <c r="O9" i="1"/>
  <c r="Q9" i="1"/>
  <c r="R9" i="1"/>
  <c r="T9" i="1"/>
  <c r="U9" i="1"/>
  <c r="V9" i="1"/>
  <c r="X9" i="1"/>
  <c r="Y9" i="1"/>
  <c r="Z9" i="1"/>
  <c r="J10" i="1"/>
  <c r="K10" i="1"/>
  <c r="L10" i="1"/>
  <c r="N10" i="1"/>
  <c r="O10" i="1"/>
  <c r="Q10" i="1"/>
  <c r="R10" i="1"/>
  <c r="T10" i="1"/>
  <c r="U10" i="1"/>
  <c r="V10" i="1"/>
  <c r="X10" i="1"/>
  <c r="Y10" i="1"/>
  <c r="Z10" i="1"/>
  <c r="J11" i="1"/>
  <c r="K11" i="1"/>
  <c r="L11" i="1"/>
  <c r="N11" i="1"/>
  <c r="O11" i="1"/>
  <c r="Q11" i="1"/>
  <c r="R11" i="1"/>
  <c r="T11" i="1"/>
  <c r="U11" i="1"/>
  <c r="V11" i="1"/>
  <c r="X11" i="1"/>
  <c r="Y11" i="1"/>
  <c r="Z11" i="1"/>
  <c r="J12" i="1"/>
  <c r="K12" i="1"/>
  <c r="L12" i="1"/>
  <c r="N12" i="1"/>
  <c r="O12" i="1"/>
  <c r="Q12" i="1"/>
  <c r="R12" i="1"/>
  <c r="T12" i="1"/>
  <c r="U12" i="1"/>
  <c r="V12" i="1"/>
  <c r="X12" i="1"/>
  <c r="Y12" i="1"/>
  <c r="Z12" i="1"/>
  <c r="J13" i="1"/>
  <c r="K13" i="1"/>
  <c r="L13" i="1"/>
  <c r="N13" i="1"/>
  <c r="O13" i="1"/>
  <c r="Q13" i="1"/>
  <c r="R13" i="1"/>
  <c r="T13" i="1"/>
  <c r="U13" i="1"/>
  <c r="V13" i="1"/>
  <c r="X13" i="1"/>
  <c r="Y13" i="1"/>
  <c r="Z13" i="1"/>
  <c r="J14" i="1"/>
  <c r="K14" i="1"/>
  <c r="L14" i="1"/>
  <c r="N14" i="1"/>
  <c r="O14" i="1"/>
  <c r="Q14" i="1"/>
  <c r="R14" i="1"/>
  <c r="T14" i="1"/>
  <c r="U14" i="1"/>
  <c r="V14" i="1"/>
  <c r="X14" i="1"/>
  <c r="Y14" i="1"/>
  <c r="Z14" i="1"/>
  <c r="J15" i="1"/>
  <c r="K15" i="1"/>
  <c r="L15" i="1"/>
  <c r="N15" i="1"/>
  <c r="O15" i="1"/>
  <c r="Q15" i="1"/>
  <c r="R15" i="1"/>
  <c r="T15" i="1"/>
  <c r="U15" i="1"/>
  <c r="V15" i="1"/>
  <c r="X15" i="1"/>
  <c r="Y15" i="1"/>
  <c r="Z15" i="1"/>
  <c r="J16" i="1"/>
  <c r="K16" i="1"/>
  <c r="L16" i="1"/>
  <c r="N16" i="1"/>
  <c r="O16" i="1"/>
  <c r="Q16" i="1"/>
  <c r="R16" i="1"/>
  <c r="T16" i="1"/>
  <c r="U16" i="1"/>
  <c r="V16" i="1"/>
  <c r="X16" i="1"/>
  <c r="Y16" i="1"/>
  <c r="Z16" i="1"/>
  <c r="J17" i="1"/>
  <c r="K17" i="1"/>
  <c r="L17" i="1"/>
  <c r="N17" i="1"/>
  <c r="O17" i="1"/>
  <c r="Q17" i="1"/>
  <c r="R17" i="1"/>
  <c r="T17" i="1"/>
  <c r="U17" i="1"/>
  <c r="V17" i="1"/>
  <c r="X17" i="1"/>
  <c r="Y17" i="1"/>
  <c r="Z17" i="1"/>
  <c r="J18" i="1"/>
  <c r="K18" i="1"/>
  <c r="L18" i="1"/>
  <c r="N18" i="1"/>
  <c r="O18" i="1"/>
  <c r="Q18" i="1"/>
  <c r="R18" i="1"/>
  <c r="T18" i="1"/>
  <c r="U18" i="1"/>
  <c r="V18" i="1"/>
  <c r="X18" i="1"/>
  <c r="Y18" i="1"/>
  <c r="Z18" i="1"/>
  <c r="J19" i="1"/>
  <c r="K19" i="1"/>
  <c r="L19" i="1"/>
  <c r="N19" i="1"/>
  <c r="O19" i="1"/>
  <c r="Q19" i="1"/>
  <c r="R19" i="1"/>
  <c r="T19" i="1"/>
  <c r="U19" i="1"/>
  <c r="V19" i="1"/>
  <c r="X19" i="1"/>
  <c r="Y19" i="1"/>
  <c r="Z19" i="1"/>
  <c r="J20" i="1"/>
  <c r="K20" i="1"/>
  <c r="L20" i="1"/>
  <c r="N20" i="1"/>
  <c r="O20" i="1"/>
  <c r="Q20" i="1"/>
  <c r="R20" i="1"/>
  <c r="T20" i="1"/>
  <c r="U20" i="1"/>
  <c r="V20" i="1"/>
  <c r="X20" i="1"/>
  <c r="Y20" i="1"/>
  <c r="Z20" i="1"/>
  <c r="J21" i="1"/>
  <c r="K21" i="1"/>
  <c r="L21" i="1"/>
  <c r="N21" i="1"/>
  <c r="O21" i="1"/>
  <c r="Q21" i="1"/>
  <c r="R21" i="1"/>
  <c r="T21" i="1"/>
  <c r="U21" i="1"/>
  <c r="V21" i="1"/>
  <c r="X21" i="1"/>
  <c r="Y21" i="1"/>
  <c r="Z21" i="1"/>
  <c r="J22" i="1"/>
  <c r="K22" i="1"/>
  <c r="L22" i="1"/>
  <c r="N22" i="1"/>
  <c r="O22" i="1"/>
  <c r="Q22" i="1"/>
  <c r="R22" i="1"/>
  <c r="T22" i="1"/>
  <c r="U22" i="1"/>
  <c r="V22" i="1"/>
  <c r="X22" i="1"/>
  <c r="Y22" i="1"/>
  <c r="Z22" i="1"/>
  <c r="J23" i="1"/>
  <c r="K23" i="1"/>
  <c r="L23" i="1"/>
  <c r="N23" i="1"/>
  <c r="O23" i="1"/>
  <c r="Q23" i="1"/>
  <c r="R23" i="1"/>
  <c r="T23" i="1"/>
  <c r="U23" i="1"/>
  <c r="V23" i="1"/>
  <c r="X23" i="1"/>
  <c r="Y23" i="1"/>
  <c r="Z23" i="1"/>
  <c r="J24" i="1"/>
  <c r="K24" i="1"/>
  <c r="L24" i="1"/>
  <c r="N24" i="1"/>
  <c r="O24" i="1"/>
  <c r="Q24" i="1"/>
  <c r="R24" i="1"/>
  <c r="T24" i="1"/>
  <c r="U24" i="1"/>
  <c r="V24" i="1"/>
  <c r="X24" i="1"/>
  <c r="Y24" i="1"/>
  <c r="Z24" i="1"/>
  <c r="J25" i="1"/>
  <c r="K25" i="1"/>
  <c r="L25" i="1"/>
  <c r="N25" i="1"/>
  <c r="O25" i="1"/>
  <c r="Q25" i="1"/>
  <c r="R25" i="1"/>
  <c r="T25" i="1"/>
  <c r="U25" i="1"/>
  <c r="V25" i="1"/>
  <c r="X25" i="1"/>
  <c r="Y25" i="1"/>
  <c r="Z25" i="1"/>
  <c r="J26" i="1"/>
  <c r="K26" i="1"/>
  <c r="L26" i="1"/>
  <c r="N26" i="1"/>
  <c r="O26" i="1"/>
  <c r="Q26" i="1"/>
  <c r="R26" i="1"/>
  <c r="T26" i="1"/>
  <c r="U26" i="1"/>
  <c r="V26" i="1"/>
  <c r="X26" i="1"/>
  <c r="Y26" i="1"/>
  <c r="Z26" i="1"/>
  <c r="J27" i="1"/>
  <c r="K27" i="1"/>
  <c r="L27" i="1"/>
  <c r="N27" i="1"/>
  <c r="O27" i="1"/>
  <c r="Q27" i="1"/>
  <c r="R27" i="1"/>
  <c r="T27" i="1"/>
  <c r="U27" i="1"/>
  <c r="V27" i="1"/>
  <c r="X27" i="1"/>
  <c r="Y27" i="1"/>
  <c r="Z27" i="1"/>
  <c r="J28" i="1"/>
  <c r="K28" i="1"/>
  <c r="L28" i="1"/>
  <c r="N28" i="1"/>
  <c r="O28" i="1"/>
  <c r="Q28" i="1"/>
  <c r="R28" i="1"/>
  <c r="T28" i="1"/>
  <c r="U28" i="1"/>
  <c r="V28" i="1"/>
  <c r="X28" i="1"/>
  <c r="Y28" i="1"/>
  <c r="Z28" i="1"/>
  <c r="J29" i="1"/>
  <c r="K29" i="1"/>
  <c r="L29" i="1"/>
  <c r="N29" i="1"/>
  <c r="O29" i="1"/>
  <c r="Q29" i="1"/>
  <c r="R29" i="1"/>
  <c r="T29" i="1"/>
  <c r="U29" i="1"/>
  <c r="V29" i="1"/>
  <c r="X29" i="1"/>
  <c r="Y29" i="1"/>
  <c r="Z29" i="1"/>
  <c r="J30" i="1"/>
  <c r="K30" i="1"/>
  <c r="L30" i="1"/>
  <c r="N30" i="1"/>
  <c r="O30" i="1"/>
  <c r="Q30" i="1"/>
  <c r="R30" i="1"/>
  <c r="T30" i="1"/>
  <c r="U30" i="1"/>
  <c r="V30" i="1"/>
  <c r="X30" i="1"/>
  <c r="Y30" i="1"/>
  <c r="Z30" i="1"/>
  <c r="J31" i="1"/>
  <c r="K31" i="1"/>
  <c r="L31" i="1"/>
  <c r="N31" i="1"/>
  <c r="O31" i="1"/>
  <c r="Q31" i="1"/>
  <c r="R31" i="1"/>
  <c r="T31" i="1"/>
  <c r="U31" i="1"/>
  <c r="V31" i="1"/>
  <c r="X31" i="1"/>
  <c r="Y31" i="1"/>
  <c r="Z31" i="1"/>
  <c r="J32" i="1"/>
  <c r="K32" i="1"/>
  <c r="L32" i="1"/>
  <c r="N32" i="1"/>
  <c r="O32" i="1"/>
  <c r="Q32" i="1"/>
  <c r="R32" i="1"/>
  <c r="T32" i="1"/>
  <c r="U32" i="1"/>
  <c r="V32" i="1"/>
  <c r="X32" i="1"/>
  <c r="Y32" i="1"/>
  <c r="Z32" i="1"/>
  <c r="J33" i="1"/>
  <c r="K33" i="1"/>
  <c r="L33" i="1"/>
  <c r="N33" i="1"/>
  <c r="O33" i="1"/>
  <c r="Q33" i="1"/>
  <c r="R33" i="1"/>
  <c r="T33" i="1"/>
  <c r="U33" i="1"/>
  <c r="V33" i="1"/>
  <c r="X33" i="1"/>
  <c r="Y33" i="1"/>
  <c r="Z33" i="1"/>
  <c r="J34" i="1"/>
  <c r="K34" i="1"/>
  <c r="L34" i="1"/>
  <c r="N34" i="1"/>
  <c r="O34" i="1"/>
  <c r="Q34" i="1"/>
  <c r="R34" i="1"/>
  <c r="T34" i="1"/>
  <c r="U34" i="1"/>
  <c r="V34" i="1"/>
  <c r="X34" i="1"/>
  <c r="Y34" i="1"/>
  <c r="Z34" i="1"/>
  <c r="J35" i="1"/>
  <c r="K35" i="1"/>
  <c r="L35" i="1"/>
  <c r="N35" i="1"/>
  <c r="O35" i="1"/>
  <c r="Q35" i="1"/>
  <c r="R35" i="1"/>
  <c r="T35" i="1"/>
  <c r="U35" i="1"/>
  <c r="V35" i="1"/>
  <c r="X35" i="1"/>
  <c r="Y35" i="1"/>
  <c r="Z35" i="1"/>
  <c r="J36" i="1"/>
  <c r="K36" i="1"/>
  <c r="L36" i="1"/>
  <c r="N36" i="1"/>
  <c r="O36" i="1"/>
  <c r="Q36" i="1"/>
  <c r="R36" i="1"/>
  <c r="T36" i="1"/>
  <c r="U36" i="1"/>
  <c r="V36" i="1"/>
  <c r="X36" i="1"/>
  <c r="Y36" i="1"/>
  <c r="Z36" i="1"/>
  <c r="J37" i="1"/>
  <c r="K37" i="1"/>
  <c r="L37" i="1"/>
  <c r="N37" i="1"/>
  <c r="O37" i="1"/>
  <c r="Q37" i="1"/>
  <c r="R37" i="1"/>
  <c r="T37" i="1"/>
  <c r="U37" i="1"/>
  <c r="V37" i="1"/>
  <c r="X37" i="1"/>
  <c r="Y37" i="1"/>
  <c r="Z37" i="1"/>
  <c r="J38" i="1"/>
  <c r="K38" i="1"/>
  <c r="L38" i="1"/>
  <c r="N38" i="1"/>
  <c r="O38" i="1"/>
  <c r="Q38" i="1"/>
  <c r="R38" i="1"/>
  <c r="T38" i="1"/>
  <c r="U38" i="1"/>
  <c r="V38" i="1"/>
  <c r="X38" i="1"/>
  <c r="Y38" i="1"/>
  <c r="Z38" i="1"/>
  <c r="J39" i="1"/>
  <c r="K39" i="1"/>
  <c r="L39" i="1"/>
  <c r="N39" i="1"/>
  <c r="O39" i="1"/>
  <c r="Q39" i="1"/>
  <c r="R39" i="1"/>
  <c r="T39" i="1"/>
  <c r="U39" i="1"/>
  <c r="V39" i="1"/>
  <c r="X39" i="1"/>
  <c r="Y39" i="1"/>
  <c r="Z39" i="1"/>
  <c r="J40" i="1"/>
  <c r="K40" i="1"/>
  <c r="L40" i="1"/>
  <c r="N40" i="1"/>
  <c r="O40" i="1"/>
  <c r="Q40" i="1"/>
  <c r="R40" i="1"/>
  <c r="T40" i="1"/>
  <c r="U40" i="1"/>
  <c r="V40" i="1"/>
  <c r="X40" i="1"/>
  <c r="Y40" i="1"/>
  <c r="Z40" i="1"/>
  <c r="J41" i="1"/>
  <c r="K41" i="1"/>
  <c r="L41" i="1"/>
  <c r="N41" i="1"/>
  <c r="O41" i="1"/>
  <c r="Q41" i="1"/>
  <c r="R41" i="1"/>
  <c r="T41" i="1"/>
  <c r="U41" i="1"/>
  <c r="V41" i="1"/>
  <c r="X41" i="1"/>
  <c r="Y41" i="1"/>
  <c r="Z41" i="1"/>
  <c r="J42" i="1"/>
  <c r="K42" i="1"/>
  <c r="L42" i="1"/>
  <c r="N42" i="1"/>
  <c r="O42" i="1"/>
  <c r="Q42" i="1"/>
  <c r="R42" i="1"/>
  <c r="T42" i="1"/>
  <c r="U42" i="1"/>
  <c r="V42" i="1"/>
  <c r="X42" i="1"/>
  <c r="Y42" i="1"/>
  <c r="Z42" i="1"/>
  <c r="J43" i="1"/>
  <c r="K43" i="1"/>
  <c r="L43" i="1"/>
  <c r="N43" i="1"/>
  <c r="O43" i="1"/>
  <c r="Q43" i="1"/>
  <c r="R43" i="1"/>
  <c r="T43" i="1"/>
  <c r="U43" i="1"/>
  <c r="V43" i="1"/>
  <c r="X43" i="1"/>
  <c r="Y43" i="1"/>
  <c r="Z43" i="1"/>
  <c r="J44" i="1"/>
  <c r="K44" i="1"/>
  <c r="L44" i="1"/>
  <c r="N44" i="1"/>
  <c r="O44" i="1"/>
  <c r="Q44" i="1"/>
  <c r="R44" i="1"/>
  <c r="T44" i="1"/>
  <c r="U44" i="1"/>
  <c r="V44" i="1"/>
  <c r="X44" i="1"/>
  <c r="Y44" i="1"/>
  <c r="Z44" i="1"/>
  <c r="J45" i="1"/>
  <c r="K45" i="1"/>
  <c r="L45" i="1"/>
  <c r="N45" i="1"/>
  <c r="O45" i="1"/>
  <c r="Q45" i="1"/>
  <c r="R45" i="1"/>
  <c r="T45" i="1"/>
  <c r="U45" i="1"/>
  <c r="V45" i="1"/>
  <c r="X45" i="1"/>
  <c r="Y45" i="1"/>
  <c r="Z45" i="1"/>
  <c r="J46" i="1"/>
  <c r="K46" i="1"/>
  <c r="L46" i="1"/>
  <c r="N46" i="1"/>
  <c r="O46" i="1"/>
  <c r="Q46" i="1"/>
  <c r="R46" i="1"/>
  <c r="T46" i="1"/>
  <c r="U46" i="1"/>
  <c r="V46" i="1"/>
  <c r="X46" i="1"/>
  <c r="Y46" i="1"/>
  <c r="Z46" i="1"/>
  <c r="J47" i="1"/>
  <c r="K47" i="1"/>
  <c r="L47" i="1"/>
  <c r="N47" i="1"/>
  <c r="O47" i="1"/>
  <c r="Q47" i="1"/>
  <c r="R47" i="1"/>
  <c r="T47" i="1"/>
  <c r="U47" i="1"/>
  <c r="V47" i="1"/>
  <c r="X47" i="1"/>
  <c r="Y47" i="1"/>
  <c r="Z47" i="1"/>
  <c r="J48" i="1"/>
  <c r="K48" i="1"/>
  <c r="L48" i="1"/>
  <c r="N48" i="1"/>
  <c r="O48" i="1"/>
  <c r="Q48" i="1"/>
  <c r="R48" i="1"/>
  <c r="T48" i="1"/>
  <c r="U48" i="1"/>
  <c r="V48" i="1"/>
  <c r="X48" i="1"/>
  <c r="Y48" i="1"/>
  <c r="Z48" i="1"/>
  <c r="J49" i="1"/>
  <c r="K49" i="1"/>
  <c r="L49" i="1"/>
  <c r="N49" i="1"/>
  <c r="O49" i="1"/>
  <c r="Q49" i="1"/>
  <c r="R49" i="1"/>
  <c r="T49" i="1"/>
  <c r="U49" i="1"/>
  <c r="V49" i="1"/>
  <c r="X49" i="1"/>
  <c r="Y49" i="1"/>
  <c r="Z49" i="1"/>
  <c r="J50" i="1"/>
  <c r="K50" i="1"/>
  <c r="L50" i="1"/>
  <c r="N50" i="1"/>
  <c r="O50" i="1"/>
  <c r="Q50" i="1"/>
  <c r="R50" i="1"/>
  <c r="T50" i="1"/>
  <c r="U50" i="1"/>
  <c r="V50" i="1"/>
  <c r="X50" i="1"/>
  <c r="Y50" i="1"/>
  <c r="Z50" i="1"/>
  <c r="J51" i="1"/>
  <c r="K51" i="1"/>
  <c r="L51" i="1"/>
  <c r="N51" i="1"/>
  <c r="O51" i="1"/>
  <c r="Q51" i="1"/>
  <c r="R51" i="1"/>
  <c r="T51" i="1"/>
  <c r="U51" i="1"/>
  <c r="V51" i="1"/>
  <c r="X51" i="1"/>
  <c r="Y51" i="1"/>
  <c r="Z51" i="1"/>
  <c r="J52" i="1"/>
  <c r="K52" i="1"/>
  <c r="L52" i="1"/>
  <c r="N52" i="1"/>
  <c r="O52" i="1"/>
  <c r="Q52" i="1"/>
  <c r="R52" i="1"/>
  <c r="T52" i="1"/>
  <c r="U52" i="1"/>
  <c r="V52" i="1"/>
  <c r="X52" i="1"/>
  <c r="Y52" i="1"/>
  <c r="Z52" i="1"/>
  <c r="J53" i="1"/>
  <c r="K53" i="1"/>
  <c r="L53" i="1"/>
  <c r="N53" i="1"/>
  <c r="O53" i="1"/>
  <c r="Q53" i="1"/>
  <c r="R53" i="1"/>
  <c r="T53" i="1"/>
  <c r="U53" i="1"/>
  <c r="V53" i="1"/>
  <c r="X53" i="1"/>
  <c r="Y53" i="1"/>
  <c r="Z53" i="1"/>
  <c r="J54" i="1"/>
  <c r="K54" i="1"/>
  <c r="L54" i="1"/>
  <c r="N54" i="1"/>
  <c r="O54" i="1"/>
  <c r="Q54" i="1"/>
  <c r="R54" i="1"/>
  <c r="T54" i="1"/>
  <c r="U54" i="1"/>
  <c r="V54" i="1"/>
  <c r="X54" i="1"/>
  <c r="Y54" i="1"/>
  <c r="Z54" i="1"/>
  <c r="J55" i="1"/>
  <c r="K55" i="1"/>
  <c r="L55" i="1"/>
  <c r="N55" i="1"/>
  <c r="O55" i="1"/>
  <c r="Q55" i="1"/>
  <c r="R55" i="1"/>
  <c r="T55" i="1"/>
  <c r="U55" i="1"/>
  <c r="V55" i="1"/>
  <c r="X55" i="1"/>
  <c r="Y55" i="1"/>
  <c r="Z55" i="1"/>
  <c r="J56" i="1"/>
  <c r="K56" i="1"/>
  <c r="L56" i="1"/>
  <c r="N56" i="1"/>
  <c r="O56" i="1"/>
  <c r="Q56" i="1"/>
  <c r="R56" i="1"/>
  <c r="T56" i="1"/>
  <c r="U56" i="1"/>
  <c r="V56" i="1"/>
  <c r="X56" i="1"/>
  <c r="Y56" i="1"/>
  <c r="Z56" i="1"/>
  <c r="J57" i="1"/>
  <c r="K57" i="1"/>
  <c r="L57" i="1"/>
  <c r="N57" i="1"/>
  <c r="O57" i="1"/>
  <c r="Q57" i="1"/>
  <c r="R57" i="1"/>
  <c r="T57" i="1"/>
  <c r="U57" i="1"/>
  <c r="V57" i="1"/>
  <c r="X57" i="1"/>
  <c r="Y57" i="1"/>
  <c r="Z57" i="1"/>
  <c r="J58" i="1"/>
  <c r="K58" i="1"/>
  <c r="L58" i="1"/>
  <c r="N58" i="1"/>
  <c r="O58" i="1"/>
  <c r="Q58" i="1"/>
  <c r="R58" i="1"/>
  <c r="T58" i="1"/>
  <c r="U58" i="1"/>
  <c r="V58" i="1"/>
  <c r="X58" i="1"/>
  <c r="Y58" i="1"/>
  <c r="Z58" i="1"/>
  <c r="J59" i="1"/>
  <c r="K59" i="1"/>
  <c r="L59" i="1"/>
  <c r="N59" i="1"/>
  <c r="O59" i="1"/>
  <c r="Q59" i="1"/>
  <c r="R59" i="1"/>
  <c r="T59" i="1"/>
  <c r="U59" i="1"/>
  <c r="V59" i="1"/>
  <c r="X59" i="1"/>
  <c r="Y59" i="1"/>
  <c r="Z59" i="1"/>
  <c r="J60" i="1"/>
  <c r="K60" i="1"/>
  <c r="L60" i="1"/>
  <c r="N60" i="1"/>
  <c r="O60" i="1"/>
  <c r="Q60" i="1"/>
  <c r="R60" i="1"/>
  <c r="T60" i="1"/>
  <c r="U60" i="1"/>
  <c r="V60" i="1"/>
  <c r="X60" i="1"/>
  <c r="Y60" i="1"/>
  <c r="Z60" i="1"/>
  <c r="J61" i="1"/>
  <c r="K61" i="1"/>
  <c r="L61" i="1"/>
  <c r="N61" i="1"/>
  <c r="O61" i="1"/>
  <c r="Q61" i="1"/>
  <c r="R61" i="1"/>
  <c r="T61" i="1"/>
  <c r="U61" i="1"/>
  <c r="V61" i="1"/>
  <c r="X61" i="1"/>
  <c r="Y61" i="1"/>
  <c r="Z61" i="1"/>
  <c r="J62" i="1"/>
  <c r="K62" i="1"/>
  <c r="L62" i="1"/>
  <c r="N62" i="1"/>
  <c r="O62" i="1"/>
  <c r="Q62" i="1"/>
  <c r="R62" i="1"/>
  <c r="T62" i="1"/>
  <c r="U62" i="1"/>
  <c r="V62" i="1"/>
  <c r="X62" i="1"/>
  <c r="Y62" i="1"/>
  <c r="Z62" i="1"/>
  <c r="J63" i="1"/>
  <c r="K63" i="1"/>
  <c r="L63" i="1"/>
  <c r="N63" i="1"/>
  <c r="O63" i="1"/>
  <c r="Q63" i="1"/>
  <c r="R63" i="1"/>
  <c r="T63" i="1"/>
  <c r="U63" i="1"/>
  <c r="V63" i="1"/>
  <c r="X63" i="1"/>
  <c r="Y63" i="1"/>
  <c r="Z63" i="1"/>
  <c r="J64" i="1"/>
  <c r="K64" i="1"/>
  <c r="L64" i="1"/>
  <c r="N64" i="1"/>
  <c r="O64" i="1"/>
  <c r="Q64" i="1"/>
  <c r="R64" i="1"/>
  <c r="T64" i="1"/>
  <c r="U64" i="1"/>
  <c r="V64" i="1"/>
  <c r="X64" i="1"/>
  <c r="Y64" i="1"/>
  <c r="Z64" i="1"/>
  <c r="J65" i="1"/>
  <c r="K65" i="1"/>
  <c r="L65" i="1"/>
  <c r="N65" i="1"/>
  <c r="O65" i="1"/>
  <c r="Q65" i="1"/>
  <c r="R65" i="1"/>
  <c r="T65" i="1"/>
  <c r="U65" i="1"/>
  <c r="V65" i="1"/>
  <c r="X65" i="1"/>
  <c r="Y65" i="1"/>
  <c r="Z65" i="1"/>
  <c r="J66" i="1"/>
  <c r="K66" i="1"/>
  <c r="L66" i="1"/>
  <c r="N66" i="1"/>
  <c r="O66" i="1"/>
  <c r="Q66" i="1"/>
  <c r="R66" i="1"/>
  <c r="T66" i="1"/>
  <c r="U66" i="1"/>
  <c r="V66" i="1"/>
  <c r="X66" i="1"/>
  <c r="Y66" i="1"/>
  <c r="Z66" i="1"/>
  <c r="J67" i="1"/>
  <c r="K67" i="1"/>
  <c r="L67" i="1"/>
  <c r="N67" i="1"/>
  <c r="O67" i="1"/>
  <c r="Q67" i="1"/>
  <c r="R67" i="1"/>
  <c r="T67" i="1"/>
  <c r="U67" i="1"/>
  <c r="V67" i="1"/>
  <c r="X67" i="1"/>
  <c r="Y67" i="1"/>
  <c r="Z67" i="1"/>
  <c r="J68" i="1"/>
  <c r="K68" i="1"/>
  <c r="L68" i="1"/>
  <c r="N68" i="1"/>
  <c r="O68" i="1"/>
  <c r="Q68" i="1"/>
  <c r="R68" i="1"/>
  <c r="T68" i="1"/>
  <c r="U68" i="1"/>
  <c r="V68" i="1"/>
  <c r="X68" i="1"/>
  <c r="Y68" i="1"/>
  <c r="Z68" i="1"/>
  <c r="J69" i="1"/>
  <c r="K69" i="1"/>
  <c r="L69" i="1"/>
  <c r="N69" i="1"/>
  <c r="O69" i="1"/>
  <c r="Q69" i="1"/>
  <c r="R69" i="1"/>
  <c r="T69" i="1"/>
  <c r="U69" i="1"/>
  <c r="V69" i="1"/>
  <c r="X69" i="1"/>
  <c r="Y69" i="1"/>
  <c r="Z69" i="1"/>
  <c r="J70" i="1"/>
  <c r="K70" i="1"/>
  <c r="L70" i="1"/>
  <c r="N70" i="1"/>
  <c r="O70" i="1"/>
  <c r="Q70" i="1"/>
  <c r="R70" i="1"/>
  <c r="T70" i="1"/>
  <c r="U70" i="1"/>
  <c r="V70" i="1"/>
  <c r="X70" i="1"/>
  <c r="Y70" i="1"/>
  <c r="Z70" i="1"/>
  <c r="J71" i="1"/>
  <c r="K71" i="1"/>
  <c r="L71" i="1"/>
  <c r="N71" i="1"/>
  <c r="O71" i="1"/>
  <c r="Q71" i="1"/>
  <c r="R71" i="1"/>
  <c r="T71" i="1"/>
  <c r="U71" i="1"/>
  <c r="V71" i="1"/>
  <c r="X71" i="1"/>
  <c r="Y71" i="1"/>
  <c r="Z71" i="1"/>
  <c r="J72" i="1"/>
  <c r="K72" i="1"/>
  <c r="L72" i="1"/>
  <c r="N72" i="1"/>
  <c r="O72" i="1"/>
  <c r="Q72" i="1"/>
  <c r="R72" i="1"/>
  <c r="T72" i="1"/>
  <c r="U72" i="1"/>
  <c r="V72" i="1"/>
  <c r="X72" i="1"/>
  <c r="Y72" i="1"/>
  <c r="Z72" i="1"/>
  <c r="J73" i="1"/>
  <c r="K73" i="1"/>
  <c r="L73" i="1"/>
  <c r="N73" i="1"/>
  <c r="O73" i="1"/>
  <c r="Q73" i="1"/>
  <c r="R73" i="1"/>
  <c r="T73" i="1"/>
  <c r="U73" i="1"/>
  <c r="V73" i="1"/>
  <c r="X73" i="1"/>
  <c r="Y73" i="1"/>
  <c r="Z73" i="1"/>
  <c r="J74" i="1"/>
  <c r="K74" i="1"/>
  <c r="L74" i="1"/>
  <c r="N74" i="1"/>
  <c r="O74" i="1"/>
  <c r="Q74" i="1"/>
  <c r="R74" i="1"/>
  <c r="T74" i="1"/>
  <c r="U74" i="1"/>
  <c r="V74" i="1"/>
  <c r="X74" i="1"/>
  <c r="Y74" i="1"/>
  <c r="Z74" i="1"/>
  <c r="J75" i="1"/>
  <c r="K75" i="1"/>
  <c r="L75" i="1"/>
  <c r="N75" i="1"/>
  <c r="O75" i="1"/>
  <c r="Q75" i="1"/>
  <c r="R75" i="1"/>
  <c r="T75" i="1"/>
  <c r="U75" i="1"/>
  <c r="V75" i="1"/>
  <c r="X75" i="1"/>
  <c r="Y75" i="1"/>
  <c r="Z75" i="1"/>
  <c r="J76" i="1"/>
  <c r="K76" i="1"/>
  <c r="L76" i="1"/>
  <c r="N76" i="1"/>
  <c r="O76" i="1"/>
  <c r="Q76" i="1"/>
  <c r="R76" i="1"/>
  <c r="T76" i="1"/>
  <c r="U76" i="1"/>
  <c r="V76" i="1"/>
  <c r="X76" i="1"/>
  <c r="Y76" i="1"/>
  <c r="Z76" i="1"/>
  <c r="J77" i="1"/>
  <c r="K77" i="1"/>
  <c r="L77" i="1"/>
  <c r="N77" i="1"/>
  <c r="O77" i="1"/>
  <c r="Q77" i="1"/>
  <c r="R77" i="1"/>
  <c r="T77" i="1"/>
  <c r="U77" i="1"/>
  <c r="V77" i="1"/>
  <c r="X77" i="1"/>
  <c r="Y77" i="1"/>
  <c r="Z77" i="1"/>
  <c r="J78" i="1"/>
  <c r="K78" i="1"/>
  <c r="L78" i="1"/>
  <c r="N78" i="1"/>
  <c r="O78" i="1"/>
  <c r="Q78" i="1"/>
  <c r="R78" i="1"/>
  <c r="T78" i="1"/>
  <c r="U78" i="1"/>
  <c r="V78" i="1"/>
  <c r="X78" i="1"/>
  <c r="Y78" i="1"/>
  <c r="Z78" i="1"/>
  <c r="J79" i="1"/>
  <c r="K79" i="1"/>
  <c r="L79" i="1"/>
  <c r="N79" i="1"/>
  <c r="O79" i="1"/>
  <c r="Q79" i="1"/>
  <c r="R79" i="1"/>
  <c r="T79" i="1"/>
  <c r="U79" i="1"/>
  <c r="V79" i="1"/>
  <c r="X79" i="1"/>
  <c r="Y79" i="1"/>
  <c r="Z79" i="1"/>
  <c r="J80" i="1"/>
  <c r="K80" i="1"/>
  <c r="L80" i="1"/>
  <c r="N80" i="1"/>
  <c r="O80" i="1"/>
  <c r="Q80" i="1"/>
  <c r="R80" i="1"/>
  <c r="T80" i="1"/>
  <c r="U80" i="1"/>
  <c r="V80" i="1"/>
  <c r="X80" i="1"/>
  <c r="Y80" i="1"/>
  <c r="Z80" i="1"/>
  <c r="J81" i="1"/>
  <c r="K81" i="1"/>
  <c r="L81" i="1"/>
  <c r="N81" i="1"/>
  <c r="O81" i="1"/>
  <c r="Q81" i="1"/>
  <c r="R81" i="1"/>
  <c r="T81" i="1"/>
  <c r="U81" i="1"/>
  <c r="V81" i="1"/>
  <c r="X81" i="1"/>
  <c r="Y81" i="1"/>
  <c r="Z81" i="1"/>
  <c r="J82" i="1"/>
  <c r="K82" i="1"/>
  <c r="L82" i="1"/>
  <c r="N82" i="1"/>
  <c r="O82" i="1"/>
  <c r="Q82" i="1"/>
  <c r="R82" i="1"/>
  <c r="T82" i="1"/>
  <c r="U82" i="1"/>
  <c r="V82" i="1"/>
  <c r="X82" i="1"/>
  <c r="Y82" i="1"/>
  <c r="Z82" i="1"/>
  <c r="J83" i="1"/>
  <c r="K83" i="1"/>
  <c r="L83" i="1"/>
  <c r="N83" i="1"/>
  <c r="O83" i="1"/>
  <c r="Q83" i="1"/>
  <c r="R83" i="1"/>
  <c r="T83" i="1"/>
  <c r="U83" i="1"/>
  <c r="V83" i="1"/>
  <c r="X83" i="1"/>
  <c r="Y83" i="1"/>
  <c r="Z83" i="1"/>
  <c r="J84" i="1"/>
  <c r="K84" i="1"/>
  <c r="L84" i="1"/>
  <c r="N84" i="1"/>
  <c r="O84" i="1"/>
  <c r="Q84" i="1"/>
  <c r="R84" i="1"/>
  <c r="T84" i="1"/>
  <c r="U84" i="1"/>
  <c r="V84" i="1"/>
  <c r="X84" i="1"/>
  <c r="Y84" i="1"/>
  <c r="Z84" i="1"/>
  <c r="J85" i="1"/>
  <c r="K85" i="1"/>
  <c r="L85" i="1"/>
  <c r="N85" i="1"/>
  <c r="O85" i="1"/>
  <c r="Q85" i="1"/>
  <c r="R85" i="1"/>
  <c r="T85" i="1"/>
  <c r="U85" i="1"/>
  <c r="V85" i="1"/>
  <c r="X85" i="1"/>
  <c r="Y85" i="1"/>
  <c r="Z85" i="1"/>
  <c r="J86" i="1"/>
  <c r="K86" i="1"/>
  <c r="L86" i="1"/>
  <c r="N86" i="1"/>
  <c r="O86" i="1"/>
  <c r="Q86" i="1"/>
  <c r="R86" i="1"/>
  <c r="T86" i="1"/>
  <c r="U86" i="1"/>
  <c r="V86" i="1"/>
  <c r="X86" i="1"/>
  <c r="Y86" i="1"/>
  <c r="Z86" i="1"/>
  <c r="J87" i="1"/>
  <c r="K87" i="1"/>
  <c r="L87" i="1"/>
  <c r="N87" i="1"/>
  <c r="O87" i="1"/>
  <c r="Q87" i="1"/>
  <c r="R87" i="1"/>
  <c r="T87" i="1"/>
  <c r="U87" i="1"/>
  <c r="V87" i="1"/>
  <c r="X87" i="1"/>
  <c r="Y87" i="1"/>
  <c r="Z87" i="1"/>
  <c r="J88" i="1"/>
  <c r="K88" i="1"/>
  <c r="L88" i="1"/>
  <c r="N88" i="1"/>
  <c r="O88" i="1"/>
  <c r="Q88" i="1"/>
  <c r="R88" i="1"/>
  <c r="T88" i="1"/>
  <c r="U88" i="1"/>
  <c r="V88" i="1"/>
  <c r="X88" i="1"/>
  <c r="Y88" i="1"/>
  <c r="Z88" i="1"/>
  <c r="J89" i="1"/>
  <c r="K89" i="1"/>
  <c r="L89" i="1"/>
  <c r="N89" i="1"/>
  <c r="O89" i="1"/>
  <c r="Q89" i="1"/>
  <c r="R89" i="1"/>
  <c r="T89" i="1"/>
  <c r="U89" i="1"/>
  <c r="V89" i="1"/>
  <c r="X89" i="1"/>
  <c r="Y89" i="1"/>
  <c r="Z89" i="1"/>
  <c r="J90" i="1"/>
  <c r="K90" i="1"/>
  <c r="L90" i="1"/>
  <c r="N90" i="1"/>
  <c r="O90" i="1"/>
  <c r="Q90" i="1"/>
  <c r="R90" i="1"/>
  <c r="T90" i="1"/>
  <c r="U90" i="1"/>
  <c r="V90" i="1"/>
  <c r="X90" i="1"/>
  <c r="Y90" i="1"/>
  <c r="Z90" i="1"/>
  <c r="J91" i="1"/>
  <c r="K91" i="1"/>
  <c r="L91" i="1"/>
  <c r="N91" i="1"/>
  <c r="O91" i="1"/>
  <c r="Q91" i="1"/>
  <c r="R91" i="1"/>
  <c r="T91" i="1"/>
  <c r="U91" i="1"/>
  <c r="V91" i="1"/>
  <c r="X91" i="1"/>
  <c r="Y91" i="1"/>
  <c r="Z91" i="1"/>
  <c r="J92" i="1"/>
  <c r="K92" i="1"/>
  <c r="L92" i="1"/>
  <c r="N92" i="1"/>
  <c r="O92" i="1"/>
  <c r="Q92" i="1"/>
  <c r="R92" i="1"/>
  <c r="T92" i="1"/>
  <c r="U92" i="1"/>
  <c r="V92" i="1"/>
  <c r="X92" i="1"/>
  <c r="Y92" i="1"/>
  <c r="Z92" i="1"/>
  <c r="J93" i="1"/>
  <c r="K93" i="1"/>
  <c r="L93" i="1"/>
  <c r="N93" i="1"/>
  <c r="O93" i="1"/>
  <c r="Q93" i="1"/>
  <c r="R93" i="1"/>
  <c r="T93" i="1"/>
  <c r="U93" i="1"/>
  <c r="V93" i="1"/>
  <c r="X93" i="1"/>
  <c r="Y93" i="1"/>
  <c r="Z93" i="1"/>
  <c r="J94" i="1"/>
  <c r="K94" i="1"/>
  <c r="L94" i="1"/>
  <c r="N94" i="1"/>
  <c r="O94" i="1"/>
  <c r="Q94" i="1"/>
  <c r="R94" i="1"/>
  <c r="T94" i="1"/>
  <c r="U94" i="1"/>
  <c r="V94" i="1"/>
  <c r="X94" i="1"/>
  <c r="Y94" i="1"/>
  <c r="Z94" i="1"/>
  <c r="J95" i="1"/>
  <c r="K95" i="1"/>
  <c r="L95" i="1"/>
  <c r="N95" i="1"/>
  <c r="O95" i="1"/>
  <c r="Q95" i="1"/>
  <c r="R95" i="1"/>
  <c r="T95" i="1"/>
  <c r="U95" i="1"/>
  <c r="V95" i="1"/>
  <c r="X95" i="1"/>
  <c r="Y95" i="1"/>
  <c r="Z95" i="1"/>
  <c r="J96" i="1"/>
  <c r="K96" i="1"/>
  <c r="L96" i="1"/>
  <c r="N96" i="1"/>
  <c r="O96" i="1"/>
  <c r="Q96" i="1"/>
  <c r="R96" i="1"/>
  <c r="T96" i="1"/>
  <c r="U96" i="1"/>
  <c r="V96" i="1"/>
  <c r="X96" i="1"/>
  <c r="Y96" i="1"/>
  <c r="Z96" i="1"/>
  <c r="J97" i="1"/>
  <c r="K97" i="1"/>
  <c r="L97" i="1"/>
  <c r="N97" i="1"/>
  <c r="O97" i="1"/>
  <c r="Q97" i="1"/>
  <c r="R97" i="1"/>
  <c r="T97" i="1"/>
  <c r="U97" i="1"/>
  <c r="V97" i="1"/>
  <c r="X97" i="1"/>
  <c r="Y97" i="1"/>
  <c r="Z97" i="1"/>
  <c r="J98" i="1"/>
  <c r="K98" i="1"/>
  <c r="L98" i="1"/>
  <c r="N98" i="1"/>
  <c r="O98" i="1"/>
  <c r="Q98" i="1"/>
  <c r="R98" i="1"/>
  <c r="T98" i="1"/>
  <c r="U98" i="1"/>
  <c r="V98" i="1"/>
  <c r="X98" i="1"/>
  <c r="Y98" i="1"/>
  <c r="Z98" i="1"/>
  <c r="J99" i="1"/>
  <c r="K99" i="1"/>
  <c r="L99" i="1"/>
  <c r="N99" i="1"/>
  <c r="O99" i="1"/>
  <c r="Q99" i="1"/>
  <c r="R99" i="1"/>
  <c r="T99" i="1"/>
  <c r="U99" i="1"/>
  <c r="V99" i="1"/>
  <c r="X99" i="1"/>
  <c r="Y99" i="1"/>
  <c r="Z99" i="1"/>
  <c r="J100" i="1"/>
  <c r="K100" i="1"/>
  <c r="L100" i="1"/>
  <c r="N100" i="1"/>
  <c r="O100" i="1"/>
  <c r="Q100" i="1"/>
  <c r="R100" i="1"/>
  <c r="T100" i="1"/>
  <c r="U100" i="1"/>
  <c r="V100" i="1"/>
  <c r="X100" i="1"/>
  <c r="Y100" i="1"/>
  <c r="Z100" i="1"/>
  <c r="J101" i="1"/>
  <c r="K101" i="1"/>
  <c r="L101" i="1"/>
  <c r="N101" i="1"/>
  <c r="O101" i="1"/>
  <c r="Q101" i="1"/>
  <c r="R101" i="1"/>
  <c r="T101" i="1"/>
  <c r="U101" i="1"/>
  <c r="V101" i="1"/>
  <c r="X101" i="1"/>
  <c r="Y101" i="1"/>
  <c r="Z101" i="1"/>
  <c r="J102" i="1"/>
  <c r="K102" i="1"/>
  <c r="L102" i="1"/>
  <c r="N102" i="1"/>
  <c r="O102" i="1"/>
  <c r="Q102" i="1"/>
  <c r="R102" i="1"/>
  <c r="T102" i="1"/>
  <c r="U102" i="1"/>
  <c r="V102" i="1"/>
  <c r="X102" i="1"/>
  <c r="Y102" i="1"/>
  <c r="Z102" i="1"/>
  <c r="J103" i="1"/>
  <c r="K103" i="1"/>
  <c r="L103" i="1"/>
  <c r="N103" i="1"/>
  <c r="O103" i="1"/>
  <c r="Q103" i="1"/>
  <c r="R103" i="1"/>
  <c r="T103" i="1"/>
  <c r="U103" i="1"/>
  <c r="V103" i="1"/>
  <c r="X103" i="1"/>
  <c r="Y103" i="1"/>
  <c r="Z103" i="1"/>
  <c r="J104" i="1"/>
  <c r="K104" i="1"/>
  <c r="L104" i="1"/>
  <c r="N104" i="1"/>
  <c r="O104" i="1"/>
  <c r="Q104" i="1"/>
  <c r="R104" i="1"/>
  <c r="T104" i="1"/>
  <c r="U104" i="1"/>
  <c r="V104" i="1"/>
  <c r="X104" i="1"/>
  <c r="Y104" i="1"/>
  <c r="Z104" i="1"/>
  <c r="J105" i="1"/>
  <c r="K105" i="1"/>
  <c r="L105" i="1"/>
  <c r="N105" i="1"/>
  <c r="O105" i="1"/>
  <c r="Q105" i="1"/>
  <c r="R105" i="1"/>
  <c r="T105" i="1"/>
  <c r="U105" i="1"/>
  <c r="V105" i="1"/>
  <c r="X105" i="1"/>
  <c r="Y105" i="1"/>
  <c r="Z105" i="1"/>
  <c r="J106" i="1"/>
  <c r="K106" i="1"/>
  <c r="L106" i="1"/>
  <c r="N106" i="1"/>
  <c r="O106" i="1"/>
  <c r="Q106" i="1"/>
  <c r="R106" i="1"/>
  <c r="T106" i="1"/>
  <c r="U106" i="1"/>
  <c r="V106" i="1"/>
  <c r="X106" i="1"/>
  <c r="Y106" i="1"/>
  <c r="Z106" i="1"/>
  <c r="J107" i="1"/>
  <c r="K107" i="1"/>
  <c r="L107" i="1"/>
  <c r="N107" i="1"/>
  <c r="O107" i="1"/>
  <c r="Q107" i="1"/>
  <c r="R107" i="1"/>
  <c r="T107" i="1"/>
  <c r="U107" i="1"/>
  <c r="V107" i="1"/>
  <c r="X107" i="1"/>
  <c r="Y107" i="1"/>
  <c r="Z107" i="1"/>
  <c r="J108" i="1"/>
  <c r="K108" i="1"/>
  <c r="L108" i="1"/>
  <c r="N108" i="1"/>
  <c r="O108" i="1"/>
  <c r="Q108" i="1"/>
  <c r="R108" i="1"/>
  <c r="T108" i="1"/>
  <c r="U108" i="1"/>
  <c r="V108" i="1"/>
  <c r="X108" i="1"/>
  <c r="Y108" i="1"/>
  <c r="Z108" i="1"/>
  <c r="J109" i="1"/>
  <c r="K109" i="1"/>
  <c r="L109" i="1"/>
  <c r="N109" i="1"/>
  <c r="O109" i="1"/>
  <c r="Q109" i="1"/>
  <c r="R109" i="1"/>
  <c r="T109" i="1"/>
  <c r="U109" i="1"/>
  <c r="V109" i="1"/>
  <c r="X109" i="1"/>
  <c r="Y109" i="1"/>
  <c r="Z109" i="1"/>
  <c r="J110" i="1"/>
  <c r="K110" i="1"/>
  <c r="L110" i="1"/>
  <c r="N110" i="1"/>
  <c r="O110" i="1"/>
  <c r="Q110" i="1"/>
  <c r="R110" i="1"/>
  <c r="T110" i="1"/>
  <c r="U110" i="1"/>
  <c r="V110" i="1"/>
  <c r="X110" i="1"/>
  <c r="Y110" i="1"/>
  <c r="Z110" i="1"/>
  <c r="J111" i="1"/>
  <c r="K111" i="1"/>
  <c r="L111" i="1"/>
  <c r="N111" i="1"/>
  <c r="O111" i="1"/>
  <c r="Q111" i="1"/>
  <c r="R111" i="1"/>
  <c r="T111" i="1"/>
  <c r="U111" i="1"/>
  <c r="V111" i="1"/>
  <c r="X111" i="1"/>
  <c r="Y111" i="1"/>
  <c r="Z111" i="1"/>
  <c r="J112" i="1"/>
  <c r="K112" i="1"/>
  <c r="L112" i="1"/>
  <c r="N112" i="1"/>
  <c r="O112" i="1"/>
  <c r="Q112" i="1"/>
  <c r="R112" i="1"/>
  <c r="T112" i="1"/>
  <c r="U112" i="1"/>
  <c r="V112" i="1"/>
  <c r="X112" i="1"/>
  <c r="Y112" i="1"/>
  <c r="Z112" i="1"/>
  <c r="J113" i="1"/>
  <c r="K113" i="1"/>
  <c r="L113" i="1"/>
  <c r="N113" i="1"/>
  <c r="O113" i="1"/>
  <c r="Q113" i="1"/>
  <c r="R113" i="1"/>
  <c r="T113" i="1"/>
  <c r="U113" i="1"/>
  <c r="V113" i="1"/>
  <c r="X113" i="1"/>
  <c r="Y113" i="1"/>
  <c r="Z113" i="1"/>
  <c r="J114" i="1"/>
  <c r="K114" i="1"/>
  <c r="L114" i="1"/>
  <c r="N114" i="1"/>
  <c r="O114" i="1"/>
  <c r="Q114" i="1"/>
  <c r="R114" i="1"/>
  <c r="T114" i="1"/>
  <c r="U114" i="1"/>
  <c r="V114" i="1"/>
  <c r="X114" i="1"/>
  <c r="Y114" i="1"/>
  <c r="Z114" i="1"/>
  <c r="J115" i="1"/>
  <c r="K115" i="1"/>
  <c r="L115" i="1"/>
  <c r="N115" i="1"/>
  <c r="O115" i="1"/>
  <c r="Q115" i="1"/>
  <c r="R115" i="1"/>
  <c r="T115" i="1"/>
  <c r="U115" i="1"/>
  <c r="V115" i="1"/>
  <c r="X115" i="1"/>
  <c r="Y115" i="1"/>
  <c r="Z115" i="1"/>
  <c r="J116" i="1"/>
  <c r="K116" i="1"/>
  <c r="L116" i="1"/>
  <c r="N116" i="1"/>
  <c r="O116" i="1"/>
  <c r="Q116" i="1"/>
  <c r="R116" i="1"/>
  <c r="T116" i="1"/>
  <c r="U116" i="1"/>
  <c r="V116" i="1"/>
  <c r="X116" i="1"/>
  <c r="Y116" i="1"/>
  <c r="Z116" i="1"/>
  <c r="J117" i="1"/>
  <c r="K117" i="1"/>
  <c r="L117" i="1"/>
  <c r="N117" i="1"/>
  <c r="O117" i="1"/>
  <c r="Q117" i="1"/>
  <c r="R117" i="1"/>
  <c r="T117" i="1"/>
  <c r="U117" i="1"/>
  <c r="V117" i="1"/>
  <c r="X117" i="1"/>
  <c r="Y117" i="1"/>
  <c r="Z117" i="1"/>
  <c r="J118" i="1"/>
  <c r="K118" i="1"/>
  <c r="L118" i="1"/>
  <c r="N118" i="1"/>
  <c r="O118" i="1"/>
  <c r="Q118" i="1"/>
  <c r="R118" i="1"/>
  <c r="T118" i="1"/>
  <c r="U118" i="1"/>
  <c r="V118" i="1"/>
  <c r="X118" i="1"/>
  <c r="Y118" i="1"/>
  <c r="Z118" i="1"/>
  <c r="J119" i="1"/>
  <c r="K119" i="1"/>
  <c r="L119" i="1"/>
  <c r="N119" i="1"/>
  <c r="O119" i="1"/>
  <c r="Q119" i="1"/>
  <c r="R119" i="1"/>
  <c r="T119" i="1"/>
  <c r="U119" i="1"/>
  <c r="V119" i="1"/>
  <c r="X119" i="1"/>
  <c r="Y119" i="1"/>
  <c r="Z119" i="1"/>
  <c r="J120" i="1"/>
  <c r="K120" i="1"/>
  <c r="L120" i="1"/>
  <c r="N120" i="1"/>
  <c r="O120" i="1"/>
  <c r="Q120" i="1"/>
  <c r="R120" i="1"/>
  <c r="T120" i="1"/>
  <c r="U120" i="1"/>
  <c r="V120" i="1"/>
  <c r="X120" i="1"/>
  <c r="Y120" i="1"/>
  <c r="Z120" i="1"/>
  <c r="J121" i="1"/>
  <c r="K121" i="1"/>
  <c r="L121" i="1"/>
  <c r="N121" i="1"/>
  <c r="O121" i="1"/>
  <c r="Q121" i="1"/>
  <c r="R121" i="1"/>
  <c r="T121" i="1"/>
  <c r="U121" i="1"/>
  <c r="V121" i="1"/>
  <c r="X121" i="1"/>
  <c r="Y121" i="1"/>
  <c r="Z121" i="1"/>
  <c r="J122" i="1"/>
  <c r="K122" i="1"/>
  <c r="L122" i="1"/>
  <c r="N122" i="1"/>
  <c r="O122" i="1"/>
  <c r="Q122" i="1"/>
  <c r="R122" i="1"/>
  <c r="T122" i="1"/>
  <c r="U122" i="1"/>
  <c r="V122" i="1"/>
  <c r="X122" i="1"/>
  <c r="Y122" i="1"/>
  <c r="Z122" i="1"/>
  <c r="J123" i="1"/>
  <c r="K123" i="1"/>
  <c r="L123" i="1"/>
  <c r="N123" i="1"/>
  <c r="O123" i="1"/>
  <c r="Q123" i="1"/>
  <c r="R123" i="1"/>
  <c r="T123" i="1"/>
  <c r="U123" i="1"/>
  <c r="V123" i="1"/>
  <c r="X123" i="1"/>
  <c r="Y123" i="1"/>
  <c r="Z123" i="1"/>
  <c r="J124" i="1"/>
  <c r="K124" i="1"/>
  <c r="L124" i="1"/>
  <c r="N124" i="1"/>
  <c r="O124" i="1"/>
  <c r="Q124" i="1"/>
  <c r="R124" i="1"/>
  <c r="T124" i="1"/>
  <c r="U124" i="1"/>
  <c r="V124" i="1"/>
  <c r="X124" i="1"/>
  <c r="Y124" i="1"/>
  <c r="Z124" i="1"/>
  <c r="J125" i="1"/>
  <c r="K125" i="1"/>
  <c r="L125" i="1"/>
  <c r="N125" i="1"/>
  <c r="O125" i="1"/>
  <c r="Q125" i="1"/>
  <c r="R125" i="1"/>
  <c r="T125" i="1"/>
  <c r="U125" i="1"/>
  <c r="V125" i="1"/>
  <c r="X125" i="1"/>
  <c r="Y125" i="1"/>
  <c r="Z125" i="1"/>
  <c r="J126" i="1"/>
  <c r="K126" i="1"/>
  <c r="L126" i="1"/>
  <c r="N126" i="1"/>
  <c r="O126" i="1"/>
  <c r="Q126" i="1"/>
  <c r="R126" i="1"/>
  <c r="T126" i="1"/>
  <c r="U126" i="1"/>
  <c r="V126" i="1"/>
  <c r="X126" i="1"/>
  <c r="Y126" i="1"/>
  <c r="Z126" i="1"/>
  <c r="J127" i="1"/>
  <c r="K127" i="1"/>
  <c r="L127" i="1"/>
  <c r="N127" i="1"/>
  <c r="O127" i="1"/>
  <c r="Q127" i="1"/>
  <c r="R127" i="1"/>
  <c r="T127" i="1"/>
  <c r="U127" i="1"/>
  <c r="V127" i="1"/>
  <c r="X127" i="1"/>
  <c r="Y127" i="1"/>
  <c r="Z127" i="1"/>
  <c r="J128" i="1"/>
  <c r="K128" i="1"/>
  <c r="L128" i="1"/>
  <c r="N128" i="1"/>
  <c r="O128" i="1"/>
  <c r="Q128" i="1"/>
  <c r="R128" i="1"/>
  <c r="T128" i="1"/>
  <c r="U128" i="1"/>
  <c r="V128" i="1"/>
  <c r="X128" i="1"/>
  <c r="Y128" i="1"/>
  <c r="Z128" i="1"/>
  <c r="J129" i="1"/>
  <c r="K129" i="1"/>
  <c r="L129" i="1"/>
  <c r="N129" i="1"/>
  <c r="O129" i="1"/>
  <c r="Q129" i="1"/>
  <c r="R129" i="1"/>
  <c r="T129" i="1"/>
  <c r="U129" i="1"/>
  <c r="V129" i="1"/>
  <c r="X129" i="1"/>
  <c r="Y129" i="1"/>
  <c r="Z129" i="1"/>
  <c r="J130" i="1"/>
  <c r="K130" i="1"/>
  <c r="L130" i="1"/>
  <c r="N130" i="1"/>
  <c r="O130" i="1"/>
  <c r="Q130" i="1"/>
  <c r="R130" i="1"/>
  <c r="T130" i="1"/>
  <c r="U130" i="1"/>
  <c r="V130" i="1"/>
  <c r="X130" i="1"/>
  <c r="Y130" i="1"/>
  <c r="Z130" i="1"/>
  <c r="J131" i="1"/>
  <c r="K131" i="1"/>
  <c r="L131" i="1"/>
  <c r="N131" i="1"/>
  <c r="O131" i="1"/>
  <c r="Q131" i="1"/>
  <c r="R131" i="1"/>
  <c r="T131" i="1"/>
  <c r="U131" i="1"/>
  <c r="V131" i="1"/>
  <c r="X131" i="1"/>
  <c r="Y131" i="1"/>
  <c r="Z131" i="1"/>
  <c r="J132" i="1"/>
  <c r="K132" i="1"/>
  <c r="L132" i="1"/>
  <c r="N132" i="1"/>
  <c r="O132" i="1"/>
  <c r="Q132" i="1"/>
  <c r="R132" i="1"/>
  <c r="T132" i="1"/>
  <c r="U132" i="1"/>
  <c r="V132" i="1"/>
  <c r="X132" i="1"/>
  <c r="Y132" i="1"/>
  <c r="Z132" i="1"/>
  <c r="J133" i="1"/>
  <c r="K133" i="1"/>
  <c r="L133" i="1"/>
  <c r="N133" i="1"/>
  <c r="O133" i="1"/>
  <c r="Q133" i="1"/>
  <c r="R133" i="1"/>
  <c r="T133" i="1"/>
  <c r="U133" i="1"/>
  <c r="V133" i="1"/>
  <c r="X133" i="1"/>
  <c r="Y133" i="1"/>
  <c r="Z133" i="1"/>
  <c r="J134" i="1"/>
  <c r="K134" i="1"/>
  <c r="L134" i="1"/>
  <c r="N134" i="1"/>
  <c r="O134" i="1"/>
  <c r="Q134" i="1"/>
  <c r="R134" i="1"/>
  <c r="T134" i="1"/>
  <c r="U134" i="1"/>
  <c r="V134" i="1"/>
  <c r="X134" i="1"/>
  <c r="Y134" i="1"/>
  <c r="Z134" i="1"/>
  <c r="J135" i="1"/>
  <c r="K135" i="1"/>
  <c r="L135" i="1"/>
  <c r="N135" i="1"/>
  <c r="O135" i="1"/>
  <c r="Q135" i="1"/>
  <c r="R135" i="1"/>
  <c r="T135" i="1"/>
  <c r="U135" i="1"/>
  <c r="V135" i="1"/>
  <c r="X135" i="1"/>
  <c r="Y135" i="1"/>
  <c r="Z135" i="1"/>
  <c r="J136" i="1"/>
  <c r="K136" i="1"/>
  <c r="L136" i="1"/>
  <c r="N136" i="1"/>
  <c r="O136" i="1"/>
  <c r="Q136" i="1"/>
  <c r="R136" i="1"/>
  <c r="T136" i="1"/>
  <c r="U136" i="1"/>
  <c r="V136" i="1"/>
  <c r="X136" i="1"/>
  <c r="Y136" i="1"/>
  <c r="Z136" i="1"/>
  <c r="J137" i="1"/>
  <c r="K137" i="1"/>
  <c r="L137" i="1"/>
  <c r="N137" i="1"/>
  <c r="O137" i="1"/>
  <c r="Q137" i="1"/>
  <c r="R137" i="1"/>
  <c r="T137" i="1"/>
  <c r="U137" i="1"/>
  <c r="V137" i="1"/>
  <c r="X137" i="1"/>
  <c r="Y137" i="1"/>
  <c r="Z137" i="1"/>
  <c r="J138" i="1"/>
  <c r="K138" i="1"/>
  <c r="L138" i="1"/>
  <c r="N138" i="1"/>
  <c r="O138" i="1"/>
  <c r="Q138" i="1"/>
  <c r="R138" i="1"/>
  <c r="T138" i="1"/>
  <c r="U138" i="1"/>
  <c r="V138" i="1"/>
  <c r="X138" i="1"/>
  <c r="Y138" i="1"/>
  <c r="Z138" i="1"/>
  <c r="J139" i="1"/>
  <c r="K139" i="1"/>
  <c r="L139" i="1"/>
  <c r="N139" i="1"/>
  <c r="O139" i="1"/>
  <c r="Q139" i="1"/>
  <c r="R139" i="1"/>
  <c r="T139" i="1"/>
  <c r="U139" i="1"/>
  <c r="V139" i="1"/>
  <c r="X139" i="1"/>
  <c r="Y139" i="1"/>
  <c r="Z139" i="1"/>
  <c r="J140" i="1"/>
  <c r="K140" i="1"/>
  <c r="L140" i="1"/>
  <c r="N140" i="1"/>
  <c r="O140" i="1"/>
  <c r="Q140" i="1"/>
  <c r="R140" i="1"/>
  <c r="T140" i="1"/>
  <c r="U140" i="1"/>
  <c r="V140" i="1"/>
  <c r="X140" i="1"/>
  <c r="Y140" i="1"/>
  <c r="Z140" i="1"/>
  <c r="J141" i="1"/>
  <c r="K141" i="1"/>
  <c r="L141" i="1"/>
  <c r="N141" i="1"/>
  <c r="O141" i="1"/>
  <c r="Q141" i="1"/>
  <c r="R141" i="1"/>
  <c r="T141" i="1"/>
  <c r="U141" i="1"/>
  <c r="V141" i="1"/>
  <c r="X141" i="1"/>
  <c r="Y141" i="1"/>
  <c r="Z141" i="1"/>
  <c r="J142" i="1"/>
  <c r="K142" i="1"/>
  <c r="L142" i="1"/>
  <c r="N142" i="1"/>
  <c r="O142" i="1"/>
  <c r="Q142" i="1"/>
  <c r="R142" i="1"/>
  <c r="T142" i="1"/>
  <c r="U142" i="1"/>
  <c r="V142" i="1"/>
  <c r="X142" i="1"/>
  <c r="Y142" i="1"/>
  <c r="Z142" i="1"/>
  <c r="J143" i="1"/>
  <c r="K143" i="1"/>
  <c r="L143" i="1"/>
  <c r="N143" i="1"/>
  <c r="O143" i="1"/>
  <c r="Q143" i="1"/>
  <c r="R143" i="1"/>
  <c r="T143" i="1"/>
  <c r="U143" i="1"/>
  <c r="V143" i="1"/>
  <c r="X143" i="1"/>
  <c r="Y143" i="1"/>
  <c r="Z143" i="1"/>
  <c r="J144" i="1"/>
  <c r="K144" i="1"/>
  <c r="L144" i="1"/>
  <c r="N144" i="1"/>
  <c r="O144" i="1"/>
  <c r="Q144" i="1"/>
  <c r="R144" i="1"/>
  <c r="T144" i="1"/>
  <c r="U144" i="1"/>
  <c r="V144" i="1"/>
  <c r="X144" i="1"/>
  <c r="Y144" i="1"/>
  <c r="Z144" i="1"/>
  <c r="J145" i="1"/>
  <c r="K145" i="1"/>
  <c r="L145" i="1"/>
  <c r="N145" i="1"/>
  <c r="O145" i="1"/>
  <c r="Q145" i="1"/>
  <c r="R145" i="1"/>
  <c r="T145" i="1"/>
  <c r="U145" i="1"/>
  <c r="V145" i="1"/>
  <c r="X145" i="1"/>
  <c r="Y145" i="1"/>
  <c r="Z145" i="1"/>
  <c r="J146" i="1"/>
  <c r="K146" i="1"/>
  <c r="L146" i="1"/>
  <c r="N146" i="1"/>
  <c r="O146" i="1"/>
  <c r="Q146" i="1"/>
  <c r="R146" i="1"/>
  <c r="T146" i="1"/>
  <c r="U146" i="1"/>
  <c r="V146" i="1"/>
  <c r="X146" i="1"/>
  <c r="Y146" i="1"/>
  <c r="Z146" i="1"/>
  <c r="J147" i="1"/>
  <c r="K147" i="1"/>
  <c r="L147" i="1"/>
  <c r="N147" i="1"/>
  <c r="O147" i="1"/>
  <c r="Q147" i="1"/>
  <c r="R147" i="1"/>
  <c r="T147" i="1"/>
  <c r="U147" i="1"/>
  <c r="V147" i="1"/>
  <c r="X147" i="1"/>
  <c r="Y147" i="1"/>
  <c r="Z147" i="1"/>
  <c r="J148" i="1"/>
  <c r="K148" i="1"/>
  <c r="L148" i="1"/>
  <c r="N148" i="1"/>
  <c r="O148" i="1"/>
  <c r="Q148" i="1"/>
  <c r="R148" i="1"/>
  <c r="T148" i="1"/>
  <c r="U148" i="1"/>
  <c r="V148" i="1"/>
  <c r="X148" i="1"/>
  <c r="Y148" i="1"/>
  <c r="Z148" i="1"/>
  <c r="J149" i="1"/>
  <c r="K149" i="1"/>
  <c r="L149" i="1"/>
  <c r="N149" i="1"/>
  <c r="O149" i="1"/>
  <c r="Q149" i="1"/>
  <c r="R149" i="1"/>
  <c r="T149" i="1"/>
  <c r="U149" i="1"/>
  <c r="V149" i="1"/>
  <c r="X149" i="1"/>
  <c r="Y149" i="1"/>
  <c r="Z149" i="1"/>
  <c r="J150" i="1"/>
  <c r="K150" i="1"/>
  <c r="L150" i="1"/>
  <c r="N150" i="1"/>
  <c r="O150" i="1"/>
  <c r="Q150" i="1"/>
  <c r="R150" i="1"/>
  <c r="T150" i="1"/>
  <c r="U150" i="1"/>
  <c r="V150" i="1"/>
  <c r="X150" i="1"/>
  <c r="Y150" i="1"/>
  <c r="Z150" i="1"/>
  <c r="J151" i="1"/>
  <c r="K151" i="1"/>
  <c r="L151" i="1"/>
  <c r="N151" i="1"/>
  <c r="O151" i="1"/>
  <c r="Q151" i="1"/>
  <c r="R151" i="1"/>
  <c r="T151" i="1"/>
  <c r="U151" i="1"/>
  <c r="V151" i="1"/>
  <c r="X151" i="1"/>
  <c r="Y151" i="1"/>
  <c r="Z151" i="1"/>
  <c r="J152" i="1"/>
  <c r="K152" i="1"/>
  <c r="L152" i="1"/>
  <c r="N152" i="1"/>
  <c r="O152" i="1"/>
  <c r="Q152" i="1"/>
  <c r="R152" i="1"/>
  <c r="T152" i="1"/>
  <c r="U152" i="1"/>
  <c r="V152" i="1"/>
  <c r="X152" i="1"/>
  <c r="Y152" i="1"/>
  <c r="Z152" i="1"/>
  <c r="J153" i="1"/>
  <c r="K153" i="1"/>
  <c r="L153" i="1"/>
  <c r="N153" i="1"/>
  <c r="O153" i="1"/>
  <c r="Q153" i="1"/>
  <c r="R153" i="1"/>
  <c r="T153" i="1"/>
  <c r="U153" i="1"/>
  <c r="V153" i="1"/>
  <c r="X153" i="1"/>
  <c r="Y153" i="1"/>
  <c r="Z153" i="1"/>
  <c r="J154" i="1"/>
  <c r="K154" i="1"/>
  <c r="L154" i="1"/>
  <c r="N154" i="1"/>
  <c r="O154" i="1"/>
  <c r="Q154" i="1"/>
  <c r="R154" i="1"/>
  <c r="T154" i="1"/>
  <c r="U154" i="1"/>
  <c r="V154" i="1"/>
  <c r="X154" i="1"/>
  <c r="Y154" i="1"/>
  <c r="Z154" i="1"/>
  <c r="J155" i="1"/>
  <c r="K155" i="1"/>
  <c r="L155" i="1"/>
  <c r="N155" i="1"/>
  <c r="O155" i="1"/>
  <c r="Q155" i="1"/>
  <c r="R155" i="1"/>
  <c r="T155" i="1"/>
  <c r="U155" i="1"/>
  <c r="V155" i="1"/>
  <c r="X155" i="1"/>
  <c r="Y155" i="1"/>
  <c r="Z155" i="1"/>
  <c r="J156" i="1"/>
  <c r="K156" i="1"/>
  <c r="L156" i="1"/>
  <c r="N156" i="1"/>
  <c r="O156" i="1"/>
  <c r="Q156" i="1"/>
  <c r="R156" i="1"/>
  <c r="T156" i="1"/>
  <c r="U156" i="1"/>
  <c r="V156" i="1"/>
  <c r="X156" i="1"/>
  <c r="Y156" i="1"/>
  <c r="Z156" i="1"/>
  <c r="J157" i="1"/>
  <c r="K157" i="1"/>
  <c r="L157" i="1"/>
  <c r="N157" i="1"/>
  <c r="O157" i="1"/>
  <c r="Q157" i="1"/>
  <c r="R157" i="1"/>
  <c r="T157" i="1"/>
  <c r="U157" i="1"/>
  <c r="V157" i="1"/>
  <c r="X157" i="1"/>
  <c r="Y157" i="1"/>
  <c r="Z157" i="1"/>
  <c r="J158" i="1"/>
  <c r="K158" i="1"/>
  <c r="L158" i="1"/>
  <c r="N158" i="1"/>
  <c r="O158" i="1"/>
  <c r="Q158" i="1"/>
  <c r="R158" i="1"/>
  <c r="T158" i="1"/>
  <c r="U158" i="1"/>
  <c r="V158" i="1"/>
  <c r="X158" i="1"/>
  <c r="Y158" i="1"/>
  <c r="Z158" i="1"/>
  <c r="J159" i="1"/>
  <c r="K159" i="1"/>
  <c r="L159" i="1"/>
  <c r="N159" i="1"/>
  <c r="O159" i="1"/>
  <c r="Q159" i="1"/>
  <c r="R159" i="1"/>
  <c r="T159" i="1"/>
  <c r="U159" i="1"/>
  <c r="V159" i="1"/>
  <c r="X159" i="1"/>
  <c r="Y159" i="1"/>
  <c r="Z159" i="1"/>
  <c r="J160" i="1"/>
  <c r="K160" i="1"/>
  <c r="L160" i="1"/>
  <c r="N160" i="1"/>
  <c r="O160" i="1"/>
  <c r="Q160" i="1"/>
  <c r="R160" i="1"/>
  <c r="T160" i="1"/>
  <c r="U160" i="1"/>
  <c r="V160" i="1"/>
  <c r="X160" i="1"/>
  <c r="Y160" i="1"/>
  <c r="Z160" i="1"/>
  <c r="J161" i="1"/>
  <c r="K161" i="1"/>
  <c r="L161" i="1"/>
  <c r="N161" i="1"/>
  <c r="O161" i="1"/>
  <c r="Q161" i="1"/>
  <c r="R161" i="1"/>
  <c r="T161" i="1"/>
  <c r="U161" i="1"/>
  <c r="V161" i="1"/>
  <c r="X161" i="1"/>
  <c r="Y161" i="1"/>
  <c r="Z161" i="1"/>
  <c r="J162" i="1"/>
  <c r="K162" i="1"/>
  <c r="L162" i="1"/>
  <c r="N162" i="1"/>
  <c r="O162" i="1"/>
  <c r="Q162" i="1"/>
  <c r="R162" i="1"/>
  <c r="T162" i="1"/>
  <c r="U162" i="1"/>
  <c r="V162" i="1"/>
  <c r="X162" i="1"/>
  <c r="Y162" i="1"/>
  <c r="Z162" i="1"/>
  <c r="J163" i="1"/>
  <c r="K163" i="1"/>
  <c r="L163" i="1"/>
  <c r="N163" i="1"/>
  <c r="O163" i="1"/>
  <c r="Q163" i="1"/>
  <c r="R163" i="1"/>
  <c r="T163" i="1"/>
  <c r="U163" i="1"/>
  <c r="V163" i="1"/>
  <c r="X163" i="1"/>
  <c r="Y163" i="1"/>
  <c r="Z163" i="1"/>
  <c r="J164" i="1"/>
  <c r="K164" i="1"/>
  <c r="L164" i="1"/>
  <c r="N164" i="1"/>
  <c r="O164" i="1"/>
  <c r="Q164" i="1"/>
  <c r="R164" i="1"/>
  <c r="T164" i="1"/>
  <c r="U164" i="1"/>
  <c r="V164" i="1"/>
  <c r="X164" i="1"/>
  <c r="Y164" i="1"/>
  <c r="Z164" i="1"/>
  <c r="J165" i="1"/>
  <c r="K165" i="1"/>
  <c r="L165" i="1"/>
  <c r="N165" i="1"/>
  <c r="O165" i="1"/>
  <c r="Q165" i="1"/>
  <c r="R165" i="1"/>
  <c r="T165" i="1"/>
  <c r="U165" i="1"/>
  <c r="V165" i="1"/>
  <c r="X165" i="1"/>
  <c r="Y165" i="1"/>
  <c r="Z165" i="1"/>
  <c r="J166" i="1"/>
  <c r="K166" i="1"/>
  <c r="L166" i="1"/>
  <c r="N166" i="1"/>
  <c r="O166" i="1"/>
  <c r="Q166" i="1"/>
  <c r="R166" i="1"/>
  <c r="T166" i="1"/>
  <c r="U166" i="1"/>
  <c r="V166" i="1"/>
  <c r="X166" i="1"/>
  <c r="Y166" i="1"/>
  <c r="Z166" i="1"/>
  <c r="J167" i="1"/>
  <c r="K167" i="1"/>
  <c r="L167" i="1"/>
  <c r="N167" i="1"/>
  <c r="O167" i="1"/>
  <c r="Q167" i="1"/>
  <c r="R167" i="1"/>
  <c r="T167" i="1"/>
  <c r="U167" i="1"/>
  <c r="V167" i="1"/>
  <c r="X167" i="1"/>
  <c r="Y167" i="1"/>
  <c r="Z167" i="1"/>
  <c r="J168" i="1"/>
  <c r="K168" i="1"/>
  <c r="L168" i="1"/>
  <c r="N168" i="1"/>
  <c r="O168" i="1"/>
  <c r="Q168" i="1"/>
  <c r="R168" i="1"/>
  <c r="T168" i="1"/>
  <c r="U168" i="1"/>
  <c r="V168" i="1"/>
  <c r="X168" i="1"/>
  <c r="Y168" i="1"/>
  <c r="Z168" i="1"/>
  <c r="J169" i="1"/>
  <c r="K169" i="1"/>
  <c r="L169" i="1"/>
  <c r="N169" i="1"/>
  <c r="O169" i="1"/>
  <c r="Q169" i="1"/>
  <c r="R169" i="1"/>
  <c r="T169" i="1"/>
  <c r="U169" i="1"/>
  <c r="V169" i="1"/>
  <c r="X169" i="1"/>
  <c r="Y169" i="1"/>
  <c r="Z169" i="1"/>
  <c r="J170" i="1"/>
  <c r="K170" i="1"/>
  <c r="L170" i="1"/>
  <c r="N170" i="1"/>
  <c r="O170" i="1"/>
  <c r="Q170" i="1"/>
  <c r="R170" i="1"/>
  <c r="T170" i="1"/>
  <c r="U170" i="1"/>
  <c r="V170" i="1"/>
  <c r="X170" i="1"/>
  <c r="Y170" i="1"/>
  <c r="Z170" i="1"/>
  <c r="J171" i="1"/>
  <c r="K171" i="1"/>
  <c r="L171" i="1"/>
  <c r="N171" i="1"/>
  <c r="O171" i="1"/>
  <c r="Q171" i="1"/>
  <c r="R171" i="1"/>
  <c r="T171" i="1"/>
  <c r="U171" i="1"/>
  <c r="V171" i="1"/>
  <c r="X171" i="1"/>
  <c r="Y171" i="1"/>
  <c r="Z171" i="1"/>
  <c r="J172" i="1"/>
  <c r="K172" i="1"/>
  <c r="L172" i="1"/>
  <c r="N172" i="1"/>
  <c r="O172" i="1"/>
  <c r="Q172" i="1"/>
  <c r="R172" i="1"/>
  <c r="T172" i="1"/>
  <c r="U172" i="1"/>
  <c r="V172" i="1"/>
  <c r="X172" i="1"/>
  <c r="Y172" i="1"/>
  <c r="Z172" i="1"/>
  <c r="J173" i="1"/>
  <c r="K173" i="1"/>
  <c r="L173" i="1"/>
  <c r="N173" i="1"/>
  <c r="O173" i="1"/>
  <c r="Q173" i="1"/>
  <c r="R173" i="1"/>
  <c r="T173" i="1"/>
  <c r="U173" i="1"/>
  <c r="V173" i="1"/>
  <c r="X173" i="1"/>
  <c r="Y173" i="1"/>
  <c r="Z173" i="1"/>
  <c r="J174" i="1"/>
  <c r="K174" i="1"/>
  <c r="L174" i="1"/>
  <c r="N174" i="1"/>
  <c r="O174" i="1"/>
  <c r="Q174" i="1"/>
  <c r="R174" i="1"/>
  <c r="T174" i="1"/>
  <c r="U174" i="1"/>
  <c r="V174" i="1"/>
  <c r="X174" i="1"/>
  <c r="Y174" i="1"/>
  <c r="Z174" i="1"/>
  <c r="J175" i="1"/>
  <c r="K175" i="1"/>
  <c r="L175" i="1"/>
  <c r="N175" i="1"/>
  <c r="O175" i="1"/>
  <c r="Q175" i="1"/>
  <c r="R175" i="1"/>
  <c r="T175" i="1"/>
  <c r="U175" i="1"/>
  <c r="V175" i="1"/>
  <c r="X175" i="1"/>
  <c r="Y175" i="1"/>
  <c r="Z175" i="1"/>
  <c r="J176" i="1"/>
  <c r="K176" i="1"/>
  <c r="L176" i="1"/>
  <c r="N176" i="1"/>
  <c r="O176" i="1"/>
  <c r="Q176" i="1"/>
  <c r="R176" i="1"/>
  <c r="T176" i="1"/>
  <c r="U176" i="1"/>
  <c r="V176" i="1"/>
  <c r="X176" i="1"/>
  <c r="Y176" i="1"/>
  <c r="Z176" i="1"/>
  <c r="J177" i="1"/>
  <c r="K177" i="1"/>
  <c r="L177" i="1"/>
  <c r="N177" i="1"/>
  <c r="O177" i="1"/>
  <c r="Q177" i="1"/>
  <c r="R177" i="1"/>
  <c r="T177" i="1"/>
  <c r="U177" i="1"/>
  <c r="V177" i="1"/>
  <c r="X177" i="1"/>
  <c r="Y177" i="1"/>
  <c r="Z177" i="1"/>
  <c r="J178" i="1"/>
  <c r="K178" i="1"/>
  <c r="L178" i="1"/>
  <c r="N178" i="1"/>
  <c r="O178" i="1"/>
  <c r="Q178" i="1"/>
  <c r="R178" i="1"/>
  <c r="T178" i="1"/>
  <c r="U178" i="1"/>
  <c r="V178" i="1"/>
  <c r="X178" i="1"/>
  <c r="Y178" i="1"/>
  <c r="Z178" i="1"/>
  <c r="J179" i="1"/>
  <c r="K179" i="1"/>
  <c r="L179" i="1"/>
  <c r="N179" i="1"/>
  <c r="O179" i="1"/>
  <c r="Q179" i="1"/>
  <c r="R179" i="1"/>
  <c r="T179" i="1"/>
  <c r="U179" i="1"/>
  <c r="V179" i="1"/>
  <c r="X179" i="1"/>
  <c r="Y179" i="1"/>
  <c r="Z179" i="1"/>
  <c r="J180" i="1"/>
  <c r="K180" i="1"/>
  <c r="L180" i="1"/>
  <c r="N180" i="1"/>
  <c r="O180" i="1"/>
  <c r="Q180" i="1"/>
  <c r="R180" i="1"/>
  <c r="T180" i="1"/>
  <c r="U180" i="1"/>
  <c r="V180" i="1"/>
  <c r="X180" i="1"/>
  <c r="Y180" i="1"/>
  <c r="Z180" i="1"/>
  <c r="J181" i="1"/>
  <c r="K181" i="1"/>
  <c r="L181" i="1"/>
  <c r="N181" i="1"/>
  <c r="O181" i="1"/>
  <c r="Q181" i="1"/>
  <c r="R181" i="1"/>
  <c r="T181" i="1"/>
  <c r="U181" i="1"/>
  <c r="V181" i="1"/>
  <c r="X181" i="1"/>
  <c r="Y181" i="1"/>
  <c r="Z181" i="1"/>
  <c r="J182" i="1"/>
  <c r="K182" i="1"/>
  <c r="L182" i="1"/>
  <c r="N182" i="1"/>
  <c r="O182" i="1"/>
  <c r="Q182" i="1"/>
  <c r="R182" i="1"/>
  <c r="T182" i="1"/>
  <c r="U182" i="1"/>
  <c r="V182" i="1"/>
  <c r="X182" i="1"/>
  <c r="Y182" i="1"/>
  <c r="Z182" i="1"/>
  <c r="J183" i="1"/>
  <c r="K183" i="1"/>
  <c r="L183" i="1"/>
  <c r="N183" i="1"/>
  <c r="O183" i="1"/>
  <c r="Q183" i="1"/>
  <c r="R183" i="1"/>
  <c r="T183" i="1"/>
  <c r="U183" i="1"/>
  <c r="V183" i="1"/>
  <c r="X183" i="1"/>
  <c r="Y183" i="1"/>
  <c r="Z183" i="1"/>
  <c r="J184" i="1"/>
  <c r="K184" i="1"/>
  <c r="L184" i="1"/>
  <c r="N184" i="1"/>
  <c r="O184" i="1"/>
  <c r="Q184" i="1"/>
  <c r="R184" i="1"/>
  <c r="T184" i="1"/>
  <c r="U184" i="1"/>
  <c r="V184" i="1"/>
  <c r="X184" i="1"/>
  <c r="Y184" i="1"/>
  <c r="Z184" i="1"/>
  <c r="J185" i="1"/>
  <c r="K185" i="1"/>
  <c r="L185" i="1"/>
  <c r="N185" i="1"/>
  <c r="O185" i="1"/>
  <c r="Q185" i="1"/>
  <c r="R185" i="1"/>
  <c r="T185" i="1"/>
  <c r="U185" i="1"/>
  <c r="V185" i="1"/>
  <c r="X185" i="1"/>
  <c r="Y185" i="1"/>
  <c r="Z185" i="1"/>
  <c r="J186" i="1"/>
  <c r="K186" i="1"/>
  <c r="L186" i="1"/>
  <c r="N186" i="1"/>
  <c r="O186" i="1"/>
  <c r="Q186" i="1"/>
  <c r="R186" i="1"/>
  <c r="T186" i="1"/>
  <c r="U186" i="1"/>
  <c r="V186" i="1"/>
  <c r="X186" i="1"/>
  <c r="Y186" i="1"/>
  <c r="Z186" i="1"/>
  <c r="J187" i="1"/>
  <c r="K187" i="1"/>
  <c r="L187" i="1"/>
  <c r="N187" i="1"/>
  <c r="O187" i="1"/>
  <c r="Q187" i="1"/>
  <c r="R187" i="1"/>
  <c r="T187" i="1"/>
  <c r="U187" i="1"/>
  <c r="V187" i="1"/>
  <c r="X187" i="1"/>
  <c r="Y187" i="1"/>
  <c r="Z187" i="1"/>
  <c r="J188" i="1"/>
  <c r="K188" i="1"/>
  <c r="L188" i="1"/>
  <c r="N188" i="1"/>
  <c r="O188" i="1"/>
  <c r="Q188" i="1"/>
  <c r="R188" i="1"/>
  <c r="T188" i="1"/>
  <c r="U188" i="1"/>
  <c r="V188" i="1"/>
  <c r="X188" i="1"/>
  <c r="Y188" i="1"/>
  <c r="Z188" i="1"/>
  <c r="J189" i="1"/>
  <c r="K189" i="1"/>
  <c r="L189" i="1"/>
  <c r="N189" i="1"/>
  <c r="O189" i="1"/>
  <c r="Q189" i="1"/>
  <c r="R189" i="1"/>
  <c r="T189" i="1"/>
  <c r="U189" i="1"/>
  <c r="V189" i="1"/>
  <c r="X189" i="1"/>
  <c r="Y189" i="1"/>
  <c r="Z189" i="1"/>
  <c r="J190" i="1"/>
  <c r="K190" i="1"/>
  <c r="L190" i="1"/>
  <c r="N190" i="1"/>
  <c r="O190" i="1"/>
  <c r="Q190" i="1"/>
  <c r="R190" i="1"/>
  <c r="T190" i="1"/>
  <c r="U190" i="1"/>
  <c r="V190" i="1"/>
  <c r="X190" i="1"/>
  <c r="Y190" i="1"/>
  <c r="Z190" i="1"/>
  <c r="J191" i="1"/>
  <c r="K191" i="1"/>
  <c r="L191" i="1"/>
  <c r="N191" i="1"/>
  <c r="O191" i="1"/>
  <c r="Q191" i="1"/>
  <c r="R191" i="1"/>
  <c r="T191" i="1"/>
  <c r="U191" i="1"/>
  <c r="V191" i="1"/>
  <c r="X191" i="1"/>
  <c r="Y191" i="1"/>
  <c r="Z191" i="1"/>
  <c r="J192" i="1"/>
  <c r="K192" i="1"/>
  <c r="L192" i="1"/>
  <c r="N192" i="1"/>
  <c r="O192" i="1"/>
  <c r="Q192" i="1"/>
  <c r="R192" i="1"/>
  <c r="T192" i="1"/>
  <c r="U192" i="1"/>
  <c r="V192" i="1"/>
  <c r="X192" i="1"/>
  <c r="Y192" i="1"/>
  <c r="Z192" i="1"/>
  <c r="J193" i="1"/>
  <c r="K193" i="1"/>
  <c r="L193" i="1"/>
  <c r="N193" i="1"/>
  <c r="O193" i="1"/>
  <c r="Q193" i="1"/>
  <c r="R193" i="1"/>
  <c r="T193" i="1"/>
  <c r="U193" i="1"/>
  <c r="V193" i="1"/>
  <c r="X193" i="1"/>
  <c r="Y193" i="1"/>
  <c r="Z193" i="1"/>
  <c r="J194" i="1"/>
  <c r="K194" i="1"/>
  <c r="L194" i="1"/>
  <c r="N194" i="1"/>
  <c r="O194" i="1"/>
  <c r="Q194" i="1"/>
  <c r="R194" i="1"/>
  <c r="T194" i="1"/>
  <c r="U194" i="1"/>
  <c r="V194" i="1"/>
  <c r="X194" i="1"/>
  <c r="Y194" i="1"/>
  <c r="Z194" i="1"/>
  <c r="J195" i="1"/>
  <c r="K195" i="1"/>
  <c r="L195" i="1"/>
  <c r="N195" i="1"/>
  <c r="O195" i="1"/>
  <c r="Q195" i="1"/>
  <c r="R195" i="1"/>
  <c r="T195" i="1"/>
  <c r="U195" i="1"/>
  <c r="V195" i="1"/>
  <c r="X195" i="1"/>
  <c r="Y195" i="1"/>
  <c r="Z195" i="1"/>
  <c r="J196" i="1"/>
  <c r="K196" i="1"/>
  <c r="L196" i="1"/>
  <c r="N196" i="1"/>
  <c r="O196" i="1"/>
  <c r="Q196" i="1"/>
  <c r="R196" i="1"/>
  <c r="T196" i="1"/>
  <c r="U196" i="1"/>
  <c r="V196" i="1"/>
  <c r="X196" i="1"/>
  <c r="Y196" i="1"/>
  <c r="Z196" i="1"/>
  <c r="J197" i="1"/>
  <c r="K197" i="1"/>
  <c r="L197" i="1"/>
  <c r="N197" i="1"/>
  <c r="O197" i="1"/>
  <c r="Q197" i="1"/>
  <c r="R197" i="1"/>
  <c r="T197" i="1"/>
  <c r="U197" i="1"/>
  <c r="V197" i="1"/>
  <c r="X197" i="1"/>
  <c r="Y197" i="1"/>
  <c r="Z197" i="1"/>
  <c r="J198" i="1"/>
  <c r="K198" i="1"/>
  <c r="L198" i="1"/>
  <c r="N198" i="1"/>
  <c r="O198" i="1"/>
  <c r="Q198" i="1"/>
  <c r="R198" i="1"/>
  <c r="T198" i="1"/>
  <c r="U198" i="1"/>
  <c r="V198" i="1"/>
  <c r="X198" i="1"/>
  <c r="Y198" i="1"/>
  <c r="Z198" i="1"/>
  <c r="J199" i="1"/>
  <c r="K199" i="1"/>
  <c r="L199" i="1"/>
  <c r="N199" i="1"/>
  <c r="O199" i="1"/>
  <c r="Q199" i="1"/>
  <c r="R199" i="1"/>
  <c r="T199" i="1"/>
  <c r="U199" i="1"/>
  <c r="V199" i="1"/>
  <c r="X199" i="1"/>
  <c r="Y199" i="1"/>
  <c r="Z199" i="1"/>
  <c r="J200" i="1"/>
  <c r="K200" i="1"/>
  <c r="L200" i="1"/>
  <c r="N200" i="1"/>
  <c r="O200" i="1"/>
  <c r="Q200" i="1"/>
  <c r="R200" i="1"/>
  <c r="T200" i="1"/>
  <c r="U200" i="1"/>
  <c r="V200" i="1"/>
  <c r="X200" i="1"/>
  <c r="Y200" i="1"/>
  <c r="Z200" i="1"/>
  <c r="J201" i="1"/>
  <c r="K201" i="1"/>
  <c r="L201" i="1"/>
  <c r="N201" i="1"/>
  <c r="O201" i="1"/>
  <c r="Q201" i="1"/>
  <c r="R201" i="1"/>
  <c r="T201" i="1"/>
  <c r="U201" i="1"/>
  <c r="V201" i="1"/>
  <c r="X201" i="1"/>
  <c r="Y201" i="1"/>
  <c r="Z201" i="1"/>
  <c r="J202" i="1"/>
  <c r="K202" i="1"/>
  <c r="L202" i="1"/>
  <c r="N202" i="1"/>
  <c r="O202" i="1"/>
  <c r="Q202" i="1"/>
  <c r="R202" i="1"/>
  <c r="T202" i="1"/>
  <c r="U202" i="1"/>
  <c r="V202" i="1"/>
  <c r="X202" i="1"/>
  <c r="Y202" i="1"/>
  <c r="Z202" i="1"/>
  <c r="Z3" i="1"/>
  <c r="Y3" i="1"/>
  <c r="X3" i="1"/>
  <c r="R3" i="1"/>
  <c r="Q3" i="1"/>
  <c r="O3" i="1"/>
  <c r="N3" i="1"/>
  <c r="L3" i="1"/>
  <c r="K3" i="1"/>
  <c r="J3" i="1"/>
  <c r="F4" i="1"/>
  <c r="G4" i="1"/>
  <c r="H4" i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F89" i="1"/>
  <c r="G89" i="1"/>
  <c r="H89" i="1"/>
  <c r="F90" i="1"/>
  <c r="G90" i="1"/>
  <c r="H90" i="1"/>
  <c r="F91" i="1"/>
  <c r="G91" i="1"/>
  <c r="H91" i="1"/>
  <c r="F92" i="1"/>
  <c r="G92" i="1"/>
  <c r="H92" i="1"/>
  <c r="F93" i="1"/>
  <c r="G93" i="1"/>
  <c r="H93" i="1"/>
  <c r="F94" i="1"/>
  <c r="G94" i="1"/>
  <c r="H94" i="1"/>
  <c r="F95" i="1"/>
  <c r="G95" i="1"/>
  <c r="H95" i="1"/>
  <c r="F96" i="1"/>
  <c r="G96" i="1"/>
  <c r="H96" i="1"/>
  <c r="F97" i="1"/>
  <c r="G97" i="1"/>
  <c r="H97" i="1"/>
  <c r="F98" i="1"/>
  <c r="G98" i="1"/>
  <c r="H98" i="1"/>
  <c r="F99" i="1"/>
  <c r="G99" i="1"/>
  <c r="H99" i="1"/>
  <c r="F100" i="1"/>
  <c r="G100" i="1"/>
  <c r="H100" i="1"/>
  <c r="F101" i="1"/>
  <c r="G101" i="1"/>
  <c r="H101" i="1"/>
  <c r="F102" i="1"/>
  <c r="G102" i="1"/>
  <c r="H102" i="1"/>
  <c r="F103" i="1"/>
  <c r="G103" i="1"/>
  <c r="H103" i="1"/>
  <c r="F104" i="1"/>
  <c r="G104" i="1"/>
  <c r="H104" i="1"/>
  <c r="F105" i="1"/>
  <c r="G105" i="1"/>
  <c r="H105" i="1"/>
  <c r="F106" i="1"/>
  <c r="G106" i="1"/>
  <c r="H106" i="1"/>
  <c r="F107" i="1"/>
  <c r="G107" i="1"/>
  <c r="H107" i="1"/>
  <c r="F108" i="1"/>
  <c r="G108" i="1"/>
  <c r="H108" i="1"/>
  <c r="F109" i="1"/>
  <c r="G109" i="1"/>
  <c r="H109" i="1"/>
  <c r="F110" i="1"/>
  <c r="G110" i="1"/>
  <c r="H110" i="1"/>
  <c r="F111" i="1"/>
  <c r="G111" i="1"/>
  <c r="H111" i="1"/>
  <c r="F112" i="1"/>
  <c r="G112" i="1"/>
  <c r="H112" i="1"/>
  <c r="F113" i="1"/>
  <c r="G113" i="1"/>
  <c r="H113" i="1"/>
  <c r="F114" i="1"/>
  <c r="G114" i="1"/>
  <c r="H114" i="1"/>
  <c r="F115" i="1"/>
  <c r="G115" i="1"/>
  <c r="H115" i="1"/>
  <c r="F116" i="1"/>
  <c r="G116" i="1"/>
  <c r="H116" i="1"/>
  <c r="F117" i="1"/>
  <c r="G117" i="1"/>
  <c r="H117" i="1"/>
  <c r="F118" i="1"/>
  <c r="G118" i="1"/>
  <c r="H118" i="1"/>
  <c r="F119" i="1"/>
  <c r="G119" i="1"/>
  <c r="H119" i="1"/>
  <c r="F120" i="1"/>
  <c r="G120" i="1"/>
  <c r="H120" i="1"/>
  <c r="F121" i="1"/>
  <c r="G121" i="1"/>
  <c r="H121" i="1"/>
  <c r="F122" i="1"/>
  <c r="G122" i="1"/>
  <c r="H122" i="1"/>
  <c r="F123" i="1"/>
  <c r="G123" i="1"/>
  <c r="H123" i="1"/>
  <c r="F124" i="1"/>
  <c r="G124" i="1"/>
  <c r="H124" i="1"/>
  <c r="F125" i="1"/>
  <c r="G125" i="1"/>
  <c r="H125" i="1"/>
  <c r="F126" i="1"/>
  <c r="G126" i="1"/>
  <c r="H126" i="1"/>
  <c r="F127" i="1"/>
  <c r="G127" i="1"/>
  <c r="H127" i="1"/>
  <c r="F128" i="1"/>
  <c r="G128" i="1"/>
  <c r="H128" i="1"/>
  <c r="F129" i="1"/>
  <c r="G129" i="1"/>
  <c r="H129" i="1"/>
  <c r="F130" i="1"/>
  <c r="G130" i="1"/>
  <c r="H130" i="1"/>
  <c r="F131" i="1"/>
  <c r="G131" i="1"/>
  <c r="H131" i="1"/>
  <c r="F132" i="1"/>
  <c r="G132" i="1"/>
  <c r="H132" i="1"/>
  <c r="F133" i="1"/>
  <c r="G133" i="1"/>
  <c r="H133" i="1"/>
  <c r="F134" i="1"/>
  <c r="G134" i="1"/>
  <c r="H134" i="1"/>
  <c r="F135" i="1"/>
  <c r="G135" i="1"/>
  <c r="H135" i="1"/>
  <c r="F136" i="1"/>
  <c r="G136" i="1"/>
  <c r="H136" i="1"/>
  <c r="F137" i="1"/>
  <c r="G137" i="1"/>
  <c r="H137" i="1"/>
  <c r="F138" i="1"/>
  <c r="G138" i="1"/>
  <c r="H138" i="1"/>
  <c r="F139" i="1"/>
  <c r="G139" i="1"/>
  <c r="H139" i="1"/>
  <c r="F140" i="1"/>
  <c r="G140" i="1"/>
  <c r="H140" i="1"/>
  <c r="F141" i="1"/>
  <c r="G141" i="1"/>
  <c r="H141" i="1"/>
  <c r="F142" i="1"/>
  <c r="G142" i="1"/>
  <c r="H142" i="1"/>
  <c r="F143" i="1"/>
  <c r="G143" i="1"/>
  <c r="H143" i="1"/>
  <c r="F144" i="1"/>
  <c r="G144" i="1"/>
  <c r="H144" i="1"/>
  <c r="F145" i="1"/>
  <c r="G145" i="1"/>
  <c r="H145" i="1"/>
  <c r="F146" i="1"/>
  <c r="G146" i="1"/>
  <c r="H146" i="1"/>
  <c r="F147" i="1"/>
  <c r="G147" i="1"/>
  <c r="H147" i="1"/>
  <c r="F148" i="1"/>
  <c r="G148" i="1"/>
  <c r="H148" i="1"/>
  <c r="F149" i="1"/>
  <c r="G149" i="1"/>
  <c r="H149" i="1"/>
  <c r="F150" i="1"/>
  <c r="G150" i="1"/>
  <c r="H150" i="1"/>
  <c r="F151" i="1"/>
  <c r="G151" i="1"/>
  <c r="H151" i="1"/>
  <c r="F152" i="1"/>
  <c r="G152" i="1"/>
  <c r="H152" i="1"/>
  <c r="F153" i="1"/>
  <c r="G153" i="1"/>
  <c r="H153" i="1"/>
  <c r="F154" i="1"/>
  <c r="G154" i="1"/>
  <c r="H154" i="1"/>
  <c r="F155" i="1"/>
  <c r="G155" i="1"/>
  <c r="H155" i="1"/>
  <c r="F156" i="1"/>
  <c r="G156" i="1"/>
  <c r="H156" i="1"/>
  <c r="F157" i="1"/>
  <c r="G157" i="1"/>
  <c r="H157" i="1"/>
  <c r="F158" i="1"/>
  <c r="G158" i="1"/>
  <c r="H158" i="1"/>
  <c r="F159" i="1"/>
  <c r="G159" i="1"/>
  <c r="H159" i="1"/>
  <c r="F160" i="1"/>
  <c r="G160" i="1"/>
  <c r="H160" i="1"/>
  <c r="F161" i="1"/>
  <c r="G161" i="1"/>
  <c r="H161" i="1"/>
  <c r="F162" i="1"/>
  <c r="G162" i="1"/>
  <c r="H162" i="1"/>
  <c r="F163" i="1"/>
  <c r="G163" i="1"/>
  <c r="H163" i="1"/>
  <c r="F164" i="1"/>
  <c r="G164" i="1"/>
  <c r="H164" i="1"/>
  <c r="F165" i="1"/>
  <c r="G165" i="1"/>
  <c r="H165" i="1"/>
  <c r="F166" i="1"/>
  <c r="G166" i="1"/>
  <c r="H166" i="1"/>
  <c r="F167" i="1"/>
  <c r="G167" i="1"/>
  <c r="H167" i="1"/>
  <c r="F168" i="1"/>
  <c r="G168" i="1"/>
  <c r="H168" i="1"/>
  <c r="F169" i="1"/>
  <c r="G169" i="1"/>
  <c r="H169" i="1"/>
  <c r="F170" i="1"/>
  <c r="G170" i="1"/>
  <c r="H170" i="1"/>
  <c r="F171" i="1"/>
  <c r="G171" i="1"/>
  <c r="H171" i="1"/>
  <c r="F172" i="1"/>
  <c r="G172" i="1"/>
  <c r="H172" i="1"/>
  <c r="F173" i="1"/>
  <c r="G173" i="1"/>
  <c r="H173" i="1"/>
  <c r="F174" i="1"/>
  <c r="G174" i="1"/>
  <c r="H174" i="1"/>
  <c r="F175" i="1"/>
  <c r="G175" i="1"/>
  <c r="H175" i="1"/>
  <c r="F176" i="1"/>
  <c r="G176" i="1"/>
  <c r="H176" i="1"/>
  <c r="F177" i="1"/>
  <c r="G177" i="1"/>
  <c r="H177" i="1"/>
  <c r="F178" i="1"/>
  <c r="G178" i="1"/>
  <c r="H178" i="1"/>
  <c r="F179" i="1"/>
  <c r="G179" i="1"/>
  <c r="H179" i="1"/>
  <c r="F180" i="1"/>
  <c r="G180" i="1"/>
  <c r="H180" i="1"/>
  <c r="F181" i="1"/>
  <c r="G181" i="1"/>
  <c r="H181" i="1"/>
  <c r="F182" i="1"/>
  <c r="G182" i="1"/>
  <c r="H182" i="1"/>
  <c r="F183" i="1"/>
  <c r="G183" i="1"/>
  <c r="H183" i="1"/>
  <c r="F184" i="1"/>
  <c r="G184" i="1"/>
  <c r="H184" i="1"/>
  <c r="F185" i="1"/>
  <c r="G185" i="1"/>
  <c r="H185" i="1"/>
  <c r="F186" i="1"/>
  <c r="G186" i="1"/>
  <c r="H186" i="1"/>
  <c r="F187" i="1"/>
  <c r="G187" i="1"/>
  <c r="H187" i="1"/>
  <c r="F188" i="1"/>
  <c r="G188" i="1"/>
  <c r="H188" i="1"/>
  <c r="F189" i="1"/>
  <c r="G189" i="1"/>
  <c r="H189" i="1"/>
  <c r="F190" i="1"/>
  <c r="G190" i="1"/>
  <c r="H190" i="1"/>
  <c r="F191" i="1"/>
  <c r="G191" i="1"/>
  <c r="H191" i="1"/>
  <c r="F192" i="1"/>
  <c r="G192" i="1"/>
  <c r="H192" i="1"/>
  <c r="F193" i="1"/>
  <c r="G193" i="1"/>
  <c r="H193" i="1"/>
  <c r="F194" i="1"/>
  <c r="G194" i="1"/>
  <c r="H194" i="1"/>
  <c r="F195" i="1"/>
  <c r="G195" i="1"/>
  <c r="H195" i="1"/>
  <c r="F196" i="1"/>
  <c r="G196" i="1"/>
  <c r="H196" i="1"/>
  <c r="F197" i="1"/>
  <c r="G197" i="1"/>
  <c r="H197" i="1"/>
  <c r="F198" i="1"/>
  <c r="G198" i="1"/>
  <c r="H198" i="1"/>
  <c r="F199" i="1"/>
  <c r="G199" i="1"/>
  <c r="H199" i="1"/>
  <c r="F200" i="1"/>
  <c r="G200" i="1"/>
  <c r="H200" i="1"/>
  <c r="F201" i="1"/>
  <c r="G201" i="1"/>
  <c r="H201" i="1"/>
  <c r="F202" i="1"/>
  <c r="G202" i="1"/>
  <c r="H202" i="1"/>
  <c r="H3" i="1"/>
  <c r="G3" i="1"/>
  <c r="F3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B62" i="1"/>
  <c r="C62" i="1"/>
  <c r="D62" i="1"/>
  <c r="B63" i="1"/>
  <c r="C63" i="1"/>
  <c r="D63" i="1"/>
  <c r="B64" i="1"/>
  <c r="C64" i="1"/>
  <c r="D64" i="1"/>
  <c r="B65" i="1"/>
  <c r="C65" i="1"/>
  <c r="D65" i="1"/>
  <c r="B66" i="1"/>
  <c r="C66" i="1"/>
  <c r="D66" i="1"/>
  <c r="B67" i="1"/>
  <c r="C67" i="1"/>
  <c r="D67" i="1"/>
  <c r="B68" i="1"/>
  <c r="C68" i="1"/>
  <c r="D68" i="1"/>
  <c r="B69" i="1"/>
  <c r="C69" i="1"/>
  <c r="D69" i="1"/>
  <c r="B70" i="1"/>
  <c r="C70" i="1"/>
  <c r="D70" i="1"/>
  <c r="B71" i="1"/>
  <c r="C71" i="1"/>
  <c r="D71" i="1"/>
  <c r="B72" i="1"/>
  <c r="C72" i="1"/>
  <c r="D72" i="1"/>
  <c r="B73" i="1"/>
  <c r="C73" i="1"/>
  <c r="D73" i="1"/>
  <c r="B74" i="1"/>
  <c r="C74" i="1"/>
  <c r="D74" i="1"/>
  <c r="B75" i="1"/>
  <c r="C75" i="1"/>
  <c r="D75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B88" i="1"/>
  <c r="C88" i="1"/>
  <c r="D88" i="1"/>
  <c r="B89" i="1"/>
  <c r="C89" i="1"/>
  <c r="D89" i="1"/>
  <c r="B90" i="1"/>
  <c r="C90" i="1"/>
  <c r="D90" i="1"/>
  <c r="B91" i="1"/>
  <c r="C91" i="1"/>
  <c r="D91" i="1"/>
  <c r="B92" i="1"/>
  <c r="C92" i="1"/>
  <c r="D92" i="1"/>
  <c r="B93" i="1"/>
  <c r="C93" i="1"/>
  <c r="D93" i="1"/>
  <c r="B94" i="1"/>
  <c r="C94" i="1"/>
  <c r="D94" i="1"/>
  <c r="B95" i="1"/>
  <c r="C95" i="1"/>
  <c r="D95" i="1"/>
  <c r="B96" i="1"/>
  <c r="C96" i="1"/>
  <c r="D96" i="1"/>
  <c r="B97" i="1"/>
  <c r="C97" i="1"/>
  <c r="D97" i="1"/>
  <c r="B98" i="1"/>
  <c r="C98" i="1"/>
  <c r="D98" i="1"/>
  <c r="B99" i="1"/>
  <c r="C99" i="1"/>
  <c r="D99" i="1"/>
  <c r="B100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C104" i="1"/>
  <c r="D104" i="1"/>
  <c r="B105" i="1"/>
  <c r="C105" i="1"/>
  <c r="D105" i="1"/>
  <c r="B106" i="1"/>
  <c r="C106" i="1"/>
  <c r="D106" i="1"/>
  <c r="B107" i="1"/>
  <c r="C107" i="1"/>
  <c r="D107" i="1"/>
  <c r="B108" i="1"/>
  <c r="C108" i="1"/>
  <c r="D108" i="1"/>
  <c r="B109" i="1"/>
  <c r="C109" i="1"/>
  <c r="D109" i="1"/>
  <c r="B110" i="1"/>
  <c r="C110" i="1"/>
  <c r="D110" i="1"/>
  <c r="B111" i="1"/>
  <c r="C111" i="1"/>
  <c r="D111" i="1"/>
  <c r="B112" i="1"/>
  <c r="C112" i="1"/>
  <c r="D112" i="1"/>
  <c r="B113" i="1"/>
  <c r="C113" i="1"/>
  <c r="D113" i="1"/>
  <c r="B114" i="1"/>
  <c r="C114" i="1"/>
  <c r="D114" i="1"/>
  <c r="B115" i="1"/>
  <c r="C115" i="1"/>
  <c r="D115" i="1"/>
  <c r="B116" i="1"/>
  <c r="C116" i="1"/>
  <c r="D116" i="1"/>
  <c r="B117" i="1"/>
  <c r="C117" i="1"/>
  <c r="D117" i="1"/>
  <c r="B118" i="1"/>
  <c r="C118" i="1"/>
  <c r="D118" i="1"/>
  <c r="B119" i="1"/>
  <c r="C119" i="1"/>
  <c r="D119" i="1"/>
  <c r="B120" i="1"/>
  <c r="C120" i="1"/>
  <c r="D120" i="1"/>
  <c r="B121" i="1"/>
  <c r="C121" i="1"/>
  <c r="D121" i="1"/>
  <c r="B122" i="1"/>
  <c r="C122" i="1"/>
  <c r="D122" i="1"/>
  <c r="B123" i="1"/>
  <c r="C123" i="1"/>
  <c r="D123" i="1"/>
  <c r="B124" i="1"/>
  <c r="C124" i="1"/>
  <c r="D124" i="1"/>
  <c r="B125" i="1"/>
  <c r="C125" i="1"/>
  <c r="D125" i="1"/>
  <c r="B126" i="1"/>
  <c r="C126" i="1"/>
  <c r="D126" i="1"/>
  <c r="B127" i="1"/>
  <c r="C127" i="1"/>
  <c r="D127" i="1"/>
  <c r="B128" i="1"/>
  <c r="C128" i="1"/>
  <c r="D128" i="1"/>
  <c r="B129" i="1"/>
  <c r="C129" i="1"/>
  <c r="D129" i="1"/>
  <c r="B130" i="1"/>
  <c r="C130" i="1"/>
  <c r="D130" i="1"/>
  <c r="B131" i="1"/>
  <c r="C131" i="1"/>
  <c r="D131" i="1"/>
  <c r="B132" i="1"/>
  <c r="C132" i="1"/>
  <c r="D132" i="1"/>
  <c r="B133" i="1"/>
  <c r="C133" i="1"/>
  <c r="D133" i="1"/>
  <c r="B134" i="1"/>
  <c r="C134" i="1"/>
  <c r="D134" i="1"/>
  <c r="B135" i="1"/>
  <c r="C135" i="1"/>
  <c r="D135" i="1"/>
  <c r="B136" i="1"/>
  <c r="C136" i="1"/>
  <c r="D136" i="1"/>
  <c r="B137" i="1"/>
  <c r="C137" i="1"/>
  <c r="D137" i="1"/>
  <c r="B138" i="1"/>
  <c r="C138" i="1"/>
  <c r="D138" i="1"/>
  <c r="B139" i="1"/>
  <c r="C139" i="1"/>
  <c r="D139" i="1"/>
  <c r="B140" i="1"/>
  <c r="C140" i="1"/>
  <c r="D140" i="1"/>
  <c r="B141" i="1"/>
  <c r="C141" i="1"/>
  <c r="D141" i="1"/>
  <c r="B142" i="1"/>
  <c r="C142" i="1"/>
  <c r="D142" i="1"/>
  <c r="B143" i="1"/>
  <c r="C143" i="1"/>
  <c r="D143" i="1"/>
  <c r="B144" i="1"/>
  <c r="C144" i="1"/>
  <c r="D144" i="1"/>
  <c r="B145" i="1"/>
  <c r="C145" i="1"/>
  <c r="D145" i="1"/>
  <c r="B146" i="1"/>
  <c r="C146" i="1"/>
  <c r="D146" i="1"/>
  <c r="B147" i="1"/>
  <c r="C147" i="1"/>
  <c r="D147" i="1"/>
  <c r="B148" i="1"/>
  <c r="C148" i="1"/>
  <c r="D148" i="1"/>
  <c r="B149" i="1"/>
  <c r="C149" i="1"/>
  <c r="D149" i="1"/>
  <c r="B150" i="1"/>
  <c r="C150" i="1"/>
  <c r="D150" i="1"/>
  <c r="B151" i="1"/>
  <c r="C151" i="1"/>
  <c r="D151" i="1"/>
  <c r="B152" i="1"/>
  <c r="C152" i="1"/>
  <c r="D152" i="1"/>
  <c r="B153" i="1"/>
  <c r="C153" i="1"/>
  <c r="D153" i="1"/>
  <c r="B154" i="1"/>
  <c r="C154" i="1"/>
  <c r="D154" i="1"/>
  <c r="B155" i="1"/>
  <c r="C155" i="1"/>
  <c r="D155" i="1"/>
  <c r="B156" i="1"/>
  <c r="C156" i="1"/>
  <c r="D156" i="1"/>
  <c r="B157" i="1"/>
  <c r="C157" i="1"/>
  <c r="D157" i="1"/>
  <c r="B158" i="1"/>
  <c r="C158" i="1"/>
  <c r="D158" i="1"/>
  <c r="B159" i="1"/>
  <c r="C159" i="1"/>
  <c r="D159" i="1"/>
  <c r="B160" i="1"/>
  <c r="C160" i="1"/>
  <c r="D160" i="1"/>
  <c r="B161" i="1"/>
  <c r="C161" i="1"/>
  <c r="D161" i="1"/>
  <c r="B162" i="1"/>
  <c r="C162" i="1"/>
  <c r="D162" i="1"/>
  <c r="B163" i="1"/>
  <c r="C163" i="1"/>
  <c r="D163" i="1"/>
  <c r="B164" i="1"/>
  <c r="C164" i="1"/>
  <c r="D164" i="1"/>
  <c r="B165" i="1"/>
  <c r="C165" i="1"/>
  <c r="D165" i="1"/>
  <c r="B166" i="1"/>
  <c r="C166" i="1"/>
  <c r="D166" i="1"/>
  <c r="B167" i="1"/>
  <c r="C167" i="1"/>
  <c r="D167" i="1"/>
  <c r="B168" i="1"/>
  <c r="C168" i="1"/>
  <c r="D168" i="1"/>
  <c r="B169" i="1"/>
  <c r="C169" i="1"/>
  <c r="D169" i="1"/>
  <c r="B170" i="1"/>
  <c r="C170" i="1"/>
  <c r="D170" i="1"/>
  <c r="B171" i="1"/>
  <c r="C171" i="1"/>
  <c r="D171" i="1"/>
  <c r="B172" i="1"/>
  <c r="C172" i="1"/>
  <c r="D172" i="1"/>
  <c r="B173" i="1"/>
  <c r="C173" i="1"/>
  <c r="D173" i="1"/>
  <c r="B174" i="1"/>
  <c r="C174" i="1"/>
  <c r="D174" i="1"/>
  <c r="B175" i="1"/>
  <c r="C175" i="1"/>
  <c r="D175" i="1"/>
  <c r="B176" i="1"/>
  <c r="C176" i="1"/>
  <c r="D176" i="1"/>
  <c r="B177" i="1"/>
  <c r="C177" i="1"/>
  <c r="D177" i="1"/>
  <c r="B178" i="1"/>
  <c r="C178" i="1"/>
  <c r="D178" i="1"/>
  <c r="B179" i="1"/>
  <c r="C179" i="1"/>
  <c r="D179" i="1"/>
  <c r="B180" i="1"/>
  <c r="C180" i="1"/>
  <c r="D180" i="1"/>
  <c r="B181" i="1"/>
  <c r="C181" i="1"/>
  <c r="D181" i="1"/>
  <c r="B182" i="1"/>
  <c r="C182" i="1"/>
  <c r="D182" i="1"/>
  <c r="B183" i="1"/>
  <c r="C183" i="1"/>
  <c r="D183" i="1"/>
  <c r="B184" i="1"/>
  <c r="C184" i="1"/>
  <c r="D184" i="1"/>
  <c r="B185" i="1"/>
  <c r="C185" i="1"/>
  <c r="D185" i="1"/>
  <c r="B186" i="1"/>
  <c r="C186" i="1"/>
  <c r="D186" i="1"/>
  <c r="B187" i="1"/>
  <c r="C187" i="1"/>
  <c r="D187" i="1"/>
  <c r="B188" i="1"/>
  <c r="C188" i="1"/>
  <c r="D188" i="1"/>
  <c r="B189" i="1"/>
  <c r="C189" i="1"/>
  <c r="D189" i="1"/>
  <c r="B190" i="1"/>
  <c r="C190" i="1"/>
  <c r="D190" i="1"/>
  <c r="B191" i="1"/>
  <c r="C191" i="1"/>
  <c r="D191" i="1"/>
  <c r="B192" i="1"/>
  <c r="C192" i="1"/>
  <c r="D192" i="1"/>
  <c r="B193" i="1"/>
  <c r="C193" i="1"/>
  <c r="D193" i="1"/>
  <c r="B194" i="1"/>
  <c r="C194" i="1"/>
  <c r="D194" i="1"/>
  <c r="B195" i="1"/>
  <c r="C195" i="1"/>
  <c r="D195" i="1"/>
  <c r="B196" i="1"/>
  <c r="C196" i="1"/>
  <c r="D196" i="1"/>
  <c r="B197" i="1"/>
  <c r="C197" i="1"/>
  <c r="D197" i="1"/>
  <c r="B198" i="1"/>
  <c r="C198" i="1"/>
  <c r="D198" i="1"/>
  <c r="B199" i="1"/>
  <c r="C199" i="1"/>
  <c r="D199" i="1"/>
  <c r="B200" i="1"/>
  <c r="C200" i="1"/>
  <c r="D200" i="1"/>
  <c r="B201" i="1"/>
  <c r="C201" i="1"/>
  <c r="D201" i="1"/>
  <c r="B202" i="1"/>
  <c r="C202" i="1"/>
  <c r="D202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D3" i="1"/>
  <c r="C3" i="1"/>
  <c r="B3" i="1"/>
  <c r="U3" i="1"/>
  <c r="V3" i="1"/>
  <c r="T3" i="1"/>
</calcChain>
</file>

<file path=xl/sharedStrings.xml><?xml version="1.0" encoding="utf-8"?>
<sst xmlns="http://schemas.openxmlformats.org/spreadsheetml/2006/main" count="153" uniqueCount="75">
  <si>
    <t>n_estimators</t>
  </si>
  <si>
    <t>max_depth</t>
  </si>
  <si>
    <t>learning_rate</t>
  </si>
  <si>
    <t>XGB</t>
  </si>
  <si>
    <t>min_samples_split</t>
  </si>
  <si>
    <t>min_samples_leaf</t>
  </si>
  <si>
    <t>KNNC</t>
  </si>
  <si>
    <t>n_neighbors</t>
  </si>
  <si>
    <t>p</t>
  </si>
  <si>
    <t>leaf_size</t>
  </si>
  <si>
    <t>RFC</t>
  </si>
  <si>
    <t>LR</t>
  </si>
  <si>
    <t>C</t>
  </si>
  <si>
    <t>max_iter</t>
  </si>
  <si>
    <t>DTC/DTR</t>
  </si>
  <si>
    <t>HGBR</t>
  </si>
  <si>
    <t>SVC</t>
  </si>
  <si>
    <t>gamma</t>
  </si>
  <si>
    <t>alpha</t>
  </si>
  <si>
    <t>tol</t>
  </si>
  <si>
    <t>Lasso</t>
  </si>
  <si>
    <t>q</t>
  </si>
  <si>
    <t>QR</t>
  </si>
  <si>
    <t>reg_param</t>
  </si>
  <si>
    <t>QDA</t>
  </si>
  <si>
    <t>num_leaves</t>
  </si>
  <si>
    <t>LGBC</t>
  </si>
  <si>
    <t>max_iter_predict</t>
  </si>
  <si>
    <t>n_restarts_optimizer</t>
  </si>
  <si>
    <t>random_state</t>
  </si>
  <si>
    <t>GPC</t>
  </si>
  <si>
    <t>SGB/GBR/GBC</t>
  </si>
  <si>
    <t>epsilon</t>
  </si>
  <si>
    <t>HR</t>
  </si>
  <si>
    <t>kernel</t>
  </si>
  <si>
    <t>KRR</t>
  </si>
  <si>
    <t>l1_ratio</t>
  </si>
  <si>
    <t>ENR</t>
  </si>
  <si>
    <t>iterations</t>
  </si>
  <si>
    <t>depth</t>
  </si>
  <si>
    <t>CATR</t>
  </si>
  <si>
    <t>GPR</t>
  </si>
  <si>
    <t>alpha_1</t>
  </si>
  <si>
    <t>lambda_1</t>
  </si>
  <si>
    <t>SBR</t>
  </si>
  <si>
    <t>eta0</t>
  </si>
  <si>
    <t>subsample</t>
  </si>
  <si>
    <t>colsample_bytree</t>
  </si>
  <si>
    <t>quantile</t>
  </si>
  <si>
    <t>fit_intercept</t>
  </si>
  <si>
    <t>XGBR</t>
  </si>
  <si>
    <t>degree</t>
  </si>
  <si>
    <t>SVR</t>
  </si>
  <si>
    <t>shrinkage</t>
  </si>
  <si>
    <t>LDA</t>
  </si>
  <si>
    <t>MLR</t>
  </si>
  <si>
    <t>loss</t>
  </si>
  <si>
    <t>ADAR</t>
  </si>
  <si>
    <t>LSSVC</t>
  </si>
  <si>
    <t>ADAC</t>
  </si>
  <si>
    <t>Parameter</t>
  </si>
  <si>
    <t>Type</t>
  </si>
  <si>
    <t>Search Space</t>
  </si>
  <si>
    <t>float</t>
  </si>
  <si>
    <t>0.01, 0.20</t>
  </si>
  <si>
    <t>int</t>
  </si>
  <si>
    <t>50, 300</t>
  </si>
  <si>
    <t>1, 10</t>
  </si>
  <si>
    <t>priors</t>
  </si>
  <si>
    <t>F</t>
  </si>
  <si>
    <t>Model</t>
  </si>
  <si>
    <t>ETC</t>
  </si>
  <si>
    <t>50, 500</t>
  </si>
  <si>
    <t>3, 20</t>
  </si>
  <si>
    <t>2, 20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</si>
</sst>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0"/>
      <color theme="1"/>
      <name val="Arial Unicode MS"/>
      <family val="2"/>
    </font>
    <font>
      <b/>
      <sz val="11"/>
      <name val="Aptos Narrow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9D08E"/>
        <bgColor rgb="FFA9D08E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0" fontId="3" fillId="4" borderId="1" applyNumberFormat="0" applyAlignment="0" applyProtection="0"/>
    <xf numFmtId="0" fontId="1" fillId="2" borderId="0"/>
    <xf numFmtId="0" fontId="2" fillId="3" borderId="0"/>
  </cellStyleXfs>
  <cellXfs count="11">
    <xf numFmtId="0" fontId="0" fillId="0" borderId="0" xfId="0"/>
    <xf numFmtId="0" fontId="4" fillId="0" borderId="0" xfId="0" applyFont="1" applyAlignment="1">
      <alignment vertical="center" wrapText="1"/>
    </xf>
    <xf numFmtId="0" fontId="5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4" borderId="1" xfId="1" applyAlignment="1">
      <alignment horizontal="center"/>
    </xf>
    <xf numFmtId="0" fontId="3" fillId="4" borderId="5" xfId="1" applyBorder="1" applyAlignment="1">
      <alignment horizontal="center"/>
    </xf>
    <xf numFmtId="0" fontId="3" fillId="4" borderId="0" xfId="1" applyBorder="1" applyAlignment="1">
      <alignment horizontal="center"/>
    </xf>
    <xf numFmtId="0" fontId="3" fillId="4" borderId="2" xfId="1" applyBorder="1" applyAlignment="1">
      <alignment horizontal="center"/>
    </xf>
    <xf numFmtId="0" fontId="3" fillId="4" borderId="4" xfId="1" applyBorder="1" applyAlignment="1">
      <alignment horizontal="center"/>
    </xf>
    <xf numFmtId="0" fontId="3" fillId="4" borderId="3" xfId="1" applyBorder="1" applyAlignment="1">
      <alignment horizontal="center"/>
    </xf>
    <xf numFmtId="0" fontId="6" fillId="0" borderId="0" xfId="0" applyFont="1" applyAlignment="1">
      <alignment horizontal="center" vertical="center" wrapText="1"/>
    </xf>
  </cellXfs>
  <cellStyles count="4">
    <cellStyle name="Calculation" xfId="1" builtinId="22"/>
    <cellStyle name="Good 2" xfId="2" xr:uid="{ADA26BFB-D622-446A-91DE-FAA7BF09EC7E}"/>
    <cellStyle name="Neutral 2" xfId="3" xr:uid="{5727AFA4-E9D0-48FA-A088-E47DA4341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D202"/>
  <sheetViews>
    <sheetView tabSelected="1" topLeftCell="DP1" zoomScale="85" zoomScaleNormal="85" workbookViewId="0">
      <selection activeCell="DW2" sqref="DW2:DY202"/>
    </sheetView>
  </sheetViews>
  <sheetFormatPr defaultRowHeight="15" x14ac:dyDescent="0.25"/>
  <cols>
    <col min="43" max="43" width="23.85546875" customWidth="1"/>
    <col min="44" max="44" width="25.7109375" customWidth="1"/>
    <col min="102" max="102" width="13" bestFit="1" customWidth="1"/>
    <col min="134" max="134" width="13.140625" bestFit="1" customWidth="1"/>
  </cols>
  <sheetData>
    <row r="1" spans="2:134" x14ac:dyDescent="0.25">
      <c r="B1" s="4" t="s">
        <v>3</v>
      </c>
      <c r="C1" s="4"/>
      <c r="D1" s="4"/>
      <c r="F1" s="4" t="s">
        <v>14</v>
      </c>
      <c r="G1" s="4"/>
      <c r="H1" s="4"/>
      <c r="I1" s="1"/>
      <c r="J1" s="4" t="s">
        <v>6</v>
      </c>
      <c r="K1" s="4"/>
      <c r="L1" s="4"/>
      <c r="M1" s="1"/>
      <c r="N1" s="7" t="s">
        <v>10</v>
      </c>
      <c r="O1" s="9"/>
      <c r="P1" s="1"/>
      <c r="Q1" s="7" t="s">
        <v>11</v>
      </c>
      <c r="R1" s="9"/>
      <c r="S1" s="1"/>
      <c r="T1" s="4" t="s">
        <v>15</v>
      </c>
      <c r="U1" s="4"/>
      <c r="V1" s="4"/>
      <c r="W1" s="1"/>
      <c r="X1" s="4" t="s">
        <v>16</v>
      </c>
      <c r="Y1" s="4"/>
      <c r="Z1" s="4"/>
      <c r="AB1" s="4" t="s">
        <v>20</v>
      </c>
      <c r="AC1" s="4"/>
      <c r="AD1" s="4"/>
      <c r="AE1" s="1"/>
      <c r="AF1" s="4" t="s">
        <v>22</v>
      </c>
      <c r="AG1" s="4"/>
      <c r="AH1" s="4"/>
      <c r="AJ1" s="7" t="s">
        <v>24</v>
      </c>
      <c r="AK1" s="9"/>
      <c r="AM1" s="7" t="s">
        <v>26</v>
      </c>
      <c r="AN1" s="8"/>
      <c r="AO1" s="8"/>
      <c r="AQ1" s="7" t="s">
        <v>30</v>
      </c>
      <c r="AR1" s="8"/>
      <c r="AS1" s="8"/>
      <c r="AU1" s="7" t="s">
        <v>31</v>
      </c>
      <c r="AV1" s="8"/>
      <c r="AW1" s="8"/>
      <c r="AY1" s="4" t="s">
        <v>33</v>
      </c>
      <c r="AZ1" s="4"/>
      <c r="BA1" s="4"/>
      <c r="BC1" s="4" t="s">
        <v>35</v>
      </c>
      <c r="BD1" s="4"/>
      <c r="BE1" s="4"/>
      <c r="BG1" s="4" t="s">
        <v>37</v>
      </c>
      <c r="BH1" s="4"/>
      <c r="BI1" s="4"/>
      <c r="BK1" s="4" t="s">
        <v>40</v>
      </c>
      <c r="BL1" s="4"/>
      <c r="BM1" s="4"/>
      <c r="BO1" s="7" t="s">
        <v>41</v>
      </c>
      <c r="BP1" s="9"/>
      <c r="BR1" s="4" t="s">
        <v>44</v>
      </c>
      <c r="BS1" s="4"/>
      <c r="BT1" s="4"/>
      <c r="BV1" s="5" t="s">
        <v>37</v>
      </c>
      <c r="BW1" s="6"/>
      <c r="BX1" s="6"/>
      <c r="BY1" s="6"/>
      <c r="BZ1" s="6"/>
      <c r="CB1" s="5" t="s">
        <v>50</v>
      </c>
      <c r="CC1" s="6"/>
      <c r="CD1" s="6"/>
      <c r="CE1" s="6"/>
      <c r="CF1" s="6"/>
      <c r="CH1" s="5" t="s">
        <v>22</v>
      </c>
      <c r="CI1" s="6"/>
      <c r="CJ1" s="6"/>
      <c r="CK1" s="6"/>
      <c r="CL1" s="6"/>
      <c r="CM1" s="3"/>
      <c r="CN1" s="4" t="s">
        <v>52</v>
      </c>
      <c r="CO1" s="4"/>
      <c r="CP1" s="4"/>
      <c r="CR1" s="4" t="s">
        <v>54</v>
      </c>
      <c r="CS1" s="4"/>
      <c r="CT1" s="4"/>
      <c r="CV1" s="4" t="s">
        <v>55</v>
      </c>
      <c r="CW1" s="4"/>
      <c r="CX1" s="4"/>
      <c r="CZ1" s="4" t="s">
        <v>57</v>
      </c>
      <c r="DA1" s="4"/>
      <c r="DB1" s="4"/>
      <c r="DD1" s="4" t="s">
        <v>58</v>
      </c>
      <c r="DE1" s="4"/>
      <c r="DF1" s="4"/>
      <c r="DH1" s="4" t="s">
        <v>59</v>
      </c>
      <c r="DI1" s="4"/>
      <c r="DJ1" s="4"/>
      <c r="DL1" s="4" t="s">
        <v>15</v>
      </c>
      <c r="DM1" s="4"/>
      <c r="DN1" s="4"/>
      <c r="DS1" s="4"/>
      <c r="DT1" s="4"/>
      <c r="DU1" s="4"/>
      <c r="DW1" s="4" t="s">
        <v>71</v>
      </c>
      <c r="DX1" s="4"/>
      <c r="DY1" s="4"/>
    </row>
    <row r="2" spans="2:134" x14ac:dyDescent="0.25">
      <c r="B2" s="2" t="s">
        <v>0</v>
      </c>
      <c r="C2" s="2" t="s">
        <v>1</v>
      </c>
      <c r="D2" s="2" t="s">
        <v>2</v>
      </c>
      <c r="F2" s="2" t="s">
        <v>1</v>
      </c>
      <c r="G2" s="2" t="s">
        <v>4</v>
      </c>
      <c r="H2" s="2" t="s">
        <v>5</v>
      </c>
      <c r="I2" s="1"/>
      <c r="J2" s="2" t="s">
        <v>7</v>
      </c>
      <c r="K2" s="2" t="s">
        <v>8</v>
      </c>
      <c r="L2" s="2" t="s">
        <v>9</v>
      </c>
      <c r="M2" s="1"/>
      <c r="N2" s="2" t="s">
        <v>0</v>
      </c>
      <c r="O2" s="2" t="s">
        <v>1</v>
      </c>
      <c r="P2" s="1"/>
      <c r="Q2" s="2" t="s">
        <v>12</v>
      </c>
      <c r="R2" s="2" t="s">
        <v>13</v>
      </c>
      <c r="S2" s="1"/>
      <c r="T2" s="2" t="s">
        <v>2</v>
      </c>
      <c r="U2" s="2" t="s">
        <v>13</v>
      </c>
      <c r="V2" s="2" t="s">
        <v>1</v>
      </c>
      <c r="W2" s="1"/>
      <c r="X2" s="2" t="s">
        <v>12</v>
      </c>
      <c r="Y2" s="2" t="s">
        <v>17</v>
      </c>
      <c r="Z2" s="2" t="s">
        <v>13</v>
      </c>
      <c r="AB2" s="2" t="s">
        <v>18</v>
      </c>
      <c r="AC2" s="2" t="s">
        <v>13</v>
      </c>
      <c r="AD2" s="2" t="s">
        <v>19</v>
      </c>
      <c r="AE2" s="1"/>
      <c r="AF2" s="2" t="s">
        <v>21</v>
      </c>
      <c r="AG2" s="2" t="s">
        <v>13</v>
      </c>
      <c r="AH2" s="2" t="s">
        <v>19</v>
      </c>
      <c r="AJ2" s="2" t="s">
        <v>23</v>
      </c>
      <c r="AK2" s="2" t="s">
        <v>19</v>
      </c>
      <c r="AM2" s="2" t="s">
        <v>2</v>
      </c>
      <c r="AN2" s="2" t="s">
        <v>25</v>
      </c>
      <c r="AO2" s="2" t="s">
        <v>1</v>
      </c>
      <c r="AQ2" s="2" t="s">
        <v>27</v>
      </c>
      <c r="AR2" s="2" t="s">
        <v>28</v>
      </c>
      <c r="AS2" s="2" t="s">
        <v>29</v>
      </c>
      <c r="AU2" s="2" t="s">
        <v>0</v>
      </c>
      <c r="AV2" s="2" t="s">
        <v>1</v>
      </c>
      <c r="AW2" s="2" t="s">
        <v>2</v>
      </c>
      <c r="AY2" s="2" t="s">
        <v>32</v>
      </c>
      <c r="AZ2" s="2" t="s">
        <v>13</v>
      </c>
      <c r="BA2" s="2" t="s">
        <v>18</v>
      </c>
      <c r="BC2" s="2" t="s">
        <v>18</v>
      </c>
      <c r="BD2" s="2" t="s">
        <v>17</v>
      </c>
      <c r="BE2" s="2" t="s">
        <v>34</v>
      </c>
      <c r="BG2" s="2" t="s">
        <v>18</v>
      </c>
      <c r="BH2" s="2" t="s">
        <v>36</v>
      </c>
      <c r="BI2" s="2" t="s">
        <v>13</v>
      </c>
      <c r="BK2" s="2" t="s">
        <v>38</v>
      </c>
      <c r="BL2" s="2" t="s">
        <v>39</v>
      </c>
      <c r="BM2" s="2" t="s">
        <v>2</v>
      </c>
      <c r="BO2" s="2" t="s">
        <v>18</v>
      </c>
      <c r="BP2" s="2" t="s">
        <v>28</v>
      </c>
      <c r="BR2" s="2" t="s">
        <v>42</v>
      </c>
      <c r="BS2" s="2" t="s">
        <v>43</v>
      </c>
      <c r="BT2" s="2" t="s">
        <v>13</v>
      </c>
      <c r="BV2" s="2" t="s">
        <v>18</v>
      </c>
      <c r="BW2" s="2" t="s">
        <v>13</v>
      </c>
      <c r="BX2" s="2" t="s">
        <v>19</v>
      </c>
      <c r="BY2" s="2" t="s">
        <v>45</v>
      </c>
      <c r="BZ2" s="2" t="s">
        <v>36</v>
      </c>
      <c r="CB2" s="2" t="s">
        <v>0</v>
      </c>
      <c r="CC2" s="2" t="s">
        <v>1</v>
      </c>
      <c r="CD2" s="2" t="s">
        <v>2</v>
      </c>
      <c r="CE2" s="2" t="s">
        <v>46</v>
      </c>
      <c r="CF2" s="2" t="s">
        <v>47</v>
      </c>
      <c r="CH2" s="2" t="s">
        <v>18</v>
      </c>
      <c r="CI2" s="2" t="s">
        <v>48</v>
      </c>
      <c r="CJ2" s="2" t="s">
        <v>13</v>
      </c>
      <c r="CK2" s="2" t="s">
        <v>19</v>
      </c>
      <c r="CL2" s="2" t="s">
        <v>49</v>
      </c>
      <c r="CM2" s="3"/>
      <c r="CN2" s="2" t="s">
        <v>12</v>
      </c>
      <c r="CO2" s="2" t="s">
        <v>32</v>
      </c>
      <c r="CP2" s="2" t="s">
        <v>51</v>
      </c>
      <c r="CR2" s="2"/>
      <c r="CS2" s="2" t="s">
        <v>53</v>
      </c>
      <c r="CT2" s="2" t="s">
        <v>19</v>
      </c>
      <c r="CV2" s="2" t="s">
        <v>12</v>
      </c>
      <c r="CW2" s="2" t="s">
        <v>13</v>
      </c>
      <c r="CX2" s="2" t="s">
        <v>19</v>
      </c>
      <c r="CZ2" s="2" t="s">
        <v>0</v>
      </c>
      <c r="DA2" s="2" t="s">
        <v>2</v>
      </c>
      <c r="DB2" s="2" t="s">
        <v>56</v>
      </c>
      <c r="DD2" s="2" t="s">
        <v>12</v>
      </c>
      <c r="DE2" s="2" t="s">
        <v>17</v>
      </c>
      <c r="DF2" s="2" t="s">
        <v>19</v>
      </c>
      <c r="DH2" s="2" t="s">
        <v>0</v>
      </c>
      <c r="DI2" s="2" t="s">
        <v>2</v>
      </c>
      <c r="DJ2" s="2" t="s">
        <v>1</v>
      </c>
      <c r="DL2" s="2" t="s">
        <v>2</v>
      </c>
      <c r="DM2" s="2" t="s">
        <v>13</v>
      </c>
      <c r="DN2" s="2" t="s">
        <v>1</v>
      </c>
      <c r="DO2" s="2" t="s">
        <v>60</v>
      </c>
      <c r="DP2" s="2" t="s">
        <v>61</v>
      </c>
      <c r="DQ2" s="2" t="s">
        <v>62</v>
      </c>
      <c r="DS2" s="2" t="s">
        <v>23</v>
      </c>
      <c r="DT2" s="2" t="s">
        <v>19</v>
      </c>
      <c r="DU2" s="2" t="s">
        <v>68</v>
      </c>
      <c r="DW2" s="2" t="s">
        <v>0</v>
      </c>
      <c r="DX2" s="2" t="s">
        <v>1</v>
      </c>
      <c r="DY2" s="2" t="s">
        <v>4</v>
      </c>
      <c r="DZ2" s="10"/>
      <c r="EA2" s="2" t="s">
        <v>70</v>
      </c>
      <c r="EB2" s="2" t="s">
        <v>60</v>
      </c>
      <c r="EC2" s="2" t="s">
        <v>61</v>
      </c>
      <c r="ED2" s="2" t="s">
        <v>62</v>
      </c>
    </row>
    <row r="3" spans="2:134" x14ac:dyDescent="0.25">
      <c r="B3">
        <f ca="1">RANDBETWEEN(15,1000)</f>
        <v>594</v>
      </c>
      <c r="C3">
        <f ca="1">RANDBETWEEN(2,52)</f>
        <v>51</v>
      </c>
      <c r="D3">
        <f ca="1">RAND()*(0.3-0.01)+0.01</f>
        <v>0.18560330237441322</v>
      </c>
      <c r="F3" s="1">
        <f ca="1">RANDBETWEEN(2,52)</f>
        <v>30</v>
      </c>
      <c r="G3" s="1">
        <f ca="1">RANDBETWEEN(2,30)</f>
        <v>28</v>
      </c>
      <c r="H3" s="1">
        <f ca="1">RANDBETWEEN(1,15)</f>
        <v>10</v>
      </c>
      <c r="I3" s="1"/>
      <c r="J3" s="1">
        <f ca="1">RANDBETWEEN(1,39)</f>
        <v>3</v>
      </c>
      <c r="K3" s="1">
        <f ca="1">RAND()*(3-1)+1</f>
        <v>1.1223783162974659</v>
      </c>
      <c r="L3" s="1">
        <f ca="1">RANDBETWEEN(2,35)</f>
        <v>14</v>
      </c>
      <c r="M3" s="1"/>
      <c r="N3" s="1">
        <f ca="1">RANDBETWEEN(15,1000)</f>
        <v>801</v>
      </c>
      <c r="O3" s="1">
        <f ca="1">RANDBETWEEN(2,52)</f>
        <v>6</v>
      </c>
      <c r="P3" s="1"/>
      <c r="Q3" s="1">
        <f ca="1">RAND()*(5-0.01)+0.01</f>
        <v>1.3134105256905633</v>
      </c>
      <c r="R3" s="1">
        <f ca="1">RANDBETWEEN(200,1200)</f>
        <v>507</v>
      </c>
      <c r="S3" s="1"/>
      <c r="T3" s="1">
        <f ca="1">RAND()*(0.2-0.01)+0.01</f>
        <v>0.11635193858893424</v>
      </c>
      <c r="U3" s="1">
        <f ca="1">RANDBETWEEN(50,450)</f>
        <v>309</v>
      </c>
      <c r="V3" s="1">
        <f ca="1">RANDBETWEEN(2,52)</f>
        <v>38</v>
      </c>
      <c r="W3" s="1"/>
      <c r="X3" s="1">
        <f ca="1">RAND()*(10-0.01)+0.01</f>
        <v>4.1041259374443486</v>
      </c>
      <c r="Y3" s="1">
        <f ca="1">RAND()*(1-0.0001)+0.0001</f>
        <v>0.62644197114900302</v>
      </c>
      <c r="Z3" s="1">
        <f ca="1">RANDBETWEEN(100,2000)</f>
        <v>1061</v>
      </c>
      <c r="AB3" s="1">
        <f ca="1">RAND()*(1-0.0001)+0.0001</f>
        <v>0.39448866706370511</v>
      </c>
      <c r="AC3" s="1">
        <f ca="1">RANDBETWEEN(100,1000)</f>
        <v>507</v>
      </c>
      <c r="AD3" s="1">
        <f ca="1">RAND()*(0.01-0.00001)+0.00001</f>
        <v>7.6810306238194685E-3</v>
      </c>
      <c r="AE3" s="1"/>
      <c r="AF3" s="1">
        <f ca="1">RAND()*(0.9-0.1)+0.1</f>
        <v>0.27341081315962229</v>
      </c>
      <c r="AG3" s="1">
        <f ca="1">RANDBETWEEN(100,1000)</f>
        <v>453</v>
      </c>
      <c r="AH3" s="1">
        <f ca="1">RAND()*(0.01-0.00001)+0.00001</f>
        <v>6.2153651622436903E-4</v>
      </c>
      <c r="AJ3" s="1">
        <f ca="1">RAND()*(1-0)+0</f>
        <v>0.14787058037159495</v>
      </c>
      <c r="AK3" s="1">
        <f ca="1">RAND()*(0.01-0.00001)+0.00001</f>
        <v>9.6503058866531568E-3</v>
      </c>
      <c r="AM3" s="1">
        <f ca="1">RAND()*(0.2-0.005)+0.005</f>
        <v>0.18584357480039393</v>
      </c>
      <c r="AN3" s="1">
        <f ca="1">RANDBETWEEN(10,80)</f>
        <v>48</v>
      </c>
      <c r="AO3" s="1">
        <f ca="1">RANDBETWEEN(-1,20)</f>
        <v>14</v>
      </c>
      <c r="AQ3" s="1">
        <f ca="1">RANDBETWEEN(10,200)</f>
        <v>145</v>
      </c>
      <c r="AR3" s="1">
        <f ca="1">RANDBETWEEN(0,10)</f>
        <v>9</v>
      </c>
      <c r="AS3" s="1">
        <f ca="1">RANDBETWEEN(1,100)</f>
        <v>21</v>
      </c>
      <c r="AU3" s="1">
        <f ca="1">RANDBETWEEN(50,400)</f>
        <v>174</v>
      </c>
      <c r="AV3" s="1">
        <f ca="1">RANDBETWEEN(2,10)</f>
        <v>6</v>
      </c>
      <c r="AW3" s="1">
        <f ca="1">RAND()*(0.2-0.01)+0.01</f>
        <v>0.11668656210282444</v>
      </c>
      <c r="AY3" s="1">
        <f ca="1">RAND()*(2-1.1)+1.1</f>
        <v>1.5798877423612079</v>
      </c>
      <c r="AZ3" s="1">
        <f ca="1">RANDBETWEEN(50,500)</f>
        <v>205</v>
      </c>
      <c r="BA3" s="1">
        <f ca="1">RAND()*(0.01-0.00001)+0.00001</f>
        <v>1.7810948638202033E-3</v>
      </c>
      <c r="BC3" s="1">
        <f ca="1">RAND()*(1-0.0001)+0.0001</f>
        <v>0.97938969447588897</v>
      </c>
      <c r="BD3" s="1">
        <f ca="1">RAND()*(1-0.0001)+0.0001</f>
        <v>0.94065548723972769</v>
      </c>
      <c r="BE3" s="1">
        <f ca="1">RANDBETWEEN(0,2)</f>
        <v>0</v>
      </c>
      <c r="BG3" s="1">
        <f ca="1">RAND()*(1-0.0001)+0.0001</f>
        <v>0.72936487687936535</v>
      </c>
      <c r="BH3" s="1">
        <f ca="1">RAND()*(1-0)+0</f>
        <v>0.82772689827085943</v>
      </c>
      <c r="BI3" s="1">
        <f ca="1">RANDBETWEEN(100,1000)</f>
        <v>107</v>
      </c>
      <c r="BK3" s="1">
        <f ca="1">RANDBETWEEN(100,600)</f>
        <v>151</v>
      </c>
      <c r="BL3" s="1">
        <f ca="1">RANDBETWEEN(3,10)</f>
        <v>10</v>
      </c>
      <c r="BM3" s="1">
        <f ca="1">RAND()*(0.3-0.01)+0.01</f>
        <v>7.5472702536534472E-2</v>
      </c>
      <c r="BO3" s="1">
        <f ca="1">RAND()*(0.1-0.000001)+0.000001</f>
        <v>6.5108969710473613E-2</v>
      </c>
      <c r="BP3" s="1">
        <f ca="1">RANDBETWEEN(0,15)</f>
        <v>6</v>
      </c>
      <c r="BR3" s="1">
        <f ca="1">RAND()*(0.01-0.000001)+0.000001</f>
        <v>3.1057036485306476E-3</v>
      </c>
      <c r="BS3" s="1">
        <f ca="1">RAND()*(0.01-0.000001)+0.000001</f>
        <v>8.8360842637489525E-3</v>
      </c>
      <c r="BT3" s="1">
        <f ca="1">RANDBETWEEN(100,1000)</f>
        <v>409</v>
      </c>
      <c r="BV3" s="1">
        <f ca="1">RAND()*(1-0.0001)+0.0001</f>
        <v>0.55029109395740383</v>
      </c>
      <c r="BW3" s="1">
        <f ca="1">RANDBETWEEN(100,1000)</f>
        <v>183</v>
      </c>
      <c r="BX3" s="1">
        <f ca="1">RAND()*(0.01-0.00001)+0.00001</f>
        <v>5.1330777128145771E-3</v>
      </c>
      <c r="BY3" s="1">
        <f ca="1">RAND()*(0.1-0.0001)+0.0001</f>
        <v>4.6867307530703804E-2</v>
      </c>
      <c r="BZ3" s="1">
        <f ca="1">RAND()*(1-0)+0</f>
        <v>0.56561336014718711</v>
      </c>
      <c r="CB3" s="1">
        <f ca="1">RANDBETWEEN(50,500)</f>
        <v>479</v>
      </c>
      <c r="CC3" s="1">
        <f ca="1">RANDBETWEEN(3,15)</f>
        <v>4</v>
      </c>
      <c r="CD3" s="1">
        <f ca="1">RAND()*(0.3-0.01)+0.01</f>
        <v>0.28087423775711029</v>
      </c>
      <c r="CE3" s="1">
        <f ca="1">RAND()*(1-0.5)+0.5</f>
        <v>0.78902984588396063</v>
      </c>
      <c r="CF3" s="1">
        <f ca="1">RAND()*(1-0.5)+0.5</f>
        <v>0.60421162244515136</v>
      </c>
      <c r="CH3" s="3">
        <f ca="1">RAND()*(1-0.0001)+0.0001</f>
        <v>0.16307782592524456</v>
      </c>
      <c r="CI3" s="3">
        <f ca="1">RAND()*(0.99-0.01)+0.01</f>
        <v>0.90156554410279577</v>
      </c>
      <c r="CJ3" s="3">
        <f ca="1">RANDBETWEEN(100,2000)</f>
        <v>127</v>
      </c>
      <c r="CK3" s="3">
        <f ca="1">RAND()*(0.01-0.000001)+0.000001</f>
        <v>5.2527058872449354E-3</v>
      </c>
      <c r="CL3" s="3">
        <f ca="1">RANDBETWEEN(0,1)</f>
        <v>1</v>
      </c>
      <c r="CM3" s="3"/>
      <c r="CN3" s="1">
        <f ca="1">RAND()*(20-0.1)+0.1</f>
        <v>6.1683568103797635</v>
      </c>
      <c r="CO3" s="1">
        <f ca="1">RAND()*(0.5-0.001)+0.001</f>
        <v>0.29570334276130184</v>
      </c>
      <c r="CP3" s="1">
        <f ca="1">RANDBETWEEN(1,5)</f>
        <v>4</v>
      </c>
      <c r="CR3" s="1"/>
      <c r="CS3" s="1">
        <f ca="1">RAND()*(1-0)+0</f>
        <v>0.11573006397621244</v>
      </c>
      <c r="CT3" s="1">
        <f ca="1">RAND()*(0.01-0.000001)+0.000001</f>
        <v>2.5908673877044117E-3</v>
      </c>
      <c r="CV3" s="1">
        <f ca="1">RAND()*(10-0.0001)+0.0001</f>
        <v>7.7245736383031067</v>
      </c>
      <c r="CW3" s="1">
        <f ca="1">RANDBETWEEN(100,2000)</f>
        <v>1669</v>
      </c>
      <c r="CX3" s="1">
        <f ca="1">RAND()*(0.01-0.000001)+0.000001</f>
        <v>6.7037325540422682E-3</v>
      </c>
      <c r="CZ3" s="1">
        <f ca="1">RANDBETWEEN(10,500)</f>
        <v>118</v>
      </c>
      <c r="DA3" s="1">
        <f ca="1">RAND()*(1-0.001)+0.001</f>
        <v>0.99368929213554524</v>
      </c>
      <c r="DB3" s="1">
        <f ca="1">RANDBETWEEN(0,2)</f>
        <v>2</v>
      </c>
      <c r="DD3" s="1">
        <f ca="1">RAND()*(10-0.01)+0.01</f>
        <v>4.7954583072519057</v>
      </c>
      <c r="DE3" s="1">
        <f ca="1">RAND()*(1-0.0001)+0.0001</f>
        <v>0.49929725966063776</v>
      </c>
      <c r="DF3" s="1">
        <f ca="1">RAND()*(0.01-0.000001)+0.000001</f>
        <v>4.0895371450489571E-3</v>
      </c>
      <c r="DH3" s="1">
        <f ca="1">RANDBETWEEN(10,900)</f>
        <v>834</v>
      </c>
      <c r="DI3" s="1">
        <f ca="1">RAND()*(1-0.001)+0.001</f>
        <v>0.60586733751713229</v>
      </c>
      <c r="DJ3" s="1">
        <f ca="1">RANDBETWEEN(1,30)</f>
        <v>30</v>
      </c>
      <c r="DL3" s="1">
        <f ca="1">RAND()*(0.2-0.01)+0.01</f>
        <v>5.5556237521535934E-2</v>
      </c>
      <c r="DM3" s="1">
        <f ca="1">RANDBETWEEN(50,300)</f>
        <v>249</v>
      </c>
      <c r="DN3" s="1">
        <f ca="1">RANDBETWEEN(1,10)</f>
        <v>9</v>
      </c>
      <c r="DO3" t="s">
        <v>2</v>
      </c>
      <c r="DP3" t="s">
        <v>63</v>
      </c>
      <c r="DQ3" t="s">
        <v>64</v>
      </c>
      <c r="DS3" s="1">
        <f ca="1">RAND()*(1-0)+0</f>
        <v>4.4707556496573986E-2</v>
      </c>
      <c r="DT3" s="1">
        <f ca="1">RAND()*(0.01-0.000001)+0.000001</f>
        <v>1.3763125190299874E-3</v>
      </c>
      <c r="DU3" s="1">
        <f ca="1">RANDBETWEEN(0,1)</f>
        <v>1</v>
      </c>
      <c r="DW3" s="1">
        <f ca="1">RANDBETWEEN(50,500)</f>
        <v>274</v>
      </c>
      <c r="DX3" s="1">
        <f ca="1">RANDBETWEEN(3,20)</f>
        <v>20</v>
      </c>
      <c r="DY3" s="1">
        <f ca="1">RANDBETWEEN(2,20)</f>
        <v>3</v>
      </c>
      <c r="EA3" t="s">
        <v>71</v>
      </c>
      <c r="EB3" t="s">
        <v>0</v>
      </c>
      <c r="EC3" t="s">
        <v>65</v>
      </c>
      <c r="ED3" t="s">
        <v>72</v>
      </c>
    </row>
    <row r="4" spans="2:134" x14ac:dyDescent="0.25">
      <c r="B4">
        <f t="shared" ref="B4:B67" ca="1" si="0">RANDBETWEEN(15,1000)</f>
        <v>913</v>
      </c>
      <c r="C4">
        <f t="shared" ref="C4:C67" ca="1" si="1">RANDBETWEEN(2,52)</f>
        <v>16</v>
      </c>
      <c r="D4">
        <f t="shared" ref="D4:D67" ca="1" si="2">RAND()*(0.3-0.01)+0.01</f>
        <v>0.18001553997622094</v>
      </c>
      <c r="F4" s="1">
        <f t="shared" ref="F4:F67" ca="1" si="3">RANDBETWEEN(2,52)</f>
        <v>5</v>
      </c>
      <c r="G4" s="1">
        <f t="shared" ref="G4:G67" ca="1" si="4">RANDBETWEEN(2,30)</f>
        <v>25</v>
      </c>
      <c r="H4" s="1">
        <f t="shared" ref="H4:H67" ca="1" si="5">RANDBETWEEN(1,15)</f>
        <v>9</v>
      </c>
      <c r="I4" s="1"/>
      <c r="J4" s="1">
        <f t="shared" ref="J4:J67" ca="1" si="6">RANDBETWEEN(1,39)</f>
        <v>11</v>
      </c>
      <c r="K4" s="1">
        <f t="shared" ref="K4:K67" ca="1" si="7">RAND()*(3-1)+1</f>
        <v>1.4625949631928703</v>
      </c>
      <c r="L4" s="1">
        <f t="shared" ref="L4:L67" ca="1" si="8">RANDBETWEEN(2,35)</f>
        <v>3</v>
      </c>
      <c r="M4" s="1"/>
      <c r="N4" s="1">
        <f t="shared" ref="N4:N67" ca="1" si="9">RANDBETWEEN(15,1000)</f>
        <v>454</v>
      </c>
      <c r="O4" s="1">
        <f t="shared" ref="O4:O67" ca="1" si="10">RANDBETWEEN(2,52)</f>
        <v>44</v>
      </c>
      <c r="P4" s="1"/>
      <c r="Q4" s="1">
        <f t="shared" ref="Q4:Q67" ca="1" si="11">RAND()*(5-0.01)+0.01</f>
        <v>2.8905505778914375</v>
      </c>
      <c r="R4" s="1">
        <f t="shared" ref="R4:R67" ca="1" si="12">RANDBETWEEN(200,1200)</f>
        <v>1109</v>
      </c>
      <c r="S4" s="1"/>
      <c r="T4" s="1">
        <f t="shared" ref="T4:T67" ca="1" si="13">RAND()*(0.2-0.01)+0.01</f>
        <v>0.19276444524679859</v>
      </c>
      <c r="U4" s="1">
        <f t="shared" ref="U4:U67" ca="1" si="14">RANDBETWEEN(50,450)</f>
        <v>305</v>
      </c>
      <c r="V4" s="1">
        <f t="shared" ref="V4:V67" ca="1" si="15">RANDBETWEEN(2,52)</f>
        <v>17</v>
      </c>
      <c r="W4" s="1"/>
      <c r="X4" s="1">
        <f t="shared" ref="X4:X67" ca="1" si="16">RAND()*(10-0.01)+0.01</f>
        <v>4.5630669536546264</v>
      </c>
      <c r="Y4" s="1">
        <f t="shared" ref="Y4:Y67" ca="1" si="17">RAND()*(1-0.0001)+0.0001</f>
        <v>0.64898695264320694</v>
      </c>
      <c r="Z4" s="1">
        <f t="shared" ref="Z4:Z67" ca="1" si="18">RANDBETWEEN(100,2000)</f>
        <v>253</v>
      </c>
      <c r="AB4" s="1">
        <f t="shared" ref="AB4:AB67" ca="1" si="19">RAND()*(1-0.0001)+0.0001</f>
        <v>0.96070912605143366</v>
      </c>
      <c r="AC4" s="1">
        <f t="shared" ref="AC4:AC67" ca="1" si="20">RANDBETWEEN(100,1000)</f>
        <v>372</v>
      </c>
      <c r="AD4" s="1">
        <f t="shared" ref="AD4:AD67" ca="1" si="21">RAND()*(0.01-0.00001)+0.00001</f>
        <v>7.0551571567210288E-3</v>
      </c>
      <c r="AE4" s="1"/>
      <c r="AF4" s="1">
        <f t="shared" ref="AF4:AF67" ca="1" si="22">RAND()*(0.9-0.1)+0.1</f>
        <v>0.44988932422827344</v>
      </c>
      <c r="AG4" s="1">
        <f t="shared" ref="AG4:AG67" ca="1" si="23">RANDBETWEEN(100,1000)</f>
        <v>927</v>
      </c>
      <c r="AH4" s="1">
        <f t="shared" ref="AH4:AH67" ca="1" si="24">RAND()*(0.01-0.00001)+0.00001</f>
        <v>9.0685617167447323E-3</v>
      </c>
      <c r="AJ4" s="1">
        <f t="shared" ref="AJ4:AJ67" ca="1" si="25">RAND()*(1-0)+0</f>
        <v>0.39026535940950524</v>
      </c>
      <c r="AK4" s="1">
        <f t="shared" ref="AK4:AK67" ca="1" si="26">RAND()*(0.01-0.00001)+0.00001</f>
        <v>1.4272677108268076E-3</v>
      </c>
      <c r="AL4" s="1"/>
      <c r="AM4" s="1">
        <f t="shared" ref="AM4:AM67" ca="1" si="27">RAND()*(0.2-0.005)+0.005</f>
        <v>1.145426175802383E-2</v>
      </c>
      <c r="AN4" s="1">
        <f t="shared" ref="AN4:AN67" ca="1" si="28">RANDBETWEEN(10,80)</f>
        <v>69</v>
      </c>
      <c r="AO4" s="1">
        <f t="shared" ref="AO4:AO67" ca="1" si="29">RANDBETWEEN(-1,20)</f>
        <v>10</v>
      </c>
      <c r="AQ4" s="1">
        <f t="shared" ref="AQ4:AQ67" ca="1" si="30">RANDBETWEEN(10,200)</f>
        <v>159</v>
      </c>
      <c r="AR4" s="1">
        <f t="shared" ref="AR4:AR67" ca="1" si="31">RANDBETWEEN(0,10)</f>
        <v>6</v>
      </c>
      <c r="AS4" s="1">
        <f t="shared" ref="AS4:AS67" ca="1" si="32">RANDBETWEEN(1,100)</f>
        <v>10</v>
      </c>
      <c r="AU4" s="1">
        <f t="shared" ref="AU4:AU67" ca="1" si="33">RANDBETWEEN(50,400)</f>
        <v>172</v>
      </c>
      <c r="AV4" s="1">
        <f t="shared" ref="AV4:AV67" ca="1" si="34">RANDBETWEEN(2,10)</f>
        <v>9</v>
      </c>
      <c r="AW4" s="1">
        <f t="shared" ref="AW4:AW67" ca="1" si="35">RAND()*(0.2-0.01)+0.01</f>
        <v>4.9553029122603898E-2</v>
      </c>
      <c r="AY4" s="1">
        <f t="shared" ref="AY4:AY67" ca="1" si="36">RAND()*(2-1.1)+1.1</f>
        <v>1.215104398768881</v>
      </c>
      <c r="AZ4" s="1">
        <f t="shared" ref="AZ4:AZ67" ca="1" si="37">RANDBETWEEN(50,500)</f>
        <v>135</v>
      </c>
      <c r="BA4" s="1">
        <f t="shared" ref="BA4:BA67" ca="1" si="38">RAND()*(0.01-0.00001)+0.00001</f>
        <v>6.8428668486113032E-3</v>
      </c>
      <c r="BG4" s="1">
        <f t="shared" ref="BG4:BG67" ca="1" si="39">RAND()*(1-0.0001)+0.0001</f>
        <v>0.8582296073928124</v>
      </c>
      <c r="BH4" s="1">
        <f t="shared" ref="BH4:BH67" ca="1" si="40">RAND()*(1-0)+0</f>
        <v>0.14011314112554885</v>
      </c>
      <c r="BI4" s="1">
        <f t="shared" ref="BI4:BI67" ca="1" si="41">RANDBETWEEN(100,1000)</f>
        <v>942</v>
      </c>
      <c r="BV4" s="1">
        <f t="shared" ref="BV4:BV67" ca="1" si="42">RAND()*(1-0.0001)+0.0001</f>
        <v>0.82801096764921356</v>
      </c>
      <c r="BW4" s="1">
        <f t="shared" ref="BW4:BW67" ca="1" si="43">RANDBETWEEN(100,1000)</f>
        <v>700</v>
      </c>
      <c r="BX4" s="1">
        <f t="shared" ref="BX4:BX67" ca="1" si="44">RAND()*(0.01-0.00001)+0.00001</f>
        <v>6.567010264597271E-3</v>
      </c>
      <c r="BY4" s="1">
        <f t="shared" ref="BY4:BY67" ca="1" si="45">RAND()*(0.1-0.0001)+0.0001</f>
        <v>4.3786499234334149E-2</v>
      </c>
      <c r="BZ4" s="1">
        <f t="shared" ref="BZ4:BZ67" ca="1" si="46">RAND()*(1-0)+0</f>
        <v>0.66820209129655617</v>
      </c>
      <c r="CB4" s="1">
        <f t="shared" ref="CB4:CB67" ca="1" si="47">RANDBETWEEN(50,500)</f>
        <v>250</v>
      </c>
      <c r="CC4" s="1">
        <f t="shared" ref="CC4:CC67" ca="1" si="48">RANDBETWEEN(3,15)</f>
        <v>10</v>
      </c>
      <c r="CD4" s="1">
        <f t="shared" ref="CD4:CD67" ca="1" si="49">RAND()*(0.3-0.01)+0.01</f>
        <v>0.2607985646779703</v>
      </c>
      <c r="CE4" s="1">
        <f t="shared" ref="CE4:CF35" ca="1" si="50">RAND()*(1-0.5)+0.5</f>
        <v>0.5700188352398825</v>
      </c>
      <c r="CF4" s="1">
        <f t="shared" ca="1" si="50"/>
        <v>0.73591548092940617</v>
      </c>
      <c r="CH4" s="3">
        <f t="shared" ref="CH4:CH67" ca="1" si="51">RAND()*(1-0.0001)+0.0001</f>
        <v>0.89146982080140846</v>
      </c>
      <c r="CI4" s="3">
        <f t="shared" ref="CI4:CI67" ca="1" si="52">RAND()*(0.99-0.01)+0.01</f>
        <v>0.59363000986373682</v>
      </c>
      <c r="CJ4" s="3">
        <f t="shared" ref="CJ4:CJ67" ca="1" si="53">RANDBETWEEN(100,2000)</f>
        <v>753</v>
      </c>
      <c r="CK4" s="3">
        <f t="shared" ref="CK4:CK67" ca="1" si="54">RAND()*(0.01-0.000001)+0.000001</f>
        <v>3.8921892908486898E-4</v>
      </c>
      <c r="CL4" s="3">
        <f t="shared" ref="CL4:CL67" ca="1" si="55">RANDBETWEEN(0,1)</f>
        <v>0</v>
      </c>
      <c r="CM4" s="3"/>
      <c r="CN4" s="1">
        <f t="shared" ref="CN4:CN67" ca="1" si="56">RAND()*(20-0.1)+0.1</f>
        <v>15.35818353666482</v>
      </c>
      <c r="CO4" s="1">
        <f t="shared" ref="CO4:CO67" ca="1" si="57">RAND()*(0.5-0.001)+0.001</f>
        <v>0.2113755886098718</v>
      </c>
      <c r="CP4" s="1">
        <f t="shared" ref="CP4:CP67" ca="1" si="58">RANDBETWEEN(1,5)</f>
        <v>4</v>
      </c>
      <c r="CV4" s="1">
        <f t="shared" ref="CV4:CV67" ca="1" si="59">RAND()*(10-0.0001)+0.0001</f>
        <v>0.35027050059717241</v>
      </c>
      <c r="CW4" s="1">
        <f t="shared" ref="CW4:CW67" ca="1" si="60">RANDBETWEEN(100,2000)</f>
        <v>1596</v>
      </c>
      <c r="CX4" s="1">
        <f t="shared" ref="CX4:CX67" ca="1" si="61">RAND()*(0.01-0.000001)+0.000001</f>
        <v>8.5995621645817456E-3</v>
      </c>
      <c r="DH4" s="1">
        <f t="shared" ref="DH4:DH67" ca="1" si="62">RANDBETWEEN(10,900)</f>
        <v>284</v>
      </c>
      <c r="DI4" s="1">
        <f t="shared" ref="DI4:DI67" ca="1" si="63">RAND()*(1-0.001)+0.001</f>
        <v>0.21757607437692542</v>
      </c>
      <c r="DJ4" s="1">
        <f t="shared" ref="DJ4:DJ67" ca="1" si="64">RANDBETWEEN(1,30)</f>
        <v>3</v>
      </c>
      <c r="DL4" s="1">
        <f t="shared" ref="DL4:DL67" ca="1" si="65">RAND()*(0.2-0.01)+0.01</f>
        <v>7.3748417733503296E-2</v>
      </c>
      <c r="DM4" s="1">
        <f t="shared" ref="DM4:DM67" ca="1" si="66">RANDBETWEEN(50,300)</f>
        <v>280</v>
      </c>
      <c r="DN4" s="1">
        <f t="shared" ref="DN4:DN67" ca="1" si="67">RANDBETWEEN(1,10)</f>
        <v>8</v>
      </c>
      <c r="DO4" t="s">
        <v>13</v>
      </c>
      <c r="DP4" t="s">
        <v>65</v>
      </c>
      <c r="DQ4" t="s">
        <v>66</v>
      </c>
      <c r="DS4" s="1">
        <f t="shared" ref="DS4:DS7" ca="1" si="68">RAND()*(1-0)+0</f>
        <v>0.93627110183337636</v>
      </c>
      <c r="DT4" s="1">
        <f t="shared" ref="DT4:DT7" ca="1" si="69">RAND()*(0.01-0.000001)+0.000001</f>
        <v>8.5677895082860792E-3</v>
      </c>
      <c r="DU4" s="1">
        <f t="shared" ref="DU4:DU7" ca="1" si="70">RANDBETWEEN(0,1)</f>
        <v>0</v>
      </c>
      <c r="DW4" s="1">
        <f t="shared" ref="DW4:DW67" ca="1" si="71">RANDBETWEEN(50,500)</f>
        <v>323</v>
      </c>
      <c r="DX4" s="1">
        <f t="shared" ref="DX4:DX67" ca="1" si="72">RANDBETWEEN(3,20)</f>
        <v>10</v>
      </c>
      <c r="DY4" s="1">
        <f t="shared" ref="DY4:DY67" ca="1" si="73">RANDBETWEEN(2,20)</f>
        <v>2</v>
      </c>
      <c r="EA4" t="s">
        <v>71</v>
      </c>
      <c r="EB4" t="s">
        <v>1</v>
      </c>
      <c r="EC4" t="s">
        <v>65</v>
      </c>
      <c r="ED4" t="s">
        <v>73</v>
      </c>
    </row>
    <row r="5" spans="2:134" x14ac:dyDescent="0.25">
      <c r="B5">
        <f t="shared" ca="1" si="0"/>
        <v>667</v>
      </c>
      <c r="C5">
        <f t="shared" ca="1" si="1"/>
        <v>43</v>
      </c>
      <c r="D5">
        <f t="shared" ca="1" si="2"/>
        <v>0.14457481520045432</v>
      </c>
      <c r="F5" s="1">
        <f t="shared" ca="1" si="3"/>
        <v>10</v>
      </c>
      <c r="G5" s="1">
        <f t="shared" ca="1" si="4"/>
        <v>29</v>
      </c>
      <c r="H5" s="1">
        <f t="shared" ca="1" si="5"/>
        <v>1</v>
      </c>
      <c r="I5" s="1"/>
      <c r="J5" s="1">
        <f t="shared" ca="1" si="6"/>
        <v>2</v>
      </c>
      <c r="K5" s="1">
        <f t="shared" ca="1" si="7"/>
        <v>1.6862661989549736</v>
      </c>
      <c r="L5" s="1">
        <f t="shared" ca="1" si="8"/>
        <v>26</v>
      </c>
      <c r="M5" s="1"/>
      <c r="N5" s="1">
        <f t="shared" ca="1" si="9"/>
        <v>697</v>
      </c>
      <c r="O5" s="1">
        <f t="shared" ca="1" si="10"/>
        <v>5</v>
      </c>
      <c r="P5" s="1"/>
      <c r="Q5" s="1">
        <f t="shared" ca="1" si="11"/>
        <v>4.4341964725446097</v>
      </c>
      <c r="R5" s="1">
        <f t="shared" ca="1" si="12"/>
        <v>1081</v>
      </c>
      <c r="S5" s="1"/>
      <c r="T5" s="1">
        <f t="shared" ca="1" si="13"/>
        <v>1.388582370190026E-2</v>
      </c>
      <c r="U5" s="1">
        <f t="shared" ca="1" si="14"/>
        <v>102</v>
      </c>
      <c r="V5" s="1">
        <f t="shared" ca="1" si="15"/>
        <v>6</v>
      </c>
      <c r="W5" s="1"/>
      <c r="X5" s="1">
        <f t="shared" ca="1" si="16"/>
        <v>6.8063920662364925</v>
      </c>
      <c r="Y5" s="1">
        <f t="shared" ca="1" si="17"/>
        <v>6.2993526784857243E-2</v>
      </c>
      <c r="Z5" s="1">
        <f t="shared" ca="1" si="18"/>
        <v>1432</v>
      </c>
      <c r="AB5" s="1">
        <f t="shared" ca="1" si="19"/>
        <v>0.37753409009694472</v>
      </c>
      <c r="AC5" s="1">
        <f t="shared" ca="1" si="20"/>
        <v>385</v>
      </c>
      <c r="AD5" s="1">
        <f t="shared" ca="1" si="21"/>
        <v>3.9873899167080229E-3</v>
      </c>
      <c r="AE5" s="1"/>
      <c r="AF5" s="1">
        <f t="shared" ca="1" si="22"/>
        <v>0.50024939312620387</v>
      </c>
      <c r="AG5" s="1">
        <f t="shared" ca="1" si="23"/>
        <v>262</v>
      </c>
      <c r="AH5" s="1">
        <f t="shared" ca="1" si="24"/>
        <v>9.6829759156161731E-3</v>
      </c>
      <c r="AJ5" s="1">
        <f t="shared" ca="1" si="25"/>
        <v>8.7624299796064786E-2</v>
      </c>
      <c r="AK5" s="1">
        <f t="shared" ca="1" si="26"/>
        <v>3.5677041894900626E-3</v>
      </c>
      <c r="AL5" s="1"/>
      <c r="AM5" s="1">
        <f t="shared" ca="1" si="27"/>
        <v>0.13410832459371197</v>
      </c>
      <c r="AN5" s="1">
        <f t="shared" ca="1" si="28"/>
        <v>50</v>
      </c>
      <c r="AO5" s="1">
        <f t="shared" ca="1" si="29"/>
        <v>-1</v>
      </c>
      <c r="AQ5" s="1">
        <f t="shared" ca="1" si="30"/>
        <v>47</v>
      </c>
      <c r="AR5" s="1">
        <f t="shared" ca="1" si="31"/>
        <v>5</v>
      </c>
      <c r="AS5" s="1">
        <f t="shared" ca="1" si="32"/>
        <v>91</v>
      </c>
      <c r="AU5" s="1">
        <f t="shared" ca="1" si="33"/>
        <v>83</v>
      </c>
      <c r="AV5" s="1">
        <f t="shared" ca="1" si="34"/>
        <v>10</v>
      </c>
      <c r="AW5" s="1">
        <f t="shared" ca="1" si="35"/>
        <v>3.6529667160233537E-2</v>
      </c>
      <c r="AY5" s="1">
        <f t="shared" ca="1" si="36"/>
        <v>1.4623613386295968</v>
      </c>
      <c r="AZ5" s="1">
        <f t="shared" ca="1" si="37"/>
        <v>275</v>
      </c>
      <c r="BA5" s="1">
        <f t="shared" ca="1" si="38"/>
        <v>6.1338175668818129E-3</v>
      </c>
      <c r="BG5" s="1">
        <f t="shared" ca="1" si="39"/>
        <v>0.32325172267329677</v>
      </c>
      <c r="BH5" s="1">
        <f t="shared" ca="1" si="40"/>
        <v>0.27751728278147358</v>
      </c>
      <c r="BI5" s="1">
        <f t="shared" ca="1" si="41"/>
        <v>972</v>
      </c>
      <c r="BV5" s="1">
        <f t="shared" ca="1" si="42"/>
        <v>0.31205972908900198</v>
      </c>
      <c r="BW5" s="1">
        <f t="shared" ca="1" si="43"/>
        <v>255</v>
      </c>
      <c r="BX5" s="1">
        <f t="shared" ca="1" si="44"/>
        <v>3.1984801000545138E-3</v>
      </c>
      <c r="BY5" s="1">
        <f t="shared" ca="1" si="45"/>
        <v>8.3740440466953156E-2</v>
      </c>
      <c r="BZ5" s="1">
        <f t="shared" ca="1" si="46"/>
        <v>0.62874309404172168</v>
      </c>
      <c r="CB5" s="1">
        <f t="shared" ca="1" si="47"/>
        <v>355</v>
      </c>
      <c r="CC5" s="1">
        <f t="shared" ca="1" si="48"/>
        <v>4</v>
      </c>
      <c r="CD5" s="1">
        <f t="shared" ca="1" si="49"/>
        <v>0.26111614944477962</v>
      </c>
      <c r="CE5" s="1">
        <f t="shared" ca="1" si="50"/>
        <v>0.87518953387956921</v>
      </c>
      <c r="CF5" s="1">
        <f t="shared" ca="1" si="50"/>
        <v>0.91188681218735534</v>
      </c>
      <c r="CH5" s="3">
        <f t="shared" ca="1" si="51"/>
        <v>0.1138766721971966</v>
      </c>
      <c r="CI5" s="3">
        <f t="shared" ca="1" si="52"/>
        <v>0.51845267393248895</v>
      </c>
      <c r="CJ5" s="3">
        <f t="shared" ca="1" si="53"/>
        <v>973</v>
      </c>
      <c r="CK5" s="3">
        <f t="shared" ca="1" si="54"/>
        <v>9.0128425374015175E-3</v>
      </c>
      <c r="CL5" s="3">
        <f t="shared" ca="1" si="55"/>
        <v>1</v>
      </c>
      <c r="CM5" s="3"/>
      <c r="CN5" s="1">
        <f t="shared" ca="1" si="56"/>
        <v>18.003459178696843</v>
      </c>
      <c r="CO5" s="1">
        <f t="shared" ca="1" si="57"/>
        <v>0.42323682596784562</v>
      </c>
      <c r="CP5" s="1">
        <f t="shared" ca="1" si="58"/>
        <v>1</v>
      </c>
      <c r="CV5" s="1">
        <f t="shared" ca="1" si="59"/>
        <v>6.1897176179838107</v>
      </c>
      <c r="CW5" s="1">
        <f t="shared" ca="1" si="60"/>
        <v>1055</v>
      </c>
      <c r="CX5" s="1">
        <f t="shared" ca="1" si="61"/>
        <v>2.9435977690024616E-3</v>
      </c>
      <c r="DH5" s="1">
        <f t="shared" ca="1" si="62"/>
        <v>90</v>
      </c>
      <c r="DI5" s="1">
        <f t="shared" ca="1" si="63"/>
        <v>0.99271716982669378</v>
      </c>
      <c r="DJ5" s="1">
        <f t="shared" ca="1" si="64"/>
        <v>7</v>
      </c>
      <c r="DL5" s="1">
        <f t="shared" ca="1" si="65"/>
        <v>0.13663077201449195</v>
      </c>
      <c r="DM5" s="1">
        <f t="shared" ca="1" si="66"/>
        <v>242</v>
      </c>
      <c r="DN5" s="1">
        <f t="shared" ca="1" si="67"/>
        <v>3</v>
      </c>
      <c r="DO5" t="s">
        <v>1</v>
      </c>
      <c r="DP5" t="s">
        <v>65</v>
      </c>
      <c r="DQ5" t="s">
        <v>67</v>
      </c>
      <c r="DS5" s="1">
        <f t="shared" ca="1" si="68"/>
        <v>0.57269014104494864</v>
      </c>
      <c r="DT5" s="1">
        <f t="shared" ca="1" si="69"/>
        <v>9.5004045144734886E-3</v>
      </c>
      <c r="DU5" s="1">
        <f t="shared" ca="1" si="70"/>
        <v>1</v>
      </c>
      <c r="DW5" s="1">
        <f t="shared" ca="1" si="71"/>
        <v>237</v>
      </c>
      <c r="DX5" s="1">
        <f t="shared" ca="1" si="72"/>
        <v>8</v>
      </c>
      <c r="DY5" s="1">
        <f t="shared" ca="1" si="73"/>
        <v>15</v>
      </c>
      <c r="EA5" t="s">
        <v>71</v>
      </c>
      <c r="EB5" t="s">
        <v>4</v>
      </c>
      <c r="EC5" t="s">
        <v>65</v>
      </c>
      <c r="ED5" t="s">
        <v>74</v>
      </c>
    </row>
    <row r="6" spans="2:134" x14ac:dyDescent="0.25">
      <c r="B6">
        <f t="shared" ca="1" si="0"/>
        <v>578</v>
      </c>
      <c r="C6">
        <f t="shared" ca="1" si="1"/>
        <v>32</v>
      </c>
      <c r="D6">
        <f t="shared" ca="1" si="2"/>
        <v>0.22539206253126898</v>
      </c>
      <c r="F6" s="1">
        <f t="shared" ca="1" si="3"/>
        <v>51</v>
      </c>
      <c r="G6" s="1">
        <f t="shared" ca="1" si="4"/>
        <v>4</v>
      </c>
      <c r="H6" s="1">
        <f t="shared" ca="1" si="5"/>
        <v>9</v>
      </c>
      <c r="I6" s="1"/>
      <c r="J6" s="1">
        <f t="shared" ca="1" si="6"/>
        <v>19</v>
      </c>
      <c r="K6" s="1">
        <f t="shared" ca="1" si="7"/>
        <v>1.9468504989536579</v>
      </c>
      <c r="L6" s="1">
        <f t="shared" ca="1" si="8"/>
        <v>32</v>
      </c>
      <c r="M6" s="1"/>
      <c r="N6" s="1">
        <f t="shared" ca="1" si="9"/>
        <v>568</v>
      </c>
      <c r="O6" s="1">
        <f t="shared" ca="1" si="10"/>
        <v>16</v>
      </c>
      <c r="P6" s="1"/>
      <c r="Q6" s="1">
        <f t="shared" ca="1" si="11"/>
        <v>1.7586376094101575</v>
      </c>
      <c r="R6" s="1">
        <f t="shared" ca="1" si="12"/>
        <v>769</v>
      </c>
      <c r="S6" s="1"/>
      <c r="T6" s="1">
        <f t="shared" ca="1" si="13"/>
        <v>0.12427232505156502</v>
      </c>
      <c r="U6" s="1">
        <f t="shared" ca="1" si="14"/>
        <v>255</v>
      </c>
      <c r="V6" s="1">
        <f t="shared" ca="1" si="15"/>
        <v>32</v>
      </c>
      <c r="W6" s="1"/>
      <c r="X6" s="1">
        <f t="shared" ca="1" si="16"/>
        <v>4.1845730221181912</v>
      </c>
      <c r="Y6" s="1">
        <f t="shared" ca="1" si="17"/>
        <v>0.21096206871783341</v>
      </c>
      <c r="Z6" s="1">
        <f t="shared" ca="1" si="18"/>
        <v>1812</v>
      </c>
      <c r="AB6" s="1">
        <f t="shared" ca="1" si="19"/>
        <v>0.1211416791913127</v>
      </c>
      <c r="AC6" s="1">
        <f t="shared" ca="1" si="20"/>
        <v>993</v>
      </c>
      <c r="AD6" s="1">
        <f t="shared" ca="1" si="21"/>
        <v>6.9732671711349725E-3</v>
      </c>
      <c r="AE6" s="1"/>
      <c r="AF6" s="1">
        <f t="shared" ca="1" si="22"/>
        <v>0.67649285803156145</v>
      </c>
      <c r="AG6" s="1">
        <f t="shared" ca="1" si="23"/>
        <v>412</v>
      </c>
      <c r="AH6" s="1">
        <f t="shared" ca="1" si="24"/>
        <v>2.7422909647659664E-3</v>
      </c>
      <c r="AJ6" s="1">
        <f t="shared" ca="1" si="25"/>
        <v>0.21750794153017428</v>
      </c>
      <c r="AK6" s="1">
        <f t="shared" ca="1" si="26"/>
        <v>6.7631635377096927E-3</v>
      </c>
      <c r="AL6" s="1"/>
      <c r="AM6" s="1">
        <f t="shared" ca="1" si="27"/>
        <v>4.3549579368058228E-2</v>
      </c>
      <c r="AN6" s="1">
        <f t="shared" ca="1" si="28"/>
        <v>45</v>
      </c>
      <c r="AO6" s="1">
        <f t="shared" ca="1" si="29"/>
        <v>8</v>
      </c>
      <c r="AQ6" s="1">
        <f t="shared" ca="1" si="30"/>
        <v>113</v>
      </c>
      <c r="AR6" s="1">
        <f t="shared" ca="1" si="31"/>
        <v>2</v>
      </c>
      <c r="AS6" s="1">
        <f t="shared" ca="1" si="32"/>
        <v>98</v>
      </c>
      <c r="AU6" s="1">
        <f t="shared" ca="1" si="33"/>
        <v>67</v>
      </c>
      <c r="AV6" s="1">
        <f t="shared" ca="1" si="34"/>
        <v>4</v>
      </c>
      <c r="AW6" s="1">
        <f t="shared" ca="1" si="35"/>
        <v>7.4474757624448856E-2</v>
      </c>
      <c r="AY6" s="1">
        <f t="shared" ca="1" si="36"/>
        <v>1.6991917655524627</v>
      </c>
      <c r="AZ6" s="1">
        <f t="shared" ca="1" si="37"/>
        <v>181</v>
      </c>
      <c r="BA6" s="1">
        <f t="shared" ca="1" si="38"/>
        <v>9.6026894717460439E-4</v>
      </c>
      <c r="BG6" s="1">
        <f t="shared" ca="1" si="39"/>
        <v>0.40839826517529343</v>
      </c>
      <c r="BH6" s="1">
        <f t="shared" ca="1" si="40"/>
        <v>0.28093966670279569</v>
      </c>
      <c r="BI6" s="1">
        <f t="shared" ca="1" si="41"/>
        <v>757</v>
      </c>
      <c r="BV6" s="1">
        <f t="shared" ca="1" si="42"/>
        <v>0.46050739215133007</v>
      </c>
      <c r="BW6" s="1">
        <f t="shared" ca="1" si="43"/>
        <v>606</v>
      </c>
      <c r="BX6" s="1">
        <f t="shared" ca="1" si="44"/>
        <v>2.1134406216668784E-3</v>
      </c>
      <c r="BY6" s="1">
        <f t="shared" ca="1" si="45"/>
        <v>7.6919038653284394E-2</v>
      </c>
      <c r="BZ6" s="1">
        <f t="shared" ca="1" si="46"/>
        <v>0.93855338929934606</v>
      </c>
      <c r="CB6" s="1">
        <f t="shared" ca="1" si="47"/>
        <v>55</v>
      </c>
      <c r="CC6" s="1">
        <f t="shared" ca="1" si="48"/>
        <v>10</v>
      </c>
      <c r="CD6" s="1">
        <f t="shared" ca="1" si="49"/>
        <v>0.29990573295258466</v>
      </c>
      <c r="CE6" s="1">
        <f t="shared" ca="1" si="50"/>
        <v>0.69665715400875061</v>
      </c>
      <c r="CF6" s="1">
        <f t="shared" ca="1" si="50"/>
        <v>0.98826773661616074</v>
      </c>
      <c r="CH6" s="3">
        <f t="shared" ca="1" si="51"/>
        <v>0.88663119374750665</v>
      </c>
      <c r="CI6" s="3">
        <f t="shared" ca="1" si="52"/>
        <v>0.62753339154623122</v>
      </c>
      <c r="CJ6" s="3">
        <f t="shared" ca="1" si="53"/>
        <v>1129</v>
      </c>
      <c r="CK6" s="3">
        <f t="shared" ca="1" si="54"/>
        <v>4.7366042741824616E-3</v>
      </c>
      <c r="CL6" s="3">
        <f t="shared" ca="1" si="55"/>
        <v>0</v>
      </c>
      <c r="CM6" s="3"/>
      <c r="CN6" s="1">
        <f t="shared" ca="1" si="56"/>
        <v>7.3885690409557938</v>
      </c>
      <c r="CO6" s="1">
        <f t="shared" ca="1" si="57"/>
        <v>0.35591016063415609</v>
      </c>
      <c r="CP6" s="1">
        <f t="shared" ca="1" si="58"/>
        <v>3</v>
      </c>
      <c r="CV6" s="1">
        <f t="shared" ca="1" si="59"/>
        <v>5.4018948919531375</v>
      </c>
      <c r="CW6" s="1">
        <f t="shared" ca="1" si="60"/>
        <v>1874</v>
      </c>
      <c r="CX6" s="1">
        <f t="shared" ca="1" si="61"/>
        <v>6.9419920961535254E-3</v>
      </c>
      <c r="DH6" s="1">
        <f t="shared" ca="1" si="62"/>
        <v>636</v>
      </c>
      <c r="DI6" s="1">
        <f t="shared" ca="1" si="63"/>
        <v>0.65830736660505429</v>
      </c>
      <c r="DJ6" s="1">
        <f t="shared" ca="1" si="64"/>
        <v>26</v>
      </c>
      <c r="DL6" s="1">
        <f t="shared" ca="1" si="65"/>
        <v>5.361148717501555E-2</v>
      </c>
      <c r="DM6" s="1">
        <f t="shared" ca="1" si="66"/>
        <v>287</v>
      </c>
      <c r="DN6" s="1">
        <f t="shared" ca="1" si="67"/>
        <v>5</v>
      </c>
      <c r="DS6" s="1">
        <f t="shared" ca="1" si="68"/>
        <v>0.23049709904998739</v>
      </c>
      <c r="DT6" s="1">
        <f t="shared" ca="1" si="69"/>
        <v>2.064497358862901E-3</v>
      </c>
      <c r="DU6" s="1">
        <f t="shared" ca="1" si="70"/>
        <v>0</v>
      </c>
      <c r="DW6" s="1">
        <f t="shared" ca="1" si="71"/>
        <v>411</v>
      </c>
      <c r="DX6" s="1">
        <f t="shared" ca="1" si="72"/>
        <v>14</v>
      </c>
      <c r="DY6" s="1">
        <f t="shared" ca="1" si="73"/>
        <v>16</v>
      </c>
    </row>
    <row r="7" spans="2:134" x14ac:dyDescent="0.25">
      <c r="B7">
        <f t="shared" ca="1" si="0"/>
        <v>559</v>
      </c>
      <c r="C7">
        <f t="shared" ca="1" si="1"/>
        <v>7</v>
      </c>
      <c r="D7">
        <f t="shared" ca="1" si="2"/>
        <v>0.27030757937269884</v>
      </c>
      <c r="F7" s="1">
        <f t="shared" ca="1" si="3"/>
        <v>22</v>
      </c>
      <c r="G7" s="1">
        <f t="shared" ca="1" si="4"/>
        <v>3</v>
      </c>
      <c r="H7" s="1">
        <f t="shared" ca="1" si="5"/>
        <v>14</v>
      </c>
      <c r="I7" s="1"/>
      <c r="J7" s="1">
        <f t="shared" ca="1" si="6"/>
        <v>5</v>
      </c>
      <c r="K7" s="1">
        <f t="shared" ca="1" si="7"/>
        <v>2.3017529867716746</v>
      </c>
      <c r="L7" s="1">
        <f t="shared" ca="1" si="8"/>
        <v>25</v>
      </c>
      <c r="M7" s="1"/>
      <c r="N7" s="1">
        <f t="shared" ca="1" si="9"/>
        <v>834</v>
      </c>
      <c r="O7" s="1">
        <f t="shared" ca="1" si="10"/>
        <v>40</v>
      </c>
      <c r="P7" s="1"/>
      <c r="Q7" s="1">
        <f t="shared" ca="1" si="11"/>
        <v>1.0937375597530088</v>
      </c>
      <c r="R7" s="1">
        <f t="shared" ca="1" si="12"/>
        <v>774</v>
      </c>
      <c r="S7" s="1"/>
      <c r="T7" s="1">
        <f t="shared" ca="1" si="13"/>
        <v>0.14529364177766271</v>
      </c>
      <c r="U7" s="1">
        <f t="shared" ca="1" si="14"/>
        <v>51</v>
      </c>
      <c r="V7" s="1">
        <f t="shared" ca="1" si="15"/>
        <v>47</v>
      </c>
      <c r="W7" s="1"/>
      <c r="X7" s="1">
        <f t="shared" ca="1" si="16"/>
        <v>7.4221368858499543</v>
      </c>
      <c r="Y7" s="1">
        <f t="shared" ca="1" si="17"/>
        <v>0.28516199989026525</v>
      </c>
      <c r="Z7" s="1">
        <f t="shared" ca="1" si="18"/>
        <v>690</v>
      </c>
      <c r="AB7" s="1">
        <f t="shared" ca="1" si="19"/>
        <v>0.4314094419951362</v>
      </c>
      <c r="AC7" s="1">
        <f t="shared" ca="1" si="20"/>
        <v>224</v>
      </c>
      <c r="AD7" s="1">
        <f t="shared" ca="1" si="21"/>
        <v>3.676676114792222E-3</v>
      </c>
      <c r="AE7" s="1"/>
      <c r="AF7" s="1">
        <f t="shared" ca="1" si="22"/>
        <v>0.46068014896282594</v>
      </c>
      <c r="AG7" s="1">
        <f t="shared" ca="1" si="23"/>
        <v>838</v>
      </c>
      <c r="AH7" s="1">
        <f t="shared" ca="1" si="24"/>
        <v>7.2079343549706588E-3</v>
      </c>
      <c r="AJ7" s="1">
        <f t="shared" ca="1" si="25"/>
        <v>0.25874260380528913</v>
      </c>
      <c r="AK7" s="1">
        <f t="shared" ca="1" si="26"/>
        <v>6.3968135883716304E-3</v>
      </c>
      <c r="AL7" s="1"/>
      <c r="AM7" s="1">
        <f t="shared" ca="1" si="27"/>
        <v>9.3934003340608099E-2</v>
      </c>
      <c r="AN7" s="1">
        <f t="shared" ca="1" si="28"/>
        <v>60</v>
      </c>
      <c r="AO7" s="1">
        <f t="shared" ca="1" si="29"/>
        <v>9</v>
      </c>
      <c r="AQ7" s="1">
        <f t="shared" ca="1" si="30"/>
        <v>114</v>
      </c>
      <c r="AR7" s="1">
        <f t="shared" ca="1" si="31"/>
        <v>2</v>
      </c>
      <c r="AS7" s="1">
        <f t="shared" ca="1" si="32"/>
        <v>17</v>
      </c>
      <c r="AU7" s="1">
        <f t="shared" ca="1" si="33"/>
        <v>237</v>
      </c>
      <c r="AV7" s="1">
        <f t="shared" ca="1" si="34"/>
        <v>8</v>
      </c>
      <c r="AW7" s="1">
        <f t="shared" ca="1" si="35"/>
        <v>0.12208569615142041</v>
      </c>
      <c r="AY7" s="1">
        <f t="shared" ca="1" si="36"/>
        <v>1.9781395114088096</v>
      </c>
      <c r="AZ7" s="1">
        <f t="shared" ca="1" si="37"/>
        <v>233</v>
      </c>
      <c r="BA7" s="1">
        <f t="shared" ca="1" si="38"/>
        <v>7.5166386627374604E-3</v>
      </c>
      <c r="BG7" s="1">
        <f t="shared" ca="1" si="39"/>
        <v>5.971691880881224E-2</v>
      </c>
      <c r="BH7" s="1">
        <f t="shared" ca="1" si="40"/>
        <v>0.45222556477977194</v>
      </c>
      <c r="BI7" s="1">
        <f t="shared" ca="1" si="41"/>
        <v>604</v>
      </c>
      <c r="BV7" s="1">
        <f t="shared" ca="1" si="42"/>
        <v>1.7793737485728101E-2</v>
      </c>
      <c r="BW7" s="1">
        <f t="shared" ca="1" si="43"/>
        <v>951</v>
      </c>
      <c r="BX7" s="1">
        <f t="shared" ca="1" si="44"/>
        <v>4.6415525708799225E-3</v>
      </c>
      <c r="BY7" s="1">
        <f t="shared" ca="1" si="45"/>
        <v>6.381681283326493E-2</v>
      </c>
      <c r="BZ7" s="1">
        <f t="shared" ca="1" si="46"/>
        <v>0.50393940020991024</v>
      </c>
      <c r="CB7" s="1">
        <f t="shared" ca="1" si="47"/>
        <v>357</v>
      </c>
      <c r="CC7" s="1">
        <f t="shared" ca="1" si="48"/>
        <v>11</v>
      </c>
      <c r="CD7" s="1">
        <f t="shared" ca="1" si="49"/>
        <v>0.13625373984447134</v>
      </c>
      <c r="CE7" s="1">
        <f t="shared" ca="1" si="50"/>
        <v>0.99495413445753522</v>
      </c>
      <c r="CF7" s="1">
        <f t="shared" ca="1" si="50"/>
        <v>0.89829972509695755</v>
      </c>
      <c r="CH7" s="3">
        <f t="shared" ca="1" si="51"/>
        <v>0.46998662905063621</v>
      </c>
      <c r="CI7" s="3">
        <f t="shared" ca="1" si="52"/>
        <v>0.63309627415603975</v>
      </c>
      <c r="CJ7" s="3">
        <f t="shared" ca="1" si="53"/>
        <v>980</v>
      </c>
      <c r="CK7" s="3">
        <f t="shared" ca="1" si="54"/>
        <v>5.4803198332127505E-3</v>
      </c>
      <c r="CL7" s="3">
        <f t="shared" ca="1" si="55"/>
        <v>1</v>
      </c>
      <c r="CM7" s="3"/>
      <c r="CN7" s="1">
        <f t="shared" ca="1" si="56"/>
        <v>19.117170590106344</v>
      </c>
      <c r="CO7" s="1">
        <f t="shared" ca="1" si="57"/>
        <v>0.28820403861889676</v>
      </c>
      <c r="CP7" s="1">
        <f t="shared" ca="1" si="58"/>
        <v>2</v>
      </c>
      <c r="CV7" s="1">
        <f t="shared" ca="1" si="59"/>
        <v>4.6895625756206885</v>
      </c>
      <c r="CW7" s="1">
        <f t="shared" ca="1" si="60"/>
        <v>1211</v>
      </c>
      <c r="CX7" s="1">
        <f t="shared" ca="1" si="61"/>
        <v>2.18942324064425E-4</v>
      </c>
      <c r="DH7" s="1">
        <f t="shared" ca="1" si="62"/>
        <v>413</v>
      </c>
      <c r="DI7" s="1">
        <f t="shared" ca="1" si="63"/>
        <v>0.53520277159972018</v>
      </c>
      <c r="DJ7" s="1">
        <f t="shared" ca="1" si="64"/>
        <v>20</v>
      </c>
      <c r="DL7" s="1">
        <f t="shared" ca="1" si="65"/>
        <v>0.18121226887526021</v>
      </c>
      <c r="DM7" s="1">
        <f t="shared" ca="1" si="66"/>
        <v>195</v>
      </c>
      <c r="DN7" s="1">
        <f t="shared" ca="1" si="67"/>
        <v>2</v>
      </c>
      <c r="DS7" s="1">
        <f t="shared" ca="1" si="68"/>
        <v>0.76860968716658173</v>
      </c>
      <c r="DT7" s="1">
        <f t="shared" ca="1" si="69"/>
        <v>7.6117976967485434E-3</v>
      </c>
      <c r="DU7" s="1">
        <f t="shared" ca="1" si="70"/>
        <v>0</v>
      </c>
      <c r="DW7" s="1">
        <f t="shared" ca="1" si="71"/>
        <v>432</v>
      </c>
      <c r="DX7" s="1">
        <f t="shared" ca="1" si="72"/>
        <v>20</v>
      </c>
      <c r="DY7" s="1">
        <f t="shared" ca="1" si="73"/>
        <v>5</v>
      </c>
    </row>
    <row r="8" spans="2:134" x14ac:dyDescent="0.25">
      <c r="B8">
        <f t="shared" ca="1" si="0"/>
        <v>986</v>
      </c>
      <c r="C8">
        <f t="shared" ca="1" si="1"/>
        <v>9</v>
      </c>
      <c r="D8">
        <f t="shared" ca="1" si="2"/>
        <v>0.10163403114550423</v>
      </c>
      <c r="F8" s="1">
        <f t="shared" ca="1" si="3"/>
        <v>30</v>
      </c>
      <c r="G8" s="1">
        <f t="shared" ca="1" si="4"/>
        <v>19</v>
      </c>
      <c r="H8" s="1">
        <f t="shared" ca="1" si="5"/>
        <v>3</v>
      </c>
      <c r="I8" s="1"/>
      <c r="J8" s="1">
        <f t="shared" ca="1" si="6"/>
        <v>14</v>
      </c>
      <c r="K8" s="1">
        <f t="shared" ca="1" si="7"/>
        <v>1.867321121658212</v>
      </c>
      <c r="L8" s="1">
        <f t="shared" ca="1" si="8"/>
        <v>4</v>
      </c>
      <c r="M8" s="1"/>
      <c r="N8" s="1">
        <f t="shared" ca="1" si="9"/>
        <v>987</v>
      </c>
      <c r="O8" s="1">
        <f t="shared" ca="1" si="10"/>
        <v>26</v>
      </c>
      <c r="P8" s="1"/>
      <c r="Q8" s="1">
        <f t="shared" ca="1" si="11"/>
        <v>4.8902773908168538</v>
      </c>
      <c r="R8" s="1">
        <f t="shared" ca="1" si="12"/>
        <v>263</v>
      </c>
      <c r="S8" s="1"/>
      <c r="T8" s="1">
        <f t="shared" ca="1" si="13"/>
        <v>2.2046815349623643E-2</v>
      </c>
      <c r="U8" s="1">
        <f t="shared" ca="1" si="14"/>
        <v>334</v>
      </c>
      <c r="V8" s="1">
        <f t="shared" ca="1" si="15"/>
        <v>49</v>
      </c>
      <c r="W8" s="1"/>
      <c r="X8" s="1">
        <f t="shared" ca="1" si="16"/>
        <v>5.7903837459748626</v>
      </c>
      <c r="Y8" s="1">
        <f t="shared" ca="1" si="17"/>
        <v>0.43191206902534757</v>
      </c>
      <c r="Z8" s="1">
        <f t="shared" ca="1" si="18"/>
        <v>1651</v>
      </c>
      <c r="AB8" s="1">
        <f t="shared" ca="1" si="19"/>
        <v>0.36654878891571108</v>
      </c>
      <c r="AC8" s="1">
        <f t="shared" ca="1" si="20"/>
        <v>240</v>
      </c>
      <c r="AD8" s="1">
        <f t="shared" ca="1" si="21"/>
        <v>2.5930574528308784E-3</v>
      </c>
      <c r="AE8" s="1"/>
      <c r="AF8" s="1">
        <f t="shared" ca="1" si="22"/>
        <v>0.77354741917883896</v>
      </c>
      <c r="AG8" s="1">
        <f t="shared" ca="1" si="23"/>
        <v>482</v>
      </c>
      <c r="AH8" s="1">
        <f t="shared" ca="1" si="24"/>
        <v>1.0094435612535005E-3</v>
      </c>
      <c r="AJ8" s="1">
        <f t="shared" ca="1" si="25"/>
        <v>0.40490889781161055</v>
      </c>
      <c r="AK8" s="1">
        <f t="shared" ca="1" si="26"/>
        <v>4.7808332569332637E-3</v>
      </c>
      <c r="AL8" s="1"/>
      <c r="AM8" s="1">
        <f t="shared" ca="1" si="27"/>
        <v>3.3617246954785435E-2</v>
      </c>
      <c r="AN8" s="1">
        <f t="shared" ca="1" si="28"/>
        <v>11</v>
      </c>
      <c r="AO8" s="1">
        <f t="shared" ca="1" si="29"/>
        <v>13</v>
      </c>
      <c r="AQ8" s="1">
        <f t="shared" ca="1" si="30"/>
        <v>100</v>
      </c>
      <c r="AR8" s="1">
        <f t="shared" ca="1" si="31"/>
        <v>6</v>
      </c>
      <c r="AS8" s="1">
        <f t="shared" ca="1" si="32"/>
        <v>54</v>
      </c>
      <c r="AU8" s="1">
        <f t="shared" ca="1" si="33"/>
        <v>201</v>
      </c>
      <c r="AV8" s="1">
        <f t="shared" ca="1" si="34"/>
        <v>4</v>
      </c>
      <c r="AW8" s="1">
        <f t="shared" ca="1" si="35"/>
        <v>3.7900890317745628E-2</v>
      </c>
      <c r="AY8" s="1">
        <f t="shared" ca="1" si="36"/>
        <v>1.3668785650870059</v>
      </c>
      <c r="AZ8" s="1">
        <f t="shared" ca="1" si="37"/>
        <v>176</v>
      </c>
      <c r="BA8" s="1">
        <f t="shared" ca="1" si="38"/>
        <v>4.3798064252689051E-3</v>
      </c>
      <c r="BG8" s="1">
        <f t="shared" ca="1" si="39"/>
        <v>0.44623993898447589</v>
      </c>
      <c r="BH8" s="1">
        <f t="shared" ca="1" si="40"/>
        <v>0.58702457115906836</v>
      </c>
      <c r="BI8" s="1">
        <f t="shared" ca="1" si="41"/>
        <v>739</v>
      </c>
      <c r="BV8" s="1">
        <f t="shared" ca="1" si="42"/>
        <v>0.51875673760828722</v>
      </c>
      <c r="BW8" s="1">
        <f t="shared" ca="1" si="43"/>
        <v>434</v>
      </c>
      <c r="BX8" s="1">
        <f t="shared" ca="1" si="44"/>
        <v>6.368126677661381E-3</v>
      </c>
      <c r="BY8" s="1">
        <f t="shared" ca="1" si="45"/>
        <v>7.545165167664776E-2</v>
      </c>
      <c r="BZ8" s="1">
        <f t="shared" ca="1" si="46"/>
        <v>0.72640007374623883</v>
      </c>
      <c r="CB8" s="1">
        <f t="shared" ca="1" si="47"/>
        <v>145</v>
      </c>
      <c r="CC8" s="1">
        <f t="shared" ca="1" si="48"/>
        <v>13</v>
      </c>
      <c r="CD8" s="1">
        <f t="shared" ca="1" si="49"/>
        <v>0.22978698348715468</v>
      </c>
      <c r="CE8" s="1">
        <f t="shared" ca="1" si="50"/>
        <v>0.7035866055844866</v>
      </c>
      <c r="CF8" s="1">
        <f t="shared" ca="1" si="50"/>
        <v>0.69468140965059</v>
      </c>
      <c r="CH8" s="3">
        <f t="shared" ca="1" si="51"/>
        <v>9.500296684334943E-3</v>
      </c>
      <c r="CI8" s="3">
        <f t="shared" ca="1" si="52"/>
        <v>0.82902598696112784</v>
      </c>
      <c r="CJ8" s="3">
        <f t="shared" ca="1" si="53"/>
        <v>917</v>
      </c>
      <c r="CK8" s="3">
        <f t="shared" ca="1" si="54"/>
        <v>4.4178542098654208E-3</v>
      </c>
      <c r="CL8" s="3">
        <f t="shared" ca="1" si="55"/>
        <v>1</v>
      </c>
      <c r="CM8" s="3"/>
      <c r="CN8" s="1">
        <f t="shared" ca="1" si="56"/>
        <v>11.568827482077156</v>
      </c>
      <c r="CO8" s="1">
        <f t="shared" ca="1" si="57"/>
        <v>0.24967443725497571</v>
      </c>
      <c r="CP8" s="1">
        <f t="shared" ca="1" si="58"/>
        <v>3</v>
      </c>
      <c r="CV8" s="1">
        <f t="shared" ca="1" si="59"/>
        <v>6.4909822692173744</v>
      </c>
      <c r="CW8" s="1">
        <f t="shared" ca="1" si="60"/>
        <v>1129</v>
      </c>
      <c r="CX8" s="1">
        <f t="shared" ca="1" si="61"/>
        <v>9.1233607526163829E-3</v>
      </c>
      <c r="DH8" s="1">
        <f t="shared" ca="1" si="62"/>
        <v>107</v>
      </c>
      <c r="DI8" s="1">
        <f t="shared" ca="1" si="63"/>
        <v>0.25122238885377962</v>
      </c>
      <c r="DJ8" s="1">
        <f t="shared" ca="1" si="64"/>
        <v>5</v>
      </c>
      <c r="DL8" s="1">
        <f t="shared" ca="1" si="65"/>
        <v>0.13747345350910975</v>
      </c>
      <c r="DM8" s="1">
        <f t="shared" ca="1" si="66"/>
        <v>128</v>
      </c>
      <c r="DN8" s="1">
        <f t="shared" ca="1" si="67"/>
        <v>6</v>
      </c>
      <c r="DW8" s="1">
        <f t="shared" ca="1" si="71"/>
        <v>368</v>
      </c>
      <c r="DX8" s="1">
        <f t="shared" ca="1" si="72"/>
        <v>6</v>
      </c>
      <c r="DY8" s="1">
        <f t="shared" ca="1" si="73"/>
        <v>14</v>
      </c>
    </row>
    <row r="9" spans="2:134" x14ac:dyDescent="0.25">
      <c r="B9">
        <f t="shared" ca="1" si="0"/>
        <v>188</v>
      </c>
      <c r="C9">
        <f t="shared" ca="1" si="1"/>
        <v>48</v>
      </c>
      <c r="D9">
        <f t="shared" ca="1" si="2"/>
        <v>9.4128102493460958E-2</v>
      </c>
      <c r="F9" s="1">
        <f t="shared" ca="1" si="3"/>
        <v>2</v>
      </c>
      <c r="G9" s="1">
        <f t="shared" ca="1" si="4"/>
        <v>3</v>
      </c>
      <c r="H9" s="1">
        <f t="shared" ca="1" si="5"/>
        <v>11</v>
      </c>
      <c r="I9" s="1"/>
      <c r="J9" s="1">
        <f t="shared" ca="1" si="6"/>
        <v>9</v>
      </c>
      <c r="K9" s="1">
        <f t="shared" ca="1" si="7"/>
        <v>2.1137557540273884</v>
      </c>
      <c r="L9" s="1">
        <f t="shared" ca="1" si="8"/>
        <v>17</v>
      </c>
      <c r="M9" s="1"/>
      <c r="N9" s="1">
        <f t="shared" ca="1" si="9"/>
        <v>787</v>
      </c>
      <c r="O9" s="1">
        <f t="shared" ca="1" si="10"/>
        <v>24</v>
      </c>
      <c r="P9" s="1"/>
      <c r="Q9" s="1">
        <f t="shared" ca="1" si="11"/>
        <v>4.7911687862274652</v>
      </c>
      <c r="R9" s="1">
        <f t="shared" ca="1" si="12"/>
        <v>394</v>
      </c>
      <c r="S9" s="1"/>
      <c r="T9" s="1">
        <f t="shared" ca="1" si="13"/>
        <v>2.732953248988057E-2</v>
      </c>
      <c r="U9" s="1">
        <f t="shared" ca="1" si="14"/>
        <v>381</v>
      </c>
      <c r="V9" s="1">
        <f t="shared" ca="1" si="15"/>
        <v>25</v>
      </c>
      <c r="W9" s="1"/>
      <c r="X9" s="1">
        <f t="shared" ca="1" si="16"/>
        <v>5.2331912370651867</v>
      </c>
      <c r="Y9" s="1">
        <f t="shared" ca="1" si="17"/>
        <v>0.42321167111450786</v>
      </c>
      <c r="Z9" s="1">
        <f t="shared" ca="1" si="18"/>
        <v>236</v>
      </c>
      <c r="AB9" s="1">
        <f t="shared" ca="1" si="19"/>
        <v>0.9985739365185109</v>
      </c>
      <c r="AC9" s="1">
        <f t="shared" ca="1" si="20"/>
        <v>821</v>
      </c>
      <c r="AD9" s="1">
        <f t="shared" ca="1" si="21"/>
        <v>3.7477561762379462E-3</v>
      </c>
      <c r="AE9" s="1"/>
      <c r="AF9" s="1">
        <f t="shared" ca="1" si="22"/>
        <v>0.82273318891197089</v>
      </c>
      <c r="AG9" s="1">
        <f t="shared" ca="1" si="23"/>
        <v>625</v>
      </c>
      <c r="AH9" s="1">
        <f t="shared" ca="1" si="24"/>
        <v>3.6219649873364831E-3</v>
      </c>
      <c r="AJ9" s="1">
        <f t="shared" ca="1" si="25"/>
        <v>3.7805005860934271E-2</v>
      </c>
      <c r="AK9" s="1">
        <f t="shared" ca="1" si="26"/>
        <v>2.0455625184185536E-3</v>
      </c>
      <c r="AL9" s="1"/>
      <c r="AM9" s="1">
        <f t="shared" ca="1" si="27"/>
        <v>4.7072819647973468E-2</v>
      </c>
      <c r="AN9" s="1">
        <f t="shared" ca="1" si="28"/>
        <v>38</v>
      </c>
      <c r="AO9" s="1">
        <f t="shared" ca="1" si="29"/>
        <v>8</v>
      </c>
      <c r="AQ9" s="1">
        <f t="shared" ca="1" si="30"/>
        <v>14</v>
      </c>
      <c r="AR9" s="1">
        <f t="shared" ca="1" si="31"/>
        <v>4</v>
      </c>
      <c r="AS9" s="1">
        <f t="shared" ca="1" si="32"/>
        <v>29</v>
      </c>
      <c r="AU9" s="1">
        <f t="shared" ca="1" si="33"/>
        <v>110</v>
      </c>
      <c r="AV9" s="1">
        <f t="shared" ca="1" si="34"/>
        <v>9</v>
      </c>
      <c r="AW9" s="1">
        <f t="shared" ca="1" si="35"/>
        <v>0.19739324342386411</v>
      </c>
      <c r="AY9" s="1">
        <f t="shared" ca="1" si="36"/>
        <v>1.5418092182151002</v>
      </c>
      <c r="AZ9" s="1">
        <f t="shared" ca="1" si="37"/>
        <v>462</v>
      </c>
      <c r="BA9" s="1">
        <f t="shared" ca="1" si="38"/>
        <v>2.8955076546294135E-3</v>
      </c>
      <c r="BG9" s="1">
        <f t="shared" ca="1" si="39"/>
        <v>0.57876939361513169</v>
      </c>
      <c r="BH9" s="1">
        <f t="shared" ca="1" si="40"/>
        <v>0.88227974318413649</v>
      </c>
      <c r="BI9" s="1">
        <f t="shared" ca="1" si="41"/>
        <v>708</v>
      </c>
      <c r="BV9" s="1">
        <f t="shared" ca="1" si="42"/>
        <v>0.13109718415839033</v>
      </c>
      <c r="BW9" s="1">
        <f t="shared" ca="1" si="43"/>
        <v>611</v>
      </c>
      <c r="BX9" s="1">
        <f t="shared" ca="1" si="44"/>
        <v>3.2832030489994336E-3</v>
      </c>
      <c r="BY9" s="1">
        <f t="shared" ca="1" si="45"/>
        <v>1.8803366716680283E-2</v>
      </c>
      <c r="BZ9" s="1">
        <f t="shared" ca="1" si="46"/>
        <v>0.24109725520010705</v>
      </c>
      <c r="CB9" s="1">
        <f t="shared" ca="1" si="47"/>
        <v>255</v>
      </c>
      <c r="CC9" s="1">
        <f t="shared" ca="1" si="48"/>
        <v>8</v>
      </c>
      <c r="CD9" s="1">
        <f t="shared" ca="1" si="49"/>
        <v>0.23506298297770917</v>
      </c>
      <c r="CE9" s="1">
        <f t="shared" ca="1" si="50"/>
        <v>0.81915504648717774</v>
      </c>
      <c r="CF9" s="1">
        <f t="shared" ca="1" si="50"/>
        <v>0.62612825625155855</v>
      </c>
      <c r="CH9" s="3">
        <f t="shared" ca="1" si="51"/>
        <v>0.56164006763886853</v>
      </c>
      <c r="CI9" s="3">
        <f t="shared" ca="1" si="52"/>
        <v>0.7439831225853305</v>
      </c>
      <c r="CJ9" s="3">
        <f t="shared" ca="1" si="53"/>
        <v>495</v>
      </c>
      <c r="CK9" s="3">
        <f t="shared" ca="1" si="54"/>
        <v>6.0163194422896537E-3</v>
      </c>
      <c r="CL9" s="3">
        <f t="shared" ca="1" si="55"/>
        <v>0</v>
      </c>
      <c r="CM9" s="3"/>
      <c r="CN9" s="1">
        <f t="shared" ca="1" si="56"/>
        <v>19.355911369134549</v>
      </c>
      <c r="CO9" s="1">
        <f t="shared" ca="1" si="57"/>
        <v>0.38680667978939282</v>
      </c>
      <c r="CP9" s="1">
        <f t="shared" ca="1" si="58"/>
        <v>4</v>
      </c>
      <c r="CV9" s="1">
        <f t="shared" ca="1" si="59"/>
        <v>7.1802118234324315</v>
      </c>
      <c r="CW9" s="1">
        <f t="shared" ca="1" si="60"/>
        <v>299</v>
      </c>
      <c r="CX9" s="1">
        <f t="shared" ca="1" si="61"/>
        <v>9.5450945934571884E-3</v>
      </c>
      <c r="DH9" s="1">
        <f t="shared" ca="1" si="62"/>
        <v>432</v>
      </c>
      <c r="DI9" s="1">
        <f t="shared" ca="1" si="63"/>
        <v>0.43785498903590286</v>
      </c>
      <c r="DJ9" s="1">
        <f t="shared" ca="1" si="64"/>
        <v>1</v>
      </c>
      <c r="DL9" s="1">
        <f t="shared" ca="1" si="65"/>
        <v>5.8254940131970433E-2</v>
      </c>
      <c r="DM9" s="1">
        <f t="shared" ca="1" si="66"/>
        <v>159</v>
      </c>
      <c r="DN9" s="1">
        <f t="shared" ca="1" si="67"/>
        <v>6</v>
      </c>
      <c r="DW9" s="1">
        <f t="shared" ca="1" si="71"/>
        <v>387</v>
      </c>
      <c r="DX9" s="1">
        <f t="shared" ca="1" si="72"/>
        <v>10</v>
      </c>
      <c r="DY9" s="1">
        <f t="shared" ca="1" si="73"/>
        <v>4</v>
      </c>
    </row>
    <row r="10" spans="2:134" x14ac:dyDescent="0.25">
      <c r="B10">
        <f t="shared" ca="1" si="0"/>
        <v>254</v>
      </c>
      <c r="C10">
        <f t="shared" ca="1" si="1"/>
        <v>20</v>
      </c>
      <c r="D10">
        <f t="shared" ca="1" si="2"/>
        <v>0.2921467271999354</v>
      </c>
      <c r="F10" s="1">
        <f t="shared" ca="1" si="3"/>
        <v>22</v>
      </c>
      <c r="G10" s="1">
        <f t="shared" ca="1" si="4"/>
        <v>13</v>
      </c>
      <c r="H10" s="1">
        <f t="shared" ca="1" si="5"/>
        <v>11</v>
      </c>
      <c r="I10" s="1"/>
      <c r="J10" s="1">
        <f t="shared" ca="1" si="6"/>
        <v>20</v>
      </c>
      <c r="K10" s="1">
        <f t="shared" ca="1" si="7"/>
        <v>2.1896626980181582</v>
      </c>
      <c r="L10" s="1">
        <f t="shared" ca="1" si="8"/>
        <v>29</v>
      </c>
      <c r="M10" s="1"/>
      <c r="N10" s="1">
        <f t="shared" ca="1" si="9"/>
        <v>502</v>
      </c>
      <c r="O10" s="1">
        <f t="shared" ca="1" si="10"/>
        <v>16</v>
      </c>
      <c r="P10" s="1"/>
      <c r="Q10" s="1">
        <f t="shared" ca="1" si="11"/>
        <v>6.7691256331758196E-2</v>
      </c>
      <c r="R10" s="1">
        <f t="shared" ca="1" si="12"/>
        <v>926</v>
      </c>
      <c r="S10" s="1"/>
      <c r="T10" s="1">
        <f t="shared" ca="1" si="13"/>
        <v>0.15815649161482095</v>
      </c>
      <c r="U10" s="1">
        <f t="shared" ca="1" si="14"/>
        <v>373</v>
      </c>
      <c r="V10" s="1">
        <f t="shared" ca="1" si="15"/>
        <v>48</v>
      </c>
      <c r="W10" s="1"/>
      <c r="X10" s="1">
        <f t="shared" ca="1" si="16"/>
        <v>7.683559642112189</v>
      </c>
      <c r="Y10" s="1">
        <f t="shared" ca="1" si="17"/>
        <v>0.75819037115364007</v>
      </c>
      <c r="Z10" s="1">
        <f t="shared" ca="1" si="18"/>
        <v>576</v>
      </c>
      <c r="AB10" s="1">
        <f t="shared" ca="1" si="19"/>
        <v>0.91978291311835336</v>
      </c>
      <c r="AC10" s="1">
        <f t="shared" ca="1" si="20"/>
        <v>557</v>
      </c>
      <c r="AD10" s="1">
        <f t="shared" ca="1" si="21"/>
        <v>5.2791135937230833E-4</v>
      </c>
      <c r="AE10" s="1"/>
      <c r="AF10" s="1">
        <f t="shared" ca="1" si="22"/>
        <v>0.26804239368517591</v>
      </c>
      <c r="AG10" s="1">
        <f t="shared" ca="1" si="23"/>
        <v>148</v>
      </c>
      <c r="AH10" s="1">
        <f t="shared" ca="1" si="24"/>
        <v>6.7063401114052399E-3</v>
      </c>
      <c r="AJ10" s="1">
        <f t="shared" ca="1" si="25"/>
        <v>0.11959977966293112</v>
      </c>
      <c r="AK10" s="1">
        <f t="shared" ca="1" si="26"/>
        <v>6.7766473203140585E-3</v>
      </c>
      <c r="AL10" s="1"/>
      <c r="AM10" s="1">
        <f t="shared" ca="1" si="27"/>
        <v>1.6719415865903038E-2</v>
      </c>
      <c r="AN10" s="1">
        <f t="shared" ca="1" si="28"/>
        <v>31</v>
      </c>
      <c r="AO10" s="1">
        <f t="shared" ca="1" si="29"/>
        <v>2</v>
      </c>
      <c r="AQ10" s="1">
        <f t="shared" ca="1" si="30"/>
        <v>75</v>
      </c>
      <c r="AR10" s="1">
        <f t="shared" ca="1" si="31"/>
        <v>3</v>
      </c>
      <c r="AS10" s="1">
        <f t="shared" ca="1" si="32"/>
        <v>10</v>
      </c>
      <c r="AU10" s="1">
        <f t="shared" ca="1" si="33"/>
        <v>91</v>
      </c>
      <c r="AV10" s="1">
        <f t="shared" ca="1" si="34"/>
        <v>6</v>
      </c>
      <c r="AW10" s="1">
        <f t="shared" ca="1" si="35"/>
        <v>9.7567996728537082E-2</v>
      </c>
      <c r="AY10" s="1">
        <f t="shared" ca="1" si="36"/>
        <v>1.9849180193422249</v>
      </c>
      <c r="AZ10" s="1">
        <f t="shared" ca="1" si="37"/>
        <v>496</v>
      </c>
      <c r="BA10" s="1">
        <f t="shared" ca="1" si="38"/>
        <v>8.3643756675405769E-3</v>
      </c>
      <c r="BG10" s="1">
        <f t="shared" ca="1" si="39"/>
        <v>0.54681232657723922</v>
      </c>
      <c r="BH10" s="1">
        <f t="shared" ca="1" si="40"/>
        <v>0.42009388172557827</v>
      </c>
      <c r="BI10" s="1">
        <f t="shared" ca="1" si="41"/>
        <v>180</v>
      </c>
      <c r="BV10" s="1">
        <f t="shared" ca="1" si="42"/>
        <v>0.35243310476225642</v>
      </c>
      <c r="BW10" s="1">
        <f t="shared" ca="1" si="43"/>
        <v>595</v>
      </c>
      <c r="BX10" s="1">
        <f t="shared" ca="1" si="44"/>
        <v>9.9178875891215469E-3</v>
      </c>
      <c r="BY10" s="1">
        <f t="shared" ca="1" si="45"/>
        <v>1.0305015493597344E-2</v>
      </c>
      <c r="BZ10" s="1">
        <f t="shared" ca="1" si="46"/>
        <v>9.2289155713021875E-2</v>
      </c>
      <c r="CB10" s="1">
        <f t="shared" ca="1" si="47"/>
        <v>189</v>
      </c>
      <c r="CC10" s="1">
        <f t="shared" ca="1" si="48"/>
        <v>13</v>
      </c>
      <c r="CD10" s="1">
        <f t="shared" ca="1" si="49"/>
        <v>0.23237068393315599</v>
      </c>
      <c r="CE10" s="1">
        <f t="shared" ca="1" si="50"/>
        <v>0.63031822009252148</v>
      </c>
      <c r="CF10" s="1">
        <f t="shared" ca="1" si="50"/>
        <v>0.71340550502458921</v>
      </c>
      <c r="CH10" s="3">
        <f t="shared" ca="1" si="51"/>
        <v>0.71100161856124444</v>
      </c>
      <c r="CI10" s="3">
        <f t="shared" ca="1" si="52"/>
        <v>0.79986588967106376</v>
      </c>
      <c r="CJ10" s="3">
        <f t="shared" ca="1" si="53"/>
        <v>1293</v>
      </c>
      <c r="CK10" s="3">
        <f t="shared" ca="1" si="54"/>
        <v>9.4046147622622259E-3</v>
      </c>
      <c r="CL10" s="3">
        <f t="shared" ca="1" si="55"/>
        <v>1</v>
      </c>
      <c r="CM10" s="3"/>
      <c r="CN10" s="1">
        <f t="shared" ca="1" si="56"/>
        <v>9.2247304097063374</v>
      </c>
      <c r="CO10" s="1">
        <f t="shared" ca="1" si="57"/>
        <v>0.48956939075360545</v>
      </c>
      <c r="CP10" s="1">
        <f t="shared" ca="1" si="58"/>
        <v>4</v>
      </c>
      <c r="CV10" s="1">
        <f t="shared" ca="1" si="59"/>
        <v>2.9122955190244961</v>
      </c>
      <c r="CW10" s="1">
        <f t="shared" ca="1" si="60"/>
        <v>629</v>
      </c>
      <c r="CX10" s="1">
        <f t="shared" ca="1" si="61"/>
        <v>5.4049511186122787E-3</v>
      </c>
      <c r="DH10" s="1">
        <f t="shared" ca="1" si="62"/>
        <v>738</v>
      </c>
      <c r="DI10" s="1">
        <f t="shared" ca="1" si="63"/>
        <v>0.19396660820493222</v>
      </c>
      <c r="DJ10" s="1">
        <f t="shared" ca="1" si="64"/>
        <v>27</v>
      </c>
      <c r="DL10" s="1">
        <f t="shared" ca="1" si="65"/>
        <v>4.7155199837640487E-2</v>
      </c>
      <c r="DM10" s="1">
        <f t="shared" ca="1" si="66"/>
        <v>263</v>
      </c>
      <c r="DN10" s="1">
        <f t="shared" ca="1" si="67"/>
        <v>3</v>
      </c>
      <c r="DW10" s="1">
        <f t="shared" ca="1" si="71"/>
        <v>299</v>
      </c>
      <c r="DX10" s="1">
        <f t="shared" ca="1" si="72"/>
        <v>12</v>
      </c>
      <c r="DY10" s="1">
        <f t="shared" ca="1" si="73"/>
        <v>3</v>
      </c>
    </row>
    <row r="11" spans="2:134" x14ac:dyDescent="0.25">
      <c r="B11">
        <f t="shared" ca="1" si="0"/>
        <v>966</v>
      </c>
      <c r="C11">
        <f t="shared" ca="1" si="1"/>
        <v>28</v>
      </c>
      <c r="D11">
        <f t="shared" ca="1" si="2"/>
        <v>0.23425549123970388</v>
      </c>
      <c r="F11" s="1">
        <f t="shared" ca="1" si="3"/>
        <v>18</v>
      </c>
      <c r="G11" s="1">
        <f t="shared" ca="1" si="4"/>
        <v>18</v>
      </c>
      <c r="H11" s="1">
        <f t="shared" ca="1" si="5"/>
        <v>11</v>
      </c>
      <c r="I11" s="1"/>
      <c r="J11" s="1">
        <f t="shared" ca="1" si="6"/>
        <v>17</v>
      </c>
      <c r="K11" s="1">
        <f t="shared" ca="1" si="7"/>
        <v>2.7908273149721916</v>
      </c>
      <c r="L11" s="1">
        <f t="shared" ca="1" si="8"/>
        <v>34</v>
      </c>
      <c r="M11" s="1"/>
      <c r="N11" s="1">
        <f t="shared" ca="1" si="9"/>
        <v>595</v>
      </c>
      <c r="O11" s="1">
        <f t="shared" ca="1" si="10"/>
        <v>20</v>
      </c>
      <c r="P11" s="1"/>
      <c r="Q11" s="1">
        <f t="shared" ca="1" si="11"/>
        <v>7.0567111165060065E-2</v>
      </c>
      <c r="R11" s="1">
        <f t="shared" ca="1" si="12"/>
        <v>1026</v>
      </c>
      <c r="S11" s="1"/>
      <c r="T11" s="1">
        <f t="shared" ca="1" si="13"/>
        <v>3.4711463831972884E-2</v>
      </c>
      <c r="U11" s="1">
        <f t="shared" ca="1" si="14"/>
        <v>169</v>
      </c>
      <c r="V11" s="1">
        <f t="shared" ca="1" si="15"/>
        <v>4</v>
      </c>
      <c r="W11" s="1"/>
      <c r="X11" s="1">
        <f t="shared" ca="1" si="16"/>
        <v>1.836450540764228</v>
      </c>
      <c r="Y11" s="1">
        <f t="shared" ca="1" si="17"/>
        <v>0.2666952286295734</v>
      </c>
      <c r="Z11" s="1">
        <f t="shared" ca="1" si="18"/>
        <v>1832</v>
      </c>
      <c r="AB11" s="1">
        <f t="shared" ca="1" si="19"/>
        <v>0.19308220946098142</v>
      </c>
      <c r="AC11" s="1">
        <f t="shared" ca="1" si="20"/>
        <v>204</v>
      </c>
      <c r="AD11" s="1">
        <f t="shared" ca="1" si="21"/>
        <v>7.3248008784272236E-3</v>
      </c>
      <c r="AE11" s="1"/>
      <c r="AF11" s="1">
        <f t="shared" ca="1" si="22"/>
        <v>0.10196459199128789</v>
      </c>
      <c r="AG11" s="1">
        <f t="shared" ca="1" si="23"/>
        <v>276</v>
      </c>
      <c r="AH11" s="1">
        <f t="shared" ca="1" si="24"/>
        <v>3.6459783336413813E-3</v>
      </c>
      <c r="AJ11" s="1">
        <f t="shared" ca="1" si="25"/>
        <v>0.62285788485547933</v>
      </c>
      <c r="AK11" s="1">
        <f t="shared" ca="1" si="26"/>
        <v>5.7055626350464971E-3</v>
      </c>
      <c r="AL11" s="1"/>
      <c r="AM11" s="1">
        <f t="shared" ca="1" si="27"/>
        <v>0.17305015500702056</v>
      </c>
      <c r="AN11" s="1">
        <f t="shared" ca="1" si="28"/>
        <v>69</v>
      </c>
      <c r="AO11" s="1">
        <f t="shared" ca="1" si="29"/>
        <v>7</v>
      </c>
      <c r="AQ11" s="1">
        <f t="shared" ca="1" si="30"/>
        <v>37</v>
      </c>
      <c r="AR11" s="1">
        <f t="shared" ca="1" si="31"/>
        <v>10</v>
      </c>
      <c r="AS11" s="1">
        <f t="shared" ca="1" si="32"/>
        <v>5</v>
      </c>
      <c r="AU11" s="1">
        <f t="shared" ca="1" si="33"/>
        <v>207</v>
      </c>
      <c r="AV11" s="1">
        <f t="shared" ca="1" si="34"/>
        <v>2</v>
      </c>
      <c r="AW11" s="1">
        <f t="shared" ca="1" si="35"/>
        <v>0.16647572843464953</v>
      </c>
      <c r="AY11" s="1">
        <f t="shared" ca="1" si="36"/>
        <v>1.5852158687163165</v>
      </c>
      <c r="AZ11" s="1">
        <f t="shared" ca="1" si="37"/>
        <v>376</v>
      </c>
      <c r="BA11" s="1">
        <f t="shared" ca="1" si="38"/>
        <v>4.406002484093406E-3</v>
      </c>
      <c r="BG11" s="1">
        <f t="shared" ca="1" si="39"/>
        <v>0.2560356496394729</v>
      </c>
      <c r="BH11" s="1">
        <f t="shared" ca="1" si="40"/>
        <v>0.34690128873126858</v>
      </c>
      <c r="BI11" s="1">
        <f t="shared" ca="1" si="41"/>
        <v>269</v>
      </c>
      <c r="BV11" s="1">
        <f t="shared" ca="1" si="42"/>
        <v>0.7915848405441086</v>
      </c>
      <c r="BW11" s="1">
        <f t="shared" ca="1" si="43"/>
        <v>980</v>
      </c>
      <c r="BX11" s="1">
        <f t="shared" ca="1" si="44"/>
        <v>9.6532944257944394E-3</v>
      </c>
      <c r="BY11" s="1">
        <f t="shared" ca="1" si="45"/>
        <v>7.043292252040935E-2</v>
      </c>
      <c r="BZ11" s="1">
        <f t="shared" ca="1" si="46"/>
        <v>0.93151688735382188</v>
      </c>
      <c r="CB11" s="1">
        <f t="shared" ca="1" si="47"/>
        <v>117</v>
      </c>
      <c r="CC11" s="1">
        <f t="shared" ca="1" si="48"/>
        <v>7</v>
      </c>
      <c r="CD11" s="1">
        <f t="shared" ca="1" si="49"/>
        <v>0.16329920117321725</v>
      </c>
      <c r="CE11" s="1">
        <f t="shared" ca="1" si="50"/>
        <v>0.5360824243146598</v>
      </c>
      <c r="CF11" s="1">
        <f t="shared" ca="1" si="50"/>
        <v>0.60703327890529968</v>
      </c>
      <c r="CH11" s="3">
        <f t="shared" ca="1" si="51"/>
        <v>0.9442397197249115</v>
      </c>
      <c r="CI11" s="3">
        <f t="shared" ca="1" si="52"/>
        <v>0.31341872491302658</v>
      </c>
      <c r="CJ11" s="3">
        <f t="shared" ca="1" si="53"/>
        <v>1065</v>
      </c>
      <c r="CK11" s="3">
        <f t="shared" ca="1" si="54"/>
        <v>1.6384781605613291E-3</v>
      </c>
      <c r="CL11" s="3">
        <f t="shared" ca="1" si="55"/>
        <v>1</v>
      </c>
      <c r="CM11" s="3"/>
      <c r="CN11" s="1">
        <f t="shared" ca="1" si="56"/>
        <v>17.289383851305864</v>
      </c>
      <c r="CO11" s="1">
        <f t="shared" ca="1" si="57"/>
        <v>0.26928450163385992</v>
      </c>
      <c r="CP11" s="1">
        <f t="shared" ca="1" si="58"/>
        <v>4</v>
      </c>
      <c r="CV11" s="1">
        <f t="shared" ca="1" si="59"/>
        <v>2.6833235966840103</v>
      </c>
      <c r="CW11" s="1">
        <f t="shared" ca="1" si="60"/>
        <v>1937</v>
      </c>
      <c r="CX11" s="1">
        <f t="shared" ca="1" si="61"/>
        <v>7.0376614381928307E-3</v>
      </c>
      <c r="DH11" s="1">
        <f t="shared" ca="1" si="62"/>
        <v>673</v>
      </c>
      <c r="DI11" s="1">
        <f t="shared" ca="1" si="63"/>
        <v>0.90659197884683485</v>
      </c>
      <c r="DJ11" s="1">
        <f t="shared" ca="1" si="64"/>
        <v>21</v>
      </c>
      <c r="DL11" s="1">
        <f t="shared" ca="1" si="65"/>
        <v>8.3144169336837839E-2</v>
      </c>
      <c r="DM11" s="1">
        <f t="shared" ca="1" si="66"/>
        <v>260</v>
      </c>
      <c r="DN11" s="1">
        <f t="shared" ca="1" si="67"/>
        <v>5</v>
      </c>
      <c r="DW11" s="1">
        <f t="shared" ca="1" si="71"/>
        <v>459</v>
      </c>
      <c r="DX11" s="1">
        <f t="shared" ca="1" si="72"/>
        <v>6</v>
      </c>
      <c r="DY11" s="1">
        <f t="shared" ca="1" si="73"/>
        <v>16</v>
      </c>
    </row>
    <row r="12" spans="2:134" x14ac:dyDescent="0.25">
      <c r="B12">
        <f t="shared" ca="1" si="0"/>
        <v>187</v>
      </c>
      <c r="C12">
        <f t="shared" ca="1" si="1"/>
        <v>33</v>
      </c>
      <c r="D12">
        <f t="shared" ca="1" si="2"/>
        <v>7.174748833940385E-2</v>
      </c>
      <c r="F12" s="1">
        <f t="shared" ca="1" si="3"/>
        <v>23</v>
      </c>
      <c r="G12" s="1">
        <f t="shared" ca="1" si="4"/>
        <v>10</v>
      </c>
      <c r="H12" s="1">
        <f t="shared" ca="1" si="5"/>
        <v>8</v>
      </c>
      <c r="I12" s="1"/>
      <c r="J12" s="1">
        <f t="shared" ca="1" si="6"/>
        <v>31</v>
      </c>
      <c r="K12" s="1">
        <f t="shared" ca="1" si="7"/>
        <v>1.6111658608513861</v>
      </c>
      <c r="L12" s="1">
        <f t="shared" ca="1" si="8"/>
        <v>10</v>
      </c>
      <c r="M12" s="1"/>
      <c r="N12" s="1">
        <f t="shared" ca="1" si="9"/>
        <v>446</v>
      </c>
      <c r="O12" s="1">
        <f t="shared" ca="1" si="10"/>
        <v>49</v>
      </c>
      <c r="P12" s="1"/>
      <c r="Q12" s="1">
        <f t="shared" ca="1" si="11"/>
        <v>3.4689081905695187</v>
      </c>
      <c r="R12" s="1">
        <f t="shared" ca="1" si="12"/>
        <v>442</v>
      </c>
      <c r="S12" s="1"/>
      <c r="T12" s="1">
        <f t="shared" ca="1" si="13"/>
        <v>0.17159563244401219</v>
      </c>
      <c r="U12" s="1">
        <f t="shared" ca="1" si="14"/>
        <v>111</v>
      </c>
      <c r="V12" s="1">
        <f t="shared" ca="1" si="15"/>
        <v>22</v>
      </c>
      <c r="W12" s="1"/>
      <c r="X12" s="1">
        <f t="shared" ca="1" si="16"/>
        <v>3.3427571841408201</v>
      </c>
      <c r="Y12" s="1">
        <f t="shared" ca="1" si="17"/>
        <v>0.97076191974454362</v>
      </c>
      <c r="Z12" s="1">
        <f t="shared" ca="1" si="18"/>
        <v>1937</v>
      </c>
      <c r="AB12" s="1">
        <f t="shared" ca="1" si="19"/>
        <v>0.41826609044530078</v>
      </c>
      <c r="AC12" s="1">
        <f t="shared" ca="1" si="20"/>
        <v>171</v>
      </c>
      <c r="AD12" s="1">
        <f t="shared" ca="1" si="21"/>
        <v>6.4839668751439962E-3</v>
      </c>
      <c r="AE12" s="1"/>
      <c r="AF12" s="1">
        <f t="shared" ca="1" si="22"/>
        <v>0.67442713176223956</v>
      </c>
      <c r="AG12" s="1">
        <f t="shared" ca="1" si="23"/>
        <v>254</v>
      </c>
      <c r="AH12" s="1">
        <f t="shared" ca="1" si="24"/>
        <v>6.9159488874941276E-3</v>
      </c>
      <c r="AJ12" s="1">
        <f t="shared" ca="1" si="25"/>
        <v>1.5155867254123878E-2</v>
      </c>
      <c r="AK12" s="1">
        <f t="shared" ca="1" si="26"/>
        <v>9.1035723288487441E-3</v>
      </c>
      <c r="AL12" s="1"/>
      <c r="AM12" s="1">
        <f t="shared" ca="1" si="27"/>
        <v>6.1460548938987456E-3</v>
      </c>
      <c r="AN12" s="1">
        <f t="shared" ca="1" si="28"/>
        <v>47</v>
      </c>
      <c r="AO12" s="1">
        <f t="shared" ca="1" si="29"/>
        <v>0</v>
      </c>
      <c r="AQ12" s="1">
        <f t="shared" ca="1" si="30"/>
        <v>80</v>
      </c>
      <c r="AR12" s="1">
        <f t="shared" ca="1" si="31"/>
        <v>4</v>
      </c>
      <c r="AS12" s="1">
        <f t="shared" ca="1" si="32"/>
        <v>6</v>
      </c>
      <c r="AU12" s="1">
        <f t="shared" ca="1" si="33"/>
        <v>81</v>
      </c>
      <c r="AV12" s="1">
        <f t="shared" ca="1" si="34"/>
        <v>4</v>
      </c>
      <c r="AW12" s="1">
        <f t="shared" ca="1" si="35"/>
        <v>9.9385661459004571E-2</v>
      </c>
      <c r="AY12" s="1">
        <f t="shared" ca="1" si="36"/>
        <v>1.7756881861556981</v>
      </c>
      <c r="AZ12" s="1">
        <f t="shared" ca="1" si="37"/>
        <v>444</v>
      </c>
      <c r="BA12" s="1">
        <f t="shared" ca="1" si="38"/>
        <v>9.6677191626488752E-3</v>
      </c>
      <c r="BG12" s="1">
        <f t="shared" ca="1" si="39"/>
        <v>0.11855113555255205</v>
      </c>
      <c r="BH12" s="1">
        <f t="shared" ca="1" si="40"/>
        <v>0.31789098849188191</v>
      </c>
      <c r="BI12" s="1">
        <f t="shared" ca="1" si="41"/>
        <v>407</v>
      </c>
      <c r="BV12" s="1">
        <f t="shared" ca="1" si="42"/>
        <v>0.61159230524641539</v>
      </c>
      <c r="BW12" s="1">
        <f t="shared" ca="1" si="43"/>
        <v>448</v>
      </c>
      <c r="BX12" s="1">
        <f t="shared" ca="1" si="44"/>
        <v>5.6162301828444694E-3</v>
      </c>
      <c r="BY12" s="1">
        <f t="shared" ca="1" si="45"/>
        <v>3.7438289079362265E-3</v>
      </c>
      <c r="BZ12" s="1">
        <f t="shared" ca="1" si="46"/>
        <v>1.0867723298558563E-2</v>
      </c>
      <c r="CB12" s="1">
        <f t="shared" ca="1" si="47"/>
        <v>208</v>
      </c>
      <c r="CC12" s="1">
        <f t="shared" ca="1" si="48"/>
        <v>5</v>
      </c>
      <c r="CD12" s="1">
        <f t="shared" ca="1" si="49"/>
        <v>7.9371712324926846E-2</v>
      </c>
      <c r="CE12" s="1">
        <f t="shared" ca="1" si="50"/>
        <v>0.77140124073317906</v>
      </c>
      <c r="CF12" s="1">
        <f t="shared" ca="1" si="50"/>
        <v>0.6201653954284253</v>
      </c>
      <c r="CH12" s="3">
        <f t="shared" ca="1" si="51"/>
        <v>0.4753886018853713</v>
      </c>
      <c r="CI12" s="3">
        <f t="shared" ca="1" si="52"/>
        <v>0.82194414426059714</v>
      </c>
      <c r="CJ12" s="3">
        <f t="shared" ca="1" si="53"/>
        <v>452</v>
      </c>
      <c r="CK12" s="3">
        <f t="shared" ca="1" si="54"/>
        <v>3.4256615695834876E-3</v>
      </c>
      <c r="CL12" s="3">
        <f t="shared" ca="1" si="55"/>
        <v>1</v>
      </c>
      <c r="CM12" s="3"/>
      <c r="CN12" s="1">
        <f t="shared" ca="1" si="56"/>
        <v>16.595859581389441</v>
      </c>
      <c r="CO12" s="1">
        <f t="shared" ca="1" si="57"/>
        <v>5.0350257027194902E-2</v>
      </c>
      <c r="CP12" s="1">
        <f t="shared" ca="1" si="58"/>
        <v>1</v>
      </c>
      <c r="CV12" s="1">
        <f t="shared" ca="1" si="59"/>
        <v>2.6496374213568377</v>
      </c>
      <c r="CW12" s="1">
        <f t="shared" ca="1" si="60"/>
        <v>626</v>
      </c>
      <c r="CX12" s="1">
        <f t="shared" ca="1" si="61"/>
        <v>1.3852888701516195E-5</v>
      </c>
      <c r="DH12" s="1">
        <f t="shared" ca="1" si="62"/>
        <v>183</v>
      </c>
      <c r="DI12" s="1">
        <f t="shared" ca="1" si="63"/>
        <v>0.72637923977524999</v>
      </c>
      <c r="DJ12" s="1">
        <f t="shared" ca="1" si="64"/>
        <v>17</v>
      </c>
      <c r="DL12" s="1">
        <f t="shared" ca="1" si="65"/>
        <v>0.17234976260627735</v>
      </c>
      <c r="DM12" s="1">
        <f t="shared" ca="1" si="66"/>
        <v>170</v>
      </c>
      <c r="DN12" s="1">
        <f t="shared" ca="1" si="67"/>
        <v>8</v>
      </c>
      <c r="DW12" s="1">
        <f t="shared" ca="1" si="71"/>
        <v>317</v>
      </c>
      <c r="DX12" s="1">
        <f t="shared" ca="1" si="72"/>
        <v>11</v>
      </c>
      <c r="DY12" s="1">
        <f t="shared" ca="1" si="73"/>
        <v>13</v>
      </c>
    </row>
    <row r="13" spans="2:134" x14ac:dyDescent="0.25">
      <c r="B13">
        <f t="shared" ca="1" si="0"/>
        <v>576</v>
      </c>
      <c r="C13">
        <f t="shared" ca="1" si="1"/>
        <v>18</v>
      </c>
      <c r="D13">
        <f t="shared" ca="1" si="2"/>
        <v>4.5982224630017679E-2</v>
      </c>
      <c r="F13" s="1">
        <f t="shared" ca="1" si="3"/>
        <v>12</v>
      </c>
      <c r="G13" s="1">
        <f t="shared" ca="1" si="4"/>
        <v>20</v>
      </c>
      <c r="H13" s="1">
        <f t="shared" ca="1" si="5"/>
        <v>9</v>
      </c>
      <c r="I13" s="1"/>
      <c r="J13" s="1">
        <f t="shared" ca="1" si="6"/>
        <v>33</v>
      </c>
      <c r="K13" s="1">
        <f t="shared" ca="1" si="7"/>
        <v>2.521916216924653</v>
      </c>
      <c r="L13" s="1">
        <f t="shared" ca="1" si="8"/>
        <v>19</v>
      </c>
      <c r="M13" s="1"/>
      <c r="N13" s="1">
        <f t="shared" ca="1" si="9"/>
        <v>50</v>
      </c>
      <c r="O13" s="1">
        <f t="shared" ca="1" si="10"/>
        <v>44</v>
      </c>
      <c r="P13" s="1" t="s">
        <v>69</v>
      </c>
      <c r="Q13" s="1">
        <f t="shared" ca="1" si="11"/>
        <v>2.2508635324081543</v>
      </c>
      <c r="R13" s="1">
        <f t="shared" ca="1" si="12"/>
        <v>332</v>
      </c>
      <c r="S13" s="1"/>
      <c r="T13" s="1">
        <f t="shared" ca="1" si="13"/>
        <v>0.1599251094682945</v>
      </c>
      <c r="U13" s="1">
        <f t="shared" ca="1" si="14"/>
        <v>84</v>
      </c>
      <c r="V13" s="1">
        <f t="shared" ca="1" si="15"/>
        <v>46</v>
      </c>
      <c r="W13" s="1"/>
      <c r="X13" s="1">
        <f t="shared" ca="1" si="16"/>
        <v>0.51009383651951579</v>
      </c>
      <c r="Y13" s="1">
        <f t="shared" ca="1" si="17"/>
        <v>0.58332611681434299</v>
      </c>
      <c r="Z13" s="1">
        <f t="shared" ca="1" si="18"/>
        <v>154</v>
      </c>
      <c r="AB13" s="1">
        <f t="shared" ca="1" si="19"/>
        <v>0.86872237788575102</v>
      </c>
      <c r="AC13" s="1">
        <f t="shared" ca="1" si="20"/>
        <v>771</v>
      </c>
      <c r="AD13" s="1">
        <f t="shared" ca="1" si="21"/>
        <v>2.1900643915260572E-4</v>
      </c>
      <c r="AE13" s="1"/>
      <c r="AF13" s="1">
        <f t="shared" ca="1" si="22"/>
        <v>0.44219376866077564</v>
      </c>
      <c r="AG13" s="1">
        <f t="shared" ca="1" si="23"/>
        <v>109</v>
      </c>
      <c r="AH13" s="1">
        <f t="shared" ca="1" si="24"/>
        <v>1.057155691235572E-3</v>
      </c>
      <c r="AJ13" s="1">
        <f t="shared" ca="1" si="25"/>
        <v>0.8042959935217262</v>
      </c>
      <c r="AK13" s="1">
        <f t="shared" ca="1" si="26"/>
        <v>6.3562484705941983E-3</v>
      </c>
      <c r="AL13" s="1"/>
      <c r="AM13" s="1">
        <f t="shared" ca="1" si="27"/>
        <v>0.11619116489130228</v>
      </c>
      <c r="AN13" s="1">
        <f t="shared" ca="1" si="28"/>
        <v>55</v>
      </c>
      <c r="AO13" s="1">
        <f t="shared" ca="1" si="29"/>
        <v>9</v>
      </c>
      <c r="AQ13" s="1">
        <f t="shared" ca="1" si="30"/>
        <v>59</v>
      </c>
      <c r="AR13" s="1">
        <f t="shared" ca="1" si="31"/>
        <v>1</v>
      </c>
      <c r="AS13" s="1">
        <f t="shared" ca="1" si="32"/>
        <v>11</v>
      </c>
      <c r="AU13" s="1">
        <f t="shared" ca="1" si="33"/>
        <v>74</v>
      </c>
      <c r="AV13" s="1">
        <f t="shared" ca="1" si="34"/>
        <v>7</v>
      </c>
      <c r="AW13" s="1">
        <f t="shared" ca="1" si="35"/>
        <v>8.722632414472177E-2</v>
      </c>
      <c r="AY13" s="1">
        <f t="shared" ca="1" si="36"/>
        <v>1.4671787492013015</v>
      </c>
      <c r="AZ13" s="1">
        <f t="shared" ca="1" si="37"/>
        <v>240</v>
      </c>
      <c r="BA13" s="1">
        <f t="shared" ca="1" si="38"/>
        <v>1.0428336988601674E-3</v>
      </c>
      <c r="BG13" s="1">
        <f t="shared" ca="1" si="39"/>
        <v>0.16348952539602302</v>
      </c>
      <c r="BH13" s="1">
        <f t="shared" ca="1" si="40"/>
        <v>0.34350062372888024</v>
      </c>
      <c r="BI13" s="1">
        <f t="shared" ca="1" si="41"/>
        <v>380</v>
      </c>
      <c r="BV13" s="1">
        <f t="shared" ca="1" si="42"/>
        <v>0.92008149361612435</v>
      </c>
      <c r="BW13" s="1">
        <f t="shared" ca="1" si="43"/>
        <v>539</v>
      </c>
      <c r="BX13" s="1">
        <f t="shared" ca="1" si="44"/>
        <v>2.0522644736979613E-3</v>
      </c>
      <c r="BY13" s="1">
        <f t="shared" ca="1" si="45"/>
        <v>6.8926868124175977E-2</v>
      </c>
      <c r="BZ13" s="1">
        <f t="shared" ca="1" si="46"/>
        <v>0.82791208425474461</v>
      </c>
      <c r="CB13" s="1">
        <f t="shared" ca="1" si="47"/>
        <v>243</v>
      </c>
      <c r="CC13" s="1">
        <f t="shared" ca="1" si="48"/>
        <v>15</v>
      </c>
      <c r="CD13" s="1">
        <f t="shared" ca="1" si="49"/>
        <v>2.844950253132443E-2</v>
      </c>
      <c r="CE13" s="1">
        <f t="shared" ca="1" si="50"/>
        <v>0.55920328542815878</v>
      </c>
      <c r="CF13" s="1">
        <f t="shared" ca="1" si="50"/>
        <v>0.92424820009871489</v>
      </c>
      <c r="CH13" s="3">
        <f t="shared" ca="1" si="51"/>
        <v>0.72017638750533419</v>
      </c>
      <c r="CI13" s="3">
        <f t="shared" ca="1" si="52"/>
        <v>0.57344254704237285</v>
      </c>
      <c r="CJ13" s="3">
        <f t="shared" ca="1" si="53"/>
        <v>1454</v>
      </c>
      <c r="CK13" s="3">
        <f t="shared" ca="1" si="54"/>
        <v>8.5759870044756284E-3</v>
      </c>
      <c r="CL13" s="3">
        <f t="shared" ca="1" si="55"/>
        <v>0</v>
      </c>
      <c r="CM13" s="3"/>
      <c r="CN13" s="1">
        <f t="shared" ca="1" si="56"/>
        <v>11.238852854946957</v>
      </c>
      <c r="CO13" s="1">
        <f t="shared" ca="1" si="57"/>
        <v>0.13209376508453582</v>
      </c>
      <c r="CP13" s="1">
        <f t="shared" ca="1" si="58"/>
        <v>5</v>
      </c>
      <c r="CV13" s="1">
        <f t="shared" ca="1" si="59"/>
        <v>6.7102443080374439</v>
      </c>
      <c r="CW13" s="1">
        <f t="shared" ca="1" si="60"/>
        <v>1867</v>
      </c>
      <c r="CX13" s="1">
        <f t="shared" ca="1" si="61"/>
        <v>6.2232993070591115E-3</v>
      </c>
      <c r="DH13" s="1">
        <f t="shared" ca="1" si="62"/>
        <v>795</v>
      </c>
      <c r="DI13" s="1">
        <f t="shared" ca="1" si="63"/>
        <v>0.57912095255974583</v>
      </c>
      <c r="DJ13" s="1">
        <f t="shared" ca="1" si="64"/>
        <v>4</v>
      </c>
      <c r="DL13" s="1">
        <f t="shared" ca="1" si="65"/>
        <v>2.5648246785158708E-2</v>
      </c>
      <c r="DM13" s="1">
        <f t="shared" ca="1" si="66"/>
        <v>157</v>
      </c>
      <c r="DN13" s="1">
        <f t="shared" ca="1" si="67"/>
        <v>7</v>
      </c>
      <c r="DW13" s="1">
        <f t="shared" ca="1" si="71"/>
        <v>125</v>
      </c>
      <c r="DX13" s="1">
        <f t="shared" ca="1" si="72"/>
        <v>8</v>
      </c>
      <c r="DY13" s="1">
        <f t="shared" ca="1" si="73"/>
        <v>5</v>
      </c>
    </row>
    <row r="14" spans="2:134" x14ac:dyDescent="0.25">
      <c r="B14">
        <f t="shared" ca="1" si="0"/>
        <v>918</v>
      </c>
      <c r="C14">
        <f t="shared" ca="1" si="1"/>
        <v>21</v>
      </c>
      <c r="D14">
        <f t="shared" ca="1" si="2"/>
        <v>0.13413490416644477</v>
      </c>
      <c r="F14" s="1">
        <f t="shared" ca="1" si="3"/>
        <v>38</v>
      </c>
      <c r="G14" s="1">
        <f t="shared" ca="1" si="4"/>
        <v>18</v>
      </c>
      <c r="H14" s="1">
        <f t="shared" ca="1" si="5"/>
        <v>9</v>
      </c>
      <c r="I14" s="1"/>
      <c r="J14" s="1">
        <f t="shared" ca="1" si="6"/>
        <v>20</v>
      </c>
      <c r="K14" s="1">
        <f t="shared" ca="1" si="7"/>
        <v>1.9819985272101601</v>
      </c>
      <c r="L14" s="1">
        <f t="shared" ca="1" si="8"/>
        <v>4</v>
      </c>
      <c r="M14" s="1"/>
      <c r="N14" s="1">
        <f t="shared" ca="1" si="9"/>
        <v>85</v>
      </c>
      <c r="O14" s="1">
        <f t="shared" ca="1" si="10"/>
        <v>52</v>
      </c>
      <c r="P14" s="1"/>
      <c r="Q14" s="1">
        <f t="shared" ca="1" si="11"/>
        <v>4.9741056011054381</v>
      </c>
      <c r="R14" s="1">
        <f t="shared" ca="1" si="12"/>
        <v>526</v>
      </c>
      <c r="S14" s="1"/>
      <c r="T14" s="1">
        <f t="shared" ca="1" si="13"/>
        <v>0.11403040824730504</v>
      </c>
      <c r="U14" s="1">
        <f t="shared" ca="1" si="14"/>
        <v>141</v>
      </c>
      <c r="V14" s="1">
        <f t="shared" ca="1" si="15"/>
        <v>19</v>
      </c>
      <c r="W14" s="1"/>
      <c r="X14" s="1">
        <f t="shared" ca="1" si="16"/>
        <v>3.3491939032647595</v>
      </c>
      <c r="Y14" s="1">
        <f t="shared" ca="1" si="17"/>
        <v>0.46791446036947898</v>
      </c>
      <c r="Z14" s="1">
        <f t="shared" ca="1" si="18"/>
        <v>199</v>
      </c>
      <c r="AB14" s="1">
        <f t="shared" ca="1" si="19"/>
        <v>0.55138031490955897</v>
      </c>
      <c r="AC14" s="1">
        <f t="shared" ca="1" si="20"/>
        <v>328</v>
      </c>
      <c r="AD14" s="1">
        <f t="shared" ca="1" si="21"/>
        <v>8.6528456940543914E-3</v>
      </c>
      <c r="AE14" s="1"/>
      <c r="AF14" s="1">
        <f t="shared" ca="1" si="22"/>
        <v>0.37089094577295245</v>
      </c>
      <c r="AG14" s="1">
        <f t="shared" ca="1" si="23"/>
        <v>194</v>
      </c>
      <c r="AH14" s="1">
        <f t="shared" ca="1" si="24"/>
        <v>4.6778745856630357E-3</v>
      </c>
      <c r="AJ14" s="1">
        <f t="shared" ca="1" si="25"/>
        <v>0.13934020739576425</v>
      </c>
      <c r="AK14" s="1">
        <f t="shared" ca="1" si="26"/>
        <v>6.4050052461248471E-3</v>
      </c>
      <c r="AL14" s="1"/>
      <c r="AM14" s="1">
        <f t="shared" ca="1" si="27"/>
        <v>0.1181610410429378</v>
      </c>
      <c r="AN14" s="1">
        <f t="shared" ca="1" si="28"/>
        <v>53</v>
      </c>
      <c r="AO14" s="1">
        <f t="shared" ca="1" si="29"/>
        <v>11</v>
      </c>
      <c r="AQ14" s="1">
        <f t="shared" ca="1" si="30"/>
        <v>172</v>
      </c>
      <c r="AR14" s="1">
        <f t="shared" ca="1" si="31"/>
        <v>1</v>
      </c>
      <c r="AS14" s="1">
        <f t="shared" ca="1" si="32"/>
        <v>57</v>
      </c>
      <c r="AU14" s="1">
        <f t="shared" ca="1" si="33"/>
        <v>133</v>
      </c>
      <c r="AV14" s="1">
        <f t="shared" ca="1" si="34"/>
        <v>2</v>
      </c>
      <c r="AW14" s="1">
        <f t="shared" ca="1" si="35"/>
        <v>9.8660357858883357E-2</v>
      </c>
      <c r="AY14" s="1">
        <f t="shared" ca="1" si="36"/>
        <v>1.1673433803256976</v>
      </c>
      <c r="AZ14" s="1">
        <f t="shared" ca="1" si="37"/>
        <v>72</v>
      </c>
      <c r="BA14" s="1">
        <f t="shared" ca="1" si="38"/>
        <v>1.3635804644412885E-3</v>
      </c>
      <c r="BG14" s="1">
        <f t="shared" ca="1" si="39"/>
        <v>0.77965896646401012</v>
      </c>
      <c r="BH14" s="1">
        <f t="shared" ca="1" si="40"/>
        <v>0.21230925936020084</v>
      </c>
      <c r="BI14" s="1">
        <f t="shared" ca="1" si="41"/>
        <v>321</v>
      </c>
      <c r="BV14" s="1">
        <f t="shared" ca="1" si="42"/>
        <v>0.15519594074378046</v>
      </c>
      <c r="BW14" s="1">
        <f t="shared" ca="1" si="43"/>
        <v>231</v>
      </c>
      <c r="BX14" s="1">
        <f t="shared" ca="1" si="44"/>
        <v>1.8895816316852249E-3</v>
      </c>
      <c r="BY14" s="1">
        <f t="shared" ca="1" si="45"/>
        <v>3.3326359656653329E-2</v>
      </c>
      <c r="BZ14" s="1">
        <f t="shared" ca="1" si="46"/>
        <v>0.18641612783539452</v>
      </c>
      <c r="CB14" s="1">
        <f t="shared" ca="1" si="47"/>
        <v>163</v>
      </c>
      <c r="CC14" s="1">
        <f t="shared" ca="1" si="48"/>
        <v>7</v>
      </c>
      <c r="CD14" s="1">
        <f t="shared" ca="1" si="49"/>
        <v>0.14478769127147734</v>
      </c>
      <c r="CE14" s="1">
        <f t="shared" ca="1" si="50"/>
        <v>0.76960618713368822</v>
      </c>
      <c r="CF14" s="1">
        <f t="shared" ca="1" si="50"/>
        <v>0.66496715888917701</v>
      </c>
      <c r="CH14" s="3">
        <f t="shared" ca="1" si="51"/>
        <v>0.8740630365962998</v>
      </c>
      <c r="CI14" s="3">
        <f t="shared" ca="1" si="52"/>
        <v>0.72109500066405285</v>
      </c>
      <c r="CJ14" s="3">
        <f t="shared" ca="1" si="53"/>
        <v>461</v>
      </c>
      <c r="CK14" s="3">
        <f t="shared" ca="1" si="54"/>
        <v>7.9662309780795964E-4</v>
      </c>
      <c r="CL14" s="3">
        <f t="shared" ca="1" si="55"/>
        <v>1</v>
      </c>
      <c r="CM14" s="3"/>
      <c r="CN14" s="1">
        <f t="shared" ca="1" si="56"/>
        <v>1.4940244864677619</v>
      </c>
      <c r="CO14" s="1">
        <f t="shared" ca="1" si="57"/>
        <v>0.32625792171496598</v>
      </c>
      <c r="CP14" s="1">
        <f t="shared" ca="1" si="58"/>
        <v>4</v>
      </c>
      <c r="CV14" s="1">
        <f t="shared" ca="1" si="59"/>
        <v>6.8802587697596351</v>
      </c>
      <c r="CW14" s="1">
        <f t="shared" ca="1" si="60"/>
        <v>1407</v>
      </c>
      <c r="CX14" s="1">
        <f t="shared" ca="1" si="61"/>
        <v>6.237110492709824E-3</v>
      </c>
      <c r="DH14" s="1">
        <f t="shared" ca="1" si="62"/>
        <v>678</v>
      </c>
      <c r="DI14" s="1">
        <f t="shared" ca="1" si="63"/>
        <v>0.8564629257929407</v>
      </c>
      <c r="DJ14" s="1">
        <f t="shared" ca="1" si="64"/>
        <v>10</v>
      </c>
      <c r="DL14" s="1">
        <f t="shared" ca="1" si="65"/>
        <v>0.11615280807406181</v>
      </c>
      <c r="DM14" s="1">
        <f t="shared" ca="1" si="66"/>
        <v>83</v>
      </c>
      <c r="DN14" s="1">
        <f t="shared" ca="1" si="67"/>
        <v>5</v>
      </c>
      <c r="DW14" s="1">
        <f t="shared" ca="1" si="71"/>
        <v>153</v>
      </c>
      <c r="DX14" s="1">
        <f t="shared" ca="1" si="72"/>
        <v>16</v>
      </c>
      <c r="DY14" s="1">
        <f t="shared" ca="1" si="73"/>
        <v>9</v>
      </c>
    </row>
    <row r="15" spans="2:134" x14ac:dyDescent="0.25">
      <c r="B15">
        <f t="shared" ca="1" si="0"/>
        <v>61</v>
      </c>
      <c r="C15">
        <f t="shared" ca="1" si="1"/>
        <v>15</v>
      </c>
      <c r="D15">
        <f t="shared" ca="1" si="2"/>
        <v>7.7447051860296545E-2</v>
      </c>
      <c r="F15" s="1">
        <f t="shared" ca="1" si="3"/>
        <v>26</v>
      </c>
      <c r="G15" s="1">
        <f t="shared" ca="1" si="4"/>
        <v>10</v>
      </c>
      <c r="H15" s="1">
        <f t="shared" ca="1" si="5"/>
        <v>4</v>
      </c>
      <c r="I15" s="1"/>
      <c r="J15" s="1">
        <f t="shared" ca="1" si="6"/>
        <v>5</v>
      </c>
      <c r="K15" s="1">
        <f t="shared" ca="1" si="7"/>
        <v>1.9950622284123321</v>
      </c>
      <c r="L15" s="1">
        <f t="shared" ca="1" si="8"/>
        <v>12</v>
      </c>
      <c r="M15" s="1"/>
      <c r="N15" s="1">
        <f t="shared" ca="1" si="9"/>
        <v>107</v>
      </c>
      <c r="O15" s="1">
        <f t="shared" ca="1" si="10"/>
        <v>5</v>
      </c>
      <c r="P15" s="1"/>
      <c r="Q15" s="1">
        <f t="shared" ca="1" si="11"/>
        <v>1.4953219484113904</v>
      </c>
      <c r="R15" s="1">
        <f t="shared" ca="1" si="12"/>
        <v>990</v>
      </c>
      <c r="S15" s="1"/>
      <c r="T15" s="1">
        <f t="shared" ca="1" si="13"/>
        <v>0.14101068186537821</v>
      </c>
      <c r="U15" s="1">
        <f t="shared" ca="1" si="14"/>
        <v>167</v>
      </c>
      <c r="V15" s="1">
        <f t="shared" ca="1" si="15"/>
        <v>29</v>
      </c>
      <c r="W15" s="1"/>
      <c r="X15" s="1">
        <f t="shared" ca="1" si="16"/>
        <v>6.2478558524655918</v>
      </c>
      <c r="Y15" s="1">
        <f t="shared" ca="1" si="17"/>
        <v>0.73420519942781126</v>
      </c>
      <c r="Z15" s="1">
        <f t="shared" ca="1" si="18"/>
        <v>1239</v>
      </c>
      <c r="AB15" s="1">
        <f t="shared" ca="1" si="19"/>
        <v>0.33550921675983181</v>
      </c>
      <c r="AC15" s="1">
        <f t="shared" ca="1" si="20"/>
        <v>214</v>
      </c>
      <c r="AD15" s="1">
        <f t="shared" ca="1" si="21"/>
        <v>3.0657294441227827E-4</v>
      </c>
      <c r="AE15" s="1"/>
      <c r="AF15" s="1">
        <f t="shared" ca="1" si="22"/>
        <v>0.66969312809117931</v>
      </c>
      <c r="AG15" s="1">
        <f t="shared" ca="1" si="23"/>
        <v>604</v>
      </c>
      <c r="AH15" s="1">
        <f t="shared" ca="1" si="24"/>
        <v>9.526884289327251E-4</v>
      </c>
      <c r="AJ15" s="1">
        <f t="shared" ca="1" si="25"/>
        <v>0.33375354316544847</v>
      </c>
      <c r="AK15" s="1">
        <f t="shared" ca="1" si="26"/>
        <v>4.1291692739691861E-3</v>
      </c>
      <c r="AL15" s="1"/>
      <c r="AM15" s="1">
        <f t="shared" ca="1" si="27"/>
        <v>0.14297191886642177</v>
      </c>
      <c r="AN15" s="1">
        <f t="shared" ca="1" si="28"/>
        <v>65</v>
      </c>
      <c r="AO15" s="1">
        <f t="shared" ca="1" si="29"/>
        <v>15</v>
      </c>
      <c r="AQ15" s="1">
        <f t="shared" ca="1" si="30"/>
        <v>145</v>
      </c>
      <c r="AR15" s="1">
        <f t="shared" ca="1" si="31"/>
        <v>2</v>
      </c>
      <c r="AS15" s="1">
        <f t="shared" ca="1" si="32"/>
        <v>48</v>
      </c>
      <c r="AU15" s="1">
        <f t="shared" ca="1" si="33"/>
        <v>208</v>
      </c>
      <c r="AV15" s="1">
        <f t="shared" ca="1" si="34"/>
        <v>8</v>
      </c>
      <c r="AW15" s="1">
        <f t="shared" ca="1" si="35"/>
        <v>0.17492611887302323</v>
      </c>
      <c r="AY15" s="1">
        <f t="shared" ca="1" si="36"/>
        <v>1.1051962217571569</v>
      </c>
      <c r="AZ15" s="1">
        <f t="shared" ca="1" si="37"/>
        <v>459</v>
      </c>
      <c r="BA15" s="1">
        <f t="shared" ca="1" si="38"/>
        <v>4.5802500048515654E-4</v>
      </c>
      <c r="BG15" s="1">
        <f t="shared" ca="1" si="39"/>
        <v>0.21254262292427206</v>
      </c>
      <c r="BH15" s="1">
        <f t="shared" ca="1" si="40"/>
        <v>0.87095640516110651</v>
      </c>
      <c r="BI15" s="1">
        <f t="shared" ca="1" si="41"/>
        <v>884</v>
      </c>
      <c r="BV15" s="1">
        <f t="shared" ca="1" si="42"/>
        <v>0.80574552526077103</v>
      </c>
      <c r="BW15" s="1">
        <f t="shared" ca="1" si="43"/>
        <v>429</v>
      </c>
      <c r="BX15" s="1">
        <f t="shared" ca="1" si="44"/>
        <v>6.6722393954484456E-3</v>
      </c>
      <c r="BY15" s="1">
        <f t="shared" ca="1" si="45"/>
        <v>5.6289393753263445E-2</v>
      </c>
      <c r="BZ15" s="1">
        <f t="shared" ca="1" si="46"/>
        <v>0.60635954690432259</v>
      </c>
      <c r="CB15" s="1">
        <f t="shared" ca="1" si="47"/>
        <v>90</v>
      </c>
      <c r="CC15" s="1">
        <f t="shared" ca="1" si="48"/>
        <v>13</v>
      </c>
      <c r="CD15" s="1">
        <f t="shared" ca="1" si="49"/>
        <v>0.27497065080961086</v>
      </c>
      <c r="CE15" s="1">
        <f t="shared" ca="1" si="50"/>
        <v>0.63500942559293749</v>
      </c>
      <c r="CF15" s="1">
        <f t="shared" ca="1" si="50"/>
        <v>0.83701985755599728</v>
      </c>
      <c r="CH15" s="3">
        <f t="shared" ca="1" si="51"/>
        <v>0.25548497912279755</v>
      </c>
      <c r="CI15" s="3">
        <f t="shared" ca="1" si="52"/>
        <v>0.81093404705614591</v>
      </c>
      <c r="CJ15" s="3">
        <f t="shared" ca="1" si="53"/>
        <v>1182</v>
      </c>
      <c r="CK15" s="3">
        <f t="shared" ca="1" si="54"/>
        <v>1.9868927677471294E-3</v>
      </c>
      <c r="CL15" s="3">
        <f t="shared" ca="1" si="55"/>
        <v>0</v>
      </c>
      <c r="CM15" s="3"/>
      <c r="CN15" s="1">
        <f t="shared" ca="1" si="56"/>
        <v>13.186634433030367</v>
      </c>
      <c r="CO15" s="1">
        <f t="shared" ca="1" si="57"/>
        <v>0.25940505986367818</v>
      </c>
      <c r="CP15" s="1">
        <f t="shared" ca="1" si="58"/>
        <v>3</v>
      </c>
      <c r="CV15" s="1">
        <f t="shared" ca="1" si="59"/>
        <v>8.3224478449077299</v>
      </c>
      <c r="CW15" s="1">
        <f t="shared" ca="1" si="60"/>
        <v>1822</v>
      </c>
      <c r="CX15" s="1">
        <f t="shared" ca="1" si="61"/>
        <v>4.4487057201506577E-3</v>
      </c>
      <c r="DH15" s="1">
        <f t="shared" ca="1" si="62"/>
        <v>694</v>
      </c>
      <c r="DI15" s="1">
        <f t="shared" ca="1" si="63"/>
        <v>0.64758935708544652</v>
      </c>
      <c r="DJ15" s="1">
        <f t="shared" ca="1" si="64"/>
        <v>21</v>
      </c>
      <c r="DL15" s="1">
        <f t="shared" ca="1" si="65"/>
        <v>8.5763950242886605E-2</v>
      </c>
      <c r="DM15" s="1">
        <f t="shared" ca="1" si="66"/>
        <v>73</v>
      </c>
      <c r="DN15" s="1">
        <f t="shared" ca="1" si="67"/>
        <v>6</v>
      </c>
      <c r="DW15" s="1">
        <f t="shared" ca="1" si="71"/>
        <v>224</v>
      </c>
      <c r="DX15" s="1">
        <f t="shared" ca="1" si="72"/>
        <v>15</v>
      </c>
      <c r="DY15" s="1">
        <f t="shared" ca="1" si="73"/>
        <v>16</v>
      </c>
    </row>
    <row r="16" spans="2:134" x14ac:dyDescent="0.25">
      <c r="B16">
        <f t="shared" ca="1" si="0"/>
        <v>375</v>
      </c>
      <c r="C16">
        <f t="shared" ca="1" si="1"/>
        <v>11</v>
      </c>
      <c r="D16">
        <f t="shared" ca="1" si="2"/>
        <v>7.6857435539197952E-2</v>
      </c>
      <c r="F16" s="1">
        <f t="shared" ca="1" si="3"/>
        <v>20</v>
      </c>
      <c r="G16" s="1">
        <f t="shared" ca="1" si="4"/>
        <v>2</v>
      </c>
      <c r="H16" s="1">
        <f t="shared" ca="1" si="5"/>
        <v>1</v>
      </c>
      <c r="I16" s="1"/>
      <c r="J16" s="1">
        <f t="shared" ca="1" si="6"/>
        <v>11</v>
      </c>
      <c r="K16" s="1">
        <f t="shared" ca="1" si="7"/>
        <v>2.7405591436648038</v>
      </c>
      <c r="L16" s="1">
        <f t="shared" ca="1" si="8"/>
        <v>30</v>
      </c>
      <c r="M16" s="1"/>
      <c r="N16" s="1">
        <f t="shared" ca="1" si="9"/>
        <v>465</v>
      </c>
      <c r="O16" s="1">
        <f t="shared" ca="1" si="10"/>
        <v>5</v>
      </c>
      <c r="P16" s="1"/>
      <c r="Q16" s="1">
        <f t="shared" ca="1" si="11"/>
        <v>2.6074441322038844</v>
      </c>
      <c r="R16" s="1">
        <f t="shared" ca="1" si="12"/>
        <v>316</v>
      </c>
      <c r="S16" s="1"/>
      <c r="T16" s="1">
        <f t="shared" ca="1" si="13"/>
        <v>9.0214157136491724E-2</v>
      </c>
      <c r="U16" s="1">
        <f t="shared" ca="1" si="14"/>
        <v>376</v>
      </c>
      <c r="V16" s="1">
        <f t="shared" ca="1" si="15"/>
        <v>44</v>
      </c>
      <c r="W16" s="1"/>
      <c r="X16" s="1">
        <f t="shared" ca="1" si="16"/>
        <v>4.6918882818495993</v>
      </c>
      <c r="Y16" s="1">
        <f t="shared" ca="1" si="17"/>
        <v>0.69208226210401391</v>
      </c>
      <c r="Z16" s="1">
        <f t="shared" ca="1" si="18"/>
        <v>1653</v>
      </c>
      <c r="AB16" s="1">
        <f t="shared" ca="1" si="19"/>
        <v>0.95746780949648047</v>
      </c>
      <c r="AC16" s="1">
        <f t="shared" ca="1" si="20"/>
        <v>375</v>
      </c>
      <c r="AD16" s="1">
        <f t="shared" ca="1" si="21"/>
        <v>6.1564493725489019E-3</v>
      </c>
      <c r="AE16" s="1"/>
      <c r="AF16" s="1">
        <f t="shared" ca="1" si="22"/>
        <v>0.88814636680515702</v>
      </c>
      <c r="AG16" s="1">
        <f t="shared" ca="1" si="23"/>
        <v>618</v>
      </c>
      <c r="AH16" s="1">
        <f t="shared" ca="1" si="24"/>
        <v>6.4978447669656473E-3</v>
      </c>
      <c r="AJ16" s="1">
        <f t="shared" ca="1" si="25"/>
        <v>0.28237967973193234</v>
      </c>
      <c r="AK16" s="1">
        <f t="shared" ca="1" si="26"/>
        <v>4.1071267652163243E-3</v>
      </c>
      <c r="AL16" s="1"/>
      <c r="AM16" s="1">
        <f t="shared" ca="1" si="27"/>
        <v>8.8838795614948937E-2</v>
      </c>
      <c r="AN16" s="1">
        <f t="shared" ca="1" si="28"/>
        <v>21</v>
      </c>
      <c r="AO16" s="1">
        <f t="shared" ca="1" si="29"/>
        <v>18</v>
      </c>
      <c r="AQ16" s="1">
        <f t="shared" ca="1" si="30"/>
        <v>30</v>
      </c>
      <c r="AR16" s="1">
        <f t="shared" ca="1" si="31"/>
        <v>0</v>
      </c>
      <c r="AS16" s="1">
        <f t="shared" ca="1" si="32"/>
        <v>56</v>
      </c>
      <c r="AU16" s="1">
        <f t="shared" ca="1" si="33"/>
        <v>305</v>
      </c>
      <c r="AV16" s="1">
        <f t="shared" ca="1" si="34"/>
        <v>9</v>
      </c>
      <c r="AW16" s="1">
        <f t="shared" ca="1" si="35"/>
        <v>0.15619660752832409</v>
      </c>
      <c r="AY16" s="1">
        <f t="shared" ca="1" si="36"/>
        <v>1.9641229606035568</v>
      </c>
      <c r="AZ16" s="1">
        <f t="shared" ca="1" si="37"/>
        <v>263</v>
      </c>
      <c r="BA16" s="1">
        <f t="shared" ca="1" si="38"/>
        <v>4.016079967137794E-3</v>
      </c>
      <c r="BG16" s="1">
        <f t="shared" ca="1" si="39"/>
        <v>0.54184856484512733</v>
      </c>
      <c r="BH16" s="1">
        <f t="shared" ca="1" si="40"/>
        <v>0.28258297241504049</v>
      </c>
      <c r="BI16" s="1">
        <f t="shared" ca="1" si="41"/>
        <v>480</v>
      </c>
      <c r="BV16" s="1">
        <f t="shared" ca="1" si="42"/>
        <v>0.76482670679676601</v>
      </c>
      <c r="BW16" s="1">
        <f t="shared" ca="1" si="43"/>
        <v>661</v>
      </c>
      <c r="BX16" s="1">
        <f t="shared" ca="1" si="44"/>
        <v>6.5540616985647953E-3</v>
      </c>
      <c r="BY16" s="1">
        <f t="shared" ca="1" si="45"/>
        <v>7.2340537110823208E-2</v>
      </c>
      <c r="BZ16" s="1">
        <f t="shared" ca="1" si="46"/>
        <v>0.67833995609229403</v>
      </c>
      <c r="CB16" s="1">
        <f t="shared" ca="1" si="47"/>
        <v>175</v>
      </c>
      <c r="CC16" s="1">
        <f t="shared" ca="1" si="48"/>
        <v>11</v>
      </c>
      <c r="CD16" s="1">
        <f t="shared" ca="1" si="49"/>
        <v>0.25369129662931511</v>
      </c>
      <c r="CE16" s="1">
        <f t="shared" ca="1" si="50"/>
        <v>0.84756218124566618</v>
      </c>
      <c r="CF16" s="1">
        <f t="shared" ca="1" si="50"/>
        <v>0.90442515671465351</v>
      </c>
      <c r="CH16" s="3">
        <f t="shared" ca="1" si="51"/>
        <v>0.37922302944134717</v>
      </c>
      <c r="CI16" s="3">
        <f t="shared" ca="1" si="52"/>
        <v>0.78327390580041401</v>
      </c>
      <c r="CJ16" s="3">
        <f t="shared" ca="1" si="53"/>
        <v>1900</v>
      </c>
      <c r="CK16" s="3">
        <f t="shared" ca="1" si="54"/>
        <v>5.9002988908962431E-3</v>
      </c>
      <c r="CL16" s="3">
        <f t="shared" ca="1" si="55"/>
        <v>0</v>
      </c>
      <c r="CM16" s="3"/>
      <c r="CN16" s="1">
        <f t="shared" ca="1" si="56"/>
        <v>13.528750957120154</v>
      </c>
      <c r="CO16" s="1">
        <f t="shared" ca="1" si="57"/>
        <v>0.40848207397827374</v>
      </c>
      <c r="CP16" s="1">
        <f t="shared" ca="1" si="58"/>
        <v>4</v>
      </c>
      <c r="CV16" s="1">
        <f t="shared" ca="1" si="59"/>
        <v>2.625571899355597</v>
      </c>
      <c r="CW16" s="1">
        <f t="shared" ca="1" si="60"/>
        <v>1670</v>
      </c>
      <c r="CX16" s="1">
        <f t="shared" ca="1" si="61"/>
        <v>8.7123728655207771E-4</v>
      </c>
      <c r="DH16" s="1">
        <f t="shared" ca="1" si="62"/>
        <v>113</v>
      </c>
      <c r="DI16" s="1">
        <f t="shared" ca="1" si="63"/>
        <v>8.413304390874024E-2</v>
      </c>
      <c r="DJ16" s="1">
        <f t="shared" ca="1" si="64"/>
        <v>18</v>
      </c>
      <c r="DL16" s="1">
        <f t="shared" ca="1" si="65"/>
        <v>0.13882247604689563</v>
      </c>
      <c r="DM16" s="1">
        <f t="shared" ca="1" si="66"/>
        <v>284</v>
      </c>
      <c r="DN16" s="1">
        <f t="shared" ca="1" si="67"/>
        <v>2</v>
      </c>
      <c r="DW16" s="1">
        <f t="shared" ca="1" si="71"/>
        <v>290</v>
      </c>
      <c r="DX16" s="1">
        <f t="shared" ca="1" si="72"/>
        <v>9</v>
      </c>
      <c r="DY16" s="1">
        <f t="shared" ca="1" si="73"/>
        <v>8</v>
      </c>
    </row>
    <row r="17" spans="2:129" x14ac:dyDescent="0.25">
      <c r="B17">
        <f t="shared" ca="1" si="0"/>
        <v>967</v>
      </c>
      <c r="C17">
        <f t="shared" ca="1" si="1"/>
        <v>11</v>
      </c>
      <c r="D17">
        <f t="shared" ca="1" si="2"/>
        <v>0.18452919606513962</v>
      </c>
      <c r="F17" s="1">
        <f t="shared" ca="1" si="3"/>
        <v>37</v>
      </c>
      <c r="G17" s="1">
        <f t="shared" ca="1" si="4"/>
        <v>6</v>
      </c>
      <c r="H17" s="1">
        <f t="shared" ca="1" si="5"/>
        <v>5</v>
      </c>
      <c r="I17" s="1"/>
      <c r="J17" s="1">
        <f t="shared" ca="1" si="6"/>
        <v>14</v>
      </c>
      <c r="K17" s="1">
        <f t="shared" ca="1" si="7"/>
        <v>1.4663131279117321</v>
      </c>
      <c r="L17" s="1">
        <f t="shared" ca="1" si="8"/>
        <v>22</v>
      </c>
      <c r="M17" s="1"/>
      <c r="N17" s="1">
        <f t="shared" ca="1" si="9"/>
        <v>20</v>
      </c>
      <c r="O17" s="1">
        <f t="shared" ca="1" si="10"/>
        <v>20</v>
      </c>
      <c r="P17" s="1"/>
      <c r="Q17" s="1">
        <f t="shared" ca="1" si="11"/>
        <v>4.781982745908846</v>
      </c>
      <c r="R17" s="1">
        <f t="shared" ca="1" si="12"/>
        <v>202</v>
      </c>
      <c r="S17" s="1"/>
      <c r="T17" s="1">
        <f t="shared" ca="1" si="13"/>
        <v>0.1308615271642416</v>
      </c>
      <c r="U17" s="1">
        <f t="shared" ca="1" si="14"/>
        <v>59</v>
      </c>
      <c r="V17" s="1">
        <f t="shared" ca="1" si="15"/>
        <v>14</v>
      </c>
      <c r="W17" s="1"/>
      <c r="X17" s="1">
        <f t="shared" ca="1" si="16"/>
        <v>4.1486048240797775</v>
      </c>
      <c r="Y17" s="1">
        <f t="shared" ca="1" si="17"/>
        <v>0.16932962514724187</v>
      </c>
      <c r="Z17" s="1">
        <f t="shared" ca="1" si="18"/>
        <v>1875</v>
      </c>
      <c r="AB17" s="1">
        <f t="shared" ca="1" si="19"/>
        <v>0.21093361206124206</v>
      </c>
      <c r="AC17" s="1">
        <f t="shared" ca="1" si="20"/>
        <v>239</v>
      </c>
      <c r="AD17" s="1">
        <f t="shared" ca="1" si="21"/>
        <v>9.0038344029865561E-3</v>
      </c>
      <c r="AE17" s="1"/>
      <c r="AF17" s="1">
        <f t="shared" ca="1" si="22"/>
        <v>0.40965226153555834</v>
      </c>
      <c r="AG17" s="1">
        <f t="shared" ca="1" si="23"/>
        <v>673</v>
      </c>
      <c r="AH17" s="1">
        <f t="shared" ca="1" si="24"/>
        <v>2.5834388541344745E-3</v>
      </c>
      <c r="AJ17" s="1">
        <f t="shared" ca="1" si="25"/>
        <v>0.79351204807356857</v>
      </c>
      <c r="AK17" s="1">
        <f t="shared" ca="1" si="26"/>
        <v>5.5291320292247719E-3</v>
      </c>
      <c r="AL17" s="1"/>
      <c r="AM17" s="1">
        <f t="shared" ca="1" si="27"/>
        <v>2.8680617399718097E-2</v>
      </c>
      <c r="AN17" s="1">
        <f t="shared" ca="1" si="28"/>
        <v>63</v>
      </c>
      <c r="AO17" s="1">
        <f t="shared" ca="1" si="29"/>
        <v>13</v>
      </c>
      <c r="AQ17" s="1">
        <f t="shared" ca="1" si="30"/>
        <v>185</v>
      </c>
      <c r="AR17" s="1">
        <f t="shared" ca="1" si="31"/>
        <v>4</v>
      </c>
      <c r="AS17" s="1">
        <f t="shared" ca="1" si="32"/>
        <v>24</v>
      </c>
      <c r="AU17" s="1">
        <f t="shared" ca="1" si="33"/>
        <v>98</v>
      </c>
      <c r="AV17" s="1">
        <f t="shared" ca="1" si="34"/>
        <v>4</v>
      </c>
      <c r="AW17" s="1">
        <f t="shared" ca="1" si="35"/>
        <v>0.1559585976748149</v>
      </c>
      <c r="AY17" s="1">
        <f t="shared" ca="1" si="36"/>
        <v>1.6844412749794417</v>
      </c>
      <c r="AZ17" s="1">
        <f t="shared" ca="1" si="37"/>
        <v>446</v>
      </c>
      <c r="BA17" s="1">
        <f t="shared" ca="1" si="38"/>
        <v>9.8645957148442553E-3</v>
      </c>
      <c r="BG17" s="1">
        <f t="shared" ca="1" si="39"/>
        <v>0.77840711178900823</v>
      </c>
      <c r="BH17" s="1">
        <f t="shared" ca="1" si="40"/>
        <v>0.8047658769942948</v>
      </c>
      <c r="BI17" s="1">
        <f t="shared" ca="1" si="41"/>
        <v>131</v>
      </c>
      <c r="BV17" s="1">
        <f t="shared" ca="1" si="42"/>
        <v>0.82348906138779787</v>
      </c>
      <c r="BW17" s="1">
        <f t="shared" ca="1" si="43"/>
        <v>574</v>
      </c>
      <c r="BX17" s="1">
        <f t="shared" ca="1" si="44"/>
        <v>2.8139636083071534E-3</v>
      </c>
      <c r="BY17" s="1">
        <f t="shared" ca="1" si="45"/>
        <v>4.8197844442525756E-2</v>
      </c>
      <c r="BZ17" s="1">
        <f t="shared" ca="1" si="46"/>
        <v>0.64654777694012211</v>
      </c>
      <c r="CB17" s="1">
        <f t="shared" ca="1" si="47"/>
        <v>107</v>
      </c>
      <c r="CC17" s="1">
        <f t="shared" ca="1" si="48"/>
        <v>7</v>
      </c>
      <c r="CD17" s="1">
        <f t="shared" ca="1" si="49"/>
        <v>3.7616644495623817E-2</v>
      </c>
      <c r="CE17" s="1">
        <f t="shared" ca="1" si="50"/>
        <v>0.85106936363613739</v>
      </c>
      <c r="CF17" s="1">
        <f t="shared" ca="1" si="50"/>
        <v>0.73091954297389328</v>
      </c>
      <c r="CH17" s="3">
        <f t="shared" ca="1" si="51"/>
        <v>0.90824184274201358</v>
      </c>
      <c r="CI17" s="3">
        <f t="shared" ca="1" si="52"/>
        <v>0.60400920950851378</v>
      </c>
      <c r="CJ17" s="3">
        <f t="shared" ca="1" si="53"/>
        <v>607</v>
      </c>
      <c r="CK17" s="3">
        <f t="shared" ca="1" si="54"/>
        <v>8.5787851855354067E-3</v>
      </c>
      <c r="CL17" s="3">
        <f t="shared" ca="1" si="55"/>
        <v>0</v>
      </c>
      <c r="CM17" s="3"/>
      <c r="CN17" s="1">
        <f t="shared" ca="1" si="56"/>
        <v>3.5287647711951458</v>
      </c>
      <c r="CO17" s="1">
        <f t="shared" ca="1" si="57"/>
        <v>4.1071252196163831E-2</v>
      </c>
      <c r="CP17" s="1">
        <f t="shared" ca="1" si="58"/>
        <v>5</v>
      </c>
      <c r="CV17" s="1">
        <f t="shared" ca="1" si="59"/>
        <v>0.31927367879486773</v>
      </c>
      <c r="CW17" s="1">
        <f t="shared" ca="1" si="60"/>
        <v>1875</v>
      </c>
      <c r="CX17" s="1">
        <f t="shared" ca="1" si="61"/>
        <v>8.0688899705526965E-3</v>
      </c>
      <c r="DH17" s="1">
        <f t="shared" ca="1" si="62"/>
        <v>162</v>
      </c>
      <c r="DI17" s="1">
        <f t="shared" ca="1" si="63"/>
        <v>0.86280881457467185</v>
      </c>
      <c r="DJ17" s="1">
        <f t="shared" ca="1" si="64"/>
        <v>25</v>
      </c>
      <c r="DL17" s="1">
        <f t="shared" ca="1" si="65"/>
        <v>0.18607631826265392</v>
      </c>
      <c r="DM17" s="1">
        <f t="shared" ca="1" si="66"/>
        <v>191</v>
      </c>
      <c r="DN17" s="1">
        <f t="shared" ca="1" si="67"/>
        <v>6</v>
      </c>
      <c r="DW17" s="1">
        <f t="shared" ca="1" si="71"/>
        <v>146</v>
      </c>
      <c r="DX17" s="1">
        <f t="shared" ca="1" si="72"/>
        <v>15</v>
      </c>
      <c r="DY17" s="1">
        <f t="shared" ca="1" si="73"/>
        <v>17</v>
      </c>
    </row>
    <row r="18" spans="2:129" x14ac:dyDescent="0.25">
      <c r="B18">
        <f t="shared" ca="1" si="0"/>
        <v>193</v>
      </c>
      <c r="C18">
        <f t="shared" ca="1" si="1"/>
        <v>48</v>
      </c>
      <c r="D18">
        <f t="shared" ca="1" si="2"/>
        <v>6.2801224474297479E-2</v>
      </c>
      <c r="F18" s="1">
        <f t="shared" ca="1" si="3"/>
        <v>22</v>
      </c>
      <c r="G18" s="1">
        <f t="shared" ca="1" si="4"/>
        <v>29</v>
      </c>
      <c r="H18" s="1">
        <f t="shared" ca="1" si="5"/>
        <v>10</v>
      </c>
      <c r="I18" s="1"/>
      <c r="J18" s="1">
        <f t="shared" ca="1" si="6"/>
        <v>27</v>
      </c>
      <c r="K18" s="1">
        <f t="shared" ca="1" si="7"/>
        <v>2.9928479801516601</v>
      </c>
      <c r="L18" s="1">
        <f t="shared" ca="1" si="8"/>
        <v>14</v>
      </c>
      <c r="M18" s="1"/>
      <c r="N18" s="1">
        <f t="shared" ca="1" si="9"/>
        <v>895</v>
      </c>
      <c r="O18" s="1">
        <f t="shared" ca="1" si="10"/>
        <v>52</v>
      </c>
      <c r="P18" s="1"/>
      <c r="Q18" s="1">
        <f t="shared" ca="1" si="11"/>
        <v>1.8878083684573272</v>
      </c>
      <c r="R18" s="1">
        <f t="shared" ca="1" si="12"/>
        <v>434</v>
      </c>
      <c r="S18" s="1"/>
      <c r="T18" s="1">
        <f t="shared" ca="1" si="13"/>
        <v>0.18355761523636496</v>
      </c>
      <c r="U18" s="1">
        <f t="shared" ca="1" si="14"/>
        <v>193</v>
      </c>
      <c r="V18" s="1">
        <f t="shared" ca="1" si="15"/>
        <v>19</v>
      </c>
      <c r="W18" s="1"/>
      <c r="X18" s="1">
        <f t="shared" ca="1" si="16"/>
        <v>1.770789375202001</v>
      </c>
      <c r="Y18" s="1">
        <f t="shared" ca="1" si="17"/>
        <v>0.17215530052314418</v>
      </c>
      <c r="Z18" s="1">
        <f t="shared" ca="1" si="18"/>
        <v>1092</v>
      </c>
      <c r="AB18" s="1">
        <f t="shared" ca="1" si="19"/>
        <v>0.7593220142399566</v>
      </c>
      <c r="AC18" s="1">
        <f t="shared" ca="1" si="20"/>
        <v>568</v>
      </c>
      <c r="AD18" s="1">
        <f t="shared" ca="1" si="21"/>
        <v>7.0342946794586646E-3</v>
      </c>
      <c r="AE18" s="1"/>
      <c r="AF18" s="1">
        <f t="shared" ca="1" si="22"/>
        <v>0.69659105404676314</v>
      </c>
      <c r="AG18" s="1">
        <f t="shared" ca="1" si="23"/>
        <v>701</v>
      </c>
      <c r="AH18" s="1">
        <f t="shared" ca="1" si="24"/>
        <v>2.3373911286685618E-3</v>
      </c>
      <c r="AJ18" s="1">
        <f t="shared" ca="1" si="25"/>
        <v>0.30268178798386425</v>
      </c>
      <c r="AK18" s="1">
        <f t="shared" ca="1" si="26"/>
        <v>4.3913160405205974E-3</v>
      </c>
      <c r="AL18" s="1"/>
      <c r="AM18" s="1">
        <f t="shared" ca="1" si="27"/>
        <v>0.16560060604649696</v>
      </c>
      <c r="AN18" s="1">
        <f t="shared" ca="1" si="28"/>
        <v>40</v>
      </c>
      <c r="AO18" s="1">
        <f t="shared" ca="1" si="29"/>
        <v>7</v>
      </c>
      <c r="AQ18" s="1">
        <f t="shared" ca="1" si="30"/>
        <v>165</v>
      </c>
      <c r="AR18" s="1">
        <f t="shared" ca="1" si="31"/>
        <v>3</v>
      </c>
      <c r="AS18" s="1">
        <f t="shared" ca="1" si="32"/>
        <v>21</v>
      </c>
      <c r="AU18" s="1">
        <f t="shared" ca="1" si="33"/>
        <v>295</v>
      </c>
      <c r="AV18" s="1">
        <f t="shared" ca="1" si="34"/>
        <v>2</v>
      </c>
      <c r="AW18" s="1">
        <f t="shared" ca="1" si="35"/>
        <v>1.617354908687961E-2</v>
      </c>
      <c r="AY18" s="1">
        <f t="shared" ca="1" si="36"/>
        <v>1.6928482465444155</v>
      </c>
      <c r="AZ18" s="1">
        <f t="shared" ca="1" si="37"/>
        <v>423</v>
      </c>
      <c r="BA18" s="1">
        <f t="shared" ca="1" si="38"/>
        <v>7.559433639485919E-3</v>
      </c>
      <c r="BG18" s="1">
        <f t="shared" ca="1" si="39"/>
        <v>0.12233568608836391</v>
      </c>
      <c r="BH18" s="1">
        <f t="shared" ca="1" si="40"/>
        <v>0.94819567966957585</v>
      </c>
      <c r="BI18" s="1">
        <f t="shared" ca="1" si="41"/>
        <v>879</v>
      </c>
      <c r="BV18" s="1">
        <f t="shared" ca="1" si="42"/>
        <v>0.31446157592416007</v>
      </c>
      <c r="BW18" s="1">
        <f t="shared" ca="1" si="43"/>
        <v>451</v>
      </c>
      <c r="BX18" s="1">
        <f t="shared" ca="1" si="44"/>
        <v>9.7962568903723572E-3</v>
      </c>
      <c r="BY18" s="1">
        <f t="shared" ca="1" si="45"/>
        <v>8.3014575845314093E-3</v>
      </c>
      <c r="BZ18" s="1">
        <f t="shared" ca="1" si="46"/>
        <v>0.57024298169489351</v>
      </c>
      <c r="CB18" s="1">
        <f t="shared" ca="1" si="47"/>
        <v>163</v>
      </c>
      <c r="CC18" s="1">
        <f t="shared" ca="1" si="48"/>
        <v>4</v>
      </c>
      <c r="CD18" s="1">
        <f t="shared" ca="1" si="49"/>
        <v>1.1501173360317096E-2</v>
      </c>
      <c r="CE18" s="1">
        <f t="shared" ca="1" si="50"/>
        <v>0.90518957664889055</v>
      </c>
      <c r="CF18" s="1">
        <f t="shared" ca="1" si="50"/>
        <v>0.806073959436305</v>
      </c>
      <c r="CH18" s="3">
        <f t="shared" ca="1" si="51"/>
        <v>0.59083714143499799</v>
      </c>
      <c r="CI18" s="3">
        <f t="shared" ca="1" si="52"/>
        <v>0.25942236896202947</v>
      </c>
      <c r="CJ18" s="3">
        <f t="shared" ca="1" si="53"/>
        <v>1831</v>
      </c>
      <c r="CK18" s="3">
        <f t="shared" ca="1" si="54"/>
        <v>8.0253977519673531E-3</v>
      </c>
      <c r="CL18" s="3">
        <f t="shared" ca="1" si="55"/>
        <v>0</v>
      </c>
      <c r="CM18" s="3"/>
      <c r="CN18" s="1">
        <f t="shared" ca="1" si="56"/>
        <v>14.746768191663305</v>
      </c>
      <c r="CO18" s="1">
        <f t="shared" ca="1" si="57"/>
        <v>0.4284993171331512</v>
      </c>
      <c r="CP18" s="1">
        <f t="shared" ca="1" si="58"/>
        <v>4</v>
      </c>
      <c r="CV18" s="1">
        <f t="shared" ca="1" si="59"/>
        <v>5.0083793565248076</v>
      </c>
      <c r="CW18" s="1">
        <f t="shared" ca="1" si="60"/>
        <v>609</v>
      </c>
      <c r="CX18" s="1">
        <f t="shared" ca="1" si="61"/>
        <v>6.670658699509828E-3</v>
      </c>
      <c r="DH18" s="1">
        <f t="shared" ca="1" si="62"/>
        <v>357</v>
      </c>
      <c r="DI18" s="1">
        <f t="shared" ca="1" si="63"/>
        <v>0.65033116495958598</v>
      </c>
      <c r="DJ18" s="1">
        <f t="shared" ca="1" si="64"/>
        <v>21</v>
      </c>
      <c r="DL18" s="1">
        <f t="shared" ca="1" si="65"/>
        <v>7.2477110204530862E-2</v>
      </c>
      <c r="DM18" s="1">
        <f t="shared" ca="1" si="66"/>
        <v>202</v>
      </c>
      <c r="DN18" s="1">
        <f t="shared" ca="1" si="67"/>
        <v>4</v>
      </c>
      <c r="DW18" s="1">
        <f t="shared" ca="1" si="71"/>
        <v>219</v>
      </c>
      <c r="DX18" s="1">
        <f t="shared" ca="1" si="72"/>
        <v>17</v>
      </c>
      <c r="DY18" s="1">
        <f t="shared" ca="1" si="73"/>
        <v>2</v>
      </c>
    </row>
    <row r="19" spans="2:129" x14ac:dyDescent="0.25">
      <c r="B19">
        <f t="shared" ca="1" si="0"/>
        <v>494</v>
      </c>
      <c r="C19">
        <f t="shared" ca="1" si="1"/>
        <v>40</v>
      </c>
      <c r="D19">
        <f t="shared" ca="1" si="2"/>
        <v>9.9100893376135313E-2</v>
      </c>
      <c r="F19" s="1">
        <f t="shared" ca="1" si="3"/>
        <v>9</v>
      </c>
      <c r="G19" s="1">
        <f t="shared" ca="1" si="4"/>
        <v>10</v>
      </c>
      <c r="H19" s="1">
        <f t="shared" ca="1" si="5"/>
        <v>10</v>
      </c>
      <c r="I19" s="1"/>
      <c r="J19" s="1">
        <f t="shared" ca="1" si="6"/>
        <v>17</v>
      </c>
      <c r="K19" s="1">
        <f t="shared" ca="1" si="7"/>
        <v>1.6309351491280057</v>
      </c>
      <c r="L19" s="1">
        <f t="shared" ca="1" si="8"/>
        <v>17</v>
      </c>
      <c r="M19" s="1"/>
      <c r="N19" s="1">
        <f t="shared" ca="1" si="9"/>
        <v>46</v>
      </c>
      <c r="O19" s="1">
        <f t="shared" ca="1" si="10"/>
        <v>10</v>
      </c>
      <c r="P19" s="1"/>
      <c r="Q19" s="1">
        <f t="shared" ca="1" si="11"/>
        <v>3.3937309437288623</v>
      </c>
      <c r="R19" s="1">
        <f t="shared" ca="1" si="12"/>
        <v>326</v>
      </c>
      <c r="S19" s="1"/>
      <c r="T19" s="1">
        <f t="shared" ca="1" si="13"/>
        <v>0.13732990399793976</v>
      </c>
      <c r="U19" s="1">
        <f t="shared" ca="1" si="14"/>
        <v>159</v>
      </c>
      <c r="V19" s="1">
        <f t="shared" ca="1" si="15"/>
        <v>31</v>
      </c>
      <c r="W19" s="1"/>
      <c r="X19" s="1">
        <f t="shared" ca="1" si="16"/>
        <v>3.3627590634320792</v>
      </c>
      <c r="Y19" s="1">
        <f t="shared" ca="1" si="17"/>
        <v>0.17677068060739856</v>
      </c>
      <c r="Z19" s="1">
        <f t="shared" ca="1" si="18"/>
        <v>1544</v>
      </c>
      <c r="AB19" s="1">
        <f t="shared" ca="1" si="19"/>
        <v>0.614794561765999</v>
      </c>
      <c r="AC19" s="1">
        <f t="shared" ca="1" si="20"/>
        <v>289</v>
      </c>
      <c r="AD19" s="1">
        <f t="shared" ca="1" si="21"/>
        <v>3.5086905369677724E-3</v>
      </c>
      <c r="AE19" s="1"/>
      <c r="AF19" s="1">
        <f t="shared" ca="1" si="22"/>
        <v>0.29414002563316843</v>
      </c>
      <c r="AG19" s="1">
        <f t="shared" ca="1" si="23"/>
        <v>230</v>
      </c>
      <c r="AH19" s="1">
        <f t="shared" ca="1" si="24"/>
        <v>2.7546222358169627E-3</v>
      </c>
      <c r="AJ19" s="1">
        <f t="shared" ca="1" si="25"/>
        <v>0.80795091331651347</v>
      </c>
      <c r="AK19" s="1">
        <f t="shared" ca="1" si="26"/>
        <v>4.1325649303458551E-3</v>
      </c>
      <c r="AL19" s="1"/>
      <c r="AM19" s="1">
        <f t="shared" ca="1" si="27"/>
        <v>0.12169962184041652</v>
      </c>
      <c r="AN19" s="1">
        <f t="shared" ca="1" si="28"/>
        <v>53</v>
      </c>
      <c r="AO19" s="1">
        <f t="shared" ca="1" si="29"/>
        <v>18</v>
      </c>
      <c r="AQ19" s="1">
        <f t="shared" ca="1" si="30"/>
        <v>86</v>
      </c>
      <c r="AR19" s="1">
        <f t="shared" ca="1" si="31"/>
        <v>10</v>
      </c>
      <c r="AS19" s="1">
        <f t="shared" ca="1" si="32"/>
        <v>98</v>
      </c>
      <c r="AU19" s="1">
        <f t="shared" ca="1" si="33"/>
        <v>354</v>
      </c>
      <c r="AV19" s="1">
        <f t="shared" ca="1" si="34"/>
        <v>10</v>
      </c>
      <c r="AW19" s="1">
        <f t="shared" ca="1" si="35"/>
        <v>0.14497931880214862</v>
      </c>
      <c r="AY19" s="1">
        <f t="shared" ca="1" si="36"/>
        <v>1.2662412877805955</v>
      </c>
      <c r="AZ19" s="1">
        <f t="shared" ca="1" si="37"/>
        <v>218</v>
      </c>
      <c r="BA19" s="1">
        <f t="shared" ca="1" si="38"/>
        <v>2.2043097405341186E-3</v>
      </c>
      <c r="BG19" s="1">
        <f t="shared" ca="1" si="39"/>
        <v>0.72901951688594102</v>
      </c>
      <c r="BH19" s="1">
        <f t="shared" ca="1" si="40"/>
        <v>0.21151252156161204</v>
      </c>
      <c r="BI19" s="1">
        <f t="shared" ca="1" si="41"/>
        <v>416</v>
      </c>
      <c r="BV19" s="1">
        <f t="shared" ca="1" si="42"/>
        <v>0.21788275952620909</v>
      </c>
      <c r="BW19" s="1">
        <f t="shared" ca="1" si="43"/>
        <v>794</v>
      </c>
      <c r="BX19" s="1">
        <f t="shared" ca="1" si="44"/>
        <v>4.6308667847840927E-3</v>
      </c>
      <c r="BY19" s="1">
        <f t="shared" ca="1" si="45"/>
        <v>2.5504521213520044E-2</v>
      </c>
      <c r="BZ19" s="1">
        <f t="shared" ca="1" si="46"/>
        <v>0.29810623661044555</v>
      </c>
      <c r="CB19" s="1">
        <f t="shared" ca="1" si="47"/>
        <v>55</v>
      </c>
      <c r="CC19" s="1">
        <f t="shared" ca="1" si="48"/>
        <v>7</v>
      </c>
      <c r="CD19" s="1">
        <f t="shared" ca="1" si="49"/>
        <v>0.15566402408385516</v>
      </c>
      <c r="CE19" s="1">
        <f t="shared" ca="1" si="50"/>
        <v>0.90955060521346986</v>
      </c>
      <c r="CF19" s="1">
        <f t="shared" ca="1" si="50"/>
        <v>0.84687423936909534</v>
      </c>
      <c r="CH19" s="3">
        <f t="shared" ca="1" si="51"/>
        <v>0.82718533981633047</v>
      </c>
      <c r="CI19" s="3">
        <f t="shared" ca="1" si="52"/>
        <v>0.57635640619301876</v>
      </c>
      <c r="CJ19" s="3">
        <f t="shared" ca="1" si="53"/>
        <v>1691</v>
      </c>
      <c r="CK19" s="3">
        <f t="shared" ca="1" si="54"/>
        <v>7.0215719307741824E-3</v>
      </c>
      <c r="CL19" s="3">
        <f t="shared" ca="1" si="55"/>
        <v>0</v>
      </c>
      <c r="CM19" s="3"/>
      <c r="CN19" s="1">
        <f t="shared" ca="1" si="56"/>
        <v>8.4662633069860984</v>
      </c>
      <c r="CO19" s="1">
        <f t="shared" ca="1" si="57"/>
        <v>0.3331962523774733</v>
      </c>
      <c r="CP19" s="1">
        <f t="shared" ca="1" si="58"/>
        <v>2</v>
      </c>
      <c r="CV19" s="1">
        <f t="shared" ca="1" si="59"/>
        <v>2.8523767664996473</v>
      </c>
      <c r="CW19" s="1">
        <f t="shared" ca="1" si="60"/>
        <v>118</v>
      </c>
      <c r="CX19" s="1">
        <f t="shared" ca="1" si="61"/>
        <v>9.3378240281433E-3</v>
      </c>
      <c r="DH19" s="1">
        <f t="shared" ca="1" si="62"/>
        <v>230</v>
      </c>
      <c r="DI19" s="1">
        <f t="shared" ca="1" si="63"/>
        <v>0.68963339281894964</v>
      </c>
      <c r="DJ19" s="1">
        <f t="shared" ca="1" si="64"/>
        <v>26</v>
      </c>
      <c r="DL19" s="1">
        <f t="shared" ca="1" si="65"/>
        <v>5.2054034051198683E-2</v>
      </c>
      <c r="DM19" s="1">
        <f t="shared" ca="1" si="66"/>
        <v>175</v>
      </c>
      <c r="DN19" s="1">
        <f t="shared" ca="1" si="67"/>
        <v>7</v>
      </c>
      <c r="DW19" s="1">
        <f t="shared" ca="1" si="71"/>
        <v>141</v>
      </c>
      <c r="DX19" s="1">
        <f t="shared" ca="1" si="72"/>
        <v>16</v>
      </c>
      <c r="DY19" s="1">
        <f t="shared" ca="1" si="73"/>
        <v>20</v>
      </c>
    </row>
    <row r="20" spans="2:129" x14ac:dyDescent="0.25">
      <c r="B20">
        <f t="shared" ca="1" si="0"/>
        <v>501</v>
      </c>
      <c r="C20">
        <f t="shared" ca="1" si="1"/>
        <v>51</v>
      </c>
      <c r="D20">
        <f t="shared" ca="1" si="2"/>
        <v>4.8759418226267955E-2</v>
      </c>
      <c r="F20" s="1">
        <f t="shared" ca="1" si="3"/>
        <v>22</v>
      </c>
      <c r="G20" s="1">
        <f t="shared" ca="1" si="4"/>
        <v>16</v>
      </c>
      <c r="H20" s="1">
        <f t="shared" ca="1" si="5"/>
        <v>15</v>
      </c>
      <c r="I20" s="1"/>
      <c r="J20" s="1">
        <f t="shared" ca="1" si="6"/>
        <v>39</v>
      </c>
      <c r="K20" s="1">
        <f t="shared" ca="1" si="7"/>
        <v>2.3184466209993184</v>
      </c>
      <c r="L20" s="1">
        <f t="shared" ca="1" si="8"/>
        <v>33</v>
      </c>
      <c r="M20" s="1"/>
      <c r="N20" s="1">
        <f t="shared" ca="1" si="9"/>
        <v>833</v>
      </c>
      <c r="O20" s="1">
        <f t="shared" ca="1" si="10"/>
        <v>38</v>
      </c>
      <c r="P20" s="1"/>
      <c r="Q20" s="1">
        <f t="shared" ca="1" si="11"/>
        <v>0.6039084506364355</v>
      </c>
      <c r="R20" s="1">
        <f t="shared" ca="1" si="12"/>
        <v>822</v>
      </c>
      <c r="S20" s="1"/>
      <c r="T20" s="1">
        <f t="shared" ca="1" si="13"/>
        <v>1.0723246449761688E-2</v>
      </c>
      <c r="U20" s="1">
        <f t="shared" ca="1" si="14"/>
        <v>148</v>
      </c>
      <c r="V20" s="1">
        <f t="shared" ca="1" si="15"/>
        <v>44</v>
      </c>
      <c r="W20" s="1"/>
      <c r="X20" s="1">
        <f t="shared" ca="1" si="16"/>
        <v>1.5003938271364343</v>
      </c>
      <c r="Y20" s="1">
        <f t="shared" ca="1" si="17"/>
        <v>0.51480971427254973</v>
      </c>
      <c r="Z20" s="1">
        <f t="shared" ca="1" si="18"/>
        <v>358</v>
      </c>
      <c r="AB20" s="1">
        <f t="shared" ca="1" si="19"/>
        <v>4.6822092885565866E-2</v>
      </c>
      <c r="AC20" s="1">
        <f t="shared" ca="1" si="20"/>
        <v>998</v>
      </c>
      <c r="AD20" s="1">
        <f t="shared" ca="1" si="21"/>
        <v>7.1424680416020524E-3</v>
      </c>
      <c r="AE20" s="1"/>
      <c r="AF20" s="1">
        <f t="shared" ca="1" si="22"/>
        <v>0.1708046934913301</v>
      </c>
      <c r="AG20" s="1">
        <f t="shared" ca="1" si="23"/>
        <v>890</v>
      </c>
      <c r="AH20" s="1">
        <f t="shared" ca="1" si="24"/>
        <v>3.1765477710059093E-3</v>
      </c>
      <c r="AJ20" s="1">
        <f t="shared" ca="1" si="25"/>
        <v>0.3649862935106698</v>
      </c>
      <c r="AK20" s="1">
        <f t="shared" ca="1" si="26"/>
        <v>4.2646641312608759E-3</v>
      </c>
      <c r="AL20" s="1"/>
      <c r="AM20" s="1">
        <f t="shared" ca="1" si="27"/>
        <v>7.8049429821429109E-2</v>
      </c>
      <c r="AN20" s="1">
        <f t="shared" ca="1" si="28"/>
        <v>11</v>
      </c>
      <c r="AO20" s="1">
        <f t="shared" ca="1" si="29"/>
        <v>11</v>
      </c>
      <c r="AQ20" s="1">
        <f t="shared" ca="1" si="30"/>
        <v>119</v>
      </c>
      <c r="AR20" s="1">
        <f t="shared" ca="1" si="31"/>
        <v>0</v>
      </c>
      <c r="AS20" s="1">
        <f t="shared" ca="1" si="32"/>
        <v>95</v>
      </c>
      <c r="AU20" s="1">
        <f t="shared" ca="1" si="33"/>
        <v>153</v>
      </c>
      <c r="AV20" s="1">
        <f t="shared" ca="1" si="34"/>
        <v>10</v>
      </c>
      <c r="AW20" s="1">
        <f t="shared" ca="1" si="35"/>
        <v>0.11194483515987538</v>
      </c>
      <c r="AY20" s="1">
        <f t="shared" ca="1" si="36"/>
        <v>1.7789120980851496</v>
      </c>
      <c r="AZ20" s="1">
        <f t="shared" ca="1" si="37"/>
        <v>199</v>
      </c>
      <c r="BA20" s="1">
        <f t="shared" ca="1" si="38"/>
        <v>9.8389039349527085E-3</v>
      </c>
      <c r="BG20" s="1">
        <f t="shared" ca="1" si="39"/>
        <v>0.82318734023505336</v>
      </c>
      <c r="BH20" s="1">
        <f t="shared" ca="1" si="40"/>
        <v>0.67379251851746702</v>
      </c>
      <c r="BI20" s="1">
        <f t="shared" ca="1" si="41"/>
        <v>388</v>
      </c>
      <c r="BV20" s="1">
        <f t="shared" ca="1" si="42"/>
        <v>0.66773992125832737</v>
      </c>
      <c r="BW20" s="1">
        <f t="shared" ca="1" si="43"/>
        <v>602</v>
      </c>
      <c r="BX20" s="1">
        <f t="shared" ca="1" si="44"/>
        <v>4.605349633179281E-4</v>
      </c>
      <c r="BY20" s="1">
        <f t="shared" ca="1" si="45"/>
        <v>2.8734385657026053E-3</v>
      </c>
      <c r="BZ20" s="1">
        <f t="shared" ca="1" si="46"/>
        <v>0.67380762311283016</v>
      </c>
      <c r="CB20" s="1">
        <f t="shared" ca="1" si="47"/>
        <v>393</v>
      </c>
      <c r="CC20" s="1">
        <f t="shared" ca="1" si="48"/>
        <v>7</v>
      </c>
      <c r="CD20" s="1">
        <f t="shared" ca="1" si="49"/>
        <v>6.9931429281293228E-2</v>
      </c>
      <c r="CE20" s="1">
        <f t="shared" ca="1" si="50"/>
        <v>0.64710824264973732</v>
      </c>
      <c r="CF20" s="1">
        <f t="shared" ca="1" si="50"/>
        <v>0.77496509280741999</v>
      </c>
      <c r="CH20" s="3">
        <f t="shared" ca="1" si="51"/>
        <v>0.90034415521604871</v>
      </c>
      <c r="CI20" s="3">
        <f t="shared" ca="1" si="52"/>
        <v>0.38652320560125281</v>
      </c>
      <c r="CJ20" s="3">
        <f t="shared" ca="1" si="53"/>
        <v>1576</v>
      </c>
      <c r="CK20" s="3">
        <f t="shared" ca="1" si="54"/>
        <v>3.1603504338883477E-3</v>
      </c>
      <c r="CL20" s="3">
        <f t="shared" ca="1" si="55"/>
        <v>0</v>
      </c>
      <c r="CM20" s="3"/>
      <c r="CN20" s="1">
        <f t="shared" ca="1" si="56"/>
        <v>18.372260421557748</v>
      </c>
      <c r="CO20" s="1">
        <f t="shared" ca="1" si="57"/>
        <v>0.32386971438031648</v>
      </c>
      <c r="CP20" s="1">
        <f t="shared" ca="1" si="58"/>
        <v>1</v>
      </c>
      <c r="CV20" s="1">
        <f t="shared" ca="1" si="59"/>
        <v>5.1974132829769051</v>
      </c>
      <c r="CW20" s="1">
        <f t="shared" ca="1" si="60"/>
        <v>262</v>
      </c>
      <c r="CX20" s="1">
        <f t="shared" ca="1" si="61"/>
        <v>8.6712889326768759E-3</v>
      </c>
      <c r="DH20" s="1">
        <f t="shared" ca="1" si="62"/>
        <v>576</v>
      </c>
      <c r="DI20" s="1">
        <f t="shared" ca="1" si="63"/>
        <v>0.3506386132506481</v>
      </c>
      <c r="DJ20" s="1">
        <f t="shared" ca="1" si="64"/>
        <v>7</v>
      </c>
      <c r="DL20" s="1">
        <f t="shared" ca="1" si="65"/>
        <v>1.3717933537022498E-2</v>
      </c>
      <c r="DM20" s="1">
        <f t="shared" ca="1" si="66"/>
        <v>262</v>
      </c>
      <c r="DN20" s="1">
        <f t="shared" ca="1" si="67"/>
        <v>7</v>
      </c>
      <c r="DW20" s="1">
        <f t="shared" ca="1" si="71"/>
        <v>467</v>
      </c>
      <c r="DX20" s="1">
        <f t="shared" ca="1" si="72"/>
        <v>16</v>
      </c>
      <c r="DY20" s="1">
        <f t="shared" ca="1" si="73"/>
        <v>11</v>
      </c>
    </row>
    <row r="21" spans="2:129" x14ac:dyDescent="0.25">
      <c r="B21">
        <f t="shared" ca="1" si="0"/>
        <v>263</v>
      </c>
      <c r="C21">
        <f t="shared" ca="1" si="1"/>
        <v>15</v>
      </c>
      <c r="D21">
        <f t="shared" ca="1" si="2"/>
        <v>0.13730224672113137</v>
      </c>
      <c r="F21" s="1">
        <f t="shared" ca="1" si="3"/>
        <v>52</v>
      </c>
      <c r="G21" s="1">
        <f t="shared" ca="1" si="4"/>
        <v>10</v>
      </c>
      <c r="H21" s="1">
        <f t="shared" ca="1" si="5"/>
        <v>12</v>
      </c>
      <c r="I21" s="1"/>
      <c r="J21" s="1">
        <f t="shared" ca="1" si="6"/>
        <v>14</v>
      </c>
      <c r="K21" s="1">
        <f t="shared" ca="1" si="7"/>
        <v>2.7133059833537705</v>
      </c>
      <c r="L21" s="1">
        <f t="shared" ca="1" si="8"/>
        <v>27</v>
      </c>
      <c r="M21" s="1"/>
      <c r="N21" s="1">
        <f t="shared" ca="1" si="9"/>
        <v>620</v>
      </c>
      <c r="O21" s="1">
        <f t="shared" ca="1" si="10"/>
        <v>19</v>
      </c>
      <c r="P21" s="1"/>
      <c r="Q21" s="1">
        <f t="shared" ca="1" si="11"/>
        <v>4.6725160281771245</v>
      </c>
      <c r="R21" s="1">
        <f t="shared" ca="1" si="12"/>
        <v>608</v>
      </c>
      <c r="S21" s="1"/>
      <c r="T21" s="1">
        <f t="shared" ca="1" si="13"/>
        <v>0.18056721286107202</v>
      </c>
      <c r="U21" s="1">
        <f t="shared" ca="1" si="14"/>
        <v>159</v>
      </c>
      <c r="V21" s="1">
        <f t="shared" ca="1" si="15"/>
        <v>40</v>
      </c>
      <c r="W21" s="1"/>
      <c r="X21" s="1">
        <f t="shared" ca="1" si="16"/>
        <v>3.5343232505767066</v>
      </c>
      <c r="Y21" s="1">
        <f t="shared" ca="1" si="17"/>
        <v>0.20771773209860822</v>
      </c>
      <c r="Z21" s="1">
        <f t="shared" ca="1" si="18"/>
        <v>855</v>
      </c>
      <c r="AB21" s="1">
        <f t="shared" ca="1" si="19"/>
        <v>2.6440678542599304E-2</v>
      </c>
      <c r="AC21" s="1">
        <f t="shared" ca="1" si="20"/>
        <v>610</v>
      </c>
      <c r="AD21" s="1">
        <f t="shared" ca="1" si="21"/>
        <v>3.2020925197516095E-3</v>
      </c>
      <c r="AE21" s="1"/>
      <c r="AF21" s="1">
        <f t="shared" ca="1" si="22"/>
        <v>0.59101648716321209</v>
      </c>
      <c r="AG21" s="1">
        <f t="shared" ca="1" si="23"/>
        <v>871</v>
      </c>
      <c r="AH21" s="1">
        <f t="shared" ca="1" si="24"/>
        <v>5.5113325758947337E-3</v>
      </c>
      <c r="AJ21" s="1">
        <f t="shared" ca="1" si="25"/>
        <v>0.67772718687042988</v>
      </c>
      <c r="AK21" s="1">
        <f t="shared" ca="1" si="26"/>
        <v>2.4366215341589479E-3</v>
      </c>
      <c r="AL21" s="1"/>
      <c r="AM21" s="1">
        <f t="shared" ca="1" si="27"/>
        <v>0.1565078902244984</v>
      </c>
      <c r="AN21" s="1">
        <f t="shared" ca="1" si="28"/>
        <v>30</v>
      </c>
      <c r="AO21" s="1">
        <f t="shared" ca="1" si="29"/>
        <v>8</v>
      </c>
      <c r="AQ21" s="1">
        <f t="shared" ca="1" si="30"/>
        <v>155</v>
      </c>
      <c r="AR21" s="1">
        <f t="shared" ca="1" si="31"/>
        <v>2</v>
      </c>
      <c r="AS21" s="1">
        <f t="shared" ca="1" si="32"/>
        <v>29</v>
      </c>
      <c r="AU21" s="1">
        <f t="shared" ca="1" si="33"/>
        <v>89</v>
      </c>
      <c r="AV21" s="1">
        <f t="shared" ca="1" si="34"/>
        <v>5</v>
      </c>
      <c r="AW21" s="1">
        <f t="shared" ca="1" si="35"/>
        <v>0.11371082621698292</v>
      </c>
      <c r="AY21" s="1">
        <f t="shared" ca="1" si="36"/>
        <v>1.5016194238071896</v>
      </c>
      <c r="AZ21" s="1">
        <f t="shared" ca="1" si="37"/>
        <v>229</v>
      </c>
      <c r="BA21" s="1">
        <f t="shared" ca="1" si="38"/>
        <v>8.8045604451537883E-3</v>
      </c>
      <c r="BG21" s="1">
        <f t="shared" ca="1" si="39"/>
        <v>0.21658082511737725</v>
      </c>
      <c r="BH21" s="1">
        <f t="shared" ca="1" si="40"/>
        <v>0.52818850089116909</v>
      </c>
      <c r="BI21" s="1">
        <f t="shared" ca="1" si="41"/>
        <v>491</v>
      </c>
      <c r="BV21" s="1">
        <f t="shared" ca="1" si="42"/>
        <v>0.52395401492831128</v>
      </c>
      <c r="BW21" s="1">
        <f t="shared" ca="1" si="43"/>
        <v>354</v>
      </c>
      <c r="BX21" s="1">
        <f t="shared" ca="1" si="44"/>
        <v>4.0868792507561752E-3</v>
      </c>
      <c r="BY21" s="1">
        <f t="shared" ca="1" si="45"/>
        <v>8.7444782837040144E-2</v>
      </c>
      <c r="BZ21" s="1">
        <f t="shared" ca="1" si="46"/>
        <v>0.22324262483935331</v>
      </c>
      <c r="CB21" s="1">
        <f t="shared" ca="1" si="47"/>
        <v>417</v>
      </c>
      <c r="CC21" s="1">
        <f t="shared" ca="1" si="48"/>
        <v>8</v>
      </c>
      <c r="CD21" s="1">
        <f t="shared" ca="1" si="49"/>
        <v>0.24631072881939611</v>
      </c>
      <c r="CE21" s="1">
        <f t="shared" ca="1" si="50"/>
        <v>0.84467869511009952</v>
      </c>
      <c r="CF21" s="1">
        <f t="shared" ca="1" si="50"/>
        <v>0.82088485522735832</v>
      </c>
      <c r="CH21" s="3">
        <f t="shared" ca="1" si="51"/>
        <v>0.87776875941636212</v>
      </c>
      <c r="CI21" s="3">
        <f t="shared" ca="1" si="52"/>
        <v>0.1529771664250211</v>
      </c>
      <c r="CJ21" s="3">
        <f t="shared" ca="1" si="53"/>
        <v>1903</v>
      </c>
      <c r="CK21" s="3">
        <f t="shared" ca="1" si="54"/>
        <v>1.9610765453449285E-3</v>
      </c>
      <c r="CL21" s="3">
        <f t="shared" ca="1" si="55"/>
        <v>1</v>
      </c>
      <c r="CM21" s="3"/>
      <c r="CN21" s="1">
        <f t="shared" ca="1" si="56"/>
        <v>10.263487317434652</v>
      </c>
      <c r="CO21" s="1">
        <f t="shared" ca="1" si="57"/>
        <v>0.26259496910596231</v>
      </c>
      <c r="CP21" s="1">
        <f t="shared" ca="1" si="58"/>
        <v>5</v>
      </c>
      <c r="CV21" s="1">
        <f t="shared" ca="1" si="59"/>
        <v>5.4156815415838224</v>
      </c>
      <c r="CW21" s="1">
        <f t="shared" ca="1" si="60"/>
        <v>916</v>
      </c>
      <c r="CX21" s="1">
        <f t="shared" ca="1" si="61"/>
        <v>5.1838491456359772E-3</v>
      </c>
      <c r="DH21" s="1">
        <f t="shared" ca="1" si="62"/>
        <v>851</v>
      </c>
      <c r="DI21" s="1">
        <f t="shared" ca="1" si="63"/>
        <v>0.56041570445285571</v>
      </c>
      <c r="DJ21" s="1">
        <f t="shared" ca="1" si="64"/>
        <v>16</v>
      </c>
      <c r="DL21" s="1">
        <f t="shared" ca="1" si="65"/>
        <v>6.9532015786598095E-2</v>
      </c>
      <c r="DM21" s="1">
        <f t="shared" ca="1" si="66"/>
        <v>203</v>
      </c>
      <c r="DN21" s="1">
        <f t="shared" ca="1" si="67"/>
        <v>8</v>
      </c>
      <c r="DW21" s="1">
        <f t="shared" ca="1" si="71"/>
        <v>266</v>
      </c>
      <c r="DX21" s="1">
        <f t="shared" ca="1" si="72"/>
        <v>3</v>
      </c>
      <c r="DY21" s="1">
        <f t="shared" ca="1" si="73"/>
        <v>7</v>
      </c>
    </row>
    <row r="22" spans="2:129" x14ac:dyDescent="0.25">
      <c r="B22">
        <f t="shared" ca="1" si="0"/>
        <v>551</v>
      </c>
      <c r="C22">
        <f t="shared" ca="1" si="1"/>
        <v>50</v>
      </c>
      <c r="D22">
        <f t="shared" ca="1" si="2"/>
        <v>0.25924546266137816</v>
      </c>
      <c r="F22" s="1">
        <f t="shared" ca="1" si="3"/>
        <v>47</v>
      </c>
      <c r="G22" s="1">
        <f t="shared" ca="1" si="4"/>
        <v>23</v>
      </c>
      <c r="H22" s="1">
        <f t="shared" ca="1" si="5"/>
        <v>8</v>
      </c>
      <c r="I22" s="1"/>
      <c r="J22" s="1">
        <f t="shared" ca="1" si="6"/>
        <v>1</v>
      </c>
      <c r="K22" s="1">
        <f t="shared" ca="1" si="7"/>
        <v>2.4963038893488338</v>
      </c>
      <c r="L22" s="1">
        <f t="shared" ca="1" si="8"/>
        <v>35</v>
      </c>
      <c r="M22" s="1"/>
      <c r="N22" s="1">
        <f t="shared" ca="1" si="9"/>
        <v>1000</v>
      </c>
      <c r="O22" s="1">
        <f t="shared" ca="1" si="10"/>
        <v>5</v>
      </c>
      <c r="P22" s="1"/>
      <c r="Q22" s="1">
        <f t="shared" ca="1" si="11"/>
        <v>0.85559405632716268</v>
      </c>
      <c r="R22" s="1">
        <f t="shared" ca="1" si="12"/>
        <v>699</v>
      </c>
      <c r="S22" s="1"/>
      <c r="T22" s="1">
        <f t="shared" ca="1" si="13"/>
        <v>0.13726751562051798</v>
      </c>
      <c r="U22" s="1">
        <f t="shared" ca="1" si="14"/>
        <v>62</v>
      </c>
      <c r="V22" s="1">
        <f t="shared" ca="1" si="15"/>
        <v>19</v>
      </c>
      <c r="W22" s="1"/>
      <c r="X22" s="1">
        <f t="shared" ca="1" si="16"/>
        <v>4.926202771654574</v>
      </c>
      <c r="Y22" s="1">
        <f t="shared" ca="1" si="17"/>
        <v>0.31759024716230722</v>
      </c>
      <c r="Z22" s="1">
        <f t="shared" ca="1" si="18"/>
        <v>232</v>
      </c>
      <c r="AB22" s="1">
        <f t="shared" ca="1" si="19"/>
        <v>0.73420672790329644</v>
      </c>
      <c r="AC22" s="1">
        <f t="shared" ca="1" si="20"/>
        <v>539</v>
      </c>
      <c r="AD22" s="1">
        <f t="shared" ca="1" si="21"/>
        <v>2.0616036688561146E-3</v>
      </c>
      <c r="AE22" s="1"/>
      <c r="AF22" s="1">
        <f t="shared" ca="1" si="22"/>
        <v>0.48279125249024568</v>
      </c>
      <c r="AG22" s="1">
        <f t="shared" ca="1" si="23"/>
        <v>554</v>
      </c>
      <c r="AH22" s="1">
        <f t="shared" ca="1" si="24"/>
        <v>7.2359021837121408E-3</v>
      </c>
      <c r="AJ22" s="1">
        <f t="shared" ca="1" si="25"/>
        <v>0.51323170448032551</v>
      </c>
      <c r="AK22" s="1">
        <f t="shared" ca="1" si="26"/>
        <v>4.5779012923758394E-3</v>
      </c>
      <c r="AL22" s="1"/>
      <c r="AM22" s="1">
        <f t="shared" ca="1" si="27"/>
        <v>2.4364112412531513E-2</v>
      </c>
      <c r="AN22" s="1">
        <f t="shared" ca="1" si="28"/>
        <v>67</v>
      </c>
      <c r="AO22" s="1">
        <f t="shared" ca="1" si="29"/>
        <v>7</v>
      </c>
      <c r="AQ22" s="1">
        <f t="shared" ca="1" si="30"/>
        <v>136</v>
      </c>
      <c r="AR22" s="1">
        <f t="shared" ca="1" si="31"/>
        <v>9</v>
      </c>
      <c r="AS22" s="1">
        <f t="shared" ca="1" si="32"/>
        <v>58</v>
      </c>
      <c r="AU22" s="1">
        <f t="shared" ca="1" si="33"/>
        <v>350</v>
      </c>
      <c r="AV22" s="1">
        <f t="shared" ca="1" si="34"/>
        <v>4</v>
      </c>
      <c r="AW22" s="1">
        <f t="shared" ca="1" si="35"/>
        <v>0.17006286277651328</v>
      </c>
      <c r="AY22" s="1">
        <f t="shared" ca="1" si="36"/>
        <v>1.1616406244173392</v>
      </c>
      <c r="AZ22" s="1">
        <f t="shared" ca="1" si="37"/>
        <v>398</v>
      </c>
      <c r="BA22" s="1">
        <f t="shared" ca="1" si="38"/>
        <v>6.132258142328025E-3</v>
      </c>
      <c r="BG22" s="1">
        <f t="shared" ca="1" si="39"/>
        <v>0.46667911623645431</v>
      </c>
      <c r="BH22" s="1">
        <f t="shared" ca="1" si="40"/>
        <v>0.87694485537864608</v>
      </c>
      <c r="BI22" s="1">
        <f t="shared" ca="1" si="41"/>
        <v>300</v>
      </c>
      <c r="BV22" s="1">
        <f t="shared" ca="1" si="42"/>
        <v>0.70421780562410097</v>
      </c>
      <c r="BW22" s="1">
        <f t="shared" ca="1" si="43"/>
        <v>740</v>
      </c>
      <c r="BX22" s="1">
        <f t="shared" ca="1" si="44"/>
        <v>3.1360185497211787E-3</v>
      </c>
      <c r="BY22" s="1">
        <f t="shared" ca="1" si="45"/>
        <v>8.9547753759966348E-2</v>
      </c>
      <c r="BZ22" s="1">
        <f t="shared" ca="1" si="46"/>
        <v>0.54126121830553975</v>
      </c>
      <c r="CB22" s="1">
        <f t="shared" ca="1" si="47"/>
        <v>141</v>
      </c>
      <c r="CC22" s="1">
        <f t="shared" ca="1" si="48"/>
        <v>4</v>
      </c>
      <c r="CD22" s="1">
        <f t="shared" ca="1" si="49"/>
        <v>5.021663930471857E-2</v>
      </c>
      <c r="CE22" s="1">
        <f t="shared" ca="1" si="50"/>
        <v>0.76068080117704551</v>
      </c>
      <c r="CF22" s="1">
        <f t="shared" ca="1" si="50"/>
        <v>0.76001609103936385</v>
      </c>
      <c r="CH22" s="3">
        <f t="shared" ca="1" si="51"/>
        <v>0.43868679253237641</v>
      </c>
      <c r="CI22" s="3">
        <f t="shared" ca="1" si="52"/>
        <v>0.750437466777924</v>
      </c>
      <c r="CJ22" s="3">
        <f t="shared" ca="1" si="53"/>
        <v>659</v>
      </c>
      <c r="CK22" s="3">
        <f t="shared" ca="1" si="54"/>
        <v>8.1509079934620771E-3</v>
      </c>
      <c r="CL22" s="3">
        <f t="shared" ca="1" si="55"/>
        <v>1</v>
      </c>
      <c r="CM22" s="3"/>
      <c r="CN22" s="1">
        <f t="shared" ca="1" si="56"/>
        <v>16.114586992827899</v>
      </c>
      <c r="CO22" s="1">
        <f t="shared" ca="1" si="57"/>
        <v>0.39191991604712956</v>
      </c>
      <c r="CP22" s="1">
        <f t="shared" ca="1" si="58"/>
        <v>1</v>
      </c>
      <c r="CV22" s="1">
        <f t="shared" ca="1" si="59"/>
        <v>5.4754794232311816</v>
      </c>
      <c r="CW22" s="1">
        <f t="shared" ca="1" si="60"/>
        <v>206</v>
      </c>
      <c r="CX22" s="1">
        <f t="shared" ca="1" si="61"/>
        <v>8.5996544246188088E-3</v>
      </c>
      <c r="DH22" s="1">
        <f t="shared" ca="1" si="62"/>
        <v>736</v>
      </c>
      <c r="DI22" s="1">
        <f t="shared" ca="1" si="63"/>
        <v>0.89139560884836377</v>
      </c>
      <c r="DJ22" s="1">
        <f t="shared" ca="1" si="64"/>
        <v>7</v>
      </c>
      <c r="DL22" s="1">
        <f t="shared" ca="1" si="65"/>
        <v>0.15079601617340971</v>
      </c>
      <c r="DM22" s="1">
        <f t="shared" ca="1" si="66"/>
        <v>177</v>
      </c>
      <c r="DN22" s="1">
        <f t="shared" ca="1" si="67"/>
        <v>6</v>
      </c>
      <c r="DW22" s="1">
        <f t="shared" ca="1" si="71"/>
        <v>112</v>
      </c>
      <c r="DX22" s="1">
        <f t="shared" ca="1" si="72"/>
        <v>15</v>
      </c>
      <c r="DY22" s="1">
        <f t="shared" ca="1" si="73"/>
        <v>5</v>
      </c>
    </row>
    <row r="23" spans="2:129" x14ac:dyDescent="0.25">
      <c r="B23">
        <f t="shared" ca="1" si="0"/>
        <v>304</v>
      </c>
      <c r="C23">
        <f t="shared" ca="1" si="1"/>
        <v>37</v>
      </c>
      <c r="D23">
        <f t="shared" ca="1" si="2"/>
        <v>0.122331330996495</v>
      </c>
      <c r="F23" s="1">
        <f t="shared" ca="1" si="3"/>
        <v>30</v>
      </c>
      <c r="G23" s="1">
        <f t="shared" ca="1" si="4"/>
        <v>23</v>
      </c>
      <c r="H23" s="1">
        <f t="shared" ca="1" si="5"/>
        <v>10</v>
      </c>
      <c r="I23" s="1"/>
      <c r="J23" s="1">
        <f t="shared" ca="1" si="6"/>
        <v>23</v>
      </c>
      <c r="K23" s="1">
        <f t="shared" ca="1" si="7"/>
        <v>2.5515735016606902</v>
      </c>
      <c r="L23" s="1">
        <f t="shared" ca="1" si="8"/>
        <v>3</v>
      </c>
      <c r="M23" s="1"/>
      <c r="N23" s="1">
        <f t="shared" ca="1" si="9"/>
        <v>794</v>
      </c>
      <c r="O23" s="1">
        <f t="shared" ca="1" si="10"/>
        <v>45</v>
      </c>
      <c r="P23" s="1"/>
      <c r="Q23" s="1">
        <f t="shared" ca="1" si="11"/>
        <v>5.8225928145738501E-2</v>
      </c>
      <c r="R23" s="1">
        <f t="shared" ca="1" si="12"/>
        <v>256</v>
      </c>
      <c r="S23" s="1"/>
      <c r="T23" s="1">
        <f t="shared" ca="1" si="13"/>
        <v>0.19981195982739552</v>
      </c>
      <c r="U23" s="1">
        <f t="shared" ca="1" si="14"/>
        <v>171</v>
      </c>
      <c r="V23" s="1">
        <f t="shared" ca="1" si="15"/>
        <v>22</v>
      </c>
      <c r="W23" s="1"/>
      <c r="X23" s="1">
        <f t="shared" ca="1" si="16"/>
        <v>2.8584099293790786</v>
      </c>
      <c r="Y23" s="1">
        <f t="shared" ca="1" si="17"/>
        <v>0.62250687158714779</v>
      </c>
      <c r="Z23" s="1">
        <f t="shared" ca="1" si="18"/>
        <v>1724</v>
      </c>
      <c r="AB23" s="1">
        <f t="shared" ca="1" si="19"/>
        <v>0.95425471136026951</v>
      </c>
      <c r="AC23" s="1">
        <f t="shared" ca="1" si="20"/>
        <v>605</v>
      </c>
      <c r="AD23" s="1">
        <f t="shared" ca="1" si="21"/>
        <v>4.5796615220570569E-3</v>
      </c>
      <c r="AE23" s="1"/>
      <c r="AF23" s="1">
        <f t="shared" ca="1" si="22"/>
        <v>0.84009703789224177</v>
      </c>
      <c r="AG23" s="1">
        <f t="shared" ca="1" si="23"/>
        <v>428</v>
      </c>
      <c r="AH23" s="1">
        <f t="shared" ca="1" si="24"/>
        <v>7.8391528923281734E-3</v>
      </c>
      <c r="AJ23" s="1">
        <f t="shared" ca="1" si="25"/>
        <v>0.392871171372982</v>
      </c>
      <c r="AK23" s="1">
        <f t="shared" ca="1" si="26"/>
        <v>5.1032431651598176E-3</v>
      </c>
      <c r="AL23" s="1"/>
      <c r="AM23" s="1">
        <f t="shared" ca="1" si="27"/>
        <v>0.185032396662659</v>
      </c>
      <c r="AN23" s="1">
        <f t="shared" ca="1" si="28"/>
        <v>41</v>
      </c>
      <c r="AO23" s="1">
        <f t="shared" ca="1" si="29"/>
        <v>6</v>
      </c>
      <c r="AQ23" s="1">
        <f t="shared" ca="1" si="30"/>
        <v>138</v>
      </c>
      <c r="AR23" s="1">
        <f t="shared" ca="1" si="31"/>
        <v>5</v>
      </c>
      <c r="AS23" s="1">
        <f t="shared" ca="1" si="32"/>
        <v>18</v>
      </c>
      <c r="AU23" s="1">
        <f t="shared" ca="1" si="33"/>
        <v>148</v>
      </c>
      <c r="AV23" s="1">
        <f t="shared" ca="1" si="34"/>
        <v>2</v>
      </c>
      <c r="AW23" s="1">
        <f t="shared" ca="1" si="35"/>
        <v>3.1851065226349638E-2</v>
      </c>
      <c r="AY23" s="1">
        <f t="shared" ca="1" si="36"/>
        <v>1.898153562783911</v>
      </c>
      <c r="AZ23" s="1">
        <f t="shared" ca="1" si="37"/>
        <v>164</v>
      </c>
      <c r="BA23" s="1">
        <f t="shared" ca="1" si="38"/>
        <v>2.0065206344486199E-3</v>
      </c>
      <c r="BG23" s="1">
        <f t="shared" ca="1" si="39"/>
        <v>0.35457024021651323</v>
      </c>
      <c r="BH23" s="1">
        <f t="shared" ca="1" si="40"/>
        <v>2.0886520158680644E-2</v>
      </c>
      <c r="BI23" s="1">
        <f t="shared" ca="1" si="41"/>
        <v>570</v>
      </c>
      <c r="BV23" s="1">
        <f t="shared" ca="1" si="42"/>
        <v>0.46324832198353422</v>
      </c>
      <c r="BW23" s="1">
        <f t="shared" ca="1" si="43"/>
        <v>386</v>
      </c>
      <c r="BX23" s="1">
        <f t="shared" ca="1" si="44"/>
        <v>9.6442269553944516E-3</v>
      </c>
      <c r="BY23" s="1">
        <f t="shared" ca="1" si="45"/>
        <v>9.6261636905530468E-2</v>
      </c>
      <c r="BZ23" s="1">
        <f t="shared" ca="1" si="46"/>
        <v>0.50288397087825643</v>
      </c>
      <c r="CB23" s="1">
        <f t="shared" ca="1" si="47"/>
        <v>420</v>
      </c>
      <c r="CC23" s="1">
        <f t="shared" ca="1" si="48"/>
        <v>5</v>
      </c>
      <c r="CD23" s="1">
        <f t="shared" ca="1" si="49"/>
        <v>0.16787179365781787</v>
      </c>
      <c r="CE23" s="1">
        <f t="shared" ca="1" si="50"/>
        <v>0.72434060907484477</v>
      </c>
      <c r="CF23" s="1">
        <f t="shared" ca="1" si="50"/>
        <v>0.81267311874893999</v>
      </c>
      <c r="CH23" s="3">
        <f t="shared" ca="1" si="51"/>
        <v>0.56933230431334092</v>
      </c>
      <c r="CI23" s="3">
        <f t="shared" ca="1" si="52"/>
        <v>0.17730799195099767</v>
      </c>
      <c r="CJ23" s="3">
        <f t="shared" ca="1" si="53"/>
        <v>246</v>
      </c>
      <c r="CK23" s="3">
        <f t="shared" ca="1" si="54"/>
        <v>8.3786537509706101E-3</v>
      </c>
      <c r="CL23" s="3">
        <f t="shared" ca="1" si="55"/>
        <v>1</v>
      </c>
      <c r="CM23" s="3"/>
      <c r="CN23" s="1">
        <f t="shared" ca="1" si="56"/>
        <v>16.150341699917604</v>
      </c>
      <c r="CO23" s="1">
        <f t="shared" ca="1" si="57"/>
        <v>0.4848950057017371</v>
      </c>
      <c r="CP23" s="1">
        <f t="shared" ca="1" si="58"/>
        <v>5</v>
      </c>
      <c r="CV23" s="1">
        <f t="shared" ca="1" si="59"/>
        <v>0.45067872236994949</v>
      </c>
      <c r="CW23" s="1">
        <f t="shared" ca="1" si="60"/>
        <v>957</v>
      </c>
      <c r="CX23" s="1">
        <f t="shared" ca="1" si="61"/>
        <v>3.5515736925722055E-3</v>
      </c>
      <c r="DH23" s="1">
        <f t="shared" ca="1" si="62"/>
        <v>746</v>
      </c>
      <c r="DI23" s="1">
        <f t="shared" ca="1" si="63"/>
        <v>0.40305022541649471</v>
      </c>
      <c r="DJ23" s="1">
        <f t="shared" ca="1" si="64"/>
        <v>23</v>
      </c>
      <c r="DL23" s="1">
        <f t="shared" ca="1" si="65"/>
        <v>0.12801125943952626</v>
      </c>
      <c r="DM23" s="1">
        <f t="shared" ca="1" si="66"/>
        <v>75</v>
      </c>
      <c r="DN23" s="1">
        <f t="shared" ca="1" si="67"/>
        <v>7</v>
      </c>
      <c r="DW23" s="1">
        <f t="shared" ca="1" si="71"/>
        <v>369</v>
      </c>
      <c r="DX23" s="1">
        <f t="shared" ca="1" si="72"/>
        <v>18</v>
      </c>
      <c r="DY23" s="1">
        <f t="shared" ca="1" si="73"/>
        <v>14</v>
      </c>
    </row>
    <row r="24" spans="2:129" x14ac:dyDescent="0.25">
      <c r="B24">
        <f t="shared" ca="1" si="0"/>
        <v>732</v>
      </c>
      <c r="C24">
        <f t="shared" ca="1" si="1"/>
        <v>2</v>
      </c>
      <c r="D24">
        <f t="shared" ca="1" si="2"/>
        <v>1.2262202217998893E-2</v>
      </c>
      <c r="F24" s="1">
        <f t="shared" ca="1" si="3"/>
        <v>33</v>
      </c>
      <c r="G24" s="1">
        <f t="shared" ca="1" si="4"/>
        <v>7</v>
      </c>
      <c r="H24" s="1">
        <f t="shared" ca="1" si="5"/>
        <v>9</v>
      </c>
      <c r="I24" s="1"/>
      <c r="J24" s="1">
        <f t="shared" ca="1" si="6"/>
        <v>20</v>
      </c>
      <c r="K24" s="1">
        <f t="shared" ca="1" si="7"/>
        <v>1.9691444050960223</v>
      </c>
      <c r="L24" s="1">
        <f t="shared" ca="1" si="8"/>
        <v>33</v>
      </c>
      <c r="M24" s="1"/>
      <c r="N24" s="1">
        <f t="shared" ca="1" si="9"/>
        <v>149</v>
      </c>
      <c r="O24" s="1">
        <f t="shared" ca="1" si="10"/>
        <v>26</v>
      </c>
      <c r="P24" s="1"/>
      <c r="Q24" s="1">
        <f t="shared" ca="1" si="11"/>
        <v>1.1079456638906686</v>
      </c>
      <c r="R24" s="1">
        <f t="shared" ca="1" si="12"/>
        <v>1049</v>
      </c>
      <c r="S24" s="1"/>
      <c r="T24" s="1">
        <f t="shared" ca="1" si="13"/>
        <v>4.2677638332490421E-2</v>
      </c>
      <c r="U24" s="1">
        <f t="shared" ca="1" si="14"/>
        <v>392</v>
      </c>
      <c r="V24" s="1">
        <f t="shared" ca="1" si="15"/>
        <v>35</v>
      </c>
      <c r="W24" s="1"/>
      <c r="X24" s="1">
        <f t="shared" ca="1" si="16"/>
        <v>3.7441952423953433</v>
      </c>
      <c r="Y24" s="1">
        <f t="shared" ca="1" si="17"/>
        <v>1.1000463686039075E-2</v>
      </c>
      <c r="Z24" s="1">
        <f t="shared" ca="1" si="18"/>
        <v>462</v>
      </c>
      <c r="AB24" s="1">
        <f t="shared" ca="1" si="19"/>
        <v>0.86784034242073904</v>
      </c>
      <c r="AC24" s="1">
        <f t="shared" ca="1" si="20"/>
        <v>988</v>
      </c>
      <c r="AD24" s="1">
        <f t="shared" ca="1" si="21"/>
        <v>7.1446413399124005E-3</v>
      </c>
      <c r="AE24" s="1"/>
      <c r="AF24" s="1">
        <f t="shared" ca="1" si="22"/>
        <v>0.15087595384950775</v>
      </c>
      <c r="AG24" s="1">
        <f t="shared" ca="1" si="23"/>
        <v>897</v>
      </c>
      <c r="AH24" s="1">
        <f t="shared" ca="1" si="24"/>
        <v>6.5660270231785479E-3</v>
      </c>
      <c r="AJ24" s="1">
        <f t="shared" ca="1" si="25"/>
        <v>0.92979655521031657</v>
      </c>
      <c r="AK24" s="1">
        <f t="shared" ca="1" si="26"/>
        <v>8.8640628305222398E-4</v>
      </c>
      <c r="AL24" s="1"/>
      <c r="AM24" s="1">
        <f t="shared" ca="1" si="27"/>
        <v>0.12737480124724426</v>
      </c>
      <c r="AN24" s="1">
        <f t="shared" ca="1" si="28"/>
        <v>36</v>
      </c>
      <c r="AO24" s="1">
        <f t="shared" ca="1" si="29"/>
        <v>14</v>
      </c>
      <c r="AQ24" s="1">
        <f t="shared" ca="1" si="30"/>
        <v>15</v>
      </c>
      <c r="AR24" s="1">
        <f t="shared" ca="1" si="31"/>
        <v>3</v>
      </c>
      <c r="AS24" s="1">
        <f t="shared" ca="1" si="32"/>
        <v>77</v>
      </c>
      <c r="AU24" s="1">
        <f t="shared" ca="1" si="33"/>
        <v>71</v>
      </c>
      <c r="AV24" s="1">
        <f t="shared" ca="1" si="34"/>
        <v>7</v>
      </c>
      <c r="AW24" s="1">
        <f t="shared" ca="1" si="35"/>
        <v>9.6514598264202708E-2</v>
      </c>
      <c r="AY24" s="1">
        <f t="shared" ca="1" si="36"/>
        <v>1.9114454815082058</v>
      </c>
      <c r="AZ24" s="1">
        <f t="shared" ca="1" si="37"/>
        <v>104</v>
      </c>
      <c r="BA24" s="1">
        <f t="shared" ca="1" si="38"/>
        <v>6.9414298808338493E-3</v>
      </c>
      <c r="BG24" s="1">
        <f t="shared" ca="1" si="39"/>
        <v>0.75939716385701095</v>
      </c>
      <c r="BH24" s="1">
        <f t="shared" ca="1" si="40"/>
        <v>0.19781818126465722</v>
      </c>
      <c r="BI24" s="1">
        <f t="shared" ca="1" si="41"/>
        <v>171</v>
      </c>
      <c r="BV24" s="1">
        <f t="shared" ca="1" si="42"/>
        <v>0.70685007196450722</v>
      </c>
      <c r="BW24" s="1">
        <f t="shared" ca="1" si="43"/>
        <v>192</v>
      </c>
      <c r="BX24" s="1">
        <f t="shared" ca="1" si="44"/>
        <v>7.5329137422993336E-3</v>
      </c>
      <c r="BY24" s="1">
        <f t="shared" ca="1" si="45"/>
        <v>6.5638854942803079E-3</v>
      </c>
      <c r="BZ24" s="1">
        <f t="shared" ca="1" si="46"/>
        <v>0.8350912104435283</v>
      </c>
      <c r="CB24" s="1">
        <f t="shared" ca="1" si="47"/>
        <v>56</v>
      </c>
      <c r="CC24" s="1">
        <f t="shared" ca="1" si="48"/>
        <v>12</v>
      </c>
      <c r="CD24" s="1">
        <f t="shared" ca="1" si="49"/>
        <v>5.221561301428819E-2</v>
      </c>
      <c r="CE24" s="1">
        <f t="shared" ca="1" si="50"/>
        <v>0.61351036836787087</v>
      </c>
      <c r="CF24" s="1">
        <f t="shared" ca="1" si="50"/>
        <v>0.52788749699488491</v>
      </c>
      <c r="CH24" s="3">
        <f t="shared" ca="1" si="51"/>
        <v>0.63663781118878704</v>
      </c>
      <c r="CI24" s="3">
        <f t="shared" ca="1" si="52"/>
        <v>0.74441154470749438</v>
      </c>
      <c r="CJ24" s="3">
        <f t="shared" ca="1" si="53"/>
        <v>1665</v>
      </c>
      <c r="CK24" s="3">
        <f t="shared" ca="1" si="54"/>
        <v>9.2288719835453316E-3</v>
      </c>
      <c r="CL24" s="3">
        <f t="shared" ca="1" si="55"/>
        <v>1</v>
      </c>
      <c r="CM24" s="3"/>
      <c r="CN24" s="1">
        <f t="shared" ca="1" si="56"/>
        <v>4.9524533835721947</v>
      </c>
      <c r="CO24" s="1">
        <f t="shared" ca="1" si="57"/>
        <v>0.33836354850842315</v>
      </c>
      <c r="CP24" s="1">
        <f t="shared" ca="1" si="58"/>
        <v>2</v>
      </c>
      <c r="CV24" s="1">
        <f t="shared" ca="1" si="59"/>
        <v>9.3904997985564442</v>
      </c>
      <c r="CW24" s="1">
        <f t="shared" ca="1" si="60"/>
        <v>541</v>
      </c>
      <c r="CX24" s="1">
        <f t="shared" ca="1" si="61"/>
        <v>6.6080112881579138E-3</v>
      </c>
      <c r="DH24" s="1">
        <f t="shared" ca="1" si="62"/>
        <v>882</v>
      </c>
      <c r="DI24" s="1">
        <f t="shared" ca="1" si="63"/>
        <v>0.29631791547839226</v>
      </c>
      <c r="DJ24" s="1">
        <f t="shared" ca="1" si="64"/>
        <v>8</v>
      </c>
      <c r="DL24" s="1">
        <f t="shared" ca="1" si="65"/>
        <v>0.11613307467965533</v>
      </c>
      <c r="DM24" s="1">
        <f t="shared" ca="1" si="66"/>
        <v>86</v>
      </c>
      <c r="DN24" s="1">
        <f t="shared" ca="1" si="67"/>
        <v>10</v>
      </c>
      <c r="DW24" s="1">
        <f t="shared" ca="1" si="71"/>
        <v>238</v>
      </c>
      <c r="DX24" s="1">
        <f t="shared" ca="1" si="72"/>
        <v>7</v>
      </c>
      <c r="DY24" s="1">
        <f t="shared" ca="1" si="73"/>
        <v>14</v>
      </c>
    </row>
    <row r="25" spans="2:129" x14ac:dyDescent="0.25">
      <c r="B25">
        <f t="shared" ca="1" si="0"/>
        <v>729</v>
      </c>
      <c r="C25">
        <f t="shared" ca="1" si="1"/>
        <v>35</v>
      </c>
      <c r="D25">
        <f t="shared" ca="1" si="2"/>
        <v>0.20075293960161547</v>
      </c>
      <c r="F25" s="1">
        <f t="shared" ca="1" si="3"/>
        <v>39</v>
      </c>
      <c r="G25" s="1">
        <f t="shared" ca="1" si="4"/>
        <v>27</v>
      </c>
      <c r="H25" s="1">
        <f t="shared" ca="1" si="5"/>
        <v>15</v>
      </c>
      <c r="I25" s="1"/>
      <c r="J25" s="1">
        <f t="shared" ca="1" si="6"/>
        <v>19</v>
      </c>
      <c r="K25" s="1">
        <f t="shared" ca="1" si="7"/>
        <v>2.8561074082254398</v>
      </c>
      <c r="L25" s="1">
        <f t="shared" ca="1" si="8"/>
        <v>5</v>
      </c>
      <c r="M25" s="1"/>
      <c r="N25" s="1">
        <f t="shared" ca="1" si="9"/>
        <v>274</v>
      </c>
      <c r="O25" s="1">
        <f t="shared" ca="1" si="10"/>
        <v>14</v>
      </c>
      <c r="P25" s="1"/>
      <c r="Q25" s="1">
        <f t="shared" ca="1" si="11"/>
        <v>4.9016009221825776</v>
      </c>
      <c r="R25" s="1">
        <f t="shared" ca="1" si="12"/>
        <v>342</v>
      </c>
      <c r="S25" s="1"/>
      <c r="T25" s="1">
        <f t="shared" ca="1" si="13"/>
        <v>0.13692711000181321</v>
      </c>
      <c r="U25" s="1">
        <f t="shared" ca="1" si="14"/>
        <v>335</v>
      </c>
      <c r="V25" s="1">
        <f t="shared" ca="1" si="15"/>
        <v>33</v>
      </c>
      <c r="W25" s="1"/>
      <c r="X25" s="1">
        <f t="shared" ca="1" si="16"/>
        <v>7.3046677601203944</v>
      </c>
      <c r="Y25" s="1">
        <f t="shared" ca="1" si="17"/>
        <v>0.58583821018612203</v>
      </c>
      <c r="Z25" s="1">
        <f t="shared" ca="1" si="18"/>
        <v>1054</v>
      </c>
      <c r="AB25" s="1">
        <f t="shared" ca="1" si="19"/>
        <v>0.87170501255366173</v>
      </c>
      <c r="AC25" s="1">
        <f t="shared" ca="1" si="20"/>
        <v>640</v>
      </c>
      <c r="AD25" s="1">
        <f t="shared" ca="1" si="21"/>
        <v>7.620436209953633E-3</v>
      </c>
      <c r="AE25" s="1"/>
      <c r="AF25" s="1">
        <f t="shared" ca="1" si="22"/>
        <v>0.32928704507916406</v>
      </c>
      <c r="AG25" s="1">
        <f t="shared" ca="1" si="23"/>
        <v>212</v>
      </c>
      <c r="AH25" s="1">
        <f t="shared" ca="1" si="24"/>
        <v>3.8228965191678195E-3</v>
      </c>
      <c r="AJ25" s="1">
        <f t="shared" ca="1" si="25"/>
        <v>0.47029013859520852</v>
      </c>
      <c r="AK25" s="1">
        <f t="shared" ca="1" si="26"/>
        <v>9.920633125872224E-3</v>
      </c>
      <c r="AL25" s="1"/>
      <c r="AM25" s="1">
        <f t="shared" ca="1" si="27"/>
        <v>3.8177889521171113E-2</v>
      </c>
      <c r="AN25" s="1">
        <f t="shared" ca="1" si="28"/>
        <v>80</v>
      </c>
      <c r="AO25" s="1">
        <f t="shared" ca="1" si="29"/>
        <v>11</v>
      </c>
      <c r="AQ25" s="1">
        <f t="shared" ca="1" si="30"/>
        <v>188</v>
      </c>
      <c r="AR25" s="1">
        <f t="shared" ca="1" si="31"/>
        <v>0</v>
      </c>
      <c r="AS25" s="1">
        <f t="shared" ca="1" si="32"/>
        <v>74</v>
      </c>
      <c r="AU25" s="1">
        <f t="shared" ca="1" si="33"/>
        <v>313</v>
      </c>
      <c r="AV25" s="1">
        <f t="shared" ca="1" si="34"/>
        <v>6</v>
      </c>
      <c r="AW25" s="1">
        <f t="shared" ca="1" si="35"/>
        <v>0.10688009911376806</v>
      </c>
      <c r="AY25" s="1">
        <f t="shared" ca="1" si="36"/>
        <v>1.8364106372730971</v>
      </c>
      <c r="AZ25" s="1">
        <f t="shared" ca="1" si="37"/>
        <v>99</v>
      </c>
      <c r="BA25" s="1">
        <f t="shared" ca="1" si="38"/>
        <v>7.4180292543840473E-3</v>
      </c>
      <c r="BG25" s="1">
        <f t="shared" ca="1" si="39"/>
        <v>9.3040773978055463E-2</v>
      </c>
      <c r="BH25" s="1">
        <f t="shared" ca="1" si="40"/>
        <v>0.11748237656883997</v>
      </c>
      <c r="BI25" s="1">
        <f t="shared" ca="1" si="41"/>
        <v>284</v>
      </c>
      <c r="BV25" s="1">
        <f t="shared" ca="1" si="42"/>
        <v>0.39691591234741452</v>
      </c>
      <c r="BW25" s="1">
        <f t="shared" ca="1" si="43"/>
        <v>951</v>
      </c>
      <c r="BX25" s="1">
        <f t="shared" ca="1" si="44"/>
        <v>8.3197786453114862E-4</v>
      </c>
      <c r="BY25" s="1">
        <f t="shared" ca="1" si="45"/>
        <v>2.1855473308622479E-2</v>
      </c>
      <c r="BZ25" s="1">
        <f t="shared" ca="1" si="46"/>
        <v>0.29694439619899693</v>
      </c>
      <c r="CB25" s="1">
        <f t="shared" ca="1" si="47"/>
        <v>63</v>
      </c>
      <c r="CC25" s="1">
        <f t="shared" ca="1" si="48"/>
        <v>12</v>
      </c>
      <c r="CD25" s="1">
        <f t="shared" ca="1" si="49"/>
        <v>0.27270370162761526</v>
      </c>
      <c r="CE25" s="1">
        <f t="shared" ca="1" si="50"/>
        <v>0.6028956291749219</v>
      </c>
      <c r="CF25" s="1">
        <f t="shared" ca="1" si="50"/>
        <v>0.55968058956133893</v>
      </c>
      <c r="CH25" s="3">
        <f t="shared" ca="1" si="51"/>
        <v>0.93083195926814111</v>
      </c>
      <c r="CI25" s="3">
        <f t="shared" ca="1" si="52"/>
        <v>0.81983426335257192</v>
      </c>
      <c r="CJ25" s="3">
        <f t="shared" ca="1" si="53"/>
        <v>132</v>
      </c>
      <c r="CK25" s="3">
        <f t="shared" ca="1" si="54"/>
        <v>9.3190885447793324E-3</v>
      </c>
      <c r="CL25" s="3">
        <f t="shared" ca="1" si="55"/>
        <v>0</v>
      </c>
      <c r="CM25" s="3"/>
      <c r="CN25" s="1">
        <f t="shared" ca="1" si="56"/>
        <v>2.1725265060430483</v>
      </c>
      <c r="CO25" s="1">
        <f t="shared" ca="1" si="57"/>
        <v>0.12602746955525646</v>
      </c>
      <c r="CP25" s="1">
        <f t="shared" ca="1" si="58"/>
        <v>3</v>
      </c>
      <c r="CV25" s="1">
        <f t="shared" ca="1" si="59"/>
        <v>5.5230169090119281</v>
      </c>
      <c r="CW25" s="1">
        <f t="shared" ca="1" si="60"/>
        <v>1367</v>
      </c>
      <c r="CX25" s="1">
        <f t="shared" ca="1" si="61"/>
        <v>1.2666837564921608E-3</v>
      </c>
      <c r="DH25" s="1">
        <f t="shared" ca="1" si="62"/>
        <v>163</v>
      </c>
      <c r="DI25" s="1">
        <f t="shared" ca="1" si="63"/>
        <v>0.99847953903582909</v>
      </c>
      <c r="DJ25" s="1">
        <f t="shared" ca="1" si="64"/>
        <v>8</v>
      </c>
      <c r="DL25" s="1">
        <f t="shared" ca="1" si="65"/>
        <v>0.12314149128545882</v>
      </c>
      <c r="DM25" s="1">
        <f t="shared" ca="1" si="66"/>
        <v>296</v>
      </c>
      <c r="DN25" s="1">
        <f t="shared" ca="1" si="67"/>
        <v>6</v>
      </c>
      <c r="DW25" s="1">
        <f t="shared" ca="1" si="71"/>
        <v>460</v>
      </c>
      <c r="DX25" s="1">
        <f t="shared" ca="1" si="72"/>
        <v>9</v>
      </c>
      <c r="DY25" s="1">
        <f t="shared" ca="1" si="73"/>
        <v>16</v>
      </c>
    </row>
    <row r="26" spans="2:129" x14ac:dyDescent="0.25">
      <c r="B26">
        <f t="shared" ca="1" si="0"/>
        <v>591</v>
      </c>
      <c r="C26">
        <f t="shared" ca="1" si="1"/>
        <v>13</v>
      </c>
      <c r="D26">
        <f t="shared" ca="1" si="2"/>
        <v>4.3641265595222946E-2</v>
      </c>
      <c r="F26" s="1">
        <f t="shared" ca="1" si="3"/>
        <v>40</v>
      </c>
      <c r="G26" s="1">
        <f t="shared" ca="1" si="4"/>
        <v>22</v>
      </c>
      <c r="H26" s="1">
        <f t="shared" ca="1" si="5"/>
        <v>6</v>
      </c>
      <c r="I26" s="1"/>
      <c r="J26" s="1">
        <f t="shared" ca="1" si="6"/>
        <v>33</v>
      </c>
      <c r="K26" s="1">
        <f t="shared" ca="1" si="7"/>
        <v>1.302347737691798</v>
      </c>
      <c r="L26" s="1">
        <f t="shared" ca="1" si="8"/>
        <v>26</v>
      </c>
      <c r="M26" s="1"/>
      <c r="N26" s="1">
        <f t="shared" ca="1" si="9"/>
        <v>281</v>
      </c>
      <c r="O26" s="1">
        <f t="shared" ca="1" si="10"/>
        <v>40</v>
      </c>
      <c r="P26" s="1"/>
      <c r="Q26" s="1">
        <f t="shared" ca="1" si="11"/>
        <v>4.5458844688630498</v>
      </c>
      <c r="R26" s="1">
        <f t="shared" ca="1" si="12"/>
        <v>247</v>
      </c>
      <c r="S26" s="1"/>
      <c r="T26" s="1">
        <f t="shared" ca="1" si="13"/>
        <v>0.15547860525641347</v>
      </c>
      <c r="U26" s="1">
        <f t="shared" ca="1" si="14"/>
        <v>354</v>
      </c>
      <c r="V26" s="1">
        <f t="shared" ca="1" si="15"/>
        <v>31</v>
      </c>
      <c r="W26" s="1"/>
      <c r="X26" s="1">
        <f t="shared" ca="1" si="16"/>
        <v>3.3766746864756314</v>
      </c>
      <c r="Y26" s="1">
        <f t="shared" ca="1" si="17"/>
        <v>7.2172028533021553E-3</v>
      </c>
      <c r="Z26" s="1">
        <f t="shared" ca="1" si="18"/>
        <v>281</v>
      </c>
      <c r="AB26" s="1">
        <f t="shared" ca="1" si="19"/>
        <v>0.2540402144143874</v>
      </c>
      <c r="AC26" s="1">
        <f t="shared" ca="1" si="20"/>
        <v>296</v>
      </c>
      <c r="AD26" s="1">
        <f t="shared" ca="1" si="21"/>
        <v>3.6560146694527992E-3</v>
      </c>
      <c r="AE26" s="1"/>
      <c r="AF26" s="1">
        <f t="shared" ca="1" si="22"/>
        <v>0.40220138989082033</v>
      </c>
      <c r="AG26" s="1">
        <f t="shared" ca="1" si="23"/>
        <v>624</v>
      </c>
      <c r="AH26" s="1">
        <f t="shared" ca="1" si="24"/>
        <v>4.5400253735957234E-3</v>
      </c>
      <c r="AJ26" s="1">
        <f t="shared" ca="1" si="25"/>
        <v>0.74705893585793848</v>
      </c>
      <c r="AK26" s="1">
        <f t="shared" ca="1" si="26"/>
        <v>9.574345965840966E-3</v>
      </c>
      <c r="AL26" s="1"/>
      <c r="AM26" s="1">
        <f t="shared" ca="1" si="27"/>
        <v>0.1763798852745215</v>
      </c>
      <c r="AN26" s="1">
        <f t="shared" ca="1" si="28"/>
        <v>47</v>
      </c>
      <c r="AO26" s="1">
        <f t="shared" ca="1" si="29"/>
        <v>10</v>
      </c>
      <c r="AQ26" s="1">
        <f t="shared" ca="1" si="30"/>
        <v>100</v>
      </c>
      <c r="AR26" s="1">
        <f t="shared" ca="1" si="31"/>
        <v>4</v>
      </c>
      <c r="AS26" s="1">
        <f t="shared" ca="1" si="32"/>
        <v>27</v>
      </c>
      <c r="AU26" s="1">
        <f t="shared" ca="1" si="33"/>
        <v>102</v>
      </c>
      <c r="AV26" s="1">
        <f t="shared" ca="1" si="34"/>
        <v>6</v>
      </c>
      <c r="AW26" s="1">
        <f t="shared" ca="1" si="35"/>
        <v>0.15434487413568396</v>
      </c>
      <c r="AY26" s="1">
        <f t="shared" ca="1" si="36"/>
        <v>1.6330632700701817</v>
      </c>
      <c r="AZ26" s="1">
        <f t="shared" ca="1" si="37"/>
        <v>217</v>
      </c>
      <c r="BA26" s="1">
        <f t="shared" ca="1" si="38"/>
        <v>4.8230684022992562E-3</v>
      </c>
      <c r="BG26" s="1">
        <f t="shared" ca="1" si="39"/>
        <v>0.81370384498736503</v>
      </c>
      <c r="BH26" s="1">
        <f t="shared" ca="1" si="40"/>
        <v>0.52547618454345679</v>
      </c>
      <c r="BI26" s="1">
        <f t="shared" ca="1" si="41"/>
        <v>180</v>
      </c>
      <c r="BV26" s="1">
        <f t="shared" ca="1" si="42"/>
        <v>0.20281733320271714</v>
      </c>
      <c r="BW26" s="1">
        <f t="shared" ca="1" si="43"/>
        <v>323</v>
      </c>
      <c r="BX26" s="1">
        <f t="shared" ca="1" si="44"/>
        <v>3.6038885239790992E-3</v>
      </c>
      <c r="BY26" s="1">
        <f t="shared" ca="1" si="45"/>
        <v>7.1236788221325301E-2</v>
      </c>
      <c r="BZ26" s="1">
        <f t="shared" ca="1" si="46"/>
        <v>0.24960456066460612</v>
      </c>
      <c r="CB26" s="1">
        <f t="shared" ca="1" si="47"/>
        <v>339</v>
      </c>
      <c r="CC26" s="1">
        <f t="shared" ca="1" si="48"/>
        <v>3</v>
      </c>
      <c r="CD26" s="1">
        <f t="shared" ca="1" si="49"/>
        <v>0.23175390944372318</v>
      </c>
      <c r="CE26" s="1">
        <f t="shared" ca="1" si="50"/>
        <v>0.67478487217436989</v>
      </c>
      <c r="CF26" s="1">
        <f t="shared" ca="1" si="50"/>
        <v>0.77046978845591441</v>
      </c>
      <c r="CH26" s="3">
        <f t="shared" ca="1" si="51"/>
        <v>0.8540714868248086</v>
      </c>
      <c r="CI26" s="3">
        <f t="shared" ca="1" si="52"/>
        <v>6.0610733346498975E-2</v>
      </c>
      <c r="CJ26" s="3">
        <f t="shared" ca="1" si="53"/>
        <v>627</v>
      </c>
      <c r="CK26" s="3">
        <f t="shared" ca="1" si="54"/>
        <v>3.4834921225606543E-3</v>
      </c>
      <c r="CL26" s="3">
        <f t="shared" ca="1" si="55"/>
        <v>1</v>
      </c>
      <c r="CM26" s="3"/>
      <c r="CN26" s="1">
        <f t="shared" ca="1" si="56"/>
        <v>16.840400539490979</v>
      </c>
      <c r="CO26" s="1">
        <f t="shared" ca="1" si="57"/>
        <v>0.37416263251278226</v>
      </c>
      <c r="CP26" s="1">
        <f t="shared" ca="1" si="58"/>
        <v>3</v>
      </c>
      <c r="CV26" s="1">
        <f t="shared" ca="1" si="59"/>
        <v>7.1228276298102564</v>
      </c>
      <c r="CW26" s="1">
        <f t="shared" ca="1" si="60"/>
        <v>1092</v>
      </c>
      <c r="CX26" s="1">
        <f t="shared" ca="1" si="61"/>
        <v>5.4907873244087004E-4</v>
      </c>
      <c r="DH26" s="1">
        <f t="shared" ca="1" si="62"/>
        <v>375</v>
      </c>
      <c r="DI26" s="1">
        <f t="shared" ca="1" si="63"/>
        <v>0.88821909543694577</v>
      </c>
      <c r="DJ26" s="1">
        <f t="shared" ca="1" si="64"/>
        <v>17</v>
      </c>
      <c r="DL26" s="1">
        <f t="shared" ca="1" si="65"/>
        <v>0.10097717531693591</v>
      </c>
      <c r="DM26" s="1">
        <f t="shared" ca="1" si="66"/>
        <v>208</v>
      </c>
      <c r="DN26" s="1">
        <f t="shared" ca="1" si="67"/>
        <v>4</v>
      </c>
      <c r="DW26" s="1">
        <f t="shared" ca="1" si="71"/>
        <v>439</v>
      </c>
      <c r="DX26" s="1">
        <f t="shared" ca="1" si="72"/>
        <v>15</v>
      </c>
      <c r="DY26" s="1">
        <f t="shared" ca="1" si="73"/>
        <v>9</v>
      </c>
    </row>
    <row r="27" spans="2:129" x14ac:dyDescent="0.25">
      <c r="B27">
        <f t="shared" ca="1" si="0"/>
        <v>96</v>
      </c>
      <c r="C27">
        <f t="shared" ca="1" si="1"/>
        <v>48</v>
      </c>
      <c r="D27">
        <f t="shared" ca="1" si="2"/>
        <v>8.9490548204550574E-2</v>
      </c>
      <c r="F27" s="1">
        <f t="shared" ca="1" si="3"/>
        <v>27</v>
      </c>
      <c r="G27" s="1">
        <f t="shared" ca="1" si="4"/>
        <v>20</v>
      </c>
      <c r="H27" s="1">
        <f t="shared" ca="1" si="5"/>
        <v>4</v>
      </c>
      <c r="I27" s="1"/>
      <c r="J27" s="1">
        <f t="shared" ca="1" si="6"/>
        <v>16</v>
      </c>
      <c r="K27" s="1">
        <f t="shared" ca="1" si="7"/>
        <v>2.057330026846885</v>
      </c>
      <c r="L27" s="1">
        <f t="shared" ca="1" si="8"/>
        <v>15</v>
      </c>
      <c r="M27" s="1"/>
      <c r="N27" s="1">
        <f t="shared" ca="1" si="9"/>
        <v>27</v>
      </c>
      <c r="O27" s="1">
        <f t="shared" ca="1" si="10"/>
        <v>19</v>
      </c>
      <c r="P27" s="1"/>
      <c r="Q27" s="1">
        <f t="shared" ca="1" si="11"/>
        <v>1.0572468643010964</v>
      </c>
      <c r="R27" s="1">
        <f t="shared" ca="1" si="12"/>
        <v>609</v>
      </c>
      <c r="S27" s="1"/>
      <c r="T27" s="1">
        <f t="shared" ca="1" si="13"/>
        <v>1.857663043675508E-2</v>
      </c>
      <c r="U27" s="1">
        <f t="shared" ca="1" si="14"/>
        <v>95</v>
      </c>
      <c r="V27" s="1">
        <f t="shared" ca="1" si="15"/>
        <v>6</v>
      </c>
      <c r="W27" s="1"/>
      <c r="X27" s="1">
        <f t="shared" ca="1" si="16"/>
        <v>8.8656465166646381</v>
      </c>
      <c r="Y27" s="1">
        <f t="shared" ca="1" si="17"/>
        <v>0.73767922577140554</v>
      </c>
      <c r="Z27" s="1">
        <f t="shared" ca="1" si="18"/>
        <v>1873</v>
      </c>
      <c r="AB27" s="1">
        <f t="shared" ca="1" si="19"/>
        <v>0.7986547358265651</v>
      </c>
      <c r="AC27" s="1">
        <f t="shared" ca="1" si="20"/>
        <v>998</v>
      </c>
      <c r="AD27" s="1">
        <f t="shared" ca="1" si="21"/>
        <v>2.0725002743214359E-3</v>
      </c>
      <c r="AE27" s="1"/>
      <c r="AF27" s="1">
        <f t="shared" ca="1" si="22"/>
        <v>0.27936871835776067</v>
      </c>
      <c r="AG27" s="1">
        <f t="shared" ca="1" si="23"/>
        <v>464</v>
      </c>
      <c r="AH27" s="1">
        <f t="shared" ca="1" si="24"/>
        <v>1.4218937145528993E-3</v>
      </c>
      <c r="AJ27" s="1">
        <f t="shared" ca="1" si="25"/>
        <v>0.85369211170613679</v>
      </c>
      <c r="AK27" s="1">
        <f t="shared" ca="1" si="26"/>
        <v>6.5396531642000928E-4</v>
      </c>
      <c r="AL27" s="1"/>
      <c r="AM27" s="1">
        <f t="shared" ca="1" si="27"/>
        <v>2.4228339974399455E-2</v>
      </c>
      <c r="AN27" s="1">
        <f t="shared" ca="1" si="28"/>
        <v>45</v>
      </c>
      <c r="AO27" s="1">
        <f t="shared" ca="1" si="29"/>
        <v>17</v>
      </c>
      <c r="AQ27" s="1">
        <f t="shared" ca="1" si="30"/>
        <v>117</v>
      </c>
      <c r="AR27" s="1">
        <f t="shared" ca="1" si="31"/>
        <v>0</v>
      </c>
      <c r="AS27" s="1">
        <f t="shared" ca="1" si="32"/>
        <v>43</v>
      </c>
      <c r="AU27" s="1">
        <f t="shared" ca="1" si="33"/>
        <v>120</v>
      </c>
      <c r="AV27" s="1">
        <f t="shared" ca="1" si="34"/>
        <v>5</v>
      </c>
      <c r="AW27" s="1">
        <f t="shared" ca="1" si="35"/>
        <v>7.0982375121904417E-2</v>
      </c>
      <c r="AY27" s="1">
        <f t="shared" ca="1" si="36"/>
        <v>1.6480005152062054</v>
      </c>
      <c r="AZ27" s="1">
        <f t="shared" ca="1" si="37"/>
        <v>391</v>
      </c>
      <c r="BA27" s="1">
        <f t="shared" ca="1" si="38"/>
        <v>4.3191130352027846E-3</v>
      </c>
      <c r="BG27" s="1">
        <f t="shared" ca="1" si="39"/>
        <v>0.5607989744487567</v>
      </c>
      <c r="BH27" s="1">
        <f t="shared" ca="1" si="40"/>
        <v>3.9467321439852321E-2</v>
      </c>
      <c r="BI27" s="1">
        <f t="shared" ca="1" si="41"/>
        <v>446</v>
      </c>
      <c r="BV27" s="1">
        <f t="shared" ca="1" si="42"/>
        <v>0.1793487469219732</v>
      </c>
      <c r="BW27" s="1">
        <f t="shared" ca="1" si="43"/>
        <v>212</v>
      </c>
      <c r="BX27" s="1">
        <f t="shared" ca="1" si="44"/>
        <v>7.3938425966540858E-3</v>
      </c>
      <c r="BY27" s="1">
        <f t="shared" ca="1" si="45"/>
        <v>2.5884820654666761E-2</v>
      </c>
      <c r="BZ27" s="1">
        <f t="shared" ca="1" si="46"/>
        <v>0.56526846648682161</v>
      </c>
      <c r="CB27" s="1">
        <f t="shared" ca="1" si="47"/>
        <v>283</v>
      </c>
      <c r="CC27" s="1">
        <f t="shared" ca="1" si="48"/>
        <v>12</v>
      </c>
      <c r="CD27" s="1">
        <f t="shared" ca="1" si="49"/>
        <v>0.2520325408617356</v>
      </c>
      <c r="CE27" s="1">
        <f t="shared" ca="1" si="50"/>
        <v>0.57562924852593356</v>
      </c>
      <c r="CF27" s="1">
        <f t="shared" ca="1" si="50"/>
        <v>0.70090578340256826</v>
      </c>
      <c r="CH27" s="3">
        <f t="shared" ca="1" si="51"/>
        <v>0.44543973029489353</v>
      </c>
      <c r="CI27" s="3">
        <f t="shared" ca="1" si="52"/>
        <v>0.77864956357701454</v>
      </c>
      <c r="CJ27" s="3">
        <f t="shared" ca="1" si="53"/>
        <v>1983</v>
      </c>
      <c r="CK27" s="3">
        <f t="shared" ca="1" si="54"/>
        <v>4.1762018475836795E-3</v>
      </c>
      <c r="CL27" s="3">
        <f t="shared" ca="1" si="55"/>
        <v>0</v>
      </c>
      <c r="CM27" s="3"/>
      <c r="CN27" s="1">
        <f t="shared" ca="1" si="56"/>
        <v>0.62383946903339949</v>
      </c>
      <c r="CO27" s="1">
        <f t="shared" ca="1" si="57"/>
        <v>4.6319583348083844E-2</v>
      </c>
      <c r="CP27" s="1">
        <f t="shared" ca="1" si="58"/>
        <v>5</v>
      </c>
      <c r="CV27" s="1">
        <f t="shared" ca="1" si="59"/>
        <v>2.5843500408921654</v>
      </c>
      <c r="CW27" s="1">
        <f t="shared" ca="1" si="60"/>
        <v>1329</v>
      </c>
      <c r="CX27" s="1">
        <f t="shared" ca="1" si="61"/>
        <v>5.8914737046070187E-4</v>
      </c>
      <c r="DH27" s="1">
        <f t="shared" ca="1" si="62"/>
        <v>419</v>
      </c>
      <c r="DI27" s="1">
        <f t="shared" ca="1" si="63"/>
        <v>0.21366727550479769</v>
      </c>
      <c r="DJ27" s="1">
        <f t="shared" ca="1" si="64"/>
        <v>26</v>
      </c>
      <c r="DL27" s="1">
        <f t="shared" ca="1" si="65"/>
        <v>0.17169521506281527</v>
      </c>
      <c r="DM27" s="1">
        <f t="shared" ca="1" si="66"/>
        <v>237</v>
      </c>
      <c r="DN27" s="1">
        <f t="shared" ca="1" si="67"/>
        <v>4</v>
      </c>
      <c r="DW27" s="1">
        <f t="shared" ca="1" si="71"/>
        <v>225</v>
      </c>
      <c r="DX27" s="1">
        <f t="shared" ca="1" si="72"/>
        <v>4</v>
      </c>
      <c r="DY27" s="1">
        <f t="shared" ca="1" si="73"/>
        <v>16</v>
      </c>
    </row>
    <row r="28" spans="2:129" x14ac:dyDescent="0.25">
      <c r="B28">
        <f t="shared" ca="1" si="0"/>
        <v>368</v>
      </c>
      <c r="C28">
        <f t="shared" ca="1" si="1"/>
        <v>15</v>
      </c>
      <c r="D28">
        <f t="shared" ca="1" si="2"/>
        <v>6.5602971826812351E-2</v>
      </c>
      <c r="F28" s="1">
        <f t="shared" ca="1" si="3"/>
        <v>40</v>
      </c>
      <c r="G28" s="1">
        <f t="shared" ca="1" si="4"/>
        <v>12</v>
      </c>
      <c r="H28" s="1">
        <f t="shared" ca="1" si="5"/>
        <v>9</v>
      </c>
      <c r="I28" s="1"/>
      <c r="J28" s="1">
        <f t="shared" ca="1" si="6"/>
        <v>17</v>
      </c>
      <c r="K28" s="1">
        <f t="shared" ca="1" si="7"/>
        <v>2.7449936379524509</v>
      </c>
      <c r="L28" s="1">
        <f t="shared" ca="1" si="8"/>
        <v>27</v>
      </c>
      <c r="M28" s="1"/>
      <c r="N28" s="1">
        <f t="shared" ca="1" si="9"/>
        <v>176</v>
      </c>
      <c r="O28" s="1">
        <f t="shared" ca="1" si="10"/>
        <v>22</v>
      </c>
      <c r="P28" s="1"/>
      <c r="Q28" s="1">
        <f t="shared" ca="1" si="11"/>
        <v>1.8070775964142833</v>
      </c>
      <c r="R28" s="1">
        <f t="shared" ca="1" si="12"/>
        <v>1022</v>
      </c>
      <c r="S28" s="1"/>
      <c r="T28" s="1">
        <f t="shared" ca="1" si="13"/>
        <v>4.7745791065017661E-2</v>
      </c>
      <c r="U28" s="1">
        <f t="shared" ca="1" si="14"/>
        <v>419</v>
      </c>
      <c r="V28" s="1">
        <f t="shared" ca="1" si="15"/>
        <v>4</v>
      </c>
      <c r="W28" s="1"/>
      <c r="X28" s="1">
        <f t="shared" ca="1" si="16"/>
        <v>5.8755816806303729</v>
      </c>
      <c r="Y28" s="1">
        <f t="shared" ca="1" si="17"/>
        <v>0.55791033036576687</v>
      </c>
      <c r="Z28" s="1">
        <f t="shared" ca="1" si="18"/>
        <v>1827</v>
      </c>
      <c r="AB28" s="1">
        <f t="shared" ca="1" si="19"/>
        <v>0.83506836201400336</v>
      </c>
      <c r="AC28" s="1">
        <f t="shared" ca="1" si="20"/>
        <v>789</v>
      </c>
      <c r="AD28" s="1">
        <f t="shared" ca="1" si="21"/>
        <v>6.8019168010829429E-3</v>
      </c>
      <c r="AE28" s="1"/>
      <c r="AF28" s="1">
        <f t="shared" ca="1" si="22"/>
        <v>0.15414090815892456</v>
      </c>
      <c r="AG28" s="1">
        <f t="shared" ca="1" si="23"/>
        <v>735</v>
      </c>
      <c r="AH28" s="1">
        <f t="shared" ca="1" si="24"/>
        <v>3.1267607361684926E-3</v>
      </c>
      <c r="AJ28" s="1">
        <f t="shared" ca="1" si="25"/>
        <v>0.60994772329400726</v>
      </c>
      <c r="AK28" s="1">
        <f t="shared" ca="1" si="26"/>
        <v>8.2082836134616081E-3</v>
      </c>
      <c r="AL28" s="1"/>
      <c r="AM28" s="1">
        <f t="shared" ca="1" si="27"/>
        <v>0.15384287319994885</v>
      </c>
      <c r="AN28" s="1">
        <f t="shared" ca="1" si="28"/>
        <v>73</v>
      </c>
      <c r="AO28" s="1">
        <f t="shared" ca="1" si="29"/>
        <v>20</v>
      </c>
      <c r="AQ28" s="1">
        <f t="shared" ca="1" si="30"/>
        <v>26</v>
      </c>
      <c r="AR28" s="1">
        <f t="shared" ca="1" si="31"/>
        <v>3</v>
      </c>
      <c r="AS28" s="1">
        <f t="shared" ca="1" si="32"/>
        <v>83</v>
      </c>
      <c r="AU28" s="1">
        <f t="shared" ca="1" si="33"/>
        <v>52</v>
      </c>
      <c r="AV28" s="1">
        <f t="shared" ca="1" si="34"/>
        <v>10</v>
      </c>
      <c r="AW28" s="1">
        <f t="shared" ca="1" si="35"/>
        <v>0.16197088626200393</v>
      </c>
      <c r="AY28" s="1">
        <f t="shared" ca="1" si="36"/>
        <v>1.6275767934860188</v>
      </c>
      <c r="AZ28" s="1">
        <f t="shared" ca="1" si="37"/>
        <v>51</v>
      </c>
      <c r="BA28" s="1">
        <f t="shared" ca="1" si="38"/>
        <v>3.1606279030470274E-3</v>
      </c>
      <c r="BG28" s="1">
        <f t="shared" ca="1" si="39"/>
        <v>8.0272176433145437E-3</v>
      </c>
      <c r="BH28" s="1">
        <f t="shared" ca="1" si="40"/>
        <v>0.36694126070835831</v>
      </c>
      <c r="BI28" s="1">
        <f t="shared" ca="1" si="41"/>
        <v>844</v>
      </c>
      <c r="BV28" s="1">
        <f t="shared" ca="1" si="42"/>
        <v>1.8143978111087037E-2</v>
      </c>
      <c r="BW28" s="1">
        <f t="shared" ca="1" si="43"/>
        <v>106</v>
      </c>
      <c r="BX28" s="1">
        <f t="shared" ca="1" si="44"/>
        <v>1.9182287072028553E-4</v>
      </c>
      <c r="BY28" s="1">
        <f t="shared" ca="1" si="45"/>
        <v>9.6871112869393247E-2</v>
      </c>
      <c r="BZ28" s="1">
        <f t="shared" ca="1" si="46"/>
        <v>0.68247516104497741</v>
      </c>
      <c r="CB28" s="1">
        <f t="shared" ca="1" si="47"/>
        <v>461</v>
      </c>
      <c r="CC28" s="1">
        <f t="shared" ca="1" si="48"/>
        <v>7</v>
      </c>
      <c r="CD28" s="1">
        <f t="shared" ca="1" si="49"/>
        <v>0.29633412861892477</v>
      </c>
      <c r="CE28" s="1">
        <f t="shared" ca="1" si="50"/>
        <v>0.51298466696624034</v>
      </c>
      <c r="CF28" s="1">
        <f t="shared" ca="1" si="50"/>
        <v>0.51127010373623527</v>
      </c>
      <c r="CH28" s="3">
        <f t="shared" ca="1" si="51"/>
        <v>0.7552369883241169</v>
      </c>
      <c r="CI28" s="3">
        <f t="shared" ca="1" si="52"/>
        <v>0.72877072735281367</v>
      </c>
      <c r="CJ28" s="3">
        <f t="shared" ca="1" si="53"/>
        <v>1345</v>
      </c>
      <c r="CK28" s="3">
        <f t="shared" ca="1" si="54"/>
        <v>6.132630589442095E-3</v>
      </c>
      <c r="CL28" s="3">
        <f t="shared" ca="1" si="55"/>
        <v>1</v>
      </c>
      <c r="CM28" s="3"/>
      <c r="CN28" s="1">
        <f t="shared" ca="1" si="56"/>
        <v>18.691464284034907</v>
      </c>
      <c r="CO28" s="1">
        <f t="shared" ca="1" si="57"/>
        <v>0.25267390969254461</v>
      </c>
      <c r="CP28" s="1">
        <f t="shared" ca="1" si="58"/>
        <v>3</v>
      </c>
      <c r="CV28" s="1">
        <f t="shared" ca="1" si="59"/>
        <v>4.0398171662333153</v>
      </c>
      <c r="CW28" s="1">
        <f t="shared" ca="1" si="60"/>
        <v>865</v>
      </c>
      <c r="CX28" s="1">
        <f t="shared" ca="1" si="61"/>
        <v>9.8634425398355999E-3</v>
      </c>
      <c r="DH28" s="1">
        <f t="shared" ca="1" si="62"/>
        <v>263</v>
      </c>
      <c r="DI28" s="1">
        <f t="shared" ca="1" si="63"/>
        <v>0.48415599265682524</v>
      </c>
      <c r="DJ28" s="1">
        <f t="shared" ca="1" si="64"/>
        <v>22</v>
      </c>
      <c r="DL28" s="1">
        <f t="shared" ca="1" si="65"/>
        <v>6.7335834168267883E-2</v>
      </c>
      <c r="DM28" s="1">
        <f t="shared" ca="1" si="66"/>
        <v>176</v>
      </c>
      <c r="DN28" s="1">
        <f t="shared" ca="1" si="67"/>
        <v>3</v>
      </c>
      <c r="DW28" s="1">
        <f t="shared" ca="1" si="71"/>
        <v>311</v>
      </c>
      <c r="DX28" s="1">
        <f t="shared" ca="1" si="72"/>
        <v>5</v>
      </c>
      <c r="DY28" s="1">
        <f t="shared" ca="1" si="73"/>
        <v>15</v>
      </c>
    </row>
    <row r="29" spans="2:129" x14ac:dyDescent="0.25">
      <c r="B29">
        <f t="shared" ca="1" si="0"/>
        <v>385</v>
      </c>
      <c r="C29">
        <f t="shared" ca="1" si="1"/>
        <v>22</v>
      </c>
      <c r="D29">
        <f t="shared" ca="1" si="2"/>
        <v>8.2766699708083438E-2</v>
      </c>
      <c r="F29" s="1">
        <f t="shared" ca="1" si="3"/>
        <v>29</v>
      </c>
      <c r="G29" s="1">
        <f t="shared" ca="1" si="4"/>
        <v>11</v>
      </c>
      <c r="H29" s="1">
        <f t="shared" ca="1" si="5"/>
        <v>14</v>
      </c>
      <c r="I29" s="1"/>
      <c r="J29" s="1">
        <f t="shared" ca="1" si="6"/>
        <v>33</v>
      </c>
      <c r="K29" s="1">
        <f t="shared" ca="1" si="7"/>
        <v>1.0446345128176158</v>
      </c>
      <c r="L29" s="1">
        <f t="shared" ca="1" si="8"/>
        <v>2</v>
      </c>
      <c r="M29" s="1"/>
      <c r="N29" s="1">
        <f t="shared" ca="1" si="9"/>
        <v>395</v>
      </c>
      <c r="O29" s="1">
        <f t="shared" ca="1" si="10"/>
        <v>27</v>
      </c>
      <c r="P29" s="1"/>
      <c r="Q29" s="1">
        <f t="shared" ca="1" si="11"/>
        <v>0.7608018236059545</v>
      </c>
      <c r="R29" s="1">
        <f t="shared" ca="1" si="12"/>
        <v>846</v>
      </c>
      <c r="S29" s="1"/>
      <c r="T29" s="1">
        <f t="shared" ca="1" si="13"/>
        <v>0.15627144374872276</v>
      </c>
      <c r="U29" s="1">
        <f t="shared" ca="1" si="14"/>
        <v>88</v>
      </c>
      <c r="V29" s="1">
        <f t="shared" ca="1" si="15"/>
        <v>6</v>
      </c>
      <c r="W29" s="1"/>
      <c r="X29" s="1">
        <f t="shared" ca="1" si="16"/>
        <v>5.320201661548869</v>
      </c>
      <c r="Y29" s="1">
        <f t="shared" ca="1" si="17"/>
        <v>0.86098443822784032</v>
      </c>
      <c r="Z29" s="1">
        <f t="shared" ca="1" si="18"/>
        <v>204</v>
      </c>
      <c r="AB29" s="1">
        <f t="shared" ca="1" si="19"/>
        <v>0.40478785804613759</v>
      </c>
      <c r="AC29" s="1">
        <f t="shared" ca="1" si="20"/>
        <v>417</v>
      </c>
      <c r="AD29" s="1">
        <f t="shared" ca="1" si="21"/>
        <v>8.9409682880189287E-3</v>
      </c>
      <c r="AE29" s="1"/>
      <c r="AF29" s="1">
        <f t="shared" ca="1" si="22"/>
        <v>0.73599060375986636</v>
      </c>
      <c r="AG29" s="1">
        <f t="shared" ca="1" si="23"/>
        <v>821</v>
      </c>
      <c r="AH29" s="1">
        <f t="shared" ca="1" si="24"/>
        <v>2.021017156913395E-3</v>
      </c>
      <c r="AJ29" s="1">
        <f t="shared" ca="1" si="25"/>
        <v>0.31275294431120848</v>
      </c>
      <c r="AK29" s="1">
        <f t="shared" ca="1" si="26"/>
        <v>3.5896043323998977E-3</v>
      </c>
      <c r="AL29" s="1"/>
      <c r="AM29" s="1">
        <f t="shared" ca="1" si="27"/>
        <v>0.10713901551750964</v>
      </c>
      <c r="AN29" s="1">
        <f t="shared" ca="1" si="28"/>
        <v>19</v>
      </c>
      <c r="AO29" s="1">
        <f t="shared" ca="1" si="29"/>
        <v>1</v>
      </c>
      <c r="AQ29" s="1">
        <f t="shared" ca="1" si="30"/>
        <v>111</v>
      </c>
      <c r="AR29" s="1">
        <f t="shared" ca="1" si="31"/>
        <v>6</v>
      </c>
      <c r="AS29" s="1">
        <f t="shared" ca="1" si="32"/>
        <v>52</v>
      </c>
      <c r="AU29" s="1">
        <f t="shared" ca="1" si="33"/>
        <v>182</v>
      </c>
      <c r="AV29" s="1">
        <f t="shared" ca="1" si="34"/>
        <v>9</v>
      </c>
      <c r="AW29" s="1">
        <f t="shared" ca="1" si="35"/>
        <v>4.246473324968577E-2</v>
      </c>
      <c r="AY29" s="1">
        <f t="shared" ca="1" si="36"/>
        <v>1.8664666576680284</v>
      </c>
      <c r="AZ29" s="1">
        <f t="shared" ca="1" si="37"/>
        <v>252</v>
      </c>
      <c r="BA29" s="1">
        <f t="shared" ca="1" si="38"/>
        <v>4.8397097541185725E-3</v>
      </c>
      <c r="BG29" s="1">
        <f t="shared" ca="1" si="39"/>
        <v>0.43952456751126234</v>
      </c>
      <c r="BH29" s="1">
        <f t="shared" ca="1" si="40"/>
        <v>3.7152573609750661E-2</v>
      </c>
      <c r="BI29" s="1">
        <f t="shared" ca="1" si="41"/>
        <v>656</v>
      </c>
      <c r="BV29" s="1">
        <f t="shared" ca="1" si="42"/>
        <v>0.26722906761889303</v>
      </c>
      <c r="BW29" s="1">
        <f t="shared" ca="1" si="43"/>
        <v>281</v>
      </c>
      <c r="BX29" s="1">
        <f t="shared" ca="1" si="44"/>
        <v>2.0155008126334201E-3</v>
      </c>
      <c r="BY29" s="1">
        <f t="shared" ca="1" si="45"/>
        <v>5.4938084859640746E-2</v>
      </c>
      <c r="BZ29" s="1">
        <f t="shared" ca="1" si="46"/>
        <v>0.30544258557302173</v>
      </c>
      <c r="CB29" s="1">
        <f t="shared" ca="1" si="47"/>
        <v>125</v>
      </c>
      <c r="CC29" s="1">
        <f t="shared" ca="1" si="48"/>
        <v>8</v>
      </c>
      <c r="CD29" s="1">
        <f t="shared" ca="1" si="49"/>
        <v>0.12068296173325073</v>
      </c>
      <c r="CE29" s="1">
        <f t="shared" ca="1" si="50"/>
        <v>0.655359196116861</v>
      </c>
      <c r="CF29" s="1">
        <f t="shared" ca="1" si="50"/>
        <v>0.66916199829949763</v>
      </c>
      <c r="CH29" s="3">
        <f t="shared" ca="1" si="51"/>
        <v>0.67379227531931374</v>
      </c>
      <c r="CI29" s="3">
        <f t="shared" ca="1" si="52"/>
        <v>0.62237318320817459</v>
      </c>
      <c r="CJ29" s="3">
        <f t="shared" ca="1" si="53"/>
        <v>244</v>
      </c>
      <c r="CK29" s="3">
        <f t="shared" ca="1" si="54"/>
        <v>6.1202119350056419E-3</v>
      </c>
      <c r="CL29" s="3">
        <f t="shared" ca="1" si="55"/>
        <v>0</v>
      </c>
      <c r="CM29" s="3"/>
      <c r="CN29" s="1">
        <f t="shared" ca="1" si="56"/>
        <v>17.82629599222599</v>
      </c>
      <c r="CO29" s="1">
        <f t="shared" ca="1" si="57"/>
        <v>6.125790087399139E-2</v>
      </c>
      <c r="CP29" s="1">
        <f t="shared" ca="1" si="58"/>
        <v>5</v>
      </c>
      <c r="CV29" s="1">
        <f t="shared" ca="1" si="59"/>
        <v>9.1500321862882537</v>
      </c>
      <c r="CW29" s="1">
        <f t="shared" ca="1" si="60"/>
        <v>693</v>
      </c>
      <c r="CX29" s="1">
        <f t="shared" ca="1" si="61"/>
        <v>2.5533450462621394E-3</v>
      </c>
      <c r="DH29" s="1">
        <f t="shared" ca="1" si="62"/>
        <v>335</v>
      </c>
      <c r="DI29" s="1">
        <f t="shared" ca="1" si="63"/>
        <v>0.46168254939460085</v>
      </c>
      <c r="DJ29" s="1">
        <f t="shared" ca="1" si="64"/>
        <v>10</v>
      </c>
      <c r="DL29" s="1">
        <f t="shared" ca="1" si="65"/>
        <v>3.4876608190479608E-2</v>
      </c>
      <c r="DM29" s="1">
        <f t="shared" ca="1" si="66"/>
        <v>94</v>
      </c>
      <c r="DN29" s="1">
        <f t="shared" ca="1" si="67"/>
        <v>3</v>
      </c>
      <c r="DW29" s="1">
        <f t="shared" ca="1" si="71"/>
        <v>482</v>
      </c>
      <c r="DX29" s="1">
        <f t="shared" ca="1" si="72"/>
        <v>15</v>
      </c>
      <c r="DY29" s="1">
        <f t="shared" ca="1" si="73"/>
        <v>2</v>
      </c>
    </row>
    <row r="30" spans="2:129" x14ac:dyDescent="0.25">
      <c r="B30">
        <f t="shared" ca="1" si="0"/>
        <v>225</v>
      </c>
      <c r="C30">
        <f t="shared" ca="1" si="1"/>
        <v>27</v>
      </c>
      <c r="D30">
        <f t="shared" ca="1" si="2"/>
        <v>5.1267123520376517E-2</v>
      </c>
      <c r="F30" s="1">
        <f t="shared" ca="1" si="3"/>
        <v>49</v>
      </c>
      <c r="G30" s="1">
        <f t="shared" ca="1" si="4"/>
        <v>22</v>
      </c>
      <c r="H30" s="1">
        <f t="shared" ca="1" si="5"/>
        <v>3</v>
      </c>
      <c r="I30" s="1"/>
      <c r="J30" s="1">
        <f t="shared" ca="1" si="6"/>
        <v>26</v>
      </c>
      <c r="K30" s="1">
        <f t="shared" ca="1" si="7"/>
        <v>1.7996229826077168</v>
      </c>
      <c r="L30" s="1">
        <f t="shared" ca="1" si="8"/>
        <v>3</v>
      </c>
      <c r="M30" s="1"/>
      <c r="N30" s="1">
        <f t="shared" ca="1" si="9"/>
        <v>331</v>
      </c>
      <c r="O30" s="1">
        <f t="shared" ca="1" si="10"/>
        <v>42</v>
      </c>
      <c r="P30" s="1"/>
      <c r="Q30" s="1">
        <f t="shared" ca="1" si="11"/>
        <v>0.37095566228351878</v>
      </c>
      <c r="R30" s="1">
        <f t="shared" ca="1" si="12"/>
        <v>1136</v>
      </c>
      <c r="S30" s="1"/>
      <c r="T30" s="1">
        <f t="shared" ca="1" si="13"/>
        <v>8.1627629705513405E-2</v>
      </c>
      <c r="U30" s="1">
        <f t="shared" ca="1" si="14"/>
        <v>300</v>
      </c>
      <c r="V30" s="1">
        <f t="shared" ca="1" si="15"/>
        <v>31</v>
      </c>
      <c r="W30" s="1"/>
      <c r="X30" s="1">
        <f t="shared" ca="1" si="16"/>
        <v>7.4873362354668238</v>
      </c>
      <c r="Y30" s="1">
        <f t="shared" ca="1" si="17"/>
        <v>0.72077608132582682</v>
      </c>
      <c r="Z30" s="1">
        <f t="shared" ca="1" si="18"/>
        <v>1411</v>
      </c>
      <c r="AB30" s="1">
        <f t="shared" ca="1" si="19"/>
        <v>0.8198910448258413</v>
      </c>
      <c r="AC30" s="1">
        <f t="shared" ca="1" si="20"/>
        <v>815</v>
      </c>
      <c r="AD30" s="1">
        <f t="shared" ca="1" si="21"/>
        <v>2.0130290955079544E-3</v>
      </c>
      <c r="AE30" s="1"/>
      <c r="AF30" s="1">
        <f t="shared" ca="1" si="22"/>
        <v>0.3210694315955907</v>
      </c>
      <c r="AG30" s="1">
        <f t="shared" ca="1" si="23"/>
        <v>438</v>
      </c>
      <c r="AH30" s="1">
        <f t="shared" ca="1" si="24"/>
        <v>2.6256915676888442E-3</v>
      </c>
      <c r="AJ30" s="1">
        <f t="shared" ca="1" si="25"/>
        <v>0.30901124390919466</v>
      </c>
      <c r="AK30" s="1">
        <f t="shared" ca="1" si="26"/>
        <v>2.9190356673212997E-3</v>
      </c>
      <c r="AL30" s="1"/>
      <c r="AM30" s="1">
        <f t="shared" ca="1" si="27"/>
        <v>0.1215341679158127</v>
      </c>
      <c r="AN30" s="1">
        <f t="shared" ca="1" si="28"/>
        <v>24</v>
      </c>
      <c r="AO30" s="1">
        <f t="shared" ca="1" si="29"/>
        <v>1</v>
      </c>
      <c r="AQ30" s="1">
        <f t="shared" ca="1" si="30"/>
        <v>65</v>
      </c>
      <c r="AR30" s="1">
        <f t="shared" ca="1" si="31"/>
        <v>10</v>
      </c>
      <c r="AS30" s="1">
        <f t="shared" ca="1" si="32"/>
        <v>49</v>
      </c>
      <c r="AU30" s="1">
        <f t="shared" ca="1" si="33"/>
        <v>241</v>
      </c>
      <c r="AV30" s="1">
        <f t="shared" ca="1" si="34"/>
        <v>6</v>
      </c>
      <c r="AW30" s="1">
        <f t="shared" ca="1" si="35"/>
        <v>0.17231955745284591</v>
      </c>
      <c r="AY30" s="1">
        <f t="shared" ca="1" si="36"/>
        <v>1.3364775161607949</v>
      </c>
      <c r="AZ30" s="1">
        <f t="shared" ca="1" si="37"/>
        <v>223</v>
      </c>
      <c r="BA30" s="1">
        <f t="shared" ca="1" si="38"/>
        <v>9.3913040779155764E-3</v>
      </c>
      <c r="BG30" s="1">
        <f t="shared" ca="1" si="39"/>
        <v>1.6605839486756108E-2</v>
      </c>
      <c r="BH30" s="1">
        <f t="shared" ca="1" si="40"/>
        <v>0.72129031205968863</v>
      </c>
      <c r="BI30" s="1">
        <f t="shared" ca="1" si="41"/>
        <v>913</v>
      </c>
      <c r="BV30" s="1">
        <f t="shared" ca="1" si="42"/>
        <v>0.32930720474516706</v>
      </c>
      <c r="BW30" s="1">
        <f t="shared" ca="1" si="43"/>
        <v>987</v>
      </c>
      <c r="BX30" s="1">
        <f t="shared" ca="1" si="44"/>
        <v>2.084660944602489E-3</v>
      </c>
      <c r="BY30" s="1">
        <f t="shared" ca="1" si="45"/>
        <v>7.6291401906496553E-2</v>
      </c>
      <c r="BZ30" s="1">
        <f t="shared" ca="1" si="46"/>
        <v>0.2517854424015592</v>
      </c>
      <c r="CB30" s="1">
        <f t="shared" ca="1" si="47"/>
        <v>311</v>
      </c>
      <c r="CC30" s="1">
        <f t="shared" ca="1" si="48"/>
        <v>7</v>
      </c>
      <c r="CD30" s="1">
        <f t="shared" ca="1" si="49"/>
        <v>0.20583167117307694</v>
      </c>
      <c r="CE30" s="1">
        <f t="shared" ca="1" si="50"/>
        <v>0.68721264201427745</v>
      </c>
      <c r="CF30" s="1">
        <f t="shared" ca="1" si="50"/>
        <v>0.79264858739094479</v>
      </c>
      <c r="CH30" s="3">
        <f t="shared" ca="1" si="51"/>
        <v>1.3395385389028371E-2</v>
      </c>
      <c r="CI30" s="3">
        <f t="shared" ca="1" si="52"/>
        <v>0.1252026838690162</v>
      </c>
      <c r="CJ30" s="3">
        <f t="shared" ca="1" si="53"/>
        <v>672</v>
      </c>
      <c r="CK30" s="3">
        <f t="shared" ca="1" si="54"/>
        <v>5.9670597560901326E-3</v>
      </c>
      <c r="CL30" s="3">
        <f t="shared" ca="1" si="55"/>
        <v>0</v>
      </c>
      <c r="CM30" s="3"/>
      <c r="CN30" s="1">
        <f t="shared" ca="1" si="56"/>
        <v>17.410000192757412</v>
      </c>
      <c r="CO30" s="1">
        <f t="shared" ca="1" si="57"/>
        <v>0.36721560610305903</v>
      </c>
      <c r="CP30" s="1">
        <f t="shared" ca="1" si="58"/>
        <v>5</v>
      </c>
      <c r="CV30" s="1">
        <f t="shared" ca="1" si="59"/>
        <v>7.406072271582028</v>
      </c>
      <c r="CW30" s="1">
        <f t="shared" ca="1" si="60"/>
        <v>1762</v>
      </c>
      <c r="CX30" s="1">
        <f t="shared" ca="1" si="61"/>
        <v>6.9623913601300561E-3</v>
      </c>
      <c r="DH30" s="1">
        <f t="shared" ca="1" si="62"/>
        <v>802</v>
      </c>
      <c r="DI30" s="1">
        <f t="shared" ca="1" si="63"/>
        <v>0.35312143136491708</v>
      </c>
      <c r="DJ30" s="1">
        <f t="shared" ca="1" si="64"/>
        <v>19</v>
      </c>
      <c r="DL30" s="1">
        <f t="shared" ca="1" si="65"/>
        <v>0.17001543858751123</v>
      </c>
      <c r="DM30" s="1">
        <f t="shared" ca="1" si="66"/>
        <v>268</v>
      </c>
      <c r="DN30" s="1">
        <f t="shared" ca="1" si="67"/>
        <v>10</v>
      </c>
      <c r="DW30" s="1">
        <f t="shared" ca="1" si="71"/>
        <v>331</v>
      </c>
      <c r="DX30" s="1">
        <f t="shared" ca="1" si="72"/>
        <v>16</v>
      </c>
      <c r="DY30" s="1">
        <f t="shared" ca="1" si="73"/>
        <v>15</v>
      </c>
    </row>
    <row r="31" spans="2:129" x14ac:dyDescent="0.25">
      <c r="B31">
        <f t="shared" ca="1" si="0"/>
        <v>297</v>
      </c>
      <c r="C31">
        <f t="shared" ca="1" si="1"/>
        <v>29</v>
      </c>
      <c r="D31">
        <f t="shared" ca="1" si="2"/>
        <v>0.17770470435717842</v>
      </c>
      <c r="F31" s="1">
        <f t="shared" ca="1" si="3"/>
        <v>46</v>
      </c>
      <c r="G31" s="1">
        <f t="shared" ca="1" si="4"/>
        <v>5</v>
      </c>
      <c r="H31" s="1">
        <f t="shared" ca="1" si="5"/>
        <v>14</v>
      </c>
      <c r="I31" s="1"/>
      <c r="J31" s="1">
        <f t="shared" ca="1" si="6"/>
        <v>33</v>
      </c>
      <c r="K31" s="1">
        <f t="shared" ca="1" si="7"/>
        <v>2.3939954705251729</v>
      </c>
      <c r="L31" s="1">
        <f t="shared" ca="1" si="8"/>
        <v>26</v>
      </c>
      <c r="M31" s="1"/>
      <c r="N31" s="1">
        <f t="shared" ca="1" si="9"/>
        <v>597</v>
      </c>
      <c r="O31" s="1">
        <f t="shared" ca="1" si="10"/>
        <v>18</v>
      </c>
      <c r="P31" s="1"/>
      <c r="Q31" s="1">
        <f t="shared" ca="1" si="11"/>
        <v>2.1968825081050003</v>
      </c>
      <c r="R31" s="1">
        <f t="shared" ca="1" si="12"/>
        <v>1142</v>
      </c>
      <c r="S31" s="1"/>
      <c r="T31" s="1">
        <f t="shared" ca="1" si="13"/>
        <v>3.1332547329995734E-2</v>
      </c>
      <c r="U31" s="1">
        <f t="shared" ca="1" si="14"/>
        <v>323</v>
      </c>
      <c r="V31" s="1">
        <f t="shared" ca="1" si="15"/>
        <v>18</v>
      </c>
      <c r="W31" s="1"/>
      <c r="X31" s="1">
        <f t="shared" ca="1" si="16"/>
        <v>1.2837791008029606</v>
      </c>
      <c r="Y31" s="1">
        <f t="shared" ca="1" si="17"/>
        <v>0.46449629614787835</v>
      </c>
      <c r="Z31" s="1">
        <f t="shared" ca="1" si="18"/>
        <v>826</v>
      </c>
      <c r="AB31" s="1">
        <f t="shared" ca="1" si="19"/>
        <v>0.60224614452289105</v>
      </c>
      <c r="AC31" s="1">
        <f t="shared" ca="1" si="20"/>
        <v>619</v>
      </c>
      <c r="AD31" s="1">
        <f t="shared" ca="1" si="21"/>
        <v>6.0065378310147095E-3</v>
      </c>
      <c r="AE31" s="1"/>
      <c r="AF31" s="1">
        <f t="shared" ca="1" si="22"/>
        <v>0.84856995147692604</v>
      </c>
      <c r="AG31" s="1">
        <f t="shared" ca="1" si="23"/>
        <v>908</v>
      </c>
      <c r="AH31" s="1">
        <f t="shared" ca="1" si="24"/>
        <v>6.7697124416481172E-3</v>
      </c>
      <c r="AJ31" s="1">
        <f t="shared" ca="1" si="25"/>
        <v>0.81332497811563442</v>
      </c>
      <c r="AK31" s="1">
        <f t="shared" ca="1" si="26"/>
        <v>9.9569031946368011E-3</v>
      </c>
      <c r="AL31" s="1"/>
      <c r="AM31" s="1">
        <f t="shared" ca="1" si="27"/>
        <v>8.7377713675556315E-2</v>
      </c>
      <c r="AN31" s="1">
        <f t="shared" ca="1" si="28"/>
        <v>10</v>
      </c>
      <c r="AO31" s="1">
        <f t="shared" ca="1" si="29"/>
        <v>19</v>
      </c>
      <c r="AQ31" s="1">
        <f t="shared" ca="1" si="30"/>
        <v>18</v>
      </c>
      <c r="AR31" s="1">
        <f t="shared" ca="1" si="31"/>
        <v>3</v>
      </c>
      <c r="AS31" s="1">
        <f t="shared" ca="1" si="32"/>
        <v>95</v>
      </c>
      <c r="AU31" s="1">
        <f t="shared" ca="1" si="33"/>
        <v>201</v>
      </c>
      <c r="AV31" s="1">
        <f t="shared" ca="1" si="34"/>
        <v>6</v>
      </c>
      <c r="AW31" s="1">
        <f t="shared" ca="1" si="35"/>
        <v>8.7855941585737465E-2</v>
      </c>
      <c r="AY31" s="1">
        <f t="shared" ca="1" si="36"/>
        <v>1.4117326758302653</v>
      </c>
      <c r="AZ31" s="1">
        <f t="shared" ca="1" si="37"/>
        <v>331</v>
      </c>
      <c r="BA31" s="1">
        <f t="shared" ca="1" si="38"/>
        <v>9.38218570808203E-3</v>
      </c>
      <c r="BG31" s="1">
        <f t="shared" ca="1" si="39"/>
        <v>0.36437334502334007</v>
      </c>
      <c r="BH31" s="1">
        <f t="shared" ca="1" si="40"/>
        <v>0.6382789809422863</v>
      </c>
      <c r="BI31" s="1">
        <f t="shared" ca="1" si="41"/>
        <v>920</v>
      </c>
      <c r="BV31" s="1">
        <f t="shared" ca="1" si="42"/>
        <v>0.28482803420061065</v>
      </c>
      <c r="BW31" s="1">
        <f t="shared" ca="1" si="43"/>
        <v>351</v>
      </c>
      <c r="BX31" s="1">
        <f t="shared" ca="1" si="44"/>
        <v>5.7138901950274854E-4</v>
      </c>
      <c r="BY31" s="1">
        <f t="shared" ca="1" si="45"/>
        <v>9.6074780865173751E-2</v>
      </c>
      <c r="BZ31" s="1">
        <f t="shared" ca="1" si="46"/>
        <v>0.78654121366292118</v>
      </c>
      <c r="CB31" s="1">
        <f t="shared" ca="1" si="47"/>
        <v>487</v>
      </c>
      <c r="CC31" s="1">
        <f t="shared" ca="1" si="48"/>
        <v>3</v>
      </c>
      <c r="CD31" s="1">
        <f t="shared" ca="1" si="49"/>
        <v>0.13876113216391986</v>
      </c>
      <c r="CE31" s="1">
        <f t="shared" ca="1" si="50"/>
        <v>0.97877020413875493</v>
      </c>
      <c r="CF31" s="1">
        <f t="shared" ca="1" si="50"/>
        <v>0.75953664717204949</v>
      </c>
      <c r="CH31" s="3">
        <f t="shared" ca="1" si="51"/>
        <v>0.19713477504173138</v>
      </c>
      <c r="CI31" s="3">
        <f t="shared" ca="1" si="52"/>
        <v>0.74631205700239478</v>
      </c>
      <c r="CJ31" s="3">
        <f t="shared" ca="1" si="53"/>
        <v>549</v>
      </c>
      <c r="CK31" s="3">
        <f t="shared" ca="1" si="54"/>
        <v>4.5385274546405245E-3</v>
      </c>
      <c r="CL31" s="3">
        <f t="shared" ca="1" si="55"/>
        <v>0</v>
      </c>
      <c r="CM31" s="3"/>
      <c r="CN31" s="1">
        <f t="shared" ca="1" si="56"/>
        <v>0.42125375982025759</v>
      </c>
      <c r="CO31" s="1">
        <f t="shared" ca="1" si="57"/>
        <v>1.9555155298461746E-2</v>
      </c>
      <c r="CP31" s="1">
        <f t="shared" ca="1" si="58"/>
        <v>2</v>
      </c>
      <c r="CV31" s="1">
        <f t="shared" ca="1" si="59"/>
        <v>8.028135507261684</v>
      </c>
      <c r="CW31" s="1">
        <f t="shared" ca="1" si="60"/>
        <v>1752</v>
      </c>
      <c r="CX31" s="1">
        <f t="shared" ca="1" si="61"/>
        <v>1.6358598957415941E-3</v>
      </c>
      <c r="DH31" s="1">
        <f t="shared" ca="1" si="62"/>
        <v>327</v>
      </c>
      <c r="DI31" s="1">
        <f t="shared" ca="1" si="63"/>
        <v>0.33114172671818359</v>
      </c>
      <c r="DJ31" s="1">
        <f t="shared" ca="1" si="64"/>
        <v>1</v>
      </c>
      <c r="DL31" s="1">
        <f t="shared" ca="1" si="65"/>
        <v>1.6657747860474428E-2</v>
      </c>
      <c r="DM31" s="1">
        <f t="shared" ca="1" si="66"/>
        <v>292</v>
      </c>
      <c r="DN31" s="1">
        <f t="shared" ca="1" si="67"/>
        <v>6</v>
      </c>
      <c r="DW31" s="1">
        <f t="shared" ca="1" si="71"/>
        <v>175</v>
      </c>
      <c r="DX31" s="1">
        <f t="shared" ca="1" si="72"/>
        <v>15</v>
      </c>
      <c r="DY31" s="1">
        <f t="shared" ca="1" si="73"/>
        <v>3</v>
      </c>
    </row>
    <row r="32" spans="2:129" x14ac:dyDescent="0.25">
      <c r="B32">
        <f t="shared" ca="1" si="0"/>
        <v>303</v>
      </c>
      <c r="C32">
        <f t="shared" ca="1" si="1"/>
        <v>49</v>
      </c>
      <c r="D32">
        <f t="shared" ca="1" si="2"/>
        <v>0.13019405573963003</v>
      </c>
      <c r="F32" s="1">
        <f t="shared" ca="1" si="3"/>
        <v>33</v>
      </c>
      <c r="G32" s="1">
        <f t="shared" ca="1" si="4"/>
        <v>5</v>
      </c>
      <c r="H32" s="1">
        <f t="shared" ca="1" si="5"/>
        <v>3</v>
      </c>
      <c r="I32" s="1"/>
      <c r="J32" s="1">
        <f t="shared" ca="1" si="6"/>
        <v>4</v>
      </c>
      <c r="K32" s="1">
        <f t="shared" ca="1" si="7"/>
        <v>1.6087202724920411</v>
      </c>
      <c r="L32" s="1">
        <f t="shared" ca="1" si="8"/>
        <v>19</v>
      </c>
      <c r="M32" s="1"/>
      <c r="N32" s="1">
        <f t="shared" ca="1" si="9"/>
        <v>768</v>
      </c>
      <c r="O32" s="1">
        <f t="shared" ca="1" si="10"/>
        <v>9</v>
      </c>
      <c r="P32" s="1"/>
      <c r="Q32" s="1">
        <f t="shared" ca="1" si="11"/>
        <v>1.6482923892517105</v>
      </c>
      <c r="R32" s="1">
        <f t="shared" ca="1" si="12"/>
        <v>1099</v>
      </c>
      <c r="S32" s="1"/>
      <c r="T32" s="1">
        <f t="shared" ca="1" si="13"/>
        <v>0.11726318350476073</v>
      </c>
      <c r="U32" s="1">
        <f t="shared" ca="1" si="14"/>
        <v>117</v>
      </c>
      <c r="V32" s="1">
        <f t="shared" ca="1" si="15"/>
        <v>50</v>
      </c>
      <c r="W32" s="1"/>
      <c r="X32" s="1">
        <f t="shared" ca="1" si="16"/>
        <v>3.5511113731453698</v>
      </c>
      <c r="Y32" s="1">
        <f t="shared" ca="1" si="17"/>
        <v>0.5014654858361336</v>
      </c>
      <c r="Z32" s="1">
        <f t="shared" ca="1" si="18"/>
        <v>1091</v>
      </c>
      <c r="AB32" s="1">
        <f t="shared" ca="1" si="19"/>
        <v>0.25606785202400129</v>
      </c>
      <c r="AC32" s="1">
        <f t="shared" ca="1" si="20"/>
        <v>308</v>
      </c>
      <c r="AD32" s="1">
        <f t="shared" ca="1" si="21"/>
        <v>2.5899022741282633E-3</v>
      </c>
      <c r="AE32" s="1"/>
      <c r="AF32" s="1">
        <f t="shared" ca="1" si="22"/>
        <v>0.83267590218827037</v>
      </c>
      <c r="AG32" s="1">
        <f t="shared" ca="1" si="23"/>
        <v>860</v>
      </c>
      <c r="AH32" s="1">
        <f t="shared" ca="1" si="24"/>
        <v>7.830473083737195E-4</v>
      </c>
      <c r="AJ32" s="1">
        <f t="shared" ca="1" si="25"/>
        <v>0.32200323832297062</v>
      </c>
      <c r="AK32" s="1">
        <f t="shared" ca="1" si="26"/>
        <v>2.871286926146196E-3</v>
      </c>
      <c r="AL32" s="1"/>
      <c r="AM32" s="1">
        <f t="shared" ca="1" si="27"/>
        <v>9.5054630985380639E-2</v>
      </c>
      <c r="AN32" s="1">
        <f t="shared" ca="1" si="28"/>
        <v>20</v>
      </c>
      <c r="AO32" s="1">
        <f t="shared" ca="1" si="29"/>
        <v>14</v>
      </c>
      <c r="AQ32" s="1">
        <f t="shared" ca="1" si="30"/>
        <v>112</v>
      </c>
      <c r="AR32" s="1">
        <f t="shared" ca="1" si="31"/>
        <v>9</v>
      </c>
      <c r="AS32" s="1">
        <f t="shared" ca="1" si="32"/>
        <v>48</v>
      </c>
      <c r="AU32" s="1">
        <f t="shared" ca="1" si="33"/>
        <v>122</v>
      </c>
      <c r="AV32" s="1">
        <f t="shared" ca="1" si="34"/>
        <v>2</v>
      </c>
      <c r="AW32" s="1">
        <f t="shared" ca="1" si="35"/>
        <v>0.10448963440055398</v>
      </c>
      <c r="AY32" s="1">
        <f t="shared" ca="1" si="36"/>
        <v>1.7876908425924245</v>
      </c>
      <c r="AZ32" s="1">
        <f t="shared" ca="1" si="37"/>
        <v>370</v>
      </c>
      <c r="BA32" s="1">
        <f t="shared" ca="1" si="38"/>
        <v>1.7331348950210548E-3</v>
      </c>
      <c r="BG32" s="1">
        <f t="shared" ca="1" si="39"/>
        <v>0.21545322505947159</v>
      </c>
      <c r="BH32" s="1">
        <f t="shared" ca="1" si="40"/>
        <v>0.7897490992605456</v>
      </c>
      <c r="BI32" s="1">
        <f t="shared" ca="1" si="41"/>
        <v>683</v>
      </c>
      <c r="BV32" s="1">
        <f t="shared" ca="1" si="42"/>
        <v>0.59493164018903266</v>
      </c>
      <c r="BW32" s="1">
        <f t="shared" ca="1" si="43"/>
        <v>905</v>
      </c>
      <c r="BX32" s="1">
        <f t="shared" ca="1" si="44"/>
        <v>8.3788272168208652E-3</v>
      </c>
      <c r="BY32" s="1">
        <f t="shared" ca="1" si="45"/>
        <v>4.5374583801744181E-2</v>
      </c>
      <c r="BZ32" s="1">
        <f t="shared" ca="1" si="46"/>
        <v>0.96930201561952056</v>
      </c>
      <c r="CB32" s="1">
        <f t="shared" ca="1" si="47"/>
        <v>272</v>
      </c>
      <c r="CC32" s="1">
        <f t="shared" ca="1" si="48"/>
        <v>15</v>
      </c>
      <c r="CD32" s="1">
        <f t="shared" ca="1" si="49"/>
        <v>0.11837191714423999</v>
      </c>
      <c r="CE32" s="1">
        <f t="shared" ca="1" si="50"/>
        <v>0.51182132544628867</v>
      </c>
      <c r="CF32" s="1">
        <f t="shared" ca="1" si="50"/>
        <v>0.72520252895668813</v>
      </c>
      <c r="CH32" s="3">
        <f t="shared" ca="1" si="51"/>
        <v>0.20402904848633283</v>
      </c>
      <c r="CI32" s="3">
        <f t="shared" ca="1" si="52"/>
        <v>0.38685961255426976</v>
      </c>
      <c r="CJ32" s="3">
        <f t="shared" ca="1" si="53"/>
        <v>1408</v>
      </c>
      <c r="CK32" s="3">
        <f t="shared" ca="1" si="54"/>
        <v>8.218852070813255E-3</v>
      </c>
      <c r="CL32" s="3">
        <f t="shared" ca="1" si="55"/>
        <v>1</v>
      </c>
      <c r="CM32" s="3"/>
      <c r="CN32" s="1">
        <f t="shared" ca="1" si="56"/>
        <v>0.70559283087798719</v>
      </c>
      <c r="CO32" s="1">
        <f t="shared" ca="1" si="57"/>
        <v>0.24651919587399987</v>
      </c>
      <c r="CP32" s="1">
        <f t="shared" ca="1" si="58"/>
        <v>4</v>
      </c>
      <c r="CV32" s="1">
        <f t="shared" ca="1" si="59"/>
        <v>9.2919980068335501</v>
      </c>
      <c r="CW32" s="1">
        <f t="shared" ca="1" si="60"/>
        <v>550</v>
      </c>
      <c r="CX32" s="1">
        <f t="shared" ca="1" si="61"/>
        <v>7.2040209351714422E-3</v>
      </c>
      <c r="DH32" s="1">
        <f t="shared" ca="1" si="62"/>
        <v>52</v>
      </c>
      <c r="DI32" s="1">
        <f t="shared" ca="1" si="63"/>
        <v>6.7106338339389213E-2</v>
      </c>
      <c r="DJ32" s="1">
        <f t="shared" ca="1" si="64"/>
        <v>17</v>
      </c>
      <c r="DL32" s="1">
        <f t="shared" ca="1" si="65"/>
        <v>0.17566362877025721</v>
      </c>
      <c r="DM32" s="1">
        <f t="shared" ca="1" si="66"/>
        <v>264</v>
      </c>
      <c r="DN32" s="1">
        <f t="shared" ca="1" si="67"/>
        <v>9</v>
      </c>
      <c r="DW32" s="1">
        <f t="shared" ca="1" si="71"/>
        <v>301</v>
      </c>
      <c r="DX32" s="1">
        <f t="shared" ca="1" si="72"/>
        <v>11</v>
      </c>
      <c r="DY32" s="1">
        <f t="shared" ca="1" si="73"/>
        <v>14</v>
      </c>
    </row>
    <row r="33" spans="2:129" x14ac:dyDescent="0.25">
      <c r="B33">
        <f t="shared" ca="1" si="0"/>
        <v>585</v>
      </c>
      <c r="C33">
        <f t="shared" ca="1" si="1"/>
        <v>50</v>
      </c>
      <c r="D33">
        <f t="shared" ca="1" si="2"/>
        <v>0.19326588810153972</v>
      </c>
      <c r="F33" s="1">
        <f t="shared" ca="1" si="3"/>
        <v>26</v>
      </c>
      <c r="G33" s="1">
        <f t="shared" ca="1" si="4"/>
        <v>19</v>
      </c>
      <c r="H33" s="1">
        <f t="shared" ca="1" si="5"/>
        <v>5</v>
      </c>
      <c r="I33" s="1"/>
      <c r="J33" s="1">
        <f t="shared" ca="1" si="6"/>
        <v>8</v>
      </c>
      <c r="K33" s="1">
        <f t="shared" ca="1" si="7"/>
        <v>1.8698827028820624</v>
      </c>
      <c r="L33" s="1">
        <f t="shared" ca="1" si="8"/>
        <v>11</v>
      </c>
      <c r="M33" s="1"/>
      <c r="N33" s="1">
        <f t="shared" ca="1" si="9"/>
        <v>66</v>
      </c>
      <c r="O33" s="1">
        <f t="shared" ca="1" si="10"/>
        <v>40</v>
      </c>
      <c r="P33" s="1"/>
      <c r="Q33" s="1">
        <f t="shared" ca="1" si="11"/>
        <v>4.3240721450661619</v>
      </c>
      <c r="R33" s="1">
        <f t="shared" ca="1" si="12"/>
        <v>579</v>
      </c>
      <c r="S33" s="1"/>
      <c r="T33" s="1">
        <f t="shared" ca="1" si="13"/>
        <v>1.3344436517420098E-2</v>
      </c>
      <c r="U33" s="1">
        <f t="shared" ca="1" si="14"/>
        <v>102</v>
      </c>
      <c r="V33" s="1">
        <f t="shared" ca="1" si="15"/>
        <v>31</v>
      </c>
      <c r="W33" s="1"/>
      <c r="X33" s="1">
        <f t="shared" ca="1" si="16"/>
        <v>2.1038541484226476</v>
      </c>
      <c r="Y33" s="1">
        <f t="shared" ca="1" si="17"/>
        <v>0.75648590551403572</v>
      </c>
      <c r="Z33" s="1">
        <f t="shared" ca="1" si="18"/>
        <v>1002</v>
      </c>
      <c r="AB33" s="1">
        <f t="shared" ca="1" si="19"/>
        <v>0.13874656734743751</v>
      </c>
      <c r="AC33" s="1">
        <f t="shared" ca="1" si="20"/>
        <v>751</v>
      </c>
      <c r="AD33" s="1">
        <f t="shared" ca="1" si="21"/>
        <v>3.7120620394504086E-3</v>
      </c>
      <c r="AE33" s="1"/>
      <c r="AF33" s="1">
        <f t="shared" ca="1" si="22"/>
        <v>0.14121051935343598</v>
      </c>
      <c r="AG33" s="1">
        <f t="shared" ca="1" si="23"/>
        <v>170</v>
      </c>
      <c r="AH33" s="1">
        <f t="shared" ca="1" si="24"/>
        <v>7.8828587333403897E-3</v>
      </c>
      <c r="AJ33" s="1">
        <f t="shared" ca="1" si="25"/>
        <v>0.70069386883248397</v>
      </c>
      <c r="AK33" s="1">
        <f t="shared" ca="1" si="26"/>
        <v>7.660532182972757E-3</v>
      </c>
      <c r="AL33" s="1"/>
      <c r="AM33" s="1">
        <f t="shared" ca="1" si="27"/>
        <v>0.10644811857873913</v>
      </c>
      <c r="AN33" s="1">
        <f t="shared" ca="1" si="28"/>
        <v>44</v>
      </c>
      <c r="AO33" s="1">
        <f t="shared" ca="1" si="29"/>
        <v>17</v>
      </c>
      <c r="AQ33" s="1">
        <f t="shared" ca="1" si="30"/>
        <v>64</v>
      </c>
      <c r="AR33" s="1">
        <f t="shared" ca="1" si="31"/>
        <v>2</v>
      </c>
      <c r="AS33" s="1">
        <f t="shared" ca="1" si="32"/>
        <v>54</v>
      </c>
      <c r="AU33" s="1">
        <f t="shared" ca="1" si="33"/>
        <v>398</v>
      </c>
      <c r="AV33" s="1">
        <f t="shared" ca="1" si="34"/>
        <v>8</v>
      </c>
      <c r="AW33" s="1">
        <f t="shared" ca="1" si="35"/>
        <v>0.12340152455731267</v>
      </c>
      <c r="AY33" s="1">
        <f t="shared" ca="1" si="36"/>
        <v>1.1893032748567547</v>
      </c>
      <c r="AZ33" s="1">
        <f t="shared" ca="1" si="37"/>
        <v>493</v>
      </c>
      <c r="BA33" s="1">
        <f t="shared" ca="1" si="38"/>
        <v>6.881911288852511E-4</v>
      </c>
      <c r="BG33" s="1">
        <f t="shared" ca="1" si="39"/>
        <v>0.21769249179439817</v>
      </c>
      <c r="BH33" s="1">
        <f t="shared" ca="1" si="40"/>
        <v>0.26220129009925319</v>
      </c>
      <c r="BI33" s="1">
        <f t="shared" ca="1" si="41"/>
        <v>713</v>
      </c>
      <c r="BV33" s="1">
        <f t="shared" ca="1" si="42"/>
        <v>0.45707334382003001</v>
      </c>
      <c r="BW33" s="1">
        <f t="shared" ca="1" si="43"/>
        <v>684</v>
      </c>
      <c r="BX33" s="1">
        <f t="shared" ca="1" si="44"/>
        <v>5.5851617428551124E-3</v>
      </c>
      <c r="BY33" s="1">
        <f t="shared" ca="1" si="45"/>
        <v>6.8356810970461077E-2</v>
      </c>
      <c r="BZ33" s="1">
        <f t="shared" ca="1" si="46"/>
        <v>0.66282102804164955</v>
      </c>
      <c r="CB33" s="1">
        <f t="shared" ca="1" si="47"/>
        <v>76</v>
      </c>
      <c r="CC33" s="1">
        <f t="shared" ca="1" si="48"/>
        <v>4</v>
      </c>
      <c r="CD33" s="1">
        <f t="shared" ca="1" si="49"/>
        <v>9.5021319541415267E-2</v>
      </c>
      <c r="CE33" s="1">
        <f t="shared" ca="1" si="50"/>
        <v>0.84290649690339359</v>
      </c>
      <c r="CF33" s="1">
        <f t="shared" ca="1" si="50"/>
        <v>0.73749231921953251</v>
      </c>
      <c r="CH33" s="3">
        <f t="shared" ca="1" si="51"/>
        <v>0.8164643320099122</v>
      </c>
      <c r="CI33" s="3">
        <f t="shared" ca="1" si="52"/>
        <v>0.53407707387322501</v>
      </c>
      <c r="CJ33" s="3">
        <f t="shared" ca="1" si="53"/>
        <v>1044</v>
      </c>
      <c r="CK33" s="3">
        <f t="shared" ca="1" si="54"/>
        <v>5.2170934579489816E-3</v>
      </c>
      <c r="CL33" s="3">
        <f t="shared" ca="1" si="55"/>
        <v>1</v>
      </c>
      <c r="CM33" s="3"/>
      <c r="CN33" s="1">
        <f t="shared" ca="1" si="56"/>
        <v>18.435846720117155</v>
      </c>
      <c r="CO33" s="1">
        <f t="shared" ca="1" si="57"/>
        <v>0.35746583714577579</v>
      </c>
      <c r="CP33" s="1">
        <f t="shared" ca="1" si="58"/>
        <v>2</v>
      </c>
      <c r="CV33" s="1">
        <f t="shared" ca="1" si="59"/>
        <v>0.52057403901553612</v>
      </c>
      <c r="CW33" s="1">
        <f t="shared" ca="1" si="60"/>
        <v>721</v>
      </c>
      <c r="CX33" s="1">
        <f t="shared" ca="1" si="61"/>
        <v>4.5020707587691538E-3</v>
      </c>
      <c r="DH33" s="1">
        <f t="shared" ca="1" si="62"/>
        <v>433</v>
      </c>
      <c r="DI33" s="1">
        <f t="shared" ca="1" si="63"/>
        <v>0.23370157989870363</v>
      </c>
      <c r="DJ33" s="1">
        <f t="shared" ca="1" si="64"/>
        <v>13</v>
      </c>
      <c r="DL33" s="1">
        <f t="shared" ca="1" si="65"/>
        <v>4.7089098952802354E-2</v>
      </c>
      <c r="DM33" s="1">
        <f t="shared" ca="1" si="66"/>
        <v>193</v>
      </c>
      <c r="DN33" s="1">
        <f t="shared" ca="1" si="67"/>
        <v>1</v>
      </c>
      <c r="DW33" s="1">
        <f t="shared" ca="1" si="71"/>
        <v>99</v>
      </c>
      <c r="DX33" s="1">
        <f t="shared" ca="1" si="72"/>
        <v>5</v>
      </c>
      <c r="DY33" s="1">
        <f t="shared" ca="1" si="73"/>
        <v>5</v>
      </c>
    </row>
    <row r="34" spans="2:129" x14ac:dyDescent="0.25">
      <c r="B34">
        <f t="shared" ca="1" si="0"/>
        <v>876</v>
      </c>
      <c r="C34">
        <f t="shared" ca="1" si="1"/>
        <v>34</v>
      </c>
      <c r="D34">
        <f t="shared" ca="1" si="2"/>
        <v>9.0503333928479965E-2</v>
      </c>
      <c r="F34" s="1">
        <f t="shared" ca="1" si="3"/>
        <v>10</v>
      </c>
      <c r="G34" s="1">
        <f t="shared" ca="1" si="4"/>
        <v>18</v>
      </c>
      <c r="H34" s="1">
        <f t="shared" ca="1" si="5"/>
        <v>13</v>
      </c>
      <c r="I34" s="1"/>
      <c r="J34" s="1">
        <f t="shared" ca="1" si="6"/>
        <v>25</v>
      </c>
      <c r="K34" s="1">
        <f t="shared" ca="1" si="7"/>
        <v>1.6393261342514742</v>
      </c>
      <c r="L34" s="1">
        <f t="shared" ca="1" si="8"/>
        <v>11</v>
      </c>
      <c r="M34" s="1"/>
      <c r="N34" s="1">
        <f t="shared" ca="1" si="9"/>
        <v>202</v>
      </c>
      <c r="O34" s="1">
        <f t="shared" ca="1" si="10"/>
        <v>38</v>
      </c>
      <c r="P34" s="1"/>
      <c r="Q34" s="1">
        <f t="shared" ca="1" si="11"/>
        <v>3.5095525382420152</v>
      </c>
      <c r="R34" s="1">
        <f t="shared" ca="1" si="12"/>
        <v>1051</v>
      </c>
      <c r="S34" s="1"/>
      <c r="T34" s="1">
        <f t="shared" ca="1" si="13"/>
        <v>0.19139984970725094</v>
      </c>
      <c r="U34" s="1">
        <f t="shared" ca="1" si="14"/>
        <v>127</v>
      </c>
      <c r="V34" s="1">
        <f t="shared" ca="1" si="15"/>
        <v>37</v>
      </c>
      <c r="W34" s="1"/>
      <c r="X34" s="1">
        <f t="shared" ca="1" si="16"/>
        <v>3.3468989205725519</v>
      </c>
      <c r="Y34" s="1">
        <f t="shared" ca="1" si="17"/>
        <v>0.93501316664568357</v>
      </c>
      <c r="Z34" s="1">
        <f t="shared" ca="1" si="18"/>
        <v>329</v>
      </c>
      <c r="AB34" s="1">
        <f t="shared" ca="1" si="19"/>
        <v>0.14620470170413091</v>
      </c>
      <c r="AC34" s="1">
        <f t="shared" ca="1" si="20"/>
        <v>294</v>
      </c>
      <c r="AD34" s="1">
        <f t="shared" ca="1" si="21"/>
        <v>5.3820732391882953E-3</v>
      </c>
      <c r="AE34" s="1"/>
      <c r="AF34" s="1">
        <f t="shared" ca="1" si="22"/>
        <v>0.49250633839887226</v>
      </c>
      <c r="AG34" s="1">
        <f t="shared" ca="1" si="23"/>
        <v>756</v>
      </c>
      <c r="AH34" s="1">
        <f t="shared" ca="1" si="24"/>
        <v>4.3483186317748576E-3</v>
      </c>
      <c r="AJ34" s="1">
        <f t="shared" ca="1" si="25"/>
        <v>0.40392355250168177</v>
      </c>
      <c r="AK34" s="1">
        <f t="shared" ca="1" si="26"/>
        <v>1.0194270867634363E-3</v>
      </c>
      <c r="AL34" s="1"/>
      <c r="AM34" s="1">
        <f t="shared" ca="1" si="27"/>
        <v>5.1245844454649879E-2</v>
      </c>
      <c r="AN34" s="1">
        <f t="shared" ca="1" si="28"/>
        <v>66</v>
      </c>
      <c r="AO34" s="1">
        <f t="shared" ca="1" si="29"/>
        <v>9</v>
      </c>
      <c r="AQ34" s="1">
        <f t="shared" ca="1" si="30"/>
        <v>178</v>
      </c>
      <c r="AR34" s="1">
        <f t="shared" ca="1" si="31"/>
        <v>9</v>
      </c>
      <c r="AS34" s="1">
        <f t="shared" ca="1" si="32"/>
        <v>15</v>
      </c>
      <c r="AU34" s="1">
        <f t="shared" ca="1" si="33"/>
        <v>202</v>
      </c>
      <c r="AV34" s="1">
        <f t="shared" ca="1" si="34"/>
        <v>8</v>
      </c>
      <c r="AW34" s="1">
        <f t="shared" ca="1" si="35"/>
        <v>0.12551271611744025</v>
      </c>
      <c r="AY34" s="1">
        <f t="shared" ca="1" si="36"/>
        <v>1.104812336786144</v>
      </c>
      <c r="AZ34" s="1">
        <f t="shared" ca="1" si="37"/>
        <v>445</v>
      </c>
      <c r="BA34" s="1">
        <f t="shared" ca="1" si="38"/>
        <v>8.7500841111483978E-3</v>
      </c>
      <c r="BG34" s="1">
        <f t="shared" ca="1" si="39"/>
        <v>8.0960706275108416E-2</v>
      </c>
      <c r="BH34" s="1">
        <f t="shared" ca="1" si="40"/>
        <v>0.33487677531483628</v>
      </c>
      <c r="BI34" s="1">
        <f t="shared" ca="1" si="41"/>
        <v>990</v>
      </c>
      <c r="BV34" s="1">
        <f t="shared" ca="1" si="42"/>
        <v>0.99256153505923095</v>
      </c>
      <c r="BW34" s="1">
        <f t="shared" ca="1" si="43"/>
        <v>689</v>
      </c>
      <c r="BX34" s="1">
        <f t="shared" ca="1" si="44"/>
        <v>1.4534022330451091E-4</v>
      </c>
      <c r="BY34" s="1">
        <f t="shared" ca="1" si="45"/>
        <v>3.7859648285794911E-2</v>
      </c>
      <c r="BZ34" s="1">
        <f t="shared" ca="1" si="46"/>
        <v>0.84053559971131631</v>
      </c>
      <c r="CB34" s="1">
        <f t="shared" ca="1" si="47"/>
        <v>262</v>
      </c>
      <c r="CC34" s="1">
        <f t="shared" ca="1" si="48"/>
        <v>13</v>
      </c>
      <c r="CD34" s="1">
        <f t="shared" ca="1" si="49"/>
        <v>0.16519018118473114</v>
      </c>
      <c r="CE34" s="1">
        <f t="shared" ca="1" si="50"/>
        <v>0.88597653375770902</v>
      </c>
      <c r="CF34" s="1">
        <f t="shared" ca="1" si="50"/>
        <v>0.77659037189296232</v>
      </c>
      <c r="CH34" s="3">
        <f t="shared" ca="1" si="51"/>
        <v>0.44288905010745816</v>
      </c>
      <c r="CI34" s="3">
        <f t="shared" ca="1" si="52"/>
        <v>0.45232748469884942</v>
      </c>
      <c r="CJ34" s="3">
        <f t="shared" ca="1" si="53"/>
        <v>1411</v>
      </c>
      <c r="CK34" s="3">
        <f t="shared" ca="1" si="54"/>
        <v>5.6944815627929316E-3</v>
      </c>
      <c r="CL34" s="3">
        <f t="shared" ca="1" si="55"/>
        <v>0</v>
      </c>
      <c r="CM34" s="3"/>
      <c r="CN34" s="1">
        <f t="shared" ca="1" si="56"/>
        <v>10.699097786201008</v>
      </c>
      <c r="CO34" s="1">
        <f t="shared" ca="1" si="57"/>
        <v>0.37272760084317691</v>
      </c>
      <c r="CP34" s="1">
        <f t="shared" ca="1" si="58"/>
        <v>3</v>
      </c>
      <c r="CV34" s="1">
        <f t="shared" ca="1" si="59"/>
        <v>6.5121615869361769</v>
      </c>
      <c r="CW34" s="1">
        <f t="shared" ca="1" si="60"/>
        <v>683</v>
      </c>
      <c r="CX34" s="1">
        <f t="shared" ca="1" si="61"/>
        <v>2.1987706700993156E-4</v>
      </c>
      <c r="DH34" s="1">
        <f t="shared" ca="1" si="62"/>
        <v>430</v>
      </c>
      <c r="DI34" s="1">
        <f t="shared" ca="1" si="63"/>
        <v>0.32039768190126011</v>
      </c>
      <c r="DJ34" s="1">
        <f t="shared" ca="1" si="64"/>
        <v>10</v>
      </c>
      <c r="DL34" s="1">
        <f t="shared" ca="1" si="65"/>
        <v>0.15541475836666854</v>
      </c>
      <c r="DM34" s="1">
        <f t="shared" ca="1" si="66"/>
        <v>148</v>
      </c>
      <c r="DN34" s="1">
        <f t="shared" ca="1" si="67"/>
        <v>5</v>
      </c>
      <c r="DW34" s="1">
        <f t="shared" ca="1" si="71"/>
        <v>128</v>
      </c>
      <c r="DX34" s="1">
        <f t="shared" ca="1" si="72"/>
        <v>15</v>
      </c>
      <c r="DY34" s="1">
        <f t="shared" ca="1" si="73"/>
        <v>3</v>
      </c>
    </row>
    <row r="35" spans="2:129" x14ac:dyDescent="0.25">
      <c r="B35">
        <f t="shared" ca="1" si="0"/>
        <v>259</v>
      </c>
      <c r="C35">
        <f t="shared" ca="1" si="1"/>
        <v>17</v>
      </c>
      <c r="D35">
        <f t="shared" ca="1" si="2"/>
        <v>0.19589914940166001</v>
      </c>
      <c r="F35" s="1">
        <f t="shared" ca="1" si="3"/>
        <v>10</v>
      </c>
      <c r="G35" s="1">
        <f t="shared" ca="1" si="4"/>
        <v>14</v>
      </c>
      <c r="H35" s="1">
        <f t="shared" ca="1" si="5"/>
        <v>2</v>
      </c>
      <c r="I35" s="1"/>
      <c r="J35" s="1">
        <f t="shared" ca="1" si="6"/>
        <v>32</v>
      </c>
      <c r="K35" s="1">
        <f t="shared" ca="1" si="7"/>
        <v>1.9289292909796809</v>
      </c>
      <c r="L35" s="1">
        <f t="shared" ca="1" si="8"/>
        <v>15</v>
      </c>
      <c r="M35" s="1"/>
      <c r="N35" s="1">
        <f t="shared" ca="1" si="9"/>
        <v>503</v>
      </c>
      <c r="O35" s="1">
        <f t="shared" ca="1" si="10"/>
        <v>49</v>
      </c>
      <c r="P35" s="1"/>
      <c r="Q35" s="1">
        <f t="shared" ca="1" si="11"/>
        <v>1.6695228213494333</v>
      </c>
      <c r="R35" s="1">
        <f t="shared" ca="1" si="12"/>
        <v>700</v>
      </c>
      <c r="S35" s="1"/>
      <c r="T35" s="1">
        <f t="shared" ca="1" si="13"/>
        <v>2.8704472559071076E-2</v>
      </c>
      <c r="U35" s="1">
        <f t="shared" ca="1" si="14"/>
        <v>226</v>
      </c>
      <c r="V35" s="1">
        <f t="shared" ca="1" si="15"/>
        <v>21</v>
      </c>
      <c r="W35" s="1"/>
      <c r="X35" s="1">
        <f t="shared" ca="1" si="16"/>
        <v>8.8720059152620726E-2</v>
      </c>
      <c r="Y35" s="1">
        <f t="shared" ca="1" si="17"/>
        <v>0.96061698458021083</v>
      </c>
      <c r="Z35" s="1">
        <f t="shared" ca="1" si="18"/>
        <v>1741</v>
      </c>
      <c r="AB35" s="1">
        <f t="shared" ca="1" si="19"/>
        <v>2.8708100257747358E-2</v>
      </c>
      <c r="AC35" s="1">
        <f t="shared" ca="1" si="20"/>
        <v>231</v>
      </c>
      <c r="AD35" s="1">
        <f t="shared" ca="1" si="21"/>
        <v>6.9727565635856019E-3</v>
      </c>
      <c r="AE35" s="1"/>
      <c r="AF35" s="1">
        <f t="shared" ca="1" si="22"/>
        <v>0.70067752135538564</v>
      </c>
      <c r="AG35" s="1">
        <f t="shared" ca="1" si="23"/>
        <v>685</v>
      </c>
      <c r="AH35" s="1">
        <f t="shared" ca="1" si="24"/>
        <v>9.369912746978713E-4</v>
      </c>
      <c r="AJ35" s="1">
        <f t="shared" ca="1" si="25"/>
        <v>0.99167602355434159</v>
      </c>
      <c r="AK35" s="1">
        <f t="shared" ca="1" si="26"/>
        <v>8.4247067638551498E-3</v>
      </c>
      <c r="AL35" s="1"/>
      <c r="AM35" s="1">
        <f t="shared" ca="1" si="27"/>
        <v>0.19456816416117362</v>
      </c>
      <c r="AN35" s="1">
        <f t="shared" ca="1" si="28"/>
        <v>39</v>
      </c>
      <c r="AO35" s="1">
        <f t="shared" ca="1" si="29"/>
        <v>3</v>
      </c>
      <c r="AQ35" s="1">
        <f t="shared" ca="1" si="30"/>
        <v>146</v>
      </c>
      <c r="AR35" s="1">
        <f t="shared" ca="1" si="31"/>
        <v>4</v>
      </c>
      <c r="AS35" s="1">
        <f t="shared" ca="1" si="32"/>
        <v>28</v>
      </c>
      <c r="AU35" s="1">
        <f t="shared" ca="1" si="33"/>
        <v>237</v>
      </c>
      <c r="AV35" s="1">
        <f t="shared" ca="1" si="34"/>
        <v>5</v>
      </c>
      <c r="AW35" s="1">
        <f t="shared" ca="1" si="35"/>
        <v>0.14761792492906722</v>
      </c>
      <c r="AY35" s="1">
        <f t="shared" ca="1" si="36"/>
        <v>1.5856809244160703</v>
      </c>
      <c r="AZ35" s="1">
        <f t="shared" ca="1" si="37"/>
        <v>259</v>
      </c>
      <c r="BA35" s="1">
        <f t="shared" ca="1" si="38"/>
        <v>2.3478107022059619E-3</v>
      </c>
      <c r="BG35" s="1">
        <f t="shared" ca="1" si="39"/>
        <v>0.92311071430083647</v>
      </c>
      <c r="BH35" s="1">
        <f t="shared" ca="1" si="40"/>
        <v>0.7233470282846608</v>
      </c>
      <c r="BI35" s="1">
        <f t="shared" ca="1" si="41"/>
        <v>372</v>
      </c>
      <c r="BV35" s="1">
        <f t="shared" ca="1" si="42"/>
        <v>0.51496876215066867</v>
      </c>
      <c r="BW35" s="1">
        <f t="shared" ca="1" si="43"/>
        <v>619</v>
      </c>
      <c r="BX35" s="1">
        <f t="shared" ca="1" si="44"/>
        <v>2.300562070768568E-3</v>
      </c>
      <c r="BY35" s="1">
        <f t="shared" ca="1" si="45"/>
        <v>7.9733053858292546E-2</v>
      </c>
      <c r="BZ35" s="1">
        <f t="shared" ca="1" si="46"/>
        <v>0.60294155013131234</v>
      </c>
      <c r="CB35" s="1">
        <f t="shared" ca="1" si="47"/>
        <v>447</v>
      </c>
      <c r="CC35" s="1">
        <f t="shared" ca="1" si="48"/>
        <v>8</v>
      </c>
      <c r="CD35" s="1">
        <f t="shared" ca="1" si="49"/>
        <v>0.10220877143724325</v>
      </c>
      <c r="CE35" s="1">
        <f t="shared" ca="1" si="50"/>
        <v>0.53552831876278961</v>
      </c>
      <c r="CF35" s="1">
        <f t="shared" ca="1" si="50"/>
        <v>0.52380866167090723</v>
      </c>
      <c r="CH35" s="3">
        <f t="shared" ca="1" si="51"/>
        <v>0.72926818217543343</v>
      </c>
      <c r="CI35" s="3">
        <f t="shared" ca="1" si="52"/>
        <v>0.65541076389296726</v>
      </c>
      <c r="CJ35" s="3">
        <f t="shared" ca="1" si="53"/>
        <v>1998</v>
      </c>
      <c r="CK35" s="3">
        <f t="shared" ca="1" si="54"/>
        <v>4.3830205850354407E-3</v>
      </c>
      <c r="CL35" s="3">
        <f t="shared" ca="1" si="55"/>
        <v>1</v>
      </c>
      <c r="CM35" s="3"/>
      <c r="CN35" s="1">
        <f t="shared" ca="1" si="56"/>
        <v>13.475210170628255</v>
      </c>
      <c r="CO35" s="1">
        <f t="shared" ca="1" si="57"/>
        <v>0.37428391859348314</v>
      </c>
      <c r="CP35" s="1">
        <f t="shared" ca="1" si="58"/>
        <v>2</v>
      </c>
      <c r="CV35" s="1">
        <f t="shared" ca="1" si="59"/>
        <v>1.0093825329993849</v>
      </c>
      <c r="CW35" s="1">
        <f t="shared" ca="1" si="60"/>
        <v>817</v>
      </c>
      <c r="CX35" s="1">
        <f t="shared" ca="1" si="61"/>
        <v>7.302960579046871E-3</v>
      </c>
      <c r="DH35" s="1">
        <f t="shared" ca="1" si="62"/>
        <v>491</v>
      </c>
      <c r="DI35" s="1">
        <f t="shared" ca="1" si="63"/>
        <v>0.97075082063031759</v>
      </c>
      <c r="DJ35" s="1">
        <f t="shared" ca="1" si="64"/>
        <v>25</v>
      </c>
      <c r="DL35" s="1">
        <f t="shared" ca="1" si="65"/>
        <v>0.13581274583198397</v>
      </c>
      <c r="DM35" s="1">
        <f t="shared" ca="1" si="66"/>
        <v>227</v>
      </c>
      <c r="DN35" s="1">
        <f t="shared" ca="1" si="67"/>
        <v>7</v>
      </c>
      <c r="DW35" s="1">
        <f t="shared" ca="1" si="71"/>
        <v>223</v>
      </c>
      <c r="DX35" s="1">
        <f t="shared" ca="1" si="72"/>
        <v>13</v>
      </c>
      <c r="DY35" s="1">
        <f t="shared" ca="1" si="73"/>
        <v>17</v>
      </c>
    </row>
    <row r="36" spans="2:129" x14ac:dyDescent="0.25">
      <c r="B36">
        <f t="shared" ca="1" si="0"/>
        <v>236</v>
      </c>
      <c r="C36">
        <f t="shared" ca="1" si="1"/>
        <v>33</v>
      </c>
      <c r="D36">
        <f t="shared" ca="1" si="2"/>
        <v>0.29178838093189202</v>
      </c>
      <c r="F36" s="1">
        <f t="shared" ca="1" si="3"/>
        <v>2</v>
      </c>
      <c r="G36" s="1">
        <f t="shared" ca="1" si="4"/>
        <v>10</v>
      </c>
      <c r="H36" s="1">
        <f t="shared" ca="1" si="5"/>
        <v>7</v>
      </c>
      <c r="I36" s="1"/>
      <c r="J36" s="1">
        <f t="shared" ca="1" si="6"/>
        <v>26</v>
      </c>
      <c r="K36" s="1">
        <f t="shared" ca="1" si="7"/>
        <v>1.136816717583069</v>
      </c>
      <c r="L36" s="1">
        <f t="shared" ca="1" si="8"/>
        <v>31</v>
      </c>
      <c r="M36" s="1"/>
      <c r="N36" s="1">
        <f t="shared" ca="1" si="9"/>
        <v>72</v>
      </c>
      <c r="O36" s="1">
        <f t="shared" ca="1" si="10"/>
        <v>17</v>
      </c>
      <c r="P36" s="1"/>
      <c r="Q36" s="1">
        <f t="shared" ca="1" si="11"/>
        <v>2.658894706132644</v>
      </c>
      <c r="R36" s="1">
        <f t="shared" ca="1" si="12"/>
        <v>598</v>
      </c>
      <c r="S36" s="1"/>
      <c r="T36" s="1">
        <f t="shared" ca="1" si="13"/>
        <v>8.1256770596280767E-2</v>
      </c>
      <c r="U36" s="1">
        <f t="shared" ca="1" si="14"/>
        <v>264</v>
      </c>
      <c r="V36" s="1">
        <f t="shared" ca="1" si="15"/>
        <v>20</v>
      </c>
      <c r="W36" s="1"/>
      <c r="X36" s="1">
        <f t="shared" ca="1" si="16"/>
        <v>1.2042865977676656</v>
      </c>
      <c r="Y36" s="1">
        <f t="shared" ca="1" si="17"/>
        <v>0.12721454826516157</v>
      </c>
      <c r="Z36" s="1">
        <f t="shared" ca="1" si="18"/>
        <v>1109</v>
      </c>
      <c r="AB36" s="1">
        <f t="shared" ca="1" si="19"/>
        <v>0.97555963946624868</v>
      </c>
      <c r="AC36" s="1">
        <f t="shared" ca="1" si="20"/>
        <v>677</v>
      </c>
      <c r="AD36" s="1">
        <f t="shared" ca="1" si="21"/>
        <v>9.9032467781804221E-3</v>
      </c>
      <c r="AE36" s="1"/>
      <c r="AF36" s="1">
        <f t="shared" ca="1" si="22"/>
        <v>0.16976409585448843</v>
      </c>
      <c r="AG36" s="1">
        <f t="shared" ca="1" si="23"/>
        <v>264</v>
      </c>
      <c r="AH36" s="1">
        <f t="shared" ca="1" si="24"/>
        <v>3.220104660451046E-3</v>
      </c>
      <c r="AJ36" s="1">
        <f t="shared" ca="1" si="25"/>
        <v>0.70471142523299246</v>
      </c>
      <c r="AK36" s="1">
        <f t="shared" ca="1" si="26"/>
        <v>8.9491851718578649E-3</v>
      </c>
      <c r="AL36" s="1"/>
      <c r="AM36" s="1">
        <f t="shared" ca="1" si="27"/>
        <v>8.601819673951254E-2</v>
      </c>
      <c r="AN36" s="1">
        <f t="shared" ca="1" si="28"/>
        <v>57</v>
      </c>
      <c r="AO36" s="1">
        <f t="shared" ca="1" si="29"/>
        <v>19</v>
      </c>
      <c r="AQ36" s="1">
        <f t="shared" ca="1" si="30"/>
        <v>111</v>
      </c>
      <c r="AR36" s="1">
        <f t="shared" ca="1" si="31"/>
        <v>8</v>
      </c>
      <c r="AS36" s="1">
        <f t="shared" ca="1" si="32"/>
        <v>58</v>
      </c>
      <c r="AU36" s="1">
        <f t="shared" ca="1" si="33"/>
        <v>274</v>
      </c>
      <c r="AV36" s="1">
        <f t="shared" ca="1" si="34"/>
        <v>8</v>
      </c>
      <c r="AW36" s="1">
        <f t="shared" ca="1" si="35"/>
        <v>5.6817388650312037E-2</v>
      </c>
      <c r="AY36" s="1">
        <f t="shared" ca="1" si="36"/>
        <v>1.9715154566378472</v>
      </c>
      <c r="AZ36" s="1">
        <f t="shared" ca="1" si="37"/>
        <v>267</v>
      </c>
      <c r="BA36" s="1">
        <f t="shared" ca="1" si="38"/>
        <v>4.5291787517570247E-3</v>
      </c>
      <c r="BG36" s="1">
        <f t="shared" ca="1" si="39"/>
        <v>2.4510347407929844E-2</v>
      </c>
      <c r="BH36" s="1">
        <f t="shared" ca="1" si="40"/>
        <v>0.84564130326156139</v>
      </c>
      <c r="BI36" s="1">
        <f t="shared" ca="1" si="41"/>
        <v>178</v>
      </c>
      <c r="BV36" s="1">
        <f t="shared" ca="1" si="42"/>
        <v>0.52639539434443139</v>
      </c>
      <c r="BW36" s="1">
        <f t="shared" ca="1" si="43"/>
        <v>691</v>
      </c>
      <c r="BX36" s="1">
        <f t="shared" ca="1" si="44"/>
        <v>2.7719892363206157E-3</v>
      </c>
      <c r="BY36" s="1">
        <f t="shared" ca="1" si="45"/>
        <v>3.7924499884006195E-2</v>
      </c>
      <c r="BZ36" s="1">
        <f t="shared" ca="1" si="46"/>
        <v>0.38356617353996303</v>
      </c>
      <c r="CB36" s="1">
        <f t="shared" ca="1" si="47"/>
        <v>412</v>
      </c>
      <c r="CC36" s="1">
        <f t="shared" ca="1" si="48"/>
        <v>8</v>
      </c>
      <c r="CD36" s="1">
        <f t="shared" ca="1" si="49"/>
        <v>0.20508354265840964</v>
      </c>
      <c r="CE36" s="1">
        <f t="shared" ref="CE36:CF67" ca="1" si="74">RAND()*(1-0.5)+0.5</f>
        <v>0.80096838374409418</v>
      </c>
      <c r="CF36" s="1">
        <f t="shared" ca="1" si="74"/>
        <v>0.58495691359074109</v>
      </c>
      <c r="CH36" s="3">
        <f t="shared" ca="1" si="51"/>
        <v>0.15332904141107634</v>
      </c>
      <c r="CI36" s="3">
        <f t="shared" ca="1" si="52"/>
        <v>0.43822949987657128</v>
      </c>
      <c r="CJ36" s="3">
        <f t="shared" ca="1" si="53"/>
        <v>1464</v>
      </c>
      <c r="CK36" s="3">
        <f t="shared" ca="1" si="54"/>
        <v>5.3343425994516382E-3</v>
      </c>
      <c r="CL36" s="3">
        <f t="shared" ca="1" si="55"/>
        <v>1</v>
      </c>
      <c r="CM36" s="3"/>
      <c r="CN36" s="1">
        <f t="shared" ca="1" si="56"/>
        <v>5.2751079039933275</v>
      </c>
      <c r="CO36" s="1">
        <f t="shared" ca="1" si="57"/>
        <v>0.21297455552018657</v>
      </c>
      <c r="CP36" s="1">
        <f t="shared" ca="1" si="58"/>
        <v>4</v>
      </c>
      <c r="CV36" s="1">
        <f t="shared" ca="1" si="59"/>
        <v>4.5109428895132222</v>
      </c>
      <c r="CW36" s="1">
        <f t="shared" ca="1" si="60"/>
        <v>1585</v>
      </c>
      <c r="CX36" s="1">
        <f t="shared" ca="1" si="61"/>
        <v>1.1893864565794671E-3</v>
      </c>
      <c r="DH36" s="1">
        <f t="shared" ca="1" si="62"/>
        <v>583</v>
      </c>
      <c r="DI36" s="1">
        <f t="shared" ca="1" si="63"/>
        <v>0.89753458229360028</v>
      </c>
      <c r="DJ36" s="1">
        <f t="shared" ca="1" si="64"/>
        <v>4</v>
      </c>
      <c r="DL36" s="1">
        <f t="shared" ca="1" si="65"/>
        <v>0.12506752718481956</v>
      </c>
      <c r="DM36" s="1">
        <f t="shared" ca="1" si="66"/>
        <v>84</v>
      </c>
      <c r="DN36" s="1">
        <f t="shared" ca="1" si="67"/>
        <v>8</v>
      </c>
      <c r="DW36" s="1">
        <f t="shared" ca="1" si="71"/>
        <v>492</v>
      </c>
      <c r="DX36" s="1">
        <f t="shared" ca="1" si="72"/>
        <v>7</v>
      </c>
      <c r="DY36" s="1">
        <f t="shared" ca="1" si="73"/>
        <v>2</v>
      </c>
    </row>
    <row r="37" spans="2:129" x14ac:dyDescent="0.25">
      <c r="B37">
        <f t="shared" ca="1" si="0"/>
        <v>233</v>
      </c>
      <c r="C37">
        <f t="shared" ca="1" si="1"/>
        <v>13</v>
      </c>
      <c r="D37">
        <f t="shared" ca="1" si="2"/>
        <v>0.18325986344883227</v>
      </c>
      <c r="F37" s="1">
        <f t="shared" ca="1" si="3"/>
        <v>35</v>
      </c>
      <c r="G37" s="1">
        <f t="shared" ca="1" si="4"/>
        <v>29</v>
      </c>
      <c r="H37" s="1">
        <f t="shared" ca="1" si="5"/>
        <v>15</v>
      </c>
      <c r="I37" s="1"/>
      <c r="J37" s="1">
        <f t="shared" ca="1" si="6"/>
        <v>4</v>
      </c>
      <c r="K37" s="1">
        <f t="shared" ca="1" si="7"/>
        <v>2.5191988184495364</v>
      </c>
      <c r="L37" s="1">
        <f t="shared" ca="1" si="8"/>
        <v>29</v>
      </c>
      <c r="M37" s="1"/>
      <c r="N37" s="1">
        <f t="shared" ca="1" si="9"/>
        <v>884</v>
      </c>
      <c r="O37" s="1">
        <f t="shared" ca="1" si="10"/>
        <v>11</v>
      </c>
      <c r="P37" s="1"/>
      <c r="Q37" s="1">
        <f t="shared" ca="1" si="11"/>
        <v>2.4889052858294356</v>
      </c>
      <c r="R37" s="1">
        <f t="shared" ca="1" si="12"/>
        <v>690</v>
      </c>
      <c r="S37" s="1"/>
      <c r="T37" s="1">
        <f t="shared" ca="1" si="13"/>
        <v>4.7999092370601029E-2</v>
      </c>
      <c r="U37" s="1">
        <f t="shared" ca="1" si="14"/>
        <v>360</v>
      </c>
      <c r="V37" s="1">
        <f t="shared" ca="1" si="15"/>
        <v>26</v>
      </c>
      <c r="W37" s="1"/>
      <c r="X37" s="1">
        <f t="shared" ca="1" si="16"/>
        <v>6.9614731317956</v>
      </c>
      <c r="Y37" s="1">
        <f t="shared" ca="1" si="17"/>
        <v>4.7045735290125401E-2</v>
      </c>
      <c r="Z37" s="1">
        <f t="shared" ca="1" si="18"/>
        <v>1551</v>
      </c>
      <c r="AB37" s="1">
        <f t="shared" ca="1" si="19"/>
        <v>0.23228854672522725</v>
      </c>
      <c r="AC37" s="1">
        <f t="shared" ca="1" si="20"/>
        <v>370</v>
      </c>
      <c r="AD37" s="1">
        <f t="shared" ca="1" si="21"/>
        <v>5.777475193479209E-3</v>
      </c>
      <c r="AE37" s="1"/>
      <c r="AF37" s="1">
        <f t="shared" ca="1" si="22"/>
        <v>0.64590785550111074</v>
      </c>
      <c r="AG37" s="1">
        <f t="shared" ca="1" si="23"/>
        <v>761</v>
      </c>
      <c r="AH37" s="1">
        <f t="shared" ca="1" si="24"/>
        <v>6.6263536377493167E-3</v>
      </c>
      <c r="AJ37" s="1">
        <f t="shared" ca="1" si="25"/>
        <v>0.50659018005176948</v>
      </c>
      <c r="AK37" s="1">
        <f t="shared" ca="1" si="26"/>
        <v>3.9734084866067127E-3</v>
      </c>
      <c r="AL37" s="1"/>
      <c r="AM37" s="1">
        <f t="shared" ca="1" si="27"/>
        <v>0.10391718550804253</v>
      </c>
      <c r="AN37" s="1">
        <f t="shared" ca="1" si="28"/>
        <v>66</v>
      </c>
      <c r="AO37" s="1">
        <f t="shared" ca="1" si="29"/>
        <v>12</v>
      </c>
      <c r="AQ37" s="1">
        <f t="shared" ca="1" si="30"/>
        <v>47</v>
      </c>
      <c r="AR37" s="1">
        <f t="shared" ca="1" si="31"/>
        <v>9</v>
      </c>
      <c r="AS37" s="1">
        <f t="shared" ca="1" si="32"/>
        <v>56</v>
      </c>
      <c r="AU37" s="1">
        <f t="shared" ca="1" si="33"/>
        <v>319</v>
      </c>
      <c r="AV37" s="1">
        <f t="shared" ca="1" si="34"/>
        <v>7</v>
      </c>
      <c r="AW37" s="1">
        <f t="shared" ca="1" si="35"/>
        <v>2.4210163068881494E-2</v>
      </c>
      <c r="AY37" s="1">
        <f t="shared" ca="1" si="36"/>
        <v>1.1313382608419644</v>
      </c>
      <c r="AZ37" s="1">
        <f t="shared" ca="1" si="37"/>
        <v>492</v>
      </c>
      <c r="BA37" s="1">
        <f t="shared" ca="1" si="38"/>
        <v>1.6191388737553378E-4</v>
      </c>
      <c r="BG37" s="1">
        <f t="shared" ca="1" si="39"/>
        <v>0.64698812766661085</v>
      </c>
      <c r="BH37" s="1">
        <f t="shared" ca="1" si="40"/>
        <v>0.71223379692454714</v>
      </c>
      <c r="BI37" s="1">
        <f t="shared" ca="1" si="41"/>
        <v>994</v>
      </c>
      <c r="BV37" s="1">
        <f t="shared" ca="1" si="42"/>
        <v>0.83585107917245516</v>
      </c>
      <c r="BW37" s="1">
        <f t="shared" ca="1" si="43"/>
        <v>260</v>
      </c>
      <c r="BX37" s="1">
        <f t="shared" ca="1" si="44"/>
        <v>5.941156808669577E-3</v>
      </c>
      <c r="BY37" s="1">
        <f t="shared" ca="1" si="45"/>
        <v>8.4547530966936776E-2</v>
      </c>
      <c r="BZ37" s="1">
        <f t="shared" ca="1" si="46"/>
        <v>6.1794786996950735E-2</v>
      </c>
      <c r="CB37" s="1">
        <f t="shared" ca="1" si="47"/>
        <v>395</v>
      </c>
      <c r="CC37" s="1">
        <f t="shared" ca="1" si="48"/>
        <v>11</v>
      </c>
      <c r="CD37" s="1">
        <f t="shared" ca="1" si="49"/>
        <v>0.1281828336219821</v>
      </c>
      <c r="CE37" s="1">
        <f t="shared" ca="1" si="74"/>
        <v>0.55149141368590082</v>
      </c>
      <c r="CF37" s="1">
        <f t="shared" ca="1" si="74"/>
        <v>0.60093111499454377</v>
      </c>
      <c r="CH37" s="3">
        <f t="shared" ca="1" si="51"/>
        <v>0.37032940225398908</v>
      </c>
      <c r="CI37" s="3">
        <f t="shared" ca="1" si="52"/>
        <v>1.2379085671169146E-2</v>
      </c>
      <c r="CJ37" s="3">
        <f t="shared" ca="1" si="53"/>
        <v>664</v>
      </c>
      <c r="CK37" s="3">
        <f t="shared" ca="1" si="54"/>
        <v>1.6073489981780599E-3</v>
      </c>
      <c r="CL37" s="3">
        <f t="shared" ca="1" si="55"/>
        <v>1</v>
      </c>
      <c r="CM37" s="3"/>
      <c r="CN37" s="1">
        <f t="shared" ca="1" si="56"/>
        <v>12.536268895655784</v>
      </c>
      <c r="CO37" s="1">
        <f t="shared" ca="1" si="57"/>
        <v>0.41875795938676719</v>
      </c>
      <c r="CP37" s="1">
        <f t="shared" ca="1" si="58"/>
        <v>5</v>
      </c>
      <c r="CV37" s="1">
        <f t="shared" ca="1" si="59"/>
        <v>4.7538590313823148</v>
      </c>
      <c r="CW37" s="1">
        <f t="shared" ca="1" si="60"/>
        <v>896</v>
      </c>
      <c r="CX37" s="1">
        <f t="shared" ca="1" si="61"/>
        <v>4.5397938295140211E-3</v>
      </c>
      <c r="DH37" s="1">
        <f t="shared" ca="1" si="62"/>
        <v>864</v>
      </c>
      <c r="DI37" s="1">
        <f t="shared" ca="1" si="63"/>
        <v>0.79344460931449734</v>
      </c>
      <c r="DJ37" s="1">
        <f t="shared" ca="1" si="64"/>
        <v>10</v>
      </c>
      <c r="DL37" s="1">
        <f t="shared" ca="1" si="65"/>
        <v>0.17142142773934851</v>
      </c>
      <c r="DM37" s="1">
        <f t="shared" ca="1" si="66"/>
        <v>184</v>
      </c>
      <c r="DN37" s="1">
        <f t="shared" ca="1" si="67"/>
        <v>1</v>
      </c>
      <c r="DW37" s="1">
        <f t="shared" ca="1" si="71"/>
        <v>398</v>
      </c>
      <c r="DX37" s="1">
        <f t="shared" ca="1" si="72"/>
        <v>16</v>
      </c>
      <c r="DY37" s="1">
        <f t="shared" ca="1" si="73"/>
        <v>4</v>
      </c>
    </row>
    <row r="38" spans="2:129" x14ac:dyDescent="0.25">
      <c r="B38">
        <f t="shared" ca="1" si="0"/>
        <v>970</v>
      </c>
      <c r="C38">
        <f t="shared" ca="1" si="1"/>
        <v>16</v>
      </c>
      <c r="D38">
        <f t="shared" ca="1" si="2"/>
        <v>0.28813251181766414</v>
      </c>
      <c r="F38" s="1">
        <f t="shared" ca="1" si="3"/>
        <v>17</v>
      </c>
      <c r="G38" s="1">
        <f t="shared" ca="1" si="4"/>
        <v>16</v>
      </c>
      <c r="H38" s="1">
        <f t="shared" ca="1" si="5"/>
        <v>9</v>
      </c>
      <c r="I38" s="1"/>
      <c r="J38" s="1">
        <f t="shared" ca="1" si="6"/>
        <v>19</v>
      </c>
      <c r="K38" s="1">
        <f t="shared" ca="1" si="7"/>
        <v>1.2725275318469098</v>
      </c>
      <c r="L38" s="1">
        <f t="shared" ca="1" si="8"/>
        <v>32</v>
      </c>
      <c r="M38" s="1"/>
      <c r="N38" s="1">
        <f t="shared" ca="1" si="9"/>
        <v>207</v>
      </c>
      <c r="O38" s="1">
        <f t="shared" ca="1" si="10"/>
        <v>39</v>
      </c>
      <c r="P38" s="1"/>
      <c r="Q38" s="1">
        <f t="shared" ca="1" si="11"/>
        <v>4.0035279552883649</v>
      </c>
      <c r="R38" s="1">
        <f t="shared" ca="1" si="12"/>
        <v>818</v>
      </c>
      <c r="S38" s="1"/>
      <c r="T38" s="1">
        <f t="shared" ca="1" si="13"/>
        <v>0.15174091010029056</v>
      </c>
      <c r="U38" s="1">
        <f t="shared" ca="1" si="14"/>
        <v>69</v>
      </c>
      <c r="V38" s="1">
        <f t="shared" ca="1" si="15"/>
        <v>9</v>
      </c>
      <c r="W38" s="1"/>
      <c r="X38" s="1">
        <f t="shared" ca="1" si="16"/>
        <v>0.14727887481348939</v>
      </c>
      <c r="Y38" s="1">
        <f t="shared" ca="1" si="17"/>
        <v>0.80415566231603886</v>
      </c>
      <c r="Z38" s="1">
        <f t="shared" ca="1" si="18"/>
        <v>1586</v>
      </c>
      <c r="AB38" s="1">
        <f t="shared" ca="1" si="19"/>
        <v>0.6753792577337181</v>
      </c>
      <c r="AC38" s="1">
        <f t="shared" ca="1" si="20"/>
        <v>494</v>
      </c>
      <c r="AD38" s="1">
        <f t="shared" ca="1" si="21"/>
        <v>2.8628153904502614E-3</v>
      </c>
      <c r="AE38" s="1"/>
      <c r="AF38" s="1">
        <f t="shared" ca="1" si="22"/>
        <v>0.83710051342161018</v>
      </c>
      <c r="AG38" s="1">
        <f t="shared" ca="1" si="23"/>
        <v>428</v>
      </c>
      <c r="AH38" s="1">
        <f t="shared" ca="1" si="24"/>
        <v>6.9431549323857571E-3</v>
      </c>
      <c r="AJ38" s="1">
        <f t="shared" ca="1" si="25"/>
        <v>0.9535273010343317</v>
      </c>
      <c r="AK38" s="1">
        <f t="shared" ca="1" si="26"/>
        <v>5.4574562380349453E-3</v>
      </c>
      <c r="AL38" s="1"/>
      <c r="AM38" s="1">
        <f t="shared" ca="1" si="27"/>
        <v>7.2023756936611186E-2</v>
      </c>
      <c r="AN38" s="1">
        <f t="shared" ca="1" si="28"/>
        <v>42</v>
      </c>
      <c r="AO38" s="1">
        <f t="shared" ca="1" si="29"/>
        <v>9</v>
      </c>
      <c r="AQ38" s="1">
        <f t="shared" ca="1" si="30"/>
        <v>10</v>
      </c>
      <c r="AR38" s="1">
        <f t="shared" ca="1" si="31"/>
        <v>2</v>
      </c>
      <c r="AS38" s="1">
        <f t="shared" ca="1" si="32"/>
        <v>97</v>
      </c>
      <c r="AU38" s="1">
        <f t="shared" ca="1" si="33"/>
        <v>116</v>
      </c>
      <c r="AV38" s="1">
        <f t="shared" ca="1" si="34"/>
        <v>9</v>
      </c>
      <c r="AW38" s="1">
        <f t="shared" ca="1" si="35"/>
        <v>0.16126390332231089</v>
      </c>
      <c r="AY38" s="1">
        <f t="shared" ca="1" si="36"/>
        <v>1.5095149305863533</v>
      </c>
      <c r="AZ38" s="1">
        <f t="shared" ca="1" si="37"/>
        <v>401</v>
      </c>
      <c r="BA38" s="1">
        <f t="shared" ca="1" si="38"/>
        <v>2.2066974851287636E-3</v>
      </c>
      <c r="BG38" s="1">
        <f t="shared" ca="1" si="39"/>
        <v>0.73867415452085872</v>
      </c>
      <c r="BH38" s="1">
        <f t="shared" ca="1" si="40"/>
        <v>0.2697025941520842</v>
      </c>
      <c r="BI38" s="1">
        <f t="shared" ca="1" si="41"/>
        <v>420</v>
      </c>
      <c r="BV38" s="1">
        <f t="shared" ca="1" si="42"/>
        <v>0.4752148990076947</v>
      </c>
      <c r="BW38" s="1">
        <f t="shared" ca="1" si="43"/>
        <v>505</v>
      </c>
      <c r="BX38" s="1">
        <f t="shared" ca="1" si="44"/>
        <v>2.9992605716275345E-3</v>
      </c>
      <c r="BY38" s="1">
        <f t="shared" ca="1" si="45"/>
        <v>4.4212951600844187E-2</v>
      </c>
      <c r="BZ38" s="1">
        <f t="shared" ca="1" si="46"/>
        <v>0.50399163782209699</v>
      </c>
      <c r="CB38" s="1">
        <f t="shared" ca="1" si="47"/>
        <v>250</v>
      </c>
      <c r="CC38" s="1">
        <f t="shared" ca="1" si="48"/>
        <v>9</v>
      </c>
      <c r="CD38" s="1">
        <f t="shared" ca="1" si="49"/>
        <v>0.19111497813267733</v>
      </c>
      <c r="CE38" s="1">
        <f t="shared" ca="1" si="74"/>
        <v>0.52336283995262967</v>
      </c>
      <c r="CF38" s="1">
        <f t="shared" ca="1" si="74"/>
        <v>0.873812592805018</v>
      </c>
      <c r="CH38" s="3">
        <f t="shared" ca="1" si="51"/>
        <v>0.47663747007407986</v>
      </c>
      <c r="CI38" s="3">
        <f t="shared" ca="1" si="52"/>
        <v>0.29466378198166698</v>
      </c>
      <c r="CJ38" s="3">
        <f t="shared" ca="1" si="53"/>
        <v>1135</v>
      </c>
      <c r="CK38" s="3">
        <f t="shared" ca="1" si="54"/>
        <v>8.9115794241325132E-3</v>
      </c>
      <c r="CL38" s="3">
        <f t="shared" ca="1" si="55"/>
        <v>0</v>
      </c>
      <c r="CM38" s="3"/>
      <c r="CN38" s="1">
        <f t="shared" ca="1" si="56"/>
        <v>1.8770514454885789</v>
      </c>
      <c r="CO38" s="1">
        <f t="shared" ca="1" si="57"/>
        <v>0.18216161307593171</v>
      </c>
      <c r="CP38" s="1">
        <f t="shared" ca="1" si="58"/>
        <v>2</v>
      </c>
      <c r="CV38" s="1">
        <f t="shared" ca="1" si="59"/>
        <v>8.0907428393218179</v>
      </c>
      <c r="CW38" s="1">
        <f t="shared" ca="1" si="60"/>
        <v>779</v>
      </c>
      <c r="CX38" s="1">
        <f t="shared" ca="1" si="61"/>
        <v>8.4421298565036092E-4</v>
      </c>
      <c r="DH38" s="1">
        <f t="shared" ca="1" si="62"/>
        <v>677</v>
      </c>
      <c r="DI38" s="1">
        <f t="shared" ca="1" si="63"/>
        <v>0.96233459071334349</v>
      </c>
      <c r="DJ38" s="1">
        <f t="shared" ca="1" si="64"/>
        <v>6</v>
      </c>
      <c r="DL38" s="1">
        <f t="shared" ca="1" si="65"/>
        <v>2.886616431245051E-2</v>
      </c>
      <c r="DM38" s="1">
        <f t="shared" ca="1" si="66"/>
        <v>283</v>
      </c>
      <c r="DN38" s="1">
        <f t="shared" ca="1" si="67"/>
        <v>5</v>
      </c>
      <c r="DW38" s="1">
        <f t="shared" ca="1" si="71"/>
        <v>243</v>
      </c>
      <c r="DX38" s="1">
        <f t="shared" ca="1" si="72"/>
        <v>11</v>
      </c>
      <c r="DY38" s="1">
        <f t="shared" ca="1" si="73"/>
        <v>19</v>
      </c>
    </row>
    <row r="39" spans="2:129" x14ac:dyDescent="0.25">
      <c r="B39">
        <f t="shared" ca="1" si="0"/>
        <v>891</v>
      </c>
      <c r="C39">
        <f t="shared" ca="1" si="1"/>
        <v>25</v>
      </c>
      <c r="D39">
        <f t="shared" ca="1" si="2"/>
        <v>0.20458194702574764</v>
      </c>
      <c r="F39" s="1">
        <f t="shared" ca="1" si="3"/>
        <v>22</v>
      </c>
      <c r="G39" s="1">
        <f t="shared" ca="1" si="4"/>
        <v>19</v>
      </c>
      <c r="H39" s="1">
        <f t="shared" ca="1" si="5"/>
        <v>8</v>
      </c>
      <c r="I39" s="1"/>
      <c r="J39" s="1">
        <f t="shared" ca="1" si="6"/>
        <v>13</v>
      </c>
      <c r="K39" s="1">
        <f t="shared" ca="1" si="7"/>
        <v>2.0508994749516942</v>
      </c>
      <c r="L39" s="1">
        <f t="shared" ca="1" si="8"/>
        <v>24</v>
      </c>
      <c r="M39" s="1"/>
      <c r="N39" s="1">
        <f t="shared" ca="1" si="9"/>
        <v>858</v>
      </c>
      <c r="O39" s="1">
        <f t="shared" ca="1" si="10"/>
        <v>4</v>
      </c>
      <c r="P39" s="1"/>
      <c r="Q39" s="1">
        <f t="shared" ca="1" si="11"/>
        <v>2.9428263336299363</v>
      </c>
      <c r="R39" s="1">
        <f t="shared" ca="1" si="12"/>
        <v>964</v>
      </c>
      <c r="S39" s="1"/>
      <c r="T39" s="1">
        <f t="shared" ca="1" si="13"/>
        <v>5.0954696711531862E-2</v>
      </c>
      <c r="U39" s="1">
        <f t="shared" ca="1" si="14"/>
        <v>321</v>
      </c>
      <c r="V39" s="1">
        <f t="shared" ca="1" si="15"/>
        <v>44</v>
      </c>
      <c r="W39" s="1"/>
      <c r="X39" s="1">
        <f t="shared" ca="1" si="16"/>
        <v>6.5715484601472216</v>
      </c>
      <c r="Y39" s="1">
        <f t="shared" ca="1" si="17"/>
        <v>0.83120706551140677</v>
      </c>
      <c r="Z39" s="1">
        <f t="shared" ca="1" si="18"/>
        <v>305</v>
      </c>
      <c r="AB39" s="1">
        <f t="shared" ca="1" si="19"/>
        <v>0.74404235136672159</v>
      </c>
      <c r="AC39" s="1">
        <f t="shared" ca="1" si="20"/>
        <v>408</v>
      </c>
      <c r="AD39" s="1">
        <f t="shared" ca="1" si="21"/>
        <v>8.3569700124688749E-3</v>
      </c>
      <c r="AE39" s="1"/>
      <c r="AF39" s="1">
        <f t="shared" ca="1" si="22"/>
        <v>0.37429740928064259</v>
      </c>
      <c r="AG39" s="1">
        <f t="shared" ca="1" si="23"/>
        <v>105</v>
      </c>
      <c r="AH39" s="1">
        <f t="shared" ca="1" si="24"/>
        <v>8.3441859664755823E-3</v>
      </c>
      <c r="AJ39" s="1">
        <f t="shared" ca="1" si="25"/>
        <v>0.99786664609606013</v>
      </c>
      <c r="AK39" s="1">
        <f t="shared" ca="1" si="26"/>
        <v>7.3420329581294361E-3</v>
      </c>
      <c r="AL39" s="1"/>
      <c r="AM39" s="1">
        <f t="shared" ca="1" si="27"/>
        <v>4.8671489718251776E-2</v>
      </c>
      <c r="AN39" s="1">
        <f t="shared" ca="1" si="28"/>
        <v>55</v>
      </c>
      <c r="AO39" s="1">
        <f t="shared" ca="1" si="29"/>
        <v>11</v>
      </c>
      <c r="AQ39" s="1">
        <f t="shared" ca="1" si="30"/>
        <v>35</v>
      </c>
      <c r="AR39" s="1">
        <f t="shared" ca="1" si="31"/>
        <v>5</v>
      </c>
      <c r="AS39" s="1">
        <f t="shared" ca="1" si="32"/>
        <v>36</v>
      </c>
      <c r="AU39" s="1">
        <f t="shared" ca="1" si="33"/>
        <v>247</v>
      </c>
      <c r="AV39" s="1">
        <f t="shared" ca="1" si="34"/>
        <v>5</v>
      </c>
      <c r="AW39" s="1">
        <f t="shared" ca="1" si="35"/>
        <v>0.11266029998487803</v>
      </c>
      <c r="AY39" s="1">
        <f t="shared" ca="1" si="36"/>
        <v>1.4817807581921403</v>
      </c>
      <c r="AZ39" s="1">
        <f t="shared" ca="1" si="37"/>
        <v>227</v>
      </c>
      <c r="BA39" s="1">
        <f t="shared" ca="1" si="38"/>
        <v>4.6184823505852158E-4</v>
      </c>
      <c r="BG39" s="1">
        <f t="shared" ca="1" si="39"/>
        <v>0.9074238137879016</v>
      </c>
      <c r="BH39" s="1">
        <f t="shared" ca="1" si="40"/>
        <v>0.88556306046549982</v>
      </c>
      <c r="BI39" s="1">
        <f t="shared" ca="1" si="41"/>
        <v>155</v>
      </c>
      <c r="BV39" s="1">
        <f t="shared" ca="1" si="42"/>
        <v>0.97360909986439326</v>
      </c>
      <c r="BW39" s="1">
        <f t="shared" ca="1" si="43"/>
        <v>488</v>
      </c>
      <c r="BX39" s="1">
        <f t="shared" ca="1" si="44"/>
        <v>8.5559658519200731E-3</v>
      </c>
      <c r="BY39" s="1">
        <f t="shared" ca="1" si="45"/>
        <v>6.9303773529138663E-2</v>
      </c>
      <c r="BZ39" s="1">
        <f t="shared" ca="1" si="46"/>
        <v>6.8603103012043531E-2</v>
      </c>
      <c r="CB39" s="1">
        <f t="shared" ca="1" si="47"/>
        <v>280</v>
      </c>
      <c r="CC39" s="1">
        <f t="shared" ca="1" si="48"/>
        <v>10</v>
      </c>
      <c r="CD39" s="1">
        <f t="shared" ca="1" si="49"/>
        <v>0.17011342400152271</v>
      </c>
      <c r="CE39" s="1">
        <f t="shared" ca="1" si="74"/>
        <v>0.67311534572989662</v>
      </c>
      <c r="CF39" s="1">
        <f t="shared" ca="1" si="74"/>
        <v>0.99522127943797911</v>
      </c>
      <c r="CH39" s="3">
        <f t="shared" ca="1" si="51"/>
        <v>0.85164295442404037</v>
      </c>
      <c r="CI39" s="3">
        <f t="shared" ca="1" si="52"/>
        <v>0.31580822798813585</v>
      </c>
      <c r="CJ39" s="3">
        <f t="shared" ca="1" si="53"/>
        <v>135</v>
      </c>
      <c r="CK39" s="3">
        <f t="shared" ca="1" si="54"/>
        <v>4.917845930533302E-3</v>
      </c>
      <c r="CL39" s="3">
        <f t="shared" ca="1" si="55"/>
        <v>0</v>
      </c>
      <c r="CM39" s="3"/>
      <c r="CN39" s="1">
        <f t="shared" ca="1" si="56"/>
        <v>7.5831999039819253</v>
      </c>
      <c r="CO39" s="1">
        <f t="shared" ca="1" si="57"/>
        <v>0.26661175372994134</v>
      </c>
      <c r="CP39" s="1">
        <f t="shared" ca="1" si="58"/>
        <v>5</v>
      </c>
      <c r="CV39" s="1">
        <f t="shared" ca="1" si="59"/>
        <v>9.7872735828650832</v>
      </c>
      <c r="CW39" s="1">
        <f t="shared" ca="1" si="60"/>
        <v>1980</v>
      </c>
      <c r="CX39" s="1">
        <f t="shared" ca="1" si="61"/>
        <v>7.2361626390630603E-3</v>
      </c>
      <c r="DH39" s="1">
        <f t="shared" ca="1" si="62"/>
        <v>309</v>
      </c>
      <c r="DI39" s="1">
        <f t="shared" ca="1" si="63"/>
        <v>0.1746207946510871</v>
      </c>
      <c r="DJ39" s="1">
        <f t="shared" ca="1" si="64"/>
        <v>4</v>
      </c>
      <c r="DL39" s="1">
        <f t="shared" ca="1" si="65"/>
        <v>6.0624058350765189E-2</v>
      </c>
      <c r="DM39" s="1">
        <f t="shared" ca="1" si="66"/>
        <v>260</v>
      </c>
      <c r="DN39" s="1">
        <f t="shared" ca="1" si="67"/>
        <v>2</v>
      </c>
      <c r="DW39" s="1">
        <f t="shared" ca="1" si="71"/>
        <v>438</v>
      </c>
      <c r="DX39" s="1">
        <f t="shared" ca="1" si="72"/>
        <v>19</v>
      </c>
      <c r="DY39" s="1">
        <f t="shared" ca="1" si="73"/>
        <v>19</v>
      </c>
    </row>
    <row r="40" spans="2:129" x14ac:dyDescent="0.25">
      <c r="B40">
        <f t="shared" ca="1" si="0"/>
        <v>445</v>
      </c>
      <c r="C40">
        <f t="shared" ca="1" si="1"/>
        <v>30</v>
      </c>
      <c r="D40">
        <f t="shared" ca="1" si="2"/>
        <v>0.10342838376963373</v>
      </c>
      <c r="F40" s="1">
        <f t="shared" ca="1" si="3"/>
        <v>5</v>
      </c>
      <c r="G40" s="1">
        <f t="shared" ca="1" si="4"/>
        <v>2</v>
      </c>
      <c r="H40" s="1">
        <f t="shared" ca="1" si="5"/>
        <v>9</v>
      </c>
      <c r="I40" s="1"/>
      <c r="J40" s="1">
        <f t="shared" ca="1" si="6"/>
        <v>9</v>
      </c>
      <c r="K40" s="1">
        <f t="shared" ca="1" si="7"/>
        <v>1.8798815431196336</v>
      </c>
      <c r="L40" s="1">
        <f t="shared" ca="1" si="8"/>
        <v>28</v>
      </c>
      <c r="M40" s="1"/>
      <c r="N40" s="1">
        <f t="shared" ca="1" si="9"/>
        <v>322</v>
      </c>
      <c r="O40" s="1">
        <f t="shared" ca="1" si="10"/>
        <v>36</v>
      </c>
      <c r="P40" s="1"/>
      <c r="Q40" s="1">
        <f t="shared" ca="1" si="11"/>
        <v>1.7349740620175185</v>
      </c>
      <c r="R40" s="1">
        <f t="shared" ca="1" si="12"/>
        <v>262</v>
      </c>
      <c r="S40" s="1"/>
      <c r="T40" s="1">
        <f t="shared" ca="1" si="13"/>
        <v>0.10142980207551035</v>
      </c>
      <c r="U40" s="1">
        <f t="shared" ca="1" si="14"/>
        <v>272</v>
      </c>
      <c r="V40" s="1">
        <f t="shared" ca="1" si="15"/>
        <v>28</v>
      </c>
      <c r="W40" s="1"/>
      <c r="X40" s="1">
        <f t="shared" ca="1" si="16"/>
        <v>8.1308530476502288</v>
      </c>
      <c r="Y40" s="1">
        <f t="shared" ca="1" si="17"/>
        <v>0.69597297752031129</v>
      </c>
      <c r="Z40" s="1">
        <f t="shared" ca="1" si="18"/>
        <v>465</v>
      </c>
      <c r="AB40" s="1">
        <f t="shared" ca="1" si="19"/>
        <v>0.62332319162892869</v>
      </c>
      <c r="AC40" s="1">
        <f t="shared" ca="1" si="20"/>
        <v>778</v>
      </c>
      <c r="AD40" s="1">
        <f t="shared" ca="1" si="21"/>
        <v>6.6296846979669918E-3</v>
      </c>
      <c r="AE40" s="1"/>
      <c r="AF40" s="1">
        <f t="shared" ca="1" si="22"/>
        <v>0.18891439081322342</v>
      </c>
      <c r="AG40" s="1">
        <f t="shared" ca="1" si="23"/>
        <v>351</v>
      </c>
      <c r="AH40" s="1">
        <f t="shared" ca="1" si="24"/>
        <v>4.3541516568507289E-3</v>
      </c>
      <c r="AJ40" s="1">
        <f t="shared" ca="1" si="25"/>
        <v>0.91471607860491144</v>
      </c>
      <c r="AK40" s="1">
        <f t="shared" ca="1" si="26"/>
        <v>1.200810884762725E-3</v>
      </c>
      <c r="AL40" s="1"/>
      <c r="AM40" s="1">
        <f t="shared" ca="1" si="27"/>
        <v>7.3566483613890052E-2</v>
      </c>
      <c r="AN40" s="1">
        <f t="shared" ca="1" si="28"/>
        <v>27</v>
      </c>
      <c r="AO40" s="1">
        <f t="shared" ca="1" si="29"/>
        <v>16</v>
      </c>
      <c r="AQ40" s="1">
        <f t="shared" ca="1" si="30"/>
        <v>177</v>
      </c>
      <c r="AR40" s="1">
        <f t="shared" ca="1" si="31"/>
        <v>2</v>
      </c>
      <c r="AS40" s="1">
        <f t="shared" ca="1" si="32"/>
        <v>73</v>
      </c>
      <c r="AU40" s="1">
        <f t="shared" ca="1" si="33"/>
        <v>255</v>
      </c>
      <c r="AV40" s="1">
        <f t="shared" ca="1" si="34"/>
        <v>5</v>
      </c>
      <c r="AW40" s="1">
        <f t="shared" ca="1" si="35"/>
        <v>7.8636561809312541E-2</v>
      </c>
      <c r="AY40" s="1">
        <f t="shared" ca="1" si="36"/>
        <v>1.5709355722942648</v>
      </c>
      <c r="AZ40" s="1">
        <f t="shared" ca="1" si="37"/>
        <v>283</v>
      </c>
      <c r="BA40" s="1">
        <f t="shared" ca="1" si="38"/>
        <v>6.8170168289407151E-3</v>
      </c>
      <c r="BG40" s="1">
        <f t="shared" ca="1" si="39"/>
        <v>0.10681274030226301</v>
      </c>
      <c r="BH40" s="1">
        <f t="shared" ca="1" si="40"/>
        <v>0.18363192044117305</v>
      </c>
      <c r="BI40" s="1">
        <f t="shared" ca="1" si="41"/>
        <v>404</v>
      </c>
      <c r="BV40" s="1">
        <f t="shared" ca="1" si="42"/>
        <v>0.7789616374729027</v>
      </c>
      <c r="BW40" s="1">
        <f t="shared" ca="1" si="43"/>
        <v>871</v>
      </c>
      <c r="BX40" s="1">
        <f t="shared" ca="1" si="44"/>
        <v>2.70022192728231E-3</v>
      </c>
      <c r="BY40" s="1">
        <f t="shared" ca="1" si="45"/>
        <v>7.9768525782477923E-2</v>
      </c>
      <c r="BZ40" s="1">
        <f t="shared" ca="1" si="46"/>
        <v>0.88434097135182754</v>
      </c>
      <c r="CB40" s="1">
        <f t="shared" ca="1" si="47"/>
        <v>469</v>
      </c>
      <c r="CC40" s="1">
        <f t="shared" ca="1" si="48"/>
        <v>4</v>
      </c>
      <c r="CD40" s="1">
        <f t="shared" ca="1" si="49"/>
        <v>0.22106242667245793</v>
      </c>
      <c r="CE40" s="1">
        <f t="shared" ca="1" si="74"/>
        <v>0.51182466024376938</v>
      </c>
      <c r="CF40" s="1">
        <f t="shared" ca="1" si="74"/>
        <v>0.77568652141819694</v>
      </c>
      <c r="CH40" s="3">
        <f t="shared" ca="1" si="51"/>
        <v>0.79261280914366417</v>
      </c>
      <c r="CI40" s="3">
        <f t="shared" ca="1" si="52"/>
        <v>0.75546723707271268</v>
      </c>
      <c r="CJ40" s="3">
        <f t="shared" ca="1" si="53"/>
        <v>1869</v>
      </c>
      <c r="CK40" s="3">
        <f t="shared" ca="1" si="54"/>
        <v>1.1793121044047941E-3</v>
      </c>
      <c r="CL40" s="3">
        <f t="shared" ca="1" si="55"/>
        <v>1</v>
      </c>
      <c r="CM40" s="3"/>
      <c r="CN40" s="1">
        <f t="shared" ca="1" si="56"/>
        <v>13.539286597406786</v>
      </c>
      <c r="CO40" s="1">
        <f t="shared" ca="1" si="57"/>
        <v>0.24544250808151002</v>
      </c>
      <c r="CP40" s="1">
        <f t="shared" ca="1" si="58"/>
        <v>3</v>
      </c>
      <c r="CV40" s="1">
        <f t="shared" ca="1" si="59"/>
        <v>3.3867517161242895</v>
      </c>
      <c r="CW40" s="1">
        <f t="shared" ca="1" si="60"/>
        <v>849</v>
      </c>
      <c r="CX40" s="1">
        <f t="shared" ca="1" si="61"/>
        <v>5.6806264304683132E-4</v>
      </c>
      <c r="DH40" s="1">
        <f t="shared" ca="1" si="62"/>
        <v>409</v>
      </c>
      <c r="DI40" s="1">
        <f t="shared" ca="1" si="63"/>
        <v>0.55257467394901838</v>
      </c>
      <c r="DJ40" s="1">
        <f t="shared" ca="1" si="64"/>
        <v>23</v>
      </c>
      <c r="DL40" s="1">
        <f t="shared" ca="1" si="65"/>
        <v>0.16934717640009769</v>
      </c>
      <c r="DM40" s="1">
        <f t="shared" ca="1" si="66"/>
        <v>168</v>
      </c>
      <c r="DN40" s="1">
        <f t="shared" ca="1" si="67"/>
        <v>7</v>
      </c>
      <c r="DW40" s="1">
        <f t="shared" ca="1" si="71"/>
        <v>180</v>
      </c>
      <c r="DX40" s="1">
        <f t="shared" ca="1" si="72"/>
        <v>6</v>
      </c>
      <c r="DY40" s="1">
        <f t="shared" ca="1" si="73"/>
        <v>12</v>
      </c>
    </row>
    <row r="41" spans="2:129" x14ac:dyDescent="0.25">
      <c r="B41">
        <f t="shared" ca="1" si="0"/>
        <v>870</v>
      </c>
      <c r="C41">
        <f t="shared" ca="1" si="1"/>
        <v>3</v>
      </c>
      <c r="D41">
        <f t="shared" ca="1" si="2"/>
        <v>0.21233772870112544</v>
      </c>
      <c r="F41" s="1">
        <f t="shared" ca="1" si="3"/>
        <v>21</v>
      </c>
      <c r="G41" s="1">
        <f t="shared" ca="1" si="4"/>
        <v>25</v>
      </c>
      <c r="H41" s="1">
        <f t="shared" ca="1" si="5"/>
        <v>13</v>
      </c>
      <c r="I41" s="1"/>
      <c r="J41" s="1">
        <f t="shared" ca="1" si="6"/>
        <v>12</v>
      </c>
      <c r="K41" s="1">
        <f t="shared" ca="1" si="7"/>
        <v>2.4259247234366041</v>
      </c>
      <c r="L41" s="1">
        <f t="shared" ca="1" si="8"/>
        <v>31</v>
      </c>
      <c r="M41" s="1"/>
      <c r="N41" s="1">
        <f t="shared" ca="1" si="9"/>
        <v>557</v>
      </c>
      <c r="O41" s="1">
        <f t="shared" ca="1" si="10"/>
        <v>14</v>
      </c>
      <c r="P41" s="1"/>
      <c r="Q41" s="1">
        <f t="shared" ca="1" si="11"/>
        <v>1.1312807806598486</v>
      </c>
      <c r="R41" s="1">
        <f t="shared" ca="1" si="12"/>
        <v>552</v>
      </c>
      <c r="S41" s="1"/>
      <c r="T41" s="1">
        <f t="shared" ca="1" si="13"/>
        <v>3.5123040765703772E-2</v>
      </c>
      <c r="U41" s="1">
        <f t="shared" ca="1" si="14"/>
        <v>85</v>
      </c>
      <c r="V41" s="1">
        <f t="shared" ca="1" si="15"/>
        <v>9</v>
      </c>
      <c r="W41" s="1"/>
      <c r="X41" s="1">
        <f t="shared" ca="1" si="16"/>
        <v>4.2782118905668964</v>
      </c>
      <c r="Y41" s="1">
        <f t="shared" ca="1" si="17"/>
        <v>0.71942535423753784</v>
      </c>
      <c r="Z41" s="1">
        <f t="shared" ca="1" si="18"/>
        <v>1688</v>
      </c>
      <c r="AB41" s="1">
        <f t="shared" ca="1" si="19"/>
        <v>0.33122787444599494</v>
      </c>
      <c r="AC41" s="1">
        <f t="shared" ca="1" si="20"/>
        <v>725</v>
      </c>
      <c r="AD41" s="1">
        <f t="shared" ca="1" si="21"/>
        <v>3.8623014722858275E-3</v>
      </c>
      <c r="AE41" s="1"/>
      <c r="AF41" s="1">
        <f t="shared" ca="1" si="22"/>
        <v>0.37135677987960991</v>
      </c>
      <c r="AG41" s="1">
        <f t="shared" ca="1" si="23"/>
        <v>389</v>
      </c>
      <c r="AH41" s="1">
        <f t="shared" ca="1" si="24"/>
        <v>2.298328298697235E-3</v>
      </c>
      <c r="AJ41" s="1">
        <f t="shared" ca="1" si="25"/>
        <v>0.52418192903415561</v>
      </c>
      <c r="AK41" s="1">
        <f t="shared" ca="1" si="26"/>
        <v>2.8259017562466443E-3</v>
      </c>
      <c r="AL41" s="1"/>
      <c r="AM41" s="1">
        <f t="shared" ca="1" si="27"/>
        <v>0.12035017904214064</v>
      </c>
      <c r="AN41" s="1">
        <f t="shared" ca="1" si="28"/>
        <v>29</v>
      </c>
      <c r="AO41" s="1">
        <f t="shared" ca="1" si="29"/>
        <v>4</v>
      </c>
      <c r="AQ41" s="1">
        <f t="shared" ca="1" si="30"/>
        <v>172</v>
      </c>
      <c r="AR41" s="1">
        <f t="shared" ca="1" si="31"/>
        <v>1</v>
      </c>
      <c r="AS41" s="1">
        <f t="shared" ca="1" si="32"/>
        <v>84</v>
      </c>
      <c r="AU41" s="1">
        <f t="shared" ca="1" si="33"/>
        <v>153</v>
      </c>
      <c r="AV41" s="1">
        <f t="shared" ca="1" si="34"/>
        <v>6</v>
      </c>
      <c r="AW41" s="1">
        <f t="shared" ca="1" si="35"/>
        <v>0.14874854265363438</v>
      </c>
      <c r="AY41" s="1">
        <f t="shared" ca="1" si="36"/>
        <v>1.7710046988570698</v>
      </c>
      <c r="AZ41" s="1">
        <f t="shared" ca="1" si="37"/>
        <v>322</v>
      </c>
      <c r="BA41" s="1">
        <f t="shared" ca="1" si="38"/>
        <v>8.1009460184434303E-3</v>
      </c>
      <c r="BG41" s="1">
        <f t="shared" ca="1" si="39"/>
        <v>0.31946651304591472</v>
      </c>
      <c r="BH41" s="1">
        <f t="shared" ca="1" si="40"/>
        <v>0.27212332408294715</v>
      </c>
      <c r="BI41" s="1">
        <f t="shared" ca="1" si="41"/>
        <v>440</v>
      </c>
      <c r="BV41" s="1">
        <f t="shared" ca="1" si="42"/>
        <v>0.15773392451435669</v>
      </c>
      <c r="BW41" s="1">
        <f t="shared" ca="1" si="43"/>
        <v>623</v>
      </c>
      <c r="BX41" s="1">
        <f t="shared" ca="1" si="44"/>
        <v>2.1014746838417099E-4</v>
      </c>
      <c r="BY41" s="1">
        <f t="shared" ca="1" si="45"/>
        <v>7.7514162951766399E-2</v>
      </c>
      <c r="BZ41" s="1">
        <f t="shared" ca="1" si="46"/>
        <v>0.44949986345574333</v>
      </c>
      <c r="CB41" s="1">
        <f t="shared" ca="1" si="47"/>
        <v>390</v>
      </c>
      <c r="CC41" s="1">
        <f t="shared" ca="1" si="48"/>
        <v>6</v>
      </c>
      <c r="CD41" s="1">
        <f t="shared" ca="1" si="49"/>
        <v>0.12270590474919996</v>
      </c>
      <c r="CE41" s="1">
        <f t="shared" ca="1" si="74"/>
        <v>0.9298998387229318</v>
      </c>
      <c r="CF41" s="1">
        <f t="shared" ca="1" si="74"/>
        <v>0.61950177064897272</v>
      </c>
      <c r="CH41" s="3">
        <f t="shared" ca="1" si="51"/>
        <v>0.22058535710783525</v>
      </c>
      <c r="CI41" s="3">
        <f t="shared" ca="1" si="52"/>
        <v>0.46657234569326916</v>
      </c>
      <c r="CJ41" s="3">
        <f t="shared" ca="1" si="53"/>
        <v>1620</v>
      </c>
      <c r="CK41" s="3">
        <f t="shared" ca="1" si="54"/>
        <v>7.9624103937648277E-3</v>
      </c>
      <c r="CL41" s="3">
        <f t="shared" ca="1" si="55"/>
        <v>0</v>
      </c>
      <c r="CM41" s="3"/>
      <c r="CN41" s="1">
        <f t="shared" ca="1" si="56"/>
        <v>15.490414819552282</v>
      </c>
      <c r="CO41" s="1">
        <f t="shared" ca="1" si="57"/>
        <v>0.17379157123559602</v>
      </c>
      <c r="CP41" s="1">
        <f t="shared" ca="1" si="58"/>
        <v>3</v>
      </c>
      <c r="CV41" s="1">
        <f t="shared" ca="1" si="59"/>
        <v>7.8462344159211526</v>
      </c>
      <c r="CW41" s="1">
        <f t="shared" ca="1" si="60"/>
        <v>198</v>
      </c>
      <c r="CX41" s="1">
        <f t="shared" ca="1" si="61"/>
        <v>6.6935777449832505E-3</v>
      </c>
      <c r="DH41" s="1">
        <f t="shared" ca="1" si="62"/>
        <v>816</v>
      </c>
      <c r="DI41" s="1">
        <f t="shared" ca="1" si="63"/>
        <v>0.97838318201059082</v>
      </c>
      <c r="DJ41" s="1">
        <f t="shared" ca="1" si="64"/>
        <v>15</v>
      </c>
      <c r="DL41" s="1">
        <f t="shared" ca="1" si="65"/>
        <v>0.13952798285699183</v>
      </c>
      <c r="DM41" s="1">
        <f t="shared" ca="1" si="66"/>
        <v>132</v>
      </c>
      <c r="DN41" s="1">
        <f t="shared" ca="1" si="67"/>
        <v>2</v>
      </c>
      <c r="DW41" s="1">
        <f t="shared" ca="1" si="71"/>
        <v>99</v>
      </c>
      <c r="DX41" s="1">
        <f t="shared" ca="1" si="72"/>
        <v>7</v>
      </c>
      <c r="DY41" s="1">
        <f t="shared" ca="1" si="73"/>
        <v>3</v>
      </c>
    </row>
    <row r="42" spans="2:129" x14ac:dyDescent="0.25">
      <c r="B42">
        <f t="shared" ca="1" si="0"/>
        <v>590</v>
      </c>
      <c r="C42">
        <f t="shared" ca="1" si="1"/>
        <v>44</v>
      </c>
      <c r="D42">
        <f t="shared" ca="1" si="2"/>
        <v>0.2540286287186253</v>
      </c>
      <c r="F42" s="1">
        <f t="shared" ca="1" si="3"/>
        <v>38</v>
      </c>
      <c r="G42" s="1">
        <f t="shared" ca="1" si="4"/>
        <v>28</v>
      </c>
      <c r="H42" s="1">
        <f t="shared" ca="1" si="5"/>
        <v>12</v>
      </c>
      <c r="I42" s="1"/>
      <c r="J42" s="1">
        <f t="shared" ca="1" si="6"/>
        <v>7</v>
      </c>
      <c r="K42" s="1">
        <f t="shared" ca="1" si="7"/>
        <v>1.8324229537596324</v>
      </c>
      <c r="L42" s="1">
        <f t="shared" ca="1" si="8"/>
        <v>2</v>
      </c>
      <c r="M42" s="1"/>
      <c r="N42" s="1">
        <f t="shared" ca="1" si="9"/>
        <v>429</v>
      </c>
      <c r="O42" s="1">
        <f t="shared" ca="1" si="10"/>
        <v>31</v>
      </c>
      <c r="P42" s="1"/>
      <c r="Q42" s="1">
        <f t="shared" ca="1" si="11"/>
        <v>3.3121100480835781</v>
      </c>
      <c r="R42" s="1">
        <f t="shared" ca="1" si="12"/>
        <v>770</v>
      </c>
      <c r="S42" s="1"/>
      <c r="T42" s="1">
        <f t="shared" ca="1" si="13"/>
        <v>1.8850096647294284E-2</v>
      </c>
      <c r="U42" s="1">
        <f t="shared" ca="1" si="14"/>
        <v>335</v>
      </c>
      <c r="V42" s="1">
        <f t="shared" ca="1" si="15"/>
        <v>45</v>
      </c>
      <c r="W42" s="1"/>
      <c r="X42" s="1">
        <f t="shared" ca="1" si="16"/>
        <v>1.7463601119694276</v>
      </c>
      <c r="Y42" s="1">
        <f t="shared" ca="1" si="17"/>
        <v>9.4293013588944402E-2</v>
      </c>
      <c r="Z42" s="1">
        <f t="shared" ca="1" si="18"/>
        <v>990</v>
      </c>
      <c r="AB42" s="1">
        <f t="shared" ca="1" si="19"/>
        <v>0.6501091541597227</v>
      </c>
      <c r="AC42" s="1">
        <f t="shared" ca="1" si="20"/>
        <v>649</v>
      </c>
      <c r="AD42" s="1">
        <f t="shared" ca="1" si="21"/>
        <v>4.1833381631754853E-3</v>
      </c>
      <c r="AE42" s="1"/>
      <c r="AF42" s="1">
        <f t="shared" ca="1" si="22"/>
        <v>0.42166858231232862</v>
      </c>
      <c r="AG42" s="1">
        <f t="shared" ca="1" si="23"/>
        <v>564</v>
      </c>
      <c r="AH42" s="1">
        <f t="shared" ca="1" si="24"/>
        <v>4.7005403828435802E-3</v>
      </c>
      <c r="AJ42" s="1">
        <f t="shared" ca="1" si="25"/>
        <v>0.89956628043439579</v>
      </c>
      <c r="AK42" s="1">
        <f t="shared" ca="1" si="26"/>
        <v>3.4463481964362099E-3</v>
      </c>
      <c r="AL42" s="1"/>
      <c r="AM42" s="1">
        <f t="shared" ca="1" si="27"/>
        <v>3.276932076322208E-2</v>
      </c>
      <c r="AN42" s="1">
        <f t="shared" ca="1" si="28"/>
        <v>66</v>
      </c>
      <c r="AO42" s="1">
        <f t="shared" ca="1" si="29"/>
        <v>12</v>
      </c>
      <c r="AQ42" s="1">
        <f t="shared" ca="1" si="30"/>
        <v>32</v>
      </c>
      <c r="AR42" s="1">
        <f t="shared" ca="1" si="31"/>
        <v>3</v>
      </c>
      <c r="AS42" s="1">
        <f t="shared" ca="1" si="32"/>
        <v>56</v>
      </c>
      <c r="AU42" s="1">
        <f t="shared" ca="1" si="33"/>
        <v>210</v>
      </c>
      <c r="AV42" s="1">
        <f t="shared" ca="1" si="34"/>
        <v>9</v>
      </c>
      <c r="AW42" s="1">
        <f t="shared" ca="1" si="35"/>
        <v>0.10636582020921914</v>
      </c>
      <c r="AY42" s="1">
        <f t="shared" ca="1" si="36"/>
        <v>1.8722896032414944</v>
      </c>
      <c r="AZ42" s="1">
        <f t="shared" ca="1" si="37"/>
        <v>447</v>
      </c>
      <c r="BA42" s="1">
        <f t="shared" ca="1" si="38"/>
        <v>9.8426357079856065E-3</v>
      </c>
      <c r="BG42" s="1">
        <f t="shared" ca="1" si="39"/>
        <v>0.34401058575388649</v>
      </c>
      <c r="BH42" s="1">
        <f t="shared" ca="1" si="40"/>
        <v>0.13496877566364351</v>
      </c>
      <c r="BI42" s="1">
        <f t="shared" ca="1" si="41"/>
        <v>469</v>
      </c>
      <c r="BV42" s="1">
        <f t="shared" ca="1" si="42"/>
        <v>0.47553618639185025</v>
      </c>
      <c r="BW42" s="1">
        <f t="shared" ca="1" si="43"/>
        <v>793</v>
      </c>
      <c r="BX42" s="1">
        <f t="shared" ca="1" si="44"/>
        <v>7.1959748513546109E-3</v>
      </c>
      <c r="BY42" s="1">
        <f t="shared" ca="1" si="45"/>
        <v>3.604499151589511E-2</v>
      </c>
      <c r="BZ42" s="1">
        <f t="shared" ca="1" si="46"/>
        <v>0.25348878268315989</v>
      </c>
      <c r="CB42" s="1">
        <f t="shared" ca="1" si="47"/>
        <v>436</v>
      </c>
      <c r="CC42" s="1">
        <f t="shared" ca="1" si="48"/>
        <v>6</v>
      </c>
      <c r="CD42" s="1">
        <f t="shared" ca="1" si="49"/>
        <v>1.3799904387072098E-2</v>
      </c>
      <c r="CE42" s="1">
        <f t="shared" ca="1" si="74"/>
        <v>0.59270493001404634</v>
      </c>
      <c r="CF42" s="1">
        <f t="shared" ca="1" si="74"/>
        <v>0.9804187457756941</v>
      </c>
      <c r="CH42" s="3">
        <f t="shared" ca="1" si="51"/>
        <v>0.21630070850242067</v>
      </c>
      <c r="CI42" s="3">
        <f t="shared" ca="1" si="52"/>
        <v>0.48008936988464079</v>
      </c>
      <c r="CJ42" s="3">
        <f t="shared" ca="1" si="53"/>
        <v>1345</v>
      </c>
      <c r="CK42" s="3">
        <f t="shared" ca="1" si="54"/>
        <v>1.5220748603881481E-3</v>
      </c>
      <c r="CL42" s="3">
        <f t="shared" ca="1" si="55"/>
        <v>1</v>
      </c>
      <c r="CM42" s="3"/>
      <c r="CN42" s="1">
        <f t="shared" ca="1" si="56"/>
        <v>3.3286400904279017</v>
      </c>
      <c r="CO42" s="1">
        <f t="shared" ca="1" si="57"/>
        <v>0.42096527834860165</v>
      </c>
      <c r="CP42" s="1">
        <f t="shared" ca="1" si="58"/>
        <v>5</v>
      </c>
      <c r="CV42" s="1">
        <f t="shared" ca="1" si="59"/>
        <v>5.6372168500804927</v>
      </c>
      <c r="CW42" s="1">
        <f t="shared" ca="1" si="60"/>
        <v>954</v>
      </c>
      <c r="CX42" s="1">
        <f t="shared" ca="1" si="61"/>
        <v>6.3379042075111568E-3</v>
      </c>
      <c r="DH42" s="1">
        <f t="shared" ca="1" si="62"/>
        <v>250</v>
      </c>
      <c r="DI42" s="1">
        <f t="shared" ca="1" si="63"/>
        <v>0.99835336181695633</v>
      </c>
      <c r="DJ42" s="1">
        <f t="shared" ca="1" si="64"/>
        <v>9</v>
      </c>
      <c r="DL42" s="1">
        <f t="shared" ca="1" si="65"/>
        <v>0.18811370779703096</v>
      </c>
      <c r="DM42" s="1">
        <f t="shared" ca="1" si="66"/>
        <v>175</v>
      </c>
      <c r="DN42" s="1">
        <f t="shared" ca="1" si="67"/>
        <v>5</v>
      </c>
      <c r="DW42" s="1">
        <f t="shared" ca="1" si="71"/>
        <v>483</v>
      </c>
      <c r="DX42" s="1">
        <f t="shared" ca="1" si="72"/>
        <v>11</v>
      </c>
      <c r="DY42" s="1">
        <f t="shared" ca="1" si="73"/>
        <v>12</v>
      </c>
    </row>
    <row r="43" spans="2:129" x14ac:dyDescent="0.25">
      <c r="B43">
        <f t="shared" ca="1" si="0"/>
        <v>904</v>
      </c>
      <c r="C43">
        <f t="shared" ca="1" si="1"/>
        <v>11</v>
      </c>
      <c r="D43">
        <f t="shared" ca="1" si="2"/>
        <v>6.4753164307455063E-2</v>
      </c>
      <c r="F43" s="1">
        <f t="shared" ca="1" si="3"/>
        <v>42</v>
      </c>
      <c r="G43" s="1">
        <f t="shared" ca="1" si="4"/>
        <v>8</v>
      </c>
      <c r="H43" s="1">
        <f t="shared" ca="1" si="5"/>
        <v>7</v>
      </c>
      <c r="I43" s="1"/>
      <c r="J43" s="1">
        <f t="shared" ca="1" si="6"/>
        <v>36</v>
      </c>
      <c r="K43" s="1">
        <f t="shared" ca="1" si="7"/>
        <v>2.9731179923089845</v>
      </c>
      <c r="L43" s="1">
        <f t="shared" ca="1" si="8"/>
        <v>2</v>
      </c>
      <c r="M43" s="1"/>
      <c r="N43" s="1">
        <f t="shared" ca="1" si="9"/>
        <v>863</v>
      </c>
      <c r="O43" s="1">
        <f t="shared" ca="1" si="10"/>
        <v>41</v>
      </c>
      <c r="P43" s="1"/>
      <c r="Q43" s="1">
        <f t="shared" ca="1" si="11"/>
        <v>2.933302731406557</v>
      </c>
      <c r="R43" s="1">
        <f t="shared" ca="1" si="12"/>
        <v>612</v>
      </c>
      <c r="S43" s="1"/>
      <c r="T43" s="1">
        <f t="shared" ca="1" si="13"/>
        <v>5.1946594340579084E-2</v>
      </c>
      <c r="U43" s="1">
        <f t="shared" ca="1" si="14"/>
        <v>341</v>
      </c>
      <c r="V43" s="1">
        <f t="shared" ca="1" si="15"/>
        <v>7</v>
      </c>
      <c r="W43" s="1"/>
      <c r="X43" s="1">
        <f t="shared" ca="1" si="16"/>
        <v>9.0031766924079601</v>
      </c>
      <c r="Y43" s="1">
        <f t="shared" ca="1" si="17"/>
        <v>0.67933293793419358</v>
      </c>
      <c r="Z43" s="1">
        <f t="shared" ca="1" si="18"/>
        <v>275</v>
      </c>
      <c r="AB43" s="1">
        <f t="shared" ca="1" si="19"/>
        <v>0.44181013536837332</v>
      </c>
      <c r="AC43" s="1">
        <f t="shared" ca="1" si="20"/>
        <v>545</v>
      </c>
      <c r="AD43" s="1">
        <f t="shared" ca="1" si="21"/>
        <v>2.5456247528976776E-3</v>
      </c>
      <c r="AE43" s="1"/>
      <c r="AF43" s="1">
        <f t="shared" ca="1" si="22"/>
        <v>0.8460622025368506</v>
      </c>
      <c r="AG43" s="1">
        <f t="shared" ca="1" si="23"/>
        <v>858</v>
      </c>
      <c r="AH43" s="1">
        <f t="shared" ca="1" si="24"/>
        <v>7.6174923381314404E-3</v>
      </c>
      <c r="AJ43" s="1">
        <f t="shared" ca="1" si="25"/>
        <v>0.50739583319650405</v>
      </c>
      <c r="AK43" s="1">
        <f t="shared" ca="1" si="26"/>
        <v>6.4667372785521347E-3</v>
      </c>
      <c r="AL43" s="1"/>
      <c r="AM43" s="1">
        <f t="shared" ca="1" si="27"/>
        <v>5.2584872688870229E-3</v>
      </c>
      <c r="AN43" s="1">
        <f t="shared" ca="1" si="28"/>
        <v>73</v>
      </c>
      <c r="AO43" s="1">
        <f t="shared" ca="1" si="29"/>
        <v>19</v>
      </c>
      <c r="AQ43" s="1">
        <f t="shared" ca="1" si="30"/>
        <v>164</v>
      </c>
      <c r="AR43" s="1">
        <f t="shared" ca="1" si="31"/>
        <v>1</v>
      </c>
      <c r="AS43" s="1">
        <f t="shared" ca="1" si="32"/>
        <v>15</v>
      </c>
      <c r="AU43" s="1">
        <f t="shared" ca="1" si="33"/>
        <v>174</v>
      </c>
      <c r="AV43" s="1">
        <f t="shared" ca="1" si="34"/>
        <v>3</v>
      </c>
      <c r="AW43" s="1">
        <f t="shared" ca="1" si="35"/>
        <v>0.11353671945421649</v>
      </c>
      <c r="AY43" s="1">
        <f t="shared" ca="1" si="36"/>
        <v>1.8068614633059843</v>
      </c>
      <c r="AZ43" s="1">
        <f t="shared" ca="1" si="37"/>
        <v>380</v>
      </c>
      <c r="BA43" s="1">
        <f t="shared" ca="1" si="38"/>
        <v>1.9747466615531494E-3</v>
      </c>
      <c r="BG43" s="1">
        <f t="shared" ca="1" si="39"/>
        <v>0.37577263154472318</v>
      </c>
      <c r="BH43" s="1">
        <f t="shared" ca="1" si="40"/>
        <v>0.48284844091800172</v>
      </c>
      <c r="BI43" s="1">
        <f t="shared" ca="1" si="41"/>
        <v>671</v>
      </c>
      <c r="BV43" s="1">
        <f t="shared" ca="1" si="42"/>
        <v>0.32275276165619632</v>
      </c>
      <c r="BW43" s="1">
        <f t="shared" ca="1" si="43"/>
        <v>130</v>
      </c>
      <c r="BX43" s="1">
        <f t="shared" ca="1" si="44"/>
        <v>4.0292777209982681E-4</v>
      </c>
      <c r="BY43" s="1">
        <f t="shared" ca="1" si="45"/>
        <v>6.9817815319849402E-2</v>
      </c>
      <c r="BZ43" s="1">
        <f t="shared" ca="1" si="46"/>
        <v>4.1347808798724572E-2</v>
      </c>
      <c r="CB43" s="1">
        <f t="shared" ca="1" si="47"/>
        <v>152</v>
      </c>
      <c r="CC43" s="1">
        <f t="shared" ca="1" si="48"/>
        <v>15</v>
      </c>
      <c r="CD43" s="1">
        <f t="shared" ca="1" si="49"/>
        <v>0.12745151616249753</v>
      </c>
      <c r="CE43" s="1">
        <f t="shared" ca="1" si="74"/>
        <v>0.68987086956353172</v>
      </c>
      <c r="CF43" s="1">
        <f t="shared" ca="1" si="74"/>
        <v>0.64199145616024533</v>
      </c>
      <c r="CH43" s="3">
        <f t="shared" ca="1" si="51"/>
        <v>0.78004902996916858</v>
      </c>
      <c r="CI43" s="3">
        <f t="shared" ca="1" si="52"/>
        <v>1.1676772045136379E-2</v>
      </c>
      <c r="CJ43" s="3">
        <f t="shared" ca="1" si="53"/>
        <v>1092</v>
      </c>
      <c r="CK43" s="3">
        <f t="shared" ca="1" si="54"/>
        <v>9.5397313152628341E-3</v>
      </c>
      <c r="CL43" s="3">
        <f t="shared" ca="1" si="55"/>
        <v>0</v>
      </c>
      <c r="CM43" s="3"/>
      <c r="CN43" s="1">
        <f t="shared" ca="1" si="56"/>
        <v>5.2775695482292946</v>
      </c>
      <c r="CO43" s="1">
        <f t="shared" ca="1" si="57"/>
        <v>9.71679336176864E-2</v>
      </c>
      <c r="CP43" s="1">
        <f t="shared" ca="1" si="58"/>
        <v>4</v>
      </c>
      <c r="CV43" s="1">
        <f t="shared" ca="1" si="59"/>
        <v>9.9999794561134259</v>
      </c>
      <c r="CW43" s="1">
        <f t="shared" ca="1" si="60"/>
        <v>1391</v>
      </c>
      <c r="CX43" s="1">
        <f t="shared" ca="1" si="61"/>
        <v>8.0032797038479264E-3</v>
      </c>
      <c r="DH43" s="1">
        <f t="shared" ca="1" si="62"/>
        <v>216</v>
      </c>
      <c r="DI43" s="1">
        <f t="shared" ca="1" si="63"/>
        <v>0.17498125052351923</v>
      </c>
      <c r="DJ43" s="1">
        <f t="shared" ca="1" si="64"/>
        <v>22</v>
      </c>
      <c r="DL43" s="1">
        <f t="shared" ca="1" si="65"/>
        <v>0.11199053640599671</v>
      </c>
      <c r="DM43" s="1">
        <f t="shared" ca="1" si="66"/>
        <v>260</v>
      </c>
      <c r="DN43" s="1">
        <f t="shared" ca="1" si="67"/>
        <v>8</v>
      </c>
      <c r="DW43" s="1">
        <f t="shared" ca="1" si="71"/>
        <v>484</v>
      </c>
      <c r="DX43" s="1">
        <f t="shared" ca="1" si="72"/>
        <v>14</v>
      </c>
      <c r="DY43" s="1">
        <f t="shared" ca="1" si="73"/>
        <v>12</v>
      </c>
    </row>
    <row r="44" spans="2:129" x14ac:dyDescent="0.25">
      <c r="B44">
        <f t="shared" ca="1" si="0"/>
        <v>22</v>
      </c>
      <c r="C44">
        <f t="shared" ca="1" si="1"/>
        <v>46</v>
      </c>
      <c r="D44">
        <f t="shared" ca="1" si="2"/>
        <v>0.16338605518442639</v>
      </c>
      <c r="F44" s="1">
        <f t="shared" ca="1" si="3"/>
        <v>3</v>
      </c>
      <c r="G44" s="1">
        <f t="shared" ca="1" si="4"/>
        <v>16</v>
      </c>
      <c r="H44" s="1">
        <f t="shared" ca="1" si="5"/>
        <v>12</v>
      </c>
      <c r="I44" s="1"/>
      <c r="J44" s="1">
        <f t="shared" ca="1" si="6"/>
        <v>24</v>
      </c>
      <c r="K44" s="1">
        <f t="shared" ca="1" si="7"/>
        <v>1.3685282144919362</v>
      </c>
      <c r="L44" s="1">
        <f t="shared" ca="1" si="8"/>
        <v>27</v>
      </c>
      <c r="M44" s="1"/>
      <c r="N44" s="1">
        <f t="shared" ca="1" si="9"/>
        <v>272</v>
      </c>
      <c r="O44" s="1">
        <f t="shared" ca="1" si="10"/>
        <v>37</v>
      </c>
      <c r="P44" s="1"/>
      <c r="Q44" s="1">
        <f t="shared" ca="1" si="11"/>
        <v>4.5348811396008504</v>
      </c>
      <c r="R44" s="1">
        <f t="shared" ca="1" si="12"/>
        <v>296</v>
      </c>
      <c r="S44" s="1"/>
      <c r="T44" s="1">
        <f t="shared" ca="1" si="13"/>
        <v>3.1507435491494859E-2</v>
      </c>
      <c r="U44" s="1">
        <f t="shared" ca="1" si="14"/>
        <v>80</v>
      </c>
      <c r="V44" s="1">
        <f t="shared" ca="1" si="15"/>
        <v>52</v>
      </c>
      <c r="W44" s="1"/>
      <c r="X44" s="1">
        <f t="shared" ca="1" si="16"/>
        <v>1.5380317110348367</v>
      </c>
      <c r="Y44" s="1">
        <f t="shared" ca="1" si="17"/>
        <v>0.35776231611246145</v>
      </c>
      <c r="Z44" s="1">
        <f t="shared" ca="1" si="18"/>
        <v>513</v>
      </c>
      <c r="AB44" s="1">
        <f t="shared" ca="1" si="19"/>
        <v>0.96064570172095642</v>
      </c>
      <c r="AC44" s="1">
        <f t="shared" ca="1" si="20"/>
        <v>482</v>
      </c>
      <c r="AD44" s="1">
        <f t="shared" ca="1" si="21"/>
        <v>8.3464688597258696E-3</v>
      </c>
      <c r="AE44" s="1"/>
      <c r="AF44" s="1">
        <f t="shared" ca="1" si="22"/>
        <v>0.85382526567057271</v>
      </c>
      <c r="AG44" s="1">
        <f t="shared" ca="1" si="23"/>
        <v>673</v>
      </c>
      <c r="AH44" s="1">
        <f t="shared" ca="1" si="24"/>
        <v>8.0984552809776969E-3</v>
      </c>
      <c r="AJ44" s="1">
        <f t="shared" ca="1" si="25"/>
        <v>0.14300383509257808</v>
      </c>
      <c r="AK44" s="1">
        <f t="shared" ca="1" si="26"/>
        <v>6.7839002172754084E-3</v>
      </c>
      <c r="AL44" s="1"/>
      <c r="AM44" s="1">
        <f t="shared" ca="1" si="27"/>
        <v>8.3869927928282587E-2</v>
      </c>
      <c r="AN44" s="1">
        <f t="shared" ca="1" si="28"/>
        <v>55</v>
      </c>
      <c r="AO44" s="1">
        <f t="shared" ca="1" si="29"/>
        <v>6</v>
      </c>
      <c r="AQ44" s="1">
        <f t="shared" ca="1" si="30"/>
        <v>13</v>
      </c>
      <c r="AR44" s="1">
        <f t="shared" ca="1" si="31"/>
        <v>3</v>
      </c>
      <c r="AS44" s="1">
        <f t="shared" ca="1" si="32"/>
        <v>43</v>
      </c>
      <c r="AU44" s="1">
        <f t="shared" ca="1" si="33"/>
        <v>164</v>
      </c>
      <c r="AV44" s="1">
        <f t="shared" ca="1" si="34"/>
        <v>3</v>
      </c>
      <c r="AW44" s="1">
        <f t="shared" ca="1" si="35"/>
        <v>3.8828016956460217E-2</v>
      </c>
      <c r="AY44" s="1">
        <f t="shared" ca="1" si="36"/>
        <v>1.2003263994708409</v>
      </c>
      <c r="AZ44" s="1">
        <f t="shared" ca="1" si="37"/>
        <v>348</v>
      </c>
      <c r="BA44" s="1">
        <f t="shared" ca="1" si="38"/>
        <v>9.5771216098311015E-3</v>
      </c>
      <c r="BG44" s="1">
        <f t="shared" ca="1" si="39"/>
        <v>0.71882045165224917</v>
      </c>
      <c r="BH44" s="1">
        <f t="shared" ca="1" si="40"/>
        <v>0.61305714493818142</v>
      </c>
      <c r="BI44" s="1">
        <f t="shared" ca="1" si="41"/>
        <v>419</v>
      </c>
      <c r="BV44" s="1">
        <f t="shared" ca="1" si="42"/>
        <v>0.26707792593531138</v>
      </c>
      <c r="BW44" s="1">
        <f t="shared" ca="1" si="43"/>
        <v>851</v>
      </c>
      <c r="BX44" s="1">
        <f t="shared" ca="1" si="44"/>
        <v>9.4102500718905736E-3</v>
      </c>
      <c r="BY44" s="1">
        <f t="shared" ca="1" si="45"/>
        <v>4.1767655767916682E-2</v>
      </c>
      <c r="BZ44" s="1">
        <f t="shared" ca="1" si="46"/>
        <v>0.29415935552732042</v>
      </c>
      <c r="CB44" s="1">
        <f t="shared" ca="1" si="47"/>
        <v>408</v>
      </c>
      <c r="CC44" s="1">
        <f t="shared" ca="1" si="48"/>
        <v>5</v>
      </c>
      <c r="CD44" s="1">
        <f t="shared" ca="1" si="49"/>
        <v>2.380549614156563E-2</v>
      </c>
      <c r="CE44" s="1">
        <f t="shared" ca="1" si="74"/>
        <v>0.58769409768002689</v>
      </c>
      <c r="CF44" s="1">
        <f t="shared" ca="1" si="74"/>
        <v>0.89377861673086323</v>
      </c>
      <c r="CH44" s="3">
        <f t="shared" ca="1" si="51"/>
        <v>0.30463535000650732</v>
      </c>
      <c r="CI44" s="3">
        <f t="shared" ca="1" si="52"/>
        <v>0.43146815298491137</v>
      </c>
      <c r="CJ44" s="3">
        <f t="shared" ca="1" si="53"/>
        <v>1100</v>
      </c>
      <c r="CK44" s="3">
        <f t="shared" ca="1" si="54"/>
        <v>7.3598294883556647E-4</v>
      </c>
      <c r="CL44" s="3">
        <f t="shared" ca="1" si="55"/>
        <v>0</v>
      </c>
      <c r="CM44" s="3"/>
      <c r="CN44" s="1">
        <f t="shared" ca="1" si="56"/>
        <v>19.064788609589947</v>
      </c>
      <c r="CO44" s="1">
        <f t="shared" ca="1" si="57"/>
        <v>0.33587887018486473</v>
      </c>
      <c r="CP44" s="1">
        <f t="shared" ca="1" si="58"/>
        <v>3</v>
      </c>
      <c r="CV44" s="1">
        <f t="shared" ca="1" si="59"/>
        <v>7.1049549948440127</v>
      </c>
      <c r="CW44" s="1">
        <f t="shared" ca="1" si="60"/>
        <v>1655</v>
      </c>
      <c r="CX44" s="1">
        <f t="shared" ca="1" si="61"/>
        <v>7.1747798290210949E-3</v>
      </c>
      <c r="DH44" s="1">
        <f t="shared" ca="1" si="62"/>
        <v>501</v>
      </c>
      <c r="DI44" s="1">
        <f t="shared" ca="1" si="63"/>
        <v>0.42633503510381476</v>
      </c>
      <c r="DJ44" s="1">
        <f t="shared" ca="1" si="64"/>
        <v>29</v>
      </c>
      <c r="DL44" s="1">
        <f t="shared" ca="1" si="65"/>
        <v>2.7357482865720796E-2</v>
      </c>
      <c r="DM44" s="1">
        <f t="shared" ca="1" si="66"/>
        <v>250</v>
      </c>
      <c r="DN44" s="1">
        <f t="shared" ca="1" si="67"/>
        <v>10</v>
      </c>
      <c r="DW44" s="1">
        <f t="shared" ca="1" si="71"/>
        <v>379</v>
      </c>
      <c r="DX44" s="1">
        <f t="shared" ca="1" si="72"/>
        <v>12</v>
      </c>
      <c r="DY44" s="1">
        <f t="shared" ca="1" si="73"/>
        <v>19</v>
      </c>
    </row>
    <row r="45" spans="2:129" x14ac:dyDescent="0.25">
      <c r="B45">
        <f t="shared" ca="1" si="0"/>
        <v>650</v>
      </c>
      <c r="C45">
        <f t="shared" ca="1" si="1"/>
        <v>31</v>
      </c>
      <c r="D45">
        <f t="shared" ca="1" si="2"/>
        <v>0.24933037297460822</v>
      </c>
      <c r="F45" s="1">
        <f t="shared" ca="1" si="3"/>
        <v>24</v>
      </c>
      <c r="G45" s="1">
        <f t="shared" ca="1" si="4"/>
        <v>17</v>
      </c>
      <c r="H45" s="1">
        <f t="shared" ca="1" si="5"/>
        <v>13</v>
      </c>
      <c r="I45" s="1"/>
      <c r="J45" s="1">
        <f t="shared" ca="1" si="6"/>
        <v>36</v>
      </c>
      <c r="K45" s="1">
        <f t="shared" ca="1" si="7"/>
        <v>2.7946490130692423</v>
      </c>
      <c r="L45" s="1">
        <f t="shared" ca="1" si="8"/>
        <v>3</v>
      </c>
      <c r="M45" s="1"/>
      <c r="N45" s="1">
        <f t="shared" ca="1" si="9"/>
        <v>524</v>
      </c>
      <c r="O45" s="1">
        <f t="shared" ca="1" si="10"/>
        <v>4</v>
      </c>
      <c r="P45" s="1"/>
      <c r="Q45" s="1">
        <f t="shared" ca="1" si="11"/>
        <v>0.70342353197849272</v>
      </c>
      <c r="R45" s="1">
        <f t="shared" ca="1" si="12"/>
        <v>667</v>
      </c>
      <c r="S45" s="1"/>
      <c r="T45" s="1">
        <f t="shared" ca="1" si="13"/>
        <v>2.9710187838802429E-2</v>
      </c>
      <c r="U45" s="1">
        <f t="shared" ca="1" si="14"/>
        <v>82</v>
      </c>
      <c r="V45" s="1">
        <f t="shared" ca="1" si="15"/>
        <v>8</v>
      </c>
      <c r="W45" s="1"/>
      <c r="X45" s="1">
        <f t="shared" ca="1" si="16"/>
        <v>7.400455245791135</v>
      </c>
      <c r="Y45" s="1">
        <f t="shared" ca="1" si="17"/>
        <v>0.62389526654883265</v>
      </c>
      <c r="Z45" s="1">
        <f t="shared" ca="1" si="18"/>
        <v>757</v>
      </c>
      <c r="AB45" s="1">
        <f t="shared" ca="1" si="19"/>
        <v>0.62471131964896276</v>
      </c>
      <c r="AC45" s="1">
        <f t="shared" ca="1" si="20"/>
        <v>132</v>
      </c>
      <c r="AD45" s="1">
        <f t="shared" ca="1" si="21"/>
        <v>8.1287007750479017E-3</v>
      </c>
      <c r="AE45" s="1"/>
      <c r="AF45" s="1">
        <f t="shared" ca="1" si="22"/>
        <v>0.13740732453909743</v>
      </c>
      <c r="AG45" s="1">
        <f t="shared" ca="1" si="23"/>
        <v>540</v>
      </c>
      <c r="AH45" s="1">
        <f t="shared" ca="1" si="24"/>
        <v>7.5415902083188144E-3</v>
      </c>
      <c r="AJ45" s="1">
        <f t="shared" ca="1" si="25"/>
        <v>0.24597575547265527</v>
      </c>
      <c r="AK45" s="1">
        <f t="shared" ca="1" si="26"/>
        <v>3.2425987358204091E-3</v>
      </c>
      <c r="AL45" s="1"/>
      <c r="AM45" s="1">
        <f t="shared" ca="1" si="27"/>
        <v>5.7132012980528113E-2</v>
      </c>
      <c r="AN45" s="1">
        <f t="shared" ca="1" si="28"/>
        <v>40</v>
      </c>
      <c r="AO45" s="1">
        <f t="shared" ca="1" si="29"/>
        <v>3</v>
      </c>
      <c r="AQ45" s="1">
        <f t="shared" ca="1" si="30"/>
        <v>32</v>
      </c>
      <c r="AR45" s="1">
        <f t="shared" ca="1" si="31"/>
        <v>9</v>
      </c>
      <c r="AS45" s="1">
        <f t="shared" ca="1" si="32"/>
        <v>92</v>
      </c>
      <c r="AU45" s="1">
        <f t="shared" ca="1" si="33"/>
        <v>330</v>
      </c>
      <c r="AV45" s="1">
        <f t="shared" ca="1" si="34"/>
        <v>9</v>
      </c>
      <c r="AW45" s="1">
        <f t="shared" ca="1" si="35"/>
        <v>0.13311108842859676</v>
      </c>
      <c r="AY45" s="1">
        <f t="shared" ca="1" si="36"/>
        <v>1.8734281274593563</v>
      </c>
      <c r="AZ45" s="1">
        <f t="shared" ca="1" si="37"/>
        <v>132</v>
      </c>
      <c r="BA45" s="1">
        <f t="shared" ca="1" si="38"/>
        <v>7.8615353422776882E-3</v>
      </c>
      <c r="BG45" s="1">
        <f t="shared" ca="1" si="39"/>
        <v>3.8174130422014466E-2</v>
      </c>
      <c r="BH45" s="1">
        <f t="shared" ca="1" si="40"/>
        <v>0.24912267614546524</v>
      </c>
      <c r="BI45" s="1">
        <f t="shared" ca="1" si="41"/>
        <v>819</v>
      </c>
      <c r="BV45" s="1">
        <f t="shared" ca="1" si="42"/>
        <v>0.13354791518659156</v>
      </c>
      <c r="BW45" s="1">
        <f t="shared" ca="1" si="43"/>
        <v>754</v>
      </c>
      <c r="BX45" s="1">
        <f t="shared" ca="1" si="44"/>
        <v>6.4034601803793873E-3</v>
      </c>
      <c r="BY45" s="1">
        <f t="shared" ca="1" si="45"/>
        <v>3.9076136287920664E-2</v>
      </c>
      <c r="BZ45" s="1">
        <f t="shared" ca="1" si="46"/>
        <v>0.57350739997396383</v>
      </c>
      <c r="CB45" s="1">
        <f t="shared" ca="1" si="47"/>
        <v>362</v>
      </c>
      <c r="CC45" s="1">
        <f t="shared" ca="1" si="48"/>
        <v>4</v>
      </c>
      <c r="CD45" s="1">
        <f t="shared" ca="1" si="49"/>
        <v>5.5136507954884485E-2</v>
      </c>
      <c r="CE45" s="1">
        <f t="shared" ca="1" si="74"/>
        <v>0.90038104121104623</v>
      </c>
      <c r="CF45" s="1">
        <f t="shared" ca="1" si="74"/>
        <v>0.96882288135812411</v>
      </c>
      <c r="CH45" s="3">
        <f t="shared" ca="1" si="51"/>
        <v>0.73352689403487714</v>
      </c>
      <c r="CI45" s="3">
        <f t="shared" ca="1" si="52"/>
        <v>0.8285959040540839</v>
      </c>
      <c r="CJ45" s="3">
        <f t="shared" ca="1" si="53"/>
        <v>475</v>
      </c>
      <c r="CK45" s="3">
        <f t="shared" ca="1" si="54"/>
        <v>9.0374355254627375E-3</v>
      </c>
      <c r="CL45" s="3">
        <f t="shared" ca="1" si="55"/>
        <v>1</v>
      </c>
      <c r="CM45" s="3"/>
      <c r="CN45" s="1">
        <f t="shared" ca="1" si="56"/>
        <v>9.1691169617106567</v>
      </c>
      <c r="CO45" s="1">
        <f t="shared" ca="1" si="57"/>
        <v>0.24726315972055882</v>
      </c>
      <c r="CP45" s="1">
        <f t="shared" ca="1" si="58"/>
        <v>2</v>
      </c>
      <c r="CV45" s="1">
        <f t="shared" ca="1" si="59"/>
        <v>5.7185193891115835</v>
      </c>
      <c r="CW45" s="1">
        <f t="shared" ca="1" si="60"/>
        <v>1674</v>
      </c>
      <c r="CX45" s="1">
        <f t="shared" ca="1" si="61"/>
        <v>6.5871461031996549E-3</v>
      </c>
      <c r="DH45" s="1">
        <f t="shared" ca="1" si="62"/>
        <v>717</v>
      </c>
      <c r="DI45" s="1">
        <f t="shared" ca="1" si="63"/>
        <v>0.31199352331451713</v>
      </c>
      <c r="DJ45" s="1">
        <f t="shared" ca="1" si="64"/>
        <v>24</v>
      </c>
      <c r="DL45" s="1">
        <f t="shared" ca="1" si="65"/>
        <v>7.7824484136342575E-2</v>
      </c>
      <c r="DM45" s="1">
        <f t="shared" ca="1" si="66"/>
        <v>201</v>
      </c>
      <c r="DN45" s="1">
        <f t="shared" ca="1" si="67"/>
        <v>3</v>
      </c>
      <c r="DW45" s="1">
        <f t="shared" ca="1" si="71"/>
        <v>168</v>
      </c>
      <c r="DX45" s="1">
        <f t="shared" ca="1" si="72"/>
        <v>9</v>
      </c>
      <c r="DY45" s="1">
        <f t="shared" ca="1" si="73"/>
        <v>16</v>
      </c>
    </row>
    <row r="46" spans="2:129" x14ac:dyDescent="0.25">
      <c r="B46">
        <f t="shared" ca="1" si="0"/>
        <v>269</v>
      </c>
      <c r="C46">
        <f t="shared" ca="1" si="1"/>
        <v>23</v>
      </c>
      <c r="D46">
        <f t="shared" ca="1" si="2"/>
        <v>0.27787642385731087</v>
      </c>
      <c r="F46" s="1">
        <f t="shared" ca="1" si="3"/>
        <v>50</v>
      </c>
      <c r="G46" s="1">
        <f t="shared" ca="1" si="4"/>
        <v>17</v>
      </c>
      <c r="H46" s="1">
        <f t="shared" ca="1" si="5"/>
        <v>7</v>
      </c>
      <c r="I46" s="1"/>
      <c r="J46" s="1">
        <f t="shared" ca="1" si="6"/>
        <v>39</v>
      </c>
      <c r="K46" s="1">
        <f t="shared" ca="1" si="7"/>
        <v>2.0028141919909599</v>
      </c>
      <c r="L46" s="1">
        <f t="shared" ca="1" si="8"/>
        <v>6</v>
      </c>
      <c r="M46" s="1"/>
      <c r="N46" s="1">
        <f t="shared" ca="1" si="9"/>
        <v>795</v>
      </c>
      <c r="O46" s="1">
        <f t="shared" ca="1" si="10"/>
        <v>20</v>
      </c>
      <c r="P46" s="1"/>
      <c r="Q46" s="1">
        <f t="shared" ca="1" si="11"/>
        <v>3.0224375907340586</v>
      </c>
      <c r="R46" s="1">
        <f t="shared" ca="1" si="12"/>
        <v>465</v>
      </c>
      <c r="S46" s="1"/>
      <c r="T46" s="1">
        <f t="shared" ca="1" si="13"/>
        <v>0.18728733142127588</v>
      </c>
      <c r="U46" s="1">
        <f t="shared" ca="1" si="14"/>
        <v>284</v>
      </c>
      <c r="V46" s="1">
        <f t="shared" ca="1" si="15"/>
        <v>11</v>
      </c>
      <c r="W46" s="1"/>
      <c r="X46" s="1">
        <f t="shared" ca="1" si="16"/>
        <v>9.1970377656267939</v>
      </c>
      <c r="Y46" s="1">
        <f t="shared" ca="1" si="17"/>
        <v>0.98088102530978438</v>
      </c>
      <c r="Z46" s="1">
        <f t="shared" ca="1" si="18"/>
        <v>938</v>
      </c>
      <c r="AB46" s="1">
        <f t="shared" ca="1" si="19"/>
        <v>6.5171132665559336E-2</v>
      </c>
      <c r="AC46" s="1">
        <f t="shared" ca="1" si="20"/>
        <v>505</v>
      </c>
      <c r="AD46" s="1">
        <f t="shared" ca="1" si="21"/>
        <v>6.9104269152495896E-3</v>
      </c>
      <c r="AE46" s="1"/>
      <c r="AF46" s="1">
        <f t="shared" ca="1" si="22"/>
        <v>0.77122532486276574</v>
      </c>
      <c r="AG46" s="1">
        <f t="shared" ca="1" si="23"/>
        <v>219</v>
      </c>
      <c r="AH46" s="1">
        <f t="shared" ca="1" si="24"/>
        <v>2.0984376722177388E-3</v>
      </c>
      <c r="AJ46" s="1">
        <f t="shared" ca="1" si="25"/>
        <v>0.75273612688578184</v>
      </c>
      <c r="AK46" s="1">
        <f t="shared" ca="1" si="26"/>
        <v>3.8946473278446297E-3</v>
      </c>
      <c r="AL46" s="1"/>
      <c r="AM46" s="1">
        <f t="shared" ca="1" si="27"/>
        <v>6.225130674007915E-2</v>
      </c>
      <c r="AN46" s="1">
        <f t="shared" ca="1" si="28"/>
        <v>32</v>
      </c>
      <c r="AO46" s="1">
        <f t="shared" ca="1" si="29"/>
        <v>17</v>
      </c>
      <c r="AQ46" s="1">
        <f t="shared" ca="1" si="30"/>
        <v>49</v>
      </c>
      <c r="AR46" s="1">
        <f t="shared" ca="1" si="31"/>
        <v>1</v>
      </c>
      <c r="AS46" s="1">
        <f t="shared" ca="1" si="32"/>
        <v>2</v>
      </c>
      <c r="AU46" s="1">
        <f t="shared" ca="1" si="33"/>
        <v>239</v>
      </c>
      <c r="AV46" s="1">
        <f t="shared" ca="1" si="34"/>
        <v>6</v>
      </c>
      <c r="AW46" s="1">
        <f t="shared" ca="1" si="35"/>
        <v>6.2051590289091699E-2</v>
      </c>
      <c r="AY46" s="1">
        <f t="shared" ca="1" si="36"/>
        <v>1.7789678289740696</v>
      </c>
      <c r="AZ46" s="1">
        <f t="shared" ca="1" si="37"/>
        <v>90</v>
      </c>
      <c r="BA46" s="1">
        <f t="shared" ca="1" si="38"/>
        <v>4.0918491461163437E-3</v>
      </c>
      <c r="BG46" s="1">
        <f t="shared" ca="1" si="39"/>
        <v>0.477281203412601</v>
      </c>
      <c r="BH46" s="1">
        <f t="shared" ca="1" si="40"/>
        <v>0.33884575547778883</v>
      </c>
      <c r="BI46" s="1">
        <f t="shared" ca="1" si="41"/>
        <v>801</v>
      </c>
      <c r="BV46" s="1">
        <f t="shared" ca="1" si="42"/>
        <v>0.26519522442808091</v>
      </c>
      <c r="BW46" s="1">
        <f t="shared" ca="1" si="43"/>
        <v>946</v>
      </c>
      <c r="BX46" s="1">
        <f t="shared" ca="1" si="44"/>
        <v>8.3687529406401891E-3</v>
      </c>
      <c r="BY46" s="1">
        <f t="shared" ca="1" si="45"/>
        <v>8.6511583203205622E-2</v>
      </c>
      <c r="BZ46" s="1">
        <f t="shared" ca="1" si="46"/>
        <v>0.87673662741767355</v>
      </c>
      <c r="CB46" s="1">
        <f t="shared" ca="1" si="47"/>
        <v>272</v>
      </c>
      <c r="CC46" s="1">
        <f t="shared" ca="1" si="48"/>
        <v>12</v>
      </c>
      <c r="CD46" s="1">
        <f t="shared" ca="1" si="49"/>
        <v>0.16183580595437572</v>
      </c>
      <c r="CE46" s="1">
        <f t="shared" ca="1" si="74"/>
        <v>0.76118463206467435</v>
      </c>
      <c r="CF46" s="1">
        <f t="shared" ca="1" si="74"/>
        <v>0.87786404285648678</v>
      </c>
      <c r="CH46" s="3">
        <f t="shared" ca="1" si="51"/>
        <v>0.93781045842129607</v>
      </c>
      <c r="CI46" s="3">
        <f t="shared" ca="1" si="52"/>
        <v>0.92327903836587544</v>
      </c>
      <c r="CJ46" s="3">
        <f t="shared" ca="1" si="53"/>
        <v>1900</v>
      </c>
      <c r="CK46" s="3">
        <f t="shared" ca="1" si="54"/>
        <v>6.0586635281056258E-3</v>
      </c>
      <c r="CL46" s="3">
        <f t="shared" ca="1" si="55"/>
        <v>1</v>
      </c>
      <c r="CM46" s="3"/>
      <c r="CN46" s="1">
        <f t="shared" ca="1" si="56"/>
        <v>19.353294356720529</v>
      </c>
      <c r="CO46" s="1">
        <f t="shared" ca="1" si="57"/>
        <v>0.16505618700195412</v>
      </c>
      <c r="CP46" s="1">
        <f t="shared" ca="1" si="58"/>
        <v>4</v>
      </c>
      <c r="CV46" s="1">
        <f t="shared" ca="1" si="59"/>
        <v>3.9423173470498756</v>
      </c>
      <c r="CW46" s="1">
        <f t="shared" ca="1" si="60"/>
        <v>1725</v>
      </c>
      <c r="CX46" s="1">
        <f t="shared" ca="1" si="61"/>
        <v>7.7634267404142372E-3</v>
      </c>
      <c r="DH46" s="1">
        <f t="shared" ca="1" si="62"/>
        <v>617</v>
      </c>
      <c r="DI46" s="1">
        <f t="shared" ca="1" si="63"/>
        <v>0.43154837191621814</v>
      </c>
      <c r="DJ46" s="1">
        <f t="shared" ca="1" si="64"/>
        <v>28</v>
      </c>
      <c r="DL46" s="1">
        <f t="shared" ca="1" si="65"/>
        <v>9.9462967200512453E-2</v>
      </c>
      <c r="DM46" s="1">
        <f t="shared" ca="1" si="66"/>
        <v>251</v>
      </c>
      <c r="DN46" s="1">
        <f t="shared" ca="1" si="67"/>
        <v>9</v>
      </c>
      <c r="DW46" s="1">
        <f t="shared" ca="1" si="71"/>
        <v>414</v>
      </c>
      <c r="DX46" s="1">
        <f t="shared" ca="1" si="72"/>
        <v>18</v>
      </c>
      <c r="DY46" s="1">
        <f t="shared" ca="1" si="73"/>
        <v>6</v>
      </c>
    </row>
    <row r="47" spans="2:129" x14ac:dyDescent="0.25">
      <c r="B47">
        <f t="shared" ca="1" si="0"/>
        <v>524</v>
      </c>
      <c r="C47">
        <f t="shared" ca="1" si="1"/>
        <v>32</v>
      </c>
      <c r="D47">
        <f t="shared" ca="1" si="2"/>
        <v>0.21242747988383223</v>
      </c>
      <c r="F47" s="1">
        <f t="shared" ca="1" si="3"/>
        <v>29</v>
      </c>
      <c r="G47" s="1">
        <f t="shared" ca="1" si="4"/>
        <v>12</v>
      </c>
      <c r="H47" s="1">
        <f t="shared" ca="1" si="5"/>
        <v>2</v>
      </c>
      <c r="I47" s="1"/>
      <c r="J47" s="1">
        <f t="shared" ca="1" si="6"/>
        <v>20</v>
      </c>
      <c r="K47" s="1">
        <f t="shared" ca="1" si="7"/>
        <v>1.9064534311459371</v>
      </c>
      <c r="L47" s="1">
        <f t="shared" ca="1" si="8"/>
        <v>11</v>
      </c>
      <c r="M47" s="1"/>
      <c r="N47" s="1">
        <f t="shared" ca="1" si="9"/>
        <v>996</v>
      </c>
      <c r="O47" s="1">
        <f t="shared" ca="1" si="10"/>
        <v>25</v>
      </c>
      <c r="P47" s="1"/>
      <c r="Q47" s="1">
        <f t="shared" ca="1" si="11"/>
        <v>4.1162345276217822</v>
      </c>
      <c r="R47" s="1">
        <f t="shared" ca="1" si="12"/>
        <v>1186</v>
      </c>
      <c r="S47" s="1"/>
      <c r="T47" s="1">
        <f t="shared" ca="1" si="13"/>
        <v>0.17597287819616653</v>
      </c>
      <c r="U47" s="1">
        <f t="shared" ca="1" si="14"/>
        <v>84</v>
      </c>
      <c r="V47" s="1">
        <f t="shared" ca="1" si="15"/>
        <v>31</v>
      </c>
      <c r="W47" s="1"/>
      <c r="X47" s="1">
        <f t="shared" ca="1" si="16"/>
        <v>7.587316337373319</v>
      </c>
      <c r="Y47" s="1">
        <f t="shared" ca="1" si="17"/>
        <v>0.27995528482060206</v>
      </c>
      <c r="Z47" s="1">
        <f t="shared" ca="1" si="18"/>
        <v>1709</v>
      </c>
      <c r="AB47" s="1">
        <f t="shared" ca="1" si="19"/>
        <v>0.18576428832006822</v>
      </c>
      <c r="AC47" s="1">
        <f t="shared" ca="1" si="20"/>
        <v>525</v>
      </c>
      <c r="AD47" s="1">
        <f t="shared" ca="1" si="21"/>
        <v>3.1028913280059071E-3</v>
      </c>
      <c r="AE47" s="1"/>
      <c r="AF47" s="1">
        <f t="shared" ca="1" si="22"/>
        <v>0.81013139529829925</v>
      </c>
      <c r="AG47" s="1">
        <f t="shared" ca="1" si="23"/>
        <v>688</v>
      </c>
      <c r="AH47" s="1">
        <f t="shared" ca="1" si="24"/>
        <v>1.2140386270758205E-3</v>
      </c>
      <c r="AJ47" s="1">
        <f t="shared" ca="1" si="25"/>
        <v>0.15710979466519082</v>
      </c>
      <c r="AK47" s="1">
        <f t="shared" ca="1" si="26"/>
        <v>6.2050039309750221E-4</v>
      </c>
      <c r="AL47" s="1"/>
      <c r="AM47" s="1">
        <f t="shared" ca="1" si="27"/>
        <v>0.13332400597719044</v>
      </c>
      <c r="AN47" s="1">
        <f t="shared" ca="1" si="28"/>
        <v>76</v>
      </c>
      <c r="AO47" s="1">
        <f t="shared" ca="1" si="29"/>
        <v>4</v>
      </c>
      <c r="AQ47" s="1">
        <f t="shared" ca="1" si="30"/>
        <v>123</v>
      </c>
      <c r="AR47" s="1">
        <f t="shared" ca="1" si="31"/>
        <v>10</v>
      </c>
      <c r="AS47" s="1">
        <f t="shared" ca="1" si="32"/>
        <v>5</v>
      </c>
      <c r="AU47" s="1">
        <f t="shared" ca="1" si="33"/>
        <v>146</v>
      </c>
      <c r="AV47" s="1">
        <f t="shared" ca="1" si="34"/>
        <v>2</v>
      </c>
      <c r="AW47" s="1">
        <f t="shared" ca="1" si="35"/>
        <v>4.7520385301882767E-2</v>
      </c>
      <c r="AY47" s="1">
        <f t="shared" ca="1" si="36"/>
        <v>1.2771098599692197</v>
      </c>
      <c r="AZ47" s="1">
        <f t="shared" ca="1" si="37"/>
        <v>111</v>
      </c>
      <c r="BA47" s="1">
        <f t="shared" ca="1" si="38"/>
        <v>6.4571011869055455E-3</v>
      </c>
      <c r="BG47" s="1">
        <f t="shared" ca="1" si="39"/>
        <v>0.21789559604032457</v>
      </c>
      <c r="BH47" s="1">
        <f t="shared" ca="1" si="40"/>
        <v>0.37036473329818631</v>
      </c>
      <c r="BI47" s="1">
        <f t="shared" ca="1" si="41"/>
        <v>948</v>
      </c>
      <c r="BV47" s="1">
        <f t="shared" ca="1" si="42"/>
        <v>0.13906965299832727</v>
      </c>
      <c r="BW47" s="1">
        <f t="shared" ca="1" si="43"/>
        <v>233</v>
      </c>
      <c r="BX47" s="1">
        <f t="shared" ca="1" si="44"/>
        <v>8.0996367433264511E-3</v>
      </c>
      <c r="BY47" s="1">
        <f t="shared" ca="1" si="45"/>
        <v>8.7442503243480699E-2</v>
      </c>
      <c r="BZ47" s="1">
        <f t="shared" ca="1" si="46"/>
        <v>0.10380031350250774</v>
      </c>
      <c r="CB47" s="1">
        <f t="shared" ca="1" si="47"/>
        <v>179</v>
      </c>
      <c r="CC47" s="1">
        <f t="shared" ca="1" si="48"/>
        <v>5</v>
      </c>
      <c r="CD47" s="1">
        <f t="shared" ca="1" si="49"/>
        <v>0.13452575173179734</v>
      </c>
      <c r="CE47" s="1">
        <f t="shared" ca="1" si="74"/>
        <v>0.59291262184179638</v>
      </c>
      <c r="CF47" s="1">
        <f t="shared" ca="1" si="74"/>
        <v>0.98099129303074672</v>
      </c>
      <c r="CH47" s="3">
        <f t="shared" ca="1" si="51"/>
        <v>0.77271307930485733</v>
      </c>
      <c r="CI47" s="3">
        <f t="shared" ca="1" si="52"/>
        <v>0.69514191644973256</v>
      </c>
      <c r="CJ47" s="3">
        <f t="shared" ca="1" si="53"/>
        <v>624</v>
      </c>
      <c r="CK47" s="3">
        <f t="shared" ca="1" si="54"/>
        <v>9.7859579694752254E-3</v>
      </c>
      <c r="CL47" s="3">
        <f t="shared" ca="1" si="55"/>
        <v>1</v>
      </c>
      <c r="CM47" s="3"/>
      <c r="CN47" s="1">
        <f t="shared" ca="1" si="56"/>
        <v>3.8976202266276605</v>
      </c>
      <c r="CO47" s="1">
        <f t="shared" ca="1" si="57"/>
        <v>3.9537927163737038E-2</v>
      </c>
      <c r="CP47" s="1">
        <f t="shared" ca="1" si="58"/>
        <v>4</v>
      </c>
      <c r="CV47" s="1">
        <f t="shared" ca="1" si="59"/>
        <v>7.2309217691608598</v>
      </c>
      <c r="CW47" s="1">
        <f t="shared" ca="1" si="60"/>
        <v>776</v>
      </c>
      <c r="CX47" s="1">
        <f t="shared" ca="1" si="61"/>
        <v>1.82266714820705E-3</v>
      </c>
      <c r="DH47" s="1">
        <f t="shared" ca="1" si="62"/>
        <v>145</v>
      </c>
      <c r="DI47" s="1">
        <f t="shared" ca="1" si="63"/>
        <v>0.25079934514846175</v>
      </c>
      <c r="DJ47" s="1">
        <f t="shared" ca="1" si="64"/>
        <v>14</v>
      </c>
      <c r="DL47" s="1">
        <f t="shared" ca="1" si="65"/>
        <v>0.13922574104898799</v>
      </c>
      <c r="DM47" s="1">
        <f t="shared" ca="1" si="66"/>
        <v>163</v>
      </c>
      <c r="DN47" s="1">
        <f t="shared" ca="1" si="67"/>
        <v>4</v>
      </c>
      <c r="DW47" s="1">
        <f t="shared" ca="1" si="71"/>
        <v>357</v>
      </c>
      <c r="DX47" s="1">
        <f t="shared" ca="1" si="72"/>
        <v>5</v>
      </c>
      <c r="DY47" s="1">
        <f t="shared" ca="1" si="73"/>
        <v>8</v>
      </c>
    </row>
    <row r="48" spans="2:129" x14ac:dyDescent="0.25">
      <c r="B48">
        <f t="shared" ca="1" si="0"/>
        <v>928</v>
      </c>
      <c r="C48">
        <f t="shared" ca="1" si="1"/>
        <v>20</v>
      </c>
      <c r="D48">
        <f t="shared" ca="1" si="2"/>
        <v>0.15465883092899163</v>
      </c>
      <c r="F48" s="1">
        <f t="shared" ca="1" si="3"/>
        <v>46</v>
      </c>
      <c r="G48" s="1">
        <f t="shared" ca="1" si="4"/>
        <v>14</v>
      </c>
      <c r="H48" s="1">
        <f t="shared" ca="1" si="5"/>
        <v>15</v>
      </c>
      <c r="I48" s="1"/>
      <c r="J48" s="1">
        <f t="shared" ca="1" si="6"/>
        <v>31</v>
      </c>
      <c r="K48" s="1">
        <f t="shared" ca="1" si="7"/>
        <v>1.0268973295538459</v>
      </c>
      <c r="L48" s="1">
        <f t="shared" ca="1" si="8"/>
        <v>12</v>
      </c>
      <c r="M48" s="1"/>
      <c r="N48" s="1">
        <f t="shared" ca="1" si="9"/>
        <v>408</v>
      </c>
      <c r="O48" s="1">
        <f t="shared" ca="1" si="10"/>
        <v>19</v>
      </c>
      <c r="P48" s="1"/>
      <c r="Q48" s="1">
        <f t="shared" ca="1" si="11"/>
        <v>3.2517518351537613</v>
      </c>
      <c r="R48" s="1">
        <f t="shared" ca="1" si="12"/>
        <v>432</v>
      </c>
      <c r="S48" s="1"/>
      <c r="T48" s="1">
        <f t="shared" ca="1" si="13"/>
        <v>5.9757357026675707E-2</v>
      </c>
      <c r="U48" s="1">
        <f t="shared" ca="1" si="14"/>
        <v>436</v>
      </c>
      <c r="V48" s="1">
        <f t="shared" ca="1" si="15"/>
        <v>30</v>
      </c>
      <c r="W48" s="1"/>
      <c r="X48" s="1">
        <f t="shared" ca="1" si="16"/>
        <v>8.6725032121409207</v>
      </c>
      <c r="Y48" s="1">
        <f t="shared" ca="1" si="17"/>
        <v>0.75160064692143069</v>
      </c>
      <c r="Z48" s="1">
        <f t="shared" ca="1" si="18"/>
        <v>522</v>
      </c>
      <c r="AB48" s="1">
        <f t="shared" ca="1" si="19"/>
        <v>0.23448131746988571</v>
      </c>
      <c r="AC48" s="1">
        <f t="shared" ca="1" si="20"/>
        <v>394</v>
      </c>
      <c r="AD48" s="1">
        <f t="shared" ca="1" si="21"/>
        <v>7.1007709120011822E-3</v>
      </c>
      <c r="AE48" s="1"/>
      <c r="AF48" s="1">
        <f t="shared" ca="1" si="22"/>
        <v>0.53009947464568363</v>
      </c>
      <c r="AG48" s="1">
        <f t="shared" ca="1" si="23"/>
        <v>743</v>
      </c>
      <c r="AH48" s="1">
        <f t="shared" ca="1" si="24"/>
        <v>5.4877828560289592E-4</v>
      </c>
      <c r="AJ48" s="1">
        <f t="shared" ca="1" si="25"/>
        <v>0.67795779670836942</v>
      </c>
      <c r="AK48" s="1">
        <f t="shared" ca="1" si="26"/>
        <v>5.349520701219099E-4</v>
      </c>
      <c r="AL48" s="1"/>
      <c r="AM48" s="1">
        <f t="shared" ca="1" si="27"/>
        <v>0.14306682984876604</v>
      </c>
      <c r="AN48" s="1">
        <f t="shared" ca="1" si="28"/>
        <v>67</v>
      </c>
      <c r="AO48" s="1">
        <f t="shared" ca="1" si="29"/>
        <v>16</v>
      </c>
      <c r="AQ48" s="1">
        <f t="shared" ca="1" si="30"/>
        <v>30</v>
      </c>
      <c r="AR48" s="1">
        <f t="shared" ca="1" si="31"/>
        <v>2</v>
      </c>
      <c r="AS48" s="1">
        <f t="shared" ca="1" si="32"/>
        <v>97</v>
      </c>
      <c r="AU48" s="1">
        <f t="shared" ca="1" si="33"/>
        <v>114</v>
      </c>
      <c r="AV48" s="1">
        <f t="shared" ca="1" si="34"/>
        <v>9</v>
      </c>
      <c r="AW48" s="1">
        <f t="shared" ca="1" si="35"/>
        <v>0.13057766456872966</v>
      </c>
      <c r="AY48" s="1">
        <f t="shared" ca="1" si="36"/>
        <v>1.627468700852881</v>
      </c>
      <c r="AZ48" s="1">
        <f t="shared" ca="1" si="37"/>
        <v>352</v>
      </c>
      <c r="BA48" s="1">
        <f t="shared" ca="1" si="38"/>
        <v>6.0774762992795691E-3</v>
      </c>
      <c r="BG48" s="1">
        <f t="shared" ca="1" si="39"/>
        <v>0.24769007242597441</v>
      </c>
      <c r="BH48" s="1">
        <f t="shared" ca="1" si="40"/>
        <v>0.83829440612700501</v>
      </c>
      <c r="BI48" s="1">
        <f t="shared" ca="1" si="41"/>
        <v>173</v>
      </c>
      <c r="BV48" s="1">
        <f t="shared" ca="1" si="42"/>
        <v>0.94189464618394669</v>
      </c>
      <c r="BW48" s="1">
        <f t="shared" ca="1" si="43"/>
        <v>244</v>
      </c>
      <c r="BX48" s="1">
        <f t="shared" ca="1" si="44"/>
        <v>4.3038038163384484E-3</v>
      </c>
      <c r="BY48" s="1">
        <f t="shared" ca="1" si="45"/>
        <v>9.2105405794330866E-2</v>
      </c>
      <c r="BZ48" s="1">
        <f t="shared" ca="1" si="46"/>
        <v>0.92658452433543037</v>
      </c>
      <c r="CB48" s="1">
        <f t="shared" ca="1" si="47"/>
        <v>243</v>
      </c>
      <c r="CC48" s="1">
        <f t="shared" ca="1" si="48"/>
        <v>3</v>
      </c>
      <c r="CD48" s="1">
        <f t="shared" ca="1" si="49"/>
        <v>0.20489768686084731</v>
      </c>
      <c r="CE48" s="1">
        <f t="shared" ca="1" si="74"/>
        <v>0.50152916897162259</v>
      </c>
      <c r="CF48" s="1">
        <f t="shared" ca="1" si="74"/>
        <v>0.86661787026696424</v>
      </c>
      <c r="CH48" s="3">
        <f t="shared" ca="1" si="51"/>
        <v>0.93701343139047977</v>
      </c>
      <c r="CI48" s="3">
        <f t="shared" ca="1" si="52"/>
        <v>0.31531025179390021</v>
      </c>
      <c r="CJ48" s="3">
        <f t="shared" ca="1" si="53"/>
        <v>1177</v>
      </c>
      <c r="CK48" s="3">
        <f t="shared" ca="1" si="54"/>
        <v>5.5739914687481249E-3</v>
      </c>
      <c r="CL48" s="3">
        <f t="shared" ca="1" si="55"/>
        <v>1</v>
      </c>
      <c r="CM48" s="3"/>
      <c r="CN48" s="1">
        <f t="shared" ca="1" si="56"/>
        <v>13.643666236775422</v>
      </c>
      <c r="CO48" s="1">
        <f t="shared" ca="1" si="57"/>
        <v>0.43622611643605796</v>
      </c>
      <c r="CP48" s="1">
        <f t="shared" ca="1" si="58"/>
        <v>5</v>
      </c>
      <c r="CV48" s="1">
        <f t="shared" ca="1" si="59"/>
        <v>7.9294311767647194</v>
      </c>
      <c r="CW48" s="1">
        <f t="shared" ca="1" si="60"/>
        <v>1945</v>
      </c>
      <c r="CX48" s="1">
        <f t="shared" ca="1" si="61"/>
        <v>2.2783908456469873E-3</v>
      </c>
      <c r="DH48" s="1">
        <f t="shared" ca="1" si="62"/>
        <v>895</v>
      </c>
      <c r="DI48" s="1">
        <f t="shared" ca="1" si="63"/>
        <v>0.80925011206989572</v>
      </c>
      <c r="DJ48" s="1">
        <f t="shared" ca="1" si="64"/>
        <v>18</v>
      </c>
      <c r="DL48" s="1">
        <f t="shared" ca="1" si="65"/>
        <v>0.14727320376465036</v>
      </c>
      <c r="DM48" s="1">
        <f t="shared" ca="1" si="66"/>
        <v>216</v>
      </c>
      <c r="DN48" s="1">
        <f t="shared" ca="1" si="67"/>
        <v>5</v>
      </c>
      <c r="DW48" s="1">
        <f t="shared" ca="1" si="71"/>
        <v>396</v>
      </c>
      <c r="DX48" s="1">
        <f t="shared" ca="1" si="72"/>
        <v>19</v>
      </c>
      <c r="DY48" s="1">
        <f t="shared" ca="1" si="73"/>
        <v>3</v>
      </c>
    </row>
    <row r="49" spans="2:129" x14ac:dyDescent="0.25">
      <c r="B49">
        <f t="shared" ca="1" si="0"/>
        <v>968</v>
      </c>
      <c r="C49">
        <f t="shared" ca="1" si="1"/>
        <v>33</v>
      </c>
      <c r="D49">
        <f t="shared" ca="1" si="2"/>
        <v>0.23198908083554909</v>
      </c>
      <c r="F49" s="1">
        <f t="shared" ca="1" si="3"/>
        <v>3</v>
      </c>
      <c r="G49" s="1">
        <f t="shared" ca="1" si="4"/>
        <v>19</v>
      </c>
      <c r="H49" s="1">
        <f t="shared" ca="1" si="5"/>
        <v>3</v>
      </c>
      <c r="I49" s="1"/>
      <c r="J49" s="1">
        <f t="shared" ca="1" si="6"/>
        <v>12</v>
      </c>
      <c r="K49" s="1">
        <f t="shared" ca="1" si="7"/>
        <v>1.5126065091433196</v>
      </c>
      <c r="L49" s="1">
        <f t="shared" ca="1" si="8"/>
        <v>24</v>
      </c>
      <c r="M49" s="1"/>
      <c r="N49" s="1">
        <f t="shared" ca="1" si="9"/>
        <v>585</v>
      </c>
      <c r="O49" s="1">
        <f t="shared" ca="1" si="10"/>
        <v>40</v>
      </c>
      <c r="P49" s="1"/>
      <c r="Q49" s="1">
        <f t="shared" ca="1" si="11"/>
        <v>0.1951008608640227</v>
      </c>
      <c r="R49" s="1">
        <f t="shared" ca="1" si="12"/>
        <v>1177</v>
      </c>
      <c r="S49" s="1"/>
      <c r="T49" s="1">
        <f t="shared" ca="1" si="13"/>
        <v>6.886436888159822E-2</v>
      </c>
      <c r="U49" s="1">
        <f t="shared" ca="1" si="14"/>
        <v>211</v>
      </c>
      <c r="V49" s="1">
        <f t="shared" ca="1" si="15"/>
        <v>41</v>
      </c>
      <c r="W49" s="1"/>
      <c r="X49" s="1">
        <f t="shared" ca="1" si="16"/>
        <v>7.3997663896337684</v>
      </c>
      <c r="Y49" s="1">
        <f t="shared" ca="1" si="17"/>
        <v>9.3824621608121495E-2</v>
      </c>
      <c r="Z49" s="1">
        <f t="shared" ca="1" si="18"/>
        <v>1266</v>
      </c>
      <c r="AB49" s="1">
        <f t="shared" ca="1" si="19"/>
        <v>0.50869685728347358</v>
      </c>
      <c r="AC49" s="1">
        <f t="shared" ca="1" si="20"/>
        <v>170</v>
      </c>
      <c r="AD49" s="1">
        <f t="shared" ca="1" si="21"/>
        <v>9.6682509012280798E-3</v>
      </c>
      <c r="AE49" s="1"/>
      <c r="AF49" s="1">
        <f t="shared" ca="1" si="22"/>
        <v>0.45771327326068689</v>
      </c>
      <c r="AG49" s="1">
        <f t="shared" ca="1" si="23"/>
        <v>684</v>
      </c>
      <c r="AH49" s="1">
        <f t="shared" ca="1" si="24"/>
        <v>6.7241440528000409E-3</v>
      </c>
      <c r="AJ49" s="1">
        <f t="shared" ca="1" si="25"/>
        <v>0.33947030612973206</v>
      </c>
      <c r="AK49" s="1">
        <f t="shared" ca="1" si="26"/>
        <v>1.8632137144568581E-3</v>
      </c>
      <c r="AL49" s="1"/>
      <c r="AM49" s="1">
        <f t="shared" ca="1" si="27"/>
        <v>0.19588666596555518</v>
      </c>
      <c r="AN49" s="1">
        <f t="shared" ca="1" si="28"/>
        <v>23</v>
      </c>
      <c r="AO49" s="1">
        <f t="shared" ca="1" si="29"/>
        <v>19</v>
      </c>
      <c r="AQ49" s="1">
        <f t="shared" ca="1" si="30"/>
        <v>126</v>
      </c>
      <c r="AR49" s="1">
        <f t="shared" ca="1" si="31"/>
        <v>9</v>
      </c>
      <c r="AS49" s="1">
        <f t="shared" ca="1" si="32"/>
        <v>52</v>
      </c>
      <c r="AU49" s="1">
        <f t="shared" ca="1" si="33"/>
        <v>257</v>
      </c>
      <c r="AV49" s="1">
        <f t="shared" ca="1" si="34"/>
        <v>10</v>
      </c>
      <c r="AW49" s="1">
        <f t="shared" ca="1" si="35"/>
        <v>0.15181705019635355</v>
      </c>
      <c r="AY49" s="1">
        <f t="shared" ca="1" si="36"/>
        <v>1.2233456101366409</v>
      </c>
      <c r="AZ49" s="1">
        <f t="shared" ca="1" si="37"/>
        <v>290</v>
      </c>
      <c r="BA49" s="1">
        <f t="shared" ca="1" si="38"/>
        <v>9.1444212977890658E-3</v>
      </c>
      <c r="BG49" s="1">
        <f t="shared" ca="1" si="39"/>
        <v>0.22592706236521895</v>
      </c>
      <c r="BH49" s="1">
        <f t="shared" ca="1" si="40"/>
        <v>0.85905012741622688</v>
      </c>
      <c r="BI49" s="1">
        <f t="shared" ca="1" si="41"/>
        <v>953</v>
      </c>
      <c r="BV49" s="1">
        <f t="shared" ca="1" si="42"/>
        <v>0.5016687685589275</v>
      </c>
      <c r="BW49" s="1">
        <f t="shared" ca="1" si="43"/>
        <v>224</v>
      </c>
      <c r="BX49" s="1">
        <f t="shared" ca="1" si="44"/>
        <v>5.2732109926719958E-4</v>
      </c>
      <c r="BY49" s="1">
        <f t="shared" ca="1" si="45"/>
        <v>4.8811387681817309E-2</v>
      </c>
      <c r="BZ49" s="1">
        <f t="shared" ca="1" si="46"/>
        <v>0.93737960545102528</v>
      </c>
      <c r="CB49" s="1">
        <f t="shared" ca="1" si="47"/>
        <v>76</v>
      </c>
      <c r="CC49" s="1">
        <f t="shared" ca="1" si="48"/>
        <v>6</v>
      </c>
      <c r="CD49" s="1">
        <f t="shared" ca="1" si="49"/>
        <v>0.20383549973980528</v>
      </c>
      <c r="CE49" s="1">
        <f t="shared" ca="1" si="74"/>
        <v>0.70584918964282406</v>
      </c>
      <c r="CF49" s="1">
        <f t="shared" ca="1" si="74"/>
        <v>0.65586592580675274</v>
      </c>
      <c r="CH49" s="3">
        <f t="shared" ca="1" si="51"/>
        <v>0.78564943501111384</v>
      </c>
      <c r="CI49" s="3">
        <f t="shared" ca="1" si="52"/>
        <v>0.52332232563858694</v>
      </c>
      <c r="CJ49" s="3">
        <f t="shared" ca="1" si="53"/>
        <v>1721</v>
      </c>
      <c r="CK49" s="3">
        <f t="shared" ca="1" si="54"/>
        <v>6.9788115152430918E-3</v>
      </c>
      <c r="CL49" s="3">
        <f t="shared" ca="1" si="55"/>
        <v>1</v>
      </c>
      <c r="CM49" s="3"/>
      <c r="CN49" s="1">
        <f t="shared" ca="1" si="56"/>
        <v>16.209960471792957</v>
      </c>
      <c r="CO49" s="1">
        <f t="shared" ca="1" si="57"/>
        <v>8.1934586105305754E-2</v>
      </c>
      <c r="CP49" s="1">
        <f t="shared" ca="1" si="58"/>
        <v>3</v>
      </c>
      <c r="CV49" s="1">
        <f t="shared" ca="1" si="59"/>
        <v>9.2313999623599496</v>
      </c>
      <c r="CW49" s="1">
        <f t="shared" ca="1" si="60"/>
        <v>1624</v>
      </c>
      <c r="CX49" s="1">
        <f t="shared" ca="1" si="61"/>
        <v>5.9402779970351054E-3</v>
      </c>
      <c r="DH49" s="1">
        <f t="shared" ca="1" si="62"/>
        <v>811</v>
      </c>
      <c r="DI49" s="1">
        <f t="shared" ca="1" si="63"/>
        <v>0.71453467078174882</v>
      </c>
      <c r="DJ49" s="1">
        <f t="shared" ca="1" si="64"/>
        <v>3</v>
      </c>
      <c r="DL49" s="1">
        <f t="shared" ca="1" si="65"/>
        <v>0.13553153430187301</v>
      </c>
      <c r="DM49" s="1">
        <f t="shared" ca="1" si="66"/>
        <v>278</v>
      </c>
      <c r="DN49" s="1">
        <f t="shared" ca="1" si="67"/>
        <v>8</v>
      </c>
      <c r="DW49" s="1">
        <f t="shared" ca="1" si="71"/>
        <v>62</v>
      </c>
      <c r="DX49" s="1">
        <f t="shared" ca="1" si="72"/>
        <v>7</v>
      </c>
      <c r="DY49" s="1">
        <f t="shared" ca="1" si="73"/>
        <v>20</v>
      </c>
    </row>
    <row r="50" spans="2:129" x14ac:dyDescent="0.25">
      <c r="B50">
        <f t="shared" ca="1" si="0"/>
        <v>926</v>
      </c>
      <c r="C50">
        <f t="shared" ca="1" si="1"/>
        <v>16</v>
      </c>
      <c r="D50">
        <f t="shared" ca="1" si="2"/>
        <v>0.28391226626447125</v>
      </c>
      <c r="F50" s="1">
        <f t="shared" ca="1" si="3"/>
        <v>13</v>
      </c>
      <c r="G50" s="1">
        <f t="shared" ca="1" si="4"/>
        <v>28</v>
      </c>
      <c r="H50" s="1">
        <f t="shared" ca="1" si="5"/>
        <v>10</v>
      </c>
      <c r="I50" s="1"/>
      <c r="J50" s="1">
        <f t="shared" ca="1" si="6"/>
        <v>6</v>
      </c>
      <c r="K50" s="1">
        <f t="shared" ca="1" si="7"/>
        <v>1.8735126960678519</v>
      </c>
      <c r="L50" s="1">
        <f t="shared" ca="1" si="8"/>
        <v>17</v>
      </c>
      <c r="M50" s="1"/>
      <c r="N50" s="1">
        <f t="shared" ca="1" si="9"/>
        <v>424</v>
      </c>
      <c r="O50" s="1">
        <f t="shared" ca="1" si="10"/>
        <v>38</v>
      </c>
      <c r="P50" s="1"/>
      <c r="Q50" s="1">
        <f t="shared" ca="1" si="11"/>
        <v>3.3562604430919256</v>
      </c>
      <c r="R50" s="1">
        <f t="shared" ca="1" si="12"/>
        <v>953</v>
      </c>
      <c r="S50" s="1"/>
      <c r="T50" s="1">
        <f t="shared" ca="1" si="13"/>
        <v>0.17867018432544121</v>
      </c>
      <c r="U50" s="1">
        <f t="shared" ca="1" si="14"/>
        <v>194</v>
      </c>
      <c r="V50" s="1">
        <f t="shared" ca="1" si="15"/>
        <v>41</v>
      </c>
      <c r="W50" s="1"/>
      <c r="X50" s="1">
        <f t="shared" ca="1" si="16"/>
        <v>4.3522114733175128</v>
      </c>
      <c r="Y50" s="1">
        <f t="shared" ca="1" si="17"/>
        <v>9.3464027989202239E-2</v>
      </c>
      <c r="Z50" s="1">
        <f t="shared" ca="1" si="18"/>
        <v>1664</v>
      </c>
      <c r="AB50" s="1">
        <f t="shared" ca="1" si="19"/>
        <v>0.2206412593321474</v>
      </c>
      <c r="AC50" s="1">
        <f t="shared" ca="1" si="20"/>
        <v>712</v>
      </c>
      <c r="AD50" s="1">
        <f t="shared" ca="1" si="21"/>
        <v>2.5357049732030079E-3</v>
      </c>
      <c r="AE50" s="1"/>
      <c r="AF50" s="1">
        <f t="shared" ca="1" si="22"/>
        <v>0.71787052739016433</v>
      </c>
      <c r="AG50" s="1">
        <f t="shared" ca="1" si="23"/>
        <v>656</v>
      </c>
      <c r="AH50" s="1">
        <f t="shared" ca="1" si="24"/>
        <v>1.4909858778316765E-3</v>
      </c>
      <c r="AJ50" s="1">
        <f t="shared" ca="1" si="25"/>
        <v>0.40918087499781297</v>
      </c>
      <c r="AK50" s="1">
        <f t="shared" ca="1" si="26"/>
        <v>2.286615223763435E-3</v>
      </c>
      <c r="AL50" s="1"/>
      <c r="AM50" s="1">
        <f t="shared" ca="1" si="27"/>
        <v>0.14428003809949047</v>
      </c>
      <c r="AN50" s="1">
        <f t="shared" ca="1" si="28"/>
        <v>67</v>
      </c>
      <c r="AO50" s="1">
        <f t="shared" ca="1" si="29"/>
        <v>4</v>
      </c>
      <c r="AQ50" s="1">
        <f t="shared" ca="1" si="30"/>
        <v>43</v>
      </c>
      <c r="AR50" s="1">
        <f t="shared" ca="1" si="31"/>
        <v>8</v>
      </c>
      <c r="AS50" s="1">
        <f t="shared" ca="1" si="32"/>
        <v>63</v>
      </c>
      <c r="AU50" s="1">
        <f t="shared" ca="1" si="33"/>
        <v>255</v>
      </c>
      <c r="AV50" s="1">
        <f t="shared" ca="1" si="34"/>
        <v>8</v>
      </c>
      <c r="AW50" s="1">
        <f t="shared" ca="1" si="35"/>
        <v>1.6207211332068334E-2</v>
      </c>
      <c r="AY50" s="1">
        <f t="shared" ca="1" si="36"/>
        <v>1.8681816122153172</v>
      </c>
      <c r="AZ50" s="1">
        <f t="shared" ca="1" si="37"/>
        <v>204</v>
      </c>
      <c r="BA50" s="1">
        <f t="shared" ca="1" si="38"/>
        <v>9.9931310992407932E-3</v>
      </c>
      <c r="BG50" s="1">
        <f t="shared" ca="1" si="39"/>
        <v>0.40235208175873799</v>
      </c>
      <c r="BH50" s="1">
        <f t="shared" ca="1" si="40"/>
        <v>0.16961625869735453</v>
      </c>
      <c r="BI50" s="1">
        <f t="shared" ca="1" si="41"/>
        <v>372</v>
      </c>
      <c r="BV50" s="1">
        <f t="shared" ca="1" si="42"/>
        <v>0.21431000380437804</v>
      </c>
      <c r="BW50" s="1">
        <f t="shared" ca="1" si="43"/>
        <v>408</v>
      </c>
      <c r="BX50" s="1">
        <f t="shared" ca="1" si="44"/>
        <v>1.2060022543040779E-3</v>
      </c>
      <c r="BY50" s="1">
        <f t="shared" ca="1" si="45"/>
        <v>7.0289285625009121E-2</v>
      </c>
      <c r="BZ50" s="1">
        <f t="shared" ca="1" si="46"/>
        <v>0.68390607801285297</v>
      </c>
      <c r="CB50" s="1">
        <f t="shared" ca="1" si="47"/>
        <v>96</v>
      </c>
      <c r="CC50" s="1">
        <f t="shared" ca="1" si="48"/>
        <v>8</v>
      </c>
      <c r="CD50" s="1">
        <f t="shared" ca="1" si="49"/>
        <v>0.20824341886130493</v>
      </c>
      <c r="CE50" s="1">
        <f t="shared" ca="1" si="74"/>
        <v>0.69725281479002843</v>
      </c>
      <c r="CF50" s="1">
        <f t="shared" ca="1" si="74"/>
        <v>0.95555203164631974</v>
      </c>
      <c r="CH50" s="3">
        <f t="shared" ca="1" si="51"/>
        <v>0.584326013038453</v>
      </c>
      <c r="CI50" s="3">
        <f t="shared" ca="1" si="52"/>
        <v>0.23442444177533134</v>
      </c>
      <c r="CJ50" s="3">
        <f t="shared" ca="1" si="53"/>
        <v>180</v>
      </c>
      <c r="CK50" s="3">
        <f t="shared" ca="1" si="54"/>
        <v>9.6990078108921077E-4</v>
      </c>
      <c r="CL50" s="3">
        <f t="shared" ca="1" si="55"/>
        <v>0</v>
      </c>
      <c r="CM50" s="3"/>
      <c r="CN50" s="1">
        <f t="shared" ca="1" si="56"/>
        <v>3.3281402181985515</v>
      </c>
      <c r="CO50" s="1">
        <f t="shared" ca="1" si="57"/>
        <v>0.2697182505697126</v>
      </c>
      <c r="CP50" s="1">
        <f t="shared" ca="1" si="58"/>
        <v>5</v>
      </c>
      <c r="CV50" s="1">
        <f t="shared" ca="1" si="59"/>
        <v>7.1749632612346304</v>
      </c>
      <c r="CW50" s="1">
        <f t="shared" ca="1" si="60"/>
        <v>1937</v>
      </c>
      <c r="CX50" s="1">
        <f t="shared" ca="1" si="61"/>
        <v>4.7366971988247611E-3</v>
      </c>
      <c r="DH50" s="1">
        <f t="shared" ca="1" si="62"/>
        <v>820</v>
      </c>
      <c r="DI50" s="1">
        <f t="shared" ca="1" si="63"/>
        <v>0.44064347953335958</v>
      </c>
      <c r="DJ50" s="1">
        <f t="shared" ca="1" si="64"/>
        <v>7</v>
      </c>
      <c r="DL50" s="1">
        <f t="shared" ca="1" si="65"/>
        <v>9.2483691518638611E-2</v>
      </c>
      <c r="DM50" s="1">
        <f t="shared" ca="1" si="66"/>
        <v>194</v>
      </c>
      <c r="DN50" s="1">
        <f t="shared" ca="1" si="67"/>
        <v>3</v>
      </c>
      <c r="DW50" s="1">
        <f t="shared" ca="1" si="71"/>
        <v>371</v>
      </c>
      <c r="DX50" s="1">
        <f t="shared" ca="1" si="72"/>
        <v>5</v>
      </c>
      <c r="DY50" s="1">
        <f t="shared" ca="1" si="73"/>
        <v>10</v>
      </c>
    </row>
    <row r="51" spans="2:129" x14ac:dyDescent="0.25">
      <c r="B51">
        <f t="shared" ca="1" si="0"/>
        <v>651</v>
      </c>
      <c r="C51">
        <f t="shared" ca="1" si="1"/>
        <v>35</v>
      </c>
      <c r="D51">
        <f t="shared" ca="1" si="2"/>
        <v>5.3356221108503944E-2</v>
      </c>
      <c r="F51" s="1">
        <f t="shared" ca="1" si="3"/>
        <v>9</v>
      </c>
      <c r="G51" s="1">
        <f t="shared" ca="1" si="4"/>
        <v>5</v>
      </c>
      <c r="H51" s="1">
        <f t="shared" ca="1" si="5"/>
        <v>12</v>
      </c>
      <c r="I51" s="1"/>
      <c r="J51" s="1">
        <f t="shared" ca="1" si="6"/>
        <v>1</v>
      </c>
      <c r="K51" s="1">
        <f t="shared" ca="1" si="7"/>
        <v>2.1850073828441685</v>
      </c>
      <c r="L51" s="1">
        <f t="shared" ca="1" si="8"/>
        <v>11</v>
      </c>
      <c r="M51" s="1"/>
      <c r="N51" s="1">
        <f t="shared" ca="1" si="9"/>
        <v>699</v>
      </c>
      <c r="O51" s="1">
        <f t="shared" ca="1" si="10"/>
        <v>17</v>
      </c>
      <c r="P51" s="1"/>
      <c r="Q51" s="1">
        <f t="shared" ca="1" si="11"/>
        <v>1.0956890293187824</v>
      </c>
      <c r="R51" s="1">
        <f t="shared" ca="1" si="12"/>
        <v>771</v>
      </c>
      <c r="S51" s="1"/>
      <c r="T51" s="1">
        <f t="shared" ca="1" si="13"/>
        <v>0.136229108019357</v>
      </c>
      <c r="U51" s="1">
        <f t="shared" ca="1" si="14"/>
        <v>350</v>
      </c>
      <c r="V51" s="1">
        <f t="shared" ca="1" si="15"/>
        <v>15</v>
      </c>
      <c r="W51" s="1"/>
      <c r="X51" s="1">
        <f t="shared" ca="1" si="16"/>
        <v>8.2294617734426883</v>
      </c>
      <c r="Y51" s="1">
        <f t="shared" ca="1" si="17"/>
        <v>0.69499434851774478</v>
      </c>
      <c r="Z51" s="1">
        <f t="shared" ca="1" si="18"/>
        <v>636</v>
      </c>
      <c r="AB51" s="1">
        <f t="shared" ca="1" si="19"/>
        <v>0.42663996400779663</v>
      </c>
      <c r="AC51" s="1">
        <f t="shared" ca="1" si="20"/>
        <v>692</v>
      </c>
      <c r="AD51" s="1">
        <f t="shared" ca="1" si="21"/>
        <v>7.4167915843279062E-4</v>
      </c>
      <c r="AE51" s="1"/>
      <c r="AF51" s="1">
        <f t="shared" ca="1" si="22"/>
        <v>0.67283218192860894</v>
      </c>
      <c r="AG51" s="1">
        <f t="shared" ca="1" si="23"/>
        <v>939</v>
      </c>
      <c r="AH51" s="1">
        <f t="shared" ca="1" si="24"/>
        <v>4.380107027268297E-4</v>
      </c>
      <c r="AJ51" s="1">
        <f t="shared" ca="1" si="25"/>
        <v>8.3736395270731401E-2</v>
      </c>
      <c r="AK51" s="1">
        <f t="shared" ca="1" si="26"/>
        <v>2.6480684455859474E-3</v>
      </c>
      <c r="AL51" s="1"/>
      <c r="AM51" s="1">
        <f t="shared" ca="1" si="27"/>
        <v>0.15657858202284866</v>
      </c>
      <c r="AN51" s="1">
        <f t="shared" ca="1" si="28"/>
        <v>78</v>
      </c>
      <c r="AO51" s="1">
        <f t="shared" ca="1" si="29"/>
        <v>2</v>
      </c>
      <c r="AQ51" s="1">
        <f t="shared" ca="1" si="30"/>
        <v>178</v>
      </c>
      <c r="AR51" s="1">
        <f t="shared" ca="1" si="31"/>
        <v>0</v>
      </c>
      <c r="AS51" s="1">
        <f t="shared" ca="1" si="32"/>
        <v>41</v>
      </c>
      <c r="AU51" s="1">
        <f t="shared" ca="1" si="33"/>
        <v>133</v>
      </c>
      <c r="AV51" s="1">
        <f t="shared" ca="1" si="34"/>
        <v>5</v>
      </c>
      <c r="AW51" s="1">
        <f t="shared" ca="1" si="35"/>
        <v>0.10153903247975653</v>
      </c>
      <c r="AY51" s="1">
        <f t="shared" ca="1" si="36"/>
        <v>1.3310812762418267</v>
      </c>
      <c r="AZ51" s="1">
        <f t="shared" ca="1" si="37"/>
        <v>243</v>
      </c>
      <c r="BA51" s="1">
        <f t="shared" ca="1" si="38"/>
        <v>3.9367055878471646E-3</v>
      </c>
      <c r="BG51" s="1">
        <f t="shared" ca="1" si="39"/>
        <v>0.60184046003227532</v>
      </c>
      <c r="BH51" s="1">
        <f t="shared" ca="1" si="40"/>
        <v>0.27964561453680403</v>
      </c>
      <c r="BI51" s="1">
        <f t="shared" ca="1" si="41"/>
        <v>601</v>
      </c>
      <c r="BV51" s="1">
        <f t="shared" ca="1" si="42"/>
        <v>0.53833148355996507</v>
      </c>
      <c r="BW51" s="1">
        <f t="shared" ca="1" si="43"/>
        <v>111</v>
      </c>
      <c r="BX51" s="1">
        <f t="shared" ca="1" si="44"/>
        <v>8.166423878858884E-3</v>
      </c>
      <c r="BY51" s="1">
        <f t="shared" ca="1" si="45"/>
        <v>1.4707716111162093E-2</v>
      </c>
      <c r="BZ51" s="1">
        <f t="shared" ca="1" si="46"/>
        <v>0.59385619345508578</v>
      </c>
      <c r="CB51" s="1">
        <f t="shared" ca="1" si="47"/>
        <v>244</v>
      </c>
      <c r="CC51" s="1">
        <f t="shared" ca="1" si="48"/>
        <v>8</v>
      </c>
      <c r="CD51" s="1">
        <f t="shared" ca="1" si="49"/>
        <v>1.2663989769017727E-2</v>
      </c>
      <c r="CE51" s="1">
        <f t="shared" ca="1" si="74"/>
        <v>0.73764721405600264</v>
      </c>
      <c r="CF51" s="1">
        <f t="shared" ca="1" si="74"/>
        <v>0.52043149509556785</v>
      </c>
      <c r="CH51" s="3">
        <f t="shared" ca="1" si="51"/>
        <v>0.57695602576689398</v>
      </c>
      <c r="CI51" s="3">
        <f t="shared" ca="1" si="52"/>
        <v>9.3226080735668237E-2</v>
      </c>
      <c r="CJ51" s="3">
        <f t="shared" ca="1" si="53"/>
        <v>1533</v>
      </c>
      <c r="CK51" s="3">
        <f t="shared" ca="1" si="54"/>
        <v>3.5375592199938795E-3</v>
      </c>
      <c r="CL51" s="3">
        <f t="shared" ca="1" si="55"/>
        <v>0</v>
      </c>
      <c r="CM51" s="3"/>
      <c r="CN51" s="1">
        <f t="shared" ca="1" si="56"/>
        <v>13.39107154560703</v>
      </c>
      <c r="CO51" s="1">
        <f t="shared" ca="1" si="57"/>
        <v>0.25206093490532605</v>
      </c>
      <c r="CP51" s="1">
        <f t="shared" ca="1" si="58"/>
        <v>5</v>
      </c>
      <c r="CV51" s="1">
        <f t="shared" ca="1" si="59"/>
        <v>8.9684634523322551</v>
      </c>
      <c r="CW51" s="1">
        <f t="shared" ca="1" si="60"/>
        <v>888</v>
      </c>
      <c r="CX51" s="1">
        <f t="shared" ca="1" si="61"/>
        <v>9.5212560688551252E-3</v>
      </c>
      <c r="DH51" s="1">
        <f t="shared" ca="1" si="62"/>
        <v>574</v>
      </c>
      <c r="DI51" s="1">
        <f t="shared" ca="1" si="63"/>
        <v>0.95505513477361392</v>
      </c>
      <c r="DJ51" s="1">
        <f t="shared" ca="1" si="64"/>
        <v>15</v>
      </c>
      <c r="DL51" s="1">
        <f t="shared" ca="1" si="65"/>
        <v>9.3875635176812272E-2</v>
      </c>
      <c r="DM51" s="1">
        <f t="shared" ca="1" si="66"/>
        <v>183</v>
      </c>
      <c r="DN51" s="1">
        <f t="shared" ca="1" si="67"/>
        <v>1</v>
      </c>
      <c r="DW51" s="1">
        <f t="shared" ca="1" si="71"/>
        <v>219</v>
      </c>
      <c r="DX51" s="1">
        <f t="shared" ca="1" si="72"/>
        <v>7</v>
      </c>
      <c r="DY51" s="1">
        <f t="shared" ca="1" si="73"/>
        <v>15</v>
      </c>
    </row>
    <row r="52" spans="2:129" x14ac:dyDescent="0.25">
      <c r="B52">
        <f t="shared" ca="1" si="0"/>
        <v>93</v>
      </c>
      <c r="C52">
        <f t="shared" ca="1" si="1"/>
        <v>38</v>
      </c>
      <c r="D52">
        <f t="shared" ca="1" si="2"/>
        <v>0.24964494905495771</v>
      </c>
      <c r="F52" s="1">
        <f t="shared" ca="1" si="3"/>
        <v>17</v>
      </c>
      <c r="G52" s="1">
        <f t="shared" ca="1" si="4"/>
        <v>11</v>
      </c>
      <c r="H52" s="1">
        <f t="shared" ca="1" si="5"/>
        <v>8</v>
      </c>
      <c r="I52" s="1"/>
      <c r="J52" s="1">
        <f t="shared" ca="1" si="6"/>
        <v>18</v>
      </c>
      <c r="K52" s="1">
        <f t="shared" ca="1" si="7"/>
        <v>1.2653944849307086</v>
      </c>
      <c r="L52" s="1">
        <f t="shared" ca="1" si="8"/>
        <v>35</v>
      </c>
      <c r="M52" s="1"/>
      <c r="N52" s="1">
        <f t="shared" ca="1" si="9"/>
        <v>537</v>
      </c>
      <c r="O52" s="1">
        <f t="shared" ca="1" si="10"/>
        <v>49</v>
      </c>
      <c r="P52" s="1"/>
      <c r="Q52" s="1">
        <f t="shared" ca="1" si="11"/>
        <v>3.7828042623290044</v>
      </c>
      <c r="R52" s="1">
        <f t="shared" ca="1" si="12"/>
        <v>730</v>
      </c>
      <c r="S52" s="1"/>
      <c r="T52" s="1">
        <f t="shared" ca="1" si="13"/>
        <v>4.3819619117660656E-2</v>
      </c>
      <c r="U52" s="1">
        <f t="shared" ca="1" si="14"/>
        <v>164</v>
      </c>
      <c r="V52" s="1">
        <f t="shared" ca="1" si="15"/>
        <v>6</v>
      </c>
      <c r="W52" s="1"/>
      <c r="X52" s="1">
        <f t="shared" ca="1" si="16"/>
        <v>8.0994133201082601</v>
      </c>
      <c r="Y52" s="1">
        <f t="shared" ca="1" si="17"/>
        <v>0.66151880197061708</v>
      </c>
      <c r="Z52" s="1">
        <f t="shared" ca="1" si="18"/>
        <v>1452</v>
      </c>
      <c r="AB52" s="1">
        <f t="shared" ca="1" si="19"/>
        <v>0.22197761118266846</v>
      </c>
      <c r="AC52" s="1">
        <f t="shared" ca="1" si="20"/>
        <v>617</v>
      </c>
      <c r="AD52" s="1">
        <f t="shared" ca="1" si="21"/>
        <v>4.3443618923164019E-3</v>
      </c>
      <c r="AE52" s="1"/>
      <c r="AF52" s="1">
        <f t="shared" ca="1" si="22"/>
        <v>0.53232718468513363</v>
      </c>
      <c r="AG52" s="1">
        <f t="shared" ca="1" si="23"/>
        <v>202</v>
      </c>
      <c r="AH52" s="1">
        <f t="shared" ca="1" si="24"/>
        <v>2.5491310929793738E-3</v>
      </c>
      <c r="AJ52" s="1">
        <f t="shared" ca="1" si="25"/>
        <v>1.8843852606348355E-3</v>
      </c>
      <c r="AK52" s="1">
        <f t="shared" ca="1" si="26"/>
        <v>6.5514964443353701E-3</v>
      </c>
      <c r="AL52" s="1"/>
      <c r="AM52" s="1">
        <f t="shared" ca="1" si="27"/>
        <v>0.18643844917862215</v>
      </c>
      <c r="AN52" s="1">
        <f t="shared" ca="1" si="28"/>
        <v>49</v>
      </c>
      <c r="AO52" s="1">
        <f t="shared" ca="1" si="29"/>
        <v>19</v>
      </c>
      <c r="AQ52" s="1">
        <f t="shared" ca="1" si="30"/>
        <v>48</v>
      </c>
      <c r="AR52" s="1">
        <f t="shared" ca="1" si="31"/>
        <v>10</v>
      </c>
      <c r="AS52" s="1">
        <f t="shared" ca="1" si="32"/>
        <v>63</v>
      </c>
      <c r="AU52" s="1">
        <f t="shared" ca="1" si="33"/>
        <v>249</v>
      </c>
      <c r="AV52" s="1">
        <f t="shared" ca="1" si="34"/>
        <v>7</v>
      </c>
      <c r="AW52" s="1">
        <f t="shared" ca="1" si="35"/>
        <v>3.7535700340742453E-2</v>
      </c>
      <c r="AY52" s="1">
        <f t="shared" ca="1" si="36"/>
        <v>1.2924625614188208</v>
      </c>
      <c r="AZ52" s="1">
        <f t="shared" ca="1" si="37"/>
        <v>337</v>
      </c>
      <c r="BA52" s="1">
        <f t="shared" ca="1" si="38"/>
        <v>6.6856670870324092E-3</v>
      </c>
      <c r="BG52" s="1">
        <f t="shared" ca="1" si="39"/>
        <v>0.12865200103902671</v>
      </c>
      <c r="BH52" s="1">
        <f t="shared" ca="1" si="40"/>
        <v>0.27251471042629327</v>
      </c>
      <c r="BI52" s="1">
        <f t="shared" ca="1" si="41"/>
        <v>531</v>
      </c>
      <c r="BV52" s="1">
        <f t="shared" ca="1" si="42"/>
        <v>0.42691037635493839</v>
      </c>
      <c r="BW52" s="1">
        <f t="shared" ca="1" si="43"/>
        <v>796</v>
      </c>
      <c r="BX52" s="1">
        <f t="shared" ca="1" si="44"/>
        <v>5.0623545561094621E-3</v>
      </c>
      <c r="BY52" s="1">
        <f t="shared" ca="1" si="45"/>
        <v>3.3004170615787809E-2</v>
      </c>
      <c r="BZ52" s="1">
        <f t="shared" ca="1" si="46"/>
        <v>0.97114725118919187</v>
      </c>
      <c r="CB52" s="1">
        <f t="shared" ca="1" si="47"/>
        <v>215</v>
      </c>
      <c r="CC52" s="1">
        <f t="shared" ca="1" si="48"/>
        <v>4</v>
      </c>
      <c r="CD52" s="1">
        <f t="shared" ca="1" si="49"/>
        <v>5.978348652975117E-2</v>
      </c>
      <c r="CE52" s="1">
        <f t="shared" ca="1" si="74"/>
        <v>0.70185305909586115</v>
      </c>
      <c r="CF52" s="1">
        <f t="shared" ca="1" si="74"/>
        <v>0.74646388276649089</v>
      </c>
      <c r="CH52" s="3">
        <f t="shared" ca="1" si="51"/>
        <v>0.32996159332520814</v>
      </c>
      <c r="CI52" s="3">
        <f t="shared" ca="1" si="52"/>
        <v>0.8745725803336325</v>
      </c>
      <c r="CJ52" s="3">
        <f t="shared" ca="1" si="53"/>
        <v>1298</v>
      </c>
      <c r="CK52" s="3">
        <f t="shared" ca="1" si="54"/>
        <v>5.1981137584731921E-3</v>
      </c>
      <c r="CL52" s="3">
        <f t="shared" ca="1" si="55"/>
        <v>1</v>
      </c>
      <c r="CM52" s="3"/>
      <c r="CN52" s="1">
        <f t="shared" ca="1" si="56"/>
        <v>14.2600165105661</v>
      </c>
      <c r="CO52" s="1">
        <f t="shared" ca="1" si="57"/>
        <v>0.2930543027814651</v>
      </c>
      <c r="CP52" s="1">
        <f t="shared" ca="1" si="58"/>
        <v>4</v>
      </c>
      <c r="CV52" s="1">
        <f t="shared" ca="1" si="59"/>
        <v>3.2700378558277641</v>
      </c>
      <c r="CW52" s="1">
        <f t="shared" ca="1" si="60"/>
        <v>1233</v>
      </c>
      <c r="CX52" s="1">
        <f t="shared" ca="1" si="61"/>
        <v>3.4862056416645449E-3</v>
      </c>
      <c r="DH52" s="1">
        <f t="shared" ca="1" si="62"/>
        <v>508</v>
      </c>
      <c r="DI52" s="1">
        <f t="shared" ca="1" si="63"/>
        <v>0.71695654370090345</v>
      </c>
      <c r="DJ52" s="1">
        <f t="shared" ca="1" si="64"/>
        <v>29</v>
      </c>
      <c r="DL52" s="1">
        <f t="shared" ca="1" si="65"/>
        <v>0.15094731004877904</v>
      </c>
      <c r="DM52" s="1">
        <f t="shared" ca="1" si="66"/>
        <v>217</v>
      </c>
      <c r="DN52" s="1">
        <f t="shared" ca="1" si="67"/>
        <v>6</v>
      </c>
      <c r="DW52" s="1">
        <f t="shared" ca="1" si="71"/>
        <v>402</v>
      </c>
      <c r="DX52" s="1">
        <f t="shared" ca="1" si="72"/>
        <v>10</v>
      </c>
      <c r="DY52" s="1">
        <f t="shared" ca="1" si="73"/>
        <v>9</v>
      </c>
    </row>
    <row r="53" spans="2:129" x14ac:dyDescent="0.25">
      <c r="B53">
        <f t="shared" ca="1" si="0"/>
        <v>915</v>
      </c>
      <c r="C53">
        <f t="shared" ca="1" si="1"/>
        <v>43</v>
      </c>
      <c r="D53">
        <f t="shared" ca="1" si="2"/>
        <v>0.12768600093418045</v>
      </c>
      <c r="F53" s="1">
        <f t="shared" ca="1" si="3"/>
        <v>43</v>
      </c>
      <c r="G53" s="1">
        <f t="shared" ca="1" si="4"/>
        <v>17</v>
      </c>
      <c r="H53" s="1">
        <f t="shared" ca="1" si="5"/>
        <v>1</v>
      </c>
      <c r="I53" s="1"/>
      <c r="J53" s="1">
        <f t="shared" ca="1" si="6"/>
        <v>24</v>
      </c>
      <c r="K53" s="1">
        <f t="shared" ca="1" si="7"/>
        <v>1.4906309378690699</v>
      </c>
      <c r="L53" s="1">
        <f t="shared" ca="1" si="8"/>
        <v>17</v>
      </c>
      <c r="M53" s="1"/>
      <c r="N53" s="1">
        <f t="shared" ca="1" si="9"/>
        <v>215</v>
      </c>
      <c r="O53" s="1">
        <f t="shared" ca="1" si="10"/>
        <v>29</v>
      </c>
      <c r="P53" s="1"/>
      <c r="Q53" s="1">
        <f t="shared" ca="1" si="11"/>
        <v>1.8105212470195466</v>
      </c>
      <c r="R53" s="1">
        <f t="shared" ca="1" si="12"/>
        <v>838</v>
      </c>
      <c r="S53" s="1"/>
      <c r="T53" s="1">
        <f t="shared" ca="1" si="13"/>
        <v>6.2910346477707588E-2</v>
      </c>
      <c r="U53" s="1">
        <f t="shared" ca="1" si="14"/>
        <v>154</v>
      </c>
      <c r="V53" s="1">
        <f t="shared" ca="1" si="15"/>
        <v>17</v>
      </c>
      <c r="W53" s="1"/>
      <c r="X53" s="1">
        <f t="shared" ca="1" si="16"/>
        <v>8.1018134810047915</v>
      </c>
      <c r="Y53" s="1">
        <f t="shared" ca="1" si="17"/>
        <v>0.75615426055903012</v>
      </c>
      <c r="Z53" s="1">
        <f t="shared" ca="1" si="18"/>
        <v>1850</v>
      </c>
      <c r="AB53" s="1">
        <f t="shared" ca="1" si="19"/>
        <v>0.88705787832665883</v>
      </c>
      <c r="AC53" s="1">
        <f t="shared" ca="1" si="20"/>
        <v>535</v>
      </c>
      <c r="AD53" s="1">
        <f t="shared" ca="1" si="21"/>
        <v>1.4811762654785882E-3</v>
      </c>
      <c r="AE53" s="1"/>
      <c r="AF53" s="1">
        <f t="shared" ca="1" si="22"/>
        <v>0.16151464436905139</v>
      </c>
      <c r="AG53" s="1">
        <f t="shared" ca="1" si="23"/>
        <v>768</v>
      </c>
      <c r="AH53" s="1">
        <f t="shared" ca="1" si="24"/>
        <v>5.7835655743993979E-3</v>
      </c>
      <c r="AJ53" s="1">
        <f t="shared" ca="1" si="25"/>
        <v>0.66317840620462087</v>
      </c>
      <c r="AK53" s="1">
        <f t="shared" ca="1" si="26"/>
        <v>8.9144046636668358E-3</v>
      </c>
      <c r="AL53" s="1"/>
      <c r="AM53" s="1">
        <f t="shared" ca="1" si="27"/>
        <v>1.9876600016756538E-2</v>
      </c>
      <c r="AN53" s="1">
        <f t="shared" ca="1" si="28"/>
        <v>48</v>
      </c>
      <c r="AO53" s="1">
        <f t="shared" ca="1" si="29"/>
        <v>12</v>
      </c>
      <c r="AQ53" s="1">
        <f t="shared" ca="1" si="30"/>
        <v>42</v>
      </c>
      <c r="AR53" s="1">
        <f t="shared" ca="1" si="31"/>
        <v>8</v>
      </c>
      <c r="AS53" s="1">
        <f t="shared" ca="1" si="32"/>
        <v>21</v>
      </c>
      <c r="AU53" s="1">
        <f t="shared" ca="1" si="33"/>
        <v>386</v>
      </c>
      <c r="AV53" s="1">
        <f t="shared" ca="1" si="34"/>
        <v>5</v>
      </c>
      <c r="AW53" s="1">
        <f t="shared" ca="1" si="35"/>
        <v>0.18673314251286782</v>
      </c>
      <c r="AY53" s="1">
        <f t="shared" ca="1" si="36"/>
        <v>1.7536931903562107</v>
      </c>
      <c r="AZ53" s="1">
        <f t="shared" ca="1" si="37"/>
        <v>315</v>
      </c>
      <c r="BA53" s="1">
        <f t="shared" ca="1" si="38"/>
        <v>8.4548267933358609E-3</v>
      </c>
      <c r="BG53" s="1">
        <f t="shared" ca="1" si="39"/>
        <v>0.83162869719874444</v>
      </c>
      <c r="BH53" s="1">
        <f t="shared" ca="1" si="40"/>
        <v>0.89388120741235755</v>
      </c>
      <c r="BI53" s="1">
        <f t="shared" ca="1" si="41"/>
        <v>860</v>
      </c>
      <c r="BV53" s="1">
        <f t="shared" ca="1" si="42"/>
        <v>0.64995455877063246</v>
      </c>
      <c r="BW53" s="1">
        <f t="shared" ca="1" si="43"/>
        <v>363</v>
      </c>
      <c r="BX53" s="1">
        <f t="shared" ca="1" si="44"/>
        <v>1.77858734686755E-3</v>
      </c>
      <c r="BY53" s="1">
        <f t="shared" ca="1" si="45"/>
        <v>9.3407177060024618E-2</v>
      </c>
      <c r="BZ53" s="1">
        <f t="shared" ca="1" si="46"/>
        <v>0.18340145993484613</v>
      </c>
      <c r="CB53" s="1">
        <f t="shared" ca="1" si="47"/>
        <v>347</v>
      </c>
      <c r="CC53" s="1">
        <f t="shared" ca="1" si="48"/>
        <v>10</v>
      </c>
      <c r="CD53" s="1">
        <f t="shared" ca="1" si="49"/>
        <v>0.23090635144135152</v>
      </c>
      <c r="CE53" s="1">
        <f t="shared" ca="1" si="74"/>
        <v>0.80999855397880061</v>
      </c>
      <c r="CF53" s="1">
        <f t="shared" ca="1" si="74"/>
        <v>0.60765473060024666</v>
      </c>
      <c r="CH53" s="3">
        <f t="shared" ca="1" si="51"/>
        <v>0.17492383532844222</v>
      </c>
      <c r="CI53" s="3">
        <f t="shared" ca="1" si="52"/>
        <v>0.60995479245465478</v>
      </c>
      <c r="CJ53" s="3">
        <f t="shared" ca="1" si="53"/>
        <v>1132</v>
      </c>
      <c r="CK53" s="3">
        <f t="shared" ca="1" si="54"/>
        <v>4.7679299721330752E-3</v>
      </c>
      <c r="CL53" s="3">
        <f t="shared" ca="1" si="55"/>
        <v>0</v>
      </c>
      <c r="CM53" s="3"/>
      <c r="CN53" s="1">
        <f t="shared" ca="1" si="56"/>
        <v>6.3225642161747251</v>
      </c>
      <c r="CO53" s="1">
        <f t="shared" ca="1" si="57"/>
        <v>0.38462494389272522</v>
      </c>
      <c r="CP53" s="1">
        <f t="shared" ca="1" si="58"/>
        <v>2</v>
      </c>
      <c r="CV53" s="1">
        <f t="shared" ca="1" si="59"/>
        <v>6.0665989773488311</v>
      </c>
      <c r="CW53" s="1">
        <f t="shared" ca="1" si="60"/>
        <v>777</v>
      </c>
      <c r="CX53" s="1">
        <f t="shared" ca="1" si="61"/>
        <v>8.9547549435250041E-4</v>
      </c>
      <c r="DH53" s="1">
        <f t="shared" ca="1" si="62"/>
        <v>821</v>
      </c>
      <c r="DI53" s="1">
        <f t="shared" ca="1" si="63"/>
        <v>0.18175062888089308</v>
      </c>
      <c r="DJ53" s="1">
        <f t="shared" ca="1" si="64"/>
        <v>6</v>
      </c>
      <c r="DL53" s="1">
        <f t="shared" ca="1" si="65"/>
        <v>3.8700962714700811E-2</v>
      </c>
      <c r="DM53" s="1">
        <f t="shared" ca="1" si="66"/>
        <v>90</v>
      </c>
      <c r="DN53" s="1">
        <f t="shared" ca="1" si="67"/>
        <v>1</v>
      </c>
      <c r="DW53" s="1">
        <f t="shared" ca="1" si="71"/>
        <v>113</v>
      </c>
      <c r="DX53" s="1">
        <f t="shared" ca="1" si="72"/>
        <v>8</v>
      </c>
      <c r="DY53" s="1">
        <f t="shared" ca="1" si="73"/>
        <v>9</v>
      </c>
    </row>
    <row r="54" spans="2:129" x14ac:dyDescent="0.25">
      <c r="B54">
        <f t="shared" ca="1" si="0"/>
        <v>185</v>
      </c>
      <c r="C54">
        <f t="shared" ca="1" si="1"/>
        <v>32</v>
      </c>
      <c r="D54">
        <f t="shared" ca="1" si="2"/>
        <v>0.10133863337824675</v>
      </c>
      <c r="F54" s="1">
        <f t="shared" ca="1" si="3"/>
        <v>3</v>
      </c>
      <c r="G54" s="1">
        <f t="shared" ca="1" si="4"/>
        <v>19</v>
      </c>
      <c r="H54" s="1">
        <f t="shared" ca="1" si="5"/>
        <v>1</v>
      </c>
      <c r="I54" s="1"/>
      <c r="J54" s="1">
        <f t="shared" ca="1" si="6"/>
        <v>15</v>
      </c>
      <c r="K54" s="1">
        <f t="shared" ca="1" si="7"/>
        <v>1.0478623597758798</v>
      </c>
      <c r="L54" s="1">
        <f t="shared" ca="1" si="8"/>
        <v>4</v>
      </c>
      <c r="M54" s="1"/>
      <c r="N54" s="1">
        <f t="shared" ca="1" si="9"/>
        <v>50</v>
      </c>
      <c r="O54" s="1">
        <f t="shared" ca="1" si="10"/>
        <v>3</v>
      </c>
      <c r="P54" s="1"/>
      <c r="Q54" s="1">
        <f t="shared" ca="1" si="11"/>
        <v>0.2135737237785747</v>
      </c>
      <c r="R54" s="1">
        <f t="shared" ca="1" si="12"/>
        <v>407</v>
      </c>
      <c r="S54" s="1"/>
      <c r="T54" s="1">
        <f t="shared" ca="1" si="13"/>
        <v>0.18436705521191626</v>
      </c>
      <c r="U54" s="1">
        <f t="shared" ca="1" si="14"/>
        <v>140</v>
      </c>
      <c r="V54" s="1">
        <f t="shared" ca="1" si="15"/>
        <v>48</v>
      </c>
      <c r="W54" s="1"/>
      <c r="X54" s="1">
        <f t="shared" ca="1" si="16"/>
        <v>2.7702185277371938</v>
      </c>
      <c r="Y54" s="1">
        <f t="shared" ca="1" si="17"/>
        <v>0.19921201640187333</v>
      </c>
      <c r="Z54" s="1">
        <f t="shared" ca="1" si="18"/>
        <v>768</v>
      </c>
      <c r="AB54" s="1">
        <f t="shared" ca="1" si="19"/>
        <v>3.0759212276915627E-2</v>
      </c>
      <c r="AC54" s="1">
        <f t="shared" ca="1" si="20"/>
        <v>376</v>
      </c>
      <c r="AD54" s="1">
        <f t="shared" ca="1" si="21"/>
        <v>1.8710404816383213E-3</v>
      </c>
      <c r="AE54" s="1"/>
      <c r="AF54" s="1">
        <f t="shared" ca="1" si="22"/>
        <v>0.75514676333443054</v>
      </c>
      <c r="AG54" s="1">
        <f t="shared" ca="1" si="23"/>
        <v>397</v>
      </c>
      <c r="AH54" s="1">
        <f t="shared" ca="1" si="24"/>
        <v>8.5274511857736518E-3</v>
      </c>
      <c r="AJ54" s="1">
        <f t="shared" ca="1" si="25"/>
        <v>0.45479909300763322</v>
      </c>
      <c r="AK54" s="1">
        <f t="shared" ca="1" si="26"/>
        <v>8.6116763781888626E-3</v>
      </c>
      <c r="AL54" s="1"/>
      <c r="AM54" s="1">
        <f t="shared" ca="1" si="27"/>
        <v>0.14103727899401358</v>
      </c>
      <c r="AN54" s="1">
        <f t="shared" ca="1" si="28"/>
        <v>48</v>
      </c>
      <c r="AO54" s="1">
        <f t="shared" ca="1" si="29"/>
        <v>18</v>
      </c>
      <c r="AQ54" s="1">
        <f t="shared" ca="1" si="30"/>
        <v>143</v>
      </c>
      <c r="AR54" s="1">
        <f t="shared" ca="1" si="31"/>
        <v>5</v>
      </c>
      <c r="AS54" s="1">
        <f t="shared" ca="1" si="32"/>
        <v>14</v>
      </c>
      <c r="AU54" s="1">
        <f t="shared" ca="1" si="33"/>
        <v>194</v>
      </c>
      <c r="AV54" s="1">
        <f t="shared" ca="1" si="34"/>
        <v>8</v>
      </c>
      <c r="AW54" s="1">
        <f t="shared" ca="1" si="35"/>
        <v>0.13244239874729952</v>
      </c>
      <c r="AY54" s="1">
        <f t="shared" ca="1" si="36"/>
        <v>1.5459461208619238</v>
      </c>
      <c r="AZ54" s="1">
        <f t="shared" ca="1" si="37"/>
        <v>249</v>
      </c>
      <c r="BA54" s="1">
        <f t="shared" ca="1" si="38"/>
        <v>5.5361334284066196E-3</v>
      </c>
      <c r="BG54" s="1">
        <f t="shared" ca="1" si="39"/>
        <v>0.88873572721326977</v>
      </c>
      <c r="BH54" s="1">
        <f t="shared" ca="1" si="40"/>
        <v>0.97852216963994032</v>
      </c>
      <c r="BI54" s="1">
        <f t="shared" ca="1" si="41"/>
        <v>684</v>
      </c>
      <c r="BV54" s="1">
        <f t="shared" ca="1" si="42"/>
        <v>0.55808340643255161</v>
      </c>
      <c r="BW54" s="1">
        <f t="shared" ca="1" si="43"/>
        <v>691</v>
      </c>
      <c r="BX54" s="1">
        <f t="shared" ca="1" si="44"/>
        <v>7.9966053801930927E-3</v>
      </c>
      <c r="BY54" s="1">
        <f t="shared" ca="1" si="45"/>
        <v>7.4686428065355553E-2</v>
      </c>
      <c r="BZ54" s="1">
        <f t="shared" ca="1" si="46"/>
        <v>0.52538435168128195</v>
      </c>
      <c r="CB54" s="1">
        <f t="shared" ca="1" si="47"/>
        <v>56</v>
      </c>
      <c r="CC54" s="1">
        <f t="shared" ca="1" si="48"/>
        <v>6</v>
      </c>
      <c r="CD54" s="1">
        <f t="shared" ca="1" si="49"/>
        <v>6.5385752467365679E-2</v>
      </c>
      <c r="CE54" s="1">
        <f t="shared" ca="1" si="74"/>
        <v>0.63255350728097715</v>
      </c>
      <c r="CF54" s="1">
        <f t="shared" ca="1" si="74"/>
        <v>0.83582848442807256</v>
      </c>
      <c r="CH54" s="3">
        <f t="shared" ca="1" si="51"/>
        <v>0.91137788634460704</v>
      </c>
      <c r="CI54" s="3">
        <f t="shared" ca="1" si="52"/>
        <v>0.95146657218723618</v>
      </c>
      <c r="CJ54" s="3">
        <f t="shared" ca="1" si="53"/>
        <v>1047</v>
      </c>
      <c r="CK54" s="3">
        <f t="shared" ca="1" si="54"/>
        <v>3.9027405763390954E-3</v>
      </c>
      <c r="CL54" s="3">
        <f t="shared" ca="1" si="55"/>
        <v>1</v>
      </c>
      <c r="CM54" s="3"/>
      <c r="CN54" s="1">
        <f t="shared" ca="1" si="56"/>
        <v>18.606252636205991</v>
      </c>
      <c r="CO54" s="1">
        <f t="shared" ca="1" si="57"/>
        <v>0.37021246872616426</v>
      </c>
      <c r="CP54" s="1">
        <f t="shared" ca="1" si="58"/>
        <v>1</v>
      </c>
      <c r="CV54" s="1">
        <f t="shared" ca="1" si="59"/>
        <v>4.2692355863723837</v>
      </c>
      <c r="CW54" s="1">
        <f t="shared" ca="1" si="60"/>
        <v>1248</v>
      </c>
      <c r="CX54" s="1">
        <f t="shared" ca="1" si="61"/>
        <v>7.6226465559309396E-3</v>
      </c>
      <c r="DH54" s="1">
        <f t="shared" ca="1" si="62"/>
        <v>578</v>
      </c>
      <c r="DI54" s="1">
        <f t="shared" ca="1" si="63"/>
        <v>0.10341627252343454</v>
      </c>
      <c r="DJ54" s="1">
        <f t="shared" ca="1" si="64"/>
        <v>27</v>
      </c>
      <c r="DL54" s="1">
        <f t="shared" ca="1" si="65"/>
        <v>4.5366580415974529E-2</v>
      </c>
      <c r="DM54" s="1">
        <f t="shared" ca="1" si="66"/>
        <v>182</v>
      </c>
      <c r="DN54" s="1">
        <f t="shared" ca="1" si="67"/>
        <v>7</v>
      </c>
      <c r="DW54" s="1">
        <f t="shared" ca="1" si="71"/>
        <v>449</v>
      </c>
      <c r="DX54" s="1">
        <f t="shared" ca="1" si="72"/>
        <v>10</v>
      </c>
      <c r="DY54" s="1">
        <f t="shared" ca="1" si="73"/>
        <v>3</v>
      </c>
    </row>
    <row r="55" spans="2:129" x14ac:dyDescent="0.25">
      <c r="B55">
        <f t="shared" ca="1" si="0"/>
        <v>609</v>
      </c>
      <c r="C55">
        <f t="shared" ca="1" si="1"/>
        <v>32</v>
      </c>
      <c r="D55">
        <f t="shared" ca="1" si="2"/>
        <v>0.17708207260584929</v>
      </c>
      <c r="F55" s="1">
        <f t="shared" ca="1" si="3"/>
        <v>35</v>
      </c>
      <c r="G55" s="1">
        <f t="shared" ca="1" si="4"/>
        <v>10</v>
      </c>
      <c r="H55" s="1">
        <f t="shared" ca="1" si="5"/>
        <v>4</v>
      </c>
      <c r="I55" s="1"/>
      <c r="J55" s="1">
        <f t="shared" ca="1" si="6"/>
        <v>30</v>
      </c>
      <c r="K55" s="1">
        <f t="shared" ca="1" si="7"/>
        <v>2.9243361962076668</v>
      </c>
      <c r="L55" s="1">
        <f t="shared" ca="1" si="8"/>
        <v>21</v>
      </c>
      <c r="M55" s="1"/>
      <c r="N55" s="1">
        <f t="shared" ca="1" si="9"/>
        <v>841</v>
      </c>
      <c r="O55" s="1">
        <f t="shared" ca="1" si="10"/>
        <v>7</v>
      </c>
      <c r="P55" s="1"/>
      <c r="Q55" s="1">
        <f t="shared" ca="1" si="11"/>
        <v>3.1115671979170982</v>
      </c>
      <c r="R55" s="1">
        <f t="shared" ca="1" si="12"/>
        <v>889</v>
      </c>
      <c r="S55" s="1"/>
      <c r="T55" s="1">
        <f t="shared" ca="1" si="13"/>
        <v>0.13568234422962522</v>
      </c>
      <c r="U55" s="1">
        <f t="shared" ca="1" si="14"/>
        <v>70</v>
      </c>
      <c r="V55" s="1">
        <f t="shared" ca="1" si="15"/>
        <v>5</v>
      </c>
      <c r="W55" s="1"/>
      <c r="X55" s="1">
        <f t="shared" ca="1" si="16"/>
        <v>4.670261063987823</v>
      </c>
      <c r="Y55" s="1">
        <f t="shared" ca="1" si="17"/>
        <v>0.84228126290188632</v>
      </c>
      <c r="Z55" s="1">
        <f t="shared" ca="1" si="18"/>
        <v>1542</v>
      </c>
      <c r="AB55" s="1">
        <f t="shared" ca="1" si="19"/>
        <v>0.10632848385317867</v>
      </c>
      <c r="AC55" s="1">
        <f t="shared" ca="1" si="20"/>
        <v>345</v>
      </c>
      <c r="AD55" s="1">
        <f t="shared" ca="1" si="21"/>
        <v>4.6649780903009483E-4</v>
      </c>
      <c r="AE55" s="1"/>
      <c r="AF55" s="1">
        <f t="shared" ca="1" si="22"/>
        <v>0.56044149158754475</v>
      </c>
      <c r="AG55" s="1">
        <f t="shared" ca="1" si="23"/>
        <v>904</v>
      </c>
      <c r="AH55" s="1">
        <f t="shared" ca="1" si="24"/>
        <v>2.5656091744283159E-3</v>
      </c>
      <c r="AJ55" s="1">
        <f t="shared" ca="1" si="25"/>
        <v>0.46005738594560941</v>
      </c>
      <c r="AK55" s="1">
        <f t="shared" ca="1" si="26"/>
        <v>8.4808987392921246E-3</v>
      </c>
      <c r="AL55" s="1"/>
      <c r="AM55" s="1">
        <f t="shared" ca="1" si="27"/>
        <v>5.2520575723103313E-2</v>
      </c>
      <c r="AN55" s="1">
        <f t="shared" ca="1" si="28"/>
        <v>58</v>
      </c>
      <c r="AO55" s="1">
        <f t="shared" ca="1" si="29"/>
        <v>0</v>
      </c>
      <c r="AQ55" s="1">
        <f t="shared" ca="1" si="30"/>
        <v>108</v>
      </c>
      <c r="AR55" s="1">
        <f t="shared" ca="1" si="31"/>
        <v>0</v>
      </c>
      <c r="AS55" s="1">
        <f t="shared" ca="1" si="32"/>
        <v>84</v>
      </c>
      <c r="AU55" s="1">
        <f t="shared" ca="1" si="33"/>
        <v>116</v>
      </c>
      <c r="AV55" s="1">
        <f t="shared" ca="1" si="34"/>
        <v>9</v>
      </c>
      <c r="AW55" s="1">
        <f t="shared" ca="1" si="35"/>
        <v>0.10166967800601466</v>
      </c>
      <c r="AY55" s="1">
        <f t="shared" ca="1" si="36"/>
        <v>1.1843334030238233</v>
      </c>
      <c r="AZ55" s="1">
        <f t="shared" ca="1" si="37"/>
        <v>351</v>
      </c>
      <c r="BA55" s="1">
        <f t="shared" ca="1" si="38"/>
        <v>9.8498487520768379E-3</v>
      </c>
      <c r="BG55" s="1">
        <f t="shared" ca="1" si="39"/>
        <v>0.43666460722240158</v>
      </c>
      <c r="BH55" s="1">
        <f t="shared" ca="1" si="40"/>
        <v>0.76247712219398389</v>
      </c>
      <c r="BI55" s="1">
        <f t="shared" ca="1" si="41"/>
        <v>718</v>
      </c>
      <c r="BV55" s="1">
        <f t="shared" ca="1" si="42"/>
        <v>0.67396968490178333</v>
      </c>
      <c r="BW55" s="1">
        <f t="shared" ca="1" si="43"/>
        <v>737</v>
      </c>
      <c r="BX55" s="1">
        <f t="shared" ca="1" si="44"/>
        <v>5.9596534941783186E-3</v>
      </c>
      <c r="BY55" s="1">
        <f t="shared" ca="1" si="45"/>
        <v>4.8188951479389334E-2</v>
      </c>
      <c r="BZ55" s="1">
        <f t="shared" ca="1" si="46"/>
        <v>9.6757307811038973E-2</v>
      </c>
      <c r="CB55" s="1">
        <f t="shared" ca="1" si="47"/>
        <v>144</v>
      </c>
      <c r="CC55" s="1">
        <f t="shared" ca="1" si="48"/>
        <v>8</v>
      </c>
      <c r="CD55" s="1">
        <f t="shared" ca="1" si="49"/>
        <v>0.27618328006876963</v>
      </c>
      <c r="CE55" s="1">
        <f t="shared" ca="1" si="74"/>
        <v>0.90904875696402976</v>
      </c>
      <c r="CF55" s="1">
        <f t="shared" ca="1" si="74"/>
        <v>0.9453894654274182</v>
      </c>
      <c r="CH55" s="3">
        <f t="shared" ca="1" si="51"/>
        <v>0.64809300831952055</v>
      </c>
      <c r="CI55" s="3">
        <f t="shared" ca="1" si="52"/>
        <v>0.17924319937195982</v>
      </c>
      <c r="CJ55" s="3">
        <f t="shared" ca="1" si="53"/>
        <v>328</v>
      </c>
      <c r="CK55" s="3">
        <f t="shared" ca="1" si="54"/>
        <v>4.2830128966953249E-3</v>
      </c>
      <c r="CL55" s="3">
        <f t="shared" ca="1" si="55"/>
        <v>0</v>
      </c>
      <c r="CM55" s="3"/>
      <c r="CN55" s="1">
        <f t="shared" ca="1" si="56"/>
        <v>9.4394904000850737</v>
      </c>
      <c r="CO55" s="1">
        <f t="shared" ca="1" si="57"/>
        <v>0.11757125310159051</v>
      </c>
      <c r="CP55" s="1">
        <f t="shared" ca="1" si="58"/>
        <v>1</v>
      </c>
      <c r="CV55" s="1">
        <f t="shared" ca="1" si="59"/>
        <v>4.8576019024992787</v>
      </c>
      <c r="CW55" s="1">
        <f t="shared" ca="1" si="60"/>
        <v>175</v>
      </c>
      <c r="CX55" s="1">
        <f t="shared" ca="1" si="61"/>
        <v>2.381336301462437E-3</v>
      </c>
      <c r="DH55" s="1">
        <f t="shared" ca="1" si="62"/>
        <v>375</v>
      </c>
      <c r="DI55" s="1">
        <f t="shared" ca="1" si="63"/>
        <v>0.17060288981228333</v>
      </c>
      <c r="DJ55" s="1">
        <f t="shared" ca="1" si="64"/>
        <v>24</v>
      </c>
      <c r="DL55" s="1">
        <f t="shared" ca="1" si="65"/>
        <v>4.3354175018904505E-2</v>
      </c>
      <c r="DM55" s="1">
        <f t="shared" ca="1" si="66"/>
        <v>238</v>
      </c>
      <c r="DN55" s="1">
        <f t="shared" ca="1" si="67"/>
        <v>9</v>
      </c>
      <c r="DW55" s="1">
        <f t="shared" ca="1" si="71"/>
        <v>338</v>
      </c>
      <c r="DX55" s="1">
        <f t="shared" ca="1" si="72"/>
        <v>11</v>
      </c>
      <c r="DY55" s="1">
        <f t="shared" ca="1" si="73"/>
        <v>13</v>
      </c>
    </row>
    <row r="56" spans="2:129" x14ac:dyDescent="0.25">
      <c r="B56">
        <f t="shared" ca="1" si="0"/>
        <v>746</v>
      </c>
      <c r="C56">
        <f t="shared" ca="1" si="1"/>
        <v>22</v>
      </c>
      <c r="D56">
        <f t="shared" ca="1" si="2"/>
        <v>0.28329597091092501</v>
      </c>
      <c r="F56" s="1">
        <f t="shared" ca="1" si="3"/>
        <v>23</v>
      </c>
      <c r="G56" s="1">
        <f t="shared" ca="1" si="4"/>
        <v>15</v>
      </c>
      <c r="H56" s="1">
        <f t="shared" ca="1" si="5"/>
        <v>5</v>
      </c>
      <c r="I56" s="1"/>
      <c r="J56" s="1">
        <f t="shared" ca="1" si="6"/>
        <v>7</v>
      </c>
      <c r="K56" s="1">
        <f t="shared" ca="1" si="7"/>
        <v>1.415574186029138</v>
      </c>
      <c r="L56" s="1">
        <f t="shared" ca="1" si="8"/>
        <v>25</v>
      </c>
      <c r="M56" s="1"/>
      <c r="N56" s="1">
        <f t="shared" ca="1" si="9"/>
        <v>314</v>
      </c>
      <c r="O56" s="1">
        <f t="shared" ca="1" si="10"/>
        <v>33</v>
      </c>
      <c r="P56" s="1"/>
      <c r="Q56" s="1">
        <f t="shared" ca="1" si="11"/>
        <v>1.9288995622226337</v>
      </c>
      <c r="R56" s="1">
        <f t="shared" ca="1" si="12"/>
        <v>609</v>
      </c>
      <c r="S56" s="1"/>
      <c r="T56" s="1">
        <f t="shared" ca="1" si="13"/>
        <v>0.19800007553987764</v>
      </c>
      <c r="U56" s="1">
        <f t="shared" ca="1" si="14"/>
        <v>262</v>
      </c>
      <c r="V56" s="1">
        <f t="shared" ca="1" si="15"/>
        <v>32</v>
      </c>
      <c r="W56" s="1"/>
      <c r="X56" s="1">
        <f t="shared" ca="1" si="16"/>
        <v>1.4242359761213037</v>
      </c>
      <c r="Y56" s="1">
        <f t="shared" ca="1" si="17"/>
        <v>0.32319798617892326</v>
      </c>
      <c r="Z56" s="1">
        <f t="shared" ca="1" si="18"/>
        <v>1181</v>
      </c>
      <c r="AB56" s="1">
        <f t="shared" ca="1" si="19"/>
        <v>3.636213188235797E-2</v>
      </c>
      <c r="AC56" s="1">
        <f t="shared" ca="1" si="20"/>
        <v>493</v>
      </c>
      <c r="AD56" s="1">
        <f t="shared" ca="1" si="21"/>
        <v>9.8387652495138048E-3</v>
      </c>
      <c r="AE56" s="1"/>
      <c r="AF56" s="1">
        <f t="shared" ca="1" si="22"/>
        <v>0.16222617975040016</v>
      </c>
      <c r="AG56" s="1">
        <f t="shared" ca="1" si="23"/>
        <v>497</v>
      </c>
      <c r="AH56" s="1">
        <f t="shared" ca="1" si="24"/>
        <v>7.787135937445345E-3</v>
      </c>
      <c r="AJ56" s="1">
        <f t="shared" ca="1" si="25"/>
        <v>0.8052457517459306</v>
      </c>
      <c r="AK56" s="1">
        <f t="shared" ca="1" si="26"/>
        <v>2.6436714979789487E-3</v>
      </c>
      <c r="AL56" s="1"/>
      <c r="AM56" s="1">
        <f t="shared" ca="1" si="27"/>
        <v>0.1029464213494235</v>
      </c>
      <c r="AN56" s="1">
        <f t="shared" ca="1" si="28"/>
        <v>51</v>
      </c>
      <c r="AO56" s="1">
        <f t="shared" ca="1" si="29"/>
        <v>1</v>
      </c>
      <c r="AQ56" s="1">
        <f t="shared" ca="1" si="30"/>
        <v>54</v>
      </c>
      <c r="AR56" s="1">
        <f t="shared" ca="1" si="31"/>
        <v>10</v>
      </c>
      <c r="AS56" s="1">
        <f t="shared" ca="1" si="32"/>
        <v>67</v>
      </c>
      <c r="AU56" s="1">
        <f t="shared" ca="1" si="33"/>
        <v>186</v>
      </c>
      <c r="AV56" s="1">
        <f t="shared" ca="1" si="34"/>
        <v>9</v>
      </c>
      <c r="AW56" s="1">
        <f t="shared" ca="1" si="35"/>
        <v>7.3306424156111952E-2</v>
      </c>
      <c r="AY56" s="1">
        <f t="shared" ca="1" si="36"/>
        <v>1.433379513436208</v>
      </c>
      <c r="AZ56" s="1">
        <f t="shared" ca="1" si="37"/>
        <v>52</v>
      </c>
      <c r="BA56" s="1">
        <f t="shared" ca="1" si="38"/>
        <v>3.0268863145092666E-3</v>
      </c>
      <c r="BG56" s="1">
        <f t="shared" ca="1" si="39"/>
        <v>0.33894695554846116</v>
      </c>
      <c r="BH56" s="1">
        <f t="shared" ca="1" si="40"/>
        <v>0.99215390859099972</v>
      </c>
      <c r="BI56" s="1">
        <f t="shared" ca="1" si="41"/>
        <v>423</v>
      </c>
      <c r="BV56" s="1">
        <f t="shared" ca="1" si="42"/>
        <v>0.87484508725676435</v>
      </c>
      <c r="BW56" s="1">
        <f t="shared" ca="1" si="43"/>
        <v>129</v>
      </c>
      <c r="BX56" s="1">
        <f t="shared" ca="1" si="44"/>
        <v>3.4770398125904419E-3</v>
      </c>
      <c r="BY56" s="1">
        <f t="shared" ca="1" si="45"/>
        <v>6.9109183312458609E-3</v>
      </c>
      <c r="BZ56" s="1">
        <f t="shared" ca="1" si="46"/>
        <v>5.7133215025876982E-2</v>
      </c>
      <c r="CB56" s="1">
        <f t="shared" ca="1" si="47"/>
        <v>58</v>
      </c>
      <c r="CC56" s="1">
        <f t="shared" ca="1" si="48"/>
        <v>8</v>
      </c>
      <c r="CD56" s="1">
        <f t="shared" ca="1" si="49"/>
        <v>6.260310006983956E-2</v>
      </c>
      <c r="CE56" s="1">
        <f t="shared" ca="1" si="74"/>
        <v>0.53091215139776549</v>
      </c>
      <c r="CF56" s="1">
        <f t="shared" ca="1" si="74"/>
        <v>0.98569505152635739</v>
      </c>
      <c r="CH56" s="3">
        <f t="shared" ca="1" si="51"/>
        <v>0.12769488527079564</v>
      </c>
      <c r="CI56" s="3">
        <f t="shared" ca="1" si="52"/>
        <v>5.5689762952861814E-2</v>
      </c>
      <c r="CJ56" s="3">
        <f t="shared" ca="1" si="53"/>
        <v>1019</v>
      </c>
      <c r="CK56" s="3">
        <f t="shared" ca="1" si="54"/>
        <v>1.4456770389811983E-3</v>
      </c>
      <c r="CL56" s="3">
        <f t="shared" ca="1" si="55"/>
        <v>0</v>
      </c>
      <c r="CM56" s="3"/>
      <c r="CN56" s="1">
        <f t="shared" ca="1" si="56"/>
        <v>11.213627979696543</v>
      </c>
      <c r="CO56" s="1">
        <f t="shared" ca="1" si="57"/>
        <v>0.14931799891385691</v>
      </c>
      <c r="CP56" s="1">
        <f t="shared" ca="1" si="58"/>
        <v>4</v>
      </c>
      <c r="CV56" s="1">
        <f t="shared" ca="1" si="59"/>
        <v>3.3108434373461493</v>
      </c>
      <c r="CW56" s="1">
        <f t="shared" ca="1" si="60"/>
        <v>696</v>
      </c>
      <c r="CX56" s="1">
        <f t="shared" ca="1" si="61"/>
        <v>1.0268401665488145E-4</v>
      </c>
      <c r="DH56" s="1">
        <f t="shared" ca="1" si="62"/>
        <v>831</v>
      </c>
      <c r="DI56" s="1">
        <f t="shared" ca="1" si="63"/>
        <v>0.13919532526108261</v>
      </c>
      <c r="DJ56" s="1">
        <f t="shared" ca="1" si="64"/>
        <v>2</v>
      </c>
      <c r="DL56" s="1">
        <f t="shared" ca="1" si="65"/>
        <v>7.5819922582883031E-2</v>
      </c>
      <c r="DM56" s="1">
        <f t="shared" ca="1" si="66"/>
        <v>260</v>
      </c>
      <c r="DN56" s="1">
        <f t="shared" ca="1" si="67"/>
        <v>10</v>
      </c>
      <c r="DW56" s="1">
        <f t="shared" ca="1" si="71"/>
        <v>137</v>
      </c>
      <c r="DX56" s="1">
        <f t="shared" ca="1" si="72"/>
        <v>12</v>
      </c>
      <c r="DY56" s="1">
        <f t="shared" ca="1" si="73"/>
        <v>11</v>
      </c>
    </row>
    <row r="57" spans="2:129" x14ac:dyDescent="0.25">
      <c r="B57">
        <f t="shared" ca="1" si="0"/>
        <v>18</v>
      </c>
      <c r="C57">
        <f t="shared" ca="1" si="1"/>
        <v>29</v>
      </c>
      <c r="D57">
        <f t="shared" ca="1" si="2"/>
        <v>7.9200586745871007E-2</v>
      </c>
      <c r="F57" s="1">
        <f t="shared" ca="1" si="3"/>
        <v>9</v>
      </c>
      <c r="G57" s="1">
        <f t="shared" ca="1" si="4"/>
        <v>29</v>
      </c>
      <c r="H57" s="1">
        <f t="shared" ca="1" si="5"/>
        <v>2</v>
      </c>
      <c r="I57" s="1"/>
      <c r="J57" s="1">
        <f t="shared" ca="1" si="6"/>
        <v>7</v>
      </c>
      <c r="K57" s="1">
        <f t="shared" ca="1" si="7"/>
        <v>1.3220386501218215</v>
      </c>
      <c r="L57" s="1">
        <f t="shared" ca="1" si="8"/>
        <v>30</v>
      </c>
      <c r="M57" s="1"/>
      <c r="N57" s="1">
        <f t="shared" ca="1" si="9"/>
        <v>979</v>
      </c>
      <c r="O57" s="1">
        <f t="shared" ca="1" si="10"/>
        <v>45</v>
      </c>
      <c r="P57" s="1"/>
      <c r="Q57" s="1">
        <f t="shared" ca="1" si="11"/>
        <v>0.32557882239819136</v>
      </c>
      <c r="R57" s="1">
        <f t="shared" ca="1" si="12"/>
        <v>482</v>
      </c>
      <c r="S57" s="1"/>
      <c r="T57" s="1">
        <f t="shared" ca="1" si="13"/>
        <v>0.11032866949035092</v>
      </c>
      <c r="U57" s="1">
        <f t="shared" ca="1" si="14"/>
        <v>369</v>
      </c>
      <c r="V57" s="1">
        <f t="shared" ca="1" si="15"/>
        <v>40</v>
      </c>
      <c r="W57" s="1"/>
      <c r="X57" s="1">
        <f t="shared" ca="1" si="16"/>
        <v>8.0438175671334697</v>
      </c>
      <c r="Y57" s="1">
        <f t="shared" ca="1" si="17"/>
        <v>0.80913916292748878</v>
      </c>
      <c r="Z57" s="1">
        <f t="shared" ca="1" si="18"/>
        <v>1417</v>
      </c>
      <c r="AB57" s="1">
        <f t="shared" ca="1" si="19"/>
        <v>0.35153894654856954</v>
      </c>
      <c r="AC57" s="1">
        <f t="shared" ca="1" si="20"/>
        <v>663</v>
      </c>
      <c r="AD57" s="1">
        <f t="shared" ca="1" si="21"/>
        <v>5.0345320075727978E-4</v>
      </c>
      <c r="AE57" s="1"/>
      <c r="AF57" s="1">
        <f t="shared" ca="1" si="22"/>
        <v>0.37874758265972142</v>
      </c>
      <c r="AG57" s="1">
        <f t="shared" ca="1" si="23"/>
        <v>536</v>
      </c>
      <c r="AH57" s="1">
        <f t="shared" ca="1" si="24"/>
        <v>5.3989226188110116E-4</v>
      </c>
      <c r="AJ57" s="1">
        <f t="shared" ca="1" si="25"/>
        <v>5.9482259343519472E-2</v>
      </c>
      <c r="AK57" s="1">
        <f t="shared" ca="1" si="26"/>
        <v>2.2691669066153782E-3</v>
      </c>
      <c r="AL57" s="1"/>
      <c r="AM57" s="1">
        <f t="shared" ca="1" si="27"/>
        <v>0.1969552801128702</v>
      </c>
      <c r="AN57" s="1">
        <f t="shared" ca="1" si="28"/>
        <v>24</v>
      </c>
      <c r="AO57" s="1">
        <f t="shared" ca="1" si="29"/>
        <v>19</v>
      </c>
      <c r="AQ57" s="1">
        <f t="shared" ca="1" si="30"/>
        <v>137</v>
      </c>
      <c r="AR57" s="1">
        <f t="shared" ca="1" si="31"/>
        <v>10</v>
      </c>
      <c r="AS57" s="1">
        <f t="shared" ca="1" si="32"/>
        <v>23</v>
      </c>
      <c r="AU57" s="1">
        <f t="shared" ca="1" si="33"/>
        <v>356</v>
      </c>
      <c r="AV57" s="1">
        <f t="shared" ca="1" si="34"/>
        <v>4</v>
      </c>
      <c r="AW57" s="1">
        <f t="shared" ca="1" si="35"/>
        <v>0.18349688176654513</v>
      </c>
      <c r="AY57" s="1">
        <f t="shared" ca="1" si="36"/>
        <v>1.4144764084401977</v>
      </c>
      <c r="AZ57" s="1">
        <f t="shared" ca="1" si="37"/>
        <v>67</v>
      </c>
      <c r="BA57" s="1">
        <f t="shared" ca="1" si="38"/>
        <v>1.6143284703864782E-3</v>
      </c>
      <c r="BG57" s="1">
        <f t="shared" ca="1" si="39"/>
        <v>7.1445539961098023E-2</v>
      </c>
      <c r="BH57" s="1">
        <f t="shared" ca="1" si="40"/>
        <v>0.28519009305366116</v>
      </c>
      <c r="BI57" s="1">
        <f t="shared" ca="1" si="41"/>
        <v>101</v>
      </c>
      <c r="BV57" s="1">
        <f t="shared" ca="1" si="42"/>
        <v>0.42567344515343475</v>
      </c>
      <c r="BW57" s="1">
        <f t="shared" ca="1" si="43"/>
        <v>738</v>
      </c>
      <c r="BX57" s="1">
        <f t="shared" ca="1" si="44"/>
        <v>1.1598750619675302E-3</v>
      </c>
      <c r="BY57" s="1">
        <f t="shared" ca="1" si="45"/>
        <v>6.1900225587463588E-2</v>
      </c>
      <c r="BZ57" s="1">
        <f t="shared" ca="1" si="46"/>
        <v>0.72374620144223523</v>
      </c>
      <c r="CB57" s="1">
        <f t="shared" ca="1" si="47"/>
        <v>417</v>
      </c>
      <c r="CC57" s="1">
        <f t="shared" ca="1" si="48"/>
        <v>8</v>
      </c>
      <c r="CD57" s="1">
        <f t="shared" ca="1" si="49"/>
        <v>2.4425153600137861E-2</v>
      </c>
      <c r="CE57" s="1">
        <f t="shared" ca="1" si="74"/>
        <v>0.51440707110380091</v>
      </c>
      <c r="CF57" s="1">
        <f t="shared" ca="1" si="74"/>
        <v>0.71883514095463008</v>
      </c>
      <c r="CH57" s="3">
        <f t="shared" ca="1" si="51"/>
        <v>0.73974492559123284</v>
      </c>
      <c r="CI57" s="3">
        <f t="shared" ca="1" si="52"/>
        <v>0.90293575945486759</v>
      </c>
      <c r="CJ57" s="3">
        <f t="shared" ca="1" si="53"/>
        <v>384</v>
      </c>
      <c r="CK57" s="3">
        <f t="shared" ca="1" si="54"/>
        <v>4.5997459252281984E-3</v>
      </c>
      <c r="CL57" s="3">
        <f t="shared" ca="1" si="55"/>
        <v>1</v>
      </c>
      <c r="CM57" s="3"/>
      <c r="CN57" s="1">
        <f t="shared" ca="1" si="56"/>
        <v>9.8689444202253789</v>
      </c>
      <c r="CO57" s="1">
        <f t="shared" ca="1" si="57"/>
        <v>0.3635236675394436</v>
      </c>
      <c r="CP57" s="1">
        <f t="shared" ca="1" si="58"/>
        <v>4</v>
      </c>
      <c r="CV57" s="1">
        <f t="shared" ca="1" si="59"/>
        <v>0.27946138388818181</v>
      </c>
      <c r="CW57" s="1">
        <f t="shared" ca="1" si="60"/>
        <v>708</v>
      </c>
      <c r="CX57" s="1">
        <f t="shared" ca="1" si="61"/>
        <v>9.8770590236088134E-3</v>
      </c>
      <c r="DH57" s="1">
        <f t="shared" ca="1" si="62"/>
        <v>94</v>
      </c>
      <c r="DI57" s="1">
        <f t="shared" ca="1" si="63"/>
        <v>0.50854082293119651</v>
      </c>
      <c r="DJ57" s="1">
        <f t="shared" ca="1" si="64"/>
        <v>13</v>
      </c>
      <c r="DL57" s="1">
        <f t="shared" ca="1" si="65"/>
        <v>0.11032924896770083</v>
      </c>
      <c r="DM57" s="1">
        <f t="shared" ca="1" si="66"/>
        <v>258</v>
      </c>
      <c r="DN57" s="1">
        <f t="shared" ca="1" si="67"/>
        <v>6</v>
      </c>
      <c r="DW57" s="1">
        <f t="shared" ca="1" si="71"/>
        <v>499</v>
      </c>
      <c r="DX57" s="1">
        <f t="shared" ca="1" si="72"/>
        <v>20</v>
      </c>
      <c r="DY57" s="1">
        <f t="shared" ca="1" si="73"/>
        <v>14</v>
      </c>
    </row>
    <row r="58" spans="2:129" x14ac:dyDescent="0.25">
      <c r="B58">
        <f t="shared" ca="1" si="0"/>
        <v>953</v>
      </c>
      <c r="C58">
        <f t="shared" ca="1" si="1"/>
        <v>47</v>
      </c>
      <c r="D58">
        <f t="shared" ca="1" si="2"/>
        <v>0.24432793466246089</v>
      </c>
      <c r="F58" s="1">
        <f t="shared" ca="1" si="3"/>
        <v>44</v>
      </c>
      <c r="G58" s="1">
        <f t="shared" ca="1" si="4"/>
        <v>26</v>
      </c>
      <c r="H58" s="1">
        <f t="shared" ca="1" si="5"/>
        <v>11</v>
      </c>
      <c r="I58" s="1"/>
      <c r="J58" s="1">
        <f t="shared" ca="1" si="6"/>
        <v>20</v>
      </c>
      <c r="K58" s="1">
        <f t="shared" ca="1" si="7"/>
        <v>2.1270789323547827</v>
      </c>
      <c r="L58" s="1">
        <f t="shared" ca="1" si="8"/>
        <v>34</v>
      </c>
      <c r="M58" s="1"/>
      <c r="N58" s="1">
        <f t="shared" ca="1" si="9"/>
        <v>148</v>
      </c>
      <c r="O58" s="1">
        <f t="shared" ca="1" si="10"/>
        <v>11</v>
      </c>
      <c r="P58" s="1"/>
      <c r="Q58" s="1">
        <f t="shared" ca="1" si="11"/>
        <v>0.54551756770591175</v>
      </c>
      <c r="R58" s="1">
        <f t="shared" ca="1" si="12"/>
        <v>717</v>
      </c>
      <c r="S58" s="1"/>
      <c r="T58" s="1">
        <f t="shared" ca="1" si="13"/>
        <v>7.7297454914083671E-2</v>
      </c>
      <c r="U58" s="1">
        <f t="shared" ca="1" si="14"/>
        <v>365</v>
      </c>
      <c r="V58" s="1">
        <f t="shared" ca="1" si="15"/>
        <v>37</v>
      </c>
      <c r="W58" s="1"/>
      <c r="X58" s="1">
        <f t="shared" ca="1" si="16"/>
        <v>3.382004133874883</v>
      </c>
      <c r="Y58" s="1">
        <f t="shared" ca="1" si="17"/>
        <v>0.59762666251996066</v>
      </c>
      <c r="Z58" s="1">
        <f t="shared" ca="1" si="18"/>
        <v>1946</v>
      </c>
      <c r="AB58" s="1">
        <f t="shared" ca="1" si="19"/>
        <v>0.98473231586659282</v>
      </c>
      <c r="AC58" s="1">
        <f t="shared" ca="1" si="20"/>
        <v>900</v>
      </c>
      <c r="AD58" s="1">
        <f t="shared" ca="1" si="21"/>
        <v>5.0866992196950682E-4</v>
      </c>
      <c r="AE58" s="1"/>
      <c r="AF58" s="1">
        <f t="shared" ca="1" si="22"/>
        <v>0.34413510214340359</v>
      </c>
      <c r="AG58" s="1">
        <f t="shared" ca="1" si="23"/>
        <v>665</v>
      </c>
      <c r="AH58" s="1">
        <f t="shared" ca="1" si="24"/>
        <v>4.7215263971563445E-3</v>
      </c>
      <c r="AJ58" s="1">
        <f t="shared" ca="1" si="25"/>
        <v>0.51507129355720993</v>
      </c>
      <c r="AK58" s="1">
        <f t="shared" ca="1" si="26"/>
        <v>6.4188965216308404E-3</v>
      </c>
      <c r="AL58" s="1"/>
      <c r="AM58" s="1">
        <f t="shared" ca="1" si="27"/>
        <v>9.4724463312943472E-2</v>
      </c>
      <c r="AN58" s="1">
        <f t="shared" ca="1" si="28"/>
        <v>42</v>
      </c>
      <c r="AO58" s="1">
        <f t="shared" ca="1" si="29"/>
        <v>20</v>
      </c>
      <c r="AQ58" s="1">
        <f t="shared" ca="1" si="30"/>
        <v>185</v>
      </c>
      <c r="AR58" s="1">
        <f t="shared" ca="1" si="31"/>
        <v>6</v>
      </c>
      <c r="AS58" s="1">
        <f t="shared" ca="1" si="32"/>
        <v>72</v>
      </c>
      <c r="AU58" s="1">
        <f t="shared" ca="1" si="33"/>
        <v>162</v>
      </c>
      <c r="AV58" s="1">
        <f t="shared" ca="1" si="34"/>
        <v>7</v>
      </c>
      <c r="AW58" s="1">
        <f t="shared" ca="1" si="35"/>
        <v>0.11849398309239437</v>
      </c>
      <c r="AY58" s="1">
        <f t="shared" ca="1" si="36"/>
        <v>1.7939672922407572</v>
      </c>
      <c r="AZ58" s="1">
        <f t="shared" ca="1" si="37"/>
        <v>479</v>
      </c>
      <c r="BA58" s="1">
        <f t="shared" ca="1" si="38"/>
        <v>6.5771690030591743E-3</v>
      </c>
      <c r="BG58" s="1">
        <f t="shared" ca="1" si="39"/>
        <v>0.52665545156209914</v>
      </c>
      <c r="BH58" s="1">
        <f t="shared" ca="1" si="40"/>
        <v>0.6650869193896678</v>
      </c>
      <c r="BI58" s="1">
        <f t="shared" ca="1" si="41"/>
        <v>375</v>
      </c>
      <c r="BV58" s="1">
        <f t="shared" ca="1" si="42"/>
        <v>0.72552370981615688</v>
      </c>
      <c r="BW58" s="1">
        <f t="shared" ca="1" si="43"/>
        <v>675</v>
      </c>
      <c r="BX58" s="1">
        <f t="shared" ca="1" si="44"/>
        <v>3.9540423511909145E-3</v>
      </c>
      <c r="BY58" s="1">
        <f t="shared" ca="1" si="45"/>
        <v>9.8760596509946286E-2</v>
      </c>
      <c r="BZ58" s="1">
        <f t="shared" ca="1" si="46"/>
        <v>0.47603311431983208</v>
      </c>
      <c r="CB58" s="1">
        <f t="shared" ca="1" si="47"/>
        <v>215</v>
      </c>
      <c r="CC58" s="1">
        <f t="shared" ca="1" si="48"/>
        <v>15</v>
      </c>
      <c r="CD58" s="1">
        <f t="shared" ca="1" si="49"/>
        <v>3.9666625847985096E-2</v>
      </c>
      <c r="CE58" s="1">
        <f t="shared" ca="1" si="74"/>
        <v>0.90485990481186429</v>
      </c>
      <c r="CF58" s="1">
        <f t="shared" ca="1" si="74"/>
        <v>0.85161569761984168</v>
      </c>
      <c r="CH58" s="3">
        <f t="shared" ca="1" si="51"/>
        <v>0.88704727691842078</v>
      </c>
      <c r="CI58" s="3">
        <f t="shared" ca="1" si="52"/>
        <v>5.4179788073935878E-2</v>
      </c>
      <c r="CJ58" s="3">
        <f t="shared" ca="1" si="53"/>
        <v>1146</v>
      </c>
      <c r="CK58" s="3">
        <f t="shared" ca="1" si="54"/>
        <v>6.4537170585067085E-3</v>
      </c>
      <c r="CL58" s="3">
        <f t="shared" ca="1" si="55"/>
        <v>0</v>
      </c>
      <c r="CM58" s="3"/>
      <c r="CN58" s="1">
        <f t="shared" ca="1" si="56"/>
        <v>17.112151698993287</v>
      </c>
      <c r="CO58" s="1">
        <f t="shared" ca="1" si="57"/>
        <v>0.20048629695642659</v>
      </c>
      <c r="CP58" s="1">
        <f t="shared" ca="1" si="58"/>
        <v>2</v>
      </c>
      <c r="CV58" s="1">
        <f t="shared" ca="1" si="59"/>
        <v>4.384823390923466</v>
      </c>
      <c r="CW58" s="1">
        <f t="shared" ca="1" si="60"/>
        <v>843</v>
      </c>
      <c r="CX58" s="1">
        <f t="shared" ca="1" si="61"/>
        <v>7.8267498343837991E-3</v>
      </c>
      <c r="DH58" s="1">
        <f t="shared" ca="1" si="62"/>
        <v>564</v>
      </c>
      <c r="DI58" s="1">
        <f t="shared" ca="1" si="63"/>
        <v>0.48791753362621143</v>
      </c>
      <c r="DJ58" s="1">
        <f t="shared" ca="1" si="64"/>
        <v>6</v>
      </c>
      <c r="DL58" s="1">
        <f t="shared" ca="1" si="65"/>
        <v>7.0090545714029492E-2</v>
      </c>
      <c r="DM58" s="1">
        <f t="shared" ca="1" si="66"/>
        <v>172</v>
      </c>
      <c r="DN58" s="1">
        <f t="shared" ca="1" si="67"/>
        <v>5</v>
      </c>
      <c r="DW58" s="1">
        <f t="shared" ca="1" si="71"/>
        <v>333</v>
      </c>
      <c r="DX58" s="1">
        <f t="shared" ca="1" si="72"/>
        <v>16</v>
      </c>
      <c r="DY58" s="1">
        <f t="shared" ca="1" si="73"/>
        <v>16</v>
      </c>
    </row>
    <row r="59" spans="2:129" x14ac:dyDescent="0.25">
      <c r="B59">
        <f t="shared" ca="1" si="0"/>
        <v>844</v>
      </c>
      <c r="C59">
        <f t="shared" ca="1" si="1"/>
        <v>50</v>
      </c>
      <c r="D59">
        <f t="shared" ca="1" si="2"/>
        <v>0.16789641243750586</v>
      </c>
      <c r="F59" s="1">
        <f t="shared" ca="1" si="3"/>
        <v>7</v>
      </c>
      <c r="G59" s="1">
        <f t="shared" ca="1" si="4"/>
        <v>5</v>
      </c>
      <c r="H59" s="1">
        <f t="shared" ca="1" si="5"/>
        <v>4</v>
      </c>
      <c r="I59" s="1"/>
      <c r="J59" s="1">
        <f t="shared" ca="1" si="6"/>
        <v>31</v>
      </c>
      <c r="K59" s="1">
        <f t="shared" ca="1" si="7"/>
        <v>1.7242928474957484</v>
      </c>
      <c r="L59" s="1">
        <f t="shared" ca="1" si="8"/>
        <v>33</v>
      </c>
      <c r="M59" s="1"/>
      <c r="N59" s="1">
        <f t="shared" ca="1" si="9"/>
        <v>60</v>
      </c>
      <c r="O59" s="1">
        <f t="shared" ca="1" si="10"/>
        <v>21</v>
      </c>
      <c r="P59" s="1"/>
      <c r="Q59" s="1">
        <f t="shared" ca="1" si="11"/>
        <v>2.4731763522549062</v>
      </c>
      <c r="R59" s="1">
        <f t="shared" ca="1" si="12"/>
        <v>302</v>
      </c>
      <c r="S59" s="1"/>
      <c r="T59" s="1">
        <f t="shared" ca="1" si="13"/>
        <v>0.10576646414051942</v>
      </c>
      <c r="U59" s="1">
        <f t="shared" ca="1" si="14"/>
        <v>441</v>
      </c>
      <c r="V59" s="1">
        <f t="shared" ca="1" si="15"/>
        <v>16</v>
      </c>
      <c r="W59" s="1"/>
      <c r="X59" s="1">
        <f t="shared" ca="1" si="16"/>
        <v>3.2112673074658953</v>
      </c>
      <c r="Y59" s="1">
        <f t="shared" ca="1" si="17"/>
        <v>0.24969106973561633</v>
      </c>
      <c r="Z59" s="1">
        <f t="shared" ca="1" si="18"/>
        <v>820</v>
      </c>
      <c r="AB59" s="1">
        <f t="shared" ca="1" si="19"/>
        <v>0.51208360059941882</v>
      </c>
      <c r="AC59" s="1">
        <f t="shared" ca="1" si="20"/>
        <v>725</v>
      </c>
      <c r="AD59" s="1">
        <f t="shared" ca="1" si="21"/>
        <v>5.8303756098207699E-3</v>
      </c>
      <c r="AE59" s="1"/>
      <c r="AF59" s="1">
        <f t="shared" ca="1" si="22"/>
        <v>0.27639263219434917</v>
      </c>
      <c r="AG59" s="1">
        <f t="shared" ca="1" si="23"/>
        <v>609</v>
      </c>
      <c r="AH59" s="1">
        <f t="shared" ca="1" si="24"/>
        <v>3.4875344780674654E-3</v>
      </c>
      <c r="AJ59" s="1">
        <f t="shared" ca="1" si="25"/>
        <v>0.68639445614958927</v>
      </c>
      <c r="AK59" s="1">
        <f t="shared" ca="1" si="26"/>
        <v>8.6937323241237773E-3</v>
      </c>
      <c r="AL59" s="1"/>
      <c r="AM59" s="1">
        <f t="shared" ca="1" si="27"/>
        <v>0.14681874359661748</v>
      </c>
      <c r="AN59" s="1">
        <f t="shared" ca="1" si="28"/>
        <v>12</v>
      </c>
      <c r="AO59" s="1">
        <f t="shared" ca="1" si="29"/>
        <v>17</v>
      </c>
      <c r="AQ59" s="1">
        <f t="shared" ca="1" si="30"/>
        <v>125</v>
      </c>
      <c r="AR59" s="1">
        <f t="shared" ca="1" si="31"/>
        <v>8</v>
      </c>
      <c r="AS59" s="1">
        <f t="shared" ca="1" si="32"/>
        <v>15</v>
      </c>
      <c r="AU59" s="1">
        <f t="shared" ca="1" si="33"/>
        <v>281</v>
      </c>
      <c r="AV59" s="1">
        <f t="shared" ca="1" si="34"/>
        <v>9</v>
      </c>
      <c r="AW59" s="1">
        <f t="shared" ca="1" si="35"/>
        <v>0.16116558246177398</v>
      </c>
      <c r="AY59" s="1">
        <f t="shared" ca="1" si="36"/>
        <v>1.6896489773250742</v>
      </c>
      <c r="AZ59" s="1">
        <f t="shared" ca="1" si="37"/>
        <v>449</v>
      </c>
      <c r="BA59" s="1">
        <f t="shared" ca="1" si="38"/>
        <v>6.4122643441361172E-3</v>
      </c>
      <c r="BG59" s="1">
        <f t="shared" ca="1" si="39"/>
        <v>0.53367998732658439</v>
      </c>
      <c r="BH59" s="1">
        <f t="shared" ca="1" si="40"/>
        <v>0.27758344359379716</v>
      </c>
      <c r="BI59" s="1">
        <f t="shared" ca="1" si="41"/>
        <v>204</v>
      </c>
      <c r="BV59" s="1">
        <f t="shared" ca="1" si="42"/>
        <v>0.7576153232849363</v>
      </c>
      <c r="BW59" s="1">
        <f t="shared" ca="1" si="43"/>
        <v>205</v>
      </c>
      <c r="BX59" s="1">
        <f t="shared" ca="1" si="44"/>
        <v>2.7058050787192966E-3</v>
      </c>
      <c r="BY59" s="1">
        <f t="shared" ca="1" si="45"/>
        <v>7.2259407991373092E-2</v>
      </c>
      <c r="BZ59" s="1">
        <f t="shared" ca="1" si="46"/>
        <v>0.36219100842498653</v>
      </c>
      <c r="CB59" s="1">
        <f t="shared" ca="1" si="47"/>
        <v>424</v>
      </c>
      <c r="CC59" s="1">
        <f t="shared" ca="1" si="48"/>
        <v>15</v>
      </c>
      <c r="CD59" s="1">
        <f t="shared" ca="1" si="49"/>
        <v>0.2199569259565845</v>
      </c>
      <c r="CE59" s="1">
        <f t="shared" ca="1" si="74"/>
        <v>0.98299098681234787</v>
      </c>
      <c r="CF59" s="1">
        <f t="shared" ca="1" si="74"/>
        <v>0.59887141086004236</v>
      </c>
      <c r="CH59" s="3">
        <f t="shared" ca="1" si="51"/>
        <v>0.59576666378197918</v>
      </c>
      <c r="CI59" s="3">
        <f t="shared" ca="1" si="52"/>
        <v>0.72312511089757037</v>
      </c>
      <c r="CJ59" s="3">
        <f t="shared" ca="1" si="53"/>
        <v>1017</v>
      </c>
      <c r="CK59" s="3">
        <f t="shared" ca="1" si="54"/>
        <v>1.2163877331610876E-3</v>
      </c>
      <c r="CL59" s="3">
        <f t="shared" ca="1" si="55"/>
        <v>0</v>
      </c>
      <c r="CM59" s="3"/>
      <c r="CN59" s="1">
        <f t="shared" ca="1" si="56"/>
        <v>17.762823056783855</v>
      </c>
      <c r="CO59" s="1">
        <f t="shared" ca="1" si="57"/>
        <v>0.20651239405364732</v>
      </c>
      <c r="CP59" s="1">
        <f t="shared" ca="1" si="58"/>
        <v>1</v>
      </c>
      <c r="CV59" s="1">
        <f t="shared" ca="1" si="59"/>
        <v>6.3646150759879063</v>
      </c>
      <c r="CW59" s="1">
        <f t="shared" ca="1" si="60"/>
        <v>1015</v>
      </c>
      <c r="CX59" s="1">
        <f t="shared" ca="1" si="61"/>
        <v>7.2170154275240112E-3</v>
      </c>
      <c r="DH59" s="1">
        <f t="shared" ca="1" si="62"/>
        <v>720</v>
      </c>
      <c r="DI59" s="1">
        <f t="shared" ca="1" si="63"/>
        <v>0.71868176989359911</v>
      </c>
      <c r="DJ59" s="1">
        <f t="shared" ca="1" si="64"/>
        <v>28</v>
      </c>
      <c r="DL59" s="1">
        <f t="shared" ca="1" si="65"/>
        <v>9.861617209006765E-2</v>
      </c>
      <c r="DM59" s="1">
        <f t="shared" ca="1" si="66"/>
        <v>65</v>
      </c>
      <c r="DN59" s="1">
        <f t="shared" ca="1" si="67"/>
        <v>3</v>
      </c>
      <c r="DW59" s="1">
        <f t="shared" ca="1" si="71"/>
        <v>318</v>
      </c>
      <c r="DX59" s="1">
        <f t="shared" ca="1" si="72"/>
        <v>5</v>
      </c>
      <c r="DY59" s="1">
        <f t="shared" ca="1" si="73"/>
        <v>15</v>
      </c>
    </row>
    <row r="60" spans="2:129" x14ac:dyDescent="0.25">
      <c r="B60">
        <f t="shared" ca="1" si="0"/>
        <v>291</v>
      </c>
      <c r="C60">
        <f t="shared" ca="1" si="1"/>
        <v>38</v>
      </c>
      <c r="D60">
        <f t="shared" ca="1" si="2"/>
        <v>0.29721660647980974</v>
      </c>
      <c r="F60" s="1">
        <f t="shared" ca="1" si="3"/>
        <v>23</v>
      </c>
      <c r="G60" s="1">
        <f t="shared" ca="1" si="4"/>
        <v>15</v>
      </c>
      <c r="H60" s="1">
        <f t="shared" ca="1" si="5"/>
        <v>6</v>
      </c>
      <c r="I60" s="1"/>
      <c r="J60" s="1">
        <f t="shared" ca="1" si="6"/>
        <v>33</v>
      </c>
      <c r="K60" s="1">
        <f t="shared" ca="1" si="7"/>
        <v>2.5810555438323037</v>
      </c>
      <c r="L60" s="1">
        <f t="shared" ca="1" si="8"/>
        <v>21</v>
      </c>
      <c r="M60" s="1"/>
      <c r="N60" s="1">
        <f t="shared" ca="1" si="9"/>
        <v>302</v>
      </c>
      <c r="O60" s="1">
        <f t="shared" ca="1" si="10"/>
        <v>50</v>
      </c>
      <c r="P60" s="1"/>
      <c r="Q60" s="1">
        <f t="shared" ca="1" si="11"/>
        <v>1.5199531258954395</v>
      </c>
      <c r="R60" s="1">
        <f t="shared" ca="1" si="12"/>
        <v>853</v>
      </c>
      <c r="S60" s="1"/>
      <c r="T60" s="1">
        <f t="shared" ca="1" si="13"/>
        <v>0.14921483348905507</v>
      </c>
      <c r="U60" s="1">
        <f t="shared" ca="1" si="14"/>
        <v>114</v>
      </c>
      <c r="V60" s="1">
        <f t="shared" ca="1" si="15"/>
        <v>8</v>
      </c>
      <c r="W60" s="1"/>
      <c r="X60" s="1">
        <f t="shared" ca="1" si="16"/>
        <v>1.4244837153583816</v>
      </c>
      <c r="Y60" s="1">
        <f t="shared" ca="1" si="17"/>
        <v>0.22798202629932238</v>
      </c>
      <c r="Z60" s="1">
        <f t="shared" ca="1" si="18"/>
        <v>1336</v>
      </c>
      <c r="AB60" s="1">
        <f t="shared" ca="1" si="19"/>
        <v>0.59225865533876465</v>
      </c>
      <c r="AC60" s="1">
        <f t="shared" ca="1" si="20"/>
        <v>484</v>
      </c>
      <c r="AD60" s="1">
        <f t="shared" ca="1" si="21"/>
        <v>1.4891744361889994E-3</v>
      </c>
      <c r="AE60" s="1"/>
      <c r="AF60" s="1">
        <f t="shared" ca="1" si="22"/>
        <v>0.54128725148262613</v>
      </c>
      <c r="AG60" s="1">
        <f t="shared" ca="1" si="23"/>
        <v>141</v>
      </c>
      <c r="AH60" s="1">
        <f t="shared" ca="1" si="24"/>
        <v>6.1596797218974632E-3</v>
      </c>
      <c r="AJ60" s="1">
        <f t="shared" ca="1" si="25"/>
        <v>0.91899997401487832</v>
      </c>
      <c r="AK60" s="1">
        <f t="shared" ca="1" si="26"/>
        <v>9.8247861816641666E-4</v>
      </c>
      <c r="AL60" s="1"/>
      <c r="AM60" s="1">
        <f t="shared" ca="1" si="27"/>
        <v>3.9567718196411091E-2</v>
      </c>
      <c r="AN60" s="1">
        <f t="shared" ca="1" si="28"/>
        <v>12</v>
      </c>
      <c r="AO60" s="1">
        <f t="shared" ca="1" si="29"/>
        <v>3</v>
      </c>
      <c r="AQ60" s="1">
        <f t="shared" ca="1" si="30"/>
        <v>54</v>
      </c>
      <c r="AR60" s="1">
        <f t="shared" ca="1" si="31"/>
        <v>9</v>
      </c>
      <c r="AS60" s="1">
        <f t="shared" ca="1" si="32"/>
        <v>54</v>
      </c>
      <c r="AU60" s="1">
        <f t="shared" ca="1" si="33"/>
        <v>233</v>
      </c>
      <c r="AV60" s="1">
        <f t="shared" ca="1" si="34"/>
        <v>3</v>
      </c>
      <c r="AW60" s="1">
        <f t="shared" ca="1" si="35"/>
        <v>0.12443195839704932</v>
      </c>
      <c r="AY60" s="1">
        <f t="shared" ca="1" si="36"/>
        <v>1.5794763870061983</v>
      </c>
      <c r="AZ60" s="1">
        <f t="shared" ca="1" si="37"/>
        <v>181</v>
      </c>
      <c r="BA60" s="1">
        <f t="shared" ca="1" si="38"/>
        <v>8.4752193084484881E-3</v>
      </c>
      <c r="BG60" s="1">
        <f t="shared" ca="1" si="39"/>
        <v>0.12649313195624282</v>
      </c>
      <c r="BH60" s="1">
        <f t="shared" ca="1" si="40"/>
        <v>0.52879733877274882</v>
      </c>
      <c r="BI60" s="1">
        <f t="shared" ca="1" si="41"/>
        <v>401</v>
      </c>
      <c r="BV60" s="1">
        <f t="shared" ca="1" si="42"/>
        <v>0.53896347103312459</v>
      </c>
      <c r="BW60" s="1">
        <f t="shared" ca="1" si="43"/>
        <v>511</v>
      </c>
      <c r="BX60" s="1">
        <f t="shared" ca="1" si="44"/>
        <v>4.8238933812709092E-5</v>
      </c>
      <c r="BY60" s="1">
        <f t="shared" ca="1" si="45"/>
        <v>2.0771980580746491E-2</v>
      </c>
      <c r="BZ60" s="1">
        <f t="shared" ca="1" si="46"/>
        <v>0.38092129785062967</v>
      </c>
      <c r="CB60" s="1">
        <f t="shared" ca="1" si="47"/>
        <v>458</v>
      </c>
      <c r="CC60" s="1">
        <f t="shared" ca="1" si="48"/>
        <v>15</v>
      </c>
      <c r="CD60" s="1">
        <f t="shared" ca="1" si="49"/>
        <v>5.4017529713184964E-2</v>
      </c>
      <c r="CE60" s="1">
        <f t="shared" ca="1" si="74"/>
        <v>0.81080889389120259</v>
      </c>
      <c r="CF60" s="1">
        <f t="shared" ca="1" si="74"/>
        <v>0.55972885090060354</v>
      </c>
      <c r="CH60" s="3">
        <f t="shared" ca="1" si="51"/>
        <v>0.26381502495865977</v>
      </c>
      <c r="CI60" s="3">
        <f t="shared" ca="1" si="52"/>
        <v>0.54089327990938363</v>
      </c>
      <c r="CJ60" s="3">
        <f t="shared" ca="1" si="53"/>
        <v>1929</v>
      </c>
      <c r="CK60" s="3">
        <f t="shared" ca="1" si="54"/>
        <v>8.7252241801600572E-3</v>
      </c>
      <c r="CL60" s="3">
        <f t="shared" ca="1" si="55"/>
        <v>1</v>
      </c>
      <c r="CM60" s="3"/>
      <c r="CN60" s="1">
        <f t="shared" ca="1" si="56"/>
        <v>1.6662413778612779</v>
      </c>
      <c r="CO60" s="1">
        <f t="shared" ca="1" si="57"/>
        <v>0.11992726144237861</v>
      </c>
      <c r="CP60" s="1">
        <f t="shared" ca="1" si="58"/>
        <v>4</v>
      </c>
      <c r="CV60" s="1">
        <f t="shared" ca="1" si="59"/>
        <v>6.748021208669936</v>
      </c>
      <c r="CW60" s="1">
        <f t="shared" ca="1" si="60"/>
        <v>1404</v>
      </c>
      <c r="CX60" s="1">
        <f t="shared" ca="1" si="61"/>
        <v>6.9938049671485411E-3</v>
      </c>
      <c r="DH60" s="1">
        <f t="shared" ca="1" si="62"/>
        <v>763</v>
      </c>
      <c r="DI60" s="1">
        <f t="shared" ca="1" si="63"/>
        <v>0.44712682133759307</v>
      </c>
      <c r="DJ60" s="1">
        <f t="shared" ca="1" si="64"/>
        <v>24</v>
      </c>
      <c r="DL60" s="1">
        <f t="shared" ca="1" si="65"/>
        <v>0.17316608523007196</v>
      </c>
      <c r="DM60" s="1">
        <f t="shared" ca="1" si="66"/>
        <v>60</v>
      </c>
      <c r="DN60" s="1">
        <f t="shared" ca="1" si="67"/>
        <v>6</v>
      </c>
      <c r="DW60" s="1">
        <f t="shared" ca="1" si="71"/>
        <v>90</v>
      </c>
      <c r="DX60" s="1">
        <f t="shared" ca="1" si="72"/>
        <v>8</v>
      </c>
      <c r="DY60" s="1">
        <f t="shared" ca="1" si="73"/>
        <v>6</v>
      </c>
    </row>
    <row r="61" spans="2:129" x14ac:dyDescent="0.25">
      <c r="B61">
        <f t="shared" ca="1" si="0"/>
        <v>409</v>
      </c>
      <c r="C61">
        <f t="shared" ca="1" si="1"/>
        <v>42</v>
      </c>
      <c r="D61">
        <f t="shared" ca="1" si="2"/>
        <v>0.13627865675093442</v>
      </c>
      <c r="F61" s="1">
        <f t="shared" ca="1" si="3"/>
        <v>46</v>
      </c>
      <c r="G61" s="1">
        <f t="shared" ca="1" si="4"/>
        <v>30</v>
      </c>
      <c r="H61" s="1">
        <f t="shared" ca="1" si="5"/>
        <v>9</v>
      </c>
      <c r="I61" s="1"/>
      <c r="J61" s="1">
        <f t="shared" ca="1" si="6"/>
        <v>29</v>
      </c>
      <c r="K61" s="1">
        <f t="shared" ca="1" si="7"/>
        <v>1.2860945332703628</v>
      </c>
      <c r="L61" s="1">
        <f t="shared" ca="1" si="8"/>
        <v>31</v>
      </c>
      <c r="M61" s="1"/>
      <c r="N61" s="1">
        <f t="shared" ca="1" si="9"/>
        <v>561</v>
      </c>
      <c r="O61" s="1">
        <f t="shared" ca="1" si="10"/>
        <v>26</v>
      </c>
      <c r="P61" s="1"/>
      <c r="Q61" s="1">
        <f t="shared" ca="1" si="11"/>
        <v>4.3900467452060852</v>
      </c>
      <c r="R61" s="1">
        <f t="shared" ca="1" si="12"/>
        <v>394</v>
      </c>
      <c r="S61" s="1"/>
      <c r="T61" s="1">
        <f t="shared" ca="1" si="13"/>
        <v>0.14902051694457796</v>
      </c>
      <c r="U61" s="1">
        <f t="shared" ca="1" si="14"/>
        <v>100</v>
      </c>
      <c r="V61" s="1">
        <f t="shared" ca="1" si="15"/>
        <v>27</v>
      </c>
      <c r="W61" s="1"/>
      <c r="X61" s="1">
        <f t="shared" ca="1" si="16"/>
        <v>2.9454046103257414</v>
      </c>
      <c r="Y61" s="1">
        <f t="shared" ca="1" si="17"/>
        <v>0.42507779677614083</v>
      </c>
      <c r="Z61" s="1">
        <f t="shared" ca="1" si="18"/>
        <v>1335</v>
      </c>
      <c r="AB61" s="1">
        <f t="shared" ca="1" si="19"/>
        <v>0.27065803357267965</v>
      </c>
      <c r="AC61" s="1">
        <f t="shared" ca="1" si="20"/>
        <v>323</v>
      </c>
      <c r="AD61" s="1">
        <f t="shared" ca="1" si="21"/>
        <v>2.1267166237504097E-3</v>
      </c>
      <c r="AE61" s="1"/>
      <c r="AF61" s="1">
        <f t="shared" ca="1" si="22"/>
        <v>0.60620721816645196</v>
      </c>
      <c r="AG61" s="1">
        <f t="shared" ca="1" si="23"/>
        <v>305</v>
      </c>
      <c r="AH61" s="1">
        <f t="shared" ca="1" si="24"/>
        <v>3.3938085755822029E-3</v>
      </c>
      <c r="AJ61" s="1">
        <f t="shared" ca="1" si="25"/>
        <v>0.50927263791564459</v>
      </c>
      <c r="AK61" s="1">
        <f t="shared" ca="1" si="26"/>
        <v>2.9217599089876121E-3</v>
      </c>
      <c r="AL61" s="1"/>
      <c r="AM61" s="1">
        <f t="shared" ca="1" si="27"/>
        <v>7.5739557002852287E-2</v>
      </c>
      <c r="AN61" s="1">
        <f t="shared" ca="1" si="28"/>
        <v>13</v>
      </c>
      <c r="AO61" s="1">
        <f t="shared" ca="1" si="29"/>
        <v>2</v>
      </c>
      <c r="AQ61" s="1">
        <f t="shared" ca="1" si="30"/>
        <v>25</v>
      </c>
      <c r="AR61" s="1">
        <f t="shared" ca="1" si="31"/>
        <v>3</v>
      </c>
      <c r="AS61" s="1">
        <f t="shared" ca="1" si="32"/>
        <v>48</v>
      </c>
      <c r="AU61" s="1">
        <f t="shared" ca="1" si="33"/>
        <v>357</v>
      </c>
      <c r="AV61" s="1">
        <f t="shared" ca="1" si="34"/>
        <v>7</v>
      </c>
      <c r="AW61" s="1">
        <f t="shared" ca="1" si="35"/>
        <v>0.10065421943224627</v>
      </c>
      <c r="AY61" s="1">
        <f t="shared" ca="1" si="36"/>
        <v>1.9749672570269086</v>
      </c>
      <c r="AZ61" s="1">
        <f t="shared" ca="1" si="37"/>
        <v>319</v>
      </c>
      <c r="BA61" s="1">
        <f t="shared" ca="1" si="38"/>
        <v>8.8976388134462212E-3</v>
      </c>
      <c r="BG61" s="1">
        <f t="shared" ca="1" si="39"/>
        <v>0.65066567108027673</v>
      </c>
      <c r="BH61" s="1">
        <f t="shared" ca="1" si="40"/>
        <v>0.63552648463429473</v>
      </c>
      <c r="BI61" s="1">
        <f t="shared" ca="1" si="41"/>
        <v>876</v>
      </c>
      <c r="BV61" s="1">
        <f t="shared" ca="1" si="42"/>
        <v>9.9566674124187432E-2</v>
      </c>
      <c r="BW61" s="1">
        <f t="shared" ca="1" si="43"/>
        <v>205</v>
      </c>
      <c r="BX61" s="1">
        <f t="shared" ca="1" si="44"/>
        <v>7.583983078218599E-3</v>
      </c>
      <c r="BY61" s="1">
        <f t="shared" ca="1" si="45"/>
        <v>4.8729218415995722E-2</v>
      </c>
      <c r="BZ61" s="1">
        <f t="shared" ca="1" si="46"/>
        <v>0.95128761106531623</v>
      </c>
      <c r="CB61" s="1">
        <f t="shared" ca="1" si="47"/>
        <v>400</v>
      </c>
      <c r="CC61" s="1">
        <f t="shared" ca="1" si="48"/>
        <v>6</v>
      </c>
      <c r="CD61" s="1">
        <f t="shared" ca="1" si="49"/>
        <v>8.0715711980808832E-2</v>
      </c>
      <c r="CE61" s="1">
        <f t="shared" ca="1" si="74"/>
        <v>0.95933044899902153</v>
      </c>
      <c r="CF61" s="1">
        <f t="shared" ca="1" si="74"/>
        <v>0.6107302586412855</v>
      </c>
      <c r="CH61" s="3">
        <f t="shared" ca="1" si="51"/>
        <v>0.34535171251938601</v>
      </c>
      <c r="CI61" s="3">
        <f t="shared" ca="1" si="52"/>
        <v>0.87381946888914941</v>
      </c>
      <c r="CJ61" s="3">
        <f t="shared" ca="1" si="53"/>
        <v>718</v>
      </c>
      <c r="CK61" s="3">
        <f t="shared" ca="1" si="54"/>
        <v>6.28376913457374E-3</v>
      </c>
      <c r="CL61" s="3">
        <f t="shared" ca="1" si="55"/>
        <v>1</v>
      </c>
      <c r="CM61" s="3"/>
      <c r="CN61" s="1">
        <f t="shared" ca="1" si="56"/>
        <v>0.79615151233488524</v>
      </c>
      <c r="CO61" s="1">
        <f t="shared" ca="1" si="57"/>
        <v>8.6053572204081621E-2</v>
      </c>
      <c r="CP61" s="1">
        <f t="shared" ca="1" si="58"/>
        <v>2</v>
      </c>
      <c r="CV61" s="1">
        <f t="shared" ca="1" si="59"/>
        <v>7.6891646177939892</v>
      </c>
      <c r="CW61" s="1">
        <f t="shared" ca="1" si="60"/>
        <v>1082</v>
      </c>
      <c r="CX61" s="1">
        <f t="shared" ca="1" si="61"/>
        <v>1.3613192169624156E-3</v>
      </c>
      <c r="DH61" s="1">
        <f t="shared" ca="1" si="62"/>
        <v>636</v>
      </c>
      <c r="DI61" s="1">
        <f t="shared" ca="1" si="63"/>
        <v>0.17418594502309179</v>
      </c>
      <c r="DJ61" s="1">
        <f t="shared" ca="1" si="64"/>
        <v>15</v>
      </c>
      <c r="DL61" s="1">
        <f t="shared" ca="1" si="65"/>
        <v>0.13505176031396671</v>
      </c>
      <c r="DM61" s="1">
        <f t="shared" ca="1" si="66"/>
        <v>159</v>
      </c>
      <c r="DN61" s="1">
        <f t="shared" ca="1" si="67"/>
        <v>3</v>
      </c>
      <c r="DW61" s="1">
        <f t="shared" ca="1" si="71"/>
        <v>293</v>
      </c>
      <c r="DX61" s="1">
        <f t="shared" ca="1" si="72"/>
        <v>5</v>
      </c>
      <c r="DY61" s="1">
        <f t="shared" ca="1" si="73"/>
        <v>19</v>
      </c>
    </row>
    <row r="62" spans="2:129" x14ac:dyDescent="0.25">
      <c r="B62">
        <f t="shared" ca="1" si="0"/>
        <v>176</v>
      </c>
      <c r="C62">
        <f t="shared" ca="1" si="1"/>
        <v>9</v>
      </c>
      <c r="D62">
        <f t="shared" ca="1" si="2"/>
        <v>5.1880783121931021E-2</v>
      </c>
      <c r="F62" s="1">
        <f t="shared" ca="1" si="3"/>
        <v>3</v>
      </c>
      <c r="G62" s="1">
        <f t="shared" ca="1" si="4"/>
        <v>4</v>
      </c>
      <c r="H62" s="1">
        <f t="shared" ca="1" si="5"/>
        <v>8</v>
      </c>
      <c r="I62" s="1"/>
      <c r="J62" s="1">
        <f t="shared" ca="1" si="6"/>
        <v>27</v>
      </c>
      <c r="K62" s="1">
        <f t="shared" ca="1" si="7"/>
        <v>2.6580314012814585</v>
      </c>
      <c r="L62" s="1">
        <f t="shared" ca="1" si="8"/>
        <v>32</v>
      </c>
      <c r="M62" s="1"/>
      <c r="N62" s="1">
        <f t="shared" ca="1" si="9"/>
        <v>104</v>
      </c>
      <c r="O62" s="1">
        <f t="shared" ca="1" si="10"/>
        <v>4</v>
      </c>
      <c r="P62" s="1"/>
      <c r="Q62" s="1">
        <f t="shared" ca="1" si="11"/>
        <v>4.9931347559255954</v>
      </c>
      <c r="R62" s="1">
        <f t="shared" ca="1" si="12"/>
        <v>1091</v>
      </c>
      <c r="S62" s="1"/>
      <c r="T62" s="1">
        <f t="shared" ca="1" si="13"/>
        <v>0.10929019150020269</v>
      </c>
      <c r="U62" s="1">
        <f t="shared" ca="1" si="14"/>
        <v>138</v>
      </c>
      <c r="V62" s="1">
        <f t="shared" ca="1" si="15"/>
        <v>37</v>
      </c>
      <c r="W62" s="1"/>
      <c r="X62" s="1">
        <f t="shared" ca="1" si="16"/>
        <v>5.3065996300723217</v>
      </c>
      <c r="Y62" s="1">
        <f t="shared" ca="1" si="17"/>
        <v>0.64404948180120425</v>
      </c>
      <c r="Z62" s="1">
        <f t="shared" ca="1" si="18"/>
        <v>983</v>
      </c>
      <c r="AB62" s="1">
        <f t="shared" ca="1" si="19"/>
        <v>0.15787306367192347</v>
      </c>
      <c r="AC62" s="1">
        <f t="shared" ca="1" si="20"/>
        <v>673</v>
      </c>
      <c r="AD62" s="1">
        <f t="shared" ca="1" si="21"/>
        <v>4.5556575211829934E-4</v>
      </c>
      <c r="AE62" s="1"/>
      <c r="AF62" s="1">
        <f t="shared" ca="1" si="22"/>
        <v>0.80760231944957006</v>
      </c>
      <c r="AG62" s="1">
        <f t="shared" ca="1" si="23"/>
        <v>715</v>
      </c>
      <c r="AH62" s="1">
        <f t="shared" ca="1" si="24"/>
        <v>7.5715252424977918E-3</v>
      </c>
      <c r="AJ62" s="1">
        <f t="shared" ca="1" si="25"/>
        <v>0.99442777852736808</v>
      </c>
      <c r="AK62" s="1">
        <f t="shared" ca="1" si="26"/>
        <v>2.3488662997818844E-3</v>
      </c>
      <c r="AL62" s="1"/>
      <c r="AM62" s="1">
        <f t="shared" ca="1" si="27"/>
        <v>0.12744531629511394</v>
      </c>
      <c r="AN62" s="1">
        <f t="shared" ca="1" si="28"/>
        <v>50</v>
      </c>
      <c r="AO62" s="1">
        <f t="shared" ca="1" si="29"/>
        <v>7</v>
      </c>
      <c r="AQ62" s="1">
        <f t="shared" ca="1" si="30"/>
        <v>71</v>
      </c>
      <c r="AR62" s="1">
        <f t="shared" ca="1" si="31"/>
        <v>5</v>
      </c>
      <c r="AS62" s="1">
        <f t="shared" ca="1" si="32"/>
        <v>30</v>
      </c>
      <c r="AU62" s="1">
        <f t="shared" ca="1" si="33"/>
        <v>89</v>
      </c>
      <c r="AV62" s="1">
        <f t="shared" ca="1" si="34"/>
        <v>7</v>
      </c>
      <c r="AW62" s="1">
        <f t="shared" ca="1" si="35"/>
        <v>0.1820361997399646</v>
      </c>
      <c r="AY62" s="1">
        <f t="shared" ca="1" si="36"/>
        <v>1.5773455400498033</v>
      </c>
      <c r="AZ62" s="1">
        <f t="shared" ca="1" si="37"/>
        <v>101</v>
      </c>
      <c r="BA62" s="1">
        <f t="shared" ca="1" si="38"/>
        <v>5.1623903390903448E-4</v>
      </c>
      <c r="BG62" s="1">
        <f t="shared" ca="1" si="39"/>
        <v>0.53060675561114823</v>
      </c>
      <c r="BH62" s="1">
        <f t="shared" ca="1" si="40"/>
        <v>0.26998438342921804</v>
      </c>
      <c r="BI62" s="1">
        <f t="shared" ca="1" si="41"/>
        <v>988</v>
      </c>
      <c r="BV62" s="1">
        <f t="shared" ca="1" si="42"/>
        <v>0.12387236140057528</v>
      </c>
      <c r="BW62" s="1">
        <f t="shared" ca="1" si="43"/>
        <v>237</v>
      </c>
      <c r="BX62" s="1">
        <f t="shared" ca="1" si="44"/>
        <v>2.275481758538556E-3</v>
      </c>
      <c r="BY62" s="1">
        <f t="shared" ca="1" si="45"/>
        <v>9.4784508443282359E-2</v>
      </c>
      <c r="BZ62" s="1">
        <f t="shared" ca="1" si="46"/>
        <v>0.8963112491197528</v>
      </c>
      <c r="CB62" s="1">
        <f t="shared" ca="1" si="47"/>
        <v>190</v>
      </c>
      <c r="CC62" s="1">
        <f t="shared" ca="1" si="48"/>
        <v>15</v>
      </c>
      <c r="CD62" s="1">
        <f t="shared" ca="1" si="49"/>
        <v>3.0511030149207599E-2</v>
      </c>
      <c r="CE62" s="1">
        <f t="shared" ca="1" si="74"/>
        <v>0.55211074659279102</v>
      </c>
      <c r="CF62" s="1">
        <f t="shared" ca="1" si="74"/>
        <v>0.6623797786459682</v>
      </c>
      <c r="CH62" s="3">
        <f t="shared" ca="1" si="51"/>
        <v>8.8870869564527891E-3</v>
      </c>
      <c r="CI62" s="3">
        <f t="shared" ca="1" si="52"/>
        <v>0.22413072679838367</v>
      </c>
      <c r="CJ62" s="3">
        <f t="shared" ca="1" si="53"/>
        <v>1193</v>
      </c>
      <c r="CK62" s="3">
        <f t="shared" ca="1" si="54"/>
        <v>5.9890827569276861E-3</v>
      </c>
      <c r="CL62" s="3">
        <f t="shared" ca="1" si="55"/>
        <v>0</v>
      </c>
      <c r="CM62" s="3"/>
      <c r="CN62" s="1">
        <f t="shared" ca="1" si="56"/>
        <v>10.884891396592391</v>
      </c>
      <c r="CO62" s="1">
        <f t="shared" ca="1" si="57"/>
        <v>6.6446687631161724E-2</v>
      </c>
      <c r="CP62" s="1">
        <f t="shared" ca="1" si="58"/>
        <v>5</v>
      </c>
      <c r="CV62" s="1">
        <f t="shared" ca="1" si="59"/>
        <v>2.4896959758018831</v>
      </c>
      <c r="CW62" s="1">
        <f t="shared" ca="1" si="60"/>
        <v>682</v>
      </c>
      <c r="CX62" s="1">
        <f t="shared" ca="1" si="61"/>
        <v>8.173064010889448E-3</v>
      </c>
      <c r="DH62" s="1">
        <f t="shared" ca="1" si="62"/>
        <v>310</v>
      </c>
      <c r="DI62" s="1">
        <f t="shared" ca="1" si="63"/>
        <v>0.93375871243742237</v>
      </c>
      <c r="DJ62" s="1">
        <f t="shared" ca="1" si="64"/>
        <v>25</v>
      </c>
      <c r="DL62" s="1">
        <f t="shared" ca="1" si="65"/>
        <v>0.15798469559175049</v>
      </c>
      <c r="DM62" s="1">
        <f t="shared" ca="1" si="66"/>
        <v>267</v>
      </c>
      <c r="DN62" s="1">
        <f t="shared" ca="1" si="67"/>
        <v>2</v>
      </c>
      <c r="DW62" s="1">
        <f t="shared" ca="1" si="71"/>
        <v>59</v>
      </c>
      <c r="DX62" s="1">
        <f t="shared" ca="1" si="72"/>
        <v>5</v>
      </c>
      <c r="DY62" s="1">
        <f t="shared" ca="1" si="73"/>
        <v>7</v>
      </c>
    </row>
    <row r="63" spans="2:129" x14ac:dyDescent="0.25">
      <c r="B63">
        <f t="shared" ca="1" si="0"/>
        <v>52</v>
      </c>
      <c r="C63">
        <f t="shared" ca="1" si="1"/>
        <v>34</v>
      </c>
      <c r="D63">
        <f t="shared" ca="1" si="2"/>
        <v>2.8359740024284791E-2</v>
      </c>
      <c r="F63" s="1">
        <f t="shared" ca="1" si="3"/>
        <v>15</v>
      </c>
      <c r="G63" s="1">
        <f t="shared" ca="1" si="4"/>
        <v>25</v>
      </c>
      <c r="H63" s="1">
        <f t="shared" ca="1" si="5"/>
        <v>6</v>
      </c>
      <c r="I63" s="1"/>
      <c r="J63" s="1">
        <f t="shared" ca="1" si="6"/>
        <v>38</v>
      </c>
      <c r="K63" s="1">
        <f t="shared" ca="1" si="7"/>
        <v>1.0148539775611225</v>
      </c>
      <c r="L63" s="1">
        <f t="shared" ca="1" si="8"/>
        <v>21</v>
      </c>
      <c r="M63" s="1"/>
      <c r="N63" s="1">
        <f t="shared" ca="1" si="9"/>
        <v>306</v>
      </c>
      <c r="O63" s="1">
        <f t="shared" ca="1" si="10"/>
        <v>18</v>
      </c>
      <c r="P63" s="1"/>
      <c r="Q63" s="1">
        <f t="shared" ca="1" si="11"/>
        <v>0.22110464510168185</v>
      </c>
      <c r="R63" s="1">
        <f t="shared" ca="1" si="12"/>
        <v>242</v>
      </c>
      <c r="S63" s="1"/>
      <c r="T63" s="1">
        <f t="shared" ca="1" si="13"/>
        <v>4.8627042412172881E-2</v>
      </c>
      <c r="U63" s="1">
        <f t="shared" ca="1" si="14"/>
        <v>273</v>
      </c>
      <c r="V63" s="1">
        <f t="shared" ca="1" si="15"/>
        <v>4</v>
      </c>
      <c r="W63" s="1"/>
      <c r="X63" s="1">
        <f t="shared" ca="1" si="16"/>
        <v>5.2510258821671218</v>
      </c>
      <c r="Y63" s="1">
        <f t="shared" ca="1" si="17"/>
        <v>0.21744551895318137</v>
      </c>
      <c r="Z63" s="1">
        <f t="shared" ca="1" si="18"/>
        <v>1195</v>
      </c>
      <c r="AB63" s="1">
        <f t="shared" ca="1" si="19"/>
        <v>0.93317834530731358</v>
      </c>
      <c r="AC63" s="1">
        <f t="shared" ca="1" si="20"/>
        <v>859</v>
      </c>
      <c r="AD63" s="1">
        <f t="shared" ca="1" si="21"/>
        <v>5.8889844812002375E-3</v>
      </c>
      <c r="AE63" s="1"/>
      <c r="AF63" s="1">
        <f t="shared" ca="1" si="22"/>
        <v>0.54971468955953007</v>
      </c>
      <c r="AG63" s="1">
        <f t="shared" ca="1" si="23"/>
        <v>485</v>
      </c>
      <c r="AH63" s="1">
        <f t="shared" ca="1" si="24"/>
        <v>4.3586395492595147E-3</v>
      </c>
      <c r="AJ63" s="1">
        <f t="shared" ca="1" si="25"/>
        <v>0.96722784187037569</v>
      </c>
      <c r="AK63" s="1">
        <f t="shared" ca="1" si="26"/>
        <v>3.2245641489900469E-3</v>
      </c>
      <c r="AL63" s="1"/>
      <c r="AM63" s="1">
        <f t="shared" ca="1" si="27"/>
        <v>0.14819803985462876</v>
      </c>
      <c r="AN63" s="1">
        <f t="shared" ca="1" si="28"/>
        <v>40</v>
      </c>
      <c r="AO63" s="1">
        <f t="shared" ca="1" si="29"/>
        <v>18</v>
      </c>
      <c r="AQ63" s="1">
        <f t="shared" ca="1" si="30"/>
        <v>86</v>
      </c>
      <c r="AR63" s="1">
        <f t="shared" ca="1" si="31"/>
        <v>9</v>
      </c>
      <c r="AS63" s="1">
        <f t="shared" ca="1" si="32"/>
        <v>56</v>
      </c>
      <c r="AU63" s="1">
        <f t="shared" ca="1" si="33"/>
        <v>139</v>
      </c>
      <c r="AV63" s="1">
        <f t="shared" ca="1" si="34"/>
        <v>10</v>
      </c>
      <c r="AW63" s="1">
        <f t="shared" ca="1" si="35"/>
        <v>8.4154464740069185E-2</v>
      </c>
      <c r="AY63" s="1">
        <f t="shared" ca="1" si="36"/>
        <v>1.8466561867267253</v>
      </c>
      <c r="AZ63" s="1">
        <f t="shared" ca="1" si="37"/>
        <v>80</v>
      </c>
      <c r="BA63" s="1">
        <f t="shared" ca="1" si="38"/>
        <v>7.6832482455633224E-3</v>
      </c>
      <c r="BG63" s="1">
        <f t="shared" ca="1" si="39"/>
        <v>0.62948040652076542</v>
      </c>
      <c r="BH63" s="1">
        <f t="shared" ca="1" si="40"/>
        <v>0.19905805652888009</v>
      </c>
      <c r="BI63" s="1">
        <f t="shared" ca="1" si="41"/>
        <v>420</v>
      </c>
      <c r="BV63" s="1">
        <f t="shared" ca="1" si="42"/>
        <v>0.21469224155236563</v>
      </c>
      <c r="BW63" s="1">
        <f t="shared" ca="1" si="43"/>
        <v>357</v>
      </c>
      <c r="BX63" s="1">
        <f t="shared" ca="1" si="44"/>
        <v>8.7226207532601109E-3</v>
      </c>
      <c r="BY63" s="1">
        <f t="shared" ca="1" si="45"/>
        <v>4.4044008273881816E-2</v>
      </c>
      <c r="BZ63" s="1">
        <f t="shared" ca="1" si="46"/>
        <v>0.54487276294865616</v>
      </c>
      <c r="CB63" s="1">
        <f t="shared" ca="1" si="47"/>
        <v>79</v>
      </c>
      <c r="CC63" s="1">
        <f t="shared" ca="1" si="48"/>
        <v>11</v>
      </c>
      <c r="CD63" s="1">
        <f t="shared" ca="1" si="49"/>
        <v>0.19098905909126698</v>
      </c>
      <c r="CE63" s="1">
        <f t="shared" ca="1" si="74"/>
        <v>0.87033846143454685</v>
      </c>
      <c r="CF63" s="1">
        <f t="shared" ca="1" si="74"/>
        <v>0.87422157979766912</v>
      </c>
      <c r="CH63" s="3">
        <f t="shared" ca="1" si="51"/>
        <v>0.71502258482451109</v>
      </c>
      <c r="CI63" s="3">
        <f t="shared" ca="1" si="52"/>
        <v>0.33986283302717879</v>
      </c>
      <c r="CJ63" s="3">
        <f t="shared" ca="1" si="53"/>
        <v>1445</v>
      </c>
      <c r="CK63" s="3">
        <f t="shared" ca="1" si="54"/>
        <v>3.9321049655943715E-3</v>
      </c>
      <c r="CL63" s="3">
        <f t="shared" ca="1" si="55"/>
        <v>1</v>
      </c>
      <c r="CM63" s="3"/>
      <c r="CN63" s="1">
        <f t="shared" ca="1" si="56"/>
        <v>12.46120605011073</v>
      </c>
      <c r="CO63" s="1">
        <f t="shared" ca="1" si="57"/>
        <v>0.44979394899888464</v>
      </c>
      <c r="CP63" s="1">
        <f t="shared" ca="1" si="58"/>
        <v>5</v>
      </c>
      <c r="CV63" s="1">
        <f t="shared" ca="1" si="59"/>
        <v>1.1633219417638916</v>
      </c>
      <c r="CW63" s="1">
        <f t="shared" ca="1" si="60"/>
        <v>180</v>
      </c>
      <c r="CX63" s="1">
        <f t="shared" ca="1" si="61"/>
        <v>3.9836707324299283E-3</v>
      </c>
      <c r="DH63" s="1">
        <f t="shared" ca="1" si="62"/>
        <v>265</v>
      </c>
      <c r="DI63" s="1">
        <f t="shared" ca="1" si="63"/>
        <v>0.10212035733055391</v>
      </c>
      <c r="DJ63" s="1">
        <f t="shared" ca="1" si="64"/>
        <v>7</v>
      </c>
      <c r="DL63" s="1">
        <f t="shared" ca="1" si="65"/>
        <v>0.10749888070449237</v>
      </c>
      <c r="DM63" s="1">
        <f t="shared" ca="1" si="66"/>
        <v>278</v>
      </c>
      <c r="DN63" s="1">
        <f t="shared" ca="1" si="67"/>
        <v>1</v>
      </c>
      <c r="DW63" s="1">
        <f t="shared" ca="1" si="71"/>
        <v>201</v>
      </c>
      <c r="DX63" s="1">
        <f t="shared" ca="1" si="72"/>
        <v>12</v>
      </c>
      <c r="DY63" s="1">
        <f t="shared" ca="1" si="73"/>
        <v>9</v>
      </c>
    </row>
    <row r="64" spans="2:129" x14ac:dyDescent="0.25">
      <c r="B64">
        <f t="shared" ca="1" si="0"/>
        <v>104</v>
      </c>
      <c r="C64">
        <f t="shared" ca="1" si="1"/>
        <v>27</v>
      </c>
      <c r="D64">
        <f t="shared" ca="1" si="2"/>
        <v>0.17151455443024383</v>
      </c>
      <c r="F64" s="1">
        <f t="shared" ca="1" si="3"/>
        <v>52</v>
      </c>
      <c r="G64" s="1">
        <f t="shared" ca="1" si="4"/>
        <v>29</v>
      </c>
      <c r="H64" s="1">
        <f t="shared" ca="1" si="5"/>
        <v>14</v>
      </c>
      <c r="I64" s="1"/>
      <c r="J64" s="1">
        <f t="shared" ca="1" si="6"/>
        <v>23</v>
      </c>
      <c r="K64" s="1">
        <f t="shared" ca="1" si="7"/>
        <v>2.3547234220854643</v>
      </c>
      <c r="L64" s="1">
        <f t="shared" ca="1" si="8"/>
        <v>3</v>
      </c>
      <c r="M64" s="1"/>
      <c r="N64" s="1">
        <f t="shared" ca="1" si="9"/>
        <v>552</v>
      </c>
      <c r="O64" s="1">
        <f t="shared" ca="1" si="10"/>
        <v>11</v>
      </c>
      <c r="P64" s="1"/>
      <c r="Q64" s="1">
        <f t="shared" ca="1" si="11"/>
        <v>1.6522864745730088</v>
      </c>
      <c r="R64" s="1">
        <f t="shared" ca="1" si="12"/>
        <v>800</v>
      </c>
      <c r="S64" s="1"/>
      <c r="T64" s="1">
        <f t="shared" ca="1" si="13"/>
        <v>0.16093593112613322</v>
      </c>
      <c r="U64" s="1">
        <f t="shared" ca="1" si="14"/>
        <v>89</v>
      </c>
      <c r="V64" s="1">
        <f t="shared" ca="1" si="15"/>
        <v>41</v>
      </c>
      <c r="W64" s="1"/>
      <c r="X64" s="1">
        <f t="shared" ca="1" si="16"/>
        <v>2.2213000837297709</v>
      </c>
      <c r="Y64" s="1">
        <f t="shared" ca="1" si="17"/>
        <v>0.83097984249527412</v>
      </c>
      <c r="Z64" s="1">
        <f t="shared" ca="1" si="18"/>
        <v>398</v>
      </c>
      <c r="AB64" s="1">
        <f t="shared" ca="1" si="19"/>
        <v>0.41425845824337587</v>
      </c>
      <c r="AC64" s="1">
        <f t="shared" ca="1" si="20"/>
        <v>646</v>
      </c>
      <c r="AD64" s="1">
        <f t="shared" ca="1" si="21"/>
        <v>6.2199236970531258E-3</v>
      </c>
      <c r="AE64" s="1"/>
      <c r="AF64" s="1">
        <f t="shared" ca="1" si="22"/>
        <v>0.4370836802044954</v>
      </c>
      <c r="AG64" s="1">
        <f t="shared" ca="1" si="23"/>
        <v>310</v>
      </c>
      <c r="AH64" s="1">
        <f t="shared" ca="1" si="24"/>
        <v>7.5528379928043879E-3</v>
      </c>
      <c r="AJ64" s="1">
        <f t="shared" ca="1" si="25"/>
        <v>0.74938022613731226</v>
      </c>
      <c r="AK64" s="1">
        <f t="shared" ca="1" si="26"/>
        <v>7.325229150888379E-3</v>
      </c>
      <c r="AL64" s="1"/>
      <c r="AM64" s="1">
        <f t="shared" ca="1" si="27"/>
        <v>8.0438974657833076E-2</v>
      </c>
      <c r="AN64" s="1">
        <f t="shared" ca="1" si="28"/>
        <v>75</v>
      </c>
      <c r="AO64" s="1">
        <f t="shared" ca="1" si="29"/>
        <v>16</v>
      </c>
      <c r="AQ64" s="1">
        <f t="shared" ca="1" si="30"/>
        <v>16</v>
      </c>
      <c r="AR64" s="1">
        <f t="shared" ca="1" si="31"/>
        <v>8</v>
      </c>
      <c r="AS64" s="1">
        <f t="shared" ca="1" si="32"/>
        <v>6</v>
      </c>
      <c r="AU64" s="1">
        <f t="shared" ca="1" si="33"/>
        <v>151</v>
      </c>
      <c r="AV64" s="1">
        <f t="shared" ca="1" si="34"/>
        <v>5</v>
      </c>
      <c r="AW64" s="1">
        <f t="shared" ca="1" si="35"/>
        <v>1.3778184073760472E-2</v>
      </c>
      <c r="AY64" s="1">
        <f t="shared" ca="1" si="36"/>
        <v>1.5766239058628193</v>
      </c>
      <c r="AZ64" s="1">
        <f t="shared" ca="1" si="37"/>
        <v>424</v>
      </c>
      <c r="BA64" s="1">
        <f t="shared" ca="1" si="38"/>
        <v>5.0012419611184661E-3</v>
      </c>
      <c r="BG64" s="1">
        <f t="shared" ca="1" si="39"/>
        <v>0.82013305081852828</v>
      </c>
      <c r="BH64" s="1">
        <f t="shared" ca="1" si="40"/>
        <v>0.56463983006605922</v>
      </c>
      <c r="BI64" s="1">
        <f t="shared" ca="1" si="41"/>
        <v>275</v>
      </c>
      <c r="BV64" s="1">
        <f t="shared" ca="1" si="42"/>
        <v>0.51163672274865846</v>
      </c>
      <c r="BW64" s="1">
        <f t="shared" ca="1" si="43"/>
        <v>492</v>
      </c>
      <c r="BX64" s="1">
        <f t="shared" ca="1" si="44"/>
        <v>4.8228670017491449E-3</v>
      </c>
      <c r="BY64" s="1">
        <f t="shared" ca="1" si="45"/>
        <v>9.5202035932353393E-2</v>
      </c>
      <c r="BZ64" s="1">
        <f t="shared" ca="1" si="46"/>
        <v>0.47982049671603988</v>
      </c>
      <c r="CB64" s="1">
        <f t="shared" ca="1" si="47"/>
        <v>360</v>
      </c>
      <c r="CC64" s="1">
        <f t="shared" ca="1" si="48"/>
        <v>12</v>
      </c>
      <c r="CD64" s="1">
        <f t="shared" ca="1" si="49"/>
        <v>0.21551193672718852</v>
      </c>
      <c r="CE64" s="1">
        <f t="shared" ca="1" si="74"/>
        <v>0.57583980794939404</v>
      </c>
      <c r="CF64" s="1">
        <f t="shared" ca="1" si="74"/>
        <v>0.82495346634686828</v>
      </c>
      <c r="CH64" s="3">
        <f t="shared" ca="1" si="51"/>
        <v>2.2388384395238905E-2</v>
      </c>
      <c r="CI64" s="3">
        <f t="shared" ca="1" si="52"/>
        <v>2.8851053978510614E-2</v>
      </c>
      <c r="CJ64" s="3">
        <f t="shared" ca="1" si="53"/>
        <v>795</v>
      </c>
      <c r="CK64" s="3">
        <f t="shared" ca="1" si="54"/>
        <v>1.7583072609828085E-3</v>
      </c>
      <c r="CL64" s="3">
        <f t="shared" ca="1" si="55"/>
        <v>0</v>
      </c>
      <c r="CM64" s="3"/>
      <c r="CN64" s="1">
        <f t="shared" ca="1" si="56"/>
        <v>16.296544373951637</v>
      </c>
      <c r="CO64" s="1">
        <f t="shared" ca="1" si="57"/>
        <v>0.23083043951541282</v>
      </c>
      <c r="CP64" s="1">
        <f t="shared" ca="1" si="58"/>
        <v>5</v>
      </c>
      <c r="CV64" s="1">
        <f t="shared" ca="1" si="59"/>
        <v>4.0486338659472709</v>
      </c>
      <c r="CW64" s="1">
        <f t="shared" ca="1" si="60"/>
        <v>276</v>
      </c>
      <c r="CX64" s="1">
        <f t="shared" ca="1" si="61"/>
        <v>1.2264177692959386E-3</v>
      </c>
      <c r="DH64" s="1">
        <f t="shared" ca="1" si="62"/>
        <v>343</v>
      </c>
      <c r="DI64" s="1">
        <f t="shared" ca="1" si="63"/>
        <v>0.77688076547287321</v>
      </c>
      <c r="DJ64" s="1">
        <f t="shared" ca="1" si="64"/>
        <v>25</v>
      </c>
      <c r="DL64" s="1">
        <f t="shared" ca="1" si="65"/>
        <v>0.17025696171909213</v>
      </c>
      <c r="DM64" s="1">
        <f t="shared" ca="1" si="66"/>
        <v>97</v>
      </c>
      <c r="DN64" s="1">
        <f t="shared" ca="1" si="67"/>
        <v>3</v>
      </c>
      <c r="DW64" s="1">
        <f t="shared" ca="1" si="71"/>
        <v>188</v>
      </c>
      <c r="DX64" s="1">
        <f t="shared" ca="1" si="72"/>
        <v>9</v>
      </c>
      <c r="DY64" s="1">
        <f t="shared" ca="1" si="73"/>
        <v>2</v>
      </c>
    </row>
    <row r="65" spans="2:129" x14ac:dyDescent="0.25">
      <c r="B65">
        <f t="shared" ca="1" si="0"/>
        <v>223</v>
      </c>
      <c r="C65">
        <f t="shared" ca="1" si="1"/>
        <v>40</v>
      </c>
      <c r="D65">
        <f t="shared" ca="1" si="2"/>
        <v>0.14408413416093702</v>
      </c>
      <c r="F65" s="1">
        <f t="shared" ca="1" si="3"/>
        <v>18</v>
      </c>
      <c r="G65" s="1">
        <f t="shared" ca="1" si="4"/>
        <v>18</v>
      </c>
      <c r="H65" s="1">
        <f t="shared" ca="1" si="5"/>
        <v>4</v>
      </c>
      <c r="I65" s="1"/>
      <c r="J65" s="1">
        <f t="shared" ca="1" si="6"/>
        <v>37</v>
      </c>
      <c r="K65" s="1">
        <f t="shared" ca="1" si="7"/>
        <v>1.3192682613777225</v>
      </c>
      <c r="L65" s="1">
        <f t="shared" ca="1" si="8"/>
        <v>30</v>
      </c>
      <c r="M65" s="1"/>
      <c r="N65" s="1">
        <f t="shared" ca="1" si="9"/>
        <v>40</v>
      </c>
      <c r="O65" s="1">
        <f t="shared" ca="1" si="10"/>
        <v>11</v>
      </c>
      <c r="P65" s="1"/>
      <c r="Q65" s="1">
        <f t="shared" ca="1" si="11"/>
        <v>1.1025304432110143</v>
      </c>
      <c r="R65" s="1">
        <f t="shared" ca="1" si="12"/>
        <v>1043</v>
      </c>
      <c r="S65" s="1"/>
      <c r="T65" s="1">
        <f t="shared" ca="1" si="13"/>
        <v>0.16205807975271988</v>
      </c>
      <c r="U65" s="1">
        <f t="shared" ca="1" si="14"/>
        <v>173</v>
      </c>
      <c r="V65" s="1">
        <f t="shared" ca="1" si="15"/>
        <v>9</v>
      </c>
      <c r="W65" s="1"/>
      <c r="X65" s="1">
        <f t="shared" ca="1" si="16"/>
        <v>3.0615834720352666</v>
      </c>
      <c r="Y65" s="1">
        <f t="shared" ca="1" si="17"/>
        <v>0.15141126371890742</v>
      </c>
      <c r="Z65" s="1">
        <f t="shared" ca="1" si="18"/>
        <v>1699</v>
      </c>
      <c r="AB65" s="1">
        <f t="shared" ca="1" si="19"/>
        <v>0.77767309121132366</v>
      </c>
      <c r="AC65" s="1">
        <f t="shared" ca="1" si="20"/>
        <v>848</v>
      </c>
      <c r="AD65" s="1">
        <f t="shared" ca="1" si="21"/>
        <v>2.3479819006084956E-3</v>
      </c>
      <c r="AE65" s="1"/>
      <c r="AF65" s="1">
        <f t="shared" ca="1" si="22"/>
        <v>0.39656307827769333</v>
      </c>
      <c r="AG65" s="1">
        <f t="shared" ca="1" si="23"/>
        <v>913</v>
      </c>
      <c r="AH65" s="1">
        <f t="shared" ca="1" si="24"/>
        <v>6.0479715389971456E-3</v>
      </c>
      <c r="AJ65" s="1">
        <f t="shared" ca="1" si="25"/>
        <v>0.53461144201837152</v>
      </c>
      <c r="AK65" s="1">
        <f t="shared" ca="1" si="26"/>
        <v>1.1162959193789493E-4</v>
      </c>
      <c r="AL65" s="1"/>
      <c r="AM65" s="1">
        <f t="shared" ca="1" si="27"/>
        <v>0.18876807442882493</v>
      </c>
      <c r="AN65" s="1">
        <f t="shared" ca="1" si="28"/>
        <v>49</v>
      </c>
      <c r="AO65" s="1">
        <f t="shared" ca="1" si="29"/>
        <v>0</v>
      </c>
      <c r="AQ65" s="1">
        <f t="shared" ca="1" si="30"/>
        <v>114</v>
      </c>
      <c r="AR65" s="1">
        <f t="shared" ca="1" si="31"/>
        <v>0</v>
      </c>
      <c r="AS65" s="1">
        <f t="shared" ca="1" si="32"/>
        <v>51</v>
      </c>
      <c r="AU65" s="1">
        <f t="shared" ca="1" si="33"/>
        <v>137</v>
      </c>
      <c r="AV65" s="1">
        <f t="shared" ca="1" si="34"/>
        <v>3</v>
      </c>
      <c r="AW65" s="1">
        <f t="shared" ca="1" si="35"/>
        <v>8.0451863876924254E-2</v>
      </c>
      <c r="AY65" s="1">
        <f t="shared" ca="1" si="36"/>
        <v>1.4005095359724729</v>
      </c>
      <c r="AZ65" s="1">
        <f t="shared" ca="1" si="37"/>
        <v>326</v>
      </c>
      <c r="BA65" s="1">
        <f t="shared" ca="1" si="38"/>
        <v>3.9476115399420053E-3</v>
      </c>
      <c r="BG65" s="1">
        <f t="shared" ca="1" si="39"/>
        <v>0.28061487367782267</v>
      </c>
      <c r="BH65" s="1">
        <f t="shared" ca="1" si="40"/>
        <v>0.24767578893190978</v>
      </c>
      <c r="BI65" s="1">
        <f t="shared" ca="1" si="41"/>
        <v>402</v>
      </c>
      <c r="BV65" s="1">
        <f t="shared" ca="1" si="42"/>
        <v>0.23136974093687626</v>
      </c>
      <c r="BW65" s="1">
        <f t="shared" ca="1" si="43"/>
        <v>362</v>
      </c>
      <c r="BX65" s="1">
        <f t="shared" ca="1" si="44"/>
        <v>4.4986621004898175E-3</v>
      </c>
      <c r="BY65" s="1">
        <f t="shared" ca="1" si="45"/>
        <v>7.2567888549600598E-2</v>
      </c>
      <c r="BZ65" s="1">
        <f t="shared" ca="1" si="46"/>
        <v>0.17485112968145144</v>
      </c>
      <c r="CB65" s="1">
        <f t="shared" ca="1" si="47"/>
        <v>399</v>
      </c>
      <c r="CC65" s="1">
        <f t="shared" ca="1" si="48"/>
        <v>6</v>
      </c>
      <c r="CD65" s="1">
        <f t="shared" ca="1" si="49"/>
        <v>0.15146399653077641</v>
      </c>
      <c r="CE65" s="1">
        <f t="shared" ca="1" si="74"/>
        <v>0.73473111612659392</v>
      </c>
      <c r="CF65" s="1">
        <f t="shared" ca="1" si="74"/>
        <v>0.69046404328710509</v>
      </c>
      <c r="CH65" s="3">
        <f t="shared" ca="1" si="51"/>
        <v>0.32612094381919093</v>
      </c>
      <c r="CI65" s="3">
        <f t="shared" ca="1" si="52"/>
        <v>0.69285841251786184</v>
      </c>
      <c r="CJ65" s="3">
        <f t="shared" ca="1" si="53"/>
        <v>820</v>
      </c>
      <c r="CK65" s="3">
        <f t="shared" ca="1" si="54"/>
        <v>5.6917546314106879E-3</v>
      </c>
      <c r="CL65" s="3">
        <f t="shared" ca="1" si="55"/>
        <v>1</v>
      </c>
      <c r="CM65" s="3"/>
      <c r="CN65" s="1">
        <f t="shared" ca="1" si="56"/>
        <v>5.3165334516037683</v>
      </c>
      <c r="CO65" s="1">
        <f t="shared" ca="1" si="57"/>
        <v>0.39668970557012084</v>
      </c>
      <c r="CP65" s="1">
        <f t="shared" ca="1" si="58"/>
        <v>2</v>
      </c>
      <c r="CV65" s="1">
        <f t="shared" ca="1" si="59"/>
        <v>5.4142009998864644</v>
      </c>
      <c r="CW65" s="1">
        <f t="shared" ca="1" si="60"/>
        <v>954</v>
      </c>
      <c r="CX65" s="1">
        <f t="shared" ca="1" si="61"/>
        <v>7.9329840318376199E-3</v>
      </c>
      <c r="DH65" s="1">
        <f t="shared" ca="1" si="62"/>
        <v>845</v>
      </c>
      <c r="DI65" s="1">
        <f t="shared" ca="1" si="63"/>
        <v>0.47567613471759962</v>
      </c>
      <c r="DJ65" s="1">
        <f t="shared" ca="1" si="64"/>
        <v>4</v>
      </c>
      <c r="DL65" s="1">
        <f t="shared" ca="1" si="65"/>
        <v>0.14307757656436465</v>
      </c>
      <c r="DM65" s="1">
        <f t="shared" ca="1" si="66"/>
        <v>236</v>
      </c>
      <c r="DN65" s="1">
        <f t="shared" ca="1" si="67"/>
        <v>4</v>
      </c>
      <c r="DW65" s="1">
        <f t="shared" ca="1" si="71"/>
        <v>97</v>
      </c>
      <c r="DX65" s="1">
        <f t="shared" ca="1" si="72"/>
        <v>5</v>
      </c>
      <c r="DY65" s="1">
        <f t="shared" ca="1" si="73"/>
        <v>15</v>
      </c>
    </row>
    <row r="66" spans="2:129" x14ac:dyDescent="0.25">
      <c r="B66">
        <f t="shared" ca="1" si="0"/>
        <v>912</v>
      </c>
      <c r="C66">
        <f t="shared" ca="1" si="1"/>
        <v>20</v>
      </c>
      <c r="D66">
        <f t="shared" ca="1" si="2"/>
        <v>0.23916829508676782</v>
      </c>
      <c r="F66" s="1">
        <f t="shared" ca="1" si="3"/>
        <v>47</v>
      </c>
      <c r="G66" s="1">
        <f t="shared" ca="1" si="4"/>
        <v>16</v>
      </c>
      <c r="H66" s="1">
        <f t="shared" ca="1" si="5"/>
        <v>14</v>
      </c>
      <c r="I66" s="1"/>
      <c r="J66" s="1">
        <f t="shared" ca="1" si="6"/>
        <v>2</v>
      </c>
      <c r="K66" s="1">
        <f t="shared" ca="1" si="7"/>
        <v>2.5335144952444661</v>
      </c>
      <c r="L66" s="1">
        <f t="shared" ca="1" si="8"/>
        <v>2</v>
      </c>
      <c r="M66" s="1"/>
      <c r="N66" s="1">
        <f t="shared" ca="1" si="9"/>
        <v>396</v>
      </c>
      <c r="O66" s="1">
        <f t="shared" ca="1" si="10"/>
        <v>5</v>
      </c>
      <c r="P66" s="1"/>
      <c r="Q66" s="1">
        <f t="shared" ca="1" si="11"/>
        <v>0.94903842544970074</v>
      </c>
      <c r="R66" s="1">
        <f t="shared" ca="1" si="12"/>
        <v>494</v>
      </c>
      <c r="S66" s="1"/>
      <c r="T66" s="1">
        <f t="shared" ca="1" si="13"/>
        <v>5.0374940723322485E-2</v>
      </c>
      <c r="U66" s="1">
        <f t="shared" ca="1" si="14"/>
        <v>68</v>
      </c>
      <c r="V66" s="1">
        <f t="shared" ca="1" si="15"/>
        <v>30</v>
      </c>
      <c r="W66" s="1"/>
      <c r="X66" s="1">
        <f t="shared" ca="1" si="16"/>
        <v>5.2543884354664385</v>
      </c>
      <c r="Y66" s="1">
        <f t="shared" ca="1" si="17"/>
        <v>0.39880820880182793</v>
      </c>
      <c r="Z66" s="1">
        <f t="shared" ca="1" si="18"/>
        <v>1393</v>
      </c>
      <c r="AB66" s="1">
        <f t="shared" ca="1" si="19"/>
        <v>0.47425767374527256</v>
      </c>
      <c r="AC66" s="1">
        <f t="shared" ca="1" si="20"/>
        <v>272</v>
      </c>
      <c r="AD66" s="1">
        <f t="shared" ca="1" si="21"/>
        <v>9.1843379854902214E-3</v>
      </c>
      <c r="AE66" s="1"/>
      <c r="AF66" s="1">
        <f t="shared" ca="1" si="22"/>
        <v>0.76019092233615049</v>
      </c>
      <c r="AG66" s="1">
        <f t="shared" ca="1" si="23"/>
        <v>204</v>
      </c>
      <c r="AH66" s="1">
        <f t="shared" ca="1" si="24"/>
        <v>8.3687416469671438E-3</v>
      </c>
      <c r="AJ66" s="1">
        <f t="shared" ca="1" si="25"/>
        <v>0.92496560822932405</v>
      </c>
      <c r="AK66" s="1">
        <f t="shared" ca="1" si="26"/>
        <v>1.5551825295194509E-3</v>
      </c>
      <c r="AL66" s="1"/>
      <c r="AM66" s="1">
        <f t="shared" ca="1" si="27"/>
        <v>0.12064149117227523</v>
      </c>
      <c r="AN66" s="1">
        <f t="shared" ca="1" si="28"/>
        <v>20</v>
      </c>
      <c r="AO66" s="1">
        <f t="shared" ca="1" si="29"/>
        <v>6</v>
      </c>
      <c r="AQ66" s="1">
        <f t="shared" ca="1" si="30"/>
        <v>171</v>
      </c>
      <c r="AR66" s="1">
        <f t="shared" ca="1" si="31"/>
        <v>1</v>
      </c>
      <c r="AS66" s="1">
        <f t="shared" ca="1" si="32"/>
        <v>92</v>
      </c>
      <c r="AU66" s="1">
        <f t="shared" ca="1" si="33"/>
        <v>307</v>
      </c>
      <c r="AV66" s="1">
        <f t="shared" ca="1" si="34"/>
        <v>2</v>
      </c>
      <c r="AW66" s="1">
        <f t="shared" ca="1" si="35"/>
        <v>9.9740326076480285E-2</v>
      </c>
      <c r="AY66" s="1">
        <f t="shared" ca="1" si="36"/>
        <v>1.4793808167284919</v>
      </c>
      <c r="AZ66" s="1">
        <f t="shared" ca="1" si="37"/>
        <v>164</v>
      </c>
      <c r="BA66" s="1">
        <f t="shared" ca="1" si="38"/>
        <v>7.4231640717110025E-4</v>
      </c>
      <c r="BG66" s="1">
        <f t="shared" ca="1" si="39"/>
        <v>0.88652454523214252</v>
      </c>
      <c r="BH66" s="1">
        <f t="shared" ca="1" si="40"/>
        <v>0.28903948549356517</v>
      </c>
      <c r="BI66" s="1">
        <f t="shared" ca="1" si="41"/>
        <v>781</v>
      </c>
      <c r="BV66" s="1">
        <f t="shared" ca="1" si="42"/>
        <v>0.92914052425694793</v>
      </c>
      <c r="BW66" s="1">
        <f t="shared" ca="1" si="43"/>
        <v>186</v>
      </c>
      <c r="BX66" s="1">
        <f t="shared" ca="1" si="44"/>
        <v>3.1589596895155825E-3</v>
      </c>
      <c r="BY66" s="1">
        <f t="shared" ca="1" si="45"/>
        <v>4.4402680120385118E-2</v>
      </c>
      <c r="BZ66" s="1">
        <f t="shared" ca="1" si="46"/>
        <v>0.54684310677602055</v>
      </c>
      <c r="CB66" s="1">
        <f t="shared" ca="1" si="47"/>
        <v>496</v>
      </c>
      <c r="CC66" s="1">
        <f t="shared" ca="1" si="48"/>
        <v>15</v>
      </c>
      <c r="CD66" s="1">
        <f t="shared" ca="1" si="49"/>
        <v>0.14003225317122639</v>
      </c>
      <c r="CE66" s="1">
        <f t="shared" ca="1" si="74"/>
        <v>0.58546030939708982</v>
      </c>
      <c r="CF66" s="1">
        <f t="shared" ca="1" si="74"/>
        <v>0.73736223438574311</v>
      </c>
      <c r="CH66" s="3">
        <f t="shared" ca="1" si="51"/>
        <v>0.23239651739286063</v>
      </c>
      <c r="CI66" s="3">
        <f t="shared" ca="1" si="52"/>
        <v>0.23568196314406245</v>
      </c>
      <c r="CJ66" s="3">
        <f t="shared" ca="1" si="53"/>
        <v>1381</v>
      </c>
      <c r="CK66" s="3">
        <f t="shared" ca="1" si="54"/>
        <v>3.2422400912309811E-3</v>
      </c>
      <c r="CL66" s="3">
        <f t="shared" ca="1" si="55"/>
        <v>0</v>
      </c>
      <c r="CM66" s="3"/>
      <c r="CN66" s="1">
        <f t="shared" ca="1" si="56"/>
        <v>5.0048067953516515</v>
      </c>
      <c r="CO66" s="1">
        <f t="shared" ca="1" si="57"/>
        <v>0.39961324579369173</v>
      </c>
      <c r="CP66" s="1">
        <f t="shared" ca="1" si="58"/>
        <v>4</v>
      </c>
      <c r="CV66" s="1">
        <f t="shared" ca="1" si="59"/>
        <v>9.3714710639753829</v>
      </c>
      <c r="CW66" s="1">
        <f t="shared" ca="1" si="60"/>
        <v>284</v>
      </c>
      <c r="CX66" s="1">
        <f t="shared" ca="1" si="61"/>
        <v>5.2984731325556077E-4</v>
      </c>
      <c r="DH66" s="1">
        <f t="shared" ca="1" si="62"/>
        <v>198</v>
      </c>
      <c r="DI66" s="1">
        <f t="shared" ca="1" si="63"/>
        <v>0.15020220895320707</v>
      </c>
      <c r="DJ66" s="1">
        <f t="shared" ca="1" si="64"/>
        <v>8</v>
      </c>
      <c r="DL66" s="1">
        <f t="shared" ca="1" si="65"/>
        <v>4.9629222957154905E-2</v>
      </c>
      <c r="DM66" s="1">
        <f t="shared" ca="1" si="66"/>
        <v>74</v>
      </c>
      <c r="DN66" s="1">
        <f t="shared" ca="1" si="67"/>
        <v>2</v>
      </c>
      <c r="DW66" s="1">
        <f t="shared" ca="1" si="71"/>
        <v>357</v>
      </c>
      <c r="DX66" s="1">
        <f t="shared" ca="1" si="72"/>
        <v>17</v>
      </c>
      <c r="DY66" s="1">
        <f t="shared" ca="1" si="73"/>
        <v>7</v>
      </c>
    </row>
    <row r="67" spans="2:129" x14ac:dyDescent="0.25">
      <c r="B67">
        <f t="shared" ca="1" si="0"/>
        <v>942</v>
      </c>
      <c r="C67">
        <f t="shared" ca="1" si="1"/>
        <v>35</v>
      </c>
      <c r="D67">
        <f t="shared" ca="1" si="2"/>
        <v>0.25953951664675612</v>
      </c>
      <c r="F67" s="1">
        <f t="shared" ca="1" si="3"/>
        <v>14</v>
      </c>
      <c r="G67" s="1">
        <f t="shared" ca="1" si="4"/>
        <v>21</v>
      </c>
      <c r="H67" s="1">
        <f t="shared" ca="1" si="5"/>
        <v>1</v>
      </c>
      <c r="I67" s="1"/>
      <c r="J67" s="1">
        <f t="shared" ca="1" si="6"/>
        <v>15</v>
      </c>
      <c r="K67" s="1">
        <f t="shared" ca="1" si="7"/>
        <v>1.8327087916803655</v>
      </c>
      <c r="L67" s="1">
        <f t="shared" ca="1" si="8"/>
        <v>10</v>
      </c>
      <c r="M67" s="1"/>
      <c r="N67" s="1">
        <f t="shared" ca="1" si="9"/>
        <v>534</v>
      </c>
      <c r="O67" s="1">
        <f t="shared" ca="1" si="10"/>
        <v>9</v>
      </c>
      <c r="P67" s="1"/>
      <c r="Q67" s="1">
        <f t="shared" ca="1" si="11"/>
        <v>2.9214367319085919</v>
      </c>
      <c r="R67" s="1">
        <f t="shared" ca="1" si="12"/>
        <v>232</v>
      </c>
      <c r="S67" s="1"/>
      <c r="T67" s="1">
        <f t="shared" ca="1" si="13"/>
        <v>1.676699109721742E-2</v>
      </c>
      <c r="U67" s="1">
        <f t="shared" ca="1" si="14"/>
        <v>329</v>
      </c>
      <c r="V67" s="1">
        <f t="shared" ca="1" si="15"/>
        <v>41</v>
      </c>
      <c r="W67" s="1"/>
      <c r="X67" s="1">
        <f t="shared" ca="1" si="16"/>
        <v>0.91983464722703001</v>
      </c>
      <c r="Y67" s="1">
        <f t="shared" ca="1" si="17"/>
        <v>0.22716135013713076</v>
      </c>
      <c r="Z67" s="1">
        <f t="shared" ca="1" si="18"/>
        <v>1763</v>
      </c>
      <c r="AB67" s="1">
        <f t="shared" ca="1" si="19"/>
        <v>0.67869390532144813</v>
      </c>
      <c r="AC67" s="1">
        <f t="shared" ca="1" si="20"/>
        <v>879</v>
      </c>
      <c r="AD67" s="1">
        <f t="shared" ca="1" si="21"/>
        <v>4.0023946168119681E-3</v>
      </c>
      <c r="AE67" s="1"/>
      <c r="AF67" s="1">
        <f t="shared" ca="1" si="22"/>
        <v>0.31032131179851163</v>
      </c>
      <c r="AG67" s="1">
        <f t="shared" ca="1" si="23"/>
        <v>977</v>
      </c>
      <c r="AH67" s="1">
        <f t="shared" ca="1" si="24"/>
        <v>7.4166972031686164E-3</v>
      </c>
      <c r="AJ67" s="1">
        <f t="shared" ca="1" si="25"/>
        <v>0.94807364271124506</v>
      </c>
      <c r="AK67" s="1">
        <f t="shared" ca="1" si="26"/>
        <v>3.3557732260045972E-5</v>
      </c>
      <c r="AL67" s="1"/>
      <c r="AM67" s="1">
        <f t="shared" ca="1" si="27"/>
        <v>1.6700499810087775E-2</v>
      </c>
      <c r="AN67" s="1">
        <f t="shared" ca="1" si="28"/>
        <v>39</v>
      </c>
      <c r="AO67" s="1">
        <f t="shared" ca="1" si="29"/>
        <v>11</v>
      </c>
      <c r="AQ67" s="1">
        <f t="shared" ca="1" si="30"/>
        <v>66</v>
      </c>
      <c r="AR67" s="1">
        <f t="shared" ca="1" si="31"/>
        <v>2</v>
      </c>
      <c r="AS67" s="1">
        <f t="shared" ca="1" si="32"/>
        <v>9</v>
      </c>
      <c r="AU67" s="1">
        <f t="shared" ca="1" si="33"/>
        <v>79</v>
      </c>
      <c r="AV67" s="1">
        <f t="shared" ca="1" si="34"/>
        <v>10</v>
      </c>
      <c r="AW67" s="1">
        <f t="shared" ca="1" si="35"/>
        <v>7.4396053268133713E-2</v>
      </c>
      <c r="AY67" s="1">
        <f t="shared" ca="1" si="36"/>
        <v>1.8551487013886094</v>
      </c>
      <c r="AZ67" s="1">
        <f t="shared" ca="1" si="37"/>
        <v>182</v>
      </c>
      <c r="BA67" s="1">
        <f t="shared" ca="1" si="38"/>
        <v>2.5576307682357567E-3</v>
      </c>
      <c r="BG67" s="1">
        <f t="shared" ca="1" si="39"/>
        <v>0.9730874210264181</v>
      </c>
      <c r="BH67" s="1">
        <f t="shared" ca="1" si="40"/>
        <v>0.22978066310145506</v>
      </c>
      <c r="BI67" s="1">
        <f t="shared" ca="1" si="41"/>
        <v>656</v>
      </c>
      <c r="BV67" s="1">
        <f t="shared" ca="1" si="42"/>
        <v>0.98037845587641692</v>
      </c>
      <c r="BW67" s="1">
        <f t="shared" ca="1" si="43"/>
        <v>452</v>
      </c>
      <c r="BX67" s="1">
        <f t="shared" ca="1" si="44"/>
        <v>8.5964806464443773E-3</v>
      </c>
      <c r="BY67" s="1">
        <f t="shared" ca="1" si="45"/>
        <v>3.9865371361245613E-2</v>
      </c>
      <c r="BZ67" s="1">
        <f t="shared" ca="1" si="46"/>
        <v>0.29521141502348425</v>
      </c>
      <c r="CB67" s="1">
        <f t="shared" ca="1" si="47"/>
        <v>290</v>
      </c>
      <c r="CC67" s="1">
        <f t="shared" ca="1" si="48"/>
        <v>11</v>
      </c>
      <c r="CD67" s="1">
        <f t="shared" ca="1" si="49"/>
        <v>6.4354773445647856E-2</v>
      </c>
      <c r="CE67" s="1">
        <f t="shared" ca="1" si="74"/>
        <v>0.97236625614861216</v>
      </c>
      <c r="CF67" s="1">
        <f t="shared" ca="1" si="74"/>
        <v>0.61546015056656334</v>
      </c>
      <c r="CH67" s="3">
        <f t="shared" ca="1" si="51"/>
        <v>0.35863668297159168</v>
      </c>
      <c r="CI67" s="3">
        <f t="shared" ca="1" si="52"/>
        <v>0.65272260688175943</v>
      </c>
      <c r="CJ67" s="3">
        <f t="shared" ca="1" si="53"/>
        <v>311</v>
      </c>
      <c r="CK67" s="3">
        <f t="shared" ca="1" si="54"/>
        <v>2.2140816333829534E-3</v>
      </c>
      <c r="CL67" s="3">
        <f t="shared" ca="1" si="55"/>
        <v>0</v>
      </c>
      <c r="CM67" s="3"/>
      <c r="CN67" s="1">
        <f t="shared" ca="1" si="56"/>
        <v>12.223144236182668</v>
      </c>
      <c r="CO67" s="1">
        <f t="shared" ca="1" si="57"/>
        <v>0.2641253628750076</v>
      </c>
      <c r="CP67" s="1">
        <f t="shared" ca="1" si="58"/>
        <v>2</v>
      </c>
      <c r="CV67" s="1">
        <f t="shared" ca="1" si="59"/>
        <v>7.2807373868584069</v>
      </c>
      <c r="CW67" s="1">
        <f t="shared" ca="1" si="60"/>
        <v>1970</v>
      </c>
      <c r="CX67" s="1">
        <f t="shared" ca="1" si="61"/>
        <v>5.9070793332640162E-3</v>
      </c>
      <c r="DH67" s="1">
        <f t="shared" ca="1" si="62"/>
        <v>88</v>
      </c>
      <c r="DI67" s="1">
        <f t="shared" ca="1" si="63"/>
        <v>9.9009241649663696E-2</v>
      </c>
      <c r="DJ67" s="1">
        <f t="shared" ca="1" si="64"/>
        <v>15</v>
      </c>
      <c r="DL67" s="1">
        <f t="shared" ca="1" si="65"/>
        <v>0.18345041428265779</v>
      </c>
      <c r="DM67" s="1">
        <f t="shared" ca="1" si="66"/>
        <v>231</v>
      </c>
      <c r="DN67" s="1">
        <f t="shared" ca="1" si="67"/>
        <v>6</v>
      </c>
      <c r="DW67" s="1">
        <f t="shared" ca="1" si="71"/>
        <v>115</v>
      </c>
      <c r="DX67" s="1">
        <f t="shared" ca="1" si="72"/>
        <v>13</v>
      </c>
      <c r="DY67" s="1">
        <f t="shared" ca="1" si="73"/>
        <v>11</v>
      </c>
    </row>
    <row r="68" spans="2:129" x14ac:dyDescent="0.25">
      <c r="B68">
        <f t="shared" ref="B68:B131" ca="1" si="75">RANDBETWEEN(15,1000)</f>
        <v>751</v>
      </c>
      <c r="C68">
        <f t="shared" ref="C68:C131" ca="1" si="76">RANDBETWEEN(2,52)</f>
        <v>51</v>
      </c>
      <c r="D68">
        <f t="shared" ref="D68:D131" ca="1" si="77">RAND()*(0.3-0.01)+0.01</f>
        <v>0.29470038761903455</v>
      </c>
      <c r="F68" s="1">
        <f t="shared" ref="F68:F131" ca="1" si="78">RANDBETWEEN(2,52)</f>
        <v>52</v>
      </c>
      <c r="G68" s="1">
        <f t="shared" ref="G68:G131" ca="1" si="79">RANDBETWEEN(2,30)</f>
        <v>27</v>
      </c>
      <c r="H68" s="1">
        <f t="shared" ref="H68:H131" ca="1" si="80">RANDBETWEEN(1,15)</f>
        <v>1</v>
      </c>
      <c r="I68" s="1"/>
      <c r="J68" s="1">
        <f t="shared" ref="J68:J131" ca="1" si="81">RANDBETWEEN(1,39)</f>
        <v>36</v>
      </c>
      <c r="K68" s="1">
        <f t="shared" ref="K68:K131" ca="1" si="82">RAND()*(3-1)+1</f>
        <v>2.1688080799936884</v>
      </c>
      <c r="L68" s="1">
        <f t="shared" ref="L68:L131" ca="1" si="83">RANDBETWEEN(2,35)</f>
        <v>32</v>
      </c>
      <c r="M68" s="1"/>
      <c r="N68" s="1">
        <f t="shared" ref="N68:N131" ca="1" si="84">RANDBETWEEN(15,1000)</f>
        <v>908</v>
      </c>
      <c r="O68" s="1">
        <f t="shared" ref="O68:O131" ca="1" si="85">RANDBETWEEN(2,52)</f>
        <v>22</v>
      </c>
      <c r="P68" s="1"/>
      <c r="Q68" s="1">
        <f t="shared" ref="Q68:Q131" ca="1" si="86">RAND()*(5-0.01)+0.01</f>
        <v>3.4535088216186449</v>
      </c>
      <c r="R68" s="1">
        <f t="shared" ref="R68:R131" ca="1" si="87">RANDBETWEEN(200,1200)</f>
        <v>966</v>
      </c>
      <c r="S68" s="1"/>
      <c r="T68" s="1">
        <f t="shared" ref="T68:T131" ca="1" si="88">RAND()*(0.2-0.01)+0.01</f>
        <v>5.3562692530465757E-2</v>
      </c>
      <c r="U68" s="1">
        <f t="shared" ref="U68:U131" ca="1" si="89">RANDBETWEEN(50,450)</f>
        <v>205</v>
      </c>
      <c r="V68" s="1">
        <f t="shared" ref="V68:V131" ca="1" si="90">RANDBETWEEN(2,52)</f>
        <v>13</v>
      </c>
      <c r="W68" s="1"/>
      <c r="X68" s="1">
        <f t="shared" ref="X68:X131" ca="1" si="91">RAND()*(10-0.01)+0.01</f>
        <v>0.12147413234456189</v>
      </c>
      <c r="Y68" s="1">
        <f t="shared" ref="Y68:Y131" ca="1" si="92">RAND()*(1-0.0001)+0.0001</f>
        <v>0.77051229909234031</v>
      </c>
      <c r="Z68" s="1">
        <f t="shared" ref="Z68:Z131" ca="1" si="93">RANDBETWEEN(100,2000)</f>
        <v>613</v>
      </c>
      <c r="AB68" s="1">
        <f t="shared" ref="AB68:AB131" ca="1" si="94">RAND()*(1-0.0001)+0.0001</f>
        <v>0.12441809332376677</v>
      </c>
      <c r="AC68" s="1">
        <f t="shared" ref="AC68:AC131" ca="1" si="95">RANDBETWEEN(100,1000)</f>
        <v>244</v>
      </c>
      <c r="AD68" s="1">
        <f t="shared" ref="AD68:AD131" ca="1" si="96">RAND()*(0.01-0.00001)+0.00001</f>
        <v>7.5978277969286235E-3</v>
      </c>
      <c r="AE68" s="1"/>
      <c r="AF68" s="1">
        <f t="shared" ref="AF68:AF131" ca="1" si="97">RAND()*(0.9-0.1)+0.1</f>
        <v>0.73801552740193532</v>
      </c>
      <c r="AG68" s="1">
        <f t="shared" ref="AG68:AG131" ca="1" si="98">RANDBETWEEN(100,1000)</f>
        <v>180</v>
      </c>
      <c r="AH68" s="1">
        <f t="shared" ref="AH68:AH131" ca="1" si="99">RAND()*(0.01-0.00001)+0.00001</f>
        <v>1.4699025024408655E-3</v>
      </c>
      <c r="AJ68" s="1">
        <f t="shared" ref="AJ68:AJ131" ca="1" si="100">RAND()*(1-0)+0</f>
        <v>0.40761271189633952</v>
      </c>
      <c r="AK68" s="1">
        <f t="shared" ref="AK68:AK131" ca="1" si="101">RAND()*(0.01-0.00001)+0.00001</f>
        <v>1.0215333505397628E-3</v>
      </c>
      <c r="AL68" s="1"/>
      <c r="AM68" s="1">
        <f t="shared" ref="AM68:AM131" ca="1" si="102">RAND()*(0.2-0.005)+0.005</f>
        <v>0.16651251869772801</v>
      </c>
      <c r="AN68" s="1">
        <f t="shared" ref="AN68:AN131" ca="1" si="103">RANDBETWEEN(10,80)</f>
        <v>18</v>
      </c>
      <c r="AO68" s="1">
        <f t="shared" ref="AO68:AO131" ca="1" si="104">RANDBETWEEN(-1,20)</f>
        <v>6</v>
      </c>
      <c r="AQ68" s="1">
        <f t="shared" ref="AQ68:AQ131" ca="1" si="105">RANDBETWEEN(10,200)</f>
        <v>24</v>
      </c>
      <c r="AR68" s="1">
        <f t="shared" ref="AR68:AR131" ca="1" si="106">RANDBETWEEN(0,10)</f>
        <v>6</v>
      </c>
      <c r="AS68" s="1">
        <f t="shared" ref="AS68:AS131" ca="1" si="107">RANDBETWEEN(1,100)</f>
        <v>43</v>
      </c>
      <c r="AU68" s="1">
        <f t="shared" ref="AU68:AU131" ca="1" si="108">RANDBETWEEN(50,400)</f>
        <v>261</v>
      </c>
      <c r="AV68" s="1">
        <f t="shared" ref="AV68:AV131" ca="1" si="109">RANDBETWEEN(2,10)</f>
        <v>2</v>
      </c>
      <c r="AW68" s="1">
        <f t="shared" ref="AW68:AW131" ca="1" si="110">RAND()*(0.2-0.01)+0.01</f>
        <v>3.1885354380356522E-2</v>
      </c>
      <c r="AY68" s="1">
        <f t="shared" ref="AY68:AY131" ca="1" si="111">RAND()*(2-1.1)+1.1</f>
        <v>1.7851327843087352</v>
      </c>
      <c r="AZ68" s="1">
        <f t="shared" ref="AZ68:AZ131" ca="1" si="112">RANDBETWEEN(50,500)</f>
        <v>413</v>
      </c>
      <c r="BA68" s="1">
        <f t="shared" ref="BA68:BA131" ca="1" si="113">RAND()*(0.01-0.00001)+0.00001</f>
        <v>2.1474112702890998E-3</v>
      </c>
      <c r="BG68" s="1">
        <f t="shared" ref="BG68:BG131" ca="1" si="114">RAND()*(1-0.0001)+0.0001</f>
        <v>0.82519949953560245</v>
      </c>
      <c r="BH68" s="1">
        <f t="shared" ref="BH68:BH131" ca="1" si="115">RAND()*(1-0)+0</f>
        <v>7.5398623508355911E-3</v>
      </c>
      <c r="BI68" s="1">
        <f t="shared" ref="BI68:BI131" ca="1" si="116">RANDBETWEEN(100,1000)</f>
        <v>990</v>
      </c>
      <c r="BV68" s="1">
        <f t="shared" ref="BV68:BV131" ca="1" si="117">RAND()*(1-0.0001)+0.0001</f>
        <v>0.90653797830855154</v>
      </c>
      <c r="BW68" s="1">
        <f t="shared" ref="BW68:BW131" ca="1" si="118">RANDBETWEEN(100,1000)</f>
        <v>159</v>
      </c>
      <c r="BX68" s="1">
        <f t="shared" ref="BX68:BX131" ca="1" si="119">RAND()*(0.01-0.00001)+0.00001</f>
        <v>1.5661204255723608E-3</v>
      </c>
      <c r="BY68" s="1">
        <f t="shared" ref="BY68:BY131" ca="1" si="120">RAND()*(0.1-0.0001)+0.0001</f>
        <v>1.8685012607214488E-2</v>
      </c>
      <c r="BZ68" s="1">
        <f t="shared" ref="BZ68:BZ131" ca="1" si="121">RAND()*(1-0)+0</f>
        <v>0.1274943054558656</v>
      </c>
      <c r="CB68" s="1">
        <f t="shared" ref="CB68:CB131" ca="1" si="122">RANDBETWEEN(50,500)</f>
        <v>247</v>
      </c>
      <c r="CC68" s="1">
        <f t="shared" ref="CC68:CC131" ca="1" si="123">RANDBETWEEN(3,15)</f>
        <v>6</v>
      </c>
      <c r="CD68" s="1">
        <f t="shared" ref="CD68:CD131" ca="1" si="124">RAND()*(0.3-0.01)+0.01</f>
        <v>0.22652153493236876</v>
      </c>
      <c r="CE68" s="1">
        <f t="shared" ref="CE68:CF99" ca="1" si="125">RAND()*(1-0.5)+0.5</f>
        <v>0.58330787107504289</v>
      </c>
      <c r="CF68" s="1">
        <f t="shared" ca="1" si="125"/>
        <v>0.74095870257219565</v>
      </c>
      <c r="CH68" s="3">
        <f t="shared" ref="CH68:CH131" ca="1" si="126">RAND()*(1-0.0001)+0.0001</f>
        <v>4.6752890952086179E-2</v>
      </c>
      <c r="CI68" s="3">
        <f t="shared" ref="CI68:CI131" ca="1" si="127">RAND()*(0.99-0.01)+0.01</f>
        <v>0.74498981865662339</v>
      </c>
      <c r="CJ68" s="3">
        <f t="shared" ref="CJ68:CJ131" ca="1" si="128">RANDBETWEEN(100,2000)</f>
        <v>1650</v>
      </c>
      <c r="CK68" s="3">
        <f t="shared" ref="CK68:CK131" ca="1" si="129">RAND()*(0.01-0.000001)+0.000001</f>
        <v>9.7276912749196254E-3</v>
      </c>
      <c r="CL68" s="3">
        <f t="shared" ref="CL68:CL131" ca="1" si="130">RANDBETWEEN(0,1)</f>
        <v>0</v>
      </c>
      <c r="CM68" s="3"/>
      <c r="CN68" s="1">
        <f t="shared" ref="CN68:CN131" ca="1" si="131">RAND()*(20-0.1)+0.1</f>
        <v>3.2914883433020026</v>
      </c>
      <c r="CO68" s="1">
        <f t="shared" ref="CO68:CO131" ca="1" si="132">RAND()*(0.5-0.001)+0.001</f>
        <v>9.2903197658511349E-2</v>
      </c>
      <c r="CP68" s="1">
        <f t="shared" ref="CP68:CP131" ca="1" si="133">RANDBETWEEN(1,5)</f>
        <v>4</v>
      </c>
      <c r="CV68" s="1">
        <f t="shared" ref="CV68:CV131" ca="1" si="134">RAND()*(10-0.0001)+0.0001</f>
        <v>6.7337707489385483</v>
      </c>
      <c r="CW68" s="1">
        <f t="shared" ref="CW68:CW131" ca="1" si="135">RANDBETWEEN(100,2000)</f>
        <v>269</v>
      </c>
      <c r="CX68" s="1">
        <f t="shared" ref="CX68:CX131" ca="1" si="136">RAND()*(0.01-0.000001)+0.000001</f>
        <v>1.9624413567998662E-3</v>
      </c>
      <c r="DH68" s="1">
        <f t="shared" ref="DH68:DH131" ca="1" si="137">RANDBETWEEN(10,900)</f>
        <v>271</v>
      </c>
      <c r="DI68" s="1">
        <f t="shared" ref="DI68:DI131" ca="1" si="138">RAND()*(1-0.001)+0.001</f>
        <v>0.66992435657400029</v>
      </c>
      <c r="DJ68" s="1">
        <f t="shared" ref="DJ68:DJ131" ca="1" si="139">RANDBETWEEN(1,30)</f>
        <v>26</v>
      </c>
      <c r="DL68" s="1">
        <f t="shared" ref="DL68:DL131" ca="1" si="140">RAND()*(0.2-0.01)+0.01</f>
        <v>7.3106386434352688E-2</v>
      </c>
      <c r="DM68" s="1">
        <f t="shared" ref="DM68:DM131" ca="1" si="141">RANDBETWEEN(50,300)</f>
        <v>64</v>
      </c>
      <c r="DN68" s="1">
        <f t="shared" ref="DN68:DN131" ca="1" si="142">RANDBETWEEN(1,10)</f>
        <v>8</v>
      </c>
      <c r="DW68" s="1">
        <f t="shared" ref="DW68:DW131" ca="1" si="143">RANDBETWEEN(50,500)</f>
        <v>258</v>
      </c>
      <c r="DX68" s="1">
        <f t="shared" ref="DX68:DX131" ca="1" si="144">RANDBETWEEN(3,20)</f>
        <v>5</v>
      </c>
      <c r="DY68" s="1">
        <f t="shared" ref="DY68:DY131" ca="1" si="145">RANDBETWEEN(2,20)</f>
        <v>19</v>
      </c>
    </row>
    <row r="69" spans="2:129" x14ac:dyDescent="0.25">
      <c r="B69">
        <f t="shared" ca="1" si="75"/>
        <v>673</v>
      </c>
      <c r="C69">
        <f t="shared" ca="1" si="76"/>
        <v>24</v>
      </c>
      <c r="D69">
        <f t="shared" ca="1" si="77"/>
        <v>0.28327370867786544</v>
      </c>
      <c r="F69" s="1">
        <f t="shared" ca="1" si="78"/>
        <v>6</v>
      </c>
      <c r="G69" s="1">
        <f t="shared" ca="1" si="79"/>
        <v>2</v>
      </c>
      <c r="H69" s="1">
        <f t="shared" ca="1" si="80"/>
        <v>14</v>
      </c>
      <c r="I69" s="1"/>
      <c r="J69" s="1">
        <f t="shared" ca="1" si="81"/>
        <v>39</v>
      </c>
      <c r="K69" s="1">
        <f t="shared" ca="1" si="82"/>
        <v>2.6529847597685139</v>
      </c>
      <c r="L69" s="1">
        <f t="shared" ca="1" si="83"/>
        <v>27</v>
      </c>
      <c r="M69" s="1"/>
      <c r="N69" s="1">
        <f t="shared" ca="1" si="84"/>
        <v>612</v>
      </c>
      <c r="O69" s="1">
        <f t="shared" ca="1" si="85"/>
        <v>14</v>
      </c>
      <c r="P69" s="1"/>
      <c r="Q69" s="1">
        <f t="shared" ca="1" si="86"/>
        <v>0.2523579412337838</v>
      </c>
      <c r="R69" s="1">
        <f t="shared" ca="1" si="87"/>
        <v>455</v>
      </c>
      <c r="S69" s="1"/>
      <c r="T69" s="1">
        <f t="shared" ca="1" si="88"/>
        <v>0.19305292139584565</v>
      </c>
      <c r="U69" s="1">
        <f t="shared" ca="1" si="89"/>
        <v>194</v>
      </c>
      <c r="V69" s="1">
        <f t="shared" ca="1" si="90"/>
        <v>28</v>
      </c>
      <c r="W69" s="1"/>
      <c r="X69" s="1">
        <f t="shared" ca="1" si="91"/>
        <v>3.4996697534650321</v>
      </c>
      <c r="Y69" s="1">
        <f t="shared" ca="1" si="92"/>
        <v>6.8009981578313825E-2</v>
      </c>
      <c r="Z69" s="1">
        <f t="shared" ca="1" si="93"/>
        <v>1726</v>
      </c>
      <c r="AB69" s="1">
        <f t="shared" ca="1" si="94"/>
        <v>6.5528346338248611E-2</v>
      </c>
      <c r="AC69" s="1">
        <f t="shared" ca="1" si="95"/>
        <v>840</v>
      </c>
      <c r="AD69" s="1">
        <f t="shared" ca="1" si="96"/>
        <v>9.3041128558792388E-4</v>
      </c>
      <c r="AE69" s="1"/>
      <c r="AF69" s="1">
        <f t="shared" ca="1" si="97"/>
        <v>0.59673631863663068</v>
      </c>
      <c r="AG69" s="1">
        <f t="shared" ca="1" si="98"/>
        <v>415</v>
      </c>
      <c r="AH69" s="1">
        <f t="shared" ca="1" si="99"/>
        <v>9.7656475924509135E-4</v>
      </c>
      <c r="AJ69" s="1">
        <f t="shared" ca="1" si="100"/>
        <v>0.69865931267020265</v>
      </c>
      <c r="AK69" s="1">
        <f t="shared" ca="1" si="101"/>
        <v>4.6539572793624347E-4</v>
      </c>
      <c r="AL69" s="1"/>
      <c r="AM69" s="1">
        <f t="shared" ca="1" si="102"/>
        <v>1.4056632442928364E-2</v>
      </c>
      <c r="AN69" s="1">
        <f t="shared" ca="1" si="103"/>
        <v>76</v>
      </c>
      <c r="AO69" s="1">
        <f t="shared" ca="1" si="104"/>
        <v>1</v>
      </c>
      <c r="AQ69" s="1">
        <f t="shared" ca="1" si="105"/>
        <v>12</v>
      </c>
      <c r="AR69" s="1">
        <f t="shared" ca="1" si="106"/>
        <v>10</v>
      </c>
      <c r="AS69" s="1">
        <f t="shared" ca="1" si="107"/>
        <v>53</v>
      </c>
      <c r="AU69" s="1">
        <f t="shared" ca="1" si="108"/>
        <v>312</v>
      </c>
      <c r="AV69" s="1">
        <f t="shared" ca="1" si="109"/>
        <v>4</v>
      </c>
      <c r="AW69" s="1">
        <f t="shared" ca="1" si="110"/>
        <v>3.7835263687945389E-2</v>
      </c>
      <c r="AY69" s="1">
        <f t="shared" ca="1" si="111"/>
        <v>1.3717180247472591</v>
      </c>
      <c r="AZ69" s="1">
        <f t="shared" ca="1" si="112"/>
        <v>354</v>
      </c>
      <c r="BA69" s="1">
        <f t="shared" ca="1" si="113"/>
        <v>2.635221095486826E-3</v>
      </c>
      <c r="BG69" s="1">
        <f t="shared" ca="1" si="114"/>
        <v>9.4625632866921744E-2</v>
      </c>
      <c r="BH69" s="1">
        <f t="shared" ca="1" si="115"/>
        <v>0.3299802169698024</v>
      </c>
      <c r="BI69" s="1">
        <f t="shared" ca="1" si="116"/>
        <v>415</v>
      </c>
      <c r="BV69" s="1">
        <f t="shared" ca="1" si="117"/>
        <v>0.91136173451718017</v>
      </c>
      <c r="BW69" s="1">
        <f t="shared" ca="1" si="118"/>
        <v>517</v>
      </c>
      <c r="BX69" s="1">
        <f t="shared" ca="1" si="119"/>
        <v>2.2607912434243396E-3</v>
      </c>
      <c r="BY69" s="1">
        <f t="shared" ca="1" si="120"/>
        <v>3.964688660710694E-2</v>
      </c>
      <c r="BZ69" s="1">
        <f t="shared" ca="1" si="121"/>
        <v>0.46137259645943385</v>
      </c>
      <c r="CB69" s="1">
        <f t="shared" ca="1" si="122"/>
        <v>409</v>
      </c>
      <c r="CC69" s="1">
        <f t="shared" ca="1" si="123"/>
        <v>7</v>
      </c>
      <c r="CD69" s="1">
        <f t="shared" ca="1" si="124"/>
        <v>1.5865491118973667E-2</v>
      </c>
      <c r="CE69" s="1">
        <f t="shared" ca="1" si="125"/>
        <v>0.58101366046651415</v>
      </c>
      <c r="CF69" s="1">
        <f t="shared" ca="1" si="125"/>
        <v>0.77631294542895524</v>
      </c>
      <c r="CH69" s="3">
        <f t="shared" ca="1" si="126"/>
        <v>0.39682646962918017</v>
      </c>
      <c r="CI69" s="3">
        <f t="shared" ca="1" si="127"/>
        <v>0.36941397328348807</v>
      </c>
      <c r="CJ69" s="3">
        <f t="shared" ca="1" si="128"/>
        <v>1252</v>
      </c>
      <c r="CK69" s="3">
        <f t="shared" ca="1" si="129"/>
        <v>9.9452726423768772E-3</v>
      </c>
      <c r="CL69" s="3">
        <f t="shared" ca="1" si="130"/>
        <v>0</v>
      </c>
      <c r="CM69" s="3"/>
      <c r="CN69" s="1">
        <f t="shared" ca="1" si="131"/>
        <v>17.593049229997227</v>
      </c>
      <c r="CO69" s="1">
        <f t="shared" ca="1" si="132"/>
        <v>0.44497837615383767</v>
      </c>
      <c r="CP69" s="1">
        <f t="shared" ca="1" si="133"/>
        <v>1</v>
      </c>
      <c r="CV69" s="1">
        <f t="shared" ca="1" si="134"/>
        <v>3.9994893523304622</v>
      </c>
      <c r="CW69" s="1">
        <f t="shared" ca="1" si="135"/>
        <v>632</v>
      </c>
      <c r="CX69" s="1">
        <f t="shared" ca="1" si="136"/>
        <v>4.4927593936336281E-3</v>
      </c>
      <c r="DH69" s="1">
        <f t="shared" ca="1" si="137"/>
        <v>720</v>
      </c>
      <c r="DI69" s="1">
        <f t="shared" ca="1" si="138"/>
        <v>0.99275365529602677</v>
      </c>
      <c r="DJ69" s="1">
        <f t="shared" ca="1" si="139"/>
        <v>3</v>
      </c>
      <c r="DL69" s="1">
        <f t="shared" ca="1" si="140"/>
        <v>0.16055564741234624</v>
      </c>
      <c r="DM69" s="1">
        <f t="shared" ca="1" si="141"/>
        <v>281</v>
      </c>
      <c r="DN69" s="1">
        <f t="shared" ca="1" si="142"/>
        <v>8</v>
      </c>
      <c r="DW69" s="1">
        <f t="shared" ca="1" si="143"/>
        <v>198</v>
      </c>
      <c r="DX69" s="1">
        <f t="shared" ca="1" si="144"/>
        <v>20</v>
      </c>
      <c r="DY69" s="1">
        <f t="shared" ca="1" si="145"/>
        <v>5</v>
      </c>
    </row>
    <row r="70" spans="2:129" x14ac:dyDescent="0.25">
      <c r="B70">
        <f t="shared" ca="1" si="75"/>
        <v>578</v>
      </c>
      <c r="C70">
        <f t="shared" ca="1" si="76"/>
        <v>18</v>
      </c>
      <c r="D70">
        <f t="shared" ca="1" si="77"/>
        <v>0.18120791119192797</v>
      </c>
      <c r="F70" s="1">
        <f t="shared" ca="1" si="78"/>
        <v>14</v>
      </c>
      <c r="G70" s="1">
        <f t="shared" ca="1" si="79"/>
        <v>10</v>
      </c>
      <c r="H70" s="1">
        <f t="shared" ca="1" si="80"/>
        <v>11</v>
      </c>
      <c r="I70" s="1"/>
      <c r="J70" s="1">
        <f t="shared" ca="1" si="81"/>
        <v>27</v>
      </c>
      <c r="K70" s="1">
        <f t="shared" ca="1" si="82"/>
        <v>2.5763735353748753</v>
      </c>
      <c r="L70" s="1">
        <f t="shared" ca="1" si="83"/>
        <v>13</v>
      </c>
      <c r="M70" s="1"/>
      <c r="N70" s="1">
        <f t="shared" ca="1" si="84"/>
        <v>605</v>
      </c>
      <c r="O70" s="1">
        <f t="shared" ca="1" si="85"/>
        <v>43</v>
      </c>
      <c r="P70" s="1"/>
      <c r="Q70" s="1">
        <f t="shared" ca="1" si="86"/>
        <v>3.8343888956327654</v>
      </c>
      <c r="R70" s="1">
        <f t="shared" ca="1" si="87"/>
        <v>654</v>
      </c>
      <c r="S70" s="1"/>
      <c r="T70" s="1">
        <f t="shared" ca="1" si="88"/>
        <v>3.6438354502099396E-2</v>
      </c>
      <c r="U70" s="1">
        <f t="shared" ca="1" si="89"/>
        <v>309</v>
      </c>
      <c r="V70" s="1">
        <f t="shared" ca="1" si="90"/>
        <v>19</v>
      </c>
      <c r="W70" s="1"/>
      <c r="X70" s="1">
        <f t="shared" ca="1" si="91"/>
        <v>4.2853779669364709</v>
      </c>
      <c r="Y70" s="1">
        <f t="shared" ca="1" si="92"/>
        <v>0.13096374320755744</v>
      </c>
      <c r="Z70" s="1">
        <f t="shared" ca="1" si="93"/>
        <v>992</v>
      </c>
      <c r="AB70" s="1">
        <f t="shared" ca="1" si="94"/>
        <v>0.30188383033568605</v>
      </c>
      <c r="AC70" s="1">
        <f t="shared" ca="1" si="95"/>
        <v>956</v>
      </c>
      <c r="AD70" s="1">
        <f t="shared" ca="1" si="96"/>
        <v>9.8749533998079859E-3</v>
      </c>
      <c r="AE70" s="1"/>
      <c r="AF70" s="1">
        <f t="shared" ca="1" si="97"/>
        <v>0.69710672103424731</v>
      </c>
      <c r="AG70" s="1">
        <f t="shared" ca="1" si="98"/>
        <v>995</v>
      </c>
      <c r="AH70" s="1">
        <f t="shared" ca="1" si="99"/>
        <v>5.6755947343438765E-3</v>
      </c>
      <c r="AJ70" s="1">
        <f t="shared" ca="1" si="100"/>
        <v>0.7683334694037115</v>
      </c>
      <c r="AK70" s="1">
        <f t="shared" ca="1" si="101"/>
        <v>4.8041855435803455E-3</v>
      </c>
      <c r="AL70" s="1"/>
      <c r="AM70" s="1">
        <f t="shared" ca="1" si="102"/>
        <v>5.0509275782589728E-2</v>
      </c>
      <c r="AN70" s="1">
        <f t="shared" ca="1" si="103"/>
        <v>39</v>
      </c>
      <c r="AO70" s="1">
        <f t="shared" ca="1" si="104"/>
        <v>9</v>
      </c>
      <c r="AQ70" s="1">
        <f t="shared" ca="1" si="105"/>
        <v>26</v>
      </c>
      <c r="AR70" s="1">
        <f t="shared" ca="1" si="106"/>
        <v>0</v>
      </c>
      <c r="AS70" s="1">
        <f t="shared" ca="1" si="107"/>
        <v>32</v>
      </c>
      <c r="AU70" s="1">
        <f t="shared" ca="1" si="108"/>
        <v>259</v>
      </c>
      <c r="AV70" s="1">
        <f t="shared" ca="1" si="109"/>
        <v>6</v>
      </c>
      <c r="AW70" s="1">
        <f t="shared" ca="1" si="110"/>
        <v>9.7366543546246159E-2</v>
      </c>
      <c r="AY70" s="1">
        <f t="shared" ca="1" si="111"/>
        <v>1.2774787188614949</v>
      </c>
      <c r="AZ70" s="1">
        <f t="shared" ca="1" si="112"/>
        <v>163</v>
      </c>
      <c r="BA70" s="1">
        <f t="shared" ca="1" si="113"/>
        <v>6.8141573542750567E-3</v>
      </c>
      <c r="BG70" s="1">
        <f t="shared" ca="1" si="114"/>
        <v>1.1546115287063535E-2</v>
      </c>
      <c r="BH70" s="1">
        <f t="shared" ca="1" si="115"/>
        <v>0.18731037551308793</v>
      </c>
      <c r="BI70" s="1">
        <f t="shared" ca="1" si="116"/>
        <v>676</v>
      </c>
      <c r="BV70" s="1">
        <f t="shared" ca="1" si="117"/>
        <v>0.27661933090345164</v>
      </c>
      <c r="BW70" s="1">
        <f t="shared" ca="1" si="118"/>
        <v>237</v>
      </c>
      <c r="BX70" s="1">
        <f t="shared" ca="1" si="119"/>
        <v>3.6685821900267548E-3</v>
      </c>
      <c r="BY70" s="1">
        <f t="shared" ca="1" si="120"/>
        <v>6.3518036972870881E-2</v>
      </c>
      <c r="BZ70" s="1">
        <f t="shared" ca="1" si="121"/>
        <v>0.26710525841552135</v>
      </c>
      <c r="CB70" s="1">
        <f t="shared" ca="1" si="122"/>
        <v>51</v>
      </c>
      <c r="CC70" s="1">
        <f t="shared" ca="1" si="123"/>
        <v>10</v>
      </c>
      <c r="CD70" s="1">
        <f t="shared" ca="1" si="124"/>
        <v>9.0203845516868345E-2</v>
      </c>
      <c r="CE70" s="1">
        <f t="shared" ca="1" si="125"/>
        <v>0.63449979333025319</v>
      </c>
      <c r="CF70" s="1">
        <f t="shared" ca="1" si="125"/>
        <v>0.54647990211536213</v>
      </c>
      <c r="CH70" s="3">
        <f t="shared" ca="1" si="126"/>
        <v>0.49720574299850306</v>
      </c>
      <c r="CI70" s="3">
        <f t="shared" ca="1" si="127"/>
        <v>0.38911785183864506</v>
      </c>
      <c r="CJ70" s="3">
        <f t="shared" ca="1" si="128"/>
        <v>1677</v>
      </c>
      <c r="CK70" s="3">
        <f t="shared" ca="1" si="129"/>
        <v>4.161974004377126E-3</v>
      </c>
      <c r="CL70" s="3">
        <f t="shared" ca="1" si="130"/>
        <v>0</v>
      </c>
      <c r="CM70" s="3"/>
      <c r="CN70" s="1">
        <f t="shared" ca="1" si="131"/>
        <v>16.137919038538655</v>
      </c>
      <c r="CO70" s="1">
        <f t="shared" ca="1" si="132"/>
        <v>4.0672828552245997E-3</v>
      </c>
      <c r="CP70" s="1">
        <f t="shared" ca="1" si="133"/>
        <v>3</v>
      </c>
      <c r="CV70" s="1">
        <f t="shared" ca="1" si="134"/>
        <v>3.6950994985223429</v>
      </c>
      <c r="CW70" s="1">
        <f t="shared" ca="1" si="135"/>
        <v>1244</v>
      </c>
      <c r="CX70" s="1">
        <f t="shared" ca="1" si="136"/>
        <v>2.1557335401907454E-3</v>
      </c>
      <c r="DH70" s="1">
        <f t="shared" ca="1" si="137"/>
        <v>290</v>
      </c>
      <c r="DI70" s="1">
        <f t="shared" ca="1" si="138"/>
        <v>0.5532955829841637</v>
      </c>
      <c r="DJ70" s="1">
        <f t="shared" ca="1" si="139"/>
        <v>7</v>
      </c>
      <c r="DL70" s="1">
        <f t="shared" ca="1" si="140"/>
        <v>2.1950998493594089E-2</v>
      </c>
      <c r="DM70" s="1">
        <f t="shared" ca="1" si="141"/>
        <v>92</v>
      </c>
      <c r="DN70" s="1">
        <f t="shared" ca="1" si="142"/>
        <v>2</v>
      </c>
      <c r="DW70" s="1">
        <f t="shared" ca="1" si="143"/>
        <v>485</v>
      </c>
      <c r="DX70" s="1">
        <f t="shared" ca="1" si="144"/>
        <v>9</v>
      </c>
      <c r="DY70" s="1">
        <f t="shared" ca="1" si="145"/>
        <v>18</v>
      </c>
    </row>
    <row r="71" spans="2:129" x14ac:dyDescent="0.25">
      <c r="B71">
        <f t="shared" ca="1" si="75"/>
        <v>689</v>
      </c>
      <c r="C71">
        <f t="shared" ca="1" si="76"/>
        <v>20</v>
      </c>
      <c r="D71">
        <f t="shared" ca="1" si="77"/>
        <v>0.13220699767022856</v>
      </c>
      <c r="F71" s="1">
        <f t="shared" ca="1" si="78"/>
        <v>43</v>
      </c>
      <c r="G71" s="1">
        <f t="shared" ca="1" si="79"/>
        <v>25</v>
      </c>
      <c r="H71" s="1">
        <f t="shared" ca="1" si="80"/>
        <v>8</v>
      </c>
      <c r="I71" s="1"/>
      <c r="J71" s="1">
        <f t="shared" ca="1" si="81"/>
        <v>28</v>
      </c>
      <c r="K71" s="1">
        <f t="shared" ca="1" si="82"/>
        <v>1.5304376553723964</v>
      </c>
      <c r="L71" s="1">
        <f t="shared" ca="1" si="83"/>
        <v>13</v>
      </c>
      <c r="M71" s="1"/>
      <c r="N71" s="1">
        <f t="shared" ca="1" si="84"/>
        <v>628</v>
      </c>
      <c r="O71" s="1">
        <f t="shared" ca="1" si="85"/>
        <v>32</v>
      </c>
      <c r="P71" s="1"/>
      <c r="Q71" s="1">
        <f t="shared" ca="1" si="86"/>
        <v>0.61608147663499258</v>
      </c>
      <c r="R71" s="1">
        <f t="shared" ca="1" si="87"/>
        <v>1138</v>
      </c>
      <c r="S71" s="1"/>
      <c r="T71" s="1">
        <f t="shared" ca="1" si="88"/>
        <v>0.18330447646516834</v>
      </c>
      <c r="U71" s="1">
        <f t="shared" ca="1" si="89"/>
        <v>182</v>
      </c>
      <c r="V71" s="1">
        <f t="shared" ca="1" si="90"/>
        <v>2</v>
      </c>
      <c r="W71" s="1"/>
      <c r="X71" s="1">
        <f t="shared" ca="1" si="91"/>
        <v>3.3285516484061808</v>
      </c>
      <c r="Y71" s="1">
        <f t="shared" ca="1" si="92"/>
        <v>0.60622712146458368</v>
      </c>
      <c r="Z71" s="1">
        <f t="shared" ca="1" si="93"/>
        <v>1355</v>
      </c>
      <c r="AB71" s="1">
        <f t="shared" ca="1" si="94"/>
        <v>0.33149012244348264</v>
      </c>
      <c r="AC71" s="1">
        <f t="shared" ca="1" si="95"/>
        <v>970</v>
      </c>
      <c r="AD71" s="1">
        <f t="shared" ca="1" si="96"/>
        <v>2.0431812493586842E-4</v>
      </c>
      <c r="AE71" s="1"/>
      <c r="AF71" s="1">
        <f t="shared" ca="1" si="97"/>
        <v>0.57470887239258694</v>
      </c>
      <c r="AG71" s="1">
        <f t="shared" ca="1" si="98"/>
        <v>885</v>
      </c>
      <c r="AH71" s="1">
        <f t="shared" ca="1" si="99"/>
        <v>7.4557876397200714E-3</v>
      </c>
      <c r="AJ71" s="1">
        <f t="shared" ca="1" si="100"/>
        <v>0.6610588432327662</v>
      </c>
      <c r="AK71" s="1">
        <f t="shared" ca="1" si="101"/>
        <v>2.1824902990663824E-3</v>
      </c>
      <c r="AL71" s="1"/>
      <c r="AM71" s="1">
        <f t="shared" ca="1" si="102"/>
        <v>0.12795207359453623</v>
      </c>
      <c r="AN71" s="1">
        <f t="shared" ca="1" si="103"/>
        <v>57</v>
      </c>
      <c r="AO71" s="1">
        <f t="shared" ca="1" si="104"/>
        <v>9</v>
      </c>
      <c r="AQ71" s="1">
        <f t="shared" ca="1" si="105"/>
        <v>184</v>
      </c>
      <c r="AR71" s="1">
        <f t="shared" ca="1" si="106"/>
        <v>2</v>
      </c>
      <c r="AS71" s="1">
        <f t="shared" ca="1" si="107"/>
        <v>33</v>
      </c>
      <c r="AU71" s="1">
        <f t="shared" ca="1" si="108"/>
        <v>336</v>
      </c>
      <c r="AV71" s="1">
        <f t="shared" ca="1" si="109"/>
        <v>9</v>
      </c>
      <c r="AW71" s="1">
        <f t="shared" ca="1" si="110"/>
        <v>0.12933841413671102</v>
      </c>
      <c r="AY71" s="1">
        <f t="shared" ca="1" si="111"/>
        <v>1.9002505071216076</v>
      </c>
      <c r="AZ71" s="1">
        <f t="shared" ca="1" si="112"/>
        <v>68</v>
      </c>
      <c r="BA71" s="1">
        <f t="shared" ca="1" si="113"/>
        <v>2.9540381939953328E-3</v>
      </c>
      <c r="BG71" s="1">
        <f t="shared" ca="1" si="114"/>
        <v>0.12215458776449903</v>
      </c>
      <c r="BH71" s="1">
        <f t="shared" ca="1" si="115"/>
        <v>0.38801700601481393</v>
      </c>
      <c r="BI71" s="1">
        <f t="shared" ca="1" si="116"/>
        <v>866</v>
      </c>
      <c r="BV71" s="1">
        <f t="shared" ca="1" si="117"/>
        <v>0.1581344284475662</v>
      </c>
      <c r="BW71" s="1">
        <f t="shared" ca="1" si="118"/>
        <v>656</v>
      </c>
      <c r="BX71" s="1">
        <f t="shared" ca="1" si="119"/>
        <v>6.1803560485082483E-3</v>
      </c>
      <c r="BY71" s="1">
        <f t="shared" ca="1" si="120"/>
        <v>4.6509111037257828E-2</v>
      </c>
      <c r="BZ71" s="1">
        <f t="shared" ca="1" si="121"/>
        <v>0.75872750247369347</v>
      </c>
      <c r="CB71" s="1">
        <f t="shared" ca="1" si="122"/>
        <v>355</v>
      </c>
      <c r="CC71" s="1">
        <f t="shared" ca="1" si="123"/>
        <v>4</v>
      </c>
      <c r="CD71" s="1">
        <f t="shared" ca="1" si="124"/>
        <v>2.4731772814779888E-2</v>
      </c>
      <c r="CE71" s="1">
        <f t="shared" ca="1" si="125"/>
        <v>0.50531621178298247</v>
      </c>
      <c r="CF71" s="1">
        <f t="shared" ca="1" si="125"/>
        <v>0.78655998320825937</v>
      </c>
      <c r="CH71" s="3">
        <f t="shared" ca="1" si="126"/>
        <v>0.55881088559303238</v>
      </c>
      <c r="CI71" s="3">
        <f t="shared" ca="1" si="127"/>
        <v>0.60492820077379017</v>
      </c>
      <c r="CJ71" s="3">
        <f t="shared" ca="1" si="128"/>
        <v>700</v>
      </c>
      <c r="CK71" s="3">
        <f t="shared" ca="1" si="129"/>
        <v>3.6985537878859685E-3</v>
      </c>
      <c r="CL71" s="3">
        <f t="shared" ca="1" si="130"/>
        <v>0</v>
      </c>
      <c r="CM71" s="3"/>
      <c r="CN71" s="1">
        <f t="shared" ca="1" si="131"/>
        <v>11.918619857620914</v>
      </c>
      <c r="CO71" s="1">
        <f t="shared" ca="1" si="132"/>
        <v>0.41855017777507564</v>
      </c>
      <c r="CP71" s="1">
        <f t="shared" ca="1" si="133"/>
        <v>2</v>
      </c>
      <c r="CV71" s="1">
        <f t="shared" ca="1" si="134"/>
        <v>4.5941649142916923</v>
      </c>
      <c r="CW71" s="1">
        <f t="shared" ca="1" si="135"/>
        <v>527</v>
      </c>
      <c r="CX71" s="1">
        <f t="shared" ca="1" si="136"/>
        <v>4.266353341292068E-3</v>
      </c>
      <c r="DH71" s="1">
        <f t="shared" ca="1" si="137"/>
        <v>502</v>
      </c>
      <c r="DI71" s="1">
        <f t="shared" ca="1" si="138"/>
        <v>0.32182694242416837</v>
      </c>
      <c r="DJ71" s="1">
        <f t="shared" ca="1" si="139"/>
        <v>3</v>
      </c>
      <c r="DL71" s="1">
        <f t="shared" ca="1" si="140"/>
        <v>0.16257518303593005</v>
      </c>
      <c r="DM71" s="1">
        <f t="shared" ca="1" si="141"/>
        <v>88</v>
      </c>
      <c r="DN71" s="1">
        <f t="shared" ca="1" si="142"/>
        <v>10</v>
      </c>
      <c r="DW71" s="1">
        <f t="shared" ca="1" si="143"/>
        <v>177</v>
      </c>
      <c r="DX71" s="1">
        <f t="shared" ca="1" si="144"/>
        <v>3</v>
      </c>
      <c r="DY71" s="1">
        <f t="shared" ca="1" si="145"/>
        <v>6</v>
      </c>
    </row>
    <row r="72" spans="2:129" x14ac:dyDescent="0.25">
      <c r="B72">
        <f t="shared" ca="1" si="75"/>
        <v>160</v>
      </c>
      <c r="C72">
        <f t="shared" ca="1" si="76"/>
        <v>22</v>
      </c>
      <c r="D72">
        <f t="shared" ca="1" si="77"/>
        <v>0.13350843623388908</v>
      </c>
      <c r="F72" s="1">
        <f t="shared" ca="1" si="78"/>
        <v>46</v>
      </c>
      <c r="G72" s="1">
        <f t="shared" ca="1" si="79"/>
        <v>4</v>
      </c>
      <c r="H72" s="1">
        <f t="shared" ca="1" si="80"/>
        <v>1</v>
      </c>
      <c r="I72" s="1"/>
      <c r="J72" s="1">
        <f t="shared" ca="1" si="81"/>
        <v>26</v>
      </c>
      <c r="K72" s="1">
        <f t="shared" ca="1" si="82"/>
        <v>1.1371842846048748</v>
      </c>
      <c r="L72" s="1">
        <f t="shared" ca="1" si="83"/>
        <v>9</v>
      </c>
      <c r="M72" s="1"/>
      <c r="N72" s="1">
        <f t="shared" ca="1" si="84"/>
        <v>763</v>
      </c>
      <c r="O72" s="1">
        <f t="shared" ca="1" si="85"/>
        <v>8</v>
      </c>
      <c r="P72" s="1"/>
      <c r="Q72" s="1">
        <f t="shared" ca="1" si="86"/>
        <v>3.4035955295168998</v>
      </c>
      <c r="R72" s="1">
        <f t="shared" ca="1" si="87"/>
        <v>1021</v>
      </c>
      <c r="S72" s="1"/>
      <c r="T72" s="1">
        <f t="shared" ca="1" si="88"/>
        <v>5.5516429884609565E-2</v>
      </c>
      <c r="U72" s="1">
        <f t="shared" ca="1" si="89"/>
        <v>233</v>
      </c>
      <c r="V72" s="1">
        <f t="shared" ca="1" si="90"/>
        <v>39</v>
      </c>
      <c r="W72" s="1"/>
      <c r="X72" s="1">
        <f t="shared" ca="1" si="91"/>
        <v>6.8532810105544275</v>
      </c>
      <c r="Y72" s="1">
        <f t="shared" ca="1" si="92"/>
        <v>0.34437628518171354</v>
      </c>
      <c r="Z72" s="1">
        <f t="shared" ca="1" si="93"/>
        <v>1046</v>
      </c>
      <c r="AB72" s="1">
        <f t="shared" ca="1" si="94"/>
        <v>0.17733810274334119</v>
      </c>
      <c r="AC72" s="1">
        <f t="shared" ca="1" si="95"/>
        <v>857</v>
      </c>
      <c r="AD72" s="1">
        <f t="shared" ca="1" si="96"/>
        <v>9.7134178948049283E-4</v>
      </c>
      <c r="AE72" s="1"/>
      <c r="AF72" s="1">
        <f t="shared" ca="1" si="97"/>
        <v>0.70162549445619249</v>
      </c>
      <c r="AG72" s="1">
        <f t="shared" ca="1" si="98"/>
        <v>499</v>
      </c>
      <c r="AH72" s="1">
        <f t="shared" ca="1" si="99"/>
        <v>4.1957537108984228E-4</v>
      </c>
      <c r="AJ72" s="1">
        <f t="shared" ca="1" si="100"/>
        <v>0.16011117139503372</v>
      </c>
      <c r="AK72" s="1">
        <f t="shared" ca="1" si="101"/>
        <v>9.9837414007624137E-3</v>
      </c>
      <c r="AL72" s="1"/>
      <c r="AM72" s="1">
        <f t="shared" ca="1" si="102"/>
        <v>9.8192342667857438E-2</v>
      </c>
      <c r="AN72" s="1">
        <f t="shared" ca="1" si="103"/>
        <v>59</v>
      </c>
      <c r="AO72" s="1">
        <f t="shared" ca="1" si="104"/>
        <v>11</v>
      </c>
      <c r="AQ72" s="1">
        <f t="shared" ca="1" si="105"/>
        <v>16</v>
      </c>
      <c r="AR72" s="1">
        <f t="shared" ca="1" si="106"/>
        <v>9</v>
      </c>
      <c r="AS72" s="1">
        <f t="shared" ca="1" si="107"/>
        <v>5</v>
      </c>
      <c r="AU72" s="1">
        <f t="shared" ca="1" si="108"/>
        <v>342</v>
      </c>
      <c r="AV72" s="1">
        <f t="shared" ca="1" si="109"/>
        <v>10</v>
      </c>
      <c r="AW72" s="1">
        <f t="shared" ca="1" si="110"/>
        <v>7.9539599106574085E-2</v>
      </c>
      <c r="AY72" s="1">
        <f t="shared" ca="1" si="111"/>
        <v>1.8038169704145199</v>
      </c>
      <c r="AZ72" s="1">
        <f t="shared" ca="1" si="112"/>
        <v>224</v>
      </c>
      <c r="BA72" s="1">
        <f t="shared" ca="1" si="113"/>
        <v>8.7927295787206053E-3</v>
      </c>
      <c r="BG72" s="1">
        <f t="shared" ca="1" si="114"/>
        <v>0.17098225348595741</v>
      </c>
      <c r="BH72" s="1">
        <f t="shared" ca="1" si="115"/>
        <v>0.21427943153449325</v>
      </c>
      <c r="BI72" s="1">
        <f t="shared" ca="1" si="116"/>
        <v>777</v>
      </c>
      <c r="BV72" s="1">
        <f t="shared" ca="1" si="117"/>
        <v>0.4921766275763555</v>
      </c>
      <c r="BW72" s="1">
        <f t="shared" ca="1" si="118"/>
        <v>328</v>
      </c>
      <c r="BX72" s="1">
        <f t="shared" ca="1" si="119"/>
        <v>2.3540131773924131E-3</v>
      </c>
      <c r="BY72" s="1">
        <f t="shared" ca="1" si="120"/>
        <v>4.589983095514364E-2</v>
      </c>
      <c r="BZ72" s="1">
        <f t="shared" ca="1" si="121"/>
        <v>0.7072436723230483</v>
      </c>
      <c r="CB72" s="1">
        <f t="shared" ca="1" si="122"/>
        <v>334</v>
      </c>
      <c r="CC72" s="1">
        <f t="shared" ca="1" si="123"/>
        <v>15</v>
      </c>
      <c r="CD72" s="1">
        <f t="shared" ca="1" si="124"/>
        <v>0.27541447231195954</v>
      </c>
      <c r="CE72" s="1">
        <f t="shared" ca="1" si="125"/>
        <v>0.98188874360653944</v>
      </c>
      <c r="CF72" s="1">
        <f t="shared" ca="1" si="125"/>
        <v>0.80560864198882332</v>
      </c>
      <c r="CH72" s="3">
        <f t="shared" ca="1" si="126"/>
        <v>0.71590031762006245</v>
      </c>
      <c r="CI72" s="3">
        <f t="shared" ca="1" si="127"/>
        <v>0.18254827752434266</v>
      </c>
      <c r="CJ72" s="3">
        <f t="shared" ca="1" si="128"/>
        <v>632</v>
      </c>
      <c r="CK72" s="3">
        <f t="shared" ca="1" si="129"/>
        <v>6.0262738438093073E-4</v>
      </c>
      <c r="CL72" s="3">
        <f t="shared" ca="1" si="130"/>
        <v>0</v>
      </c>
      <c r="CM72" s="3"/>
      <c r="CN72" s="1">
        <f t="shared" ca="1" si="131"/>
        <v>10.691266579364029</v>
      </c>
      <c r="CO72" s="1">
        <f t="shared" ca="1" si="132"/>
        <v>0.18523388200728466</v>
      </c>
      <c r="CP72" s="1">
        <f t="shared" ca="1" si="133"/>
        <v>5</v>
      </c>
      <c r="CV72" s="1">
        <f t="shared" ca="1" si="134"/>
        <v>4.816534652476677</v>
      </c>
      <c r="CW72" s="1">
        <f t="shared" ca="1" si="135"/>
        <v>1901</v>
      </c>
      <c r="CX72" s="1">
        <f t="shared" ca="1" si="136"/>
        <v>8.3187788325365039E-3</v>
      </c>
      <c r="DH72" s="1">
        <f t="shared" ca="1" si="137"/>
        <v>645</v>
      </c>
      <c r="DI72" s="1">
        <f t="shared" ca="1" si="138"/>
        <v>0.81448324437535324</v>
      </c>
      <c r="DJ72" s="1">
        <f t="shared" ca="1" si="139"/>
        <v>9</v>
      </c>
      <c r="DL72" s="1">
        <f t="shared" ca="1" si="140"/>
        <v>0.15909207620054289</v>
      </c>
      <c r="DM72" s="1">
        <f t="shared" ca="1" si="141"/>
        <v>92</v>
      </c>
      <c r="DN72" s="1">
        <f t="shared" ca="1" si="142"/>
        <v>4</v>
      </c>
      <c r="DW72" s="1">
        <f t="shared" ca="1" si="143"/>
        <v>104</v>
      </c>
      <c r="DX72" s="1">
        <f t="shared" ca="1" si="144"/>
        <v>20</v>
      </c>
      <c r="DY72" s="1">
        <f t="shared" ca="1" si="145"/>
        <v>7</v>
      </c>
    </row>
    <row r="73" spans="2:129" x14ac:dyDescent="0.25">
      <c r="B73">
        <f t="shared" ca="1" si="75"/>
        <v>657</v>
      </c>
      <c r="C73">
        <f t="shared" ca="1" si="76"/>
        <v>16</v>
      </c>
      <c r="D73">
        <f t="shared" ca="1" si="77"/>
        <v>0.17269597540154255</v>
      </c>
      <c r="F73" s="1">
        <f t="shared" ca="1" si="78"/>
        <v>44</v>
      </c>
      <c r="G73" s="1">
        <f t="shared" ca="1" si="79"/>
        <v>8</v>
      </c>
      <c r="H73" s="1">
        <f t="shared" ca="1" si="80"/>
        <v>7</v>
      </c>
      <c r="I73" s="1"/>
      <c r="J73" s="1">
        <f t="shared" ca="1" si="81"/>
        <v>37</v>
      </c>
      <c r="K73" s="1">
        <f t="shared" ca="1" si="82"/>
        <v>2.967559824722831</v>
      </c>
      <c r="L73" s="1">
        <f t="shared" ca="1" si="83"/>
        <v>14</v>
      </c>
      <c r="M73" s="1"/>
      <c r="N73" s="1">
        <f t="shared" ca="1" si="84"/>
        <v>775</v>
      </c>
      <c r="O73" s="1">
        <f t="shared" ca="1" si="85"/>
        <v>3</v>
      </c>
      <c r="P73" s="1"/>
      <c r="Q73" s="1">
        <f t="shared" ca="1" si="86"/>
        <v>2.225127332984413</v>
      </c>
      <c r="R73" s="1">
        <f t="shared" ca="1" si="87"/>
        <v>1092</v>
      </c>
      <c r="S73" s="1"/>
      <c r="T73" s="1">
        <f t="shared" ca="1" si="88"/>
        <v>0.18459664030817594</v>
      </c>
      <c r="U73" s="1">
        <f t="shared" ca="1" si="89"/>
        <v>255</v>
      </c>
      <c r="V73" s="1">
        <f t="shared" ca="1" si="90"/>
        <v>11</v>
      </c>
      <c r="W73" s="1"/>
      <c r="X73" s="1">
        <f t="shared" ca="1" si="91"/>
        <v>6.9987490805420682</v>
      </c>
      <c r="Y73" s="1">
        <f t="shared" ca="1" si="92"/>
        <v>0.43639348596883715</v>
      </c>
      <c r="Z73" s="1">
        <f t="shared" ca="1" si="93"/>
        <v>1002</v>
      </c>
      <c r="AB73" s="1">
        <f t="shared" ca="1" si="94"/>
        <v>7.796305829947639E-2</v>
      </c>
      <c r="AC73" s="1">
        <f t="shared" ca="1" si="95"/>
        <v>897</v>
      </c>
      <c r="AD73" s="1">
        <f t="shared" ca="1" si="96"/>
        <v>4.4766150096985464E-3</v>
      </c>
      <c r="AE73" s="1"/>
      <c r="AF73" s="1">
        <f t="shared" ca="1" si="97"/>
        <v>0.52390787613454992</v>
      </c>
      <c r="AG73" s="1">
        <f t="shared" ca="1" si="98"/>
        <v>280</v>
      </c>
      <c r="AH73" s="1">
        <f t="shared" ca="1" si="99"/>
        <v>1.4850867689378965E-3</v>
      </c>
      <c r="AJ73" s="1">
        <f t="shared" ca="1" si="100"/>
        <v>0.21587390107621163</v>
      </c>
      <c r="AK73" s="1">
        <f t="shared" ca="1" si="101"/>
        <v>1.4199473842829895E-4</v>
      </c>
      <c r="AL73" s="1"/>
      <c r="AM73" s="1">
        <f t="shared" ca="1" si="102"/>
        <v>9.1968904319142925E-2</v>
      </c>
      <c r="AN73" s="1">
        <f t="shared" ca="1" si="103"/>
        <v>72</v>
      </c>
      <c r="AO73" s="1">
        <f t="shared" ca="1" si="104"/>
        <v>2</v>
      </c>
      <c r="AQ73" s="1">
        <f t="shared" ca="1" si="105"/>
        <v>162</v>
      </c>
      <c r="AR73" s="1">
        <f t="shared" ca="1" si="106"/>
        <v>4</v>
      </c>
      <c r="AS73" s="1">
        <f t="shared" ca="1" si="107"/>
        <v>30</v>
      </c>
      <c r="AU73" s="1">
        <f t="shared" ca="1" si="108"/>
        <v>56</v>
      </c>
      <c r="AV73" s="1">
        <f t="shared" ca="1" si="109"/>
        <v>9</v>
      </c>
      <c r="AW73" s="1">
        <f t="shared" ca="1" si="110"/>
        <v>7.5692436737804861E-2</v>
      </c>
      <c r="AY73" s="1">
        <f t="shared" ca="1" si="111"/>
        <v>1.4330485384057305</v>
      </c>
      <c r="AZ73" s="1">
        <f t="shared" ca="1" si="112"/>
        <v>175</v>
      </c>
      <c r="BA73" s="1">
        <f t="shared" ca="1" si="113"/>
        <v>5.8242108913678006E-3</v>
      </c>
      <c r="BG73" s="1">
        <f t="shared" ca="1" si="114"/>
        <v>0.23387203567256268</v>
      </c>
      <c r="BH73" s="1">
        <f t="shared" ca="1" si="115"/>
        <v>0.90625046164579681</v>
      </c>
      <c r="BI73" s="1">
        <f t="shared" ca="1" si="116"/>
        <v>719</v>
      </c>
      <c r="BV73" s="1">
        <f t="shared" ca="1" si="117"/>
        <v>0.55803802921376233</v>
      </c>
      <c r="BW73" s="1">
        <f t="shared" ca="1" si="118"/>
        <v>810</v>
      </c>
      <c r="BX73" s="1">
        <f t="shared" ca="1" si="119"/>
        <v>6.0212629536020518E-3</v>
      </c>
      <c r="BY73" s="1">
        <f t="shared" ca="1" si="120"/>
        <v>7.1410143559480818E-2</v>
      </c>
      <c r="BZ73" s="1">
        <f t="shared" ca="1" si="121"/>
        <v>0.44414459656089067</v>
      </c>
      <c r="CB73" s="1">
        <f t="shared" ca="1" si="122"/>
        <v>255</v>
      </c>
      <c r="CC73" s="1">
        <f t="shared" ca="1" si="123"/>
        <v>6</v>
      </c>
      <c r="CD73" s="1">
        <f t="shared" ca="1" si="124"/>
        <v>0.1864703804688331</v>
      </c>
      <c r="CE73" s="1">
        <f t="shared" ca="1" si="125"/>
        <v>0.87314223246839529</v>
      </c>
      <c r="CF73" s="1">
        <f t="shared" ca="1" si="125"/>
        <v>0.96899695445290446</v>
      </c>
      <c r="CH73" s="3">
        <f t="shared" ca="1" si="126"/>
        <v>0.44738230693636388</v>
      </c>
      <c r="CI73" s="3">
        <f t="shared" ca="1" si="127"/>
        <v>0.65732918576379484</v>
      </c>
      <c r="CJ73" s="3">
        <f t="shared" ca="1" si="128"/>
        <v>387</v>
      </c>
      <c r="CK73" s="3">
        <f t="shared" ca="1" si="129"/>
        <v>7.1584076139918733E-3</v>
      </c>
      <c r="CL73" s="3">
        <f t="shared" ca="1" si="130"/>
        <v>0</v>
      </c>
      <c r="CM73" s="3"/>
      <c r="CN73" s="1">
        <f t="shared" ca="1" si="131"/>
        <v>3.8356710402871643</v>
      </c>
      <c r="CO73" s="1">
        <f t="shared" ca="1" si="132"/>
        <v>0.22266213395552215</v>
      </c>
      <c r="CP73" s="1">
        <f t="shared" ca="1" si="133"/>
        <v>1</v>
      </c>
      <c r="CV73" s="1">
        <f t="shared" ca="1" si="134"/>
        <v>9.6968990195957847</v>
      </c>
      <c r="CW73" s="1">
        <f t="shared" ca="1" si="135"/>
        <v>799</v>
      </c>
      <c r="CX73" s="1">
        <f t="shared" ca="1" si="136"/>
        <v>7.6656966794411844E-3</v>
      </c>
      <c r="DH73" s="1">
        <f t="shared" ca="1" si="137"/>
        <v>89</v>
      </c>
      <c r="DI73" s="1">
        <f t="shared" ca="1" si="138"/>
        <v>0.77518290436233073</v>
      </c>
      <c r="DJ73" s="1">
        <f t="shared" ca="1" si="139"/>
        <v>9</v>
      </c>
      <c r="DL73" s="1">
        <f t="shared" ca="1" si="140"/>
        <v>8.66246741333732E-2</v>
      </c>
      <c r="DM73" s="1">
        <f t="shared" ca="1" si="141"/>
        <v>188</v>
      </c>
      <c r="DN73" s="1">
        <f t="shared" ca="1" si="142"/>
        <v>5</v>
      </c>
      <c r="DW73" s="1">
        <f t="shared" ca="1" si="143"/>
        <v>487</v>
      </c>
      <c r="DX73" s="1">
        <f t="shared" ca="1" si="144"/>
        <v>15</v>
      </c>
      <c r="DY73" s="1">
        <f t="shared" ca="1" si="145"/>
        <v>5</v>
      </c>
    </row>
    <row r="74" spans="2:129" x14ac:dyDescent="0.25">
      <c r="B74">
        <f t="shared" ca="1" si="75"/>
        <v>935</v>
      </c>
      <c r="C74">
        <f t="shared" ca="1" si="76"/>
        <v>26</v>
      </c>
      <c r="D74">
        <f t="shared" ca="1" si="77"/>
        <v>8.3544690783205908E-2</v>
      </c>
      <c r="F74" s="1">
        <f t="shared" ca="1" si="78"/>
        <v>9</v>
      </c>
      <c r="G74" s="1">
        <f t="shared" ca="1" si="79"/>
        <v>28</v>
      </c>
      <c r="H74" s="1">
        <f t="shared" ca="1" si="80"/>
        <v>15</v>
      </c>
      <c r="I74" s="1"/>
      <c r="J74" s="1">
        <f t="shared" ca="1" si="81"/>
        <v>17</v>
      </c>
      <c r="K74" s="1">
        <f t="shared" ca="1" si="82"/>
        <v>2.2866040775755652</v>
      </c>
      <c r="L74" s="1">
        <f t="shared" ca="1" si="83"/>
        <v>17</v>
      </c>
      <c r="M74" s="1"/>
      <c r="N74" s="1">
        <f t="shared" ca="1" si="84"/>
        <v>827</v>
      </c>
      <c r="O74" s="1">
        <f t="shared" ca="1" si="85"/>
        <v>29</v>
      </c>
      <c r="P74" s="1"/>
      <c r="Q74" s="1">
        <f t="shared" ca="1" si="86"/>
        <v>2.0927886816289503</v>
      </c>
      <c r="R74" s="1">
        <f t="shared" ca="1" si="87"/>
        <v>814</v>
      </c>
      <c r="S74" s="1"/>
      <c r="T74" s="1">
        <f t="shared" ca="1" si="88"/>
        <v>0.18779101719329197</v>
      </c>
      <c r="U74" s="1">
        <f t="shared" ca="1" si="89"/>
        <v>98</v>
      </c>
      <c r="V74" s="1">
        <f t="shared" ca="1" si="90"/>
        <v>17</v>
      </c>
      <c r="W74" s="1"/>
      <c r="X74" s="1">
        <f t="shared" ca="1" si="91"/>
        <v>6.6340648498274035E-2</v>
      </c>
      <c r="Y74" s="1">
        <f t="shared" ca="1" si="92"/>
        <v>0.83717373264293105</v>
      </c>
      <c r="Z74" s="1">
        <f t="shared" ca="1" si="93"/>
        <v>1260</v>
      </c>
      <c r="AB74" s="1">
        <f t="shared" ca="1" si="94"/>
        <v>0.70511262278920994</v>
      </c>
      <c r="AC74" s="1">
        <f t="shared" ca="1" si="95"/>
        <v>308</v>
      </c>
      <c r="AD74" s="1">
        <f t="shared" ca="1" si="96"/>
        <v>9.7305258196963662E-4</v>
      </c>
      <c r="AE74" s="1"/>
      <c r="AF74" s="1">
        <f t="shared" ca="1" si="97"/>
        <v>0.56887408910980575</v>
      </c>
      <c r="AG74" s="1">
        <f t="shared" ca="1" si="98"/>
        <v>973</v>
      </c>
      <c r="AH74" s="1">
        <f t="shared" ca="1" si="99"/>
        <v>3.7882105297084912E-3</v>
      </c>
      <c r="AJ74" s="1">
        <f t="shared" ca="1" si="100"/>
        <v>0.52959899290064294</v>
      </c>
      <c r="AK74" s="1">
        <f t="shared" ca="1" si="101"/>
        <v>5.5182253924870922E-3</v>
      </c>
      <c r="AL74" s="1"/>
      <c r="AM74" s="1">
        <f t="shared" ca="1" si="102"/>
        <v>0.12361221966111287</v>
      </c>
      <c r="AN74" s="1">
        <f t="shared" ca="1" si="103"/>
        <v>11</v>
      </c>
      <c r="AO74" s="1">
        <f t="shared" ca="1" si="104"/>
        <v>10</v>
      </c>
      <c r="AQ74" s="1">
        <f t="shared" ca="1" si="105"/>
        <v>141</v>
      </c>
      <c r="AR74" s="1">
        <f t="shared" ca="1" si="106"/>
        <v>9</v>
      </c>
      <c r="AS74" s="1">
        <f t="shared" ca="1" si="107"/>
        <v>81</v>
      </c>
      <c r="AU74" s="1">
        <f t="shared" ca="1" si="108"/>
        <v>76</v>
      </c>
      <c r="AV74" s="1">
        <f t="shared" ca="1" si="109"/>
        <v>8</v>
      </c>
      <c r="AW74" s="1">
        <f t="shared" ca="1" si="110"/>
        <v>8.275510672597533E-2</v>
      </c>
      <c r="AY74" s="1">
        <f t="shared" ca="1" si="111"/>
        <v>1.9314492883535697</v>
      </c>
      <c r="AZ74" s="1">
        <f t="shared" ca="1" si="112"/>
        <v>497</v>
      </c>
      <c r="BA74" s="1">
        <f t="shared" ca="1" si="113"/>
        <v>4.4127222578735801E-3</v>
      </c>
      <c r="BG74" s="1">
        <f t="shared" ca="1" si="114"/>
        <v>0.45759912996723218</v>
      </c>
      <c r="BH74" s="1">
        <f t="shared" ca="1" si="115"/>
        <v>0.95229975625524488</v>
      </c>
      <c r="BI74" s="1">
        <f t="shared" ca="1" si="116"/>
        <v>837</v>
      </c>
      <c r="BV74" s="1">
        <f t="shared" ca="1" si="117"/>
        <v>0.34063655679164578</v>
      </c>
      <c r="BW74" s="1">
        <f t="shared" ca="1" si="118"/>
        <v>632</v>
      </c>
      <c r="BX74" s="1">
        <f t="shared" ca="1" si="119"/>
        <v>9.5722420293529124E-3</v>
      </c>
      <c r="BY74" s="1">
        <f t="shared" ca="1" si="120"/>
        <v>4.8085290425025747E-2</v>
      </c>
      <c r="BZ74" s="1">
        <f t="shared" ca="1" si="121"/>
        <v>0.41429788966872461</v>
      </c>
      <c r="CB74" s="1">
        <f t="shared" ca="1" si="122"/>
        <v>171</v>
      </c>
      <c r="CC74" s="1">
        <f t="shared" ca="1" si="123"/>
        <v>11</v>
      </c>
      <c r="CD74" s="1">
        <f t="shared" ca="1" si="124"/>
        <v>6.5138582621901198E-2</v>
      </c>
      <c r="CE74" s="1">
        <f t="shared" ca="1" si="125"/>
        <v>0.64367150631495385</v>
      </c>
      <c r="CF74" s="1">
        <f t="shared" ca="1" si="125"/>
        <v>0.97512810752633328</v>
      </c>
      <c r="CH74" s="3">
        <f t="shared" ca="1" si="126"/>
        <v>0.11579282274833781</v>
      </c>
      <c r="CI74" s="3">
        <f t="shared" ca="1" si="127"/>
        <v>0.37449951967589173</v>
      </c>
      <c r="CJ74" s="3">
        <f t="shared" ca="1" si="128"/>
        <v>106</v>
      </c>
      <c r="CK74" s="3">
        <f t="shared" ca="1" si="129"/>
        <v>4.5678932113369947E-3</v>
      </c>
      <c r="CL74" s="3">
        <f t="shared" ca="1" si="130"/>
        <v>1</v>
      </c>
      <c r="CM74" s="3"/>
      <c r="CN74" s="1">
        <f t="shared" ca="1" si="131"/>
        <v>11.536990987986636</v>
      </c>
      <c r="CO74" s="1">
        <f t="shared" ca="1" si="132"/>
        <v>7.865275318165986E-2</v>
      </c>
      <c r="CP74" s="1">
        <f t="shared" ca="1" si="133"/>
        <v>5</v>
      </c>
      <c r="CV74" s="1">
        <f t="shared" ca="1" si="134"/>
        <v>5.4708586340121244</v>
      </c>
      <c r="CW74" s="1">
        <f t="shared" ca="1" si="135"/>
        <v>981</v>
      </c>
      <c r="CX74" s="1">
        <f t="shared" ca="1" si="136"/>
        <v>8.9955755310024976E-3</v>
      </c>
      <c r="DH74" s="1">
        <f t="shared" ca="1" si="137"/>
        <v>398</v>
      </c>
      <c r="DI74" s="1">
        <f t="shared" ca="1" si="138"/>
        <v>0.8701906035943392</v>
      </c>
      <c r="DJ74" s="1">
        <f t="shared" ca="1" si="139"/>
        <v>26</v>
      </c>
      <c r="DL74" s="1">
        <f t="shared" ca="1" si="140"/>
        <v>1.7032032678952425E-2</v>
      </c>
      <c r="DM74" s="1">
        <f t="shared" ca="1" si="141"/>
        <v>215</v>
      </c>
      <c r="DN74" s="1">
        <f t="shared" ca="1" si="142"/>
        <v>3</v>
      </c>
      <c r="DW74" s="1">
        <f t="shared" ca="1" si="143"/>
        <v>220</v>
      </c>
      <c r="DX74" s="1">
        <f t="shared" ca="1" si="144"/>
        <v>18</v>
      </c>
      <c r="DY74" s="1">
        <f t="shared" ca="1" si="145"/>
        <v>4</v>
      </c>
    </row>
    <row r="75" spans="2:129" x14ac:dyDescent="0.25">
      <c r="B75">
        <f t="shared" ca="1" si="75"/>
        <v>909</v>
      </c>
      <c r="C75">
        <f t="shared" ca="1" si="76"/>
        <v>31</v>
      </c>
      <c r="D75">
        <f t="shared" ca="1" si="77"/>
        <v>0.22611364302910397</v>
      </c>
      <c r="F75" s="1">
        <f t="shared" ca="1" si="78"/>
        <v>16</v>
      </c>
      <c r="G75" s="1">
        <f t="shared" ca="1" si="79"/>
        <v>24</v>
      </c>
      <c r="H75" s="1">
        <f t="shared" ca="1" si="80"/>
        <v>9</v>
      </c>
      <c r="I75" s="1"/>
      <c r="J75" s="1">
        <f t="shared" ca="1" si="81"/>
        <v>25</v>
      </c>
      <c r="K75" s="1">
        <f t="shared" ca="1" si="82"/>
        <v>2.5972883242266738</v>
      </c>
      <c r="L75" s="1">
        <f t="shared" ca="1" si="83"/>
        <v>19</v>
      </c>
      <c r="M75" s="1"/>
      <c r="N75" s="1">
        <f t="shared" ca="1" si="84"/>
        <v>548</v>
      </c>
      <c r="O75" s="1">
        <f t="shared" ca="1" si="85"/>
        <v>23</v>
      </c>
      <c r="P75" s="1"/>
      <c r="Q75" s="1">
        <f t="shared" ca="1" si="86"/>
        <v>4.9761581812658005</v>
      </c>
      <c r="R75" s="1">
        <f t="shared" ca="1" si="87"/>
        <v>700</v>
      </c>
      <c r="S75" s="1"/>
      <c r="T75" s="1">
        <f t="shared" ca="1" si="88"/>
        <v>5.0578674631104742E-2</v>
      </c>
      <c r="U75" s="1">
        <f t="shared" ca="1" si="89"/>
        <v>138</v>
      </c>
      <c r="V75" s="1">
        <f t="shared" ca="1" si="90"/>
        <v>38</v>
      </c>
      <c r="W75" s="1"/>
      <c r="X75" s="1">
        <f t="shared" ca="1" si="91"/>
        <v>9.4663634082967825</v>
      </c>
      <c r="Y75" s="1">
        <f t="shared" ca="1" si="92"/>
        <v>0.80654870756358588</v>
      </c>
      <c r="Z75" s="1">
        <f t="shared" ca="1" si="93"/>
        <v>198</v>
      </c>
      <c r="AB75" s="1">
        <f t="shared" ca="1" si="94"/>
        <v>0.86777655271908438</v>
      </c>
      <c r="AC75" s="1">
        <f t="shared" ca="1" si="95"/>
        <v>120</v>
      </c>
      <c r="AD75" s="1">
        <f t="shared" ca="1" si="96"/>
        <v>3.324105689764799E-3</v>
      </c>
      <c r="AE75" s="1"/>
      <c r="AF75" s="1">
        <f t="shared" ca="1" si="97"/>
        <v>0.37407105164176779</v>
      </c>
      <c r="AG75" s="1">
        <f t="shared" ca="1" si="98"/>
        <v>960</v>
      </c>
      <c r="AH75" s="1">
        <f t="shared" ca="1" si="99"/>
        <v>6.305485196391708E-3</v>
      </c>
      <c r="AJ75" s="1">
        <f t="shared" ca="1" si="100"/>
        <v>0.14444603110497245</v>
      </c>
      <c r="AK75" s="1">
        <f t="shared" ca="1" si="101"/>
        <v>2.7945737354262575E-3</v>
      </c>
      <c r="AL75" s="1"/>
      <c r="AM75" s="1">
        <f t="shared" ca="1" si="102"/>
        <v>0.17507255940101668</v>
      </c>
      <c r="AN75" s="1">
        <f t="shared" ca="1" si="103"/>
        <v>46</v>
      </c>
      <c r="AO75" s="1">
        <f t="shared" ca="1" si="104"/>
        <v>8</v>
      </c>
      <c r="AQ75" s="1">
        <f t="shared" ca="1" si="105"/>
        <v>185</v>
      </c>
      <c r="AR75" s="1">
        <f t="shared" ca="1" si="106"/>
        <v>3</v>
      </c>
      <c r="AS75" s="1">
        <f t="shared" ca="1" si="107"/>
        <v>65</v>
      </c>
      <c r="AU75" s="1">
        <f t="shared" ca="1" si="108"/>
        <v>125</v>
      </c>
      <c r="AV75" s="1">
        <f t="shared" ca="1" si="109"/>
        <v>5</v>
      </c>
      <c r="AW75" s="1">
        <f t="shared" ca="1" si="110"/>
        <v>0.10195455208920252</v>
      </c>
      <c r="AY75" s="1">
        <f t="shared" ca="1" si="111"/>
        <v>1.9823711375545043</v>
      </c>
      <c r="AZ75" s="1">
        <f t="shared" ca="1" si="112"/>
        <v>141</v>
      </c>
      <c r="BA75" s="1">
        <f t="shared" ca="1" si="113"/>
        <v>7.2344325023293325E-3</v>
      </c>
      <c r="BG75" s="1">
        <f t="shared" ca="1" si="114"/>
        <v>0.77360421269993784</v>
      </c>
      <c r="BH75" s="1">
        <f t="shared" ca="1" si="115"/>
        <v>0.73295803894904243</v>
      </c>
      <c r="BI75" s="1">
        <f t="shared" ca="1" si="116"/>
        <v>605</v>
      </c>
      <c r="BV75" s="1">
        <f t="shared" ca="1" si="117"/>
        <v>0.34814724725895496</v>
      </c>
      <c r="BW75" s="1">
        <f t="shared" ca="1" si="118"/>
        <v>775</v>
      </c>
      <c r="BX75" s="1">
        <f t="shared" ca="1" si="119"/>
        <v>5.561446363820173E-3</v>
      </c>
      <c r="BY75" s="1">
        <f t="shared" ca="1" si="120"/>
        <v>1.6301160662055791E-2</v>
      </c>
      <c r="BZ75" s="1">
        <f t="shared" ca="1" si="121"/>
        <v>0.19062534845803569</v>
      </c>
      <c r="CB75" s="1">
        <f t="shared" ca="1" si="122"/>
        <v>446</v>
      </c>
      <c r="CC75" s="1">
        <f t="shared" ca="1" si="123"/>
        <v>9</v>
      </c>
      <c r="CD75" s="1">
        <f t="shared" ca="1" si="124"/>
        <v>0.13041291819007397</v>
      </c>
      <c r="CE75" s="1">
        <f t="shared" ca="1" si="125"/>
        <v>0.92282792459656227</v>
      </c>
      <c r="CF75" s="1">
        <f t="shared" ca="1" si="125"/>
        <v>0.5287523147687484</v>
      </c>
      <c r="CH75" s="3">
        <f t="shared" ca="1" si="126"/>
        <v>0.38524505094090578</v>
      </c>
      <c r="CI75" s="3">
        <f t="shared" ca="1" si="127"/>
        <v>0.85254626663659439</v>
      </c>
      <c r="CJ75" s="3">
        <f t="shared" ca="1" si="128"/>
        <v>1169</v>
      </c>
      <c r="CK75" s="3">
        <f t="shared" ca="1" si="129"/>
        <v>3.0848251246262453E-3</v>
      </c>
      <c r="CL75" s="3">
        <f t="shared" ca="1" si="130"/>
        <v>0</v>
      </c>
      <c r="CM75" s="3"/>
      <c r="CN75" s="1">
        <f t="shared" ca="1" si="131"/>
        <v>8.2778583376611117</v>
      </c>
      <c r="CO75" s="1">
        <f t="shared" ca="1" si="132"/>
        <v>0.19966654327020777</v>
      </c>
      <c r="CP75" s="1">
        <f t="shared" ca="1" si="133"/>
        <v>3</v>
      </c>
      <c r="CV75" s="1">
        <f t="shared" ca="1" si="134"/>
        <v>5.2076573505448502</v>
      </c>
      <c r="CW75" s="1">
        <f t="shared" ca="1" si="135"/>
        <v>559</v>
      </c>
      <c r="CX75" s="1">
        <f t="shared" ca="1" si="136"/>
        <v>9.9503768765070314E-4</v>
      </c>
      <c r="DH75" s="1">
        <f t="shared" ca="1" si="137"/>
        <v>867</v>
      </c>
      <c r="DI75" s="1">
        <f t="shared" ca="1" si="138"/>
        <v>0.2355575018140682</v>
      </c>
      <c r="DJ75" s="1">
        <f t="shared" ca="1" si="139"/>
        <v>8</v>
      </c>
      <c r="DL75" s="1">
        <f t="shared" ca="1" si="140"/>
        <v>0.19917963897594199</v>
      </c>
      <c r="DM75" s="1">
        <f t="shared" ca="1" si="141"/>
        <v>298</v>
      </c>
      <c r="DN75" s="1">
        <f t="shared" ca="1" si="142"/>
        <v>9</v>
      </c>
      <c r="DW75" s="1">
        <f t="shared" ca="1" si="143"/>
        <v>106</v>
      </c>
      <c r="DX75" s="1">
        <f t="shared" ca="1" si="144"/>
        <v>6</v>
      </c>
      <c r="DY75" s="1">
        <f t="shared" ca="1" si="145"/>
        <v>11</v>
      </c>
    </row>
    <row r="76" spans="2:129" x14ac:dyDescent="0.25">
      <c r="B76">
        <f t="shared" ca="1" si="75"/>
        <v>793</v>
      </c>
      <c r="C76">
        <f t="shared" ca="1" si="76"/>
        <v>41</v>
      </c>
      <c r="D76">
        <f t="shared" ca="1" si="77"/>
        <v>0.27707445259146901</v>
      </c>
      <c r="F76" s="1">
        <f t="shared" ca="1" si="78"/>
        <v>36</v>
      </c>
      <c r="G76" s="1">
        <f t="shared" ca="1" si="79"/>
        <v>27</v>
      </c>
      <c r="H76" s="1">
        <f t="shared" ca="1" si="80"/>
        <v>1</v>
      </c>
      <c r="I76" s="1"/>
      <c r="J76" s="1">
        <f t="shared" ca="1" si="81"/>
        <v>1</v>
      </c>
      <c r="K76" s="1">
        <f t="shared" ca="1" si="82"/>
        <v>1.7101587699529617</v>
      </c>
      <c r="L76" s="1">
        <f t="shared" ca="1" si="83"/>
        <v>35</v>
      </c>
      <c r="M76" s="1"/>
      <c r="N76" s="1">
        <f t="shared" ca="1" si="84"/>
        <v>410</v>
      </c>
      <c r="O76" s="1">
        <f t="shared" ca="1" si="85"/>
        <v>30</v>
      </c>
      <c r="P76" s="1"/>
      <c r="Q76" s="1">
        <f t="shared" ca="1" si="86"/>
        <v>2.2838992905079434</v>
      </c>
      <c r="R76" s="1">
        <f t="shared" ca="1" si="87"/>
        <v>1183</v>
      </c>
      <c r="S76" s="1"/>
      <c r="T76" s="1">
        <f t="shared" ca="1" si="88"/>
        <v>0.1263675894346272</v>
      </c>
      <c r="U76" s="1">
        <f t="shared" ca="1" si="89"/>
        <v>214</v>
      </c>
      <c r="V76" s="1">
        <f t="shared" ca="1" si="90"/>
        <v>27</v>
      </c>
      <c r="W76" s="1"/>
      <c r="X76" s="1">
        <f t="shared" ca="1" si="91"/>
        <v>8.7795120931712756</v>
      </c>
      <c r="Y76" s="1">
        <f t="shared" ca="1" si="92"/>
        <v>0.27921016969522622</v>
      </c>
      <c r="Z76" s="1">
        <f t="shared" ca="1" si="93"/>
        <v>1709</v>
      </c>
      <c r="AB76" s="1">
        <f t="shared" ca="1" si="94"/>
        <v>7.1580393909340886E-2</v>
      </c>
      <c r="AC76" s="1">
        <f t="shared" ca="1" si="95"/>
        <v>971</v>
      </c>
      <c r="AD76" s="1">
        <f t="shared" ca="1" si="96"/>
        <v>4.891469618294429E-4</v>
      </c>
      <c r="AE76" s="1"/>
      <c r="AF76" s="1">
        <f t="shared" ca="1" si="97"/>
        <v>0.10396265881726273</v>
      </c>
      <c r="AG76" s="1">
        <f t="shared" ca="1" si="98"/>
        <v>984</v>
      </c>
      <c r="AH76" s="1">
        <f t="shared" ca="1" si="99"/>
        <v>4.8524206304541885E-3</v>
      </c>
      <c r="AJ76" s="1">
        <f t="shared" ca="1" si="100"/>
        <v>6.1136149557876496E-2</v>
      </c>
      <c r="AK76" s="1">
        <f t="shared" ca="1" si="101"/>
        <v>9.0502852672314314E-3</v>
      </c>
      <c r="AL76" s="1"/>
      <c r="AM76" s="1">
        <f t="shared" ca="1" si="102"/>
        <v>0.18400329563508511</v>
      </c>
      <c r="AN76" s="1">
        <f t="shared" ca="1" si="103"/>
        <v>22</v>
      </c>
      <c r="AO76" s="1">
        <f t="shared" ca="1" si="104"/>
        <v>9</v>
      </c>
      <c r="AQ76" s="1">
        <f t="shared" ca="1" si="105"/>
        <v>98</v>
      </c>
      <c r="AR76" s="1">
        <f t="shared" ca="1" si="106"/>
        <v>10</v>
      </c>
      <c r="AS76" s="1">
        <f t="shared" ca="1" si="107"/>
        <v>84</v>
      </c>
      <c r="AU76" s="1">
        <f t="shared" ca="1" si="108"/>
        <v>87</v>
      </c>
      <c r="AV76" s="1">
        <f t="shared" ca="1" si="109"/>
        <v>4</v>
      </c>
      <c r="AW76" s="1">
        <f t="shared" ca="1" si="110"/>
        <v>2.0453102106263991E-2</v>
      </c>
      <c r="AY76" s="1">
        <f t="shared" ca="1" si="111"/>
        <v>1.9059317768930788</v>
      </c>
      <c r="AZ76" s="1">
        <f t="shared" ca="1" si="112"/>
        <v>420</v>
      </c>
      <c r="BA76" s="1">
        <f t="shared" ca="1" si="113"/>
        <v>9.2585084864614167E-3</v>
      </c>
      <c r="BG76" s="1">
        <f t="shared" ca="1" si="114"/>
        <v>0.66180728491169427</v>
      </c>
      <c r="BH76" s="1">
        <f t="shared" ca="1" si="115"/>
        <v>0.77324749376311042</v>
      </c>
      <c r="BI76" s="1">
        <f t="shared" ca="1" si="116"/>
        <v>349</v>
      </c>
      <c r="BV76" s="1">
        <f t="shared" ca="1" si="117"/>
        <v>0.62909409206231925</v>
      </c>
      <c r="BW76" s="1">
        <f t="shared" ca="1" si="118"/>
        <v>286</v>
      </c>
      <c r="BX76" s="1">
        <f t="shared" ca="1" si="119"/>
        <v>6.1169521547888668E-3</v>
      </c>
      <c r="BY76" s="1">
        <f t="shared" ca="1" si="120"/>
        <v>4.7299817685236764E-2</v>
      </c>
      <c r="BZ76" s="1">
        <f t="shared" ca="1" si="121"/>
        <v>0.1106791534362267</v>
      </c>
      <c r="CB76" s="1">
        <f t="shared" ca="1" si="122"/>
        <v>494</v>
      </c>
      <c r="CC76" s="1">
        <f t="shared" ca="1" si="123"/>
        <v>4</v>
      </c>
      <c r="CD76" s="1">
        <f t="shared" ca="1" si="124"/>
        <v>3.7170111004677563E-2</v>
      </c>
      <c r="CE76" s="1">
        <f t="shared" ca="1" si="125"/>
        <v>0.92691495681090974</v>
      </c>
      <c r="CF76" s="1">
        <f t="shared" ca="1" si="125"/>
        <v>0.78048792321015314</v>
      </c>
      <c r="CH76" s="3">
        <f t="shared" ca="1" si="126"/>
        <v>0.48844534801433842</v>
      </c>
      <c r="CI76" s="3">
        <f t="shared" ca="1" si="127"/>
        <v>0.26412816068259504</v>
      </c>
      <c r="CJ76" s="3">
        <f t="shared" ca="1" si="128"/>
        <v>332</v>
      </c>
      <c r="CK76" s="3">
        <f t="shared" ca="1" si="129"/>
        <v>7.0721984048063343E-3</v>
      </c>
      <c r="CL76" s="3">
        <f t="shared" ca="1" si="130"/>
        <v>1</v>
      </c>
      <c r="CM76" s="3"/>
      <c r="CN76" s="1">
        <f t="shared" ca="1" si="131"/>
        <v>8.9890542495259229</v>
      </c>
      <c r="CO76" s="1">
        <f t="shared" ca="1" si="132"/>
        <v>0.25772315167974336</v>
      </c>
      <c r="CP76" s="1">
        <f t="shared" ca="1" si="133"/>
        <v>5</v>
      </c>
      <c r="CV76" s="1">
        <f t="shared" ca="1" si="134"/>
        <v>6.9736011559323874</v>
      </c>
      <c r="CW76" s="1">
        <f t="shared" ca="1" si="135"/>
        <v>911</v>
      </c>
      <c r="CX76" s="1">
        <f t="shared" ca="1" si="136"/>
        <v>7.2523140802795488E-3</v>
      </c>
      <c r="DH76" s="1">
        <f t="shared" ca="1" si="137"/>
        <v>747</v>
      </c>
      <c r="DI76" s="1">
        <f t="shared" ca="1" si="138"/>
        <v>0.86424213885385581</v>
      </c>
      <c r="DJ76" s="1">
        <f t="shared" ca="1" si="139"/>
        <v>4</v>
      </c>
      <c r="DL76" s="1">
        <f t="shared" ca="1" si="140"/>
        <v>0.13348556040078341</v>
      </c>
      <c r="DM76" s="1">
        <f t="shared" ca="1" si="141"/>
        <v>55</v>
      </c>
      <c r="DN76" s="1">
        <f t="shared" ca="1" si="142"/>
        <v>10</v>
      </c>
      <c r="DW76" s="1">
        <f t="shared" ca="1" si="143"/>
        <v>152</v>
      </c>
      <c r="DX76" s="1">
        <f t="shared" ca="1" si="144"/>
        <v>12</v>
      </c>
      <c r="DY76" s="1">
        <f t="shared" ca="1" si="145"/>
        <v>7</v>
      </c>
    </row>
    <row r="77" spans="2:129" x14ac:dyDescent="0.25">
      <c r="B77">
        <f t="shared" ca="1" si="75"/>
        <v>415</v>
      </c>
      <c r="C77">
        <f t="shared" ca="1" si="76"/>
        <v>35</v>
      </c>
      <c r="D77">
        <f t="shared" ca="1" si="77"/>
        <v>0.23322000719516212</v>
      </c>
      <c r="F77" s="1">
        <f t="shared" ca="1" si="78"/>
        <v>33</v>
      </c>
      <c r="G77" s="1">
        <f t="shared" ca="1" si="79"/>
        <v>20</v>
      </c>
      <c r="H77" s="1">
        <f t="shared" ca="1" si="80"/>
        <v>11</v>
      </c>
      <c r="I77" s="1"/>
      <c r="J77" s="1">
        <f t="shared" ca="1" si="81"/>
        <v>9</v>
      </c>
      <c r="K77" s="1">
        <f t="shared" ca="1" si="82"/>
        <v>1.1055543952074747</v>
      </c>
      <c r="L77" s="1">
        <f t="shared" ca="1" si="83"/>
        <v>26</v>
      </c>
      <c r="M77" s="1"/>
      <c r="N77" s="1">
        <f t="shared" ca="1" si="84"/>
        <v>769</v>
      </c>
      <c r="O77" s="1">
        <f t="shared" ca="1" si="85"/>
        <v>22</v>
      </c>
      <c r="P77" s="1"/>
      <c r="Q77" s="1">
        <f t="shared" ca="1" si="86"/>
        <v>3.5342168836365739</v>
      </c>
      <c r="R77" s="1">
        <f t="shared" ca="1" si="87"/>
        <v>969</v>
      </c>
      <c r="S77" s="1"/>
      <c r="T77" s="1">
        <f t="shared" ca="1" si="88"/>
        <v>2.9383974283025124E-2</v>
      </c>
      <c r="U77" s="1">
        <f t="shared" ca="1" si="89"/>
        <v>274</v>
      </c>
      <c r="V77" s="1">
        <f t="shared" ca="1" si="90"/>
        <v>15</v>
      </c>
      <c r="W77" s="1"/>
      <c r="X77" s="1">
        <f t="shared" ca="1" si="91"/>
        <v>3.5708434194053602</v>
      </c>
      <c r="Y77" s="1">
        <f t="shared" ca="1" si="92"/>
        <v>0.40437982979791709</v>
      </c>
      <c r="Z77" s="1">
        <f t="shared" ca="1" si="93"/>
        <v>970</v>
      </c>
      <c r="AB77" s="1">
        <f t="shared" ca="1" si="94"/>
        <v>0.49573589472027979</v>
      </c>
      <c r="AC77" s="1">
        <f t="shared" ca="1" si="95"/>
        <v>237</v>
      </c>
      <c r="AD77" s="1">
        <f t="shared" ca="1" si="96"/>
        <v>7.6045561680588222E-3</v>
      </c>
      <c r="AE77" s="1"/>
      <c r="AF77" s="1">
        <f t="shared" ca="1" si="97"/>
        <v>0.66031727611410262</v>
      </c>
      <c r="AG77" s="1">
        <f t="shared" ca="1" si="98"/>
        <v>289</v>
      </c>
      <c r="AH77" s="1">
        <f t="shared" ca="1" si="99"/>
        <v>4.8876486935385422E-3</v>
      </c>
      <c r="AJ77" s="1">
        <f t="shared" ca="1" si="100"/>
        <v>0.65403131871937426</v>
      </c>
      <c r="AK77" s="1">
        <f t="shared" ca="1" si="101"/>
        <v>4.7706939487028284E-3</v>
      </c>
      <c r="AL77" s="1"/>
      <c r="AM77" s="1">
        <f t="shared" ca="1" si="102"/>
        <v>9.8633937337128233E-2</v>
      </c>
      <c r="AN77" s="1">
        <f t="shared" ca="1" si="103"/>
        <v>76</v>
      </c>
      <c r="AO77" s="1">
        <f t="shared" ca="1" si="104"/>
        <v>4</v>
      </c>
      <c r="AQ77" s="1">
        <f t="shared" ca="1" si="105"/>
        <v>185</v>
      </c>
      <c r="AR77" s="1">
        <f t="shared" ca="1" si="106"/>
        <v>0</v>
      </c>
      <c r="AS77" s="1">
        <f t="shared" ca="1" si="107"/>
        <v>86</v>
      </c>
      <c r="AU77" s="1">
        <f t="shared" ca="1" si="108"/>
        <v>187</v>
      </c>
      <c r="AV77" s="1">
        <f t="shared" ca="1" si="109"/>
        <v>2</v>
      </c>
      <c r="AW77" s="1">
        <f t="shared" ca="1" si="110"/>
        <v>0.1540727852757062</v>
      </c>
      <c r="AY77" s="1">
        <f t="shared" ca="1" si="111"/>
        <v>1.2376363498555598</v>
      </c>
      <c r="AZ77" s="1">
        <f t="shared" ca="1" si="112"/>
        <v>459</v>
      </c>
      <c r="BA77" s="1">
        <f t="shared" ca="1" si="113"/>
        <v>2.9929524016483119E-3</v>
      </c>
      <c r="BG77" s="1">
        <f t="shared" ca="1" si="114"/>
        <v>0.8685401459671156</v>
      </c>
      <c r="BH77" s="1">
        <f t="shared" ca="1" si="115"/>
        <v>0.91036580028282732</v>
      </c>
      <c r="BI77" s="1">
        <f t="shared" ca="1" si="116"/>
        <v>388</v>
      </c>
      <c r="BV77" s="1">
        <f t="shared" ca="1" si="117"/>
        <v>0.12268557840257606</v>
      </c>
      <c r="BW77" s="1">
        <f t="shared" ca="1" si="118"/>
        <v>749</v>
      </c>
      <c r="BX77" s="1">
        <f t="shared" ca="1" si="119"/>
        <v>7.1996399040766398E-3</v>
      </c>
      <c r="BY77" s="1">
        <f t="shared" ca="1" si="120"/>
        <v>3.4347526800315858E-2</v>
      </c>
      <c r="BZ77" s="1">
        <f t="shared" ca="1" si="121"/>
        <v>0.99900544720334927</v>
      </c>
      <c r="CB77" s="1">
        <f t="shared" ca="1" si="122"/>
        <v>458</v>
      </c>
      <c r="CC77" s="1">
        <f t="shared" ca="1" si="123"/>
        <v>9</v>
      </c>
      <c r="CD77" s="1">
        <f t="shared" ca="1" si="124"/>
        <v>8.8733332012421326E-2</v>
      </c>
      <c r="CE77" s="1">
        <f t="shared" ca="1" si="125"/>
        <v>0.59349369137223829</v>
      </c>
      <c r="CF77" s="1">
        <f t="shared" ca="1" si="125"/>
        <v>0.50920874287636564</v>
      </c>
      <c r="CH77" s="3">
        <f t="shared" ca="1" si="126"/>
        <v>0.42364069850636044</v>
      </c>
      <c r="CI77" s="3">
        <f t="shared" ca="1" si="127"/>
        <v>0.64436160881445914</v>
      </c>
      <c r="CJ77" s="3">
        <f t="shared" ca="1" si="128"/>
        <v>1319</v>
      </c>
      <c r="CK77" s="3">
        <f t="shared" ca="1" si="129"/>
        <v>9.9775467427796714E-3</v>
      </c>
      <c r="CL77" s="3">
        <f t="shared" ca="1" si="130"/>
        <v>1</v>
      </c>
      <c r="CM77" s="3"/>
      <c r="CN77" s="1">
        <f t="shared" ca="1" si="131"/>
        <v>19.33892651706401</v>
      </c>
      <c r="CO77" s="1">
        <f t="shared" ca="1" si="132"/>
        <v>9.6443495048950278E-2</v>
      </c>
      <c r="CP77" s="1">
        <f t="shared" ca="1" si="133"/>
        <v>3</v>
      </c>
      <c r="CV77" s="1">
        <f t="shared" ca="1" si="134"/>
        <v>6.8838545747620721</v>
      </c>
      <c r="CW77" s="1">
        <f t="shared" ca="1" si="135"/>
        <v>1606</v>
      </c>
      <c r="CX77" s="1">
        <f t="shared" ca="1" si="136"/>
        <v>3.7136719883917283E-3</v>
      </c>
      <c r="DH77" s="1">
        <f t="shared" ca="1" si="137"/>
        <v>710</v>
      </c>
      <c r="DI77" s="1">
        <f t="shared" ca="1" si="138"/>
        <v>0.15131021655484128</v>
      </c>
      <c r="DJ77" s="1">
        <f t="shared" ca="1" si="139"/>
        <v>26</v>
      </c>
      <c r="DL77" s="1">
        <f t="shared" ca="1" si="140"/>
        <v>4.748071869881712E-2</v>
      </c>
      <c r="DM77" s="1">
        <f t="shared" ca="1" si="141"/>
        <v>51</v>
      </c>
      <c r="DN77" s="1">
        <f t="shared" ca="1" si="142"/>
        <v>9</v>
      </c>
      <c r="DW77" s="1">
        <f t="shared" ca="1" si="143"/>
        <v>486</v>
      </c>
      <c r="DX77" s="1">
        <f t="shared" ca="1" si="144"/>
        <v>8</v>
      </c>
      <c r="DY77" s="1">
        <f t="shared" ca="1" si="145"/>
        <v>11</v>
      </c>
    </row>
    <row r="78" spans="2:129" x14ac:dyDescent="0.25">
      <c r="B78">
        <f t="shared" ca="1" si="75"/>
        <v>314</v>
      </c>
      <c r="C78">
        <f t="shared" ca="1" si="76"/>
        <v>30</v>
      </c>
      <c r="D78">
        <f t="shared" ca="1" si="77"/>
        <v>4.9977881908818675E-2</v>
      </c>
      <c r="F78" s="1">
        <f t="shared" ca="1" si="78"/>
        <v>37</v>
      </c>
      <c r="G78" s="1">
        <f t="shared" ca="1" si="79"/>
        <v>4</v>
      </c>
      <c r="H78" s="1">
        <f t="shared" ca="1" si="80"/>
        <v>12</v>
      </c>
      <c r="I78" s="1"/>
      <c r="J78" s="1">
        <f t="shared" ca="1" si="81"/>
        <v>33</v>
      </c>
      <c r="K78" s="1">
        <f t="shared" ca="1" si="82"/>
        <v>1.7824327863453198</v>
      </c>
      <c r="L78" s="1">
        <f t="shared" ca="1" si="83"/>
        <v>30</v>
      </c>
      <c r="M78" s="1"/>
      <c r="N78" s="1">
        <f t="shared" ca="1" si="84"/>
        <v>238</v>
      </c>
      <c r="O78" s="1">
        <f t="shared" ca="1" si="85"/>
        <v>27</v>
      </c>
      <c r="P78" s="1"/>
      <c r="Q78" s="1">
        <f t="shared" ca="1" si="86"/>
        <v>2.0690455734213593</v>
      </c>
      <c r="R78" s="1">
        <f t="shared" ca="1" si="87"/>
        <v>384</v>
      </c>
      <c r="S78" s="1"/>
      <c r="T78" s="1">
        <f t="shared" ca="1" si="88"/>
        <v>0.1850853485802896</v>
      </c>
      <c r="U78" s="1">
        <f t="shared" ca="1" si="89"/>
        <v>305</v>
      </c>
      <c r="V78" s="1">
        <f t="shared" ca="1" si="90"/>
        <v>5</v>
      </c>
      <c r="W78" s="1"/>
      <c r="X78" s="1">
        <f t="shared" ca="1" si="91"/>
        <v>4.3545534907761043</v>
      </c>
      <c r="Y78" s="1">
        <f t="shared" ca="1" si="92"/>
        <v>0.68890073689521336</v>
      </c>
      <c r="Z78" s="1">
        <f t="shared" ca="1" si="93"/>
        <v>1246</v>
      </c>
      <c r="AB78" s="1">
        <f t="shared" ca="1" si="94"/>
        <v>8.2674907926173546E-2</v>
      </c>
      <c r="AC78" s="1">
        <f t="shared" ca="1" si="95"/>
        <v>488</v>
      </c>
      <c r="AD78" s="1">
        <f t="shared" ca="1" si="96"/>
        <v>1.8644761548303481E-3</v>
      </c>
      <c r="AE78" s="1"/>
      <c r="AF78" s="1">
        <f t="shared" ca="1" si="97"/>
        <v>0.38725357168315133</v>
      </c>
      <c r="AG78" s="1">
        <f t="shared" ca="1" si="98"/>
        <v>191</v>
      </c>
      <c r="AH78" s="1">
        <f t="shared" ca="1" si="99"/>
        <v>7.7955668583368819E-3</v>
      </c>
      <c r="AJ78" s="1">
        <f t="shared" ca="1" si="100"/>
        <v>0.92449877528846991</v>
      </c>
      <c r="AK78" s="1">
        <f t="shared" ca="1" si="101"/>
        <v>2.4034239840770226E-3</v>
      </c>
      <c r="AL78" s="1"/>
      <c r="AM78" s="1">
        <f t="shared" ca="1" si="102"/>
        <v>0.15389924640658373</v>
      </c>
      <c r="AN78" s="1">
        <f t="shared" ca="1" si="103"/>
        <v>42</v>
      </c>
      <c r="AO78" s="1">
        <f t="shared" ca="1" si="104"/>
        <v>7</v>
      </c>
      <c r="AQ78" s="1">
        <f t="shared" ca="1" si="105"/>
        <v>74</v>
      </c>
      <c r="AR78" s="1">
        <f t="shared" ca="1" si="106"/>
        <v>9</v>
      </c>
      <c r="AS78" s="1">
        <f t="shared" ca="1" si="107"/>
        <v>10</v>
      </c>
      <c r="AU78" s="1">
        <f t="shared" ca="1" si="108"/>
        <v>65</v>
      </c>
      <c r="AV78" s="1">
        <f t="shared" ca="1" si="109"/>
        <v>3</v>
      </c>
      <c r="AW78" s="1">
        <f t="shared" ca="1" si="110"/>
        <v>0.1444061165932618</v>
      </c>
      <c r="AY78" s="1">
        <f t="shared" ca="1" si="111"/>
        <v>1.3128330561877379</v>
      </c>
      <c r="AZ78" s="1">
        <f t="shared" ca="1" si="112"/>
        <v>440</v>
      </c>
      <c r="BA78" s="1">
        <f t="shared" ca="1" si="113"/>
        <v>7.2589311961528266E-4</v>
      </c>
      <c r="BG78" s="1">
        <f t="shared" ca="1" si="114"/>
        <v>9.2644836539093736E-2</v>
      </c>
      <c r="BH78" s="1">
        <f t="shared" ca="1" si="115"/>
        <v>0.91820847215711299</v>
      </c>
      <c r="BI78" s="1">
        <f t="shared" ca="1" si="116"/>
        <v>413</v>
      </c>
      <c r="BV78" s="1">
        <f t="shared" ca="1" si="117"/>
        <v>0.95591530037675509</v>
      </c>
      <c r="BW78" s="1">
        <f t="shared" ca="1" si="118"/>
        <v>125</v>
      </c>
      <c r="BX78" s="1">
        <f t="shared" ca="1" si="119"/>
        <v>1.8120780751352049E-3</v>
      </c>
      <c r="BY78" s="1">
        <f t="shared" ca="1" si="120"/>
        <v>3.6114727202981055E-2</v>
      </c>
      <c r="BZ78" s="1">
        <f t="shared" ca="1" si="121"/>
        <v>0.90466935850579866</v>
      </c>
      <c r="CB78" s="1">
        <f t="shared" ca="1" si="122"/>
        <v>298</v>
      </c>
      <c r="CC78" s="1">
        <f t="shared" ca="1" si="123"/>
        <v>3</v>
      </c>
      <c r="CD78" s="1">
        <f t="shared" ca="1" si="124"/>
        <v>0.16556234414650575</v>
      </c>
      <c r="CE78" s="1">
        <f t="shared" ca="1" si="125"/>
        <v>0.80662297419147877</v>
      </c>
      <c r="CF78" s="1">
        <f t="shared" ca="1" si="125"/>
        <v>0.60781148439289812</v>
      </c>
      <c r="CH78" s="3">
        <f t="shared" ca="1" si="126"/>
        <v>0.66189831361642371</v>
      </c>
      <c r="CI78" s="3">
        <f t="shared" ca="1" si="127"/>
        <v>0.87952638763279989</v>
      </c>
      <c r="CJ78" s="3">
        <f t="shared" ca="1" si="128"/>
        <v>306</v>
      </c>
      <c r="CK78" s="3">
        <f t="shared" ca="1" si="129"/>
        <v>6.8032300258357948E-3</v>
      </c>
      <c r="CL78" s="3">
        <f t="shared" ca="1" si="130"/>
        <v>1</v>
      </c>
      <c r="CM78" s="3"/>
      <c r="CN78" s="1">
        <f t="shared" ca="1" si="131"/>
        <v>10.604378580231801</v>
      </c>
      <c r="CO78" s="1">
        <f t="shared" ca="1" si="132"/>
        <v>0.29936557868711006</v>
      </c>
      <c r="CP78" s="1">
        <f t="shared" ca="1" si="133"/>
        <v>4</v>
      </c>
      <c r="CV78" s="1">
        <f t="shared" ca="1" si="134"/>
        <v>8.7792350514784978</v>
      </c>
      <c r="CW78" s="1">
        <f t="shared" ca="1" si="135"/>
        <v>1272</v>
      </c>
      <c r="CX78" s="1">
        <f t="shared" ca="1" si="136"/>
        <v>9.8862034826084303E-3</v>
      </c>
      <c r="DH78" s="1">
        <f t="shared" ca="1" si="137"/>
        <v>890</v>
      </c>
      <c r="DI78" s="1">
        <f t="shared" ca="1" si="138"/>
        <v>0.17091231355372177</v>
      </c>
      <c r="DJ78" s="1">
        <f t="shared" ca="1" si="139"/>
        <v>11</v>
      </c>
      <c r="DL78" s="1">
        <f t="shared" ca="1" si="140"/>
        <v>4.143804357622867E-2</v>
      </c>
      <c r="DM78" s="1">
        <f t="shared" ca="1" si="141"/>
        <v>261</v>
      </c>
      <c r="DN78" s="1">
        <f t="shared" ca="1" si="142"/>
        <v>7</v>
      </c>
      <c r="DW78" s="1">
        <f t="shared" ca="1" si="143"/>
        <v>188</v>
      </c>
      <c r="DX78" s="1">
        <f t="shared" ca="1" si="144"/>
        <v>7</v>
      </c>
      <c r="DY78" s="1">
        <f t="shared" ca="1" si="145"/>
        <v>17</v>
      </c>
    </row>
    <row r="79" spans="2:129" x14ac:dyDescent="0.25">
      <c r="B79">
        <f t="shared" ca="1" si="75"/>
        <v>382</v>
      </c>
      <c r="C79">
        <f t="shared" ca="1" si="76"/>
        <v>9</v>
      </c>
      <c r="D79">
        <f t="shared" ca="1" si="77"/>
        <v>0.22580872109711539</v>
      </c>
      <c r="F79" s="1">
        <f t="shared" ca="1" si="78"/>
        <v>46</v>
      </c>
      <c r="G79" s="1">
        <f t="shared" ca="1" si="79"/>
        <v>12</v>
      </c>
      <c r="H79" s="1">
        <f t="shared" ca="1" si="80"/>
        <v>11</v>
      </c>
      <c r="I79" s="1"/>
      <c r="J79" s="1">
        <f t="shared" ca="1" si="81"/>
        <v>20</v>
      </c>
      <c r="K79" s="1">
        <f t="shared" ca="1" si="82"/>
        <v>1.6369024940377128</v>
      </c>
      <c r="L79" s="1">
        <f t="shared" ca="1" si="83"/>
        <v>16</v>
      </c>
      <c r="M79" s="1"/>
      <c r="N79" s="1">
        <f t="shared" ca="1" si="84"/>
        <v>954</v>
      </c>
      <c r="O79" s="1">
        <f t="shared" ca="1" si="85"/>
        <v>17</v>
      </c>
      <c r="P79" s="1"/>
      <c r="Q79" s="1">
        <f t="shared" ca="1" si="86"/>
        <v>3.1467274950673114</v>
      </c>
      <c r="R79" s="1">
        <f t="shared" ca="1" si="87"/>
        <v>1006</v>
      </c>
      <c r="S79" s="1"/>
      <c r="T79" s="1">
        <f t="shared" ca="1" si="88"/>
        <v>4.8043226574769247E-2</v>
      </c>
      <c r="U79" s="1">
        <f t="shared" ca="1" si="89"/>
        <v>270</v>
      </c>
      <c r="V79" s="1">
        <f t="shared" ca="1" si="90"/>
        <v>12</v>
      </c>
      <c r="W79" s="1"/>
      <c r="X79" s="1">
        <f t="shared" ca="1" si="91"/>
        <v>6.1368630483282312</v>
      </c>
      <c r="Y79" s="1">
        <f t="shared" ca="1" si="92"/>
        <v>0.14502230423051019</v>
      </c>
      <c r="Z79" s="1">
        <f t="shared" ca="1" si="93"/>
        <v>1779</v>
      </c>
      <c r="AB79" s="1">
        <f t="shared" ca="1" si="94"/>
        <v>0.47146226867131741</v>
      </c>
      <c r="AC79" s="1">
        <f t="shared" ca="1" si="95"/>
        <v>620</v>
      </c>
      <c r="AD79" s="1">
        <f t="shared" ca="1" si="96"/>
        <v>2.0356624920653647E-3</v>
      </c>
      <c r="AE79" s="1"/>
      <c r="AF79" s="1">
        <f t="shared" ca="1" si="97"/>
        <v>0.62803388213012512</v>
      </c>
      <c r="AG79" s="1">
        <f t="shared" ca="1" si="98"/>
        <v>718</v>
      </c>
      <c r="AH79" s="1">
        <f t="shared" ca="1" si="99"/>
        <v>5.6919956451586843E-3</v>
      </c>
      <c r="AJ79" s="1">
        <f t="shared" ca="1" si="100"/>
        <v>0.20426725895045872</v>
      </c>
      <c r="AK79" s="1">
        <f t="shared" ca="1" si="101"/>
        <v>7.9820203361827009E-3</v>
      </c>
      <c r="AL79" s="1"/>
      <c r="AM79" s="1">
        <f t="shared" ca="1" si="102"/>
        <v>7.8176277297369062E-2</v>
      </c>
      <c r="AN79" s="1">
        <f t="shared" ca="1" si="103"/>
        <v>18</v>
      </c>
      <c r="AO79" s="1">
        <f t="shared" ca="1" si="104"/>
        <v>11</v>
      </c>
      <c r="AQ79" s="1">
        <f t="shared" ca="1" si="105"/>
        <v>123</v>
      </c>
      <c r="AR79" s="1">
        <f t="shared" ca="1" si="106"/>
        <v>4</v>
      </c>
      <c r="AS79" s="1">
        <f t="shared" ca="1" si="107"/>
        <v>55</v>
      </c>
      <c r="AU79" s="1">
        <f t="shared" ca="1" si="108"/>
        <v>382</v>
      </c>
      <c r="AV79" s="1">
        <f t="shared" ca="1" si="109"/>
        <v>9</v>
      </c>
      <c r="AW79" s="1">
        <f t="shared" ca="1" si="110"/>
        <v>7.5962948753567641E-2</v>
      </c>
      <c r="AY79" s="1">
        <f t="shared" ca="1" si="111"/>
        <v>1.5281028104075891</v>
      </c>
      <c r="AZ79" s="1">
        <f t="shared" ca="1" si="112"/>
        <v>215</v>
      </c>
      <c r="BA79" s="1">
        <f t="shared" ca="1" si="113"/>
        <v>6.759812278265903E-3</v>
      </c>
      <c r="BG79" s="1">
        <f t="shared" ca="1" si="114"/>
        <v>0.66455973708228511</v>
      </c>
      <c r="BH79" s="1">
        <f t="shared" ca="1" si="115"/>
        <v>0.31837848919446998</v>
      </c>
      <c r="BI79" s="1">
        <f t="shared" ca="1" si="116"/>
        <v>613</v>
      </c>
      <c r="BV79" s="1">
        <f t="shared" ca="1" si="117"/>
        <v>0.67144733691993097</v>
      </c>
      <c r="BW79" s="1">
        <f t="shared" ca="1" si="118"/>
        <v>571</v>
      </c>
      <c r="BX79" s="1">
        <f t="shared" ca="1" si="119"/>
        <v>7.1124016997521824E-3</v>
      </c>
      <c r="BY79" s="1">
        <f t="shared" ca="1" si="120"/>
        <v>4.5578857810291855E-2</v>
      </c>
      <c r="BZ79" s="1">
        <f t="shared" ca="1" si="121"/>
        <v>0.78018249420455177</v>
      </c>
      <c r="CB79" s="1">
        <f t="shared" ca="1" si="122"/>
        <v>160</v>
      </c>
      <c r="CC79" s="1">
        <f t="shared" ca="1" si="123"/>
        <v>11</v>
      </c>
      <c r="CD79" s="1">
        <f t="shared" ca="1" si="124"/>
        <v>0.26661492271123399</v>
      </c>
      <c r="CE79" s="1">
        <f t="shared" ca="1" si="125"/>
        <v>0.79280601804751727</v>
      </c>
      <c r="CF79" s="1">
        <f t="shared" ca="1" si="125"/>
        <v>0.53571297447047095</v>
      </c>
      <c r="CH79" s="3">
        <f t="shared" ca="1" si="126"/>
        <v>0.54278509723448343</v>
      </c>
      <c r="CI79" s="3">
        <f t="shared" ca="1" si="127"/>
        <v>6.0173913565181793E-2</v>
      </c>
      <c r="CJ79" s="3">
        <f t="shared" ca="1" si="128"/>
        <v>321</v>
      </c>
      <c r="CK79" s="3">
        <f t="shared" ca="1" si="129"/>
        <v>1.4616900505653434E-3</v>
      </c>
      <c r="CL79" s="3">
        <f t="shared" ca="1" si="130"/>
        <v>0</v>
      </c>
      <c r="CM79" s="3"/>
      <c r="CN79" s="1">
        <f t="shared" ca="1" si="131"/>
        <v>10.401332939546574</v>
      </c>
      <c r="CO79" s="1">
        <f t="shared" ca="1" si="132"/>
        <v>9.2283990140158506E-2</v>
      </c>
      <c r="CP79" s="1">
        <f t="shared" ca="1" si="133"/>
        <v>2</v>
      </c>
      <c r="CV79" s="1">
        <f t="shared" ca="1" si="134"/>
        <v>9.1986714503388995</v>
      </c>
      <c r="CW79" s="1">
        <f t="shared" ca="1" si="135"/>
        <v>1282</v>
      </c>
      <c r="CX79" s="1">
        <f t="shared" ca="1" si="136"/>
        <v>6.7395614696534394E-4</v>
      </c>
      <c r="DH79" s="1">
        <f t="shared" ca="1" si="137"/>
        <v>808</v>
      </c>
      <c r="DI79" s="1">
        <f t="shared" ca="1" si="138"/>
        <v>0.70406812353334558</v>
      </c>
      <c r="DJ79" s="1">
        <f t="shared" ca="1" si="139"/>
        <v>24</v>
      </c>
      <c r="DL79" s="1">
        <f t="shared" ca="1" si="140"/>
        <v>7.3276364902610872E-2</v>
      </c>
      <c r="DM79" s="1">
        <f t="shared" ca="1" si="141"/>
        <v>103</v>
      </c>
      <c r="DN79" s="1">
        <f t="shared" ca="1" si="142"/>
        <v>8</v>
      </c>
      <c r="DW79" s="1">
        <f t="shared" ca="1" si="143"/>
        <v>439</v>
      </c>
      <c r="DX79" s="1">
        <f t="shared" ca="1" si="144"/>
        <v>9</v>
      </c>
      <c r="DY79" s="1">
        <f t="shared" ca="1" si="145"/>
        <v>19</v>
      </c>
    </row>
    <row r="80" spans="2:129" x14ac:dyDescent="0.25">
      <c r="B80">
        <f t="shared" ca="1" si="75"/>
        <v>820</v>
      </c>
      <c r="C80">
        <f t="shared" ca="1" si="76"/>
        <v>18</v>
      </c>
      <c r="D80">
        <f t="shared" ca="1" si="77"/>
        <v>0.18166494858141941</v>
      </c>
      <c r="F80" s="1">
        <f t="shared" ca="1" si="78"/>
        <v>37</v>
      </c>
      <c r="G80" s="1">
        <f t="shared" ca="1" si="79"/>
        <v>29</v>
      </c>
      <c r="H80" s="1">
        <f t="shared" ca="1" si="80"/>
        <v>9</v>
      </c>
      <c r="I80" s="1"/>
      <c r="J80" s="1">
        <f t="shared" ca="1" si="81"/>
        <v>10</v>
      </c>
      <c r="K80" s="1">
        <f t="shared" ca="1" si="82"/>
        <v>2.2557670610224849</v>
      </c>
      <c r="L80" s="1">
        <f t="shared" ca="1" si="83"/>
        <v>18</v>
      </c>
      <c r="M80" s="1"/>
      <c r="N80" s="1">
        <f t="shared" ca="1" si="84"/>
        <v>867</v>
      </c>
      <c r="O80" s="1">
        <f t="shared" ca="1" si="85"/>
        <v>21</v>
      </c>
      <c r="P80" s="1"/>
      <c r="Q80" s="1">
        <f t="shared" ca="1" si="86"/>
        <v>4.3845835665565911</v>
      </c>
      <c r="R80" s="1">
        <f t="shared" ca="1" si="87"/>
        <v>505</v>
      </c>
      <c r="S80" s="1"/>
      <c r="T80" s="1">
        <f t="shared" ca="1" si="88"/>
        <v>6.7171175075027803E-2</v>
      </c>
      <c r="U80" s="1">
        <f t="shared" ca="1" si="89"/>
        <v>386</v>
      </c>
      <c r="V80" s="1">
        <f t="shared" ca="1" si="90"/>
        <v>25</v>
      </c>
      <c r="W80" s="1"/>
      <c r="X80" s="1">
        <f t="shared" ca="1" si="91"/>
        <v>1.3526165564445596</v>
      </c>
      <c r="Y80" s="1">
        <f t="shared" ca="1" si="92"/>
        <v>0.7603281782583059</v>
      </c>
      <c r="Z80" s="1">
        <f t="shared" ca="1" si="93"/>
        <v>319</v>
      </c>
      <c r="AB80" s="1">
        <f t="shared" ca="1" si="94"/>
        <v>5.7854577305284406E-2</v>
      </c>
      <c r="AC80" s="1">
        <f t="shared" ca="1" si="95"/>
        <v>351</v>
      </c>
      <c r="AD80" s="1">
        <f t="shared" ca="1" si="96"/>
        <v>6.8397828148250217E-3</v>
      </c>
      <c r="AE80" s="1"/>
      <c r="AF80" s="1">
        <f t="shared" ca="1" si="97"/>
        <v>0.50886253757888944</v>
      </c>
      <c r="AG80" s="1">
        <f t="shared" ca="1" si="98"/>
        <v>322</v>
      </c>
      <c r="AH80" s="1">
        <f t="shared" ca="1" si="99"/>
        <v>7.8252496524327097E-3</v>
      </c>
      <c r="AJ80" s="1">
        <f t="shared" ca="1" si="100"/>
        <v>2.6260844796642924E-2</v>
      </c>
      <c r="AK80" s="1">
        <f t="shared" ca="1" si="101"/>
        <v>1.6708439105341962E-3</v>
      </c>
      <c r="AL80" s="1"/>
      <c r="AM80" s="1">
        <f t="shared" ca="1" si="102"/>
        <v>1.6582009332065408E-2</v>
      </c>
      <c r="AN80" s="1">
        <f t="shared" ca="1" si="103"/>
        <v>69</v>
      </c>
      <c r="AO80" s="1">
        <f t="shared" ca="1" si="104"/>
        <v>6</v>
      </c>
      <c r="AQ80" s="1">
        <f t="shared" ca="1" si="105"/>
        <v>36</v>
      </c>
      <c r="AR80" s="1">
        <f t="shared" ca="1" si="106"/>
        <v>7</v>
      </c>
      <c r="AS80" s="1">
        <f t="shared" ca="1" si="107"/>
        <v>22</v>
      </c>
      <c r="AU80" s="1">
        <f t="shared" ca="1" si="108"/>
        <v>168</v>
      </c>
      <c r="AV80" s="1">
        <f t="shared" ca="1" si="109"/>
        <v>10</v>
      </c>
      <c r="AW80" s="1">
        <f t="shared" ca="1" si="110"/>
        <v>0.10027853578967864</v>
      </c>
      <c r="AY80" s="1">
        <f t="shared" ca="1" si="111"/>
        <v>1.1773647305944706</v>
      </c>
      <c r="AZ80" s="1">
        <f t="shared" ca="1" si="112"/>
        <v>224</v>
      </c>
      <c r="BA80" s="1">
        <f t="shared" ca="1" si="113"/>
        <v>8.8469802590967327E-3</v>
      </c>
      <c r="BG80" s="1">
        <f t="shared" ca="1" si="114"/>
        <v>0.74446975060636111</v>
      </c>
      <c r="BH80" s="1">
        <f t="shared" ca="1" si="115"/>
        <v>0.38149792807600913</v>
      </c>
      <c r="BI80" s="1">
        <f t="shared" ca="1" si="116"/>
        <v>242</v>
      </c>
      <c r="BV80" s="1">
        <f t="shared" ca="1" si="117"/>
        <v>0.24659715212280511</v>
      </c>
      <c r="BW80" s="1">
        <f t="shared" ca="1" si="118"/>
        <v>162</v>
      </c>
      <c r="BX80" s="1">
        <f t="shared" ca="1" si="119"/>
        <v>4.1126607616023877E-3</v>
      </c>
      <c r="BY80" s="1">
        <f t="shared" ca="1" si="120"/>
        <v>4.7777260482860739E-2</v>
      </c>
      <c r="BZ80" s="1">
        <f t="shared" ca="1" si="121"/>
        <v>0.12415846081809789</v>
      </c>
      <c r="CB80" s="1">
        <f t="shared" ca="1" si="122"/>
        <v>236</v>
      </c>
      <c r="CC80" s="1">
        <f t="shared" ca="1" si="123"/>
        <v>7</v>
      </c>
      <c r="CD80" s="1">
        <f t="shared" ca="1" si="124"/>
        <v>1.813976702468395E-2</v>
      </c>
      <c r="CE80" s="1">
        <f t="shared" ca="1" si="125"/>
        <v>0.5488811832271796</v>
      </c>
      <c r="CF80" s="1">
        <f t="shared" ca="1" si="125"/>
        <v>0.73092043080319602</v>
      </c>
      <c r="CH80" s="3">
        <f t="shared" ca="1" si="126"/>
        <v>0.1714275242823935</v>
      </c>
      <c r="CI80" s="3">
        <f t="shared" ca="1" si="127"/>
        <v>0.85880950145289658</v>
      </c>
      <c r="CJ80" s="3">
        <f t="shared" ca="1" si="128"/>
        <v>1322</v>
      </c>
      <c r="CK80" s="3">
        <f t="shared" ca="1" si="129"/>
        <v>6.4463058066427043E-3</v>
      </c>
      <c r="CL80" s="3">
        <f t="shared" ca="1" si="130"/>
        <v>0</v>
      </c>
      <c r="CM80" s="3"/>
      <c r="CN80" s="1">
        <f t="shared" ca="1" si="131"/>
        <v>13.639800081797301</v>
      </c>
      <c r="CO80" s="1">
        <f t="shared" ca="1" si="132"/>
        <v>5.1920585688277537E-2</v>
      </c>
      <c r="CP80" s="1">
        <f t="shared" ca="1" si="133"/>
        <v>4</v>
      </c>
      <c r="CV80" s="1">
        <f t="shared" ca="1" si="134"/>
        <v>6.4939378247246173</v>
      </c>
      <c r="CW80" s="1">
        <f t="shared" ca="1" si="135"/>
        <v>1445</v>
      </c>
      <c r="CX80" s="1">
        <f t="shared" ca="1" si="136"/>
        <v>2.0205601999976491E-4</v>
      </c>
      <c r="DH80" s="1">
        <f t="shared" ca="1" si="137"/>
        <v>333</v>
      </c>
      <c r="DI80" s="1">
        <f t="shared" ca="1" si="138"/>
        <v>0.52649506384850076</v>
      </c>
      <c r="DJ80" s="1">
        <f t="shared" ca="1" si="139"/>
        <v>16</v>
      </c>
      <c r="DL80" s="1">
        <f t="shared" ca="1" si="140"/>
        <v>9.6781070018307908E-2</v>
      </c>
      <c r="DM80" s="1">
        <f t="shared" ca="1" si="141"/>
        <v>53</v>
      </c>
      <c r="DN80" s="1">
        <f t="shared" ca="1" si="142"/>
        <v>7</v>
      </c>
      <c r="DW80" s="1">
        <f t="shared" ca="1" si="143"/>
        <v>479</v>
      </c>
      <c r="DX80" s="1">
        <f t="shared" ca="1" si="144"/>
        <v>17</v>
      </c>
      <c r="DY80" s="1">
        <f t="shared" ca="1" si="145"/>
        <v>17</v>
      </c>
    </row>
    <row r="81" spans="2:129" x14ac:dyDescent="0.25">
      <c r="B81">
        <f t="shared" ca="1" si="75"/>
        <v>76</v>
      </c>
      <c r="C81">
        <f t="shared" ca="1" si="76"/>
        <v>50</v>
      </c>
      <c r="D81">
        <f t="shared" ca="1" si="77"/>
        <v>0.11386097948135895</v>
      </c>
      <c r="F81" s="1">
        <f t="shared" ca="1" si="78"/>
        <v>29</v>
      </c>
      <c r="G81" s="1">
        <f t="shared" ca="1" si="79"/>
        <v>22</v>
      </c>
      <c r="H81" s="1">
        <f t="shared" ca="1" si="80"/>
        <v>3</v>
      </c>
      <c r="I81" s="1"/>
      <c r="J81" s="1">
        <f t="shared" ca="1" si="81"/>
        <v>12</v>
      </c>
      <c r="K81" s="1">
        <f t="shared" ca="1" si="82"/>
        <v>1.3606241825824077</v>
      </c>
      <c r="L81" s="1">
        <f t="shared" ca="1" si="83"/>
        <v>9</v>
      </c>
      <c r="M81" s="1"/>
      <c r="N81" s="1">
        <f t="shared" ca="1" si="84"/>
        <v>474</v>
      </c>
      <c r="O81" s="1">
        <f t="shared" ca="1" si="85"/>
        <v>16</v>
      </c>
      <c r="P81" s="1"/>
      <c r="Q81" s="1">
        <f t="shared" ca="1" si="86"/>
        <v>0.85741226715673713</v>
      </c>
      <c r="R81" s="1">
        <f t="shared" ca="1" si="87"/>
        <v>590</v>
      </c>
      <c r="S81" s="1"/>
      <c r="T81" s="1">
        <f t="shared" ca="1" si="88"/>
        <v>8.0760050160559524E-2</v>
      </c>
      <c r="U81" s="1">
        <f t="shared" ca="1" si="89"/>
        <v>310</v>
      </c>
      <c r="V81" s="1">
        <f t="shared" ca="1" si="90"/>
        <v>38</v>
      </c>
      <c r="W81" s="1"/>
      <c r="X81" s="1">
        <f t="shared" ca="1" si="91"/>
        <v>1.9615993223495252</v>
      </c>
      <c r="Y81" s="1">
        <f t="shared" ca="1" si="92"/>
        <v>0.39663823748267879</v>
      </c>
      <c r="Z81" s="1">
        <f t="shared" ca="1" si="93"/>
        <v>502</v>
      </c>
      <c r="AB81" s="1">
        <f t="shared" ca="1" si="94"/>
        <v>0.89187576285012682</v>
      </c>
      <c r="AC81" s="1">
        <f t="shared" ca="1" si="95"/>
        <v>925</v>
      </c>
      <c r="AD81" s="1">
        <f t="shared" ca="1" si="96"/>
        <v>3.6086499533297496E-3</v>
      </c>
      <c r="AE81" s="1"/>
      <c r="AF81" s="1">
        <f t="shared" ca="1" si="97"/>
        <v>0.63204567374527831</v>
      </c>
      <c r="AG81" s="1">
        <f t="shared" ca="1" si="98"/>
        <v>165</v>
      </c>
      <c r="AH81" s="1">
        <f t="shared" ca="1" si="99"/>
        <v>4.709984039445508E-3</v>
      </c>
      <c r="AJ81" s="1">
        <f t="shared" ca="1" si="100"/>
        <v>0.87725368054603747</v>
      </c>
      <c r="AK81" s="1">
        <f t="shared" ca="1" si="101"/>
        <v>2.2666432479412197E-3</v>
      </c>
      <c r="AL81" s="1"/>
      <c r="AM81" s="1">
        <f t="shared" ca="1" si="102"/>
        <v>8.148070261647461E-2</v>
      </c>
      <c r="AN81" s="1">
        <f t="shared" ca="1" si="103"/>
        <v>24</v>
      </c>
      <c r="AO81" s="1">
        <f t="shared" ca="1" si="104"/>
        <v>3</v>
      </c>
      <c r="AQ81" s="1">
        <f t="shared" ca="1" si="105"/>
        <v>32</v>
      </c>
      <c r="AR81" s="1">
        <f t="shared" ca="1" si="106"/>
        <v>10</v>
      </c>
      <c r="AS81" s="1">
        <f t="shared" ca="1" si="107"/>
        <v>40</v>
      </c>
      <c r="AU81" s="1">
        <f t="shared" ca="1" si="108"/>
        <v>99</v>
      </c>
      <c r="AV81" s="1">
        <f t="shared" ca="1" si="109"/>
        <v>8</v>
      </c>
      <c r="AW81" s="1">
        <f t="shared" ca="1" si="110"/>
        <v>0.158615132548619</v>
      </c>
      <c r="AY81" s="1">
        <f t="shared" ca="1" si="111"/>
        <v>1.9778458627727997</v>
      </c>
      <c r="AZ81" s="1">
        <f t="shared" ca="1" si="112"/>
        <v>187</v>
      </c>
      <c r="BA81" s="1">
        <f t="shared" ca="1" si="113"/>
        <v>2.9705748050049027E-3</v>
      </c>
      <c r="BG81" s="1">
        <f t="shared" ca="1" si="114"/>
        <v>0.86606001410170352</v>
      </c>
      <c r="BH81" s="1">
        <f t="shared" ca="1" si="115"/>
        <v>0.24881792830631855</v>
      </c>
      <c r="BI81" s="1">
        <f t="shared" ca="1" si="116"/>
        <v>855</v>
      </c>
      <c r="BV81" s="1">
        <f t="shared" ca="1" si="117"/>
        <v>0.17454710452779573</v>
      </c>
      <c r="BW81" s="1">
        <f t="shared" ca="1" si="118"/>
        <v>731</v>
      </c>
      <c r="BX81" s="1">
        <f t="shared" ca="1" si="119"/>
        <v>3.8361658194437155E-3</v>
      </c>
      <c r="BY81" s="1">
        <f t="shared" ca="1" si="120"/>
        <v>2.4233284808164571E-2</v>
      </c>
      <c r="BZ81" s="1">
        <f t="shared" ca="1" si="121"/>
        <v>0.67677145720765675</v>
      </c>
      <c r="CB81" s="1">
        <f t="shared" ca="1" si="122"/>
        <v>376</v>
      </c>
      <c r="CC81" s="1">
        <f t="shared" ca="1" si="123"/>
        <v>5</v>
      </c>
      <c r="CD81" s="1">
        <f t="shared" ca="1" si="124"/>
        <v>0.29587129453078137</v>
      </c>
      <c r="CE81" s="1">
        <f t="shared" ca="1" si="125"/>
        <v>0.55791891093151413</v>
      </c>
      <c r="CF81" s="1">
        <f t="shared" ca="1" si="125"/>
        <v>0.96133583260495925</v>
      </c>
      <c r="CH81" s="3">
        <f t="shared" ca="1" si="126"/>
        <v>0.6994787247119757</v>
      </c>
      <c r="CI81" s="3">
        <f t="shared" ca="1" si="127"/>
        <v>0.76598004614102022</v>
      </c>
      <c r="CJ81" s="3">
        <f t="shared" ca="1" si="128"/>
        <v>800</v>
      </c>
      <c r="CK81" s="3">
        <f t="shared" ca="1" si="129"/>
        <v>1.6698953219850975E-3</v>
      </c>
      <c r="CL81" s="3">
        <f t="shared" ca="1" si="130"/>
        <v>0</v>
      </c>
      <c r="CM81" s="3"/>
      <c r="CN81" s="1">
        <f t="shared" ca="1" si="131"/>
        <v>8.676952362660364</v>
      </c>
      <c r="CO81" s="1">
        <f t="shared" ca="1" si="132"/>
        <v>6.8428348631744433E-3</v>
      </c>
      <c r="CP81" s="1">
        <f t="shared" ca="1" si="133"/>
        <v>4</v>
      </c>
      <c r="CV81" s="1">
        <f t="shared" ca="1" si="134"/>
        <v>3.3674366677936267</v>
      </c>
      <c r="CW81" s="1">
        <f t="shared" ca="1" si="135"/>
        <v>1144</v>
      </c>
      <c r="CX81" s="1">
        <f t="shared" ca="1" si="136"/>
        <v>9.5278479113738938E-3</v>
      </c>
      <c r="DH81" s="1">
        <f t="shared" ca="1" si="137"/>
        <v>254</v>
      </c>
      <c r="DI81" s="1">
        <f t="shared" ca="1" si="138"/>
        <v>0.28352783178568924</v>
      </c>
      <c r="DJ81" s="1">
        <f t="shared" ca="1" si="139"/>
        <v>10</v>
      </c>
      <c r="DL81" s="1">
        <f t="shared" ca="1" si="140"/>
        <v>0.13133040184655209</v>
      </c>
      <c r="DM81" s="1">
        <f t="shared" ca="1" si="141"/>
        <v>192</v>
      </c>
      <c r="DN81" s="1">
        <f t="shared" ca="1" si="142"/>
        <v>2</v>
      </c>
      <c r="DW81" s="1">
        <f t="shared" ca="1" si="143"/>
        <v>124</v>
      </c>
      <c r="DX81" s="1">
        <f t="shared" ca="1" si="144"/>
        <v>11</v>
      </c>
      <c r="DY81" s="1">
        <f t="shared" ca="1" si="145"/>
        <v>9</v>
      </c>
    </row>
    <row r="82" spans="2:129" x14ac:dyDescent="0.25">
      <c r="B82">
        <f t="shared" ca="1" si="75"/>
        <v>220</v>
      </c>
      <c r="C82">
        <f t="shared" ca="1" si="76"/>
        <v>16</v>
      </c>
      <c r="D82">
        <f t="shared" ca="1" si="77"/>
        <v>0.22214029929298063</v>
      </c>
      <c r="F82" s="1">
        <f t="shared" ca="1" si="78"/>
        <v>26</v>
      </c>
      <c r="G82" s="1">
        <f t="shared" ca="1" si="79"/>
        <v>23</v>
      </c>
      <c r="H82" s="1">
        <f t="shared" ca="1" si="80"/>
        <v>10</v>
      </c>
      <c r="I82" s="1"/>
      <c r="J82" s="1">
        <f t="shared" ca="1" si="81"/>
        <v>26</v>
      </c>
      <c r="K82" s="1">
        <f t="shared" ca="1" si="82"/>
        <v>2.2688419987824693</v>
      </c>
      <c r="L82" s="1">
        <f t="shared" ca="1" si="83"/>
        <v>3</v>
      </c>
      <c r="M82" s="1"/>
      <c r="N82" s="1">
        <f t="shared" ca="1" si="84"/>
        <v>643</v>
      </c>
      <c r="O82" s="1">
        <f t="shared" ca="1" si="85"/>
        <v>4</v>
      </c>
      <c r="P82" s="1"/>
      <c r="Q82" s="1">
        <f t="shared" ca="1" si="86"/>
        <v>4.3592845649427279</v>
      </c>
      <c r="R82" s="1">
        <f t="shared" ca="1" si="87"/>
        <v>396</v>
      </c>
      <c r="S82" s="1"/>
      <c r="T82" s="1">
        <f t="shared" ca="1" si="88"/>
        <v>0.18180093889512455</v>
      </c>
      <c r="U82" s="1">
        <f t="shared" ca="1" si="89"/>
        <v>442</v>
      </c>
      <c r="V82" s="1">
        <f t="shared" ca="1" si="90"/>
        <v>9</v>
      </c>
      <c r="W82" s="1"/>
      <c r="X82" s="1">
        <f t="shared" ca="1" si="91"/>
        <v>3.5651286985187349</v>
      </c>
      <c r="Y82" s="1">
        <f t="shared" ca="1" si="92"/>
        <v>0.30350749641995906</v>
      </c>
      <c r="Z82" s="1">
        <f t="shared" ca="1" si="93"/>
        <v>815</v>
      </c>
      <c r="AB82" s="1">
        <f t="shared" ca="1" si="94"/>
        <v>0.41041238980407801</v>
      </c>
      <c r="AC82" s="1">
        <f t="shared" ca="1" si="95"/>
        <v>457</v>
      </c>
      <c r="AD82" s="1">
        <f t="shared" ca="1" si="96"/>
        <v>8.5783669320385215E-3</v>
      </c>
      <c r="AE82" s="1"/>
      <c r="AF82" s="1">
        <f t="shared" ca="1" si="97"/>
        <v>0.29534727383161719</v>
      </c>
      <c r="AG82" s="1">
        <f t="shared" ca="1" si="98"/>
        <v>839</v>
      </c>
      <c r="AH82" s="1">
        <f t="shared" ca="1" si="99"/>
        <v>8.6528059865273316E-3</v>
      </c>
      <c r="AJ82" s="1">
        <f t="shared" ca="1" si="100"/>
        <v>0.88202642801158082</v>
      </c>
      <c r="AK82" s="1">
        <f t="shared" ca="1" si="101"/>
        <v>4.7635976814074058E-3</v>
      </c>
      <c r="AL82" s="1"/>
      <c r="AM82" s="1">
        <f t="shared" ca="1" si="102"/>
        <v>7.1842287398976454E-2</v>
      </c>
      <c r="AN82" s="1">
        <f t="shared" ca="1" si="103"/>
        <v>25</v>
      </c>
      <c r="AO82" s="1">
        <f t="shared" ca="1" si="104"/>
        <v>15</v>
      </c>
      <c r="AQ82" s="1">
        <f t="shared" ca="1" si="105"/>
        <v>20</v>
      </c>
      <c r="AR82" s="1">
        <f t="shared" ca="1" si="106"/>
        <v>9</v>
      </c>
      <c r="AS82" s="1">
        <f t="shared" ca="1" si="107"/>
        <v>32</v>
      </c>
      <c r="AU82" s="1">
        <f t="shared" ca="1" si="108"/>
        <v>67</v>
      </c>
      <c r="AV82" s="1">
        <f t="shared" ca="1" si="109"/>
        <v>2</v>
      </c>
      <c r="AW82" s="1">
        <f t="shared" ca="1" si="110"/>
        <v>7.153817408877744E-2</v>
      </c>
      <c r="AY82" s="1">
        <f t="shared" ca="1" si="111"/>
        <v>1.6569525820413702</v>
      </c>
      <c r="AZ82" s="1">
        <f t="shared" ca="1" si="112"/>
        <v>169</v>
      </c>
      <c r="BA82" s="1">
        <f t="shared" ca="1" si="113"/>
        <v>7.3526981968967042E-3</v>
      </c>
      <c r="BG82" s="1">
        <f t="shared" ca="1" si="114"/>
        <v>0.68996429529396464</v>
      </c>
      <c r="BH82" s="1">
        <f t="shared" ca="1" si="115"/>
        <v>0.42898403031572674</v>
      </c>
      <c r="BI82" s="1">
        <f t="shared" ca="1" si="116"/>
        <v>920</v>
      </c>
      <c r="BV82" s="1">
        <f t="shared" ca="1" si="117"/>
        <v>0.71231974736014969</v>
      </c>
      <c r="BW82" s="1">
        <f t="shared" ca="1" si="118"/>
        <v>676</v>
      </c>
      <c r="BX82" s="1">
        <f t="shared" ca="1" si="119"/>
        <v>8.3150797882287873E-3</v>
      </c>
      <c r="BY82" s="1">
        <f t="shared" ca="1" si="120"/>
        <v>9.2893634991117441E-2</v>
      </c>
      <c r="BZ82" s="1">
        <f t="shared" ca="1" si="121"/>
        <v>0.54276997041340991</v>
      </c>
      <c r="CB82" s="1">
        <f t="shared" ca="1" si="122"/>
        <v>111</v>
      </c>
      <c r="CC82" s="1">
        <f t="shared" ca="1" si="123"/>
        <v>15</v>
      </c>
      <c r="CD82" s="1">
        <f t="shared" ca="1" si="124"/>
        <v>0.22526804627311656</v>
      </c>
      <c r="CE82" s="1">
        <f t="shared" ca="1" si="125"/>
        <v>0.50293038254697486</v>
      </c>
      <c r="CF82" s="1">
        <f t="shared" ca="1" si="125"/>
        <v>0.83079717194642322</v>
      </c>
      <c r="CH82" s="3">
        <f t="shared" ca="1" si="126"/>
        <v>0.70901730422251008</v>
      </c>
      <c r="CI82" s="3">
        <f t="shared" ca="1" si="127"/>
        <v>0.59835444769367574</v>
      </c>
      <c r="CJ82" s="3">
        <f t="shared" ca="1" si="128"/>
        <v>1781</v>
      </c>
      <c r="CK82" s="3">
        <f t="shared" ca="1" si="129"/>
        <v>6.4053676378627101E-3</v>
      </c>
      <c r="CL82" s="3">
        <f t="shared" ca="1" si="130"/>
        <v>0</v>
      </c>
      <c r="CM82" s="3"/>
      <c r="CN82" s="1">
        <f t="shared" ca="1" si="131"/>
        <v>13.402523518824802</v>
      </c>
      <c r="CO82" s="1">
        <f t="shared" ca="1" si="132"/>
        <v>0.39075667796849456</v>
      </c>
      <c r="CP82" s="1">
        <f t="shared" ca="1" si="133"/>
        <v>4</v>
      </c>
      <c r="CV82" s="1">
        <f t="shared" ca="1" si="134"/>
        <v>9.4233143121083724</v>
      </c>
      <c r="CW82" s="1">
        <f t="shared" ca="1" si="135"/>
        <v>1237</v>
      </c>
      <c r="CX82" s="1">
        <f t="shared" ca="1" si="136"/>
        <v>1.018634426837847E-3</v>
      </c>
      <c r="DH82" s="1">
        <f t="shared" ca="1" si="137"/>
        <v>104</v>
      </c>
      <c r="DI82" s="1">
        <f t="shared" ca="1" si="138"/>
        <v>0.62704611521348186</v>
      </c>
      <c r="DJ82" s="1">
        <f t="shared" ca="1" si="139"/>
        <v>18</v>
      </c>
      <c r="DL82" s="1">
        <f t="shared" ca="1" si="140"/>
        <v>5.62133136006523E-2</v>
      </c>
      <c r="DM82" s="1">
        <f t="shared" ca="1" si="141"/>
        <v>99</v>
      </c>
      <c r="DN82" s="1">
        <f t="shared" ca="1" si="142"/>
        <v>8</v>
      </c>
      <c r="DW82" s="1">
        <f t="shared" ca="1" si="143"/>
        <v>145</v>
      </c>
      <c r="DX82" s="1">
        <f t="shared" ca="1" si="144"/>
        <v>14</v>
      </c>
      <c r="DY82" s="1">
        <f t="shared" ca="1" si="145"/>
        <v>3</v>
      </c>
    </row>
    <row r="83" spans="2:129" x14ac:dyDescent="0.25">
      <c r="B83">
        <f t="shared" ca="1" si="75"/>
        <v>41</v>
      </c>
      <c r="C83">
        <f t="shared" ca="1" si="76"/>
        <v>49</v>
      </c>
      <c r="D83">
        <f t="shared" ca="1" si="77"/>
        <v>7.2150090858046953E-2</v>
      </c>
      <c r="F83" s="1">
        <f t="shared" ca="1" si="78"/>
        <v>11</v>
      </c>
      <c r="G83" s="1">
        <f t="shared" ca="1" si="79"/>
        <v>3</v>
      </c>
      <c r="H83" s="1">
        <f t="shared" ca="1" si="80"/>
        <v>13</v>
      </c>
      <c r="I83" s="1"/>
      <c r="J83" s="1">
        <f t="shared" ca="1" si="81"/>
        <v>30</v>
      </c>
      <c r="K83" s="1">
        <f t="shared" ca="1" si="82"/>
        <v>2.6646374388020098</v>
      </c>
      <c r="L83" s="1">
        <f t="shared" ca="1" si="83"/>
        <v>23</v>
      </c>
      <c r="M83" s="1"/>
      <c r="N83" s="1">
        <f t="shared" ca="1" si="84"/>
        <v>358</v>
      </c>
      <c r="O83" s="1">
        <f t="shared" ca="1" si="85"/>
        <v>13</v>
      </c>
      <c r="P83" s="1"/>
      <c r="Q83" s="1">
        <f t="shared" ca="1" si="86"/>
        <v>3.9688801716781228</v>
      </c>
      <c r="R83" s="1">
        <f t="shared" ca="1" si="87"/>
        <v>713</v>
      </c>
      <c r="S83" s="1"/>
      <c r="T83" s="1">
        <f t="shared" ca="1" si="88"/>
        <v>0.16304111633902202</v>
      </c>
      <c r="U83" s="1">
        <f t="shared" ca="1" si="89"/>
        <v>225</v>
      </c>
      <c r="V83" s="1">
        <f t="shared" ca="1" si="90"/>
        <v>45</v>
      </c>
      <c r="W83" s="1"/>
      <c r="X83" s="1">
        <f t="shared" ca="1" si="91"/>
        <v>2.9907719119204526</v>
      </c>
      <c r="Y83" s="1">
        <f t="shared" ca="1" si="92"/>
        <v>0.99428873332970402</v>
      </c>
      <c r="Z83" s="1">
        <f t="shared" ca="1" si="93"/>
        <v>1367</v>
      </c>
      <c r="AB83" s="1">
        <f t="shared" ca="1" si="94"/>
        <v>0.93260251530014282</v>
      </c>
      <c r="AC83" s="1">
        <f t="shared" ca="1" si="95"/>
        <v>529</v>
      </c>
      <c r="AD83" s="1">
        <f t="shared" ca="1" si="96"/>
        <v>3.2475175721823269E-4</v>
      </c>
      <c r="AE83" s="1"/>
      <c r="AF83" s="1">
        <f t="shared" ca="1" si="97"/>
        <v>0.60322376435168046</v>
      </c>
      <c r="AG83" s="1">
        <f t="shared" ca="1" si="98"/>
        <v>442</v>
      </c>
      <c r="AH83" s="1">
        <f t="shared" ca="1" si="99"/>
        <v>1.6010748380903624E-3</v>
      </c>
      <c r="AJ83" s="1">
        <f t="shared" ca="1" si="100"/>
        <v>0.79213276917115716</v>
      </c>
      <c r="AK83" s="1">
        <f t="shared" ca="1" si="101"/>
        <v>4.3202476754341263E-3</v>
      </c>
      <c r="AL83" s="1"/>
      <c r="AM83" s="1">
        <f t="shared" ca="1" si="102"/>
        <v>7.2281616910096769E-2</v>
      </c>
      <c r="AN83" s="1">
        <f t="shared" ca="1" si="103"/>
        <v>74</v>
      </c>
      <c r="AO83" s="1">
        <f t="shared" ca="1" si="104"/>
        <v>17</v>
      </c>
      <c r="AQ83" s="1">
        <f t="shared" ca="1" si="105"/>
        <v>192</v>
      </c>
      <c r="AR83" s="1">
        <f t="shared" ca="1" si="106"/>
        <v>4</v>
      </c>
      <c r="AS83" s="1">
        <f t="shared" ca="1" si="107"/>
        <v>27</v>
      </c>
      <c r="AU83" s="1">
        <f t="shared" ca="1" si="108"/>
        <v>175</v>
      </c>
      <c r="AV83" s="1">
        <f t="shared" ca="1" si="109"/>
        <v>2</v>
      </c>
      <c r="AW83" s="1">
        <f t="shared" ca="1" si="110"/>
        <v>6.4028988116526769E-2</v>
      </c>
      <c r="AY83" s="1">
        <f t="shared" ca="1" si="111"/>
        <v>1.3286042159110987</v>
      </c>
      <c r="AZ83" s="1">
        <f t="shared" ca="1" si="112"/>
        <v>239</v>
      </c>
      <c r="BA83" s="1">
        <f t="shared" ca="1" si="113"/>
        <v>3.2239782712765448E-3</v>
      </c>
      <c r="BG83" s="1">
        <f t="shared" ca="1" si="114"/>
        <v>0.21586638271771685</v>
      </c>
      <c r="BH83" s="1">
        <f t="shared" ca="1" si="115"/>
        <v>0.37871146555479063</v>
      </c>
      <c r="BI83" s="1">
        <f t="shared" ca="1" si="116"/>
        <v>855</v>
      </c>
      <c r="BV83" s="1">
        <f t="shared" ca="1" si="117"/>
        <v>0.14252366867667246</v>
      </c>
      <c r="BW83" s="1">
        <f t="shared" ca="1" si="118"/>
        <v>718</v>
      </c>
      <c r="BX83" s="1">
        <f t="shared" ca="1" si="119"/>
        <v>1.311625381057563E-3</v>
      </c>
      <c r="BY83" s="1">
        <f t="shared" ca="1" si="120"/>
        <v>7.413100560036856E-2</v>
      </c>
      <c r="BZ83" s="1">
        <f t="shared" ca="1" si="121"/>
        <v>0.90849173173006093</v>
      </c>
      <c r="CB83" s="1">
        <f t="shared" ca="1" si="122"/>
        <v>426</v>
      </c>
      <c r="CC83" s="1">
        <f t="shared" ca="1" si="123"/>
        <v>6</v>
      </c>
      <c r="CD83" s="1">
        <f t="shared" ca="1" si="124"/>
        <v>9.6459155661495113E-2</v>
      </c>
      <c r="CE83" s="1">
        <f t="shared" ca="1" si="125"/>
        <v>0.88491445703157035</v>
      </c>
      <c r="CF83" s="1">
        <f t="shared" ca="1" si="125"/>
        <v>0.97449538436207939</v>
      </c>
      <c r="CH83" s="3">
        <f t="shared" ca="1" si="126"/>
        <v>0.96352588455793853</v>
      </c>
      <c r="CI83" s="3">
        <f t="shared" ca="1" si="127"/>
        <v>0.33377454318976568</v>
      </c>
      <c r="CJ83" s="3">
        <f t="shared" ca="1" si="128"/>
        <v>1946</v>
      </c>
      <c r="CK83" s="3">
        <f t="shared" ca="1" si="129"/>
        <v>6.2553733376596874E-3</v>
      </c>
      <c r="CL83" s="3">
        <f t="shared" ca="1" si="130"/>
        <v>0</v>
      </c>
      <c r="CM83" s="3"/>
      <c r="CN83" s="1">
        <f t="shared" ca="1" si="131"/>
        <v>18.724432704185212</v>
      </c>
      <c r="CO83" s="1">
        <f t="shared" ca="1" si="132"/>
        <v>0.43041248813920846</v>
      </c>
      <c r="CP83" s="1">
        <f t="shared" ca="1" si="133"/>
        <v>4</v>
      </c>
      <c r="CV83" s="1">
        <f t="shared" ca="1" si="134"/>
        <v>7.5348283773778277</v>
      </c>
      <c r="CW83" s="1">
        <f t="shared" ca="1" si="135"/>
        <v>265</v>
      </c>
      <c r="CX83" s="1">
        <f t="shared" ca="1" si="136"/>
        <v>6.2371573533686487E-3</v>
      </c>
      <c r="DH83" s="1">
        <f t="shared" ca="1" si="137"/>
        <v>46</v>
      </c>
      <c r="DI83" s="1">
        <f t="shared" ca="1" si="138"/>
        <v>0.76092530380219781</v>
      </c>
      <c r="DJ83" s="1">
        <f t="shared" ca="1" si="139"/>
        <v>19</v>
      </c>
      <c r="DL83" s="1">
        <f t="shared" ca="1" si="140"/>
        <v>0.1280875348225062</v>
      </c>
      <c r="DM83" s="1">
        <f t="shared" ca="1" si="141"/>
        <v>234</v>
      </c>
      <c r="DN83" s="1">
        <f t="shared" ca="1" si="142"/>
        <v>10</v>
      </c>
      <c r="DW83" s="1">
        <f t="shared" ca="1" si="143"/>
        <v>78</v>
      </c>
      <c r="DX83" s="1">
        <f t="shared" ca="1" si="144"/>
        <v>12</v>
      </c>
      <c r="DY83" s="1">
        <f t="shared" ca="1" si="145"/>
        <v>9</v>
      </c>
    </row>
    <row r="84" spans="2:129" x14ac:dyDescent="0.25">
      <c r="B84">
        <f t="shared" ca="1" si="75"/>
        <v>312</v>
      </c>
      <c r="C84">
        <f t="shared" ca="1" si="76"/>
        <v>3</v>
      </c>
      <c r="D84">
        <f t="shared" ca="1" si="77"/>
        <v>0.24339732182846704</v>
      </c>
      <c r="F84" s="1">
        <f t="shared" ca="1" si="78"/>
        <v>48</v>
      </c>
      <c r="G84" s="1">
        <f t="shared" ca="1" si="79"/>
        <v>25</v>
      </c>
      <c r="H84" s="1">
        <f t="shared" ca="1" si="80"/>
        <v>8</v>
      </c>
      <c r="I84" s="1"/>
      <c r="J84" s="1">
        <f t="shared" ca="1" si="81"/>
        <v>27</v>
      </c>
      <c r="K84" s="1">
        <f t="shared" ca="1" si="82"/>
        <v>1.5071962706327064</v>
      </c>
      <c r="L84" s="1">
        <f t="shared" ca="1" si="83"/>
        <v>25</v>
      </c>
      <c r="M84" s="1"/>
      <c r="N84" s="1">
        <f t="shared" ca="1" si="84"/>
        <v>784</v>
      </c>
      <c r="O84" s="1">
        <f t="shared" ca="1" si="85"/>
        <v>48</v>
      </c>
      <c r="P84" s="1"/>
      <c r="Q84" s="1">
        <f t="shared" ca="1" si="86"/>
        <v>2.2143604536450661</v>
      </c>
      <c r="R84" s="1">
        <f t="shared" ca="1" si="87"/>
        <v>761</v>
      </c>
      <c r="S84" s="1"/>
      <c r="T84" s="1">
        <f t="shared" ca="1" si="88"/>
        <v>7.3992606101957209E-2</v>
      </c>
      <c r="U84" s="1">
        <f t="shared" ca="1" si="89"/>
        <v>383</v>
      </c>
      <c r="V84" s="1">
        <f t="shared" ca="1" si="90"/>
        <v>44</v>
      </c>
      <c r="W84" s="1"/>
      <c r="X84" s="1">
        <f t="shared" ca="1" si="91"/>
        <v>9.1359261778342002</v>
      </c>
      <c r="Y84" s="1">
        <f t="shared" ca="1" si="92"/>
        <v>0.67721368317010955</v>
      </c>
      <c r="Z84" s="1">
        <f t="shared" ca="1" si="93"/>
        <v>925</v>
      </c>
      <c r="AB84" s="1">
        <f t="shared" ca="1" si="94"/>
        <v>0.601046866049327</v>
      </c>
      <c r="AC84" s="1">
        <f t="shared" ca="1" si="95"/>
        <v>938</v>
      </c>
      <c r="AD84" s="1">
        <f t="shared" ca="1" si="96"/>
        <v>2.967473237107152E-3</v>
      </c>
      <c r="AE84" s="1"/>
      <c r="AF84" s="1">
        <f t="shared" ca="1" si="97"/>
        <v>0.14010928740188985</v>
      </c>
      <c r="AG84" s="1">
        <f t="shared" ca="1" si="98"/>
        <v>234</v>
      </c>
      <c r="AH84" s="1">
        <f t="shared" ca="1" si="99"/>
        <v>6.9671429046836927E-4</v>
      </c>
      <c r="AJ84" s="1">
        <f t="shared" ca="1" si="100"/>
        <v>0.50497375698398861</v>
      </c>
      <c r="AK84" s="1">
        <f t="shared" ca="1" si="101"/>
        <v>6.7087680563939879E-3</v>
      </c>
      <c r="AL84" s="1"/>
      <c r="AM84" s="1">
        <f t="shared" ca="1" si="102"/>
        <v>9.0510748853641187E-2</v>
      </c>
      <c r="AN84" s="1">
        <f t="shared" ca="1" si="103"/>
        <v>20</v>
      </c>
      <c r="AO84" s="1">
        <f t="shared" ca="1" si="104"/>
        <v>7</v>
      </c>
      <c r="AQ84" s="1">
        <f t="shared" ca="1" si="105"/>
        <v>21</v>
      </c>
      <c r="AR84" s="1">
        <f t="shared" ca="1" si="106"/>
        <v>1</v>
      </c>
      <c r="AS84" s="1">
        <f t="shared" ca="1" si="107"/>
        <v>20</v>
      </c>
      <c r="AU84" s="1">
        <f t="shared" ca="1" si="108"/>
        <v>211</v>
      </c>
      <c r="AV84" s="1">
        <f t="shared" ca="1" si="109"/>
        <v>5</v>
      </c>
      <c r="AW84" s="1">
        <f t="shared" ca="1" si="110"/>
        <v>8.3603201575052646E-2</v>
      </c>
      <c r="AY84" s="1">
        <f t="shared" ca="1" si="111"/>
        <v>1.3853450642075915</v>
      </c>
      <c r="AZ84" s="1">
        <f t="shared" ca="1" si="112"/>
        <v>86</v>
      </c>
      <c r="BA84" s="1">
        <f t="shared" ca="1" si="113"/>
        <v>8.9194602353456515E-4</v>
      </c>
      <c r="BG84" s="1">
        <f t="shared" ca="1" si="114"/>
        <v>1.3924330442323281E-3</v>
      </c>
      <c r="BH84" s="1">
        <f t="shared" ca="1" si="115"/>
        <v>0.78275206350977777</v>
      </c>
      <c r="BI84" s="1">
        <f t="shared" ca="1" si="116"/>
        <v>501</v>
      </c>
      <c r="BV84" s="1">
        <f t="shared" ca="1" si="117"/>
        <v>0.89184091895389539</v>
      </c>
      <c r="BW84" s="1">
        <f t="shared" ca="1" si="118"/>
        <v>564</v>
      </c>
      <c r="BX84" s="1">
        <f t="shared" ca="1" si="119"/>
        <v>7.3531334886718961E-4</v>
      </c>
      <c r="BY84" s="1">
        <f t="shared" ca="1" si="120"/>
        <v>2.6957297999715807E-3</v>
      </c>
      <c r="BZ84" s="1">
        <f t="shared" ca="1" si="121"/>
        <v>0.19425489219708225</v>
      </c>
      <c r="CB84" s="1">
        <f t="shared" ca="1" si="122"/>
        <v>295</v>
      </c>
      <c r="CC84" s="1">
        <f t="shared" ca="1" si="123"/>
        <v>7</v>
      </c>
      <c r="CD84" s="1">
        <f t="shared" ca="1" si="124"/>
        <v>0.27399298927572002</v>
      </c>
      <c r="CE84" s="1">
        <f t="shared" ca="1" si="125"/>
        <v>0.78330789787594202</v>
      </c>
      <c r="CF84" s="1">
        <f t="shared" ca="1" si="125"/>
        <v>0.6836273635374851</v>
      </c>
      <c r="CH84" s="3">
        <f t="shared" ca="1" si="126"/>
        <v>0.68631002114929918</v>
      </c>
      <c r="CI84" s="3">
        <f t="shared" ca="1" si="127"/>
        <v>2.890735163128158E-2</v>
      </c>
      <c r="CJ84" s="3">
        <f t="shared" ca="1" si="128"/>
        <v>1572</v>
      </c>
      <c r="CK84" s="3">
        <f t="shared" ca="1" si="129"/>
        <v>8.3050473550700665E-3</v>
      </c>
      <c r="CL84" s="3">
        <f t="shared" ca="1" si="130"/>
        <v>0</v>
      </c>
      <c r="CM84" s="3"/>
      <c r="CN84" s="1">
        <f t="shared" ca="1" si="131"/>
        <v>10.304555102550577</v>
      </c>
      <c r="CO84" s="1">
        <f t="shared" ca="1" si="132"/>
        <v>0.36152697255162691</v>
      </c>
      <c r="CP84" s="1">
        <f t="shared" ca="1" si="133"/>
        <v>4</v>
      </c>
      <c r="CV84" s="1">
        <f t="shared" ca="1" si="134"/>
        <v>0.20321668263378739</v>
      </c>
      <c r="CW84" s="1">
        <f t="shared" ca="1" si="135"/>
        <v>1661</v>
      </c>
      <c r="CX84" s="1">
        <f t="shared" ca="1" si="136"/>
        <v>9.7271110584149275E-3</v>
      </c>
      <c r="DH84" s="1">
        <f t="shared" ca="1" si="137"/>
        <v>610</v>
      </c>
      <c r="DI84" s="1">
        <f t="shared" ca="1" si="138"/>
        <v>0.44359122740247181</v>
      </c>
      <c r="DJ84" s="1">
        <f t="shared" ca="1" si="139"/>
        <v>20</v>
      </c>
      <c r="DL84" s="1">
        <f t="shared" ca="1" si="140"/>
        <v>0.12709115873286078</v>
      </c>
      <c r="DM84" s="1">
        <f t="shared" ca="1" si="141"/>
        <v>207</v>
      </c>
      <c r="DN84" s="1">
        <f t="shared" ca="1" si="142"/>
        <v>2</v>
      </c>
      <c r="DW84" s="1">
        <f t="shared" ca="1" si="143"/>
        <v>205</v>
      </c>
      <c r="DX84" s="1">
        <f t="shared" ca="1" si="144"/>
        <v>11</v>
      </c>
      <c r="DY84" s="1">
        <f t="shared" ca="1" si="145"/>
        <v>7</v>
      </c>
    </row>
    <row r="85" spans="2:129" x14ac:dyDescent="0.25">
      <c r="B85">
        <f t="shared" ca="1" si="75"/>
        <v>635</v>
      </c>
      <c r="C85">
        <f t="shared" ca="1" si="76"/>
        <v>26</v>
      </c>
      <c r="D85">
        <f t="shared" ca="1" si="77"/>
        <v>0.28811165062841687</v>
      </c>
      <c r="F85" s="1">
        <f t="shared" ca="1" si="78"/>
        <v>39</v>
      </c>
      <c r="G85" s="1">
        <f t="shared" ca="1" si="79"/>
        <v>28</v>
      </c>
      <c r="H85" s="1">
        <f t="shared" ca="1" si="80"/>
        <v>4</v>
      </c>
      <c r="I85" s="1"/>
      <c r="J85" s="1">
        <f t="shared" ca="1" si="81"/>
        <v>4</v>
      </c>
      <c r="K85" s="1">
        <f t="shared" ca="1" si="82"/>
        <v>1.154771620218302</v>
      </c>
      <c r="L85" s="1">
        <f t="shared" ca="1" si="83"/>
        <v>22</v>
      </c>
      <c r="M85" s="1"/>
      <c r="N85" s="1">
        <f t="shared" ca="1" si="84"/>
        <v>791</v>
      </c>
      <c r="O85" s="1">
        <f t="shared" ca="1" si="85"/>
        <v>22</v>
      </c>
      <c r="P85" s="1"/>
      <c r="Q85" s="1">
        <f t="shared" ca="1" si="86"/>
        <v>2.9963347839228422</v>
      </c>
      <c r="R85" s="1">
        <f t="shared" ca="1" si="87"/>
        <v>938</v>
      </c>
      <c r="S85" s="1"/>
      <c r="T85" s="1">
        <f t="shared" ca="1" si="88"/>
        <v>2.0176788118713603E-2</v>
      </c>
      <c r="U85" s="1">
        <f t="shared" ca="1" si="89"/>
        <v>405</v>
      </c>
      <c r="V85" s="1">
        <f t="shared" ca="1" si="90"/>
        <v>17</v>
      </c>
      <c r="W85" s="1"/>
      <c r="X85" s="1">
        <f t="shared" ca="1" si="91"/>
        <v>9.6085133679181975</v>
      </c>
      <c r="Y85" s="1">
        <f t="shared" ca="1" si="92"/>
        <v>0.48998609948282779</v>
      </c>
      <c r="Z85" s="1">
        <f t="shared" ca="1" si="93"/>
        <v>734</v>
      </c>
      <c r="AB85" s="1">
        <f t="shared" ca="1" si="94"/>
        <v>0.38651968223588318</v>
      </c>
      <c r="AC85" s="1">
        <f t="shared" ca="1" si="95"/>
        <v>697</v>
      </c>
      <c r="AD85" s="1">
        <f t="shared" ca="1" si="96"/>
        <v>9.1940462295256667E-3</v>
      </c>
      <c r="AE85" s="1"/>
      <c r="AF85" s="1">
        <f t="shared" ca="1" si="97"/>
        <v>0.63141961868144691</v>
      </c>
      <c r="AG85" s="1">
        <f t="shared" ca="1" si="98"/>
        <v>200</v>
      </c>
      <c r="AH85" s="1">
        <f t="shared" ca="1" si="99"/>
        <v>3.6517193482665262E-3</v>
      </c>
      <c r="AJ85" s="1">
        <f t="shared" ca="1" si="100"/>
        <v>0.13732899377507146</v>
      </c>
      <c r="AK85" s="1">
        <f t="shared" ca="1" si="101"/>
        <v>6.2645455991485856E-3</v>
      </c>
      <c r="AL85" s="1"/>
      <c r="AM85" s="1">
        <f t="shared" ca="1" si="102"/>
        <v>5.870112859423098E-3</v>
      </c>
      <c r="AN85" s="1">
        <f t="shared" ca="1" si="103"/>
        <v>23</v>
      </c>
      <c r="AO85" s="1">
        <f t="shared" ca="1" si="104"/>
        <v>18</v>
      </c>
      <c r="AQ85" s="1">
        <f t="shared" ca="1" si="105"/>
        <v>44</v>
      </c>
      <c r="AR85" s="1">
        <f t="shared" ca="1" si="106"/>
        <v>9</v>
      </c>
      <c r="AS85" s="1">
        <f t="shared" ca="1" si="107"/>
        <v>9</v>
      </c>
      <c r="AU85" s="1">
        <f t="shared" ca="1" si="108"/>
        <v>259</v>
      </c>
      <c r="AV85" s="1">
        <f t="shared" ca="1" si="109"/>
        <v>4</v>
      </c>
      <c r="AW85" s="1">
        <f t="shared" ca="1" si="110"/>
        <v>0.13074500631480107</v>
      </c>
      <c r="AY85" s="1">
        <f t="shared" ca="1" si="111"/>
        <v>1.7653423540260007</v>
      </c>
      <c r="AZ85" s="1">
        <f t="shared" ca="1" si="112"/>
        <v>68</v>
      </c>
      <c r="BA85" s="1">
        <f t="shared" ca="1" si="113"/>
        <v>7.9761762858431597E-3</v>
      </c>
      <c r="BG85" s="1">
        <f t="shared" ca="1" si="114"/>
        <v>0.29277788641184405</v>
      </c>
      <c r="BH85" s="1">
        <f t="shared" ca="1" si="115"/>
        <v>0.18177869187992513</v>
      </c>
      <c r="BI85" s="1">
        <f t="shared" ca="1" si="116"/>
        <v>895</v>
      </c>
      <c r="BV85" s="1">
        <f t="shared" ca="1" si="117"/>
        <v>0.40938797234719637</v>
      </c>
      <c r="BW85" s="1">
        <f t="shared" ca="1" si="118"/>
        <v>396</v>
      </c>
      <c r="BX85" s="1">
        <f t="shared" ca="1" si="119"/>
        <v>2.8616610700528556E-3</v>
      </c>
      <c r="BY85" s="1">
        <f t="shared" ca="1" si="120"/>
        <v>2.9496257062000653E-2</v>
      </c>
      <c r="BZ85" s="1">
        <f t="shared" ca="1" si="121"/>
        <v>0.3690618519942267</v>
      </c>
      <c r="CB85" s="1">
        <f t="shared" ca="1" si="122"/>
        <v>358</v>
      </c>
      <c r="CC85" s="1">
        <f t="shared" ca="1" si="123"/>
        <v>5</v>
      </c>
      <c r="CD85" s="1">
        <f t="shared" ca="1" si="124"/>
        <v>0.1773253176268651</v>
      </c>
      <c r="CE85" s="1">
        <f t="shared" ca="1" si="125"/>
        <v>0.61588298237289996</v>
      </c>
      <c r="CF85" s="1">
        <f t="shared" ca="1" si="125"/>
        <v>0.64544521579495706</v>
      </c>
      <c r="CH85" s="3">
        <f t="shared" ca="1" si="126"/>
        <v>0.54849001290988475</v>
      </c>
      <c r="CI85" s="3">
        <f t="shared" ca="1" si="127"/>
        <v>0.24349154358016031</v>
      </c>
      <c r="CJ85" s="3">
        <f t="shared" ca="1" si="128"/>
        <v>1800</v>
      </c>
      <c r="CK85" s="3">
        <f t="shared" ca="1" si="129"/>
        <v>9.6685940876634676E-3</v>
      </c>
      <c r="CL85" s="3">
        <f t="shared" ca="1" si="130"/>
        <v>1</v>
      </c>
      <c r="CM85" s="3"/>
      <c r="CN85" s="1">
        <f t="shared" ca="1" si="131"/>
        <v>7.1809000722589458</v>
      </c>
      <c r="CO85" s="1">
        <f t="shared" ca="1" si="132"/>
        <v>3.1711282322890035E-2</v>
      </c>
      <c r="CP85" s="1">
        <f t="shared" ca="1" si="133"/>
        <v>3</v>
      </c>
      <c r="CV85" s="1">
        <f t="shared" ca="1" si="134"/>
        <v>6.4068546736619467</v>
      </c>
      <c r="CW85" s="1">
        <f t="shared" ca="1" si="135"/>
        <v>1944</v>
      </c>
      <c r="CX85" s="1">
        <f t="shared" ca="1" si="136"/>
        <v>2.9758936229492796E-4</v>
      </c>
      <c r="DH85" s="1">
        <f t="shared" ca="1" si="137"/>
        <v>40</v>
      </c>
      <c r="DI85" s="1">
        <f t="shared" ca="1" si="138"/>
        <v>0.85354973160076075</v>
      </c>
      <c r="DJ85" s="1">
        <f t="shared" ca="1" si="139"/>
        <v>4</v>
      </c>
      <c r="DL85" s="1">
        <f t="shared" ca="1" si="140"/>
        <v>0.12678235216331851</v>
      </c>
      <c r="DM85" s="1">
        <f t="shared" ca="1" si="141"/>
        <v>209</v>
      </c>
      <c r="DN85" s="1">
        <f t="shared" ca="1" si="142"/>
        <v>3</v>
      </c>
      <c r="DW85" s="1">
        <f t="shared" ca="1" si="143"/>
        <v>65</v>
      </c>
      <c r="DX85" s="1">
        <f t="shared" ca="1" si="144"/>
        <v>20</v>
      </c>
      <c r="DY85" s="1">
        <f t="shared" ca="1" si="145"/>
        <v>11</v>
      </c>
    </row>
    <row r="86" spans="2:129" x14ac:dyDescent="0.25">
      <c r="B86">
        <f t="shared" ca="1" si="75"/>
        <v>242</v>
      </c>
      <c r="C86">
        <f t="shared" ca="1" si="76"/>
        <v>38</v>
      </c>
      <c r="D86">
        <f t="shared" ca="1" si="77"/>
        <v>9.6492817937603059E-2</v>
      </c>
      <c r="F86" s="1">
        <f t="shared" ca="1" si="78"/>
        <v>52</v>
      </c>
      <c r="G86" s="1">
        <f t="shared" ca="1" si="79"/>
        <v>14</v>
      </c>
      <c r="H86" s="1">
        <f t="shared" ca="1" si="80"/>
        <v>12</v>
      </c>
      <c r="I86" s="1"/>
      <c r="J86" s="1">
        <f t="shared" ca="1" si="81"/>
        <v>16</v>
      </c>
      <c r="K86" s="1">
        <f t="shared" ca="1" si="82"/>
        <v>1.5582938538275495</v>
      </c>
      <c r="L86" s="1">
        <f t="shared" ca="1" si="83"/>
        <v>32</v>
      </c>
      <c r="M86" s="1"/>
      <c r="N86" s="1">
        <f t="shared" ca="1" si="84"/>
        <v>944</v>
      </c>
      <c r="O86" s="1">
        <f t="shared" ca="1" si="85"/>
        <v>29</v>
      </c>
      <c r="P86" s="1"/>
      <c r="Q86" s="1">
        <f t="shared" ca="1" si="86"/>
        <v>0.90448371274695583</v>
      </c>
      <c r="R86" s="1">
        <f t="shared" ca="1" si="87"/>
        <v>1180</v>
      </c>
      <c r="S86" s="1"/>
      <c r="T86" s="1">
        <f t="shared" ca="1" si="88"/>
        <v>2.0859286756916333E-2</v>
      </c>
      <c r="U86" s="1">
        <f t="shared" ca="1" si="89"/>
        <v>79</v>
      </c>
      <c r="V86" s="1">
        <f t="shared" ca="1" si="90"/>
        <v>30</v>
      </c>
      <c r="W86" s="1"/>
      <c r="X86" s="1">
        <f t="shared" ca="1" si="91"/>
        <v>0.17736146302512809</v>
      </c>
      <c r="Y86" s="1">
        <f t="shared" ca="1" si="92"/>
        <v>0.55281245855290129</v>
      </c>
      <c r="Z86" s="1">
        <f t="shared" ca="1" si="93"/>
        <v>742</v>
      </c>
      <c r="AB86" s="1">
        <f t="shared" ca="1" si="94"/>
        <v>0.40882272039587886</v>
      </c>
      <c r="AC86" s="1">
        <f t="shared" ca="1" si="95"/>
        <v>809</v>
      </c>
      <c r="AD86" s="1">
        <f t="shared" ca="1" si="96"/>
        <v>7.5142959165991705E-3</v>
      </c>
      <c r="AE86" s="1"/>
      <c r="AF86" s="1">
        <f t="shared" ca="1" si="97"/>
        <v>0.10293149625971187</v>
      </c>
      <c r="AG86" s="1">
        <f t="shared" ca="1" si="98"/>
        <v>566</v>
      </c>
      <c r="AH86" s="1">
        <f t="shared" ca="1" si="99"/>
        <v>6.8841955073256655E-4</v>
      </c>
      <c r="AJ86" s="1">
        <f t="shared" ca="1" si="100"/>
        <v>0.33821181408366463</v>
      </c>
      <c r="AK86" s="1">
        <f t="shared" ca="1" si="101"/>
        <v>6.5734050277141956E-3</v>
      </c>
      <c r="AL86" s="1"/>
      <c r="AM86" s="1">
        <f t="shared" ca="1" si="102"/>
        <v>0.12578385664573344</v>
      </c>
      <c r="AN86" s="1">
        <f t="shared" ca="1" si="103"/>
        <v>14</v>
      </c>
      <c r="AO86" s="1">
        <f t="shared" ca="1" si="104"/>
        <v>4</v>
      </c>
      <c r="AQ86" s="1">
        <f t="shared" ca="1" si="105"/>
        <v>81</v>
      </c>
      <c r="AR86" s="1">
        <f t="shared" ca="1" si="106"/>
        <v>0</v>
      </c>
      <c r="AS86" s="1">
        <f t="shared" ca="1" si="107"/>
        <v>20</v>
      </c>
      <c r="AU86" s="1">
        <f t="shared" ca="1" si="108"/>
        <v>310</v>
      </c>
      <c r="AV86" s="1">
        <f t="shared" ca="1" si="109"/>
        <v>5</v>
      </c>
      <c r="AW86" s="1">
        <f t="shared" ca="1" si="110"/>
        <v>0.15879451924874172</v>
      </c>
      <c r="AY86" s="1">
        <f t="shared" ca="1" si="111"/>
        <v>1.4959284181427208</v>
      </c>
      <c r="AZ86" s="1">
        <f t="shared" ca="1" si="112"/>
        <v>378</v>
      </c>
      <c r="BA86" s="1">
        <f t="shared" ca="1" si="113"/>
        <v>7.5514477745132948E-3</v>
      </c>
      <c r="BG86" s="1">
        <f t="shared" ca="1" si="114"/>
        <v>0.9978987655843945</v>
      </c>
      <c r="BH86" s="1">
        <f t="shared" ca="1" si="115"/>
        <v>0.1245342527785237</v>
      </c>
      <c r="BI86" s="1">
        <f t="shared" ca="1" si="116"/>
        <v>971</v>
      </c>
      <c r="BV86" s="1">
        <f t="shared" ca="1" si="117"/>
        <v>0.65217179305313888</v>
      </c>
      <c r="BW86" s="1">
        <f t="shared" ca="1" si="118"/>
        <v>580</v>
      </c>
      <c r="BX86" s="1">
        <f t="shared" ca="1" si="119"/>
        <v>9.2501999253685324E-3</v>
      </c>
      <c r="BY86" s="1">
        <f t="shared" ca="1" si="120"/>
        <v>5.7056919954332444E-2</v>
      </c>
      <c r="BZ86" s="1">
        <f t="shared" ca="1" si="121"/>
        <v>0.61348985830522662</v>
      </c>
      <c r="CB86" s="1">
        <f t="shared" ca="1" si="122"/>
        <v>420</v>
      </c>
      <c r="CC86" s="1">
        <f t="shared" ca="1" si="123"/>
        <v>14</v>
      </c>
      <c r="CD86" s="1">
        <f t="shared" ca="1" si="124"/>
        <v>0.27973344727036059</v>
      </c>
      <c r="CE86" s="1">
        <f t="shared" ca="1" si="125"/>
        <v>0.64738038019636446</v>
      </c>
      <c r="CF86" s="1">
        <f t="shared" ca="1" si="125"/>
        <v>0.77917145404573385</v>
      </c>
      <c r="CH86" s="3">
        <f t="shared" ca="1" si="126"/>
        <v>9.3330104700085029E-2</v>
      </c>
      <c r="CI86" s="3">
        <f t="shared" ca="1" si="127"/>
        <v>0.19320984696212806</v>
      </c>
      <c r="CJ86" s="3">
        <f t="shared" ca="1" si="128"/>
        <v>1981</v>
      </c>
      <c r="CK86" s="3">
        <f t="shared" ca="1" si="129"/>
        <v>9.9207552545122167E-3</v>
      </c>
      <c r="CL86" s="3">
        <f t="shared" ca="1" si="130"/>
        <v>1</v>
      </c>
      <c r="CM86" s="3"/>
      <c r="CN86" s="1">
        <f t="shared" ca="1" si="131"/>
        <v>9.3111721065219921</v>
      </c>
      <c r="CO86" s="1">
        <f t="shared" ca="1" si="132"/>
        <v>0.17190096212624725</v>
      </c>
      <c r="CP86" s="1">
        <f t="shared" ca="1" si="133"/>
        <v>3</v>
      </c>
      <c r="CV86" s="1">
        <f t="shared" ca="1" si="134"/>
        <v>2.848607384455768</v>
      </c>
      <c r="CW86" s="1">
        <f t="shared" ca="1" si="135"/>
        <v>823</v>
      </c>
      <c r="CX86" s="1">
        <f t="shared" ca="1" si="136"/>
        <v>4.2496509049863695E-3</v>
      </c>
      <c r="DH86" s="1">
        <f t="shared" ca="1" si="137"/>
        <v>139</v>
      </c>
      <c r="DI86" s="1">
        <f t="shared" ca="1" si="138"/>
        <v>9.1601823267311575E-2</v>
      </c>
      <c r="DJ86" s="1">
        <f t="shared" ca="1" si="139"/>
        <v>16</v>
      </c>
      <c r="DL86" s="1">
        <f t="shared" ca="1" si="140"/>
        <v>0.1251954863917121</v>
      </c>
      <c r="DM86" s="1">
        <f t="shared" ca="1" si="141"/>
        <v>74</v>
      </c>
      <c r="DN86" s="1">
        <f t="shared" ca="1" si="142"/>
        <v>5</v>
      </c>
      <c r="DW86" s="1">
        <f t="shared" ca="1" si="143"/>
        <v>312</v>
      </c>
      <c r="DX86" s="1">
        <f t="shared" ca="1" si="144"/>
        <v>14</v>
      </c>
      <c r="DY86" s="1">
        <f t="shared" ca="1" si="145"/>
        <v>18</v>
      </c>
    </row>
    <row r="87" spans="2:129" x14ac:dyDescent="0.25">
      <c r="B87">
        <f t="shared" ca="1" si="75"/>
        <v>953</v>
      </c>
      <c r="C87">
        <f t="shared" ca="1" si="76"/>
        <v>51</v>
      </c>
      <c r="D87">
        <f t="shared" ca="1" si="77"/>
        <v>0.17381379669728089</v>
      </c>
      <c r="F87" s="1">
        <f t="shared" ca="1" si="78"/>
        <v>13</v>
      </c>
      <c r="G87" s="1">
        <f t="shared" ca="1" si="79"/>
        <v>12</v>
      </c>
      <c r="H87" s="1">
        <f t="shared" ca="1" si="80"/>
        <v>11</v>
      </c>
      <c r="I87" s="1"/>
      <c r="J87" s="1">
        <f t="shared" ca="1" si="81"/>
        <v>1</v>
      </c>
      <c r="K87" s="1">
        <f t="shared" ca="1" si="82"/>
        <v>2.9243340759151408</v>
      </c>
      <c r="L87" s="1">
        <f t="shared" ca="1" si="83"/>
        <v>12</v>
      </c>
      <c r="M87" s="1"/>
      <c r="N87" s="1">
        <f t="shared" ca="1" si="84"/>
        <v>457</v>
      </c>
      <c r="O87" s="1">
        <f t="shared" ca="1" si="85"/>
        <v>35</v>
      </c>
      <c r="P87" s="1"/>
      <c r="Q87" s="1">
        <f t="shared" ca="1" si="86"/>
        <v>4.1068635756066776</v>
      </c>
      <c r="R87" s="1">
        <f t="shared" ca="1" si="87"/>
        <v>287</v>
      </c>
      <c r="S87" s="1"/>
      <c r="T87" s="1">
        <f t="shared" ca="1" si="88"/>
        <v>0.19130637730835531</v>
      </c>
      <c r="U87" s="1">
        <f t="shared" ca="1" si="89"/>
        <v>253</v>
      </c>
      <c r="V87" s="1">
        <f t="shared" ca="1" si="90"/>
        <v>52</v>
      </c>
      <c r="W87" s="1"/>
      <c r="X87" s="1">
        <f t="shared" ca="1" si="91"/>
        <v>2.3815887839531014</v>
      </c>
      <c r="Y87" s="1">
        <f t="shared" ca="1" si="92"/>
        <v>0.58404898796653626</v>
      </c>
      <c r="Z87" s="1">
        <f t="shared" ca="1" si="93"/>
        <v>781</v>
      </c>
      <c r="AB87" s="1">
        <f t="shared" ca="1" si="94"/>
        <v>0.53140153913951005</v>
      </c>
      <c r="AC87" s="1">
        <f t="shared" ca="1" si="95"/>
        <v>410</v>
      </c>
      <c r="AD87" s="1">
        <f t="shared" ca="1" si="96"/>
        <v>3.6105390859779772E-3</v>
      </c>
      <c r="AE87" s="1"/>
      <c r="AF87" s="1">
        <f t="shared" ca="1" si="97"/>
        <v>0.8819948294198271</v>
      </c>
      <c r="AG87" s="1">
        <f t="shared" ca="1" si="98"/>
        <v>254</v>
      </c>
      <c r="AH87" s="1">
        <f t="shared" ca="1" si="99"/>
        <v>5.5839514358282539E-3</v>
      </c>
      <c r="AJ87" s="1">
        <f t="shared" ca="1" si="100"/>
        <v>0.56500622299239833</v>
      </c>
      <c r="AK87" s="1">
        <f t="shared" ca="1" si="101"/>
        <v>8.4188063447295982E-3</v>
      </c>
      <c r="AL87" s="1"/>
      <c r="AM87" s="1">
        <f t="shared" ca="1" si="102"/>
        <v>0.19508979259726633</v>
      </c>
      <c r="AN87" s="1">
        <f t="shared" ca="1" si="103"/>
        <v>21</v>
      </c>
      <c r="AO87" s="1">
        <f t="shared" ca="1" si="104"/>
        <v>6</v>
      </c>
      <c r="AQ87" s="1">
        <f t="shared" ca="1" si="105"/>
        <v>13</v>
      </c>
      <c r="AR87" s="1">
        <f t="shared" ca="1" si="106"/>
        <v>8</v>
      </c>
      <c r="AS87" s="1">
        <f t="shared" ca="1" si="107"/>
        <v>82</v>
      </c>
      <c r="AU87" s="1">
        <f t="shared" ca="1" si="108"/>
        <v>398</v>
      </c>
      <c r="AV87" s="1">
        <f t="shared" ca="1" si="109"/>
        <v>5</v>
      </c>
      <c r="AW87" s="1">
        <f t="shared" ca="1" si="110"/>
        <v>3.5888862099764773E-2</v>
      </c>
      <c r="AY87" s="1">
        <f t="shared" ca="1" si="111"/>
        <v>1.8135426543166462</v>
      </c>
      <c r="AZ87" s="1">
        <f t="shared" ca="1" si="112"/>
        <v>63</v>
      </c>
      <c r="BA87" s="1">
        <f t="shared" ca="1" si="113"/>
        <v>7.8504037683470723E-3</v>
      </c>
      <c r="BG87" s="1">
        <f t="shared" ca="1" si="114"/>
        <v>0.82086641790745651</v>
      </c>
      <c r="BH87" s="1">
        <f t="shared" ca="1" si="115"/>
        <v>0.56914840624843999</v>
      </c>
      <c r="BI87" s="1">
        <f t="shared" ca="1" si="116"/>
        <v>294</v>
      </c>
      <c r="BV87" s="1">
        <f t="shared" ca="1" si="117"/>
        <v>0.34871828258611232</v>
      </c>
      <c r="BW87" s="1">
        <f t="shared" ca="1" si="118"/>
        <v>898</v>
      </c>
      <c r="BX87" s="1">
        <f t="shared" ca="1" si="119"/>
        <v>5.8844602507532812E-3</v>
      </c>
      <c r="BY87" s="1">
        <f t="shared" ca="1" si="120"/>
        <v>3.5508097228574002E-2</v>
      </c>
      <c r="BZ87" s="1">
        <f t="shared" ca="1" si="121"/>
        <v>0.99227094278265637</v>
      </c>
      <c r="CB87" s="1">
        <f t="shared" ca="1" si="122"/>
        <v>157</v>
      </c>
      <c r="CC87" s="1">
        <f t="shared" ca="1" si="123"/>
        <v>3</v>
      </c>
      <c r="CD87" s="1">
        <f t="shared" ca="1" si="124"/>
        <v>0.18589627579434062</v>
      </c>
      <c r="CE87" s="1">
        <f t="shared" ca="1" si="125"/>
        <v>0.56809205040873412</v>
      </c>
      <c r="CF87" s="1">
        <f t="shared" ca="1" si="125"/>
        <v>0.97552370473040584</v>
      </c>
      <c r="CH87" s="3">
        <f t="shared" ca="1" si="126"/>
        <v>0.6515319102198972</v>
      </c>
      <c r="CI87" s="3">
        <f t="shared" ca="1" si="127"/>
        <v>0.8754940648301841</v>
      </c>
      <c r="CJ87" s="3">
        <f t="shared" ca="1" si="128"/>
        <v>862</v>
      </c>
      <c r="CK87" s="3">
        <f t="shared" ca="1" si="129"/>
        <v>6.0497951960510462E-3</v>
      </c>
      <c r="CL87" s="3">
        <f t="shared" ca="1" si="130"/>
        <v>0</v>
      </c>
      <c r="CM87" s="3"/>
      <c r="CN87" s="1">
        <f t="shared" ca="1" si="131"/>
        <v>1.5256136824386122</v>
      </c>
      <c r="CO87" s="1">
        <f t="shared" ca="1" si="132"/>
        <v>0.3940645962979219</v>
      </c>
      <c r="CP87" s="1">
        <f t="shared" ca="1" si="133"/>
        <v>2</v>
      </c>
      <c r="CV87" s="1">
        <f t="shared" ca="1" si="134"/>
        <v>3.8460896134301277</v>
      </c>
      <c r="CW87" s="1">
        <f t="shared" ca="1" si="135"/>
        <v>345</v>
      </c>
      <c r="CX87" s="1">
        <f t="shared" ca="1" si="136"/>
        <v>2.1435343747024244E-3</v>
      </c>
      <c r="DH87" s="1">
        <f t="shared" ca="1" si="137"/>
        <v>643</v>
      </c>
      <c r="DI87" s="1">
        <f t="shared" ca="1" si="138"/>
        <v>0.14283267449251857</v>
      </c>
      <c r="DJ87" s="1">
        <f t="shared" ca="1" si="139"/>
        <v>8</v>
      </c>
      <c r="DL87" s="1">
        <f t="shared" ca="1" si="140"/>
        <v>0.15310700859546231</v>
      </c>
      <c r="DM87" s="1">
        <f t="shared" ca="1" si="141"/>
        <v>171</v>
      </c>
      <c r="DN87" s="1">
        <f t="shared" ca="1" si="142"/>
        <v>10</v>
      </c>
      <c r="DW87" s="1">
        <f t="shared" ca="1" si="143"/>
        <v>263</v>
      </c>
      <c r="DX87" s="1">
        <f t="shared" ca="1" si="144"/>
        <v>11</v>
      </c>
      <c r="DY87" s="1">
        <f t="shared" ca="1" si="145"/>
        <v>13</v>
      </c>
    </row>
    <row r="88" spans="2:129" x14ac:dyDescent="0.25">
      <c r="B88">
        <f t="shared" ca="1" si="75"/>
        <v>366</v>
      </c>
      <c r="C88">
        <f t="shared" ca="1" si="76"/>
        <v>47</v>
      </c>
      <c r="D88">
        <f t="shared" ca="1" si="77"/>
        <v>5.9962842696228473E-2</v>
      </c>
      <c r="F88" s="1">
        <f t="shared" ca="1" si="78"/>
        <v>23</v>
      </c>
      <c r="G88" s="1">
        <f t="shared" ca="1" si="79"/>
        <v>18</v>
      </c>
      <c r="H88" s="1">
        <f t="shared" ca="1" si="80"/>
        <v>6</v>
      </c>
      <c r="I88" s="1"/>
      <c r="J88" s="1">
        <f t="shared" ca="1" si="81"/>
        <v>37</v>
      </c>
      <c r="K88" s="1">
        <f t="shared" ca="1" si="82"/>
        <v>2.0597047532400756</v>
      </c>
      <c r="L88" s="1">
        <f t="shared" ca="1" si="83"/>
        <v>28</v>
      </c>
      <c r="M88" s="1"/>
      <c r="N88" s="1">
        <f t="shared" ca="1" si="84"/>
        <v>560</v>
      </c>
      <c r="O88" s="1">
        <f t="shared" ca="1" si="85"/>
        <v>32</v>
      </c>
      <c r="P88" s="1"/>
      <c r="Q88" s="1">
        <f t="shared" ca="1" si="86"/>
        <v>3.6169140741212011</v>
      </c>
      <c r="R88" s="1">
        <f t="shared" ca="1" si="87"/>
        <v>853</v>
      </c>
      <c r="S88" s="1"/>
      <c r="T88" s="1">
        <f t="shared" ca="1" si="88"/>
        <v>0.13612392288315683</v>
      </c>
      <c r="U88" s="1">
        <f t="shared" ca="1" si="89"/>
        <v>339</v>
      </c>
      <c r="V88" s="1">
        <f t="shared" ca="1" si="90"/>
        <v>33</v>
      </c>
      <c r="W88" s="1"/>
      <c r="X88" s="1">
        <f t="shared" ca="1" si="91"/>
        <v>1.5850419897859291</v>
      </c>
      <c r="Y88" s="1">
        <f t="shared" ca="1" si="92"/>
        <v>0.49941352066300465</v>
      </c>
      <c r="Z88" s="1">
        <f t="shared" ca="1" si="93"/>
        <v>1229</v>
      </c>
      <c r="AB88" s="1">
        <f t="shared" ca="1" si="94"/>
        <v>0.20389000437721233</v>
      </c>
      <c r="AC88" s="1">
        <f t="shared" ca="1" si="95"/>
        <v>207</v>
      </c>
      <c r="AD88" s="1">
        <f t="shared" ca="1" si="96"/>
        <v>4.3908601197866423E-3</v>
      </c>
      <c r="AE88" s="1"/>
      <c r="AF88" s="1">
        <f t="shared" ca="1" si="97"/>
        <v>0.72487646577429388</v>
      </c>
      <c r="AG88" s="1">
        <f t="shared" ca="1" si="98"/>
        <v>523</v>
      </c>
      <c r="AH88" s="1">
        <f t="shared" ca="1" si="99"/>
        <v>2.3418859306786753E-3</v>
      </c>
      <c r="AJ88" s="1">
        <f t="shared" ca="1" si="100"/>
        <v>0.68877117743315563</v>
      </c>
      <c r="AK88" s="1">
        <f t="shared" ca="1" si="101"/>
        <v>4.6085260693707946E-3</v>
      </c>
      <c r="AL88" s="1"/>
      <c r="AM88" s="1">
        <f t="shared" ca="1" si="102"/>
        <v>4.2927401636139416E-2</v>
      </c>
      <c r="AN88" s="1">
        <f t="shared" ca="1" si="103"/>
        <v>66</v>
      </c>
      <c r="AO88" s="1">
        <f t="shared" ca="1" si="104"/>
        <v>11</v>
      </c>
      <c r="AQ88" s="1">
        <f t="shared" ca="1" si="105"/>
        <v>94</v>
      </c>
      <c r="AR88" s="1">
        <f t="shared" ca="1" si="106"/>
        <v>0</v>
      </c>
      <c r="AS88" s="1">
        <f t="shared" ca="1" si="107"/>
        <v>53</v>
      </c>
      <c r="AU88" s="1">
        <f t="shared" ca="1" si="108"/>
        <v>310</v>
      </c>
      <c r="AV88" s="1">
        <f t="shared" ca="1" si="109"/>
        <v>2</v>
      </c>
      <c r="AW88" s="1">
        <f t="shared" ca="1" si="110"/>
        <v>8.972349318768548E-2</v>
      </c>
      <c r="AY88" s="1">
        <f t="shared" ca="1" si="111"/>
        <v>1.707971588514805</v>
      </c>
      <c r="AZ88" s="1">
        <f t="shared" ca="1" si="112"/>
        <v>231</v>
      </c>
      <c r="BA88" s="1">
        <f t="shared" ca="1" si="113"/>
        <v>8.3731958340881769E-3</v>
      </c>
      <c r="BG88" s="1">
        <f t="shared" ca="1" si="114"/>
        <v>0.94821486174047886</v>
      </c>
      <c r="BH88" s="1">
        <f t="shared" ca="1" si="115"/>
        <v>0.23485828293317623</v>
      </c>
      <c r="BI88" s="1">
        <f t="shared" ca="1" si="116"/>
        <v>348</v>
      </c>
      <c r="BV88" s="1">
        <f t="shared" ca="1" si="117"/>
        <v>2.1356546648185128E-2</v>
      </c>
      <c r="BW88" s="1">
        <f t="shared" ca="1" si="118"/>
        <v>118</v>
      </c>
      <c r="BX88" s="1">
        <f t="shared" ca="1" si="119"/>
        <v>8.6337755202965469E-3</v>
      </c>
      <c r="BY88" s="1">
        <f t="shared" ca="1" si="120"/>
        <v>4.066279986430197E-2</v>
      </c>
      <c r="BZ88" s="1">
        <f t="shared" ca="1" si="121"/>
        <v>0.30964127057041657</v>
      </c>
      <c r="CB88" s="1">
        <f t="shared" ca="1" si="122"/>
        <v>240</v>
      </c>
      <c r="CC88" s="1">
        <f t="shared" ca="1" si="123"/>
        <v>3</v>
      </c>
      <c r="CD88" s="1">
        <f t="shared" ca="1" si="124"/>
        <v>0.24181579859716415</v>
      </c>
      <c r="CE88" s="1">
        <f t="shared" ca="1" si="125"/>
        <v>0.55613412350013447</v>
      </c>
      <c r="CF88" s="1">
        <f t="shared" ca="1" si="125"/>
        <v>0.5240440888680119</v>
      </c>
      <c r="CH88" s="3">
        <f t="shared" ca="1" si="126"/>
        <v>0.49235703876282133</v>
      </c>
      <c r="CI88" s="3">
        <f t="shared" ca="1" si="127"/>
        <v>1.2033781226286476E-2</v>
      </c>
      <c r="CJ88" s="3">
        <f t="shared" ca="1" si="128"/>
        <v>752</v>
      </c>
      <c r="CK88" s="3">
        <f t="shared" ca="1" si="129"/>
        <v>5.4015876977735466E-3</v>
      </c>
      <c r="CL88" s="3">
        <f t="shared" ca="1" si="130"/>
        <v>1</v>
      </c>
      <c r="CM88" s="3"/>
      <c r="CN88" s="1">
        <f t="shared" ca="1" si="131"/>
        <v>7.0783525673105236</v>
      </c>
      <c r="CO88" s="1">
        <f t="shared" ca="1" si="132"/>
        <v>0.36243067194692657</v>
      </c>
      <c r="CP88" s="1">
        <f t="shared" ca="1" si="133"/>
        <v>4</v>
      </c>
      <c r="CV88" s="1">
        <f t="shared" ca="1" si="134"/>
        <v>6.3722293605923932</v>
      </c>
      <c r="CW88" s="1">
        <f t="shared" ca="1" si="135"/>
        <v>1846</v>
      </c>
      <c r="CX88" s="1">
        <f t="shared" ca="1" si="136"/>
        <v>8.0470089748803861E-3</v>
      </c>
      <c r="DH88" s="1">
        <f t="shared" ca="1" si="137"/>
        <v>549</v>
      </c>
      <c r="DI88" s="1">
        <f t="shared" ca="1" si="138"/>
        <v>0.42167889642356587</v>
      </c>
      <c r="DJ88" s="1">
        <f t="shared" ca="1" si="139"/>
        <v>30</v>
      </c>
      <c r="DL88" s="1">
        <f t="shared" ca="1" si="140"/>
        <v>3.6037085201580478E-2</v>
      </c>
      <c r="DM88" s="1">
        <f t="shared" ca="1" si="141"/>
        <v>54</v>
      </c>
      <c r="DN88" s="1">
        <f t="shared" ca="1" si="142"/>
        <v>3</v>
      </c>
      <c r="DW88" s="1">
        <f t="shared" ca="1" si="143"/>
        <v>127</v>
      </c>
      <c r="DX88" s="1">
        <f t="shared" ca="1" si="144"/>
        <v>6</v>
      </c>
      <c r="DY88" s="1">
        <f t="shared" ca="1" si="145"/>
        <v>19</v>
      </c>
    </row>
    <row r="89" spans="2:129" x14ac:dyDescent="0.25">
      <c r="B89">
        <f t="shared" ca="1" si="75"/>
        <v>956</v>
      </c>
      <c r="C89">
        <f t="shared" ca="1" si="76"/>
        <v>25</v>
      </c>
      <c r="D89">
        <f t="shared" ca="1" si="77"/>
        <v>2.7847774761709812E-2</v>
      </c>
      <c r="F89" s="1">
        <f t="shared" ca="1" si="78"/>
        <v>23</v>
      </c>
      <c r="G89" s="1">
        <f t="shared" ca="1" si="79"/>
        <v>7</v>
      </c>
      <c r="H89" s="1">
        <f t="shared" ca="1" si="80"/>
        <v>14</v>
      </c>
      <c r="I89" s="1"/>
      <c r="J89" s="1">
        <f t="shared" ca="1" si="81"/>
        <v>22</v>
      </c>
      <c r="K89" s="1">
        <f t="shared" ca="1" si="82"/>
        <v>2.5228672726384866</v>
      </c>
      <c r="L89" s="1">
        <f t="shared" ca="1" si="83"/>
        <v>9</v>
      </c>
      <c r="M89" s="1"/>
      <c r="N89" s="1">
        <f t="shared" ca="1" si="84"/>
        <v>864</v>
      </c>
      <c r="O89" s="1">
        <f t="shared" ca="1" si="85"/>
        <v>52</v>
      </c>
      <c r="P89" s="1"/>
      <c r="Q89" s="1">
        <f t="shared" ca="1" si="86"/>
        <v>2.6864152325097002</v>
      </c>
      <c r="R89" s="1">
        <f t="shared" ca="1" si="87"/>
        <v>403</v>
      </c>
      <c r="S89" s="1"/>
      <c r="T89" s="1">
        <f t="shared" ca="1" si="88"/>
        <v>8.2484933476970793E-2</v>
      </c>
      <c r="U89" s="1">
        <f t="shared" ca="1" si="89"/>
        <v>346</v>
      </c>
      <c r="V89" s="1">
        <f t="shared" ca="1" si="90"/>
        <v>49</v>
      </c>
      <c r="W89" s="1"/>
      <c r="X89" s="1">
        <f t="shared" ca="1" si="91"/>
        <v>1.8291214073518205</v>
      </c>
      <c r="Y89" s="1">
        <f t="shared" ca="1" si="92"/>
        <v>0.77905704940160148</v>
      </c>
      <c r="Z89" s="1">
        <f t="shared" ca="1" si="93"/>
        <v>795</v>
      </c>
      <c r="AB89" s="1">
        <f t="shared" ca="1" si="94"/>
        <v>0.12071552784507888</v>
      </c>
      <c r="AC89" s="1">
        <f t="shared" ca="1" si="95"/>
        <v>447</v>
      </c>
      <c r="AD89" s="1">
        <f t="shared" ca="1" si="96"/>
        <v>3.5886290672434988E-3</v>
      </c>
      <c r="AE89" s="1"/>
      <c r="AF89" s="1">
        <f t="shared" ca="1" si="97"/>
        <v>0.82072096263725969</v>
      </c>
      <c r="AG89" s="1">
        <f t="shared" ca="1" si="98"/>
        <v>844</v>
      </c>
      <c r="AH89" s="1">
        <f t="shared" ca="1" si="99"/>
        <v>9.8899896490019287E-3</v>
      </c>
      <c r="AJ89" s="1">
        <f t="shared" ca="1" si="100"/>
        <v>0.39505676253946664</v>
      </c>
      <c r="AK89" s="1">
        <f t="shared" ca="1" si="101"/>
        <v>1.5749502290197063E-3</v>
      </c>
      <c r="AL89" s="1"/>
      <c r="AM89" s="1">
        <f t="shared" ca="1" si="102"/>
        <v>0.17284852144330154</v>
      </c>
      <c r="AN89" s="1">
        <f t="shared" ca="1" si="103"/>
        <v>36</v>
      </c>
      <c r="AO89" s="1">
        <f t="shared" ca="1" si="104"/>
        <v>3</v>
      </c>
      <c r="AQ89" s="1">
        <f t="shared" ca="1" si="105"/>
        <v>128</v>
      </c>
      <c r="AR89" s="1">
        <f t="shared" ca="1" si="106"/>
        <v>0</v>
      </c>
      <c r="AS89" s="1">
        <f t="shared" ca="1" si="107"/>
        <v>36</v>
      </c>
      <c r="AU89" s="1">
        <f t="shared" ca="1" si="108"/>
        <v>384</v>
      </c>
      <c r="AV89" s="1">
        <f t="shared" ca="1" si="109"/>
        <v>7</v>
      </c>
      <c r="AW89" s="1">
        <f t="shared" ca="1" si="110"/>
        <v>6.1279014660948747E-2</v>
      </c>
      <c r="AY89" s="1">
        <f t="shared" ca="1" si="111"/>
        <v>1.1397346526381142</v>
      </c>
      <c r="AZ89" s="1">
        <f t="shared" ca="1" si="112"/>
        <v>102</v>
      </c>
      <c r="BA89" s="1">
        <f t="shared" ca="1" si="113"/>
        <v>6.0571040594597546E-3</v>
      </c>
      <c r="BG89" s="1">
        <f t="shared" ca="1" si="114"/>
        <v>0.60154878970107084</v>
      </c>
      <c r="BH89" s="1">
        <f t="shared" ca="1" si="115"/>
        <v>0.86969944812969013</v>
      </c>
      <c r="BI89" s="1">
        <f t="shared" ca="1" si="116"/>
        <v>423</v>
      </c>
      <c r="BV89" s="1">
        <f t="shared" ca="1" si="117"/>
        <v>0.65770501291220662</v>
      </c>
      <c r="BW89" s="1">
        <f t="shared" ca="1" si="118"/>
        <v>747</v>
      </c>
      <c r="BX89" s="1">
        <f t="shared" ca="1" si="119"/>
        <v>2.0260345476819765E-3</v>
      </c>
      <c r="BY89" s="1">
        <f t="shared" ca="1" si="120"/>
        <v>7.8371812233369267E-2</v>
      </c>
      <c r="BZ89" s="1">
        <f t="shared" ca="1" si="121"/>
        <v>0.25525866737639558</v>
      </c>
      <c r="CB89" s="1">
        <f t="shared" ca="1" si="122"/>
        <v>321</v>
      </c>
      <c r="CC89" s="1">
        <f t="shared" ca="1" si="123"/>
        <v>5</v>
      </c>
      <c r="CD89" s="1">
        <f t="shared" ca="1" si="124"/>
        <v>0.20099437765929229</v>
      </c>
      <c r="CE89" s="1">
        <f t="shared" ca="1" si="125"/>
        <v>0.72322041096938561</v>
      </c>
      <c r="CF89" s="1">
        <f t="shared" ca="1" si="125"/>
        <v>0.51153740409572701</v>
      </c>
      <c r="CH89" s="3">
        <f t="shared" ca="1" si="126"/>
        <v>0.22915496480252942</v>
      </c>
      <c r="CI89" s="3">
        <f t="shared" ca="1" si="127"/>
        <v>0.24412546699732474</v>
      </c>
      <c r="CJ89" s="3">
        <f t="shared" ca="1" si="128"/>
        <v>1178</v>
      </c>
      <c r="CK89" s="3">
        <f t="shared" ca="1" si="129"/>
        <v>9.9986116448641787E-3</v>
      </c>
      <c r="CL89" s="3">
        <f t="shared" ca="1" si="130"/>
        <v>1</v>
      </c>
      <c r="CM89" s="3"/>
      <c r="CN89" s="1">
        <f t="shared" ca="1" si="131"/>
        <v>0.39780893551203178</v>
      </c>
      <c r="CO89" s="1">
        <f t="shared" ca="1" si="132"/>
        <v>0.29346108110002211</v>
      </c>
      <c r="CP89" s="1">
        <f t="shared" ca="1" si="133"/>
        <v>5</v>
      </c>
      <c r="CV89" s="1">
        <f t="shared" ca="1" si="134"/>
        <v>4.3784751997105902</v>
      </c>
      <c r="CW89" s="1">
        <f t="shared" ca="1" si="135"/>
        <v>182</v>
      </c>
      <c r="CX89" s="1">
        <f t="shared" ca="1" si="136"/>
        <v>6.4265513975925968E-3</v>
      </c>
      <c r="DH89" s="1">
        <f t="shared" ca="1" si="137"/>
        <v>580</v>
      </c>
      <c r="DI89" s="1">
        <f t="shared" ca="1" si="138"/>
        <v>0.3010664665237307</v>
      </c>
      <c r="DJ89" s="1">
        <f t="shared" ca="1" si="139"/>
        <v>26</v>
      </c>
      <c r="DL89" s="1">
        <f t="shared" ca="1" si="140"/>
        <v>0.17286134860504609</v>
      </c>
      <c r="DM89" s="1">
        <f t="shared" ca="1" si="141"/>
        <v>125</v>
      </c>
      <c r="DN89" s="1">
        <f t="shared" ca="1" si="142"/>
        <v>5</v>
      </c>
      <c r="DW89" s="1">
        <f t="shared" ca="1" si="143"/>
        <v>390</v>
      </c>
      <c r="DX89" s="1">
        <f t="shared" ca="1" si="144"/>
        <v>9</v>
      </c>
      <c r="DY89" s="1">
        <f t="shared" ca="1" si="145"/>
        <v>16</v>
      </c>
    </row>
    <row r="90" spans="2:129" x14ac:dyDescent="0.25">
      <c r="B90">
        <f t="shared" ca="1" si="75"/>
        <v>186</v>
      </c>
      <c r="C90">
        <f t="shared" ca="1" si="76"/>
        <v>22</v>
      </c>
      <c r="D90">
        <f t="shared" ca="1" si="77"/>
        <v>0.16418270519194966</v>
      </c>
      <c r="F90" s="1">
        <f t="shared" ca="1" si="78"/>
        <v>11</v>
      </c>
      <c r="G90" s="1">
        <f t="shared" ca="1" si="79"/>
        <v>25</v>
      </c>
      <c r="H90" s="1">
        <f t="shared" ca="1" si="80"/>
        <v>1</v>
      </c>
      <c r="I90" s="1"/>
      <c r="J90" s="1">
        <f t="shared" ca="1" si="81"/>
        <v>9</v>
      </c>
      <c r="K90" s="1">
        <f t="shared" ca="1" si="82"/>
        <v>1.2239506373838502</v>
      </c>
      <c r="L90" s="1">
        <f t="shared" ca="1" si="83"/>
        <v>31</v>
      </c>
      <c r="M90" s="1"/>
      <c r="N90" s="1">
        <f t="shared" ca="1" si="84"/>
        <v>718</v>
      </c>
      <c r="O90" s="1">
        <f t="shared" ca="1" si="85"/>
        <v>51</v>
      </c>
      <c r="P90" s="1"/>
      <c r="Q90" s="1">
        <f t="shared" ca="1" si="86"/>
        <v>1.7899762600281508E-2</v>
      </c>
      <c r="R90" s="1">
        <f t="shared" ca="1" si="87"/>
        <v>562</v>
      </c>
      <c r="S90" s="1"/>
      <c r="T90" s="1">
        <f t="shared" ca="1" si="88"/>
        <v>0.16822915434047442</v>
      </c>
      <c r="U90" s="1">
        <f t="shared" ca="1" si="89"/>
        <v>107</v>
      </c>
      <c r="V90" s="1">
        <f t="shared" ca="1" si="90"/>
        <v>29</v>
      </c>
      <c r="W90" s="1"/>
      <c r="X90" s="1">
        <f t="shared" ca="1" si="91"/>
        <v>7.6646680582836462</v>
      </c>
      <c r="Y90" s="1">
        <f t="shared" ca="1" si="92"/>
        <v>0.83159488414846616</v>
      </c>
      <c r="Z90" s="1">
        <f t="shared" ca="1" si="93"/>
        <v>337</v>
      </c>
      <c r="AB90" s="1">
        <f t="shared" ca="1" si="94"/>
        <v>0.27729537527518872</v>
      </c>
      <c r="AC90" s="1">
        <f t="shared" ca="1" si="95"/>
        <v>101</v>
      </c>
      <c r="AD90" s="1">
        <f t="shared" ca="1" si="96"/>
        <v>1.120212734703309E-3</v>
      </c>
      <c r="AE90" s="1"/>
      <c r="AF90" s="1">
        <f t="shared" ca="1" si="97"/>
        <v>0.41800653576572022</v>
      </c>
      <c r="AG90" s="1">
        <f t="shared" ca="1" si="98"/>
        <v>839</v>
      </c>
      <c r="AH90" s="1">
        <f t="shared" ca="1" si="99"/>
        <v>1.6134906078669989E-3</v>
      </c>
      <c r="AJ90" s="1">
        <f t="shared" ca="1" si="100"/>
        <v>0.98753682859347491</v>
      </c>
      <c r="AK90" s="1">
        <f t="shared" ca="1" si="101"/>
        <v>8.7042128866310717E-3</v>
      </c>
      <c r="AL90" s="1"/>
      <c r="AM90" s="1">
        <f t="shared" ca="1" si="102"/>
        <v>1.2845538733340274E-2</v>
      </c>
      <c r="AN90" s="1">
        <f t="shared" ca="1" si="103"/>
        <v>23</v>
      </c>
      <c r="AO90" s="1">
        <f t="shared" ca="1" si="104"/>
        <v>20</v>
      </c>
      <c r="AQ90" s="1">
        <f t="shared" ca="1" si="105"/>
        <v>179</v>
      </c>
      <c r="AR90" s="1">
        <f t="shared" ca="1" si="106"/>
        <v>3</v>
      </c>
      <c r="AS90" s="1">
        <f t="shared" ca="1" si="107"/>
        <v>37</v>
      </c>
      <c r="AU90" s="1">
        <f t="shared" ca="1" si="108"/>
        <v>374</v>
      </c>
      <c r="AV90" s="1">
        <f t="shared" ca="1" si="109"/>
        <v>2</v>
      </c>
      <c r="AW90" s="1">
        <f t="shared" ca="1" si="110"/>
        <v>6.6545152262471208E-2</v>
      </c>
      <c r="AY90" s="1">
        <f t="shared" ca="1" si="111"/>
        <v>1.6357177052049705</v>
      </c>
      <c r="AZ90" s="1">
        <f t="shared" ca="1" si="112"/>
        <v>430</v>
      </c>
      <c r="BA90" s="1">
        <f t="shared" ca="1" si="113"/>
        <v>8.9690497468263735E-4</v>
      </c>
      <c r="BG90" s="1">
        <f t="shared" ca="1" si="114"/>
        <v>0.6603147380463813</v>
      </c>
      <c r="BH90" s="1">
        <f t="shared" ca="1" si="115"/>
        <v>0.97971185292181595</v>
      </c>
      <c r="BI90" s="1">
        <f t="shared" ca="1" si="116"/>
        <v>184</v>
      </c>
      <c r="BV90" s="1">
        <f t="shared" ca="1" si="117"/>
        <v>0.56695290876585236</v>
      </c>
      <c r="BW90" s="1">
        <f t="shared" ca="1" si="118"/>
        <v>543</v>
      </c>
      <c r="BX90" s="1">
        <f t="shared" ca="1" si="119"/>
        <v>2.2549699191885138E-3</v>
      </c>
      <c r="BY90" s="1">
        <f t="shared" ca="1" si="120"/>
        <v>1.176221361330128E-2</v>
      </c>
      <c r="BZ90" s="1">
        <f t="shared" ca="1" si="121"/>
        <v>8.486010388895382E-2</v>
      </c>
      <c r="CB90" s="1">
        <f t="shared" ca="1" si="122"/>
        <v>362</v>
      </c>
      <c r="CC90" s="1">
        <f t="shared" ca="1" si="123"/>
        <v>4</v>
      </c>
      <c r="CD90" s="1">
        <f t="shared" ca="1" si="124"/>
        <v>0.2768213608692896</v>
      </c>
      <c r="CE90" s="1">
        <f t="shared" ca="1" si="125"/>
        <v>0.70678388816579951</v>
      </c>
      <c r="CF90" s="1">
        <f t="shared" ca="1" si="125"/>
        <v>0.83465604642342461</v>
      </c>
      <c r="CH90" s="3">
        <f t="shared" ca="1" si="126"/>
        <v>0.92640457897863371</v>
      </c>
      <c r="CI90" s="3">
        <f t="shared" ca="1" si="127"/>
        <v>0.1082755193303287</v>
      </c>
      <c r="CJ90" s="3">
        <f t="shared" ca="1" si="128"/>
        <v>1269</v>
      </c>
      <c r="CK90" s="3">
        <f t="shared" ca="1" si="129"/>
        <v>3.2654830891594138E-3</v>
      </c>
      <c r="CL90" s="3">
        <f t="shared" ca="1" si="130"/>
        <v>1</v>
      </c>
      <c r="CM90" s="3"/>
      <c r="CN90" s="1">
        <f t="shared" ca="1" si="131"/>
        <v>11.785033686322615</v>
      </c>
      <c r="CO90" s="1">
        <f t="shared" ca="1" si="132"/>
        <v>5.5747399542200688E-3</v>
      </c>
      <c r="CP90" s="1">
        <f t="shared" ca="1" si="133"/>
        <v>4</v>
      </c>
      <c r="CV90" s="1">
        <f t="shared" ca="1" si="134"/>
        <v>3.9292598642134746</v>
      </c>
      <c r="CW90" s="1">
        <f t="shared" ca="1" si="135"/>
        <v>1342</v>
      </c>
      <c r="CX90" s="1">
        <f t="shared" ca="1" si="136"/>
        <v>1.7000352717233113E-3</v>
      </c>
      <c r="DH90" s="1">
        <f t="shared" ca="1" si="137"/>
        <v>551</v>
      </c>
      <c r="DI90" s="1">
        <f t="shared" ca="1" si="138"/>
        <v>0.58066315058565554</v>
      </c>
      <c r="DJ90" s="1">
        <f t="shared" ca="1" si="139"/>
        <v>17</v>
      </c>
      <c r="DL90" s="1">
        <f t="shared" ca="1" si="140"/>
        <v>0.10444588888731092</v>
      </c>
      <c r="DM90" s="1">
        <f t="shared" ca="1" si="141"/>
        <v>237</v>
      </c>
      <c r="DN90" s="1">
        <f t="shared" ca="1" si="142"/>
        <v>9</v>
      </c>
      <c r="DW90" s="1">
        <f t="shared" ca="1" si="143"/>
        <v>439</v>
      </c>
      <c r="DX90" s="1">
        <f t="shared" ca="1" si="144"/>
        <v>8</v>
      </c>
      <c r="DY90" s="1">
        <f t="shared" ca="1" si="145"/>
        <v>11</v>
      </c>
    </row>
    <row r="91" spans="2:129" x14ac:dyDescent="0.25">
      <c r="B91">
        <f t="shared" ca="1" si="75"/>
        <v>67</v>
      </c>
      <c r="C91">
        <f t="shared" ca="1" si="76"/>
        <v>28</v>
      </c>
      <c r="D91">
        <f t="shared" ca="1" si="77"/>
        <v>0.12077435028388908</v>
      </c>
      <c r="F91" s="1">
        <f t="shared" ca="1" si="78"/>
        <v>39</v>
      </c>
      <c r="G91" s="1">
        <f t="shared" ca="1" si="79"/>
        <v>22</v>
      </c>
      <c r="H91" s="1">
        <f t="shared" ca="1" si="80"/>
        <v>6</v>
      </c>
      <c r="I91" s="1"/>
      <c r="J91" s="1">
        <f t="shared" ca="1" si="81"/>
        <v>21</v>
      </c>
      <c r="K91" s="1">
        <f t="shared" ca="1" si="82"/>
        <v>1.6458929607047208</v>
      </c>
      <c r="L91" s="1">
        <f t="shared" ca="1" si="83"/>
        <v>11</v>
      </c>
      <c r="M91" s="1"/>
      <c r="N91" s="1">
        <f t="shared" ca="1" si="84"/>
        <v>773</v>
      </c>
      <c r="O91" s="1">
        <f t="shared" ca="1" si="85"/>
        <v>27</v>
      </c>
      <c r="P91" s="1"/>
      <c r="Q91" s="1">
        <f t="shared" ca="1" si="86"/>
        <v>4.0038142372164005</v>
      </c>
      <c r="R91" s="1">
        <f t="shared" ca="1" si="87"/>
        <v>373</v>
      </c>
      <c r="S91" s="1"/>
      <c r="T91" s="1">
        <f t="shared" ca="1" si="88"/>
        <v>0.14959695762382472</v>
      </c>
      <c r="U91" s="1">
        <f t="shared" ca="1" si="89"/>
        <v>194</v>
      </c>
      <c r="V91" s="1">
        <f t="shared" ca="1" si="90"/>
        <v>16</v>
      </c>
      <c r="W91" s="1"/>
      <c r="X91" s="1">
        <f t="shared" ca="1" si="91"/>
        <v>3.6553350642075206</v>
      </c>
      <c r="Y91" s="1">
        <f t="shared" ca="1" si="92"/>
        <v>0.91083420119424674</v>
      </c>
      <c r="Z91" s="1">
        <f t="shared" ca="1" si="93"/>
        <v>510</v>
      </c>
      <c r="AB91" s="1">
        <f t="shared" ca="1" si="94"/>
        <v>0.28943542805042427</v>
      </c>
      <c r="AC91" s="1">
        <f t="shared" ca="1" si="95"/>
        <v>514</v>
      </c>
      <c r="AD91" s="1">
        <f t="shared" ca="1" si="96"/>
        <v>8.3915821489585658E-3</v>
      </c>
      <c r="AE91" s="1"/>
      <c r="AF91" s="1">
        <f t="shared" ca="1" si="97"/>
        <v>0.82167424940312184</v>
      </c>
      <c r="AG91" s="1">
        <f t="shared" ca="1" si="98"/>
        <v>509</v>
      </c>
      <c r="AH91" s="1">
        <f t="shared" ca="1" si="99"/>
        <v>4.0477294500577011E-3</v>
      </c>
      <c r="AJ91" s="1">
        <f t="shared" ca="1" si="100"/>
        <v>0.69685954910291303</v>
      </c>
      <c r="AK91" s="1">
        <f t="shared" ca="1" si="101"/>
        <v>2.183089162231575E-3</v>
      </c>
      <c r="AL91" s="1"/>
      <c r="AM91" s="1">
        <f t="shared" ca="1" si="102"/>
        <v>0.19942588267869105</v>
      </c>
      <c r="AN91" s="1">
        <f t="shared" ca="1" si="103"/>
        <v>31</v>
      </c>
      <c r="AO91" s="1">
        <f t="shared" ca="1" si="104"/>
        <v>12</v>
      </c>
      <c r="AQ91" s="1">
        <f t="shared" ca="1" si="105"/>
        <v>47</v>
      </c>
      <c r="AR91" s="1">
        <f t="shared" ca="1" si="106"/>
        <v>6</v>
      </c>
      <c r="AS91" s="1">
        <f t="shared" ca="1" si="107"/>
        <v>37</v>
      </c>
      <c r="AU91" s="1">
        <f t="shared" ca="1" si="108"/>
        <v>284</v>
      </c>
      <c r="AV91" s="1">
        <f t="shared" ca="1" si="109"/>
        <v>10</v>
      </c>
      <c r="AW91" s="1">
        <f t="shared" ca="1" si="110"/>
        <v>0.10821949557144254</v>
      </c>
      <c r="AY91" s="1">
        <f t="shared" ca="1" si="111"/>
        <v>1.7213064730754366</v>
      </c>
      <c r="AZ91" s="1">
        <f t="shared" ca="1" si="112"/>
        <v>241</v>
      </c>
      <c r="BA91" s="1">
        <f t="shared" ca="1" si="113"/>
        <v>4.4639144535383131E-3</v>
      </c>
      <c r="BG91" s="1">
        <f t="shared" ca="1" si="114"/>
        <v>0.23136005745991708</v>
      </c>
      <c r="BH91" s="1">
        <f t="shared" ca="1" si="115"/>
        <v>0.1643198324252918</v>
      </c>
      <c r="BI91" s="1">
        <f t="shared" ca="1" si="116"/>
        <v>146</v>
      </c>
      <c r="BV91" s="1">
        <f t="shared" ca="1" si="117"/>
        <v>0.11962186358678602</v>
      </c>
      <c r="BW91" s="1">
        <f t="shared" ca="1" si="118"/>
        <v>609</v>
      </c>
      <c r="BX91" s="1">
        <f t="shared" ca="1" si="119"/>
        <v>8.115118707326667E-3</v>
      </c>
      <c r="BY91" s="1">
        <f t="shared" ca="1" si="120"/>
        <v>3.846377874212898E-2</v>
      </c>
      <c r="BZ91" s="1">
        <f t="shared" ca="1" si="121"/>
        <v>0.24046420802437796</v>
      </c>
      <c r="CB91" s="1">
        <f t="shared" ca="1" si="122"/>
        <v>120</v>
      </c>
      <c r="CC91" s="1">
        <f t="shared" ca="1" si="123"/>
        <v>8</v>
      </c>
      <c r="CD91" s="1">
        <f t="shared" ca="1" si="124"/>
        <v>4.5891605111194236E-2</v>
      </c>
      <c r="CE91" s="1">
        <f t="shared" ca="1" si="125"/>
        <v>0.57921255304442809</v>
      </c>
      <c r="CF91" s="1">
        <f t="shared" ca="1" si="125"/>
        <v>0.86271372103706723</v>
      </c>
      <c r="CH91" s="3">
        <f t="shared" ca="1" si="126"/>
        <v>6.8392963242027802E-2</v>
      </c>
      <c r="CI91" s="3">
        <f t="shared" ca="1" si="127"/>
        <v>0.77281583331758019</v>
      </c>
      <c r="CJ91" s="3">
        <f t="shared" ca="1" si="128"/>
        <v>783</v>
      </c>
      <c r="CK91" s="3">
        <f t="shared" ca="1" si="129"/>
        <v>9.1909195456011238E-3</v>
      </c>
      <c r="CL91" s="3">
        <f t="shared" ca="1" si="130"/>
        <v>0</v>
      </c>
      <c r="CM91" s="3"/>
      <c r="CN91" s="1">
        <f t="shared" ca="1" si="131"/>
        <v>1.797913049960437</v>
      </c>
      <c r="CO91" s="1">
        <f t="shared" ca="1" si="132"/>
        <v>0.1762170840927155</v>
      </c>
      <c r="CP91" s="1">
        <f t="shared" ca="1" si="133"/>
        <v>4</v>
      </c>
      <c r="CV91" s="1">
        <f t="shared" ca="1" si="134"/>
        <v>4.5886356501687589</v>
      </c>
      <c r="CW91" s="1">
        <f t="shared" ca="1" si="135"/>
        <v>165</v>
      </c>
      <c r="CX91" s="1">
        <f t="shared" ca="1" si="136"/>
        <v>2.6796867406948472E-3</v>
      </c>
      <c r="DH91" s="1">
        <f t="shared" ca="1" si="137"/>
        <v>41</v>
      </c>
      <c r="DI91" s="1">
        <f t="shared" ca="1" si="138"/>
        <v>0.3608840962382367</v>
      </c>
      <c r="DJ91" s="1">
        <f t="shared" ca="1" si="139"/>
        <v>14</v>
      </c>
      <c r="DL91" s="1">
        <f t="shared" ca="1" si="140"/>
        <v>0.15241286378526431</v>
      </c>
      <c r="DM91" s="1">
        <f t="shared" ca="1" si="141"/>
        <v>123</v>
      </c>
      <c r="DN91" s="1">
        <f t="shared" ca="1" si="142"/>
        <v>8</v>
      </c>
      <c r="DW91" s="1">
        <f t="shared" ca="1" si="143"/>
        <v>60</v>
      </c>
      <c r="DX91" s="1">
        <f t="shared" ca="1" si="144"/>
        <v>8</v>
      </c>
      <c r="DY91" s="1">
        <f t="shared" ca="1" si="145"/>
        <v>14</v>
      </c>
    </row>
    <row r="92" spans="2:129" x14ac:dyDescent="0.25">
      <c r="B92">
        <f t="shared" ca="1" si="75"/>
        <v>169</v>
      </c>
      <c r="C92">
        <f t="shared" ca="1" si="76"/>
        <v>31</v>
      </c>
      <c r="D92">
        <f t="shared" ca="1" si="77"/>
        <v>0.27660560759497888</v>
      </c>
      <c r="F92" s="1">
        <f t="shared" ca="1" si="78"/>
        <v>16</v>
      </c>
      <c r="G92" s="1">
        <f t="shared" ca="1" si="79"/>
        <v>20</v>
      </c>
      <c r="H92" s="1">
        <f t="shared" ca="1" si="80"/>
        <v>12</v>
      </c>
      <c r="I92" s="1"/>
      <c r="J92" s="1">
        <f t="shared" ca="1" si="81"/>
        <v>24</v>
      </c>
      <c r="K92" s="1">
        <f t="shared" ca="1" si="82"/>
        <v>1.6649806198531842</v>
      </c>
      <c r="L92" s="1">
        <f t="shared" ca="1" si="83"/>
        <v>3</v>
      </c>
      <c r="M92" s="1"/>
      <c r="N92" s="1">
        <f t="shared" ca="1" si="84"/>
        <v>173</v>
      </c>
      <c r="O92" s="1">
        <f t="shared" ca="1" si="85"/>
        <v>48</v>
      </c>
      <c r="P92" s="1"/>
      <c r="Q92" s="1">
        <f t="shared" ca="1" si="86"/>
        <v>4.0887283890443848</v>
      </c>
      <c r="R92" s="1">
        <f t="shared" ca="1" si="87"/>
        <v>385</v>
      </c>
      <c r="S92" s="1"/>
      <c r="T92" s="1">
        <f t="shared" ca="1" si="88"/>
        <v>7.2194025916060028E-2</v>
      </c>
      <c r="U92" s="1">
        <f t="shared" ca="1" si="89"/>
        <v>208</v>
      </c>
      <c r="V92" s="1">
        <f t="shared" ca="1" si="90"/>
        <v>36</v>
      </c>
      <c r="W92" s="1"/>
      <c r="X92" s="1">
        <f t="shared" ca="1" si="91"/>
        <v>9.4709103942617379</v>
      </c>
      <c r="Y92" s="1">
        <f t="shared" ca="1" si="92"/>
        <v>0.49828616259547154</v>
      </c>
      <c r="Z92" s="1">
        <f t="shared" ca="1" si="93"/>
        <v>489</v>
      </c>
      <c r="AB92" s="1">
        <f t="shared" ca="1" si="94"/>
        <v>0.17849273556556358</v>
      </c>
      <c r="AC92" s="1">
        <f t="shared" ca="1" si="95"/>
        <v>600</v>
      </c>
      <c r="AD92" s="1">
        <f t="shared" ca="1" si="96"/>
        <v>9.9808388890841385E-3</v>
      </c>
      <c r="AE92" s="1"/>
      <c r="AF92" s="1">
        <f t="shared" ca="1" si="97"/>
        <v>0.74656488494883944</v>
      </c>
      <c r="AG92" s="1">
        <f t="shared" ca="1" si="98"/>
        <v>754</v>
      </c>
      <c r="AH92" s="1">
        <f t="shared" ca="1" si="99"/>
        <v>1.0070475023000785E-4</v>
      </c>
      <c r="AJ92" s="1">
        <f t="shared" ca="1" si="100"/>
        <v>0.8581142143483419</v>
      </c>
      <c r="AK92" s="1">
        <f t="shared" ca="1" si="101"/>
        <v>9.1966498372556427E-3</v>
      </c>
      <c r="AL92" s="1"/>
      <c r="AM92" s="1">
        <f t="shared" ca="1" si="102"/>
        <v>0.19988173689322128</v>
      </c>
      <c r="AN92" s="1">
        <f t="shared" ca="1" si="103"/>
        <v>75</v>
      </c>
      <c r="AO92" s="1">
        <f t="shared" ca="1" si="104"/>
        <v>0</v>
      </c>
      <c r="AQ92" s="1">
        <f t="shared" ca="1" si="105"/>
        <v>83</v>
      </c>
      <c r="AR92" s="1">
        <f t="shared" ca="1" si="106"/>
        <v>2</v>
      </c>
      <c r="AS92" s="1">
        <f t="shared" ca="1" si="107"/>
        <v>17</v>
      </c>
      <c r="AU92" s="1">
        <f t="shared" ca="1" si="108"/>
        <v>355</v>
      </c>
      <c r="AV92" s="1">
        <f t="shared" ca="1" si="109"/>
        <v>7</v>
      </c>
      <c r="AW92" s="1">
        <f t="shared" ca="1" si="110"/>
        <v>0.19674628377892933</v>
      </c>
      <c r="AY92" s="1">
        <f t="shared" ca="1" si="111"/>
        <v>1.3749106012394976</v>
      </c>
      <c r="AZ92" s="1">
        <f t="shared" ca="1" si="112"/>
        <v>296</v>
      </c>
      <c r="BA92" s="1">
        <f t="shared" ca="1" si="113"/>
        <v>4.2685126929000513E-4</v>
      </c>
      <c r="BG92" s="1">
        <f t="shared" ca="1" si="114"/>
        <v>0.65179490084471314</v>
      </c>
      <c r="BH92" s="1">
        <f t="shared" ca="1" si="115"/>
        <v>0.92481562015443586</v>
      </c>
      <c r="BI92" s="1">
        <f t="shared" ca="1" si="116"/>
        <v>866</v>
      </c>
      <c r="BV92" s="1">
        <f t="shared" ca="1" si="117"/>
        <v>0.79693969204169335</v>
      </c>
      <c r="BW92" s="1">
        <f t="shared" ca="1" si="118"/>
        <v>482</v>
      </c>
      <c r="BX92" s="1">
        <f t="shared" ca="1" si="119"/>
        <v>3.4636552781620858E-3</v>
      </c>
      <c r="BY92" s="1">
        <f t="shared" ca="1" si="120"/>
        <v>1.0963557407146723E-2</v>
      </c>
      <c r="BZ92" s="1">
        <f t="shared" ca="1" si="121"/>
        <v>0.70850040605720932</v>
      </c>
      <c r="CB92" s="1">
        <f t="shared" ca="1" si="122"/>
        <v>185</v>
      </c>
      <c r="CC92" s="1">
        <f t="shared" ca="1" si="123"/>
        <v>6</v>
      </c>
      <c r="CD92" s="1">
        <f t="shared" ca="1" si="124"/>
        <v>9.9395751383232256E-2</v>
      </c>
      <c r="CE92" s="1">
        <f t="shared" ca="1" si="125"/>
        <v>0.85768126076024087</v>
      </c>
      <c r="CF92" s="1">
        <f t="shared" ca="1" si="125"/>
        <v>0.56221239775782239</v>
      </c>
      <c r="CH92" s="3">
        <f t="shared" ca="1" si="126"/>
        <v>0.86852264079989994</v>
      </c>
      <c r="CI92" s="3">
        <f t="shared" ca="1" si="127"/>
        <v>0.66632255006032115</v>
      </c>
      <c r="CJ92" s="3">
        <f t="shared" ca="1" si="128"/>
        <v>1998</v>
      </c>
      <c r="CK92" s="3">
        <f t="shared" ca="1" si="129"/>
        <v>6.9348775646561039E-3</v>
      </c>
      <c r="CL92" s="3">
        <f t="shared" ca="1" si="130"/>
        <v>1</v>
      </c>
      <c r="CM92" s="3"/>
      <c r="CN92" s="1">
        <f t="shared" ca="1" si="131"/>
        <v>10.72285415188823</v>
      </c>
      <c r="CO92" s="1">
        <f t="shared" ca="1" si="132"/>
        <v>0.14399316553061342</v>
      </c>
      <c r="CP92" s="1">
        <f t="shared" ca="1" si="133"/>
        <v>5</v>
      </c>
      <c r="CV92" s="1">
        <f t="shared" ca="1" si="134"/>
        <v>0.35590242113882592</v>
      </c>
      <c r="CW92" s="1">
        <f t="shared" ca="1" si="135"/>
        <v>453</v>
      </c>
      <c r="CX92" s="1">
        <f t="shared" ca="1" si="136"/>
        <v>1.9800711262040788E-3</v>
      </c>
      <c r="DH92" s="1">
        <f t="shared" ca="1" si="137"/>
        <v>709</v>
      </c>
      <c r="DI92" s="1">
        <f t="shared" ca="1" si="138"/>
        <v>0.49639401634152819</v>
      </c>
      <c r="DJ92" s="1">
        <f t="shared" ca="1" si="139"/>
        <v>5</v>
      </c>
      <c r="DL92" s="1">
        <f t="shared" ca="1" si="140"/>
        <v>0.15963583975702031</v>
      </c>
      <c r="DM92" s="1">
        <f t="shared" ca="1" si="141"/>
        <v>214</v>
      </c>
      <c r="DN92" s="1">
        <f t="shared" ca="1" si="142"/>
        <v>3</v>
      </c>
      <c r="DW92" s="1">
        <f t="shared" ca="1" si="143"/>
        <v>337</v>
      </c>
      <c r="DX92" s="1">
        <f t="shared" ca="1" si="144"/>
        <v>10</v>
      </c>
      <c r="DY92" s="1">
        <f t="shared" ca="1" si="145"/>
        <v>8</v>
      </c>
    </row>
    <row r="93" spans="2:129" x14ac:dyDescent="0.25">
      <c r="B93">
        <f t="shared" ca="1" si="75"/>
        <v>47</v>
      </c>
      <c r="C93">
        <f t="shared" ca="1" si="76"/>
        <v>5</v>
      </c>
      <c r="D93">
        <f t="shared" ca="1" si="77"/>
        <v>0.252304895443274</v>
      </c>
      <c r="F93" s="1">
        <f t="shared" ca="1" si="78"/>
        <v>38</v>
      </c>
      <c r="G93" s="1">
        <f t="shared" ca="1" si="79"/>
        <v>4</v>
      </c>
      <c r="H93" s="1">
        <f t="shared" ca="1" si="80"/>
        <v>11</v>
      </c>
      <c r="I93" s="1"/>
      <c r="J93" s="1">
        <f t="shared" ca="1" si="81"/>
        <v>27</v>
      </c>
      <c r="K93" s="1">
        <f t="shared" ca="1" si="82"/>
        <v>2.4859585164240827</v>
      </c>
      <c r="L93" s="1">
        <f t="shared" ca="1" si="83"/>
        <v>12</v>
      </c>
      <c r="M93" s="1"/>
      <c r="N93" s="1">
        <f t="shared" ca="1" si="84"/>
        <v>421</v>
      </c>
      <c r="O93" s="1">
        <f t="shared" ca="1" si="85"/>
        <v>40</v>
      </c>
      <c r="P93" s="1"/>
      <c r="Q93" s="1">
        <f t="shared" ca="1" si="86"/>
        <v>4.4962784254139718</v>
      </c>
      <c r="R93" s="1">
        <f t="shared" ca="1" si="87"/>
        <v>816</v>
      </c>
      <c r="S93" s="1"/>
      <c r="T93" s="1">
        <f t="shared" ca="1" si="88"/>
        <v>0.12680170910779442</v>
      </c>
      <c r="U93" s="1">
        <f t="shared" ca="1" si="89"/>
        <v>103</v>
      </c>
      <c r="V93" s="1">
        <f t="shared" ca="1" si="90"/>
        <v>12</v>
      </c>
      <c r="W93" s="1"/>
      <c r="X93" s="1">
        <f t="shared" ca="1" si="91"/>
        <v>7.5912487223065419</v>
      </c>
      <c r="Y93" s="1">
        <f t="shared" ca="1" si="92"/>
        <v>0.52217488975557047</v>
      </c>
      <c r="Z93" s="1">
        <f t="shared" ca="1" si="93"/>
        <v>1964</v>
      </c>
      <c r="AB93" s="1">
        <f t="shared" ca="1" si="94"/>
        <v>0.48114572986661092</v>
      </c>
      <c r="AC93" s="1">
        <f t="shared" ca="1" si="95"/>
        <v>481</v>
      </c>
      <c r="AD93" s="1">
        <f t="shared" ca="1" si="96"/>
        <v>7.6946134297467784E-3</v>
      </c>
      <c r="AE93" s="1"/>
      <c r="AF93" s="1">
        <f t="shared" ca="1" si="97"/>
        <v>0.45952308722937418</v>
      </c>
      <c r="AG93" s="1">
        <f t="shared" ca="1" si="98"/>
        <v>541</v>
      </c>
      <c r="AH93" s="1">
        <f t="shared" ca="1" si="99"/>
        <v>5.5656521532635884E-3</v>
      </c>
      <c r="AJ93" s="1">
        <f t="shared" ca="1" si="100"/>
        <v>0.29672810668708294</v>
      </c>
      <c r="AK93" s="1">
        <f t="shared" ca="1" si="101"/>
        <v>3.9063471844052983E-4</v>
      </c>
      <c r="AL93" s="1"/>
      <c r="AM93" s="1">
        <f t="shared" ca="1" si="102"/>
        <v>0.18111703380398525</v>
      </c>
      <c r="AN93" s="1">
        <f t="shared" ca="1" si="103"/>
        <v>61</v>
      </c>
      <c r="AO93" s="1">
        <f t="shared" ca="1" si="104"/>
        <v>1</v>
      </c>
      <c r="AQ93" s="1">
        <f t="shared" ca="1" si="105"/>
        <v>26</v>
      </c>
      <c r="AR93" s="1">
        <f t="shared" ca="1" si="106"/>
        <v>1</v>
      </c>
      <c r="AS93" s="1">
        <f t="shared" ca="1" si="107"/>
        <v>6</v>
      </c>
      <c r="AU93" s="1">
        <f t="shared" ca="1" si="108"/>
        <v>378</v>
      </c>
      <c r="AV93" s="1">
        <f t="shared" ca="1" si="109"/>
        <v>8</v>
      </c>
      <c r="AW93" s="1">
        <f t="shared" ca="1" si="110"/>
        <v>9.4632780947138256E-2</v>
      </c>
      <c r="AY93" s="1">
        <f t="shared" ca="1" si="111"/>
        <v>1.8046950888287518</v>
      </c>
      <c r="AZ93" s="1">
        <f t="shared" ca="1" si="112"/>
        <v>136</v>
      </c>
      <c r="BA93" s="1">
        <f t="shared" ca="1" si="113"/>
        <v>8.6154749342292718E-3</v>
      </c>
      <c r="BG93" s="1">
        <f t="shared" ca="1" si="114"/>
        <v>0.44310188670767597</v>
      </c>
      <c r="BH93" s="1">
        <f t="shared" ca="1" si="115"/>
        <v>0.63347686307393758</v>
      </c>
      <c r="BI93" s="1">
        <f t="shared" ca="1" si="116"/>
        <v>850</v>
      </c>
      <c r="BV93" s="1">
        <f t="shared" ca="1" si="117"/>
        <v>0.92151570994428622</v>
      </c>
      <c r="BW93" s="1">
        <f t="shared" ca="1" si="118"/>
        <v>643</v>
      </c>
      <c r="BX93" s="1">
        <f t="shared" ca="1" si="119"/>
        <v>3.2384723636319883E-3</v>
      </c>
      <c r="BY93" s="1">
        <f t="shared" ca="1" si="120"/>
        <v>8.4394703166094501E-2</v>
      </c>
      <c r="BZ93" s="1">
        <f t="shared" ca="1" si="121"/>
        <v>0.4462753778218026</v>
      </c>
      <c r="CB93" s="1">
        <f t="shared" ca="1" si="122"/>
        <v>454</v>
      </c>
      <c r="CC93" s="1">
        <f t="shared" ca="1" si="123"/>
        <v>11</v>
      </c>
      <c r="CD93" s="1">
        <f t="shared" ca="1" si="124"/>
        <v>0.11994843593916825</v>
      </c>
      <c r="CE93" s="1">
        <f t="shared" ca="1" si="125"/>
        <v>0.73143083128287978</v>
      </c>
      <c r="CF93" s="1">
        <f t="shared" ca="1" si="125"/>
        <v>0.53060879980856335</v>
      </c>
      <c r="CH93" s="3">
        <f t="shared" ca="1" si="126"/>
        <v>0.80070466863568945</v>
      </c>
      <c r="CI93" s="3">
        <f t="shared" ca="1" si="127"/>
        <v>0.90404692744892701</v>
      </c>
      <c r="CJ93" s="3">
        <f t="shared" ca="1" si="128"/>
        <v>733</v>
      </c>
      <c r="CK93" s="3">
        <f t="shared" ca="1" si="129"/>
        <v>6.6587542905593815E-3</v>
      </c>
      <c r="CL93" s="3">
        <f t="shared" ca="1" si="130"/>
        <v>1</v>
      </c>
      <c r="CM93" s="3"/>
      <c r="CN93" s="1">
        <f t="shared" ca="1" si="131"/>
        <v>6.1526633319032396</v>
      </c>
      <c r="CO93" s="1">
        <f t="shared" ca="1" si="132"/>
        <v>0.45479073694506689</v>
      </c>
      <c r="CP93" s="1">
        <f t="shared" ca="1" si="133"/>
        <v>3</v>
      </c>
      <c r="CV93" s="1">
        <f t="shared" ca="1" si="134"/>
        <v>9.8870354221259955</v>
      </c>
      <c r="CW93" s="1">
        <f t="shared" ca="1" si="135"/>
        <v>1502</v>
      </c>
      <c r="CX93" s="1">
        <f t="shared" ca="1" si="136"/>
        <v>5.4490237748886438E-4</v>
      </c>
      <c r="DH93" s="1">
        <f t="shared" ca="1" si="137"/>
        <v>306</v>
      </c>
      <c r="DI93" s="1">
        <f t="shared" ca="1" si="138"/>
        <v>0.20697896769815213</v>
      </c>
      <c r="DJ93" s="1">
        <f t="shared" ca="1" si="139"/>
        <v>26</v>
      </c>
      <c r="DL93" s="1">
        <f t="shared" ca="1" si="140"/>
        <v>0.11321480039115715</v>
      </c>
      <c r="DM93" s="1">
        <f t="shared" ca="1" si="141"/>
        <v>98</v>
      </c>
      <c r="DN93" s="1">
        <f t="shared" ca="1" si="142"/>
        <v>8</v>
      </c>
      <c r="DW93" s="1">
        <f t="shared" ca="1" si="143"/>
        <v>213</v>
      </c>
      <c r="DX93" s="1">
        <f t="shared" ca="1" si="144"/>
        <v>6</v>
      </c>
      <c r="DY93" s="1">
        <f t="shared" ca="1" si="145"/>
        <v>12</v>
      </c>
    </row>
    <row r="94" spans="2:129" x14ac:dyDescent="0.25">
      <c r="B94">
        <f t="shared" ca="1" si="75"/>
        <v>767</v>
      </c>
      <c r="C94">
        <f t="shared" ca="1" si="76"/>
        <v>25</v>
      </c>
      <c r="D94">
        <f t="shared" ca="1" si="77"/>
        <v>9.0170968825738357E-2</v>
      </c>
      <c r="F94" s="1">
        <f t="shared" ca="1" si="78"/>
        <v>2</v>
      </c>
      <c r="G94" s="1">
        <f t="shared" ca="1" si="79"/>
        <v>7</v>
      </c>
      <c r="H94" s="1">
        <f t="shared" ca="1" si="80"/>
        <v>4</v>
      </c>
      <c r="I94" s="1"/>
      <c r="J94" s="1">
        <f t="shared" ca="1" si="81"/>
        <v>24</v>
      </c>
      <c r="K94" s="1">
        <f t="shared" ca="1" si="82"/>
        <v>1.0211855596845005</v>
      </c>
      <c r="L94" s="1">
        <f t="shared" ca="1" si="83"/>
        <v>28</v>
      </c>
      <c r="M94" s="1"/>
      <c r="N94" s="1">
        <f t="shared" ca="1" si="84"/>
        <v>70</v>
      </c>
      <c r="O94" s="1">
        <f t="shared" ca="1" si="85"/>
        <v>27</v>
      </c>
      <c r="P94" s="1"/>
      <c r="Q94" s="1">
        <f t="shared" ca="1" si="86"/>
        <v>2.0149465959523964</v>
      </c>
      <c r="R94" s="1">
        <f t="shared" ca="1" si="87"/>
        <v>527</v>
      </c>
      <c r="S94" s="1"/>
      <c r="T94" s="1">
        <f t="shared" ca="1" si="88"/>
        <v>9.5550016608873384E-2</v>
      </c>
      <c r="U94" s="1">
        <f t="shared" ca="1" si="89"/>
        <v>350</v>
      </c>
      <c r="V94" s="1">
        <f t="shared" ca="1" si="90"/>
        <v>24</v>
      </c>
      <c r="W94" s="1"/>
      <c r="X94" s="1">
        <f t="shared" ca="1" si="91"/>
        <v>5.3549465321996959</v>
      </c>
      <c r="Y94" s="1">
        <f t="shared" ca="1" si="92"/>
        <v>0.8776154270955373</v>
      </c>
      <c r="Z94" s="1">
        <f t="shared" ca="1" si="93"/>
        <v>943</v>
      </c>
      <c r="AB94" s="1">
        <f t="shared" ca="1" si="94"/>
        <v>7.8813551477223825E-2</v>
      </c>
      <c r="AC94" s="1">
        <f t="shared" ca="1" si="95"/>
        <v>825</v>
      </c>
      <c r="AD94" s="1">
        <f t="shared" ca="1" si="96"/>
        <v>7.1982094414112362E-3</v>
      </c>
      <c r="AE94" s="1"/>
      <c r="AF94" s="1">
        <f t="shared" ca="1" si="97"/>
        <v>0.11912947037563307</v>
      </c>
      <c r="AG94" s="1">
        <f t="shared" ca="1" si="98"/>
        <v>922</v>
      </c>
      <c r="AH94" s="1">
        <f t="shared" ca="1" si="99"/>
        <v>1.6105469170673301E-4</v>
      </c>
      <c r="AJ94" s="1">
        <f t="shared" ca="1" si="100"/>
        <v>0.61015896389048374</v>
      </c>
      <c r="AK94" s="1">
        <f t="shared" ca="1" si="101"/>
        <v>3.7210902561385156E-3</v>
      </c>
      <c r="AL94" s="1"/>
      <c r="AM94" s="1">
        <f t="shared" ca="1" si="102"/>
        <v>0.14067461246797458</v>
      </c>
      <c r="AN94" s="1">
        <f t="shared" ca="1" si="103"/>
        <v>18</v>
      </c>
      <c r="AO94" s="1">
        <f t="shared" ca="1" si="104"/>
        <v>12</v>
      </c>
      <c r="AQ94" s="1">
        <f t="shared" ca="1" si="105"/>
        <v>168</v>
      </c>
      <c r="AR94" s="1">
        <f t="shared" ca="1" si="106"/>
        <v>3</v>
      </c>
      <c r="AS94" s="1">
        <f t="shared" ca="1" si="107"/>
        <v>66</v>
      </c>
      <c r="AU94" s="1">
        <f t="shared" ca="1" si="108"/>
        <v>244</v>
      </c>
      <c r="AV94" s="1">
        <f t="shared" ca="1" si="109"/>
        <v>6</v>
      </c>
      <c r="AW94" s="1">
        <f t="shared" ca="1" si="110"/>
        <v>0.16572197597692495</v>
      </c>
      <c r="AY94" s="1">
        <f t="shared" ca="1" si="111"/>
        <v>1.9816100740404936</v>
      </c>
      <c r="AZ94" s="1">
        <f t="shared" ca="1" si="112"/>
        <v>325</v>
      </c>
      <c r="BA94" s="1">
        <f t="shared" ca="1" si="113"/>
        <v>3.8692107610231929E-3</v>
      </c>
      <c r="BG94" s="1">
        <f t="shared" ca="1" si="114"/>
        <v>0.1259413482872806</v>
      </c>
      <c r="BH94" s="1">
        <f t="shared" ca="1" si="115"/>
        <v>0.90136427140585218</v>
      </c>
      <c r="BI94" s="1">
        <f t="shared" ca="1" si="116"/>
        <v>570</v>
      </c>
      <c r="BV94" s="1">
        <f t="shared" ca="1" si="117"/>
        <v>0.12539683909558186</v>
      </c>
      <c r="BW94" s="1">
        <f t="shared" ca="1" si="118"/>
        <v>566</v>
      </c>
      <c r="BX94" s="1">
        <f t="shared" ca="1" si="119"/>
        <v>6.0137566820191628E-3</v>
      </c>
      <c r="BY94" s="1">
        <f t="shared" ca="1" si="120"/>
        <v>4.191950046400425E-2</v>
      </c>
      <c r="BZ94" s="1">
        <f t="shared" ca="1" si="121"/>
        <v>0.61354978236503521</v>
      </c>
      <c r="CB94" s="1">
        <f t="shared" ca="1" si="122"/>
        <v>384</v>
      </c>
      <c r="CC94" s="1">
        <f t="shared" ca="1" si="123"/>
        <v>10</v>
      </c>
      <c r="CD94" s="1">
        <f t="shared" ca="1" si="124"/>
        <v>0.15598299859669401</v>
      </c>
      <c r="CE94" s="1">
        <f t="shared" ca="1" si="125"/>
        <v>0.53814256445972086</v>
      </c>
      <c r="CF94" s="1">
        <f t="shared" ca="1" si="125"/>
        <v>0.85090219234738274</v>
      </c>
      <c r="CH94" s="3">
        <f t="shared" ca="1" si="126"/>
        <v>0.18600166328601705</v>
      </c>
      <c r="CI94" s="3">
        <f t="shared" ca="1" si="127"/>
        <v>5.627385212145862E-2</v>
      </c>
      <c r="CJ94" s="3">
        <f t="shared" ca="1" si="128"/>
        <v>902</v>
      </c>
      <c r="CK94" s="3">
        <f t="shared" ca="1" si="129"/>
        <v>4.0678103748566586E-3</v>
      </c>
      <c r="CL94" s="3">
        <f t="shared" ca="1" si="130"/>
        <v>0</v>
      </c>
      <c r="CM94" s="3"/>
      <c r="CN94" s="1">
        <f t="shared" ca="1" si="131"/>
        <v>5.5568640732486942</v>
      </c>
      <c r="CO94" s="1">
        <f t="shared" ca="1" si="132"/>
        <v>0.22498261732153599</v>
      </c>
      <c r="CP94" s="1">
        <f t="shared" ca="1" si="133"/>
        <v>4</v>
      </c>
      <c r="CV94" s="1">
        <f t="shared" ca="1" si="134"/>
        <v>2.8221030126978905</v>
      </c>
      <c r="CW94" s="1">
        <f t="shared" ca="1" si="135"/>
        <v>978</v>
      </c>
      <c r="CX94" s="1">
        <f t="shared" ca="1" si="136"/>
        <v>7.6055374529379596E-3</v>
      </c>
      <c r="DH94" s="1">
        <f t="shared" ca="1" si="137"/>
        <v>692</v>
      </c>
      <c r="DI94" s="1">
        <f t="shared" ca="1" si="138"/>
        <v>0.47748977151736238</v>
      </c>
      <c r="DJ94" s="1">
        <f t="shared" ca="1" si="139"/>
        <v>20</v>
      </c>
      <c r="DL94" s="1">
        <f t="shared" ca="1" si="140"/>
        <v>7.2728935259702199E-2</v>
      </c>
      <c r="DM94" s="1">
        <f t="shared" ca="1" si="141"/>
        <v>96</v>
      </c>
      <c r="DN94" s="1">
        <f t="shared" ca="1" si="142"/>
        <v>9</v>
      </c>
      <c r="DW94" s="1">
        <f t="shared" ca="1" si="143"/>
        <v>235</v>
      </c>
      <c r="DX94" s="1">
        <f t="shared" ca="1" si="144"/>
        <v>5</v>
      </c>
      <c r="DY94" s="1">
        <f t="shared" ca="1" si="145"/>
        <v>15</v>
      </c>
    </row>
    <row r="95" spans="2:129" x14ac:dyDescent="0.25">
      <c r="B95">
        <f t="shared" ca="1" si="75"/>
        <v>519</v>
      </c>
      <c r="C95">
        <f t="shared" ca="1" si="76"/>
        <v>24</v>
      </c>
      <c r="D95">
        <f t="shared" ca="1" si="77"/>
        <v>2.0445783234263999E-2</v>
      </c>
      <c r="F95" s="1">
        <f t="shared" ca="1" si="78"/>
        <v>30</v>
      </c>
      <c r="G95" s="1">
        <f t="shared" ca="1" si="79"/>
        <v>23</v>
      </c>
      <c r="H95" s="1">
        <f t="shared" ca="1" si="80"/>
        <v>10</v>
      </c>
      <c r="I95" s="1"/>
      <c r="J95" s="1">
        <f t="shared" ca="1" si="81"/>
        <v>5</v>
      </c>
      <c r="K95" s="1">
        <f t="shared" ca="1" si="82"/>
        <v>2.9553707441687189</v>
      </c>
      <c r="L95" s="1">
        <f t="shared" ca="1" si="83"/>
        <v>3</v>
      </c>
      <c r="M95" s="1"/>
      <c r="N95" s="1">
        <f t="shared" ca="1" si="84"/>
        <v>160</v>
      </c>
      <c r="O95" s="1">
        <f t="shared" ca="1" si="85"/>
        <v>33</v>
      </c>
      <c r="P95" s="1"/>
      <c r="Q95" s="1">
        <f t="shared" ca="1" si="86"/>
        <v>2.9143900599606276</v>
      </c>
      <c r="R95" s="1">
        <f t="shared" ca="1" si="87"/>
        <v>1152</v>
      </c>
      <c r="S95" s="1"/>
      <c r="T95" s="1">
        <f t="shared" ca="1" si="88"/>
        <v>3.20963772566547E-2</v>
      </c>
      <c r="U95" s="1">
        <f t="shared" ca="1" si="89"/>
        <v>418</v>
      </c>
      <c r="V95" s="1">
        <f t="shared" ca="1" si="90"/>
        <v>29</v>
      </c>
      <c r="W95" s="1"/>
      <c r="X95" s="1">
        <f t="shared" ca="1" si="91"/>
        <v>0.64881352271753667</v>
      </c>
      <c r="Y95" s="1">
        <f t="shared" ca="1" si="92"/>
        <v>0.16150818168266029</v>
      </c>
      <c r="Z95" s="1">
        <f t="shared" ca="1" si="93"/>
        <v>1416</v>
      </c>
      <c r="AB95" s="1">
        <f t="shared" ca="1" si="94"/>
        <v>0.97395309550513809</v>
      </c>
      <c r="AC95" s="1">
        <f t="shared" ca="1" si="95"/>
        <v>949</v>
      </c>
      <c r="AD95" s="1">
        <f t="shared" ca="1" si="96"/>
        <v>6.6153991346983888E-3</v>
      </c>
      <c r="AE95" s="1"/>
      <c r="AF95" s="1">
        <f t="shared" ca="1" si="97"/>
        <v>0.16778845291557448</v>
      </c>
      <c r="AG95" s="1">
        <f t="shared" ca="1" si="98"/>
        <v>882</v>
      </c>
      <c r="AH95" s="1">
        <f t="shared" ca="1" si="99"/>
        <v>1.2614641151506062E-3</v>
      </c>
      <c r="AJ95" s="1">
        <f t="shared" ca="1" si="100"/>
        <v>0.26445091542071042</v>
      </c>
      <c r="AK95" s="1">
        <f t="shared" ca="1" si="101"/>
        <v>2.2226179195337309E-3</v>
      </c>
      <c r="AL95" s="1"/>
      <c r="AM95" s="1">
        <f t="shared" ca="1" si="102"/>
        <v>0.10814159448703395</v>
      </c>
      <c r="AN95" s="1">
        <f t="shared" ca="1" si="103"/>
        <v>25</v>
      </c>
      <c r="AO95" s="1">
        <f t="shared" ca="1" si="104"/>
        <v>17</v>
      </c>
      <c r="AQ95" s="1">
        <f t="shared" ca="1" si="105"/>
        <v>191</v>
      </c>
      <c r="AR95" s="1">
        <f t="shared" ca="1" si="106"/>
        <v>2</v>
      </c>
      <c r="AS95" s="1">
        <f t="shared" ca="1" si="107"/>
        <v>7</v>
      </c>
      <c r="AU95" s="1">
        <f t="shared" ca="1" si="108"/>
        <v>350</v>
      </c>
      <c r="AV95" s="1">
        <f t="shared" ca="1" si="109"/>
        <v>3</v>
      </c>
      <c r="AW95" s="1">
        <f t="shared" ca="1" si="110"/>
        <v>6.6200105250338384E-2</v>
      </c>
      <c r="AY95" s="1">
        <f t="shared" ca="1" si="111"/>
        <v>1.7368794269710728</v>
      </c>
      <c r="AZ95" s="1">
        <f t="shared" ca="1" si="112"/>
        <v>425</v>
      </c>
      <c r="BA95" s="1">
        <f t="shared" ca="1" si="113"/>
        <v>5.9588029366067713E-3</v>
      </c>
      <c r="BG95" s="1">
        <f t="shared" ca="1" si="114"/>
        <v>0.43822560568248498</v>
      </c>
      <c r="BH95" s="1">
        <f t="shared" ca="1" si="115"/>
        <v>0.29778112220016206</v>
      </c>
      <c r="BI95" s="1">
        <f t="shared" ca="1" si="116"/>
        <v>824</v>
      </c>
      <c r="BV95" s="1">
        <f t="shared" ca="1" si="117"/>
        <v>0.21370697702841956</v>
      </c>
      <c r="BW95" s="1">
        <f t="shared" ca="1" si="118"/>
        <v>474</v>
      </c>
      <c r="BX95" s="1">
        <f t="shared" ca="1" si="119"/>
        <v>9.2944886258700971E-3</v>
      </c>
      <c r="BY95" s="1">
        <f t="shared" ca="1" si="120"/>
        <v>8.6028324457686645E-3</v>
      </c>
      <c r="BZ95" s="1">
        <f t="shared" ca="1" si="121"/>
        <v>0.82280922577634164</v>
      </c>
      <c r="CB95" s="1">
        <f t="shared" ca="1" si="122"/>
        <v>171</v>
      </c>
      <c r="CC95" s="1">
        <f t="shared" ca="1" si="123"/>
        <v>12</v>
      </c>
      <c r="CD95" s="1">
        <f t="shared" ca="1" si="124"/>
        <v>0.28822724549133732</v>
      </c>
      <c r="CE95" s="1">
        <f t="shared" ca="1" si="125"/>
        <v>0.85097281682031967</v>
      </c>
      <c r="CF95" s="1">
        <f t="shared" ca="1" si="125"/>
        <v>0.89514755141504077</v>
      </c>
      <c r="CH95" s="3">
        <f t="shared" ca="1" si="126"/>
        <v>0.27615089522020525</v>
      </c>
      <c r="CI95" s="3">
        <f t="shared" ca="1" si="127"/>
        <v>0.4516974032823613</v>
      </c>
      <c r="CJ95" s="3">
        <f t="shared" ca="1" si="128"/>
        <v>282</v>
      </c>
      <c r="CK95" s="3">
        <f t="shared" ca="1" si="129"/>
        <v>4.787132488179021E-3</v>
      </c>
      <c r="CL95" s="3">
        <f t="shared" ca="1" si="130"/>
        <v>0</v>
      </c>
      <c r="CM95" s="3"/>
      <c r="CN95" s="1">
        <f t="shared" ca="1" si="131"/>
        <v>16.218724620186542</v>
      </c>
      <c r="CO95" s="1">
        <f t="shared" ca="1" si="132"/>
        <v>0.14238031393407946</v>
      </c>
      <c r="CP95" s="1">
        <f t="shared" ca="1" si="133"/>
        <v>1</v>
      </c>
      <c r="CV95" s="1">
        <f t="shared" ca="1" si="134"/>
        <v>0.31171876831103817</v>
      </c>
      <c r="CW95" s="1">
        <f t="shared" ca="1" si="135"/>
        <v>1744</v>
      </c>
      <c r="CX95" s="1">
        <f t="shared" ca="1" si="136"/>
        <v>5.6290694776485748E-3</v>
      </c>
      <c r="DH95" s="1">
        <f t="shared" ca="1" si="137"/>
        <v>765</v>
      </c>
      <c r="DI95" s="1">
        <f t="shared" ca="1" si="138"/>
        <v>0.72658563296062062</v>
      </c>
      <c r="DJ95" s="1">
        <f t="shared" ca="1" si="139"/>
        <v>8</v>
      </c>
      <c r="DL95" s="1">
        <f t="shared" ca="1" si="140"/>
        <v>3.4184326903222408E-2</v>
      </c>
      <c r="DM95" s="1">
        <f t="shared" ca="1" si="141"/>
        <v>228</v>
      </c>
      <c r="DN95" s="1">
        <f t="shared" ca="1" si="142"/>
        <v>8</v>
      </c>
      <c r="DW95" s="1">
        <f t="shared" ca="1" si="143"/>
        <v>198</v>
      </c>
      <c r="DX95" s="1">
        <f t="shared" ca="1" si="144"/>
        <v>9</v>
      </c>
      <c r="DY95" s="1">
        <f t="shared" ca="1" si="145"/>
        <v>4</v>
      </c>
    </row>
    <row r="96" spans="2:129" x14ac:dyDescent="0.25">
      <c r="B96">
        <f t="shared" ca="1" si="75"/>
        <v>662</v>
      </c>
      <c r="C96">
        <f t="shared" ca="1" si="76"/>
        <v>49</v>
      </c>
      <c r="D96">
        <f t="shared" ca="1" si="77"/>
        <v>0.29260558070820625</v>
      </c>
      <c r="F96" s="1">
        <f t="shared" ca="1" si="78"/>
        <v>44</v>
      </c>
      <c r="G96" s="1">
        <f t="shared" ca="1" si="79"/>
        <v>12</v>
      </c>
      <c r="H96" s="1">
        <f t="shared" ca="1" si="80"/>
        <v>8</v>
      </c>
      <c r="I96" s="1"/>
      <c r="J96" s="1">
        <f t="shared" ca="1" si="81"/>
        <v>21</v>
      </c>
      <c r="K96" s="1">
        <f t="shared" ca="1" si="82"/>
        <v>1.8104195332893012</v>
      </c>
      <c r="L96" s="1">
        <f t="shared" ca="1" si="83"/>
        <v>7</v>
      </c>
      <c r="M96" s="1"/>
      <c r="N96" s="1">
        <f t="shared" ca="1" si="84"/>
        <v>504</v>
      </c>
      <c r="O96" s="1">
        <f t="shared" ca="1" si="85"/>
        <v>27</v>
      </c>
      <c r="P96" s="1"/>
      <c r="Q96" s="1">
        <f t="shared" ca="1" si="86"/>
        <v>2.3305981797421778</v>
      </c>
      <c r="R96" s="1">
        <f t="shared" ca="1" si="87"/>
        <v>1120</v>
      </c>
      <c r="S96" s="1"/>
      <c r="T96" s="1">
        <f t="shared" ca="1" si="88"/>
        <v>0.1355148395012038</v>
      </c>
      <c r="U96" s="1">
        <f t="shared" ca="1" si="89"/>
        <v>208</v>
      </c>
      <c r="V96" s="1">
        <f t="shared" ca="1" si="90"/>
        <v>2</v>
      </c>
      <c r="W96" s="1"/>
      <c r="X96" s="1">
        <f t="shared" ca="1" si="91"/>
        <v>4.3709329358808313</v>
      </c>
      <c r="Y96" s="1">
        <f t="shared" ca="1" si="92"/>
        <v>0.2100222644842614</v>
      </c>
      <c r="Z96" s="1">
        <f t="shared" ca="1" si="93"/>
        <v>795</v>
      </c>
      <c r="AB96" s="1">
        <f t="shared" ca="1" si="94"/>
        <v>0.50768061819013821</v>
      </c>
      <c r="AC96" s="1">
        <f t="shared" ca="1" si="95"/>
        <v>978</v>
      </c>
      <c r="AD96" s="1">
        <f t="shared" ca="1" si="96"/>
        <v>9.888120199905372E-3</v>
      </c>
      <c r="AE96" s="1"/>
      <c r="AF96" s="1">
        <f t="shared" ca="1" si="97"/>
        <v>0.64188169265333517</v>
      </c>
      <c r="AG96" s="1">
        <f t="shared" ca="1" si="98"/>
        <v>826</v>
      </c>
      <c r="AH96" s="1">
        <f t="shared" ca="1" si="99"/>
        <v>5.6960128524071669E-3</v>
      </c>
      <c r="AJ96" s="1">
        <f t="shared" ca="1" si="100"/>
        <v>0.35147608971735844</v>
      </c>
      <c r="AK96" s="1">
        <f t="shared" ca="1" si="101"/>
        <v>7.5149138623255406E-3</v>
      </c>
      <c r="AL96" s="1"/>
      <c r="AM96" s="1">
        <f t="shared" ca="1" si="102"/>
        <v>1.9647263142257756E-2</v>
      </c>
      <c r="AN96" s="1">
        <f t="shared" ca="1" si="103"/>
        <v>65</v>
      </c>
      <c r="AO96" s="1">
        <f t="shared" ca="1" si="104"/>
        <v>5</v>
      </c>
      <c r="AQ96" s="1">
        <f t="shared" ca="1" si="105"/>
        <v>122</v>
      </c>
      <c r="AR96" s="1">
        <f t="shared" ca="1" si="106"/>
        <v>5</v>
      </c>
      <c r="AS96" s="1">
        <f t="shared" ca="1" si="107"/>
        <v>57</v>
      </c>
      <c r="AU96" s="1">
        <f t="shared" ca="1" si="108"/>
        <v>350</v>
      </c>
      <c r="AV96" s="1">
        <f t="shared" ca="1" si="109"/>
        <v>8</v>
      </c>
      <c r="AW96" s="1">
        <f t="shared" ca="1" si="110"/>
        <v>4.3356600592502875E-2</v>
      </c>
      <c r="AY96" s="1">
        <f t="shared" ca="1" si="111"/>
        <v>1.4338412866028951</v>
      </c>
      <c r="AZ96" s="1">
        <f t="shared" ca="1" si="112"/>
        <v>52</v>
      </c>
      <c r="BA96" s="1">
        <f t="shared" ca="1" si="113"/>
        <v>4.2398505715415197E-3</v>
      </c>
      <c r="BG96" s="1">
        <f t="shared" ca="1" si="114"/>
        <v>0.15778699370947552</v>
      </c>
      <c r="BH96" s="1">
        <f t="shared" ca="1" si="115"/>
        <v>0.2254082292307984</v>
      </c>
      <c r="BI96" s="1">
        <f t="shared" ca="1" si="116"/>
        <v>592</v>
      </c>
      <c r="BV96" s="1">
        <f t="shared" ca="1" si="117"/>
        <v>7.2091776213627834E-2</v>
      </c>
      <c r="BW96" s="1">
        <f t="shared" ca="1" si="118"/>
        <v>625</v>
      </c>
      <c r="BX96" s="1">
        <f t="shared" ca="1" si="119"/>
        <v>2.4589105610436043E-3</v>
      </c>
      <c r="BY96" s="1">
        <f t="shared" ca="1" si="120"/>
        <v>6.7216024043842979E-3</v>
      </c>
      <c r="BZ96" s="1">
        <f t="shared" ca="1" si="121"/>
        <v>0.60852847734049864</v>
      </c>
      <c r="CB96" s="1">
        <f t="shared" ca="1" si="122"/>
        <v>450</v>
      </c>
      <c r="CC96" s="1">
        <f t="shared" ca="1" si="123"/>
        <v>15</v>
      </c>
      <c r="CD96" s="1">
        <f t="shared" ca="1" si="124"/>
        <v>0.11456003040516435</v>
      </c>
      <c r="CE96" s="1">
        <f t="shared" ca="1" si="125"/>
        <v>0.63091212392918039</v>
      </c>
      <c r="CF96" s="1">
        <f t="shared" ca="1" si="125"/>
        <v>0.80676490169540349</v>
      </c>
      <c r="CH96" s="3">
        <f t="shared" ca="1" si="126"/>
        <v>0.34901437490132159</v>
      </c>
      <c r="CI96" s="3">
        <f t="shared" ca="1" si="127"/>
        <v>0.13662586870540305</v>
      </c>
      <c r="CJ96" s="3">
        <f t="shared" ca="1" si="128"/>
        <v>248</v>
      </c>
      <c r="CK96" s="3">
        <f t="shared" ca="1" si="129"/>
        <v>6.1627614807315692E-3</v>
      </c>
      <c r="CL96" s="3">
        <f t="shared" ca="1" si="130"/>
        <v>0</v>
      </c>
      <c r="CM96" s="3"/>
      <c r="CN96" s="1">
        <f t="shared" ca="1" si="131"/>
        <v>10.376421453321203</v>
      </c>
      <c r="CO96" s="1">
        <f t="shared" ca="1" si="132"/>
        <v>0.28239133244860237</v>
      </c>
      <c r="CP96" s="1">
        <f t="shared" ca="1" si="133"/>
        <v>5</v>
      </c>
      <c r="CV96" s="1">
        <f t="shared" ca="1" si="134"/>
        <v>0.22004809981260123</v>
      </c>
      <c r="CW96" s="1">
        <f t="shared" ca="1" si="135"/>
        <v>1710</v>
      </c>
      <c r="CX96" s="1">
        <f t="shared" ca="1" si="136"/>
        <v>9.5936948203563294E-4</v>
      </c>
      <c r="DH96" s="1">
        <f t="shared" ca="1" si="137"/>
        <v>227</v>
      </c>
      <c r="DI96" s="1">
        <f t="shared" ca="1" si="138"/>
        <v>0.46413995820752957</v>
      </c>
      <c r="DJ96" s="1">
        <f t="shared" ca="1" si="139"/>
        <v>26</v>
      </c>
      <c r="DL96" s="1">
        <f t="shared" ca="1" si="140"/>
        <v>0.1232013667480109</v>
      </c>
      <c r="DM96" s="1">
        <f t="shared" ca="1" si="141"/>
        <v>277</v>
      </c>
      <c r="DN96" s="1">
        <f t="shared" ca="1" si="142"/>
        <v>6</v>
      </c>
      <c r="DW96" s="1">
        <f t="shared" ca="1" si="143"/>
        <v>127</v>
      </c>
      <c r="DX96" s="1">
        <f t="shared" ca="1" si="144"/>
        <v>16</v>
      </c>
      <c r="DY96" s="1">
        <f t="shared" ca="1" si="145"/>
        <v>12</v>
      </c>
    </row>
    <row r="97" spans="2:129" x14ac:dyDescent="0.25">
      <c r="B97">
        <f t="shared" ca="1" si="75"/>
        <v>347</v>
      </c>
      <c r="C97">
        <f t="shared" ca="1" si="76"/>
        <v>52</v>
      </c>
      <c r="D97">
        <f t="shared" ca="1" si="77"/>
        <v>0.16077241320762345</v>
      </c>
      <c r="F97" s="1">
        <f t="shared" ca="1" si="78"/>
        <v>33</v>
      </c>
      <c r="G97" s="1">
        <f t="shared" ca="1" si="79"/>
        <v>17</v>
      </c>
      <c r="H97" s="1">
        <f t="shared" ca="1" si="80"/>
        <v>8</v>
      </c>
      <c r="I97" s="1"/>
      <c r="J97" s="1">
        <f t="shared" ca="1" si="81"/>
        <v>22</v>
      </c>
      <c r="K97" s="1">
        <f t="shared" ca="1" si="82"/>
        <v>2.6763165785483798</v>
      </c>
      <c r="L97" s="1">
        <f t="shared" ca="1" si="83"/>
        <v>31</v>
      </c>
      <c r="M97" s="1"/>
      <c r="N97" s="1">
        <f t="shared" ca="1" si="84"/>
        <v>27</v>
      </c>
      <c r="O97" s="1">
        <f t="shared" ca="1" si="85"/>
        <v>16</v>
      </c>
      <c r="P97" s="1"/>
      <c r="Q97" s="1">
        <f t="shared" ca="1" si="86"/>
        <v>0.48964445157243214</v>
      </c>
      <c r="R97" s="1">
        <f t="shared" ca="1" si="87"/>
        <v>307</v>
      </c>
      <c r="S97" s="1"/>
      <c r="T97" s="1">
        <f t="shared" ca="1" si="88"/>
        <v>0.1001223866579133</v>
      </c>
      <c r="U97" s="1">
        <f t="shared" ca="1" si="89"/>
        <v>316</v>
      </c>
      <c r="V97" s="1">
        <f t="shared" ca="1" si="90"/>
        <v>46</v>
      </c>
      <c r="W97" s="1"/>
      <c r="X97" s="1">
        <f t="shared" ca="1" si="91"/>
        <v>3.9414716104164564</v>
      </c>
      <c r="Y97" s="1">
        <f t="shared" ca="1" si="92"/>
        <v>0.19420001961872541</v>
      </c>
      <c r="Z97" s="1">
        <f t="shared" ca="1" si="93"/>
        <v>1088</v>
      </c>
      <c r="AB97" s="1">
        <f t="shared" ca="1" si="94"/>
        <v>0.66325471036573724</v>
      </c>
      <c r="AC97" s="1">
        <f t="shared" ca="1" si="95"/>
        <v>655</v>
      </c>
      <c r="AD97" s="1">
        <f t="shared" ca="1" si="96"/>
        <v>8.7741438047940611E-3</v>
      </c>
      <c r="AE97" s="1"/>
      <c r="AF97" s="1">
        <f t="shared" ca="1" si="97"/>
        <v>0.54983520055250767</v>
      </c>
      <c r="AG97" s="1">
        <f t="shared" ca="1" si="98"/>
        <v>265</v>
      </c>
      <c r="AH97" s="1">
        <f t="shared" ca="1" si="99"/>
        <v>1.6835458864123564E-4</v>
      </c>
      <c r="AJ97" s="1">
        <f t="shared" ca="1" si="100"/>
        <v>0.84850003355332693</v>
      </c>
      <c r="AK97" s="1">
        <f t="shared" ca="1" si="101"/>
        <v>8.3713875084787375E-3</v>
      </c>
      <c r="AL97" s="1"/>
      <c r="AM97" s="1">
        <f t="shared" ca="1" si="102"/>
        <v>0.12398348763594849</v>
      </c>
      <c r="AN97" s="1">
        <f t="shared" ca="1" si="103"/>
        <v>44</v>
      </c>
      <c r="AO97" s="1">
        <f t="shared" ca="1" si="104"/>
        <v>19</v>
      </c>
      <c r="AQ97" s="1">
        <f t="shared" ca="1" si="105"/>
        <v>29</v>
      </c>
      <c r="AR97" s="1">
        <f t="shared" ca="1" si="106"/>
        <v>8</v>
      </c>
      <c r="AS97" s="1">
        <f t="shared" ca="1" si="107"/>
        <v>52</v>
      </c>
      <c r="AU97" s="1">
        <f t="shared" ca="1" si="108"/>
        <v>133</v>
      </c>
      <c r="AV97" s="1">
        <f t="shared" ca="1" si="109"/>
        <v>7</v>
      </c>
      <c r="AW97" s="1">
        <f t="shared" ca="1" si="110"/>
        <v>6.8393696562823167E-2</v>
      </c>
      <c r="AY97" s="1">
        <f t="shared" ca="1" si="111"/>
        <v>1.7381169277414852</v>
      </c>
      <c r="AZ97" s="1">
        <f t="shared" ca="1" si="112"/>
        <v>111</v>
      </c>
      <c r="BA97" s="1">
        <f t="shared" ca="1" si="113"/>
        <v>5.5249307805015644E-3</v>
      </c>
      <c r="BG97" s="1">
        <f t="shared" ca="1" si="114"/>
        <v>1.4928031151942646E-2</v>
      </c>
      <c r="BH97" s="1">
        <f t="shared" ca="1" si="115"/>
        <v>0.99671358034988033</v>
      </c>
      <c r="BI97" s="1">
        <f t="shared" ca="1" si="116"/>
        <v>392</v>
      </c>
      <c r="BV97" s="1">
        <f t="shared" ca="1" si="117"/>
        <v>0.53259921233342533</v>
      </c>
      <c r="BW97" s="1">
        <f t="shared" ca="1" si="118"/>
        <v>597</v>
      </c>
      <c r="BX97" s="1">
        <f t="shared" ca="1" si="119"/>
        <v>5.214396077938401E-3</v>
      </c>
      <c r="BY97" s="1">
        <f t="shared" ca="1" si="120"/>
        <v>4.8221408203423209E-2</v>
      </c>
      <c r="BZ97" s="1">
        <f t="shared" ca="1" si="121"/>
        <v>0.37583719797320658</v>
      </c>
      <c r="CB97" s="1">
        <f t="shared" ca="1" si="122"/>
        <v>257</v>
      </c>
      <c r="CC97" s="1">
        <f t="shared" ca="1" si="123"/>
        <v>4</v>
      </c>
      <c r="CD97" s="1">
        <f t="shared" ca="1" si="124"/>
        <v>0.15155221238609229</v>
      </c>
      <c r="CE97" s="1">
        <f t="shared" ca="1" si="125"/>
        <v>0.82014967025802799</v>
      </c>
      <c r="CF97" s="1">
        <f t="shared" ca="1" si="125"/>
        <v>0.68010353676542268</v>
      </c>
      <c r="CH97" s="3">
        <f t="shared" ca="1" si="126"/>
        <v>0.63599045053491465</v>
      </c>
      <c r="CI97" s="3">
        <f t="shared" ca="1" si="127"/>
        <v>7.5498015185657019E-2</v>
      </c>
      <c r="CJ97" s="3">
        <f t="shared" ca="1" si="128"/>
        <v>866</v>
      </c>
      <c r="CK97" s="3">
        <f t="shared" ca="1" si="129"/>
        <v>7.0551124676398094E-3</v>
      </c>
      <c r="CL97" s="3">
        <f t="shared" ca="1" si="130"/>
        <v>1</v>
      </c>
      <c r="CM97" s="3"/>
      <c r="CN97" s="1">
        <f t="shared" ca="1" si="131"/>
        <v>5.7958179881286984</v>
      </c>
      <c r="CO97" s="1">
        <f t="shared" ca="1" si="132"/>
        <v>0.49562134313255241</v>
      </c>
      <c r="CP97" s="1">
        <f t="shared" ca="1" si="133"/>
        <v>4</v>
      </c>
      <c r="CV97" s="1">
        <f t="shared" ca="1" si="134"/>
        <v>1.2904151497164786</v>
      </c>
      <c r="CW97" s="1">
        <f t="shared" ca="1" si="135"/>
        <v>1387</v>
      </c>
      <c r="CX97" s="1">
        <f t="shared" ca="1" si="136"/>
        <v>7.7448487942353267E-4</v>
      </c>
      <c r="DH97" s="1">
        <f t="shared" ca="1" si="137"/>
        <v>484</v>
      </c>
      <c r="DI97" s="1">
        <f t="shared" ca="1" si="138"/>
        <v>8.3413265638719813E-2</v>
      </c>
      <c r="DJ97" s="1">
        <f t="shared" ca="1" si="139"/>
        <v>20</v>
      </c>
      <c r="DL97" s="1">
        <f t="shared" ca="1" si="140"/>
        <v>0.16434628153290845</v>
      </c>
      <c r="DM97" s="1">
        <f t="shared" ca="1" si="141"/>
        <v>110</v>
      </c>
      <c r="DN97" s="1">
        <f t="shared" ca="1" si="142"/>
        <v>7</v>
      </c>
      <c r="DW97" s="1">
        <f t="shared" ca="1" si="143"/>
        <v>139</v>
      </c>
      <c r="DX97" s="1">
        <f t="shared" ca="1" si="144"/>
        <v>7</v>
      </c>
      <c r="DY97" s="1">
        <f t="shared" ca="1" si="145"/>
        <v>16</v>
      </c>
    </row>
    <row r="98" spans="2:129" x14ac:dyDescent="0.25">
      <c r="B98">
        <f t="shared" ca="1" si="75"/>
        <v>892</v>
      </c>
      <c r="C98">
        <f t="shared" ca="1" si="76"/>
        <v>22</v>
      </c>
      <c r="D98">
        <f t="shared" ca="1" si="77"/>
        <v>9.2382275591741086E-2</v>
      </c>
      <c r="F98" s="1">
        <f t="shared" ca="1" si="78"/>
        <v>2</v>
      </c>
      <c r="G98" s="1">
        <f t="shared" ca="1" si="79"/>
        <v>5</v>
      </c>
      <c r="H98" s="1">
        <f t="shared" ca="1" si="80"/>
        <v>11</v>
      </c>
      <c r="I98" s="1"/>
      <c r="J98" s="1">
        <f t="shared" ca="1" si="81"/>
        <v>4</v>
      </c>
      <c r="K98" s="1">
        <f t="shared" ca="1" si="82"/>
        <v>1.124222027840029</v>
      </c>
      <c r="L98" s="1">
        <f t="shared" ca="1" si="83"/>
        <v>33</v>
      </c>
      <c r="M98" s="1"/>
      <c r="N98" s="1">
        <f t="shared" ca="1" si="84"/>
        <v>926</v>
      </c>
      <c r="O98" s="1">
        <f t="shared" ca="1" si="85"/>
        <v>16</v>
      </c>
      <c r="P98" s="1"/>
      <c r="Q98" s="1">
        <f t="shared" ca="1" si="86"/>
        <v>2.906366236416845</v>
      </c>
      <c r="R98" s="1">
        <f t="shared" ca="1" si="87"/>
        <v>348</v>
      </c>
      <c r="S98" s="1"/>
      <c r="T98" s="1">
        <f t="shared" ca="1" si="88"/>
        <v>0.14416613971807032</v>
      </c>
      <c r="U98" s="1">
        <f t="shared" ca="1" si="89"/>
        <v>325</v>
      </c>
      <c r="V98" s="1">
        <f t="shared" ca="1" si="90"/>
        <v>31</v>
      </c>
      <c r="W98" s="1"/>
      <c r="X98" s="1">
        <f t="shared" ca="1" si="91"/>
        <v>3.6643468385030928</v>
      </c>
      <c r="Y98" s="1">
        <f t="shared" ca="1" si="92"/>
        <v>0.37874842230006228</v>
      </c>
      <c r="Z98" s="1">
        <f t="shared" ca="1" si="93"/>
        <v>1931</v>
      </c>
      <c r="AB98" s="1">
        <f t="shared" ca="1" si="94"/>
        <v>0.1325018146991262</v>
      </c>
      <c r="AC98" s="1">
        <f t="shared" ca="1" si="95"/>
        <v>380</v>
      </c>
      <c r="AD98" s="1">
        <f t="shared" ca="1" si="96"/>
        <v>9.7679547766301774E-3</v>
      </c>
      <c r="AE98" s="1"/>
      <c r="AF98" s="1">
        <f t="shared" ca="1" si="97"/>
        <v>0.21225542582125137</v>
      </c>
      <c r="AG98" s="1">
        <f t="shared" ca="1" si="98"/>
        <v>263</v>
      </c>
      <c r="AH98" s="1">
        <f t="shared" ca="1" si="99"/>
        <v>5.3380261433378729E-3</v>
      </c>
      <c r="AJ98" s="1">
        <f t="shared" ca="1" si="100"/>
        <v>0.3661498309985679</v>
      </c>
      <c r="AK98" s="1">
        <f t="shared" ca="1" si="101"/>
        <v>7.2955747326270094E-3</v>
      </c>
      <c r="AL98" s="1"/>
      <c r="AM98" s="1">
        <f t="shared" ca="1" si="102"/>
        <v>0.17593971344820403</v>
      </c>
      <c r="AN98" s="1">
        <f t="shared" ca="1" si="103"/>
        <v>37</v>
      </c>
      <c r="AO98" s="1">
        <f t="shared" ca="1" si="104"/>
        <v>20</v>
      </c>
      <c r="AQ98" s="1">
        <f t="shared" ca="1" si="105"/>
        <v>135</v>
      </c>
      <c r="AR98" s="1">
        <f t="shared" ca="1" si="106"/>
        <v>9</v>
      </c>
      <c r="AS98" s="1">
        <f t="shared" ca="1" si="107"/>
        <v>47</v>
      </c>
      <c r="AU98" s="1">
        <f t="shared" ca="1" si="108"/>
        <v>335</v>
      </c>
      <c r="AV98" s="1">
        <f t="shared" ca="1" si="109"/>
        <v>8</v>
      </c>
      <c r="AW98" s="1">
        <f t="shared" ca="1" si="110"/>
        <v>4.3150669577511729E-2</v>
      </c>
      <c r="AY98" s="1">
        <f t="shared" ca="1" si="111"/>
        <v>1.7619160125281725</v>
      </c>
      <c r="AZ98" s="1">
        <f t="shared" ca="1" si="112"/>
        <v>356</v>
      </c>
      <c r="BA98" s="1">
        <f t="shared" ca="1" si="113"/>
        <v>8.3697335003600978E-3</v>
      </c>
      <c r="BG98" s="1">
        <f t="shared" ca="1" si="114"/>
        <v>0.89553243717554232</v>
      </c>
      <c r="BH98" s="1">
        <f t="shared" ca="1" si="115"/>
        <v>0.14949428452293034</v>
      </c>
      <c r="BI98" s="1">
        <f t="shared" ca="1" si="116"/>
        <v>993</v>
      </c>
      <c r="BV98" s="1">
        <f t="shared" ca="1" si="117"/>
        <v>0.27767138887922055</v>
      </c>
      <c r="BW98" s="1">
        <f t="shared" ca="1" si="118"/>
        <v>906</v>
      </c>
      <c r="BX98" s="1">
        <f t="shared" ca="1" si="119"/>
        <v>1.6679954612031213E-3</v>
      </c>
      <c r="BY98" s="1">
        <f t="shared" ca="1" si="120"/>
        <v>3.8230532895567819E-2</v>
      </c>
      <c r="BZ98" s="1">
        <f t="shared" ca="1" si="121"/>
        <v>0.4254307160117351</v>
      </c>
      <c r="CB98" s="1">
        <f t="shared" ca="1" si="122"/>
        <v>406</v>
      </c>
      <c r="CC98" s="1">
        <f t="shared" ca="1" si="123"/>
        <v>14</v>
      </c>
      <c r="CD98" s="1">
        <f t="shared" ca="1" si="124"/>
        <v>8.7185805430432431E-2</v>
      </c>
      <c r="CE98" s="1">
        <f t="shared" ca="1" si="125"/>
        <v>0.80252176352476423</v>
      </c>
      <c r="CF98" s="1">
        <f t="shared" ca="1" si="125"/>
        <v>0.87711211679603251</v>
      </c>
      <c r="CH98" s="3">
        <f t="shared" ca="1" si="126"/>
        <v>0.12219830060274435</v>
      </c>
      <c r="CI98" s="3">
        <f t="shared" ca="1" si="127"/>
        <v>0.3703987630697877</v>
      </c>
      <c r="CJ98" s="3">
        <f t="shared" ca="1" si="128"/>
        <v>1071</v>
      </c>
      <c r="CK98" s="3">
        <f t="shared" ca="1" si="129"/>
        <v>3.7176567409219585E-3</v>
      </c>
      <c r="CL98" s="3">
        <f t="shared" ca="1" si="130"/>
        <v>0</v>
      </c>
      <c r="CM98" s="3"/>
      <c r="CN98" s="1">
        <f t="shared" ca="1" si="131"/>
        <v>14.666675053240272</v>
      </c>
      <c r="CO98" s="1">
        <f t="shared" ca="1" si="132"/>
        <v>0.35644456025106991</v>
      </c>
      <c r="CP98" s="1">
        <f t="shared" ca="1" si="133"/>
        <v>2</v>
      </c>
      <c r="CV98" s="1">
        <f t="shared" ca="1" si="134"/>
        <v>8.8979542372166609</v>
      </c>
      <c r="CW98" s="1">
        <f t="shared" ca="1" si="135"/>
        <v>886</v>
      </c>
      <c r="CX98" s="1">
        <f t="shared" ca="1" si="136"/>
        <v>9.3452886100167162E-3</v>
      </c>
      <c r="DH98" s="1">
        <f t="shared" ca="1" si="137"/>
        <v>566</v>
      </c>
      <c r="DI98" s="1">
        <f t="shared" ca="1" si="138"/>
        <v>0.97587587363298245</v>
      </c>
      <c r="DJ98" s="1">
        <f t="shared" ca="1" si="139"/>
        <v>27</v>
      </c>
      <c r="DL98" s="1">
        <f t="shared" ca="1" si="140"/>
        <v>0.12286622807855112</v>
      </c>
      <c r="DM98" s="1">
        <f t="shared" ca="1" si="141"/>
        <v>254</v>
      </c>
      <c r="DN98" s="1">
        <f t="shared" ca="1" si="142"/>
        <v>9</v>
      </c>
      <c r="DW98" s="1">
        <f t="shared" ca="1" si="143"/>
        <v>113</v>
      </c>
      <c r="DX98" s="1">
        <f t="shared" ca="1" si="144"/>
        <v>11</v>
      </c>
      <c r="DY98" s="1">
        <f t="shared" ca="1" si="145"/>
        <v>7</v>
      </c>
    </row>
    <row r="99" spans="2:129" x14ac:dyDescent="0.25">
      <c r="B99">
        <f t="shared" ca="1" si="75"/>
        <v>319</v>
      </c>
      <c r="C99">
        <f t="shared" ca="1" si="76"/>
        <v>33</v>
      </c>
      <c r="D99">
        <f t="shared" ca="1" si="77"/>
        <v>2.9037543253750325E-2</v>
      </c>
      <c r="F99" s="1">
        <f t="shared" ca="1" si="78"/>
        <v>7</v>
      </c>
      <c r="G99" s="1">
        <f t="shared" ca="1" si="79"/>
        <v>27</v>
      </c>
      <c r="H99" s="1">
        <f t="shared" ca="1" si="80"/>
        <v>13</v>
      </c>
      <c r="I99" s="1"/>
      <c r="J99" s="1">
        <f t="shared" ca="1" si="81"/>
        <v>39</v>
      </c>
      <c r="K99" s="1">
        <f t="shared" ca="1" si="82"/>
        <v>1.3156187384679605</v>
      </c>
      <c r="L99" s="1">
        <f t="shared" ca="1" si="83"/>
        <v>30</v>
      </c>
      <c r="M99" s="1"/>
      <c r="N99" s="1">
        <f t="shared" ca="1" si="84"/>
        <v>597</v>
      </c>
      <c r="O99" s="1">
        <f t="shared" ca="1" si="85"/>
        <v>23</v>
      </c>
      <c r="P99" s="1"/>
      <c r="Q99" s="1">
        <f t="shared" ca="1" si="86"/>
        <v>4.1699060178190352</v>
      </c>
      <c r="R99" s="1">
        <f t="shared" ca="1" si="87"/>
        <v>661</v>
      </c>
      <c r="S99" s="1"/>
      <c r="T99" s="1">
        <f t="shared" ca="1" si="88"/>
        <v>1.6286922766123507E-2</v>
      </c>
      <c r="U99" s="1">
        <f t="shared" ca="1" si="89"/>
        <v>286</v>
      </c>
      <c r="V99" s="1">
        <f t="shared" ca="1" si="90"/>
        <v>41</v>
      </c>
      <c r="W99" s="1"/>
      <c r="X99" s="1">
        <f t="shared" ca="1" si="91"/>
        <v>3.4318427372278943</v>
      </c>
      <c r="Y99" s="1">
        <f t="shared" ca="1" si="92"/>
        <v>8.8346915203736179E-2</v>
      </c>
      <c r="Z99" s="1">
        <f t="shared" ca="1" si="93"/>
        <v>1990</v>
      </c>
      <c r="AB99" s="1">
        <f t="shared" ca="1" si="94"/>
        <v>0.93071621658555292</v>
      </c>
      <c r="AC99" s="1">
        <f t="shared" ca="1" si="95"/>
        <v>342</v>
      </c>
      <c r="AD99" s="1">
        <f t="shared" ca="1" si="96"/>
        <v>5.902287050219287E-3</v>
      </c>
      <c r="AE99" s="1"/>
      <c r="AF99" s="1">
        <f t="shared" ca="1" si="97"/>
        <v>0.3835572793976707</v>
      </c>
      <c r="AG99" s="1">
        <f t="shared" ca="1" si="98"/>
        <v>167</v>
      </c>
      <c r="AH99" s="1">
        <f t="shared" ca="1" si="99"/>
        <v>4.8204157608826518E-3</v>
      </c>
      <c r="AJ99" s="1">
        <f t="shared" ca="1" si="100"/>
        <v>0.80713621154468895</v>
      </c>
      <c r="AK99" s="1">
        <f t="shared" ca="1" si="101"/>
        <v>4.2715547498913872E-3</v>
      </c>
      <c r="AL99" s="1"/>
      <c r="AM99" s="1">
        <f t="shared" ca="1" si="102"/>
        <v>0.19668565604445806</v>
      </c>
      <c r="AN99" s="1">
        <f t="shared" ca="1" si="103"/>
        <v>73</v>
      </c>
      <c r="AO99" s="1">
        <f t="shared" ca="1" si="104"/>
        <v>0</v>
      </c>
      <c r="AQ99" s="1">
        <f t="shared" ca="1" si="105"/>
        <v>116</v>
      </c>
      <c r="AR99" s="1">
        <f t="shared" ca="1" si="106"/>
        <v>4</v>
      </c>
      <c r="AS99" s="1">
        <f t="shared" ca="1" si="107"/>
        <v>11</v>
      </c>
      <c r="AU99" s="1">
        <f t="shared" ca="1" si="108"/>
        <v>245</v>
      </c>
      <c r="AV99" s="1">
        <f t="shared" ca="1" si="109"/>
        <v>10</v>
      </c>
      <c r="AW99" s="1">
        <f t="shared" ca="1" si="110"/>
        <v>0.13524247387067023</v>
      </c>
      <c r="AY99" s="1">
        <f t="shared" ca="1" si="111"/>
        <v>1.3605039453735244</v>
      </c>
      <c r="AZ99" s="1">
        <f t="shared" ca="1" si="112"/>
        <v>187</v>
      </c>
      <c r="BA99" s="1">
        <f t="shared" ca="1" si="113"/>
        <v>2.8913890976109452E-3</v>
      </c>
      <c r="BG99" s="1">
        <f t="shared" ca="1" si="114"/>
        <v>0.75397626038033561</v>
      </c>
      <c r="BH99" s="1">
        <f t="shared" ca="1" si="115"/>
        <v>0.55133388984841003</v>
      </c>
      <c r="BI99" s="1">
        <f t="shared" ca="1" si="116"/>
        <v>757</v>
      </c>
      <c r="BV99" s="1">
        <f t="shared" ca="1" si="117"/>
        <v>0.9282803778182257</v>
      </c>
      <c r="BW99" s="1">
        <f t="shared" ca="1" si="118"/>
        <v>695</v>
      </c>
      <c r="BX99" s="1">
        <f t="shared" ca="1" si="119"/>
        <v>9.0019677371076211E-3</v>
      </c>
      <c r="BY99" s="1">
        <f t="shared" ca="1" si="120"/>
        <v>7.7828129972387999E-2</v>
      </c>
      <c r="BZ99" s="1">
        <f t="shared" ca="1" si="121"/>
        <v>0.87355778465455491</v>
      </c>
      <c r="CB99" s="1">
        <f t="shared" ca="1" si="122"/>
        <v>61</v>
      </c>
      <c r="CC99" s="1">
        <f t="shared" ca="1" si="123"/>
        <v>13</v>
      </c>
      <c r="CD99" s="1">
        <f t="shared" ca="1" si="124"/>
        <v>5.6530364459824227E-2</v>
      </c>
      <c r="CE99" s="1">
        <f t="shared" ca="1" si="125"/>
        <v>0.87060765647950733</v>
      </c>
      <c r="CF99" s="1">
        <f t="shared" ca="1" si="125"/>
        <v>0.92719691732936993</v>
      </c>
      <c r="CH99" s="3">
        <f t="shared" ca="1" si="126"/>
        <v>0.88759321958570081</v>
      </c>
      <c r="CI99" s="3">
        <f t="shared" ca="1" si="127"/>
        <v>0.44066517272287536</v>
      </c>
      <c r="CJ99" s="3">
        <f t="shared" ca="1" si="128"/>
        <v>342</v>
      </c>
      <c r="CK99" s="3">
        <f t="shared" ca="1" si="129"/>
        <v>3.6442522799287639E-3</v>
      </c>
      <c r="CL99" s="3">
        <f t="shared" ca="1" si="130"/>
        <v>1</v>
      </c>
      <c r="CM99" s="3"/>
      <c r="CN99" s="1">
        <f t="shared" ca="1" si="131"/>
        <v>19.131015422387382</v>
      </c>
      <c r="CO99" s="1">
        <f t="shared" ca="1" si="132"/>
        <v>0.41707717094883417</v>
      </c>
      <c r="CP99" s="1">
        <f t="shared" ca="1" si="133"/>
        <v>5</v>
      </c>
      <c r="CV99" s="1">
        <f t="shared" ca="1" si="134"/>
        <v>2.1892238534629498</v>
      </c>
      <c r="CW99" s="1">
        <f t="shared" ca="1" si="135"/>
        <v>1252</v>
      </c>
      <c r="CX99" s="1">
        <f t="shared" ca="1" si="136"/>
        <v>7.6165492110906686E-3</v>
      </c>
      <c r="DH99" s="1">
        <f t="shared" ca="1" si="137"/>
        <v>46</v>
      </c>
      <c r="DI99" s="1">
        <f t="shared" ca="1" si="138"/>
        <v>0.47750704246705966</v>
      </c>
      <c r="DJ99" s="1">
        <f t="shared" ca="1" si="139"/>
        <v>1</v>
      </c>
      <c r="DL99" s="1">
        <f t="shared" ca="1" si="140"/>
        <v>0.12983991876264508</v>
      </c>
      <c r="DM99" s="1">
        <f t="shared" ca="1" si="141"/>
        <v>272</v>
      </c>
      <c r="DN99" s="1">
        <f t="shared" ca="1" si="142"/>
        <v>10</v>
      </c>
      <c r="DW99" s="1">
        <f t="shared" ca="1" si="143"/>
        <v>149</v>
      </c>
      <c r="DX99" s="1">
        <f t="shared" ca="1" si="144"/>
        <v>12</v>
      </c>
      <c r="DY99" s="1">
        <f t="shared" ca="1" si="145"/>
        <v>7</v>
      </c>
    </row>
    <row r="100" spans="2:129" x14ac:dyDescent="0.25">
      <c r="B100">
        <f t="shared" ca="1" si="75"/>
        <v>452</v>
      </c>
      <c r="C100">
        <f t="shared" ca="1" si="76"/>
        <v>21</v>
      </c>
      <c r="D100">
        <f t="shared" ca="1" si="77"/>
        <v>0.13076708565823791</v>
      </c>
      <c r="F100" s="1">
        <f t="shared" ca="1" si="78"/>
        <v>44</v>
      </c>
      <c r="G100" s="1">
        <f t="shared" ca="1" si="79"/>
        <v>15</v>
      </c>
      <c r="H100" s="1">
        <f t="shared" ca="1" si="80"/>
        <v>11</v>
      </c>
      <c r="I100" s="1"/>
      <c r="J100" s="1">
        <f t="shared" ca="1" si="81"/>
        <v>9</v>
      </c>
      <c r="K100" s="1">
        <f t="shared" ca="1" si="82"/>
        <v>2.8181241663143197</v>
      </c>
      <c r="L100" s="1">
        <f t="shared" ca="1" si="83"/>
        <v>20</v>
      </c>
      <c r="M100" s="1"/>
      <c r="N100" s="1">
        <f t="shared" ca="1" si="84"/>
        <v>528</v>
      </c>
      <c r="O100" s="1">
        <f t="shared" ca="1" si="85"/>
        <v>31</v>
      </c>
      <c r="P100" s="1"/>
      <c r="Q100" s="1">
        <f t="shared" ca="1" si="86"/>
        <v>1.8495807413646519</v>
      </c>
      <c r="R100" s="1">
        <f t="shared" ca="1" si="87"/>
        <v>762</v>
      </c>
      <c r="S100" s="1"/>
      <c r="T100" s="1">
        <f t="shared" ca="1" si="88"/>
        <v>0.19206124293125026</v>
      </c>
      <c r="U100" s="1">
        <f t="shared" ca="1" si="89"/>
        <v>300</v>
      </c>
      <c r="V100" s="1">
        <f t="shared" ca="1" si="90"/>
        <v>2</v>
      </c>
      <c r="W100" s="1"/>
      <c r="X100" s="1">
        <f t="shared" ca="1" si="91"/>
        <v>9.229192818429425</v>
      </c>
      <c r="Y100" s="1">
        <f t="shared" ca="1" si="92"/>
        <v>0.80562273196254708</v>
      </c>
      <c r="Z100" s="1">
        <f t="shared" ca="1" si="93"/>
        <v>970</v>
      </c>
      <c r="AB100" s="1">
        <f t="shared" ca="1" si="94"/>
        <v>0.14785411992129793</v>
      </c>
      <c r="AC100" s="1">
        <f t="shared" ca="1" si="95"/>
        <v>737</v>
      </c>
      <c r="AD100" s="1">
        <f t="shared" ca="1" si="96"/>
        <v>1.2007651625728412E-4</v>
      </c>
      <c r="AE100" s="1"/>
      <c r="AF100" s="1">
        <f t="shared" ca="1" si="97"/>
        <v>0.22611178502735091</v>
      </c>
      <c r="AG100" s="1">
        <f t="shared" ca="1" si="98"/>
        <v>685</v>
      </c>
      <c r="AH100" s="1">
        <f t="shared" ca="1" si="99"/>
        <v>3.8883667626423129E-3</v>
      </c>
      <c r="AJ100" s="1">
        <f t="shared" ca="1" si="100"/>
        <v>0.69477435017615563</v>
      </c>
      <c r="AK100" s="1">
        <f t="shared" ca="1" si="101"/>
        <v>5.9971058298636647E-3</v>
      </c>
      <c r="AL100" s="1"/>
      <c r="AM100" s="1">
        <f t="shared" ca="1" si="102"/>
        <v>0.19636993986718862</v>
      </c>
      <c r="AN100" s="1">
        <f t="shared" ca="1" si="103"/>
        <v>30</v>
      </c>
      <c r="AO100" s="1">
        <f t="shared" ca="1" si="104"/>
        <v>8</v>
      </c>
      <c r="AQ100" s="1">
        <f t="shared" ca="1" si="105"/>
        <v>108</v>
      </c>
      <c r="AR100" s="1">
        <f t="shared" ca="1" si="106"/>
        <v>0</v>
      </c>
      <c r="AS100" s="1">
        <f t="shared" ca="1" si="107"/>
        <v>31</v>
      </c>
      <c r="AU100" s="1">
        <f t="shared" ca="1" si="108"/>
        <v>68</v>
      </c>
      <c r="AV100" s="1">
        <f t="shared" ca="1" si="109"/>
        <v>3</v>
      </c>
      <c r="AW100" s="1">
        <f t="shared" ca="1" si="110"/>
        <v>0.12743286299524986</v>
      </c>
      <c r="AY100" s="1">
        <f t="shared" ca="1" si="111"/>
        <v>1.36665509275069</v>
      </c>
      <c r="AZ100" s="1">
        <f t="shared" ca="1" si="112"/>
        <v>498</v>
      </c>
      <c r="BA100" s="1">
        <f t="shared" ca="1" si="113"/>
        <v>6.2551843261203516E-3</v>
      </c>
      <c r="BG100" s="1">
        <f t="shared" ca="1" si="114"/>
        <v>0.72536221775987664</v>
      </c>
      <c r="BH100" s="1">
        <f t="shared" ca="1" si="115"/>
        <v>0.93947049933901727</v>
      </c>
      <c r="BI100" s="1">
        <f t="shared" ca="1" si="116"/>
        <v>625</v>
      </c>
      <c r="BV100" s="1">
        <f t="shared" ca="1" si="117"/>
        <v>0.68177552882042558</v>
      </c>
      <c r="BW100" s="1">
        <f t="shared" ca="1" si="118"/>
        <v>715</v>
      </c>
      <c r="BX100" s="1">
        <f t="shared" ca="1" si="119"/>
        <v>8.4663628364395783E-4</v>
      </c>
      <c r="BY100" s="1">
        <f t="shared" ca="1" si="120"/>
        <v>9.7653669290613032E-2</v>
      </c>
      <c r="BZ100" s="1">
        <f t="shared" ca="1" si="121"/>
        <v>0.455267450532991</v>
      </c>
      <c r="CB100" s="1">
        <f t="shared" ca="1" si="122"/>
        <v>377</v>
      </c>
      <c r="CC100" s="1">
        <f t="shared" ca="1" si="123"/>
        <v>9</v>
      </c>
      <c r="CD100" s="1">
        <f t="shared" ca="1" si="124"/>
        <v>4.4258913475229505E-2</v>
      </c>
      <c r="CE100" s="1">
        <f t="shared" ref="CE100:CF131" ca="1" si="146">RAND()*(1-0.5)+0.5</f>
        <v>0.71308961010495675</v>
      </c>
      <c r="CF100" s="1">
        <f t="shared" ca="1" si="146"/>
        <v>0.68331708413800107</v>
      </c>
      <c r="CH100" s="3">
        <f t="shared" ca="1" si="126"/>
        <v>0.80624131956745637</v>
      </c>
      <c r="CI100" s="3">
        <f t="shared" ca="1" si="127"/>
        <v>0.38426530851477997</v>
      </c>
      <c r="CJ100" s="3">
        <f t="shared" ca="1" si="128"/>
        <v>1768</v>
      </c>
      <c r="CK100" s="3">
        <f t="shared" ca="1" si="129"/>
        <v>6.0456693044256271E-3</v>
      </c>
      <c r="CL100" s="3">
        <f t="shared" ca="1" si="130"/>
        <v>1</v>
      </c>
      <c r="CM100" s="3"/>
      <c r="CN100" s="1">
        <f t="shared" ca="1" si="131"/>
        <v>16.397687105729894</v>
      </c>
      <c r="CO100" s="1">
        <f t="shared" ca="1" si="132"/>
        <v>0.39469382757135041</v>
      </c>
      <c r="CP100" s="1">
        <f t="shared" ca="1" si="133"/>
        <v>5</v>
      </c>
      <c r="CV100" s="1">
        <f t="shared" ca="1" si="134"/>
        <v>2.6280902825098185</v>
      </c>
      <c r="CW100" s="1">
        <f t="shared" ca="1" si="135"/>
        <v>1479</v>
      </c>
      <c r="CX100" s="1">
        <f t="shared" ca="1" si="136"/>
        <v>9.2926481263407527E-3</v>
      </c>
      <c r="DH100" s="1">
        <f t="shared" ca="1" si="137"/>
        <v>502</v>
      </c>
      <c r="DI100" s="1">
        <f t="shared" ca="1" si="138"/>
        <v>7.570366730325527E-2</v>
      </c>
      <c r="DJ100" s="1">
        <f t="shared" ca="1" si="139"/>
        <v>24</v>
      </c>
      <c r="DL100" s="1">
        <f t="shared" ca="1" si="140"/>
        <v>0.11699269050812744</v>
      </c>
      <c r="DM100" s="1">
        <f t="shared" ca="1" si="141"/>
        <v>169</v>
      </c>
      <c r="DN100" s="1">
        <f t="shared" ca="1" si="142"/>
        <v>6</v>
      </c>
      <c r="DW100" s="1">
        <f t="shared" ca="1" si="143"/>
        <v>195</v>
      </c>
      <c r="DX100" s="1">
        <f t="shared" ca="1" si="144"/>
        <v>10</v>
      </c>
      <c r="DY100" s="1">
        <f t="shared" ca="1" si="145"/>
        <v>6</v>
      </c>
    </row>
    <row r="101" spans="2:129" x14ac:dyDescent="0.25">
      <c r="B101">
        <f t="shared" ca="1" si="75"/>
        <v>740</v>
      </c>
      <c r="C101">
        <f t="shared" ca="1" si="76"/>
        <v>37</v>
      </c>
      <c r="D101">
        <f t="shared" ca="1" si="77"/>
        <v>0.10698451909929042</v>
      </c>
      <c r="F101" s="1">
        <f t="shared" ca="1" si="78"/>
        <v>2</v>
      </c>
      <c r="G101" s="1">
        <f t="shared" ca="1" si="79"/>
        <v>5</v>
      </c>
      <c r="H101" s="1">
        <f t="shared" ca="1" si="80"/>
        <v>6</v>
      </c>
      <c r="I101" s="1"/>
      <c r="J101" s="1">
        <f t="shared" ca="1" si="81"/>
        <v>15</v>
      </c>
      <c r="K101" s="1">
        <f t="shared" ca="1" si="82"/>
        <v>1.8384122944311982</v>
      </c>
      <c r="L101" s="1">
        <f t="shared" ca="1" si="83"/>
        <v>9</v>
      </c>
      <c r="M101" s="1"/>
      <c r="N101" s="1">
        <f t="shared" ca="1" si="84"/>
        <v>738</v>
      </c>
      <c r="O101" s="1">
        <f t="shared" ca="1" si="85"/>
        <v>51</v>
      </c>
      <c r="P101" s="1"/>
      <c r="Q101" s="1">
        <f t="shared" ca="1" si="86"/>
        <v>0.12448028121509182</v>
      </c>
      <c r="R101" s="1">
        <f t="shared" ca="1" si="87"/>
        <v>568</v>
      </c>
      <c r="S101" s="1"/>
      <c r="T101" s="1">
        <f t="shared" ca="1" si="88"/>
        <v>7.2585763336845979E-2</v>
      </c>
      <c r="U101" s="1">
        <f t="shared" ca="1" si="89"/>
        <v>110</v>
      </c>
      <c r="V101" s="1">
        <f t="shared" ca="1" si="90"/>
        <v>30</v>
      </c>
      <c r="W101" s="1"/>
      <c r="X101" s="1">
        <f t="shared" ca="1" si="91"/>
        <v>0.49481084734962044</v>
      </c>
      <c r="Y101" s="1">
        <f t="shared" ca="1" si="92"/>
        <v>0.46367615673903467</v>
      </c>
      <c r="Z101" s="1">
        <f t="shared" ca="1" si="93"/>
        <v>1334</v>
      </c>
      <c r="AB101" s="1">
        <f t="shared" ca="1" si="94"/>
        <v>6.2610032699853879E-2</v>
      </c>
      <c r="AC101" s="1">
        <f t="shared" ca="1" si="95"/>
        <v>945</v>
      </c>
      <c r="AD101" s="1">
        <f t="shared" ca="1" si="96"/>
        <v>2.1469854527069706E-3</v>
      </c>
      <c r="AE101" s="1"/>
      <c r="AF101" s="1">
        <f t="shared" ca="1" si="97"/>
        <v>0.25135020570008182</v>
      </c>
      <c r="AG101" s="1">
        <f t="shared" ca="1" si="98"/>
        <v>336</v>
      </c>
      <c r="AH101" s="1">
        <f t="shared" ca="1" si="99"/>
        <v>4.7522318325090695E-3</v>
      </c>
      <c r="AJ101" s="1">
        <f t="shared" ca="1" si="100"/>
        <v>0.34558027875220532</v>
      </c>
      <c r="AK101" s="1">
        <f t="shared" ca="1" si="101"/>
        <v>8.3126317209446829E-4</v>
      </c>
      <c r="AL101" s="1"/>
      <c r="AM101" s="1">
        <f t="shared" ca="1" si="102"/>
        <v>4.5191033064326099E-2</v>
      </c>
      <c r="AN101" s="1">
        <f t="shared" ca="1" si="103"/>
        <v>70</v>
      </c>
      <c r="AO101" s="1">
        <f t="shared" ca="1" si="104"/>
        <v>16</v>
      </c>
      <c r="AQ101" s="1">
        <f t="shared" ca="1" si="105"/>
        <v>191</v>
      </c>
      <c r="AR101" s="1">
        <f t="shared" ca="1" si="106"/>
        <v>1</v>
      </c>
      <c r="AS101" s="1">
        <f t="shared" ca="1" si="107"/>
        <v>1</v>
      </c>
      <c r="AU101" s="1">
        <f t="shared" ca="1" si="108"/>
        <v>239</v>
      </c>
      <c r="AV101" s="1">
        <f t="shared" ca="1" si="109"/>
        <v>6</v>
      </c>
      <c r="AW101" s="1">
        <f t="shared" ca="1" si="110"/>
        <v>5.9503793834989563E-2</v>
      </c>
      <c r="AY101" s="1">
        <f t="shared" ca="1" si="111"/>
        <v>1.9854389194349706</v>
      </c>
      <c r="AZ101" s="1">
        <f t="shared" ca="1" si="112"/>
        <v>353</v>
      </c>
      <c r="BA101" s="1">
        <f t="shared" ca="1" si="113"/>
        <v>9.6662884932730074E-4</v>
      </c>
      <c r="BG101" s="1">
        <f t="shared" ca="1" si="114"/>
        <v>0.85658328614722479</v>
      </c>
      <c r="BH101" s="1">
        <f t="shared" ca="1" si="115"/>
        <v>0.43282030187755638</v>
      </c>
      <c r="BI101" s="1">
        <f t="shared" ca="1" si="116"/>
        <v>834</v>
      </c>
      <c r="BV101" s="1">
        <f t="shared" ca="1" si="117"/>
        <v>0.9511738834581086</v>
      </c>
      <c r="BW101" s="1">
        <f t="shared" ca="1" si="118"/>
        <v>893</v>
      </c>
      <c r="BX101" s="1">
        <f t="shared" ca="1" si="119"/>
        <v>8.1490122524071097E-3</v>
      </c>
      <c r="BY101" s="1">
        <f t="shared" ca="1" si="120"/>
        <v>6.4599361041260045E-2</v>
      </c>
      <c r="BZ101" s="1">
        <f t="shared" ca="1" si="121"/>
        <v>0.27220716457180039</v>
      </c>
      <c r="CB101" s="1">
        <f t="shared" ca="1" si="122"/>
        <v>317</v>
      </c>
      <c r="CC101" s="1">
        <f t="shared" ca="1" si="123"/>
        <v>9</v>
      </c>
      <c r="CD101" s="1">
        <f t="shared" ca="1" si="124"/>
        <v>0.26040005560821783</v>
      </c>
      <c r="CE101" s="1">
        <f t="shared" ca="1" si="146"/>
        <v>0.78357403187408403</v>
      </c>
      <c r="CF101" s="1">
        <f t="shared" ca="1" si="146"/>
        <v>0.84169972971007778</v>
      </c>
      <c r="CH101" s="3">
        <f t="shared" ca="1" si="126"/>
        <v>0.95785834493691602</v>
      </c>
      <c r="CI101" s="3">
        <f t="shared" ca="1" si="127"/>
        <v>0.1326506502046938</v>
      </c>
      <c r="CJ101" s="3">
        <f t="shared" ca="1" si="128"/>
        <v>897</v>
      </c>
      <c r="CK101" s="3">
        <f t="shared" ca="1" si="129"/>
        <v>7.1976252963578714E-3</v>
      </c>
      <c r="CL101" s="3">
        <f t="shared" ca="1" si="130"/>
        <v>0</v>
      </c>
      <c r="CM101" s="3"/>
      <c r="CN101" s="1">
        <f t="shared" ca="1" si="131"/>
        <v>9.7418048360544471</v>
      </c>
      <c r="CO101" s="1">
        <f t="shared" ca="1" si="132"/>
        <v>0.37502404929600575</v>
      </c>
      <c r="CP101" s="1">
        <f t="shared" ca="1" si="133"/>
        <v>2</v>
      </c>
      <c r="CV101" s="1">
        <f t="shared" ca="1" si="134"/>
        <v>7.2660895259138156</v>
      </c>
      <c r="CW101" s="1">
        <f t="shared" ca="1" si="135"/>
        <v>967</v>
      </c>
      <c r="CX101" s="1">
        <f t="shared" ca="1" si="136"/>
        <v>1.0261183134849842E-3</v>
      </c>
      <c r="DH101" s="1">
        <f t="shared" ca="1" si="137"/>
        <v>241</v>
      </c>
      <c r="DI101" s="1">
        <f t="shared" ca="1" si="138"/>
        <v>0.1234090770748989</v>
      </c>
      <c r="DJ101" s="1">
        <f t="shared" ca="1" si="139"/>
        <v>13</v>
      </c>
      <c r="DL101" s="1">
        <f t="shared" ca="1" si="140"/>
        <v>0.18839007962043292</v>
      </c>
      <c r="DM101" s="1">
        <f t="shared" ca="1" si="141"/>
        <v>219</v>
      </c>
      <c r="DN101" s="1">
        <f t="shared" ca="1" si="142"/>
        <v>6</v>
      </c>
      <c r="DW101" s="1">
        <f t="shared" ca="1" si="143"/>
        <v>59</v>
      </c>
      <c r="DX101" s="1">
        <f t="shared" ca="1" si="144"/>
        <v>8</v>
      </c>
      <c r="DY101" s="1">
        <f t="shared" ca="1" si="145"/>
        <v>8</v>
      </c>
    </row>
    <row r="102" spans="2:129" x14ac:dyDescent="0.25">
      <c r="B102">
        <f t="shared" ca="1" si="75"/>
        <v>889</v>
      </c>
      <c r="C102">
        <f t="shared" ca="1" si="76"/>
        <v>43</v>
      </c>
      <c r="D102">
        <f t="shared" ca="1" si="77"/>
        <v>0.12231360070704451</v>
      </c>
      <c r="F102" s="1">
        <f t="shared" ca="1" si="78"/>
        <v>39</v>
      </c>
      <c r="G102" s="1">
        <f t="shared" ca="1" si="79"/>
        <v>28</v>
      </c>
      <c r="H102" s="1">
        <f t="shared" ca="1" si="80"/>
        <v>11</v>
      </c>
      <c r="I102" s="1"/>
      <c r="J102" s="1">
        <f t="shared" ca="1" si="81"/>
        <v>14</v>
      </c>
      <c r="K102" s="1">
        <f t="shared" ca="1" si="82"/>
        <v>1.578757584925607</v>
      </c>
      <c r="L102" s="1">
        <f t="shared" ca="1" si="83"/>
        <v>26</v>
      </c>
      <c r="M102" s="1"/>
      <c r="N102" s="1">
        <f t="shared" ca="1" si="84"/>
        <v>525</v>
      </c>
      <c r="O102" s="1">
        <f t="shared" ca="1" si="85"/>
        <v>41</v>
      </c>
      <c r="P102" s="1"/>
      <c r="Q102" s="1">
        <f t="shared" ca="1" si="86"/>
        <v>4.6061418657143083</v>
      </c>
      <c r="R102" s="1">
        <f t="shared" ca="1" si="87"/>
        <v>401</v>
      </c>
      <c r="S102" s="1"/>
      <c r="T102" s="1">
        <f t="shared" ca="1" si="88"/>
        <v>0.12114837442732806</v>
      </c>
      <c r="U102" s="1">
        <f t="shared" ca="1" si="89"/>
        <v>75</v>
      </c>
      <c r="V102" s="1">
        <f t="shared" ca="1" si="90"/>
        <v>16</v>
      </c>
      <c r="W102" s="1"/>
      <c r="X102" s="1">
        <f t="shared" ca="1" si="91"/>
        <v>7.8275979244086926</v>
      </c>
      <c r="Y102" s="1">
        <f t="shared" ca="1" si="92"/>
        <v>0.22021099989869486</v>
      </c>
      <c r="Z102" s="1">
        <f t="shared" ca="1" si="93"/>
        <v>1349</v>
      </c>
      <c r="AB102" s="1">
        <f t="shared" ca="1" si="94"/>
        <v>0.24975569525130206</v>
      </c>
      <c r="AC102" s="1">
        <f t="shared" ca="1" si="95"/>
        <v>728</v>
      </c>
      <c r="AD102" s="1">
        <f t="shared" ca="1" si="96"/>
        <v>8.9191146976651918E-3</v>
      </c>
      <c r="AE102" s="1"/>
      <c r="AF102" s="1">
        <f t="shared" ca="1" si="97"/>
        <v>0.83217596226617296</v>
      </c>
      <c r="AG102" s="1">
        <f t="shared" ca="1" si="98"/>
        <v>664</v>
      </c>
      <c r="AH102" s="1">
        <f t="shared" ca="1" si="99"/>
        <v>5.2619187003162225E-3</v>
      </c>
      <c r="AJ102" s="1">
        <f t="shared" ca="1" si="100"/>
        <v>0.71695925518262305</v>
      </c>
      <c r="AK102" s="1">
        <f t="shared" ca="1" si="101"/>
        <v>9.0144372420368456E-3</v>
      </c>
      <c r="AL102" s="1"/>
      <c r="AM102" s="1">
        <f t="shared" ca="1" si="102"/>
        <v>1.8686539899203346E-2</v>
      </c>
      <c r="AN102" s="1">
        <f t="shared" ca="1" si="103"/>
        <v>79</v>
      </c>
      <c r="AO102" s="1">
        <f t="shared" ca="1" si="104"/>
        <v>5</v>
      </c>
      <c r="AQ102" s="1">
        <f t="shared" ca="1" si="105"/>
        <v>163</v>
      </c>
      <c r="AR102" s="1">
        <f t="shared" ca="1" si="106"/>
        <v>6</v>
      </c>
      <c r="AS102" s="1">
        <f t="shared" ca="1" si="107"/>
        <v>23</v>
      </c>
      <c r="AU102" s="1">
        <f t="shared" ca="1" si="108"/>
        <v>186</v>
      </c>
      <c r="AV102" s="1">
        <f t="shared" ca="1" si="109"/>
        <v>3</v>
      </c>
      <c r="AW102" s="1">
        <f t="shared" ca="1" si="110"/>
        <v>0.12868031839789285</v>
      </c>
      <c r="AY102" s="1">
        <f t="shared" ca="1" si="111"/>
        <v>1.2948996023349744</v>
      </c>
      <c r="AZ102" s="1">
        <f t="shared" ca="1" si="112"/>
        <v>318</v>
      </c>
      <c r="BA102" s="1">
        <f t="shared" ca="1" si="113"/>
        <v>3.1632364258336195E-3</v>
      </c>
      <c r="BG102" s="1">
        <f t="shared" ca="1" si="114"/>
        <v>0.55837633909111539</v>
      </c>
      <c r="BH102" s="1">
        <f t="shared" ca="1" si="115"/>
        <v>7.4082660607973083E-2</v>
      </c>
      <c r="BI102" s="1">
        <f t="shared" ca="1" si="116"/>
        <v>797</v>
      </c>
      <c r="BV102" s="1">
        <f t="shared" ca="1" si="117"/>
        <v>0.95697944977707683</v>
      </c>
      <c r="BW102" s="1">
        <f t="shared" ca="1" si="118"/>
        <v>684</v>
      </c>
      <c r="BX102" s="1">
        <f t="shared" ca="1" si="119"/>
        <v>1.7762427633737214E-3</v>
      </c>
      <c r="BY102" s="1">
        <f t="shared" ca="1" si="120"/>
        <v>3.1868673690431615E-2</v>
      </c>
      <c r="BZ102" s="1">
        <f t="shared" ca="1" si="121"/>
        <v>0.10267786371606002</v>
      </c>
      <c r="CB102" s="1">
        <f t="shared" ca="1" si="122"/>
        <v>191</v>
      </c>
      <c r="CC102" s="1">
        <f t="shared" ca="1" si="123"/>
        <v>3</v>
      </c>
      <c r="CD102" s="1">
        <f t="shared" ca="1" si="124"/>
        <v>0.13437542275413997</v>
      </c>
      <c r="CE102" s="1">
        <f t="shared" ca="1" si="146"/>
        <v>0.72006506292924544</v>
      </c>
      <c r="CF102" s="1">
        <f t="shared" ca="1" si="146"/>
        <v>0.63447346027142337</v>
      </c>
      <c r="CH102" s="3">
        <f t="shared" ca="1" si="126"/>
        <v>0.61304256153838743</v>
      </c>
      <c r="CI102" s="3">
        <f t="shared" ca="1" si="127"/>
        <v>0.42955823588951514</v>
      </c>
      <c r="CJ102" s="3">
        <f t="shared" ca="1" si="128"/>
        <v>400</v>
      </c>
      <c r="CK102" s="3">
        <f t="shared" ca="1" si="129"/>
        <v>6.3977590341301469E-3</v>
      </c>
      <c r="CL102" s="3">
        <f t="shared" ca="1" si="130"/>
        <v>0</v>
      </c>
      <c r="CM102" s="3"/>
      <c r="CN102" s="1">
        <f t="shared" ca="1" si="131"/>
        <v>19.792023378130494</v>
      </c>
      <c r="CO102" s="1">
        <f t="shared" ca="1" si="132"/>
        <v>0.32233209972689464</v>
      </c>
      <c r="CP102" s="1">
        <f t="shared" ca="1" si="133"/>
        <v>3</v>
      </c>
      <c r="CV102" s="1">
        <f t="shared" ca="1" si="134"/>
        <v>1.2522505570527667</v>
      </c>
      <c r="CW102" s="1">
        <f t="shared" ca="1" si="135"/>
        <v>1282</v>
      </c>
      <c r="CX102" s="1">
        <f t="shared" ca="1" si="136"/>
        <v>5.6187731018877965E-3</v>
      </c>
      <c r="DH102" s="1">
        <f t="shared" ca="1" si="137"/>
        <v>700</v>
      </c>
      <c r="DI102" s="1">
        <f t="shared" ca="1" si="138"/>
        <v>0.19198587306167231</v>
      </c>
      <c r="DJ102" s="1">
        <f t="shared" ca="1" si="139"/>
        <v>6</v>
      </c>
      <c r="DL102" s="1">
        <f t="shared" ca="1" si="140"/>
        <v>5.6210734175591602E-2</v>
      </c>
      <c r="DM102" s="1">
        <f t="shared" ca="1" si="141"/>
        <v>196</v>
      </c>
      <c r="DN102" s="1">
        <f t="shared" ca="1" si="142"/>
        <v>6</v>
      </c>
      <c r="DW102" s="1">
        <f t="shared" ca="1" si="143"/>
        <v>240</v>
      </c>
      <c r="DX102" s="1">
        <f t="shared" ca="1" si="144"/>
        <v>17</v>
      </c>
      <c r="DY102" s="1">
        <f t="shared" ca="1" si="145"/>
        <v>18</v>
      </c>
    </row>
    <row r="103" spans="2:129" x14ac:dyDescent="0.25">
      <c r="B103">
        <f t="shared" ca="1" si="75"/>
        <v>156</v>
      </c>
      <c r="C103">
        <f t="shared" ca="1" si="76"/>
        <v>35</v>
      </c>
      <c r="D103">
        <f t="shared" ca="1" si="77"/>
        <v>0.28955451498332313</v>
      </c>
      <c r="F103" s="1">
        <f t="shared" ca="1" si="78"/>
        <v>49</v>
      </c>
      <c r="G103" s="1">
        <f t="shared" ca="1" si="79"/>
        <v>13</v>
      </c>
      <c r="H103" s="1">
        <f t="shared" ca="1" si="80"/>
        <v>12</v>
      </c>
      <c r="I103" s="1"/>
      <c r="J103" s="1">
        <f t="shared" ca="1" si="81"/>
        <v>12</v>
      </c>
      <c r="K103" s="1">
        <f t="shared" ca="1" si="82"/>
        <v>2.9214254062568119</v>
      </c>
      <c r="L103" s="1">
        <f t="shared" ca="1" si="83"/>
        <v>26</v>
      </c>
      <c r="M103" s="1"/>
      <c r="N103" s="1">
        <f t="shared" ca="1" si="84"/>
        <v>444</v>
      </c>
      <c r="O103" s="1">
        <f t="shared" ca="1" si="85"/>
        <v>36</v>
      </c>
      <c r="P103" s="1"/>
      <c r="Q103" s="1">
        <f t="shared" ca="1" si="86"/>
        <v>4.3689795607298167</v>
      </c>
      <c r="R103" s="1">
        <f t="shared" ca="1" si="87"/>
        <v>761</v>
      </c>
      <c r="S103" s="1"/>
      <c r="T103" s="1">
        <f t="shared" ca="1" si="88"/>
        <v>0.11246976945515948</v>
      </c>
      <c r="U103" s="1">
        <f t="shared" ca="1" si="89"/>
        <v>197</v>
      </c>
      <c r="V103" s="1">
        <f t="shared" ca="1" si="90"/>
        <v>28</v>
      </c>
      <c r="W103" s="1"/>
      <c r="X103" s="1">
        <f t="shared" ca="1" si="91"/>
        <v>6.1949822450954279</v>
      </c>
      <c r="Y103" s="1">
        <f t="shared" ca="1" si="92"/>
        <v>0.22207596098792851</v>
      </c>
      <c r="Z103" s="1">
        <f t="shared" ca="1" si="93"/>
        <v>895</v>
      </c>
      <c r="AB103" s="1">
        <f t="shared" ca="1" si="94"/>
        <v>0.39145463853611245</v>
      </c>
      <c r="AC103" s="1">
        <f t="shared" ca="1" si="95"/>
        <v>676</v>
      </c>
      <c r="AD103" s="1">
        <f t="shared" ca="1" si="96"/>
        <v>2.8021137233045184E-3</v>
      </c>
      <c r="AE103" s="1"/>
      <c r="AF103" s="1">
        <f t="shared" ca="1" si="97"/>
        <v>0.75299475182312503</v>
      </c>
      <c r="AG103" s="1">
        <f t="shared" ca="1" si="98"/>
        <v>315</v>
      </c>
      <c r="AH103" s="1">
        <f t="shared" ca="1" si="99"/>
        <v>4.6827216511642648E-3</v>
      </c>
      <c r="AJ103" s="1">
        <f t="shared" ca="1" si="100"/>
        <v>0.7275084045306206</v>
      </c>
      <c r="AK103" s="1">
        <f t="shared" ca="1" si="101"/>
        <v>3.9498987078498155E-3</v>
      </c>
      <c r="AL103" s="1"/>
      <c r="AM103" s="1">
        <f t="shared" ca="1" si="102"/>
        <v>4.5444174784155029E-2</v>
      </c>
      <c r="AN103" s="1">
        <f t="shared" ca="1" si="103"/>
        <v>30</v>
      </c>
      <c r="AO103" s="1">
        <f t="shared" ca="1" si="104"/>
        <v>12</v>
      </c>
      <c r="AQ103" s="1">
        <f t="shared" ca="1" si="105"/>
        <v>95</v>
      </c>
      <c r="AR103" s="1">
        <f t="shared" ca="1" si="106"/>
        <v>1</v>
      </c>
      <c r="AS103" s="1">
        <f t="shared" ca="1" si="107"/>
        <v>54</v>
      </c>
      <c r="AU103" s="1">
        <f t="shared" ca="1" si="108"/>
        <v>349</v>
      </c>
      <c r="AV103" s="1">
        <f t="shared" ca="1" si="109"/>
        <v>9</v>
      </c>
      <c r="AW103" s="1">
        <f t="shared" ca="1" si="110"/>
        <v>0.17729800392228462</v>
      </c>
      <c r="AY103" s="1">
        <f t="shared" ca="1" si="111"/>
        <v>1.2361529752232288</v>
      </c>
      <c r="AZ103" s="1">
        <f t="shared" ca="1" si="112"/>
        <v>327</v>
      </c>
      <c r="BA103" s="1">
        <f t="shared" ca="1" si="113"/>
        <v>8.4015854363733433E-3</v>
      </c>
      <c r="BG103" s="1">
        <f t="shared" ca="1" si="114"/>
        <v>0.69361103670384339</v>
      </c>
      <c r="BH103" s="1">
        <f t="shared" ca="1" si="115"/>
        <v>0.95532481008077752</v>
      </c>
      <c r="BI103" s="1">
        <f t="shared" ca="1" si="116"/>
        <v>578</v>
      </c>
      <c r="BV103" s="1">
        <f t="shared" ca="1" si="117"/>
        <v>0.19876940617220637</v>
      </c>
      <c r="BW103" s="1">
        <f t="shared" ca="1" si="118"/>
        <v>488</v>
      </c>
      <c r="BX103" s="1">
        <f t="shared" ca="1" si="119"/>
        <v>7.6591469672693622E-3</v>
      </c>
      <c r="BY103" s="1">
        <f t="shared" ca="1" si="120"/>
        <v>2.5480301461054443E-3</v>
      </c>
      <c r="BZ103" s="1">
        <f t="shared" ca="1" si="121"/>
        <v>0.44932620494345732</v>
      </c>
      <c r="CB103" s="1">
        <f t="shared" ca="1" si="122"/>
        <v>187</v>
      </c>
      <c r="CC103" s="1">
        <f t="shared" ca="1" si="123"/>
        <v>10</v>
      </c>
      <c r="CD103" s="1">
        <f t="shared" ca="1" si="124"/>
        <v>0.27340816268146118</v>
      </c>
      <c r="CE103" s="1">
        <f t="shared" ca="1" si="146"/>
        <v>0.67370622162747029</v>
      </c>
      <c r="CF103" s="1">
        <f t="shared" ca="1" si="146"/>
        <v>0.9032884273732017</v>
      </c>
      <c r="CH103" s="3">
        <f t="shared" ca="1" si="126"/>
        <v>0.39363015613574465</v>
      </c>
      <c r="CI103" s="3">
        <f t="shared" ca="1" si="127"/>
        <v>0.73946663182823746</v>
      </c>
      <c r="CJ103" s="3">
        <f t="shared" ca="1" si="128"/>
        <v>1709</v>
      </c>
      <c r="CK103" s="3">
        <f t="shared" ca="1" si="129"/>
        <v>9.6760247030842016E-4</v>
      </c>
      <c r="CL103" s="3">
        <f t="shared" ca="1" si="130"/>
        <v>0</v>
      </c>
      <c r="CM103" s="3"/>
      <c r="CN103" s="1">
        <f t="shared" ca="1" si="131"/>
        <v>12.4372153276788</v>
      </c>
      <c r="CO103" s="1">
        <f t="shared" ca="1" si="132"/>
        <v>0.18895537953200583</v>
      </c>
      <c r="CP103" s="1">
        <f t="shared" ca="1" si="133"/>
        <v>1</v>
      </c>
      <c r="CV103" s="1">
        <f t="shared" ca="1" si="134"/>
        <v>9.0926558803223152</v>
      </c>
      <c r="CW103" s="1">
        <f t="shared" ca="1" si="135"/>
        <v>502</v>
      </c>
      <c r="CX103" s="1">
        <f t="shared" ca="1" si="136"/>
        <v>1.7148591748545265E-3</v>
      </c>
      <c r="DH103" s="1">
        <f t="shared" ca="1" si="137"/>
        <v>387</v>
      </c>
      <c r="DI103" s="1">
        <f t="shared" ca="1" si="138"/>
        <v>1.2857283191970312E-2</v>
      </c>
      <c r="DJ103" s="1">
        <f t="shared" ca="1" si="139"/>
        <v>15</v>
      </c>
      <c r="DL103" s="1">
        <f t="shared" ca="1" si="140"/>
        <v>0.1294237771188135</v>
      </c>
      <c r="DM103" s="1">
        <f t="shared" ca="1" si="141"/>
        <v>200</v>
      </c>
      <c r="DN103" s="1">
        <f t="shared" ca="1" si="142"/>
        <v>8</v>
      </c>
      <c r="DW103" s="1">
        <f t="shared" ca="1" si="143"/>
        <v>395</v>
      </c>
      <c r="DX103" s="1">
        <f t="shared" ca="1" si="144"/>
        <v>17</v>
      </c>
      <c r="DY103" s="1">
        <f t="shared" ca="1" si="145"/>
        <v>7</v>
      </c>
    </row>
    <row r="104" spans="2:129" x14ac:dyDescent="0.25">
      <c r="B104">
        <f t="shared" ca="1" si="75"/>
        <v>326</v>
      </c>
      <c r="C104">
        <f t="shared" ca="1" si="76"/>
        <v>16</v>
      </c>
      <c r="D104">
        <f t="shared" ca="1" si="77"/>
        <v>0.10156170504680254</v>
      </c>
      <c r="F104" s="1">
        <f t="shared" ca="1" si="78"/>
        <v>44</v>
      </c>
      <c r="G104" s="1">
        <f t="shared" ca="1" si="79"/>
        <v>4</v>
      </c>
      <c r="H104" s="1">
        <f t="shared" ca="1" si="80"/>
        <v>15</v>
      </c>
      <c r="I104" s="1"/>
      <c r="J104" s="1">
        <f t="shared" ca="1" si="81"/>
        <v>31</v>
      </c>
      <c r="K104" s="1">
        <f t="shared" ca="1" si="82"/>
        <v>1.0529692199329244</v>
      </c>
      <c r="L104" s="1">
        <f t="shared" ca="1" si="83"/>
        <v>31</v>
      </c>
      <c r="M104" s="1"/>
      <c r="N104" s="1">
        <f t="shared" ca="1" si="84"/>
        <v>867</v>
      </c>
      <c r="O104" s="1">
        <f t="shared" ca="1" si="85"/>
        <v>9</v>
      </c>
      <c r="P104" s="1"/>
      <c r="Q104" s="1">
        <f t="shared" ca="1" si="86"/>
        <v>3.7602430004529639</v>
      </c>
      <c r="R104" s="1">
        <f t="shared" ca="1" si="87"/>
        <v>769</v>
      </c>
      <c r="S104" s="1"/>
      <c r="T104" s="1">
        <f t="shared" ca="1" si="88"/>
        <v>7.8777726534926429E-2</v>
      </c>
      <c r="U104" s="1">
        <f t="shared" ca="1" si="89"/>
        <v>90</v>
      </c>
      <c r="V104" s="1">
        <f t="shared" ca="1" si="90"/>
        <v>14</v>
      </c>
      <c r="W104" s="1"/>
      <c r="X104" s="1">
        <f t="shared" ca="1" si="91"/>
        <v>9.7974865707747796</v>
      </c>
      <c r="Y104" s="1">
        <f t="shared" ca="1" si="92"/>
        <v>0.86968054242926729</v>
      </c>
      <c r="Z104" s="1">
        <f t="shared" ca="1" si="93"/>
        <v>609</v>
      </c>
      <c r="AB104" s="1">
        <f t="shared" ca="1" si="94"/>
        <v>0.71300102144532895</v>
      </c>
      <c r="AC104" s="1">
        <f t="shared" ca="1" si="95"/>
        <v>797</v>
      </c>
      <c r="AD104" s="1">
        <f t="shared" ca="1" si="96"/>
        <v>1.0916713504920438E-3</v>
      </c>
      <c r="AE104" s="1"/>
      <c r="AF104" s="1">
        <f t="shared" ca="1" si="97"/>
        <v>0.42605096236234341</v>
      </c>
      <c r="AG104" s="1">
        <f t="shared" ca="1" si="98"/>
        <v>286</v>
      </c>
      <c r="AH104" s="1">
        <f t="shared" ca="1" si="99"/>
        <v>3.8016308051476624E-3</v>
      </c>
      <c r="AJ104" s="1">
        <f t="shared" ca="1" si="100"/>
        <v>0.2196697334806802</v>
      </c>
      <c r="AK104" s="1">
        <f t="shared" ca="1" si="101"/>
        <v>9.3285579733317966E-3</v>
      </c>
      <c r="AL104" s="1"/>
      <c r="AM104" s="1">
        <f t="shared" ca="1" si="102"/>
        <v>9.4111224946736127E-2</v>
      </c>
      <c r="AN104" s="1">
        <f t="shared" ca="1" si="103"/>
        <v>41</v>
      </c>
      <c r="AO104" s="1">
        <f t="shared" ca="1" si="104"/>
        <v>4</v>
      </c>
      <c r="AQ104" s="1">
        <f t="shared" ca="1" si="105"/>
        <v>165</v>
      </c>
      <c r="AR104" s="1">
        <f t="shared" ca="1" si="106"/>
        <v>1</v>
      </c>
      <c r="AS104" s="1">
        <f t="shared" ca="1" si="107"/>
        <v>57</v>
      </c>
      <c r="AU104" s="1">
        <f t="shared" ca="1" si="108"/>
        <v>267</v>
      </c>
      <c r="AV104" s="1">
        <f t="shared" ca="1" si="109"/>
        <v>6</v>
      </c>
      <c r="AW104" s="1">
        <f t="shared" ca="1" si="110"/>
        <v>9.6444079927334239E-2</v>
      </c>
      <c r="AY104" s="1">
        <f t="shared" ca="1" si="111"/>
        <v>1.2937211834675555</v>
      </c>
      <c r="AZ104" s="1">
        <f t="shared" ca="1" si="112"/>
        <v>496</v>
      </c>
      <c r="BA104" s="1">
        <f t="shared" ca="1" si="113"/>
        <v>8.2555127998337717E-3</v>
      </c>
      <c r="BG104" s="1">
        <f t="shared" ca="1" si="114"/>
        <v>0.34090250739593542</v>
      </c>
      <c r="BH104" s="1">
        <f t="shared" ca="1" si="115"/>
        <v>0.68431235235746957</v>
      </c>
      <c r="BI104" s="1">
        <f t="shared" ca="1" si="116"/>
        <v>812</v>
      </c>
      <c r="BV104" s="1">
        <f t="shared" ca="1" si="117"/>
        <v>0.50583065524504589</v>
      </c>
      <c r="BW104" s="1">
        <f t="shared" ca="1" si="118"/>
        <v>715</v>
      </c>
      <c r="BX104" s="1">
        <f t="shared" ca="1" si="119"/>
        <v>2.6097789024086787E-3</v>
      </c>
      <c r="BY104" s="1">
        <f t="shared" ca="1" si="120"/>
        <v>6.6910975215305436E-3</v>
      </c>
      <c r="BZ104" s="1">
        <f t="shared" ca="1" si="121"/>
        <v>0.20240895300360084</v>
      </c>
      <c r="CB104" s="1">
        <f t="shared" ca="1" si="122"/>
        <v>120</v>
      </c>
      <c r="CC104" s="1">
        <f t="shared" ca="1" si="123"/>
        <v>13</v>
      </c>
      <c r="CD104" s="1">
        <f t="shared" ca="1" si="124"/>
        <v>0.18194049789417646</v>
      </c>
      <c r="CE104" s="1">
        <f t="shared" ca="1" si="146"/>
        <v>0.88313039405861415</v>
      </c>
      <c r="CF104" s="1">
        <f t="shared" ca="1" si="146"/>
        <v>0.97885310493439281</v>
      </c>
      <c r="CH104" s="3">
        <f t="shared" ca="1" si="126"/>
        <v>7.1356923442614059E-2</v>
      </c>
      <c r="CI104" s="3">
        <f t="shared" ca="1" si="127"/>
        <v>0.34664393564120316</v>
      </c>
      <c r="CJ104" s="3">
        <f t="shared" ca="1" si="128"/>
        <v>497</v>
      </c>
      <c r="CK104" s="3">
        <f t="shared" ca="1" si="129"/>
        <v>2.92502276566516E-3</v>
      </c>
      <c r="CL104" s="3">
        <f t="shared" ca="1" si="130"/>
        <v>1</v>
      </c>
      <c r="CM104" s="3"/>
      <c r="CN104" s="1">
        <f t="shared" ca="1" si="131"/>
        <v>3.0263483558154327</v>
      </c>
      <c r="CO104" s="1">
        <f t="shared" ca="1" si="132"/>
        <v>0.34285191960755751</v>
      </c>
      <c r="CP104" s="1">
        <f t="shared" ca="1" si="133"/>
        <v>3</v>
      </c>
      <c r="CV104" s="1">
        <f t="shared" ca="1" si="134"/>
        <v>9.7925022525948737</v>
      </c>
      <c r="CW104" s="1">
        <f t="shared" ca="1" si="135"/>
        <v>1686</v>
      </c>
      <c r="CX104" s="1">
        <f t="shared" ca="1" si="136"/>
        <v>4.2827574451227051E-3</v>
      </c>
      <c r="DH104" s="1">
        <f t="shared" ca="1" si="137"/>
        <v>104</v>
      </c>
      <c r="DI104" s="1">
        <f t="shared" ca="1" si="138"/>
        <v>4.3256153373569209E-2</v>
      </c>
      <c r="DJ104" s="1">
        <f t="shared" ca="1" si="139"/>
        <v>2</v>
      </c>
      <c r="DL104" s="1">
        <f t="shared" ca="1" si="140"/>
        <v>0.13838439145701839</v>
      </c>
      <c r="DM104" s="1">
        <f t="shared" ca="1" si="141"/>
        <v>263</v>
      </c>
      <c r="DN104" s="1">
        <f t="shared" ca="1" si="142"/>
        <v>5</v>
      </c>
      <c r="DW104" s="1">
        <f t="shared" ca="1" si="143"/>
        <v>280</v>
      </c>
      <c r="DX104" s="1">
        <f t="shared" ca="1" si="144"/>
        <v>13</v>
      </c>
      <c r="DY104" s="1">
        <f t="shared" ca="1" si="145"/>
        <v>8</v>
      </c>
    </row>
    <row r="105" spans="2:129" x14ac:dyDescent="0.25">
      <c r="B105">
        <f t="shared" ca="1" si="75"/>
        <v>808</v>
      </c>
      <c r="C105">
        <f t="shared" ca="1" si="76"/>
        <v>40</v>
      </c>
      <c r="D105">
        <f t="shared" ca="1" si="77"/>
        <v>0.10903347845227393</v>
      </c>
      <c r="F105" s="1">
        <f t="shared" ca="1" si="78"/>
        <v>24</v>
      </c>
      <c r="G105" s="1">
        <f t="shared" ca="1" si="79"/>
        <v>18</v>
      </c>
      <c r="H105" s="1">
        <f t="shared" ca="1" si="80"/>
        <v>9</v>
      </c>
      <c r="I105" s="1"/>
      <c r="J105" s="1">
        <f t="shared" ca="1" si="81"/>
        <v>3</v>
      </c>
      <c r="K105" s="1">
        <f t="shared" ca="1" si="82"/>
        <v>1.4560158995269112</v>
      </c>
      <c r="L105" s="1">
        <f t="shared" ca="1" si="83"/>
        <v>22</v>
      </c>
      <c r="M105" s="1"/>
      <c r="N105" s="1">
        <f t="shared" ca="1" si="84"/>
        <v>632</v>
      </c>
      <c r="O105" s="1">
        <f t="shared" ca="1" si="85"/>
        <v>18</v>
      </c>
      <c r="P105" s="1"/>
      <c r="Q105" s="1">
        <f t="shared" ca="1" si="86"/>
        <v>2.8041460486587875</v>
      </c>
      <c r="R105" s="1">
        <f t="shared" ca="1" si="87"/>
        <v>1121</v>
      </c>
      <c r="S105" s="1"/>
      <c r="T105" s="1">
        <f t="shared" ca="1" si="88"/>
        <v>0.16634990938746419</v>
      </c>
      <c r="U105" s="1">
        <f t="shared" ca="1" si="89"/>
        <v>256</v>
      </c>
      <c r="V105" s="1">
        <f t="shared" ca="1" si="90"/>
        <v>5</v>
      </c>
      <c r="W105" s="1"/>
      <c r="X105" s="1">
        <f t="shared" ca="1" si="91"/>
        <v>2.4380718107118597</v>
      </c>
      <c r="Y105" s="1">
        <f t="shared" ca="1" si="92"/>
        <v>7.2368889588970101E-2</v>
      </c>
      <c r="Z105" s="1">
        <f t="shared" ca="1" si="93"/>
        <v>600</v>
      </c>
      <c r="AB105" s="1">
        <f t="shared" ca="1" si="94"/>
        <v>0.96859096106401865</v>
      </c>
      <c r="AC105" s="1">
        <f t="shared" ca="1" si="95"/>
        <v>539</v>
      </c>
      <c r="AD105" s="1">
        <f t="shared" ca="1" si="96"/>
        <v>8.6087359450609732E-3</v>
      </c>
      <c r="AE105" s="1"/>
      <c r="AF105" s="1">
        <f t="shared" ca="1" si="97"/>
        <v>0.88688539547993339</v>
      </c>
      <c r="AG105" s="1">
        <f t="shared" ca="1" si="98"/>
        <v>334</v>
      </c>
      <c r="AH105" s="1">
        <f t="shared" ca="1" si="99"/>
        <v>2.526476505510029E-3</v>
      </c>
      <c r="AJ105" s="1">
        <f t="shared" ca="1" si="100"/>
        <v>0.76715785023582217</v>
      </c>
      <c r="AK105" s="1">
        <f t="shared" ca="1" si="101"/>
        <v>2.9081515673777618E-3</v>
      </c>
      <c r="AL105" s="1"/>
      <c r="AM105" s="1">
        <f t="shared" ca="1" si="102"/>
        <v>6.3753732261111654E-2</v>
      </c>
      <c r="AN105" s="1">
        <f t="shared" ca="1" si="103"/>
        <v>44</v>
      </c>
      <c r="AO105" s="1">
        <f t="shared" ca="1" si="104"/>
        <v>7</v>
      </c>
      <c r="AQ105" s="1">
        <f t="shared" ca="1" si="105"/>
        <v>157</v>
      </c>
      <c r="AR105" s="1">
        <f t="shared" ca="1" si="106"/>
        <v>6</v>
      </c>
      <c r="AS105" s="1">
        <f t="shared" ca="1" si="107"/>
        <v>2</v>
      </c>
      <c r="AU105" s="1">
        <f t="shared" ca="1" si="108"/>
        <v>238</v>
      </c>
      <c r="AV105" s="1">
        <f t="shared" ca="1" si="109"/>
        <v>2</v>
      </c>
      <c r="AW105" s="1">
        <f t="shared" ca="1" si="110"/>
        <v>0.16538761861876963</v>
      </c>
      <c r="AY105" s="1">
        <f t="shared" ca="1" si="111"/>
        <v>1.243343403424011</v>
      </c>
      <c r="AZ105" s="1">
        <f t="shared" ca="1" si="112"/>
        <v>347</v>
      </c>
      <c r="BA105" s="1">
        <f t="shared" ca="1" si="113"/>
        <v>6.4813046764567927E-3</v>
      </c>
      <c r="BG105" s="1">
        <f t="shared" ca="1" si="114"/>
        <v>2.4835311597858397E-2</v>
      </c>
      <c r="BH105" s="1">
        <f t="shared" ca="1" si="115"/>
        <v>0.26565147467798411</v>
      </c>
      <c r="BI105" s="1">
        <f t="shared" ca="1" si="116"/>
        <v>852</v>
      </c>
      <c r="BV105" s="1">
        <f t="shared" ca="1" si="117"/>
        <v>0.70334903790249848</v>
      </c>
      <c r="BW105" s="1">
        <f t="shared" ca="1" si="118"/>
        <v>787</v>
      </c>
      <c r="BX105" s="1">
        <f t="shared" ca="1" si="119"/>
        <v>1.4524367826981473E-3</v>
      </c>
      <c r="BY105" s="1">
        <f t="shared" ca="1" si="120"/>
        <v>4.3789493006671606E-2</v>
      </c>
      <c r="BZ105" s="1">
        <f t="shared" ca="1" si="121"/>
        <v>0.34775679486085853</v>
      </c>
      <c r="CB105" s="1">
        <f t="shared" ca="1" si="122"/>
        <v>143</v>
      </c>
      <c r="CC105" s="1">
        <f t="shared" ca="1" si="123"/>
        <v>13</v>
      </c>
      <c r="CD105" s="1">
        <f t="shared" ca="1" si="124"/>
        <v>8.91228315906539E-2</v>
      </c>
      <c r="CE105" s="1">
        <f t="shared" ca="1" si="146"/>
        <v>0.90608913875694708</v>
      </c>
      <c r="CF105" s="1">
        <f t="shared" ca="1" si="146"/>
        <v>0.71964870868637909</v>
      </c>
      <c r="CH105" s="3">
        <f t="shared" ca="1" si="126"/>
        <v>0.76369821560775797</v>
      </c>
      <c r="CI105" s="3">
        <f t="shared" ca="1" si="127"/>
        <v>0.22730680583523702</v>
      </c>
      <c r="CJ105" s="3">
        <f t="shared" ca="1" si="128"/>
        <v>1769</v>
      </c>
      <c r="CK105" s="3">
        <f t="shared" ca="1" si="129"/>
        <v>2.8291773764677003E-3</v>
      </c>
      <c r="CL105" s="3">
        <f t="shared" ca="1" si="130"/>
        <v>0</v>
      </c>
      <c r="CM105" s="3"/>
      <c r="CN105" s="1">
        <f t="shared" ca="1" si="131"/>
        <v>7.213927767736183</v>
      </c>
      <c r="CO105" s="1">
        <f t="shared" ca="1" si="132"/>
        <v>1.4114987305836983E-3</v>
      </c>
      <c r="CP105" s="1">
        <f t="shared" ca="1" si="133"/>
        <v>2</v>
      </c>
      <c r="CV105" s="1">
        <f t="shared" ca="1" si="134"/>
        <v>2.7063845704167346</v>
      </c>
      <c r="CW105" s="1">
        <f t="shared" ca="1" si="135"/>
        <v>261</v>
      </c>
      <c r="CX105" s="1">
        <f t="shared" ca="1" si="136"/>
        <v>1.1404413640747303E-3</v>
      </c>
      <c r="DH105" s="1">
        <f t="shared" ca="1" si="137"/>
        <v>389</v>
      </c>
      <c r="DI105" s="1">
        <f t="shared" ca="1" si="138"/>
        <v>0.34732186213541</v>
      </c>
      <c r="DJ105" s="1">
        <f t="shared" ca="1" si="139"/>
        <v>22</v>
      </c>
      <c r="DL105" s="1">
        <f t="shared" ca="1" si="140"/>
        <v>0.17862094856936017</v>
      </c>
      <c r="DM105" s="1">
        <f t="shared" ca="1" si="141"/>
        <v>278</v>
      </c>
      <c r="DN105" s="1">
        <f t="shared" ca="1" si="142"/>
        <v>6</v>
      </c>
      <c r="DW105" s="1">
        <f t="shared" ca="1" si="143"/>
        <v>305</v>
      </c>
      <c r="DX105" s="1">
        <f t="shared" ca="1" si="144"/>
        <v>9</v>
      </c>
      <c r="DY105" s="1">
        <f t="shared" ca="1" si="145"/>
        <v>5</v>
      </c>
    </row>
    <row r="106" spans="2:129" x14ac:dyDescent="0.25">
      <c r="B106">
        <f t="shared" ca="1" si="75"/>
        <v>223</v>
      </c>
      <c r="C106">
        <f t="shared" ca="1" si="76"/>
        <v>24</v>
      </c>
      <c r="D106">
        <f t="shared" ca="1" si="77"/>
        <v>6.2162616816926121E-2</v>
      </c>
      <c r="F106" s="1">
        <f t="shared" ca="1" si="78"/>
        <v>19</v>
      </c>
      <c r="G106" s="1">
        <f t="shared" ca="1" si="79"/>
        <v>4</v>
      </c>
      <c r="H106" s="1">
        <f t="shared" ca="1" si="80"/>
        <v>1</v>
      </c>
      <c r="I106" s="1"/>
      <c r="J106" s="1">
        <f t="shared" ca="1" si="81"/>
        <v>10</v>
      </c>
      <c r="K106" s="1">
        <f t="shared" ca="1" si="82"/>
        <v>1.1363844227265958</v>
      </c>
      <c r="L106" s="1">
        <f t="shared" ca="1" si="83"/>
        <v>32</v>
      </c>
      <c r="M106" s="1"/>
      <c r="N106" s="1">
        <f t="shared" ca="1" si="84"/>
        <v>183</v>
      </c>
      <c r="O106" s="1">
        <f t="shared" ca="1" si="85"/>
        <v>25</v>
      </c>
      <c r="P106" s="1"/>
      <c r="Q106" s="1">
        <f t="shared" ca="1" si="86"/>
        <v>0.95740151989087907</v>
      </c>
      <c r="R106" s="1">
        <f t="shared" ca="1" si="87"/>
        <v>250</v>
      </c>
      <c r="S106" s="1"/>
      <c r="T106" s="1">
        <f t="shared" ca="1" si="88"/>
        <v>0.14868767207894376</v>
      </c>
      <c r="U106" s="1">
        <f t="shared" ca="1" si="89"/>
        <v>214</v>
      </c>
      <c r="V106" s="1">
        <f t="shared" ca="1" si="90"/>
        <v>21</v>
      </c>
      <c r="W106" s="1"/>
      <c r="X106" s="1">
        <f t="shared" ca="1" si="91"/>
        <v>3.1375969462116435</v>
      </c>
      <c r="Y106" s="1">
        <f t="shared" ca="1" si="92"/>
        <v>0.4232399671420316</v>
      </c>
      <c r="Z106" s="1">
        <f t="shared" ca="1" si="93"/>
        <v>1816</v>
      </c>
      <c r="AB106" s="1">
        <f t="shared" ca="1" si="94"/>
        <v>0.61650469592853507</v>
      </c>
      <c r="AC106" s="1">
        <f t="shared" ca="1" si="95"/>
        <v>106</v>
      </c>
      <c r="AD106" s="1">
        <f t="shared" ca="1" si="96"/>
        <v>4.7607567093279311E-3</v>
      </c>
      <c r="AE106" s="1"/>
      <c r="AF106" s="1">
        <f t="shared" ca="1" si="97"/>
        <v>0.78028561714458566</v>
      </c>
      <c r="AG106" s="1">
        <f t="shared" ca="1" si="98"/>
        <v>176</v>
      </c>
      <c r="AH106" s="1">
        <f t="shared" ca="1" si="99"/>
        <v>1.6026830192937328E-3</v>
      </c>
      <c r="AJ106" s="1">
        <f t="shared" ca="1" si="100"/>
        <v>0.94035117360015585</v>
      </c>
      <c r="AK106" s="1">
        <f t="shared" ca="1" si="101"/>
        <v>5.6285259720585366E-3</v>
      </c>
      <c r="AL106" s="1"/>
      <c r="AM106" s="1">
        <f t="shared" ca="1" si="102"/>
        <v>0.17034095959454068</v>
      </c>
      <c r="AN106" s="1">
        <f t="shared" ca="1" si="103"/>
        <v>16</v>
      </c>
      <c r="AO106" s="1">
        <f t="shared" ca="1" si="104"/>
        <v>10</v>
      </c>
      <c r="AQ106" s="1">
        <f t="shared" ca="1" si="105"/>
        <v>10</v>
      </c>
      <c r="AR106" s="1">
        <f t="shared" ca="1" si="106"/>
        <v>7</v>
      </c>
      <c r="AS106" s="1">
        <f t="shared" ca="1" si="107"/>
        <v>86</v>
      </c>
      <c r="AU106" s="1">
        <f t="shared" ca="1" si="108"/>
        <v>263</v>
      </c>
      <c r="AV106" s="1">
        <f t="shared" ca="1" si="109"/>
        <v>6</v>
      </c>
      <c r="AW106" s="1">
        <f t="shared" ca="1" si="110"/>
        <v>0.18911781280178663</v>
      </c>
      <c r="AY106" s="1">
        <f t="shared" ca="1" si="111"/>
        <v>1.9835955839569688</v>
      </c>
      <c r="AZ106" s="1">
        <f t="shared" ca="1" si="112"/>
        <v>475</v>
      </c>
      <c r="BA106" s="1">
        <f t="shared" ca="1" si="113"/>
        <v>1.4223961430376163E-3</v>
      </c>
      <c r="BG106" s="1">
        <f t="shared" ca="1" si="114"/>
        <v>0.84810094741645858</v>
      </c>
      <c r="BH106" s="1">
        <f t="shared" ca="1" si="115"/>
        <v>0.59200360914542993</v>
      </c>
      <c r="BI106" s="1">
        <f t="shared" ca="1" si="116"/>
        <v>422</v>
      </c>
      <c r="BV106" s="1">
        <f t="shared" ca="1" si="117"/>
        <v>4.9805091763745549E-2</v>
      </c>
      <c r="BW106" s="1">
        <f t="shared" ca="1" si="118"/>
        <v>793</v>
      </c>
      <c r="BX106" s="1">
        <f t="shared" ca="1" si="119"/>
        <v>5.3803865323262005E-3</v>
      </c>
      <c r="BY106" s="1">
        <f t="shared" ca="1" si="120"/>
        <v>2.0140402255223442E-3</v>
      </c>
      <c r="BZ106" s="1">
        <f t="shared" ca="1" si="121"/>
        <v>0.48985290817965454</v>
      </c>
      <c r="CB106" s="1">
        <f t="shared" ca="1" si="122"/>
        <v>228</v>
      </c>
      <c r="CC106" s="1">
        <f t="shared" ca="1" si="123"/>
        <v>14</v>
      </c>
      <c r="CD106" s="1">
        <f t="shared" ca="1" si="124"/>
        <v>2.8669166833149191E-2</v>
      </c>
      <c r="CE106" s="1">
        <f t="shared" ca="1" si="146"/>
        <v>0.75586796176070181</v>
      </c>
      <c r="CF106" s="1">
        <f t="shared" ca="1" si="146"/>
        <v>0.75529603218708186</v>
      </c>
      <c r="CH106" s="3">
        <f t="shared" ca="1" si="126"/>
        <v>0.69923280768806539</v>
      </c>
      <c r="CI106" s="3">
        <f t="shared" ca="1" si="127"/>
        <v>0.70504304589678402</v>
      </c>
      <c r="CJ106" s="3">
        <f t="shared" ca="1" si="128"/>
        <v>1805</v>
      </c>
      <c r="CK106" s="3">
        <f t="shared" ca="1" si="129"/>
        <v>8.0048309924678814E-3</v>
      </c>
      <c r="CL106" s="3">
        <f t="shared" ca="1" si="130"/>
        <v>0</v>
      </c>
      <c r="CM106" s="3"/>
      <c r="CN106" s="1">
        <f t="shared" ca="1" si="131"/>
        <v>1.6719663161538123</v>
      </c>
      <c r="CO106" s="1">
        <f t="shared" ca="1" si="132"/>
        <v>0.4629661922038778</v>
      </c>
      <c r="CP106" s="1">
        <f t="shared" ca="1" si="133"/>
        <v>5</v>
      </c>
      <c r="CV106" s="1">
        <f t="shared" ca="1" si="134"/>
        <v>1.0827739913791474</v>
      </c>
      <c r="CW106" s="1">
        <f t="shared" ca="1" si="135"/>
        <v>992</v>
      </c>
      <c r="CX106" s="1">
        <f t="shared" ca="1" si="136"/>
        <v>9.0170466551373236E-3</v>
      </c>
      <c r="DH106" s="1">
        <f t="shared" ca="1" si="137"/>
        <v>743</v>
      </c>
      <c r="DI106" s="1">
        <f t="shared" ca="1" si="138"/>
        <v>0.6511190458170607</v>
      </c>
      <c r="DJ106" s="1">
        <f t="shared" ca="1" si="139"/>
        <v>12</v>
      </c>
      <c r="DL106" s="1">
        <f t="shared" ca="1" si="140"/>
        <v>0.12496328885227999</v>
      </c>
      <c r="DM106" s="1">
        <f t="shared" ca="1" si="141"/>
        <v>238</v>
      </c>
      <c r="DN106" s="1">
        <f t="shared" ca="1" si="142"/>
        <v>7</v>
      </c>
      <c r="DW106" s="1">
        <f t="shared" ca="1" si="143"/>
        <v>439</v>
      </c>
      <c r="DX106" s="1">
        <f t="shared" ca="1" si="144"/>
        <v>8</v>
      </c>
      <c r="DY106" s="1">
        <f t="shared" ca="1" si="145"/>
        <v>10</v>
      </c>
    </row>
    <row r="107" spans="2:129" x14ac:dyDescent="0.25">
      <c r="B107">
        <f t="shared" ca="1" si="75"/>
        <v>266</v>
      </c>
      <c r="C107">
        <f t="shared" ca="1" si="76"/>
        <v>34</v>
      </c>
      <c r="D107">
        <f t="shared" ca="1" si="77"/>
        <v>7.8967538973048146E-2</v>
      </c>
      <c r="F107" s="1">
        <f t="shared" ca="1" si="78"/>
        <v>37</v>
      </c>
      <c r="G107" s="1">
        <f t="shared" ca="1" si="79"/>
        <v>20</v>
      </c>
      <c r="H107" s="1">
        <f t="shared" ca="1" si="80"/>
        <v>12</v>
      </c>
      <c r="I107" s="1"/>
      <c r="J107" s="1">
        <f t="shared" ca="1" si="81"/>
        <v>28</v>
      </c>
      <c r="K107" s="1">
        <f t="shared" ca="1" si="82"/>
        <v>1.5523919250959859</v>
      </c>
      <c r="L107" s="1">
        <f t="shared" ca="1" si="83"/>
        <v>7</v>
      </c>
      <c r="M107" s="1"/>
      <c r="N107" s="1">
        <f t="shared" ca="1" si="84"/>
        <v>963</v>
      </c>
      <c r="O107" s="1">
        <f t="shared" ca="1" si="85"/>
        <v>48</v>
      </c>
      <c r="P107" s="1"/>
      <c r="Q107" s="1">
        <f t="shared" ca="1" si="86"/>
        <v>2.102593743747823</v>
      </c>
      <c r="R107" s="1">
        <f t="shared" ca="1" si="87"/>
        <v>924</v>
      </c>
      <c r="S107" s="1"/>
      <c r="T107" s="1">
        <f t="shared" ca="1" si="88"/>
        <v>8.6114136209076195E-2</v>
      </c>
      <c r="U107" s="1">
        <f t="shared" ca="1" si="89"/>
        <v>413</v>
      </c>
      <c r="V107" s="1">
        <f t="shared" ca="1" si="90"/>
        <v>22</v>
      </c>
      <c r="W107" s="1"/>
      <c r="X107" s="1">
        <f t="shared" ca="1" si="91"/>
        <v>2.2190267944580317</v>
      </c>
      <c r="Y107" s="1">
        <f t="shared" ca="1" si="92"/>
        <v>0.70023822390675183</v>
      </c>
      <c r="Z107" s="1">
        <f t="shared" ca="1" si="93"/>
        <v>167</v>
      </c>
      <c r="AB107" s="1">
        <f t="shared" ca="1" si="94"/>
        <v>0.73214786279081812</v>
      </c>
      <c r="AC107" s="1">
        <f t="shared" ca="1" si="95"/>
        <v>734</v>
      </c>
      <c r="AD107" s="1">
        <f t="shared" ca="1" si="96"/>
        <v>8.5743132002184183E-3</v>
      </c>
      <c r="AE107" s="1"/>
      <c r="AF107" s="1">
        <f t="shared" ca="1" si="97"/>
        <v>0.11444299565950589</v>
      </c>
      <c r="AG107" s="1">
        <f t="shared" ca="1" si="98"/>
        <v>451</v>
      </c>
      <c r="AH107" s="1">
        <f t="shared" ca="1" si="99"/>
        <v>2.5182687638433854E-3</v>
      </c>
      <c r="AJ107" s="1">
        <f t="shared" ca="1" si="100"/>
        <v>0.64289410617568576</v>
      </c>
      <c r="AK107" s="1">
        <f t="shared" ca="1" si="101"/>
        <v>4.8095622673310088E-3</v>
      </c>
      <c r="AL107" s="1"/>
      <c r="AM107" s="1">
        <f t="shared" ca="1" si="102"/>
        <v>0.16135908125625559</v>
      </c>
      <c r="AN107" s="1">
        <f t="shared" ca="1" si="103"/>
        <v>20</v>
      </c>
      <c r="AO107" s="1">
        <f t="shared" ca="1" si="104"/>
        <v>0</v>
      </c>
      <c r="AQ107" s="1">
        <f t="shared" ca="1" si="105"/>
        <v>133</v>
      </c>
      <c r="AR107" s="1">
        <f t="shared" ca="1" si="106"/>
        <v>8</v>
      </c>
      <c r="AS107" s="1">
        <f t="shared" ca="1" si="107"/>
        <v>20</v>
      </c>
      <c r="AU107" s="1">
        <f t="shared" ca="1" si="108"/>
        <v>374</v>
      </c>
      <c r="AV107" s="1">
        <f t="shared" ca="1" si="109"/>
        <v>6</v>
      </c>
      <c r="AW107" s="1">
        <f t="shared" ca="1" si="110"/>
        <v>0.17920478244506591</v>
      </c>
      <c r="AY107" s="1">
        <f t="shared" ca="1" si="111"/>
        <v>1.3360425403934411</v>
      </c>
      <c r="AZ107" s="1">
        <f t="shared" ca="1" si="112"/>
        <v>97</v>
      </c>
      <c r="BA107" s="1">
        <f t="shared" ca="1" si="113"/>
        <v>5.0237264731887643E-3</v>
      </c>
      <c r="BG107" s="1">
        <f t="shared" ca="1" si="114"/>
        <v>0.94437594761072785</v>
      </c>
      <c r="BH107" s="1">
        <f t="shared" ca="1" si="115"/>
        <v>0.78621129748396212</v>
      </c>
      <c r="BI107" s="1">
        <f t="shared" ca="1" si="116"/>
        <v>179</v>
      </c>
      <c r="BV107" s="1">
        <f t="shared" ca="1" si="117"/>
        <v>0.71788132449103681</v>
      </c>
      <c r="BW107" s="1">
        <f t="shared" ca="1" si="118"/>
        <v>605</v>
      </c>
      <c r="BX107" s="1">
        <f t="shared" ca="1" si="119"/>
        <v>7.3978579057213546E-3</v>
      </c>
      <c r="BY107" s="1">
        <f t="shared" ca="1" si="120"/>
        <v>7.0520394207365493E-3</v>
      </c>
      <c r="BZ107" s="1">
        <f t="shared" ca="1" si="121"/>
        <v>0.87005980452474063</v>
      </c>
      <c r="CB107" s="1">
        <f t="shared" ca="1" si="122"/>
        <v>134</v>
      </c>
      <c r="CC107" s="1">
        <f t="shared" ca="1" si="123"/>
        <v>6</v>
      </c>
      <c r="CD107" s="1">
        <f t="shared" ca="1" si="124"/>
        <v>0.11071882046916388</v>
      </c>
      <c r="CE107" s="1">
        <f t="shared" ca="1" si="146"/>
        <v>0.70156999377964557</v>
      </c>
      <c r="CF107" s="1">
        <f t="shared" ca="1" si="146"/>
        <v>0.86533742823623783</v>
      </c>
      <c r="CH107" s="3">
        <f t="shared" ca="1" si="126"/>
        <v>0.18055887574775045</v>
      </c>
      <c r="CI107" s="3">
        <f t="shared" ca="1" si="127"/>
        <v>0.38571823451919873</v>
      </c>
      <c r="CJ107" s="3">
        <f t="shared" ca="1" si="128"/>
        <v>694</v>
      </c>
      <c r="CK107" s="3">
        <f t="shared" ca="1" si="129"/>
        <v>6.1328671383162848E-3</v>
      </c>
      <c r="CL107" s="3">
        <f t="shared" ca="1" si="130"/>
        <v>0</v>
      </c>
      <c r="CM107" s="3"/>
      <c r="CN107" s="1">
        <f t="shared" ca="1" si="131"/>
        <v>10.74223265432482</v>
      </c>
      <c r="CO107" s="1">
        <f t="shared" ca="1" si="132"/>
        <v>6.6288665848823342E-2</v>
      </c>
      <c r="CP107" s="1">
        <f t="shared" ca="1" si="133"/>
        <v>3</v>
      </c>
      <c r="CV107" s="1">
        <f t="shared" ca="1" si="134"/>
        <v>5.9530129528728839</v>
      </c>
      <c r="CW107" s="1">
        <f t="shared" ca="1" si="135"/>
        <v>1132</v>
      </c>
      <c r="CX107" s="1">
        <f t="shared" ca="1" si="136"/>
        <v>8.1817447865812944E-3</v>
      </c>
      <c r="DH107" s="1">
        <f t="shared" ca="1" si="137"/>
        <v>402</v>
      </c>
      <c r="DI107" s="1">
        <f t="shared" ca="1" si="138"/>
        <v>0.34256024549050074</v>
      </c>
      <c r="DJ107" s="1">
        <f t="shared" ca="1" si="139"/>
        <v>3</v>
      </c>
      <c r="DL107" s="1">
        <f t="shared" ca="1" si="140"/>
        <v>5.0697123955169981E-2</v>
      </c>
      <c r="DM107" s="1">
        <f t="shared" ca="1" si="141"/>
        <v>65</v>
      </c>
      <c r="DN107" s="1">
        <f t="shared" ca="1" si="142"/>
        <v>6</v>
      </c>
      <c r="DW107" s="1">
        <f t="shared" ca="1" si="143"/>
        <v>303</v>
      </c>
      <c r="DX107" s="1">
        <f t="shared" ca="1" si="144"/>
        <v>14</v>
      </c>
      <c r="DY107" s="1">
        <f t="shared" ca="1" si="145"/>
        <v>7</v>
      </c>
    </row>
    <row r="108" spans="2:129" x14ac:dyDescent="0.25">
      <c r="B108">
        <f t="shared" ca="1" si="75"/>
        <v>699</v>
      </c>
      <c r="C108">
        <f t="shared" ca="1" si="76"/>
        <v>20</v>
      </c>
      <c r="D108">
        <f t="shared" ca="1" si="77"/>
        <v>0.15551779784046907</v>
      </c>
      <c r="F108" s="1">
        <f t="shared" ca="1" si="78"/>
        <v>22</v>
      </c>
      <c r="G108" s="1">
        <f t="shared" ca="1" si="79"/>
        <v>3</v>
      </c>
      <c r="H108" s="1">
        <f t="shared" ca="1" si="80"/>
        <v>2</v>
      </c>
      <c r="I108" s="1"/>
      <c r="J108" s="1">
        <f t="shared" ca="1" si="81"/>
        <v>30</v>
      </c>
      <c r="K108" s="1">
        <f t="shared" ca="1" si="82"/>
        <v>1.2784204749723513</v>
      </c>
      <c r="L108" s="1">
        <f t="shared" ca="1" si="83"/>
        <v>29</v>
      </c>
      <c r="M108" s="1"/>
      <c r="N108" s="1">
        <f t="shared" ca="1" si="84"/>
        <v>764</v>
      </c>
      <c r="O108" s="1">
        <f t="shared" ca="1" si="85"/>
        <v>18</v>
      </c>
      <c r="P108" s="1"/>
      <c r="Q108" s="1">
        <f t="shared" ca="1" si="86"/>
        <v>3.5999550568605612E-2</v>
      </c>
      <c r="R108" s="1">
        <f t="shared" ca="1" si="87"/>
        <v>213</v>
      </c>
      <c r="S108" s="1"/>
      <c r="T108" s="1">
        <f t="shared" ca="1" si="88"/>
        <v>0.1914380029468071</v>
      </c>
      <c r="U108" s="1">
        <f t="shared" ca="1" si="89"/>
        <v>412</v>
      </c>
      <c r="V108" s="1">
        <f t="shared" ca="1" si="90"/>
        <v>51</v>
      </c>
      <c r="W108" s="1"/>
      <c r="X108" s="1">
        <f t="shared" ca="1" si="91"/>
        <v>6.6142510659523577</v>
      </c>
      <c r="Y108" s="1">
        <f t="shared" ca="1" si="92"/>
        <v>0.24943799762065622</v>
      </c>
      <c r="Z108" s="1">
        <f t="shared" ca="1" si="93"/>
        <v>576</v>
      </c>
      <c r="AB108" s="1">
        <f t="shared" ca="1" si="94"/>
        <v>0.55945952889182571</v>
      </c>
      <c r="AC108" s="1">
        <f t="shared" ca="1" si="95"/>
        <v>448</v>
      </c>
      <c r="AD108" s="1">
        <f t="shared" ca="1" si="96"/>
        <v>6.4262940508120437E-3</v>
      </c>
      <c r="AE108" s="1"/>
      <c r="AF108" s="1">
        <f t="shared" ca="1" si="97"/>
        <v>0.56104652085344164</v>
      </c>
      <c r="AG108" s="1">
        <f t="shared" ca="1" si="98"/>
        <v>575</v>
      </c>
      <c r="AH108" s="1">
        <f t="shared" ca="1" si="99"/>
        <v>1.5977493463807319E-3</v>
      </c>
      <c r="AJ108" s="1">
        <f t="shared" ca="1" si="100"/>
        <v>0.24669199695991306</v>
      </c>
      <c r="AK108" s="1">
        <f t="shared" ca="1" si="101"/>
        <v>2.5937419666442417E-3</v>
      </c>
      <c r="AL108" s="1"/>
      <c r="AM108" s="1">
        <f t="shared" ca="1" si="102"/>
        <v>0.12754026678460637</v>
      </c>
      <c r="AN108" s="1">
        <f t="shared" ca="1" si="103"/>
        <v>61</v>
      </c>
      <c r="AO108" s="1">
        <f t="shared" ca="1" si="104"/>
        <v>15</v>
      </c>
      <c r="AQ108" s="1">
        <f t="shared" ca="1" si="105"/>
        <v>182</v>
      </c>
      <c r="AR108" s="1">
        <f t="shared" ca="1" si="106"/>
        <v>1</v>
      </c>
      <c r="AS108" s="1">
        <f t="shared" ca="1" si="107"/>
        <v>54</v>
      </c>
      <c r="AU108" s="1">
        <f t="shared" ca="1" si="108"/>
        <v>205</v>
      </c>
      <c r="AV108" s="1">
        <f t="shared" ca="1" si="109"/>
        <v>8</v>
      </c>
      <c r="AW108" s="1">
        <f t="shared" ca="1" si="110"/>
        <v>0.16408979282958139</v>
      </c>
      <c r="AY108" s="1">
        <f t="shared" ca="1" si="111"/>
        <v>1.1911529176906746</v>
      </c>
      <c r="AZ108" s="1">
        <f t="shared" ca="1" si="112"/>
        <v>152</v>
      </c>
      <c r="BA108" s="1">
        <f t="shared" ca="1" si="113"/>
        <v>4.637439721554483E-3</v>
      </c>
      <c r="BG108" s="1">
        <f t="shared" ca="1" si="114"/>
        <v>0.67823942351876132</v>
      </c>
      <c r="BH108" s="1">
        <f t="shared" ca="1" si="115"/>
        <v>0.95588271339636044</v>
      </c>
      <c r="BI108" s="1">
        <f t="shared" ca="1" si="116"/>
        <v>576</v>
      </c>
      <c r="BV108" s="1">
        <f t="shared" ca="1" si="117"/>
        <v>0.83793900497804996</v>
      </c>
      <c r="BW108" s="1">
        <f t="shared" ca="1" si="118"/>
        <v>614</v>
      </c>
      <c r="BX108" s="1">
        <f t="shared" ca="1" si="119"/>
        <v>9.8642056703180641E-3</v>
      </c>
      <c r="BY108" s="1">
        <f t="shared" ca="1" si="120"/>
        <v>4.3600731135700621E-3</v>
      </c>
      <c r="BZ108" s="1">
        <f t="shared" ca="1" si="121"/>
        <v>5.2529813321163799E-3</v>
      </c>
      <c r="CB108" s="1">
        <f t="shared" ca="1" si="122"/>
        <v>186</v>
      </c>
      <c r="CC108" s="1">
        <f t="shared" ca="1" si="123"/>
        <v>6</v>
      </c>
      <c r="CD108" s="1">
        <f t="shared" ca="1" si="124"/>
        <v>0.21346955420005723</v>
      </c>
      <c r="CE108" s="1">
        <f t="shared" ca="1" si="146"/>
        <v>0.55304902460088912</v>
      </c>
      <c r="CF108" s="1">
        <f t="shared" ca="1" si="146"/>
        <v>0.81033481886094039</v>
      </c>
      <c r="CH108" s="3">
        <f t="shared" ca="1" si="126"/>
        <v>0.20631953339413489</v>
      </c>
      <c r="CI108" s="3">
        <f t="shared" ca="1" si="127"/>
        <v>0.65904184888229356</v>
      </c>
      <c r="CJ108" s="3">
        <f t="shared" ca="1" si="128"/>
        <v>1934</v>
      </c>
      <c r="CK108" s="3">
        <f t="shared" ca="1" si="129"/>
        <v>2.2427877431680184E-3</v>
      </c>
      <c r="CL108" s="3">
        <f t="shared" ca="1" si="130"/>
        <v>0</v>
      </c>
      <c r="CM108" s="3"/>
      <c r="CN108" s="1">
        <f t="shared" ca="1" si="131"/>
        <v>18.217500961129186</v>
      </c>
      <c r="CO108" s="1">
        <f t="shared" ca="1" si="132"/>
        <v>0.46710885446812911</v>
      </c>
      <c r="CP108" s="1">
        <f t="shared" ca="1" si="133"/>
        <v>1</v>
      </c>
      <c r="CV108" s="1">
        <f t="shared" ca="1" si="134"/>
        <v>6.6105002426651316</v>
      </c>
      <c r="CW108" s="1">
        <f t="shared" ca="1" si="135"/>
        <v>1630</v>
      </c>
      <c r="CX108" s="1">
        <f t="shared" ca="1" si="136"/>
        <v>8.6176784530050451E-3</v>
      </c>
      <c r="DH108" s="1">
        <f t="shared" ca="1" si="137"/>
        <v>326</v>
      </c>
      <c r="DI108" s="1">
        <f t="shared" ca="1" si="138"/>
        <v>0.45368211436358941</v>
      </c>
      <c r="DJ108" s="1">
        <f t="shared" ca="1" si="139"/>
        <v>25</v>
      </c>
      <c r="DL108" s="1">
        <f t="shared" ca="1" si="140"/>
        <v>2.5918378849797884E-2</v>
      </c>
      <c r="DM108" s="1">
        <f t="shared" ca="1" si="141"/>
        <v>270</v>
      </c>
      <c r="DN108" s="1">
        <f t="shared" ca="1" si="142"/>
        <v>7</v>
      </c>
      <c r="DW108" s="1">
        <f t="shared" ca="1" si="143"/>
        <v>70</v>
      </c>
      <c r="DX108" s="1">
        <f t="shared" ca="1" si="144"/>
        <v>19</v>
      </c>
      <c r="DY108" s="1">
        <f t="shared" ca="1" si="145"/>
        <v>19</v>
      </c>
    </row>
    <row r="109" spans="2:129" x14ac:dyDescent="0.25">
      <c r="B109">
        <f t="shared" ca="1" si="75"/>
        <v>987</v>
      </c>
      <c r="C109">
        <f t="shared" ca="1" si="76"/>
        <v>11</v>
      </c>
      <c r="D109">
        <f t="shared" ca="1" si="77"/>
        <v>9.0014911792560354E-2</v>
      </c>
      <c r="F109" s="1">
        <f t="shared" ca="1" si="78"/>
        <v>4</v>
      </c>
      <c r="G109" s="1">
        <f t="shared" ca="1" si="79"/>
        <v>20</v>
      </c>
      <c r="H109" s="1">
        <f t="shared" ca="1" si="80"/>
        <v>4</v>
      </c>
      <c r="I109" s="1"/>
      <c r="J109" s="1">
        <f t="shared" ca="1" si="81"/>
        <v>12</v>
      </c>
      <c r="K109" s="1">
        <f t="shared" ca="1" si="82"/>
        <v>2.2771956176234145</v>
      </c>
      <c r="L109" s="1">
        <f t="shared" ca="1" si="83"/>
        <v>28</v>
      </c>
      <c r="M109" s="1"/>
      <c r="N109" s="1">
        <f t="shared" ca="1" si="84"/>
        <v>189</v>
      </c>
      <c r="O109" s="1">
        <f t="shared" ca="1" si="85"/>
        <v>4</v>
      </c>
      <c r="P109" s="1"/>
      <c r="Q109" s="1">
        <f t="shared" ca="1" si="86"/>
        <v>4.8725890264671952</v>
      </c>
      <c r="R109" s="1">
        <f t="shared" ca="1" si="87"/>
        <v>795</v>
      </c>
      <c r="S109" s="1"/>
      <c r="T109" s="1">
        <f t="shared" ca="1" si="88"/>
        <v>0.15527892501047064</v>
      </c>
      <c r="U109" s="1">
        <f t="shared" ca="1" si="89"/>
        <v>52</v>
      </c>
      <c r="V109" s="1">
        <f t="shared" ca="1" si="90"/>
        <v>23</v>
      </c>
      <c r="W109" s="1"/>
      <c r="X109" s="1">
        <f t="shared" ca="1" si="91"/>
        <v>3.3374742956330166</v>
      </c>
      <c r="Y109" s="1">
        <f t="shared" ca="1" si="92"/>
        <v>0.4632830570760898</v>
      </c>
      <c r="Z109" s="1">
        <f t="shared" ca="1" si="93"/>
        <v>1303</v>
      </c>
      <c r="AB109" s="1">
        <f t="shared" ca="1" si="94"/>
        <v>0.44633934056387253</v>
      </c>
      <c r="AC109" s="1">
        <f t="shared" ca="1" si="95"/>
        <v>334</v>
      </c>
      <c r="AD109" s="1">
        <f t="shared" ca="1" si="96"/>
        <v>1.5992250226414188E-4</v>
      </c>
      <c r="AE109" s="1"/>
      <c r="AF109" s="1">
        <f t="shared" ca="1" si="97"/>
        <v>0.35241558207399482</v>
      </c>
      <c r="AG109" s="1">
        <f t="shared" ca="1" si="98"/>
        <v>193</v>
      </c>
      <c r="AH109" s="1">
        <f t="shared" ca="1" si="99"/>
        <v>6.4896400031626781E-3</v>
      </c>
      <c r="AJ109" s="1">
        <f t="shared" ca="1" si="100"/>
        <v>0.15691236611554038</v>
      </c>
      <c r="AK109" s="1">
        <f t="shared" ca="1" si="101"/>
        <v>6.9201664035640322E-3</v>
      </c>
      <c r="AL109" s="1"/>
      <c r="AM109" s="1">
        <f t="shared" ca="1" si="102"/>
        <v>5.5299358124856791E-2</v>
      </c>
      <c r="AN109" s="1">
        <f t="shared" ca="1" si="103"/>
        <v>10</v>
      </c>
      <c r="AO109" s="1">
        <f t="shared" ca="1" si="104"/>
        <v>15</v>
      </c>
      <c r="AQ109" s="1">
        <f t="shared" ca="1" si="105"/>
        <v>40</v>
      </c>
      <c r="AR109" s="1">
        <f t="shared" ca="1" si="106"/>
        <v>10</v>
      </c>
      <c r="AS109" s="1">
        <f t="shared" ca="1" si="107"/>
        <v>18</v>
      </c>
      <c r="AU109" s="1">
        <f t="shared" ca="1" si="108"/>
        <v>105</v>
      </c>
      <c r="AV109" s="1">
        <f t="shared" ca="1" si="109"/>
        <v>3</v>
      </c>
      <c r="AW109" s="1">
        <f t="shared" ca="1" si="110"/>
        <v>2.7519964615172698E-2</v>
      </c>
      <c r="AY109" s="1">
        <f t="shared" ca="1" si="111"/>
        <v>1.8479909518023812</v>
      </c>
      <c r="AZ109" s="1">
        <f t="shared" ca="1" si="112"/>
        <v>383</v>
      </c>
      <c r="BA109" s="1">
        <f t="shared" ca="1" si="113"/>
        <v>5.4049178993446035E-3</v>
      </c>
      <c r="BG109" s="1">
        <f t="shared" ca="1" si="114"/>
        <v>0.85472061411305034</v>
      </c>
      <c r="BH109" s="1">
        <f t="shared" ca="1" si="115"/>
        <v>0.8141170921010219</v>
      </c>
      <c r="BI109" s="1">
        <f t="shared" ca="1" si="116"/>
        <v>332</v>
      </c>
      <c r="BV109" s="1">
        <f t="shared" ca="1" si="117"/>
        <v>0.50256917461745498</v>
      </c>
      <c r="BW109" s="1">
        <f t="shared" ca="1" si="118"/>
        <v>768</v>
      </c>
      <c r="BX109" s="1">
        <f t="shared" ca="1" si="119"/>
        <v>6.7009268775824193E-3</v>
      </c>
      <c r="BY109" s="1">
        <f t="shared" ca="1" si="120"/>
        <v>6.5425063903144414E-3</v>
      </c>
      <c r="BZ109" s="1">
        <f t="shared" ca="1" si="121"/>
        <v>8.9587480868138614E-2</v>
      </c>
      <c r="CB109" s="1">
        <f t="shared" ca="1" si="122"/>
        <v>346</v>
      </c>
      <c r="CC109" s="1">
        <f t="shared" ca="1" si="123"/>
        <v>11</v>
      </c>
      <c r="CD109" s="1">
        <f t="shared" ca="1" si="124"/>
        <v>0.26016306581774912</v>
      </c>
      <c r="CE109" s="1">
        <f t="shared" ca="1" si="146"/>
        <v>0.70201798761889589</v>
      </c>
      <c r="CF109" s="1">
        <f t="shared" ca="1" si="146"/>
        <v>0.71304209693565102</v>
      </c>
      <c r="CH109" s="3">
        <f t="shared" ca="1" si="126"/>
        <v>0.21678676256502491</v>
      </c>
      <c r="CI109" s="3">
        <f t="shared" ca="1" si="127"/>
        <v>7.6228212686374822E-2</v>
      </c>
      <c r="CJ109" s="3">
        <f t="shared" ca="1" si="128"/>
        <v>1469</v>
      </c>
      <c r="CK109" s="3">
        <f t="shared" ca="1" si="129"/>
        <v>5.5888776619899818E-3</v>
      </c>
      <c r="CL109" s="3">
        <f t="shared" ca="1" si="130"/>
        <v>1</v>
      </c>
      <c r="CM109" s="3"/>
      <c r="CN109" s="1">
        <f t="shared" ca="1" si="131"/>
        <v>18.028917117177844</v>
      </c>
      <c r="CO109" s="1">
        <f t="shared" ca="1" si="132"/>
        <v>0.25040471856298913</v>
      </c>
      <c r="CP109" s="1">
        <f t="shared" ca="1" si="133"/>
        <v>2</v>
      </c>
      <c r="CV109" s="1">
        <f t="shared" ca="1" si="134"/>
        <v>5.3304563951048722</v>
      </c>
      <c r="CW109" s="1">
        <f t="shared" ca="1" si="135"/>
        <v>1037</v>
      </c>
      <c r="CX109" s="1">
        <f t="shared" ca="1" si="136"/>
        <v>8.6798391627646038E-3</v>
      </c>
      <c r="DH109" s="1">
        <f t="shared" ca="1" si="137"/>
        <v>136</v>
      </c>
      <c r="DI109" s="1">
        <f t="shared" ca="1" si="138"/>
        <v>0.16556938743237026</v>
      </c>
      <c r="DJ109" s="1">
        <f t="shared" ca="1" si="139"/>
        <v>17</v>
      </c>
      <c r="DL109" s="1">
        <f t="shared" ca="1" si="140"/>
        <v>2.4602187982155462E-2</v>
      </c>
      <c r="DM109" s="1">
        <f t="shared" ca="1" si="141"/>
        <v>278</v>
      </c>
      <c r="DN109" s="1">
        <f t="shared" ca="1" si="142"/>
        <v>10</v>
      </c>
      <c r="DW109" s="1">
        <f t="shared" ca="1" si="143"/>
        <v>420</v>
      </c>
      <c r="DX109" s="1">
        <f t="shared" ca="1" si="144"/>
        <v>16</v>
      </c>
      <c r="DY109" s="1">
        <f t="shared" ca="1" si="145"/>
        <v>17</v>
      </c>
    </row>
    <row r="110" spans="2:129" x14ac:dyDescent="0.25">
      <c r="B110">
        <f t="shared" ca="1" si="75"/>
        <v>525</v>
      </c>
      <c r="C110">
        <f t="shared" ca="1" si="76"/>
        <v>11</v>
      </c>
      <c r="D110">
        <f t="shared" ca="1" si="77"/>
        <v>0.17989468059723165</v>
      </c>
      <c r="F110" s="1">
        <f t="shared" ca="1" si="78"/>
        <v>47</v>
      </c>
      <c r="G110" s="1">
        <f t="shared" ca="1" si="79"/>
        <v>25</v>
      </c>
      <c r="H110" s="1">
        <f t="shared" ca="1" si="80"/>
        <v>15</v>
      </c>
      <c r="I110" s="1"/>
      <c r="J110" s="1">
        <f t="shared" ca="1" si="81"/>
        <v>30</v>
      </c>
      <c r="K110" s="1">
        <f t="shared" ca="1" si="82"/>
        <v>1.0361795698236076</v>
      </c>
      <c r="L110" s="1">
        <f t="shared" ca="1" si="83"/>
        <v>15</v>
      </c>
      <c r="M110" s="1"/>
      <c r="N110" s="1">
        <f t="shared" ca="1" si="84"/>
        <v>437</v>
      </c>
      <c r="O110" s="1">
        <f t="shared" ca="1" si="85"/>
        <v>8</v>
      </c>
      <c r="P110" s="1"/>
      <c r="Q110" s="1">
        <f t="shared" ca="1" si="86"/>
        <v>1.7596909606619655</v>
      </c>
      <c r="R110" s="1">
        <f t="shared" ca="1" si="87"/>
        <v>650</v>
      </c>
      <c r="S110" s="1"/>
      <c r="T110" s="1">
        <f t="shared" ca="1" si="88"/>
        <v>0.12607470836814494</v>
      </c>
      <c r="U110" s="1">
        <f t="shared" ca="1" si="89"/>
        <v>172</v>
      </c>
      <c r="V110" s="1">
        <f t="shared" ca="1" si="90"/>
        <v>24</v>
      </c>
      <c r="W110" s="1"/>
      <c r="X110" s="1">
        <f t="shared" ca="1" si="91"/>
        <v>3.9411363668959112</v>
      </c>
      <c r="Y110" s="1">
        <f t="shared" ca="1" si="92"/>
        <v>0.81205907856037629</v>
      </c>
      <c r="Z110" s="1">
        <f t="shared" ca="1" si="93"/>
        <v>1045</v>
      </c>
      <c r="AB110" s="1">
        <f t="shared" ca="1" si="94"/>
        <v>0.52215861453833579</v>
      </c>
      <c r="AC110" s="1">
        <f t="shared" ca="1" si="95"/>
        <v>607</v>
      </c>
      <c r="AD110" s="1">
        <f t="shared" ca="1" si="96"/>
        <v>8.1591105026057598E-3</v>
      </c>
      <c r="AE110" s="1"/>
      <c r="AF110" s="1">
        <f t="shared" ca="1" si="97"/>
        <v>0.34470330193517151</v>
      </c>
      <c r="AG110" s="1">
        <f t="shared" ca="1" si="98"/>
        <v>756</v>
      </c>
      <c r="AH110" s="1">
        <f t="shared" ca="1" si="99"/>
        <v>3.8591300385843554E-3</v>
      </c>
      <c r="AJ110" s="1">
        <f t="shared" ca="1" si="100"/>
        <v>0.31335166067513864</v>
      </c>
      <c r="AK110" s="1">
        <f t="shared" ca="1" si="101"/>
        <v>7.2474248349494565E-3</v>
      </c>
      <c r="AL110" s="1"/>
      <c r="AM110" s="1">
        <f t="shared" ca="1" si="102"/>
        <v>0.10807444654741175</v>
      </c>
      <c r="AN110" s="1">
        <f t="shared" ca="1" si="103"/>
        <v>41</v>
      </c>
      <c r="AO110" s="1">
        <f t="shared" ca="1" si="104"/>
        <v>13</v>
      </c>
      <c r="AQ110" s="1">
        <f t="shared" ca="1" si="105"/>
        <v>91</v>
      </c>
      <c r="AR110" s="1">
        <f t="shared" ca="1" si="106"/>
        <v>6</v>
      </c>
      <c r="AS110" s="1">
        <f t="shared" ca="1" si="107"/>
        <v>45</v>
      </c>
      <c r="AU110" s="1">
        <f t="shared" ca="1" si="108"/>
        <v>217</v>
      </c>
      <c r="AV110" s="1">
        <f t="shared" ca="1" si="109"/>
        <v>2</v>
      </c>
      <c r="AW110" s="1">
        <f t="shared" ca="1" si="110"/>
        <v>0.14439388240100737</v>
      </c>
      <c r="AY110" s="1">
        <f t="shared" ca="1" si="111"/>
        <v>1.6435565979756863</v>
      </c>
      <c r="AZ110" s="1">
        <f t="shared" ca="1" si="112"/>
        <v>288</v>
      </c>
      <c r="BA110" s="1">
        <f t="shared" ca="1" si="113"/>
        <v>2.0335955596562216E-3</v>
      </c>
      <c r="BG110" s="1">
        <f t="shared" ca="1" si="114"/>
        <v>0.40110024702849112</v>
      </c>
      <c r="BH110" s="1">
        <f t="shared" ca="1" si="115"/>
        <v>0.9391651951543788</v>
      </c>
      <c r="BI110" s="1">
        <f t="shared" ca="1" si="116"/>
        <v>501</v>
      </c>
      <c r="BV110" s="1">
        <f t="shared" ca="1" si="117"/>
        <v>0.19987245271628298</v>
      </c>
      <c r="BW110" s="1">
        <f t="shared" ca="1" si="118"/>
        <v>783</v>
      </c>
      <c r="BX110" s="1">
        <f t="shared" ca="1" si="119"/>
        <v>6.6638673040594698E-3</v>
      </c>
      <c r="BY110" s="1">
        <f t="shared" ca="1" si="120"/>
        <v>7.4807355422962504E-2</v>
      </c>
      <c r="BZ110" s="1">
        <f t="shared" ca="1" si="121"/>
        <v>0.95436829327159423</v>
      </c>
      <c r="CB110" s="1">
        <f t="shared" ca="1" si="122"/>
        <v>486</v>
      </c>
      <c r="CC110" s="1">
        <f t="shared" ca="1" si="123"/>
        <v>15</v>
      </c>
      <c r="CD110" s="1">
        <f t="shared" ca="1" si="124"/>
        <v>0.11866210718447806</v>
      </c>
      <c r="CE110" s="1">
        <f t="shared" ca="1" si="146"/>
        <v>0.98942114896971123</v>
      </c>
      <c r="CF110" s="1">
        <f t="shared" ca="1" si="146"/>
        <v>0.92651571262640897</v>
      </c>
      <c r="CH110" s="3">
        <f t="shared" ca="1" si="126"/>
        <v>0.97646600992969779</v>
      </c>
      <c r="CI110" s="3">
        <f t="shared" ca="1" si="127"/>
        <v>0.62490697805493811</v>
      </c>
      <c r="CJ110" s="3">
        <f t="shared" ca="1" si="128"/>
        <v>1883</v>
      </c>
      <c r="CK110" s="3">
        <f t="shared" ca="1" si="129"/>
        <v>7.1995732798897294E-3</v>
      </c>
      <c r="CL110" s="3">
        <f t="shared" ca="1" si="130"/>
        <v>0</v>
      </c>
      <c r="CM110" s="3"/>
      <c r="CN110" s="1">
        <f t="shared" ca="1" si="131"/>
        <v>14.520838945075086</v>
      </c>
      <c r="CO110" s="1">
        <f t="shared" ca="1" si="132"/>
        <v>0.28306052601912146</v>
      </c>
      <c r="CP110" s="1">
        <f t="shared" ca="1" si="133"/>
        <v>2</v>
      </c>
      <c r="CV110" s="1">
        <f t="shared" ca="1" si="134"/>
        <v>6.8961756200282878</v>
      </c>
      <c r="CW110" s="1">
        <f t="shared" ca="1" si="135"/>
        <v>490</v>
      </c>
      <c r="CX110" s="1">
        <f t="shared" ca="1" si="136"/>
        <v>6.1503238669273728E-3</v>
      </c>
      <c r="DH110" s="1">
        <f t="shared" ca="1" si="137"/>
        <v>458</v>
      </c>
      <c r="DI110" s="1">
        <f t="shared" ca="1" si="138"/>
        <v>0.96394534639776941</v>
      </c>
      <c r="DJ110" s="1">
        <f t="shared" ca="1" si="139"/>
        <v>8</v>
      </c>
      <c r="DL110" s="1">
        <f t="shared" ca="1" si="140"/>
        <v>8.3024232422894848E-2</v>
      </c>
      <c r="DM110" s="1">
        <f t="shared" ca="1" si="141"/>
        <v>277</v>
      </c>
      <c r="DN110" s="1">
        <f t="shared" ca="1" si="142"/>
        <v>9</v>
      </c>
      <c r="DW110" s="1">
        <f t="shared" ca="1" si="143"/>
        <v>66</v>
      </c>
      <c r="DX110" s="1">
        <f t="shared" ca="1" si="144"/>
        <v>14</v>
      </c>
      <c r="DY110" s="1">
        <f t="shared" ca="1" si="145"/>
        <v>11</v>
      </c>
    </row>
    <row r="111" spans="2:129" x14ac:dyDescent="0.25">
      <c r="B111">
        <f t="shared" ca="1" si="75"/>
        <v>650</v>
      </c>
      <c r="C111">
        <f t="shared" ca="1" si="76"/>
        <v>16</v>
      </c>
      <c r="D111">
        <f t="shared" ca="1" si="77"/>
        <v>0.19600892749371321</v>
      </c>
      <c r="F111" s="1">
        <f t="shared" ca="1" si="78"/>
        <v>32</v>
      </c>
      <c r="G111" s="1">
        <f t="shared" ca="1" si="79"/>
        <v>15</v>
      </c>
      <c r="H111" s="1">
        <f t="shared" ca="1" si="80"/>
        <v>10</v>
      </c>
      <c r="I111" s="1"/>
      <c r="J111" s="1">
        <f t="shared" ca="1" si="81"/>
        <v>33</v>
      </c>
      <c r="K111" s="1">
        <f t="shared" ca="1" si="82"/>
        <v>2.1427552666333867</v>
      </c>
      <c r="L111" s="1">
        <f t="shared" ca="1" si="83"/>
        <v>13</v>
      </c>
      <c r="M111" s="1"/>
      <c r="N111" s="1">
        <f t="shared" ca="1" si="84"/>
        <v>507</v>
      </c>
      <c r="O111" s="1">
        <f t="shared" ca="1" si="85"/>
        <v>35</v>
      </c>
      <c r="P111" s="1"/>
      <c r="Q111" s="1">
        <f t="shared" ca="1" si="86"/>
        <v>4.2261042729751956</v>
      </c>
      <c r="R111" s="1">
        <f t="shared" ca="1" si="87"/>
        <v>1008</v>
      </c>
      <c r="S111" s="1"/>
      <c r="T111" s="1">
        <f t="shared" ca="1" si="88"/>
        <v>8.1258201594020169E-2</v>
      </c>
      <c r="U111" s="1">
        <f t="shared" ca="1" si="89"/>
        <v>193</v>
      </c>
      <c r="V111" s="1">
        <f t="shared" ca="1" si="90"/>
        <v>42</v>
      </c>
      <c r="W111" s="1"/>
      <c r="X111" s="1">
        <f t="shared" ca="1" si="91"/>
        <v>8.4522799459371871</v>
      </c>
      <c r="Y111" s="1">
        <f t="shared" ca="1" si="92"/>
        <v>0.38397765498064523</v>
      </c>
      <c r="Z111" s="1">
        <f t="shared" ca="1" si="93"/>
        <v>1400</v>
      </c>
      <c r="AB111" s="1">
        <f t="shared" ca="1" si="94"/>
        <v>0.70184859570298441</v>
      </c>
      <c r="AC111" s="1">
        <f t="shared" ca="1" si="95"/>
        <v>910</v>
      </c>
      <c r="AD111" s="1">
        <f t="shared" ca="1" si="96"/>
        <v>3.741963651384708E-3</v>
      </c>
      <c r="AE111" s="1"/>
      <c r="AF111" s="1">
        <f t="shared" ca="1" si="97"/>
        <v>0.31552105119505114</v>
      </c>
      <c r="AG111" s="1">
        <f t="shared" ca="1" si="98"/>
        <v>874</v>
      </c>
      <c r="AH111" s="1">
        <f t="shared" ca="1" si="99"/>
        <v>8.1746179477331111E-3</v>
      </c>
      <c r="AJ111" s="1">
        <f t="shared" ca="1" si="100"/>
        <v>8.3021781300247954E-2</v>
      </c>
      <c r="AK111" s="1">
        <f t="shared" ca="1" si="101"/>
        <v>7.1953495296955285E-4</v>
      </c>
      <c r="AL111" s="1"/>
      <c r="AM111" s="1">
        <f t="shared" ca="1" si="102"/>
        <v>7.3786899063164935E-2</v>
      </c>
      <c r="AN111" s="1">
        <f t="shared" ca="1" si="103"/>
        <v>45</v>
      </c>
      <c r="AO111" s="1">
        <f t="shared" ca="1" si="104"/>
        <v>12</v>
      </c>
      <c r="AQ111" s="1">
        <f t="shared" ca="1" si="105"/>
        <v>71</v>
      </c>
      <c r="AR111" s="1">
        <f t="shared" ca="1" si="106"/>
        <v>7</v>
      </c>
      <c r="AS111" s="1">
        <f t="shared" ca="1" si="107"/>
        <v>23</v>
      </c>
      <c r="AU111" s="1">
        <f t="shared" ca="1" si="108"/>
        <v>178</v>
      </c>
      <c r="AV111" s="1">
        <f t="shared" ca="1" si="109"/>
        <v>7</v>
      </c>
      <c r="AW111" s="1">
        <f t="shared" ca="1" si="110"/>
        <v>6.7412744886508905E-2</v>
      </c>
      <c r="AY111" s="1">
        <f t="shared" ca="1" si="111"/>
        <v>1.1352279675398063</v>
      </c>
      <c r="AZ111" s="1">
        <f t="shared" ca="1" si="112"/>
        <v>114</v>
      </c>
      <c r="BA111" s="1">
        <f t="shared" ca="1" si="113"/>
        <v>5.2844532525147684E-3</v>
      </c>
      <c r="BG111" s="1">
        <f t="shared" ca="1" si="114"/>
        <v>0.99873720157721413</v>
      </c>
      <c r="BH111" s="1">
        <f t="shared" ca="1" si="115"/>
        <v>0.38956393159775926</v>
      </c>
      <c r="BI111" s="1">
        <f t="shared" ca="1" si="116"/>
        <v>646</v>
      </c>
      <c r="BV111" s="1">
        <f t="shared" ca="1" si="117"/>
        <v>0.47601462749314111</v>
      </c>
      <c r="BW111" s="1">
        <f t="shared" ca="1" si="118"/>
        <v>630</v>
      </c>
      <c r="BX111" s="1">
        <f t="shared" ca="1" si="119"/>
        <v>4.537394477674879E-4</v>
      </c>
      <c r="BY111" s="1">
        <f t="shared" ca="1" si="120"/>
        <v>6.930469415358298E-2</v>
      </c>
      <c r="BZ111" s="1">
        <f t="shared" ca="1" si="121"/>
        <v>0.83922926135643183</v>
      </c>
      <c r="CB111" s="1">
        <f t="shared" ca="1" si="122"/>
        <v>133</v>
      </c>
      <c r="CC111" s="1">
        <f t="shared" ca="1" si="123"/>
        <v>9</v>
      </c>
      <c r="CD111" s="1">
        <f t="shared" ca="1" si="124"/>
        <v>4.0333953683016691E-2</v>
      </c>
      <c r="CE111" s="1">
        <f t="shared" ca="1" si="146"/>
        <v>0.76487473365801595</v>
      </c>
      <c r="CF111" s="1">
        <f t="shared" ca="1" si="146"/>
        <v>0.92242624551427721</v>
      </c>
      <c r="CH111" s="3">
        <f t="shared" ca="1" si="126"/>
        <v>0.48084249985822836</v>
      </c>
      <c r="CI111" s="3">
        <f t="shared" ca="1" si="127"/>
        <v>0.25382531253388269</v>
      </c>
      <c r="CJ111" s="3">
        <f t="shared" ca="1" si="128"/>
        <v>483</v>
      </c>
      <c r="CK111" s="3">
        <f t="shared" ca="1" si="129"/>
        <v>3.0066405124455457E-4</v>
      </c>
      <c r="CL111" s="3">
        <f t="shared" ca="1" si="130"/>
        <v>1</v>
      </c>
      <c r="CM111" s="3"/>
      <c r="CN111" s="1">
        <f t="shared" ca="1" si="131"/>
        <v>18.962218459949497</v>
      </c>
      <c r="CO111" s="1">
        <f t="shared" ca="1" si="132"/>
        <v>0.31194964117222834</v>
      </c>
      <c r="CP111" s="1">
        <f t="shared" ca="1" si="133"/>
        <v>4</v>
      </c>
      <c r="CV111" s="1">
        <f t="shared" ca="1" si="134"/>
        <v>6.5920670284588621</v>
      </c>
      <c r="CW111" s="1">
        <f t="shared" ca="1" si="135"/>
        <v>1799</v>
      </c>
      <c r="CX111" s="1">
        <f t="shared" ca="1" si="136"/>
        <v>1.3978470938223277E-3</v>
      </c>
      <c r="DH111" s="1">
        <f t="shared" ca="1" si="137"/>
        <v>344</v>
      </c>
      <c r="DI111" s="1">
        <f t="shared" ca="1" si="138"/>
        <v>0.81843978870980705</v>
      </c>
      <c r="DJ111" s="1">
        <f t="shared" ca="1" si="139"/>
        <v>8</v>
      </c>
      <c r="DL111" s="1">
        <f t="shared" ca="1" si="140"/>
        <v>0.11646075816123561</v>
      </c>
      <c r="DM111" s="1">
        <f t="shared" ca="1" si="141"/>
        <v>98</v>
      </c>
      <c r="DN111" s="1">
        <f t="shared" ca="1" si="142"/>
        <v>8</v>
      </c>
      <c r="DW111" s="1">
        <f t="shared" ca="1" si="143"/>
        <v>223</v>
      </c>
      <c r="DX111" s="1">
        <f t="shared" ca="1" si="144"/>
        <v>5</v>
      </c>
      <c r="DY111" s="1">
        <f t="shared" ca="1" si="145"/>
        <v>2</v>
      </c>
    </row>
    <row r="112" spans="2:129" x14ac:dyDescent="0.25">
      <c r="B112">
        <f t="shared" ca="1" si="75"/>
        <v>960</v>
      </c>
      <c r="C112">
        <f t="shared" ca="1" si="76"/>
        <v>40</v>
      </c>
      <c r="D112">
        <f t="shared" ca="1" si="77"/>
        <v>0.16529206987503328</v>
      </c>
      <c r="F112" s="1">
        <f t="shared" ca="1" si="78"/>
        <v>25</v>
      </c>
      <c r="G112" s="1">
        <f t="shared" ca="1" si="79"/>
        <v>6</v>
      </c>
      <c r="H112" s="1">
        <f t="shared" ca="1" si="80"/>
        <v>6</v>
      </c>
      <c r="I112" s="1"/>
      <c r="J112" s="1">
        <f t="shared" ca="1" si="81"/>
        <v>26</v>
      </c>
      <c r="K112" s="1">
        <f t="shared" ca="1" si="82"/>
        <v>2.5733483705568592</v>
      </c>
      <c r="L112" s="1">
        <f t="shared" ca="1" si="83"/>
        <v>3</v>
      </c>
      <c r="M112" s="1"/>
      <c r="N112" s="1">
        <f t="shared" ca="1" si="84"/>
        <v>421</v>
      </c>
      <c r="O112" s="1">
        <f t="shared" ca="1" si="85"/>
        <v>44</v>
      </c>
      <c r="P112" s="1"/>
      <c r="Q112" s="1">
        <f t="shared" ca="1" si="86"/>
        <v>4.2539170965337849</v>
      </c>
      <c r="R112" s="1">
        <f t="shared" ca="1" si="87"/>
        <v>877</v>
      </c>
      <c r="S112" s="1"/>
      <c r="T112" s="1">
        <f t="shared" ca="1" si="88"/>
        <v>9.0143517131838227E-2</v>
      </c>
      <c r="U112" s="1">
        <f t="shared" ca="1" si="89"/>
        <v>402</v>
      </c>
      <c r="V112" s="1">
        <f t="shared" ca="1" si="90"/>
        <v>25</v>
      </c>
      <c r="W112" s="1"/>
      <c r="X112" s="1">
        <f t="shared" ca="1" si="91"/>
        <v>1.4740107723715121</v>
      </c>
      <c r="Y112" s="1">
        <f t="shared" ca="1" si="92"/>
        <v>0.30066564489980208</v>
      </c>
      <c r="Z112" s="1">
        <f t="shared" ca="1" si="93"/>
        <v>1140</v>
      </c>
      <c r="AB112" s="1">
        <f t="shared" ca="1" si="94"/>
        <v>0.63679338528703533</v>
      </c>
      <c r="AC112" s="1">
        <f t="shared" ca="1" si="95"/>
        <v>151</v>
      </c>
      <c r="AD112" s="1">
        <f t="shared" ca="1" si="96"/>
        <v>9.5184065784077211E-3</v>
      </c>
      <c r="AE112" s="1"/>
      <c r="AF112" s="1">
        <f t="shared" ca="1" si="97"/>
        <v>0.60083072265779114</v>
      </c>
      <c r="AG112" s="1">
        <f t="shared" ca="1" si="98"/>
        <v>423</v>
      </c>
      <c r="AH112" s="1">
        <f t="shared" ca="1" si="99"/>
        <v>5.2562478108778175E-3</v>
      </c>
      <c r="AJ112" s="1">
        <f t="shared" ca="1" si="100"/>
        <v>0.97370000244982258</v>
      </c>
      <c r="AK112" s="1">
        <f t="shared" ca="1" si="101"/>
        <v>4.2219274697691423E-3</v>
      </c>
      <c r="AL112" s="1"/>
      <c r="AM112" s="1">
        <f t="shared" ca="1" si="102"/>
        <v>0.11982176485202785</v>
      </c>
      <c r="AN112" s="1">
        <f t="shared" ca="1" si="103"/>
        <v>68</v>
      </c>
      <c r="AO112" s="1">
        <f t="shared" ca="1" si="104"/>
        <v>6</v>
      </c>
      <c r="AQ112" s="1">
        <f t="shared" ca="1" si="105"/>
        <v>138</v>
      </c>
      <c r="AR112" s="1">
        <f t="shared" ca="1" si="106"/>
        <v>5</v>
      </c>
      <c r="AS112" s="1">
        <f t="shared" ca="1" si="107"/>
        <v>82</v>
      </c>
      <c r="AU112" s="1">
        <f t="shared" ca="1" si="108"/>
        <v>236</v>
      </c>
      <c r="AV112" s="1">
        <f t="shared" ca="1" si="109"/>
        <v>2</v>
      </c>
      <c r="AW112" s="1">
        <f t="shared" ca="1" si="110"/>
        <v>5.601729031965029E-2</v>
      </c>
      <c r="AY112" s="1">
        <f t="shared" ca="1" si="111"/>
        <v>1.968461129960958</v>
      </c>
      <c r="AZ112" s="1">
        <f t="shared" ca="1" si="112"/>
        <v>219</v>
      </c>
      <c r="BA112" s="1">
        <f t="shared" ca="1" si="113"/>
        <v>1.5414678657024786E-3</v>
      </c>
      <c r="BG112" s="1">
        <f t="shared" ca="1" si="114"/>
        <v>0.90522170980552408</v>
      </c>
      <c r="BH112" s="1">
        <f t="shared" ca="1" si="115"/>
        <v>0.22130879045787355</v>
      </c>
      <c r="BI112" s="1">
        <f t="shared" ca="1" si="116"/>
        <v>249</v>
      </c>
      <c r="BV112" s="1">
        <f t="shared" ca="1" si="117"/>
        <v>0.2076305969030865</v>
      </c>
      <c r="BW112" s="1">
        <f t="shared" ca="1" si="118"/>
        <v>366</v>
      </c>
      <c r="BX112" s="1">
        <f t="shared" ca="1" si="119"/>
        <v>5.0338968597005238E-3</v>
      </c>
      <c r="BY112" s="1">
        <f t="shared" ca="1" si="120"/>
        <v>8.011232562599159E-2</v>
      </c>
      <c r="BZ112" s="1">
        <f t="shared" ca="1" si="121"/>
        <v>0.37007616619085937</v>
      </c>
      <c r="CB112" s="1">
        <f t="shared" ca="1" si="122"/>
        <v>54</v>
      </c>
      <c r="CC112" s="1">
        <f t="shared" ca="1" si="123"/>
        <v>13</v>
      </c>
      <c r="CD112" s="1">
        <f t="shared" ca="1" si="124"/>
        <v>0.26677753839222368</v>
      </c>
      <c r="CE112" s="1">
        <f t="shared" ca="1" si="146"/>
        <v>0.88416131983308655</v>
      </c>
      <c r="CF112" s="1">
        <f t="shared" ca="1" si="146"/>
        <v>0.62322856335522725</v>
      </c>
      <c r="CH112" s="3">
        <f t="shared" ca="1" si="126"/>
        <v>0.62467937179093436</v>
      </c>
      <c r="CI112" s="3">
        <f t="shared" ca="1" si="127"/>
        <v>0.30485108760851376</v>
      </c>
      <c r="CJ112" s="3">
        <f t="shared" ca="1" si="128"/>
        <v>200</v>
      </c>
      <c r="CK112" s="3">
        <f t="shared" ca="1" si="129"/>
        <v>4.3469467843037363E-4</v>
      </c>
      <c r="CL112" s="3">
        <f t="shared" ca="1" si="130"/>
        <v>1</v>
      </c>
      <c r="CM112" s="3"/>
      <c r="CN112" s="1">
        <f t="shared" ca="1" si="131"/>
        <v>10.510924961285548</v>
      </c>
      <c r="CO112" s="1">
        <f t="shared" ca="1" si="132"/>
        <v>0.28287507618836161</v>
      </c>
      <c r="CP112" s="1">
        <f t="shared" ca="1" si="133"/>
        <v>4</v>
      </c>
      <c r="CV112" s="1">
        <f t="shared" ca="1" si="134"/>
        <v>9.835101495677339</v>
      </c>
      <c r="CW112" s="1">
        <f t="shared" ca="1" si="135"/>
        <v>1819</v>
      </c>
      <c r="CX112" s="1">
        <f t="shared" ca="1" si="136"/>
        <v>1.9151793283064863E-3</v>
      </c>
      <c r="DH112" s="1">
        <f t="shared" ca="1" si="137"/>
        <v>191</v>
      </c>
      <c r="DI112" s="1">
        <f t="shared" ca="1" si="138"/>
        <v>0.77844158293808186</v>
      </c>
      <c r="DJ112" s="1">
        <f t="shared" ca="1" si="139"/>
        <v>7</v>
      </c>
      <c r="DL112" s="1">
        <f t="shared" ca="1" si="140"/>
        <v>9.5214709727129448E-2</v>
      </c>
      <c r="DM112" s="1">
        <f t="shared" ca="1" si="141"/>
        <v>139</v>
      </c>
      <c r="DN112" s="1">
        <f t="shared" ca="1" si="142"/>
        <v>9</v>
      </c>
      <c r="DW112" s="1">
        <f t="shared" ca="1" si="143"/>
        <v>145</v>
      </c>
      <c r="DX112" s="1">
        <f t="shared" ca="1" si="144"/>
        <v>13</v>
      </c>
      <c r="DY112" s="1">
        <f t="shared" ca="1" si="145"/>
        <v>17</v>
      </c>
    </row>
    <row r="113" spans="2:129" x14ac:dyDescent="0.25">
      <c r="B113">
        <f t="shared" ca="1" si="75"/>
        <v>410</v>
      </c>
      <c r="C113">
        <f t="shared" ca="1" si="76"/>
        <v>16</v>
      </c>
      <c r="D113">
        <f t="shared" ca="1" si="77"/>
        <v>0.13378804920741991</v>
      </c>
      <c r="F113" s="1">
        <f t="shared" ca="1" si="78"/>
        <v>5</v>
      </c>
      <c r="G113" s="1">
        <f t="shared" ca="1" si="79"/>
        <v>9</v>
      </c>
      <c r="H113" s="1">
        <f t="shared" ca="1" si="80"/>
        <v>7</v>
      </c>
      <c r="I113" s="1"/>
      <c r="J113" s="1">
        <f t="shared" ca="1" si="81"/>
        <v>8</v>
      </c>
      <c r="K113" s="1">
        <f t="shared" ca="1" si="82"/>
        <v>1.3817035192042821</v>
      </c>
      <c r="L113" s="1">
        <f t="shared" ca="1" si="83"/>
        <v>28</v>
      </c>
      <c r="M113" s="1"/>
      <c r="N113" s="1">
        <f t="shared" ca="1" si="84"/>
        <v>506</v>
      </c>
      <c r="O113" s="1">
        <f t="shared" ca="1" si="85"/>
        <v>19</v>
      </c>
      <c r="P113" s="1"/>
      <c r="Q113" s="1">
        <f t="shared" ca="1" si="86"/>
        <v>2.0769896671925845</v>
      </c>
      <c r="R113" s="1">
        <f t="shared" ca="1" si="87"/>
        <v>993</v>
      </c>
      <c r="S113" s="1"/>
      <c r="T113" s="1">
        <f t="shared" ca="1" si="88"/>
        <v>0.16947242510253149</v>
      </c>
      <c r="U113" s="1">
        <f t="shared" ca="1" si="89"/>
        <v>183</v>
      </c>
      <c r="V113" s="1">
        <f t="shared" ca="1" si="90"/>
        <v>50</v>
      </c>
      <c r="W113" s="1"/>
      <c r="X113" s="1">
        <f t="shared" ca="1" si="91"/>
        <v>9.672468226838534</v>
      </c>
      <c r="Y113" s="1">
        <f t="shared" ca="1" si="92"/>
        <v>0.29433707455426367</v>
      </c>
      <c r="Z113" s="1">
        <f t="shared" ca="1" si="93"/>
        <v>1786</v>
      </c>
      <c r="AB113" s="1">
        <f t="shared" ca="1" si="94"/>
        <v>0.45633740316452592</v>
      </c>
      <c r="AC113" s="1">
        <f t="shared" ca="1" si="95"/>
        <v>152</v>
      </c>
      <c r="AD113" s="1">
        <f t="shared" ca="1" si="96"/>
        <v>7.3999065966524188E-3</v>
      </c>
      <c r="AE113" s="1"/>
      <c r="AF113" s="1">
        <f t="shared" ca="1" si="97"/>
        <v>0.42823747631940534</v>
      </c>
      <c r="AG113" s="1">
        <f t="shared" ca="1" si="98"/>
        <v>334</v>
      </c>
      <c r="AH113" s="1">
        <f t="shared" ca="1" si="99"/>
        <v>6.3077916780207733E-3</v>
      </c>
      <c r="AJ113" s="1">
        <f t="shared" ca="1" si="100"/>
        <v>0.34155135626297017</v>
      </c>
      <c r="AK113" s="1">
        <f t="shared" ca="1" si="101"/>
        <v>3.1784493420511928E-3</v>
      </c>
      <c r="AL113" s="1"/>
      <c r="AM113" s="1">
        <f t="shared" ca="1" si="102"/>
        <v>0.14424464993397407</v>
      </c>
      <c r="AN113" s="1">
        <f t="shared" ca="1" si="103"/>
        <v>76</v>
      </c>
      <c r="AO113" s="1">
        <f t="shared" ca="1" si="104"/>
        <v>17</v>
      </c>
      <c r="AQ113" s="1">
        <f t="shared" ca="1" si="105"/>
        <v>141</v>
      </c>
      <c r="AR113" s="1">
        <f t="shared" ca="1" si="106"/>
        <v>9</v>
      </c>
      <c r="AS113" s="1">
        <f t="shared" ca="1" si="107"/>
        <v>64</v>
      </c>
      <c r="AU113" s="1">
        <f t="shared" ca="1" si="108"/>
        <v>252</v>
      </c>
      <c r="AV113" s="1">
        <f t="shared" ca="1" si="109"/>
        <v>10</v>
      </c>
      <c r="AW113" s="1">
        <f t="shared" ca="1" si="110"/>
        <v>0.17400943623371337</v>
      </c>
      <c r="AY113" s="1">
        <f t="shared" ca="1" si="111"/>
        <v>1.6899448058065141</v>
      </c>
      <c r="AZ113" s="1">
        <f t="shared" ca="1" si="112"/>
        <v>334</v>
      </c>
      <c r="BA113" s="1">
        <f t="shared" ca="1" si="113"/>
        <v>4.5153801201583028E-3</v>
      </c>
      <c r="BG113" s="1">
        <f t="shared" ca="1" si="114"/>
        <v>0.25424256482571206</v>
      </c>
      <c r="BH113" s="1">
        <f t="shared" ca="1" si="115"/>
        <v>8.160056057942644E-2</v>
      </c>
      <c r="BI113" s="1">
        <f t="shared" ca="1" si="116"/>
        <v>389</v>
      </c>
      <c r="BV113" s="1">
        <f t="shared" ca="1" si="117"/>
        <v>0.31186163409174755</v>
      </c>
      <c r="BW113" s="1">
        <f t="shared" ca="1" si="118"/>
        <v>902</v>
      </c>
      <c r="BX113" s="1">
        <f t="shared" ca="1" si="119"/>
        <v>8.1538036528077795E-3</v>
      </c>
      <c r="BY113" s="1">
        <f t="shared" ca="1" si="120"/>
        <v>2.8410528343728893E-2</v>
      </c>
      <c r="BZ113" s="1">
        <f t="shared" ca="1" si="121"/>
        <v>0.7863471979445702</v>
      </c>
      <c r="CB113" s="1">
        <f t="shared" ca="1" si="122"/>
        <v>458</v>
      </c>
      <c r="CC113" s="1">
        <f t="shared" ca="1" si="123"/>
        <v>12</v>
      </c>
      <c r="CD113" s="1">
        <f t="shared" ca="1" si="124"/>
        <v>1.9650891236374077E-2</v>
      </c>
      <c r="CE113" s="1">
        <f t="shared" ca="1" si="146"/>
        <v>0.92894553047431905</v>
      </c>
      <c r="CF113" s="1">
        <f t="shared" ca="1" si="146"/>
        <v>0.51425693986123544</v>
      </c>
      <c r="CH113" s="3">
        <f t="shared" ca="1" si="126"/>
        <v>0.49136765583165293</v>
      </c>
      <c r="CI113" s="3">
        <f t="shared" ca="1" si="127"/>
        <v>0.41587336466240576</v>
      </c>
      <c r="CJ113" s="3">
        <f t="shared" ca="1" si="128"/>
        <v>1967</v>
      </c>
      <c r="CK113" s="3">
        <f t="shared" ca="1" si="129"/>
        <v>2.0906493262845263E-3</v>
      </c>
      <c r="CL113" s="3">
        <f t="shared" ca="1" si="130"/>
        <v>0</v>
      </c>
      <c r="CM113" s="3"/>
      <c r="CN113" s="1">
        <f t="shared" ca="1" si="131"/>
        <v>16.605269531358683</v>
      </c>
      <c r="CO113" s="1">
        <f t="shared" ca="1" si="132"/>
        <v>9.8366916781746194E-2</v>
      </c>
      <c r="CP113" s="1">
        <f t="shared" ca="1" si="133"/>
        <v>1</v>
      </c>
      <c r="CV113" s="1">
        <f t="shared" ca="1" si="134"/>
        <v>7.1225910786664919</v>
      </c>
      <c r="CW113" s="1">
        <f t="shared" ca="1" si="135"/>
        <v>309</v>
      </c>
      <c r="CX113" s="1">
        <f t="shared" ca="1" si="136"/>
        <v>4.259719784953959E-3</v>
      </c>
      <c r="DH113" s="1">
        <f t="shared" ca="1" si="137"/>
        <v>544</v>
      </c>
      <c r="DI113" s="1">
        <f t="shared" ca="1" si="138"/>
        <v>0.10107841129819319</v>
      </c>
      <c r="DJ113" s="1">
        <f t="shared" ca="1" si="139"/>
        <v>8</v>
      </c>
      <c r="DL113" s="1">
        <f t="shared" ca="1" si="140"/>
        <v>0.1258386639734182</v>
      </c>
      <c r="DM113" s="1">
        <f t="shared" ca="1" si="141"/>
        <v>87</v>
      </c>
      <c r="DN113" s="1">
        <f t="shared" ca="1" si="142"/>
        <v>3</v>
      </c>
      <c r="DW113" s="1">
        <f t="shared" ca="1" si="143"/>
        <v>65</v>
      </c>
      <c r="DX113" s="1">
        <f t="shared" ca="1" si="144"/>
        <v>3</v>
      </c>
      <c r="DY113" s="1">
        <f t="shared" ca="1" si="145"/>
        <v>10</v>
      </c>
    </row>
    <row r="114" spans="2:129" x14ac:dyDescent="0.25">
      <c r="B114">
        <f t="shared" ca="1" si="75"/>
        <v>273</v>
      </c>
      <c r="C114">
        <f t="shared" ca="1" si="76"/>
        <v>41</v>
      </c>
      <c r="D114">
        <f t="shared" ca="1" si="77"/>
        <v>9.309174628103728E-2</v>
      </c>
      <c r="F114" s="1">
        <f t="shared" ca="1" si="78"/>
        <v>12</v>
      </c>
      <c r="G114" s="1">
        <f t="shared" ca="1" si="79"/>
        <v>9</v>
      </c>
      <c r="H114" s="1">
        <f t="shared" ca="1" si="80"/>
        <v>10</v>
      </c>
      <c r="I114" s="1"/>
      <c r="J114" s="1">
        <f t="shared" ca="1" si="81"/>
        <v>36</v>
      </c>
      <c r="K114" s="1">
        <f t="shared" ca="1" si="82"/>
        <v>2.2055253701128623</v>
      </c>
      <c r="L114" s="1">
        <f t="shared" ca="1" si="83"/>
        <v>7</v>
      </c>
      <c r="M114" s="1"/>
      <c r="N114" s="1">
        <f t="shared" ca="1" si="84"/>
        <v>953</v>
      </c>
      <c r="O114" s="1">
        <f t="shared" ca="1" si="85"/>
        <v>33</v>
      </c>
      <c r="P114" s="1"/>
      <c r="Q114" s="1">
        <f t="shared" ca="1" si="86"/>
        <v>3.683554604444033</v>
      </c>
      <c r="R114" s="1">
        <f t="shared" ca="1" si="87"/>
        <v>711</v>
      </c>
      <c r="S114" s="1"/>
      <c r="T114" s="1">
        <f t="shared" ca="1" si="88"/>
        <v>0.17533952290997359</v>
      </c>
      <c r="U114" s="1">
        <f t="shared" ca="1" si="89"/>
        <v>363</v>
      </c>
      <c r="V114" s="1">
        <f t="shared" ca="1" si="90"/>
        <v>12</v>
      </c>
      <c r="W114" s="1"/>
      <c r="X114" s="1">
        <f t="shared" ca="1" si="91"/>
        <v>8.0062528363479988</v>
      </c>
      <c r="Y114" s="1">
        <f t="shared" ca="1" si="92"/>
        <v>0.5697131275501337</v>
      </c>
      <c r="Z114" s="1">
        <f t="shared" ca="1" si="93"/>
        <v>1612</v>
      </c>
      <c r="AB114" s="1">
        <f t="shared" ca="1" si="94"/>
        <v>0.74483662444288734</v>
      </c>
      <c r="AC114" s="1">
        <f t="shared" ca="1" si="95"/>
        <v>769</v>
      </c>
      <c r="AD114" s="1">
        <f t="shared" ca="1" si="96"/>
        <v>3.1887461517507247E-4</v>
      </c>
      <c r="AE114" s="1"/>
      <c r="AF114" s="1">
        <f t="shared" ca="1" si="97"/>
        <v>0.54158804791521142</v>
      </c>
      <c r="AG114" s="1">
        <f t="shared" ca="1" si="98"/>
        <v>729</v>
      </c>
      <c r="AH114" s="1">
        <f t="shared" ca="1" si="99"/>
        <v>9.1118911832962415E-3</v>
      </c>
      <c r="AJ114" s="1">
        <f t="shared" ca="1" si="100"/>
        <v>0.14614650887916913</v>
      </c>
      <c r="AK114" s="1">
        <f t="shared" ca="1" si="101"/>
        <v>4.8548234803372338E-3</v>
      </c>
      <c r="AL114" s="1"/>
      <c r="AM114" s="1">
        <f t="shared" ca="1" si="102"/>
        <v>0.1963696349797775</v>
      </c>
      <c r="AN114" s="1">
        <f t="shared" ca="1" si="103"/>
        <v>73</v>
      </c>
      <c r="AO114" s="1">
        <f t="shared" ca="1" si="104"/>
        <v>6</v>
      </c>
      <c r="AQ114" s="1">
        <f t="shared" ca="1" si="105"/>
        <v>30</v>
      </c>
      <c r="AR114" s="1">
        <f t="shared" ca="1" si="106"/>
        <v>3</v>
      </c>
      <c r="AS114" s="1">
        <f t="shared" ca="1" si="107"/>
        <v>38</v>
      </c>
      <c r="AU114" s="1">
        <f t="shared" ca="1" si="108"/>
        <v>73</v>
      </c>
      <c r="AV114" s="1">
        <f t="shared" ca="1" si="109"/>
        <v>4</v>
      </c>
      <c r="AW114" s="1">
        <f t="shared" ca="1" si="110"/>
        <v>0.10379948447890348</v>
      </c>
      <c r="AY114" s="1">
        <f t="shared" ca="1" si="111"/>
        <v>1.4200685718170829</v>
      </c>
      <c r="AZ114" s="1">
        <f t="shared" ca="1" si="112"/>
        <v>272</v>
      </c>
      <c r="BA114" s="1">
        <f t="shared" ca="1" si="113"/>
        <v>2.1245186820466081E-3</v>
      </c>
      <c r="BG114" s="1">
        <f t="shared" ca="1" si="114"/>
        <v>0.35828634145847199</v>
      </c>
      <c r="BH114" s="1">
        <f t="shared" ca="1" si="115"/>
        <v>0.44048277140064029</v>
      </c>
      <c r="BI114" s="1">
        <f t="shared" ca="1" si="116"/>
        <v>691</v>
      </c>
      <c r="BV114" s="1">
        <f t="shared" ca="1" si="117"/>
        <v>0.4511741886150028</v>
      </c>
      <c r="BW114" s="1">
        <f t="shared" ca="1" si="118"/>
        <v>102</v>
      </c>
      <c r="BX114" s="1">
        <f t="shared" ca="1" si="119"/>
        <v>5.2618932335357083E-3</v>
      </c>
      <c r="BY114" s="1">
        <f t="shared" ca="1" si="120"/>
        <v>1.8187041641096767E-2</v>
      </c>
      <c r="BZ114" s="1">
        <f t="shared" ca="1" si="121"/>
        <v>0.53867825830387839</v>
      </c>
      <c r="CB114" s="1">
        <f t="shared" ca="1" si="122"/>
        <v>335</v>
      </c>
      <c r="CC114" s="1">
        <f t="shared" ca="1" si="123"/>
        <v>5</v>
      </c>
      <c r="CD114" s="1">
        <f t="shared" ca="1" si="124"/>
        <v>0.26103248258610906</v>
      </c>
      <c r="CE114" s="1">
        <f t="shared" ca="1" si="146"/>
        <v>0.56888871459938128</v>
      </c>
      <c r="CF114" s="1">
        <f t="shared" ca="1" si="146"/>
        <v>0.5463377747110052</v>
      </c>
      <c r="CH114" s="3">
        <f t="shared" ca="1" si="126"/>
        <v>0.8392725630917206</v>
      </c>
      <c r="CI114" s="3">
        <f t="shared" ca="1" si="127"/>
        <v>0.97734860955417491</v>
      </c>
      <c r="CJ114" s="3">
        <f t="shared" ca="1" si="128"/>
        <v>521</v>
      </c>
      <c r="CK114" s="3">
        <f t="shared" ca="1" si="129"/>
        <v>8.1664484649328715E-3</v>
      </c>
      <c r="CL114" s="3">
        <f t="shared" ca="1" si="130"/>
        <v>1</v>
      </c>
      <c r="CM114" s="3"/>
      <c r="CN114" s="1">
        <f t="shared" ca="1" si="131"/>
        <v>6.7037782252228979</v>
      </c>
      <c r="CO114" s="1">
        <f t="shared" ca="1" si="132"/>
        <v>0.15175107266748256</v>
      </c>
      <c r="CP114" s="1">
        <f t="shared" ca="1" si="133"/>
        <v>2</v>
      </c>
      <c r="CV114" s="1">
        <f t="shared" ca="1" si="134"/>
        <v>4.7630715422048437</v>
      </c>
      <c r="CW114" s="1">
        <f t="shared" ca="1" si="135"/>
        <v>1961</v>
      </c>
      <c r="CX114" s="1">
        <f t="shared" ca="1" si="136"/>
        <v>5.4404011408731414E-3</v>
      </c>
      <c r="DH114" s="1">
        <f t="shared" ca="1" si="137"/>
        <v>421</v>
      </c>
      <c r="DI114" s="1">
        <f t="shared" ca="1" si="138"/>
        <v>0.74258480994659182</v>
      </c>
      <c r="DJ114" s="1">
        <f t="shared" ca="1" si="139"/>
        <v>3</v>
      </c>
      <c r="DL114" s="1">
        <f t="shared" ca="1" si="140"/>
        <v>6.8551653085285671E-2</v>
      </c>
      <c r="DM114" s="1">
        <f t="shared" ca="1" si="141"/>
        <v>229</v>
      </c>
      <c r="DN114" s="1">
        <f t="shared" ca="1" si="142"/>
        <v>8</v>
      </c>
      <c r="DW114" s="1">
        <f t="shared" ca="1" si="143"/>
        <v>266</v>
      </c>
      <c r="DX114" s="1">
        <f t="shared" ca="1" si="144"/>
        <v>9</v>
      </c>
      <c r="DY114" s="1">
        <f t="shared" ca="1" si="145"/>
        <v>10</v>
      </c>
    </row>
    <row r="115" spans="2:129" x14ac:dyDescent="0.25">
      <c r="B115">
        <f t="shared" ca="1" si="75"/>
        <v>846</v>
      </c>
      <c r="C115">
        <f t="shared" ca="1" si="76"/>
        <v>15</v>
      </c>
      <c r="D115">
        <f t="shared" ca="1" si="77"/>
        <v>0.26009291769146714</v>
      </c>
      <c r="F115" s="1">
        <f t="shared" ca="1" si="78"/>
        <v>13</v>
      </c>
      <c r="G115" s="1">
        <f t="shared" ca="1" si="79"/>
        <v>19</v>
      </c>
      <c r="H115" s="1">
        <f t="shared" ca="1" si="80"/>
        <v>14</v>
      </c>
      <c r="I115" s="1"/>
      <c r="J115" s="1">
        <f t="shared" ca="1" si="81"/>
        <v>23</v>
      </c>
      <c r="K115" s="1">
        <f t="shared" ca="1" si="82"/>
        <v>1.9317616575502334</v>
      </c>
      <c r="L115" s="1">
        <f t="shared" ca="1" si="83"/>
        <v>14</v>
      </c>
      <c r="M115" s="1"/>
      <c r="N115" s="1">
        <f t="shared" ca="1" si="84"/>
        <v>325</v>
      </c>
      <c r="O115" s="1">
        <f t="shared" ca="1" si="85"/>
        <v>18</v>
      </c>
      <c r="P115" s="1"/>
      <c r="Q115" s="1">
        <f t="shared" ca="1" si="86"/>
        <v>4.9036179256909316</v>
      </c>
      <c r="R115" s="1">
        <f t="shared" ca="1" si="87"/>
        <v>682</v>
      </c>
      <c r="S115" s="1"/>
      <c r="T115" s="1">
        <f t="shared" ca="1" si="88"/>
        <v>0.12919376636908911</v>
      </c>
      <c r="U115" s="1">
        <f t="shared" ca="1" si="89"/>
        <v>295</v>
      </c>
      <c r="V115" s="1">
        <f t="shared" ca="1" si="90"/>
        <v>28</v>
      </c>
      <c r="W115" s="1"/>
      <c r="X115" s="1">
        <f t="shared" ca="1" si="91"/>
        <v>6.9699561781278128</v>
      </c>
      <c r="Y115" s="1">
        <f t="shared" ca="1" si="92"/>
        <v>0.1010890676938091</v>
      </c>
      <c r="Z115" s="1">
        <f t="shared" ca="1" si="93"/>
        <v>512</v>
      </c>
      <c r="AB115" s="1">
        <f t="shared" ca="1" si="94"/>
        <v>0.2337261334135402</v>
      </c>
      <c r="AC115" s="1">
        <f t="shared" ca="1" si="95"/>
        <v>373</v>
      </c>
      <c r="AD115" s="1">
        <f t="shared" ca="1" si="96"/>
        <v>5.6055940042266019E-3</v>
      </c>
      <c r="AE115" s="1"/>
      <c r="AF115" s="1">
        <f t="shared" ca="1" si="97"/>
        <v>0.54775942200798167</v>
      </c>
      <c r="AG115" s="1">
        <f t="shared" ca="1" si="98"/>
        <v>733</v>
      </c>
      <c r="AH115" s="1">
        <f t="shared" ca="1" si="99"/>
        <v>9.5210243607911256E-3</v>
      </c>
      <c r="AJ115" s="1">
        <f t="shared" ca="1" si="100"/>
        <v>0.54162401953946171</v>
      </c>
      <c r="AK115" s="1">
        <f t="shared" ca="1" si="101"/>
        <v>9.551326748830781E-3</v>
      </c>
      <c r="AL115" s="1"/>
      <c r="AM115" s="1">
        <f t="shared" ca="1" si="102"/>
        <v>0.10626444743031456</v>
      </c>
      <c r="AN115" s="1">
        <f t="shared" ca="1" si="103"/>
        <v>42</v>
      </c>
      <c r="AO115" s="1">
        <f t="shared" ca="1" si="104"/>
        <v>4</v>
      </c>
      <c r="AQ115" s="1">
        <f t="shared" ca="1" si="105"/>
        <v>155</v>
      </c>
      <c r="AR115" s="1">
        <f t="shared" ca="1" si="106"/>
        <v>2</v>
      </c>
      <c r="AS115" s="1">
        <f t="shared" ca="1" si="107"/>
        <v>79</v>
      </c>
      <c r="AU115" s="1">
        <f t="shared" ca="1" si="108"/>
        <v>50</v>
      </c>
      <c r="AV115" s="1">
        <f t="shared" ca="1" si="109"/>
        <v>9</v>
      </c>
      <c r="AW115" s="1">
        <f t="shared" ca="1" si="110"/>
        <v>9.9365588896135962E-2</v>
      </c>
      <c r="AY115" s="1">
        <f t="shared" ca="1" si="111"/>
        <v>1.5784024658565943</v>
      </c>
      <c r="AZ115" s="1">
        <f t="shared" ca="1" si="112"/>
        <v>132</v>
      </c>
      <c r="BA115" s="1">
        <f t="shared" ca="1" si="113"/>
        <v>4.5816006216383683E-3</v>
      </c>
      <c r="BG115" s="1">
        <f t="shared" ca="1" si="114"/>
        <v>0.95180751571291811</v>
      </c>
      <c r="BH115" s="1">
        <f t="shared" ca="1" si="115"/>
        <v>0.56737932434267502</v>
      </c>
      <c r="BI115" s="1">
        <f t="shared" ca="1" si="116"/>
        <v>831</v>
      </c>
      <c r="BV115" s="1">
        <f t="shared" ca="1" si="117"/>
        <v>0.45052360382553741</v>
      </c>
      <c r="BW115" s="1">
        <f t="shared" ca="1" si="118"/>
        <v>245</v>
      </c>
      <c r="BX115" s="1">
        <f t="shared" ca="1" si="119"/>
        <v>1.567080957235605E-3</v>
      </c>
      <c r="BY115" s="1">
        <f t="shared" ca="1" si="120"/>
        <v>1.4092632959288561E-2</v>
      </c>
      <c r="BZ115" s="1">
        <f t="shared" ca="1" si="121"/>
        <v>0.8315038228542001</v>
      </c>
      <c r="CB115" s="1">
        <f t="shared" ca="1" si="122"/>
        <v>481</v>
      </c>
      <c r="CC115" s="1">
        <f t="shared" ca="1" si="123"/>
        <v>11</v>
      </c>
      <c r="CD115" s="1">
        <f t="shared" ca="1" si="124"/>
        <v>0.1463756188251838</v>
      </c>
      <c r="CE115" s="1">
        <f t="shared" ca="1" si="146"/>
        <v>0.89584485254291546</v>
      </c>
      <c r="CF115" s="1">
        <f t="shared" ca="1" si="146"/>
        <v>0.72314668638658053</v>
      </c>
      <c r="CH115" s="3">
        <f t="shared" ca="1" si="126"/>
        <v>0.21798829531375671</v>
      </c>
      <c r="CI115" s="3">
        <f t="shared" ca="1" si="127"/>
        <v>0.74628363177241697</v>
      </c>
      <c r="CJ115" s="3">
        <f t="shared" ca="1" si="128"/>
        <v>1191</v>
      </c>
      <c r="CK115" s="3">
        <f t="shared" ca="1" si="129"/>
        <v>8.1794377522662817E-3</v>
      </c>
      <c r="CL115" s="3">
        <f t="shared" ca="1" si="130"/>
        <v>1</v>
      </c>
      <c r="CM115" s="3"/>
      <c r="CN115" s="1">
        <f t="shared" ca="1" si="131"/>
        <v>17.129063645091634</v>
      </c>
      <c r="CO115" s="1">
        <f t="shared" ca="1" si="132"/>
        <v>0.27213329443434076</v>
      </c>
      <c r="CP115" s="1">
        <f t="shared" ca="1" si="133"/>
        <v>3</v>
      </c>
      <c r="CV115" s="1">
        <f t="shared" ca="1" si="134"/>
        <v>0.77407439122592347</v>
      </c>
      <c r="CW115" s="1">
        <f t="shared" ca="1" si="135"/>
        <v>1054</v>
      </c>
      <c r="CX115" s="1">
        <f t="shared" ca="1" si="136"/>
        <v>9.2486333080313305E-3</v>
      </c>
      <c r="DH115" s="1">
        <f t="shared" ca="1" si="137"/>
        <v>209</v>
      </c>
      <c r="DI115" s="1">
        <f t="shared" ca="1" si="138"/>
        <v>0.73189027307429944</v>
      </c>
      <c r="DJ115" s="1">
        <f t="shared" ca="1" si="139"/>
        <v>26</v>
      </c>
      <c r="DL115" s="1">
        <f t="shared" ca="1" si="140"/>
        <v>0.13496809840592394</v>
      </c>
      <c r="DM115" s="1">
        <f t="shared" ca="1" si="141"/>
        <v>108</v>
      </c>
      <c r="DN115" s="1">
        <f t="shared" ca="1" si="142"/>
        <v>5</v>
      </c>
      <c r="DW115" s="1">
        <f t="shared" ca="1" si="143"/>
        <v>115</v>
      </c>
      <c r="DX115" s="1">
        <f t="shared" ca="1" si="144"/>
        <v>13</v>
      </c>
      <c r="DY115" s="1">
        <f t="shared" ca="1" si="145"/>
        <v>18</v>
      </c>
    </row>
    <row r="116" spans="2:129" x14ac:dyDescent="0.25">
      <c r="B116">
        <f t="shared" ca="1" si="75"/>
        <v>210</v>
      </c>
      <c r="C116">
        <f t="shared" ca="1" si="76"/>
        <v>35</v>
      </c>
      <c r="D116">
        <f t="shared" ca="1" si="77"/>
        <v>0.14696051205841651</v>
      </c>
      <c r="F116" s="1">
        <f t="shared" ca="1" si="78"/>
        <v>31</v>
      </c>
      <c r="G116" s="1">
        <f t="shared" ca="1" si="79"/>
        <v>18</v>
      </c>
      <c r="H116" s="1">
        <f t="shared" ca="1" si="80"/>
        <v>14</v>
      </c>
      <c r="I116" s="1"/>
      <c r="J116" s="1">
        <f t="shared" ca="1" si="81"/>
        <v>31</v>
      </c>
      <c r="K116" s="1">
        <f t="shared" ca="1" si="82"/>
        <v>2.3256022040654489</v>
      </c>
      <c r="L116" s="1">
        <f t="shared" ca="1" si="83"/>
        <v>29</v>
      </c>
      <c r="M116" s="1"/>
      <c r="N116" s="1">
        <f t="shared" ca="1" si="84"/>
        <v>782</v>
      </c>
      <c r="O116" s="1">
        <f t="shared" ca="1" si="85"/>
        <v>33</v>
      </c>
      <c r="P116" s="1"/>
      <c r="Q116" s="1">
        <f t="shared" ca="1" si="86"/>
        <v>1.5321143916522968</v>
      </c>
      <c r="R116" s="1">
        <f t="shared" ca="1" si="87"/>
        <v>626</v>
      </c>
      <c r="S116" s="1"/>
      <c r="T116" s="1">
        <f t="shared" ca="1" si="88"/>
        <v>6.3708729106576503E-2</v>
      </c>
      <c r="U116" s="1">
        <f t="shared" ca="1" si="89"/>
        <v>54</v>
      </c>
      <c r="V116" s="1">
        <f t="shared" ca="1" si="90"/>
        <v>32</v>
      </c>
      <c r="W116" s="1"/>
      <c r="X116" s="1">
        <f t="shared" ca="1" si="91"/>
        <v>1.8049196319942293</v>
      </c>
      <c r="Y116" s="1">
        <f t="shared" ca="1" si="92"/>
        <v>0.27553522791775764</v>
      </c>
      <c r="Z116" s="1">
        <f t="shared" ca="1" si="93"/>
        <v>1993</v>
      </c>
      <c r="AB116" s="1">
        <f t="shared" ca="1" si="94"/>
        <v>4.2015348770630255E-2</v>
      </c>
      <c r="AC116" s="1">
        <f t="shared" ca="1" si="95"/>
        <v>886</v>
      </c>
      <c r="AD116" s="1">
        <f t="shared" ca="1" si="96"/>
        <v>8.4403318449946998E-3</v>
      </c>
      <c r="AE116" s="1"/>
      <c r="AF116" s="1">
        <f t="shared" ca="1" si="97"/>
        <v>0.49429571098950975</v>
      </c>
      <c r="AG116" s="1">
        <f t="shared" ca="1" si="98"/>
        <v>696</v>
      </c>
      <c r="AH116" s="1">
        <f t="shared" ca="1" si="99"/>
        <v>9.5120526277377524E-3</v>
      </c>
      <c r="AJ116" s="1">
        <f t="shared" ca="1" si="100"/>
        <v>0.40091544686604474</v>
      </c>
      <c r="AK116" s="1">
        <f t="shared" ca="1" si="101"/>
        <v>4.3699531912089751E-3</v>
      </c>
      <c r="AL116" s="1"/>
      <c r="AM116" s="1">
        <f t="shared" ca="1" si="102"/>
        <v>5.1934112470121412E-2</v>
      </c>
      <c r="AN116" s="1">
        <f t="shared" ca="1" si="103"/>
        <v>70</v>
      </c>
      <c r="AO116" s="1">
        <f t="shared" ca="1" si="104"/>
        <v>0</v>
      </c>
      <c r="AQ116" s="1">
        <f t="shared" ca="1" si="105"/>
        <v>19</v>
      </c>
      <c r="AR116" s="1">
        <f t="shared" ca="1" si="106"/>
        <v>3</v>
      </c>
      <c r="AS116" s="1">
        <f t="shared" ca="1" si="107"/>
        <v>86</v>
      </c>
      <c r="AU116" s="1">
        <f t="shared" ca="1" si="108"/>
        <v>181</v>
      </c>
      <c r="AV116" s="1">
        <f t="shared" ca="1" si="109"/>
        <v>9</v>
      </c>
      <c r="AW116" s="1">
        <f t="shared" ca="1" si="110"/>
        <v>0.14494309099914351</v>
      </c>
      <c r="AY116" s="1">
        <f t="shared" ca="1" si="111"/>
        <v>1.9483038612360084</v>
      </c>
      <c r="AZ116" s="1">
        <f t="shared" ca="1" si="112"/>
        <v>234</v>
      </c>
      <c r="BA116" s="1">
        <f t="shared" ca="1" si="113"/>
        <v>6.2564640259225581E-3</v>
      </c>
      <c r="BG116" s="1">
        <f t="shared" ca="1" si="114"/>
        <v>0.4969015211281177</v>
      </c>
      <c r="BH116" s="1">
        <f t="shared" ca="1" si="115"/>
        <v>0.31248210863238035</v>
      </c>
      <c r="BI116" s="1">
        <f t="shared" ca="1" si="116"/>
        <v>908</v>
      </c>
      <c r="BV116" s="1">
        <f t="shared" ca="1" si="117"/>
        <v>0.1412410828674652</v>
      </c>
      <c r="BW116" s="1">
        <f t="shared" ca="1" si="118"/>
        <v>241</v>
      </c>
      <c r="BX116" s="1">
        <f t="shared" ca="1" si="119"/>
        <v>3.0362690020283947E-3</v>
      </c>
      <c r="BY116" s="1">
        <f t="shared" ca="1" si="120"/>
        <v>6.715595672819992E-3</v>
      </c>
      <c r="BZ116" s="1">
        <f t="shared" ca="1" si="121"/>
        <v>0.86523071922872208</v>
      </c>
      <c r="CB116" s="1">
        <f t="shared" ca="1" si="122"/>
        <v>252</v>
      </c>
      <c r="CC116" s="1">
        <f t="shared" ca="1" si="123"/>
        <v>4</v>
      </c>
      <c r="CD116" s="1">
        <f t="shared" ca="1" si="124"/>
        <v>0.24261966486434391</v>
      </c>
      <c r="CE116" s="1">
        <f t="shared" ca="1" si="146"/>
        <v>0.73214813869407958</v>
      </c>
      <c r="CF116" s="1">
        <f t="shared" ca="1" si="146"/>
        <v>0.91441239177225242</v>
      </c>
      <c r="CH116" s="3">
        <f t="shared" ca="1" si="126"/>
        <v>0.50153130412450697</v>
      </c>
      <c r="CI116" s="3">
        <f t="shared" ca="1" si="127"/>
        <v>0.78792665592685351</v>
      </c>
      <c r="CJ116" s="3">
        <f t="shared" ca="1" si="128"/>
        <v>1002</v>
      </c>
      <c r="CK116" s="3">
        <f t="shared" ca="1" si="129"/>
        <v>4.9579738429484672E-3</v>
      </c>
      <c r="CL116" s="3">
        <f t="shared" ca="1" si="130"/>
        <v>1</v>
      </c>
      <c r="CM116" s="3"/>
      <c r="CN116" s="1">
        <f t="shared" ca="1" si="131"/>
        <v>17.653105305732961</v>
      </c>
      <c r="CO116" s="1">
        <f t="shared" ca="1" si="132"/>
        <v>0.20527089929367667</v>
      </c>
      <c r="CP116" s="1">
        <f t="shared" ca="1" si="133"/>
        <v>1</v>
      </c>
      <c r="CV116" s="1">
        <f t="shared" ca="1" si="134"/>
        <v>2.8323860632310875</v>
      </c>
      <c r="CW116" s="1">
        <f t="shared" ca="1" si="135"/>
        <v>1727</v>
      </c>
      <c r="CX116" s="1">
        <f t="shared" ca="1" si="136"/>
        <v>2.2682301022915342E-3</v>
      </c>
      <c r="DH116" s="1">
        <f t="shared" ca="1" si="137"/>
        <v>588</v>
      </c>
      <c r="DI116" s="1">
        <f t="shared" ca="1" si="138"/>
        <v>0.20302297369295225</v>
      </c>
      <c r="DJ116" s="1">
        <f t="shared" ca="1" si="139"/>
        <v>4</v>
      </c>
      <c r="DL116" s="1">
        <f t="shared" ca="1" si="140"/>
        <v>2.8780520778660841E-2</v>
      </c>
      <c r="DM116" s="1">
        <f t="shared" ca="1" si="141"/>
        <v>144</v>
      </c>
      <c r="DN116" s="1">
        <f t="shared" ca="1" si="142"/>
        <v>3</v>
      </c>
      <c r="DW116" s="1">
        <f t="shared" ca="1" si="143"/>
        <v>350</v>
      </c>
      <c r="DX116" s="1">
        <f t="shared" ca="1" si="144"/>
        <v>15</v>
      </c>
      <c r="DY116" s="1">
        <f t="shared" ca="1" si="145"/>
        <v>11</v>
      </c>
    </row>
    <row r="117" spans="2:129" x14ac:dyDescent="0.25">
      <c r="B117">
        <f t="shared" ca="1" si="75"/>
        <v>370</v>
      </c>
      <c r="C117">
        <f t="shared" ca="1" si="76"/>
        <v>52</v>
      </c>
      <c r="D117">
        <f t="shared" ca="1" si="77"/>
        <v>7.4970359967305417E-2</v>
      </c>
      <c r="F117" s="1">
        <f t="shared" ca="1" si="78"/>
        <v>29</v>
      </c>
      <c r="G117" s="1">
        <f t="shared" ca="1" si="79"/>
        <v>29</v>
      </c>
      <c r="H117" s="1">
        <f t="shared" ca="1" si="80"/>
        <v>11</v>
      </c>
      <c r="I117" s="1"/>
      <c r="J117" s="1">
        <f t="shared" ca="1" si="81"/>
        <v>24</v>
      </c>
      <c r="K117" s="1">
        <f t="shared" ca="1" si="82"/>
        <v>2.0408582562279234</v>
      </c>
      <c r="L117" s="1">
        <f t="shared" ca="1" si="83"/>
        <v>11</v>
      </c>
      <c r="M117" s="1"/>
      <c r="N117" s="1">
        <f t="shared" ca="1" si="84"/>
        <v>505</v>
      </c>
      <c r="O117" s="1">
        <f t="shared" ca="1" si="85"/>
        <v>35</v>
      </c>
      <c r="P117" s="1"/>
      <c r="Q117" s="1">
        <f t="shared" ca="1" si="86"/>
        <v>4.4487881979693045</v>
      </c>
      <c r="R117" s="1">
        <f t="shared" ca="1" si="87"/>
        <v>817</v>
      </c>
      <c r="S117" s="1"/>
      <c r="T117" s="1">
        <f t="shared" ca="1" si="88"/>
        <v>5.3668917902065398E-2</v>
      </c>
      <c r="U117" s="1">
        <f t="shared" ca="1" si="89"/>
        <v>123</v>
      </c>
      <c r="V117" s="1">
        <f t="shared" ca="1" si="90"/>
        <v>4</v>
      </c>
      <c r="W117" s="1"/>
      <c r="X117" s="1">
        <f t="shared" ca="1" si="91"/>
        <v>4.4309648330460361</v>
      </c>
      <c r="Y117" s="1">
        <f t="shared" ca="1" si="92"/>
        <v>0.91008252081240448</v>
      </c>
      <c r="Z117" s="1">
        <f t="shared" ca="1" si="93"/>
        <v>461</v>
      </c>
      <c r="AB117" s="1">
        <f t="shared" ca="1" si="94"/>
        <v>0.45513504893854001</v>
      </c>
      <c r="AC117" s="1">
        <f t="shared" ca="1" si="95"/>
        <v>273</v>
      </c>
      <c r="AD117" s="1">
        <f t="shared" ca="1" si="96"/>
        <v>4.328494000105567E-3</v>
      </c>
      <c r="AE117" s="1"/>
      <c r="AF117" s="1">
        <f t="shared" ca="1" si="97"/>
        <v>0.55378104898129754</v>
      </c>
      <c r="AG117" s="1">
        <f t="shared" ca="1" si="98"/>
        <v>534</v>
      </c>
      <c r="AH117" s="1">
        <f t="shared" ca="1" si="99"/>
        <v>5.4441367682242251E-3</v>
      </c>
      <c r="AJ117" s="1">
        <f t="shared" ca="1" si="100"/>
        <v>0.67709661415615352</v>
      </c>
      <c r="AK117" s="1">
        <f t="shared" ca="1" si="101"/>
        <v>3.2901382879771124E-3</v>
      </c>
      <c r="AL117" s="1"/>
      <c r="AM117" s="1">
        <f t="shared" ca="1" si="102"/>
        <v>0.18199917273245944</v>
      </c>
      <c r="AN117" s="1">
        <f t="shared" ca="1" si="103"/>
        <v>39</v>
      </c>
      <c r="AO117" s="1">
        <f t="shared" ca="1" si="104"/>
        <v>12</v>
      </c>
      <c r="AQ117" s="1">
        <f t="shared" ca="1" si="105"/>
        <v>97</v>
      </c>
      <c r="AR117" s="1">
        <f t="shared" ca="1" si="106"/>
        <v>7</v>
      </c>
      <c r="AS117" s="1">
        <f t="shared" ca="1" si="107"/>
        <v>11</v>
      </c>
      <c r="AU117" s="1">
        <f t="shared" ca="1" si="108"/>
        <v>282</v>
      </c>
      <c r="AV117" s="1">
        <f t="shared" ca="1" si="109"/>
        <v>7</v>
      </c>
      <c r="AW117" s="1">
        <f t="shared" ca="1" si="110"/>
        <v>5.3789324908114201E-2</v>
      </c>
      <c r="AY117" s="1">
        <f t="shared" ca="1" si="111"/>
        <v>1.7947597751463447</v>
      </c>
      <c r="AZ117" s="1">
        <f t="shared" ca="1" si="112"/>
        <v>55</v>
      </c>
      <c r="BA117" s="1">
        <f t="shared" ca="1" si="113"/>
        <v>7.6596503475784145E-3</v>
      </c>
      <c r="BG117" s="1">
        <f t="shared" ca="1" si="114"/>
        <v>9.0939209983323596E-2</v>
      </c>
      <c r="BH117" s="1">
        <f t="shared" ca="1" si="115"/>
        <v>0.170035918083144</v>
      </c>
      <c r="BI117" s="1">
        <f t="shared" ca="1" si="116"/>
        <v>278</v>
      </c>
      <c r="BV117" s="1">
        <f t="shared" ca="1" si="117"/>
        <v>0.26360854325643135</v>
      </c>
      <c r="BW117" s="1">
        <f t="shared" ca="1" si="118"/>
        <v>638</v>
      </c>
      <c r="BX117" s="1">
        <f t="shared" ca="1" si="119"/>
        <v>8.7232817597353504E-3</v>
      </c>
      <c r="BY117" s="1">
        <f t="shared" ca="1" si="120"/>
        <v>4.1580470322774322E-2</v>
      </c>
      <c r="BZ117" s="1">
        <f t="shared" ca="1" si="121"/>
        <v>5.3166696045108708E-2</v>
      </c>
      <c r="CB117" s="1">
        <f t="shared" ca="1" si="122"/>
        <v>215</v>
      </c>
      <c r="CC117" s="1">
        <f t="shared" ca="1" si="123"/>
        <v>11</v>
      </c>
      <c r="CD117" s="1">
        <f t="shared" ca="1" si="124"/>
        <v>0.28811706701092749</v>
      </c>
      <c r="CE117" s="1">
        <f t="shared" ca="1" si="146"/>
        <v>0.53118802675472732</v>
      </c>
      <c r="CF117" s="1">
        <f t="shared" ca="1" si="146"/>
        <v>0.63940078413038826</v>
      </c>
      <c r="CH117" s="3">
        <f t="shared" ca="1" si="126"/>
        <v>0.59246065591844144</v>
      </c>
      <c r="CI117" s="3">
        <f t="shared" ca="1" si="127"/>
        <v>0.490804909774812</v>
      </c>
      <c r="CJ117" s="3">
        <f t="shared" ca="1" si="128"/>
        <v>1858</v>
      </c>
      <c r="CK117" s="3">
        <f t="shared" ca="1" si="129"/>
        <v>4.7159037217390509E-3</v>
      </c>
      <c r="CL117" s="3">
        <f t="shared" ca="1" si="130"/>
        <v>0</v>
      </c>
      <c r="CM117" s="3"/>
      <c r="CN117" s="1">
        <f t="shared" ca="1" si="131"/>
        <v>10.106081950147153</v>
      </c>
      <c r="CO117" s="1">
        <f t="shared" ca="1" si="132"/>
        <v>0.47147105068210327</v>
      </c>
      <c r="CP117" s="1">
        <f t="shared" ca="1" si="133"/>
        <v>3</v>
      </c>
      <c r="CV117" s="1">
        <f t="shared" ca="1" si="134"/>
        <v>3.4218028268622311</v>
      </c>
      <c r="CW117" s="1">
        <f t="shared" ca="1" si="135"/>
        <v>536</v>
      </c>
      <c r="CX117" s="1">
        <f t="shared" ca="1" si="136"/>
        <v>6.3673646985338761E-3</v>
      </c>
      <c r="DH117" s="1">
        <f t="shared" ca="1" si="137"/>
        <v>441</v>
      </c>
      <c r="DI117" s="1">
        <f t="shared" ca="1" si="138"/>
        <v>0.51616070910121481</v>
      </c>
      <c r="DJ117" s="1">
        <f t="shared" ca="1" si="139"/>
        <v>1</v>
      </c>
      <c r="DL117" s="1">
        <f t="shared" ca="1" si="140"/>
        <v>8.6199703725863677E-2</v>
      </c>
      <c r="DM117" s="1">
        <f t="shared" ca="1" si="141"/>
        <v>251</v>
      </c>
      <c r="DN117" s="1">
        <f t="shared" ca="1" si="142"/>
        <v>9</v>
      </c>
      <c r="DW117" s="1">
        <f t="shared" ca="1" si="143"/>
        <v>418</v>
      </c>
      <c r="DX117" s="1">
        <f t="shared" ca="1" si="144"/>
        <v>14</v>
      </c>
      <c r="DY117" s="1">
        <f t="shared" ca="1" si="145"/>
        <v>2</v>
      </c>
    </row>
    <row r="118" spans="2:129" x14ac:dyDescent="0.25">
      <c r="B118">
        <f t="shared" ca="1" si="75"/>
        <v>441</v>
      </c>
      <c r="C118">
        <f t="shared" ca="1" si="76"/>
        <v>28</v>
      </c>
      <c r="D118">
        <f t="shared" ca="1" si="77"/>
        <v>0.12927751071870072</v>
      </c>
      <c r="F118" s="1">
        <f t="shared" ca="1" si="78"/>
        <v>16</v>
      </c>
      <c r="G118" s="1">
        <f t="shared" ca="1" si="79"/>
        <v>22</v>
      </c>
      <c r="H118" s="1">
        <f t="shared" ca="1" si="80"/>
        <v>12</v>
      </c>
      <c r="I118" s="1"/>
      <c r="J118" s="1">
        <f t="shared" ca="1" si="81"/>
        <v>7</v>
      </c>
      <c r="K118" s="1">
        <f t="shared" ca="1" si="82"/>
        <v>1.488781944561181</v>
      </c>
      <c r="L118" s="1">
        <f t="shared" ca="1" si="83"/>
        <v>34</v>
      </c>
      <c r="M118" s="1"/>
      <c r="N118" s="1">
        <f t="shared" ca="1" si="84"/>
        <v>967</v>
      </c>
      <c r="O118" s="1">
        <f t="shared" ca="1" si="85"/>
        <v>29</v>
      </c>
      <c r="P118" s="1"/>
      <c r="Q118" s="1">
        <f t="shared" ca="1" si="86"/>
        <v>1.9286472264310184</v>
      </c>
      <c r="R118" s="1">
        <f t="shared" ca="1" si="87"/>
        <v>839</v>
      </c>
      <c r="S118" s="1"/>
      <c r="T118" s="1">
        <f t="shared" ca="1" si="88"/>
        <v>5.7336017283968747E-2</v>
      </c>
      <c r="U118" s="1">
        <f t="shared" ca="1" si="89"/>
        <v>370</v>
      </c>
      <c r="V118" s="1">
        <f t="shared" ca="1" si="90"/>
        <v>47</v>
      </c>
      <c r="W118" s="1"/>
      <c r="X118" s="1">
        <f t="shared" ca="1" si="91"/>
        <v>5.5706704942637995</v>
      </c>
      <c r="Y118" s="1">
        <f t="shared" ca="1" si="92"/>
        <v>0.12432641803877734</v>
      </c>
      <c r="Z118" s="1">
        <f t="shared" ca="1" si="93"/>
        <v>1025</v>
      </c>
      <c r="AB118" s="1">
        <f t="shared" ca="1" si="94"/>
        <v>0.22845630257733349</v>
      </c>
      <c r="AC118" s="1">
        <f t="shared" ca="1" si="95"/>
        <v>938</v>
      </c>
      <c r="AD118" s="1">
        <f t="shared" ca="1" si="96"/>
        <v>7.4603454035556533E-4</v>
      </c>
      <c r="AE118" s="1"/>
      <c r="AF118" s="1">
        <f t="shared" ca="1" si="97"/>
        <v>0.47388196912517233</v>
      </c>
      <c r="AG118" s="1">
        <f t="shared" ca="1" si="98"/>
        <v>726</v>
      </c>
      <c r="AH118" s="1">
        <f t="shared" ca="1" si="99"/>
        <v>3.2912651033291719E-3</v>
      </c>
      <c r="AJ118" s="1">
        <f t="shared" ca="1" si="100"/>
        <v>0.30550501969405508</v>
      </c>
      <c r="AK118" s="1">
        <f t="shared" ca="1" si="101"/>
        <v>7.745414858687882E-3</v>
      </c>
      <c r="AL118" s="1"/>
      <c r="AM118" s="1">
        <f t="shared" ca="1" si="102"/>
        <v>0.14805834087352096</v>
      </c>
      <c r="AN118" s="1">
        <f t="shared" ca="1" si="103"/>
        <v>25</v>
      </c>
      <c r="AO118" s="1">
        <f t="shared" ca="1" si="104"/>
        <v>16</v>
      </c>
      <c r="AQ118" s="1">
        <f t="shared" ca="1" si="105"/>
        <v>179</v>
      </c>
      <c r="AR118" s="1">
        <f t="shared" ca="1" si="106"/>
        <v>6</v>
      </c>
      <c r="AS118" s="1">
        <f t="shared" ca="1" si="107"/>
        <v>21</v>
      </c>
      <c r="AU118" s="1">
        <f t="shared" ca="1" si="108"/>
        <v>268</v>
      </c>
      <c r="AV118" s="1">
        <f t="shared" ca="1" si="109"/>
        <v>6</v>
      </c>
      <c r="AW118" s="1">
        <f t="shared" ca="1" si="110"/>
        <v>6.452017434522743E-2</v>
      </c>
      <c r="AY118" s="1">
        <f t="shared" ca="1" si="111"/>
        <v>1.1352606780936134</v>
      </c>
      <c r="AZ118" s="1">
        <f t="shared" ca="1" si="112"/>
        <v>211</v>
      </c>
      <c r="BA118" s="1">
        <f t="shared" ca="1" si="113"/>
        <v>8.8343208594251121E-4</v>
      </c>
      <c r="BG118" s="1">
        <f t="shared" ca="1" si="114"/>
        <v>0.8017645235953228</v>
      </c>
      <c r="BH118" s="1">
        <f t="shared" ca="1" si="115"/>
        <v>0.38800228545006299</v>
      </c>
      <c r="BI118" s="1">
        <f t="shared" ca="1" si="116"/>
        <v>818</v>
      </c>
      <c r="BV118" s="1">
        <f t="shared" ca="1" si="117"/>
        <v>0.26383452880500974</v>
      </c>
      <c r="BW118" s="1">
        <f t="shared" ca="1" si="118"/>
        <v>718</v>
      </c>
      <c r="BX118" s="1">
        <f t="shared" ca="1" si="119"/>
        <v>9.9410659446465387E-3</v>
      </c>
      <c r="BY118" s="1">
        <f t="shared" ca="1" si="120"/>
        <v>2.9249328618408458E-2</v>
      </c>
      <c r="BZ118" s="1">
        <f t="shared" ca="1" si="121"/>
        <v>0.50000911457486474</v>
      </c>
      <c r="CB118" s="1">
        <f t="shared" ca="1" si="122"/>
        <v>363</v>
      </c>
      <c r="CC118" s="1">
        <f t="shared" ca="1" si="123"/>
        <v>3</v>
      </c>
      <c r="CD118" s="1">
        <f t="shared" ca="1" si="124"/>
        <v>0.10552135659371784</v>
      </c>
      <c r="CE118" s="1">
        <f t="shared" ca="1" si="146"/>
        <v>0.57669910121345369</v>
      </c>
      <c r="CF118" s="1">
        <f t="shared" ca="1" si="146"/>
        <v>0.91846178398395772</v>
      </c>
      <c r="CH118" s="3">
        <f t="shared" ca="1" si="126"/>
        <v>0.26683342623492828</v>
      </c>
      <c r="CI118" s="3">
        <f t="shared" ca="1" si="127"/>
        <v>0.7947696352575454</v>
      </c>
      <c r="CJ118" s="3">
        <f t="shared" ca="1" si="128"/>
        <v>326</v>
      </c>
      <c r="CK118" s="3">
        <f t="shared" ca="1" si="129"/>
        <v>8.9752700356335625E-3</v>
      </c>
      <c r="CL118" s="3">
        <f t="shared" ca="1" si="130"/>
        <v>0</v>
      </c>
      <c r="CM118" s="3"/>
      <c r="CN118" s="1">
        <f t="shared" ca="1" si="131"/>
        <v>7.722651893180613</v>
      </c>
      <c r="CO118" s="1">
        <f t="shared" ca="1" si="132"/>
        <v>0.28679114354475471</v>
      </c>
      <c r="CP118" s="1">
        <f t="shared" ca="1" si="133"/>
        <v>3</v>
      </c>
      <c r="CV118" s="1">
        <f t="shared" ca="1" si="134"/>
        <v>2.9030703611712272</v>
      </c>
      <c r="CW118" s="1">
        <f t="shared" ca="1" si="135"/>
        <v>1943</v>
      </c>
      <c r="CX118" s="1">
        <f t="shared" ca="1" si="136"/>
        <v>6.9126571066395956E-3</v>
      </c>
      <c r="DH118" s="1">
        <f t="shared" ca="1" si="137"/>
        <v>746</v>
      </c>
      <c r="DI118" s="1">
        <f t="shared" ca="1" si="138"/>
        <v>0.1929217954736456</v>
      </c>
      <c r="DJ118" s="1">
        <f t="shared" ca="1" si="139"/>
        <v>29</v>
      </c>
      <c r="DL118" s="1">
        <f t="shared" ca="1" si="140"/>
        <v>4.927245812285877E-2</v>
      </c>
      <c r="DM118" s="1">
        <f t="shared" ca="1" si="141"/>
        <v>225</v>
      </c>
      <c r="DN118" s="1">
        <f t="shared" ca="1" si="142"/>
        <v>1</v>
      </c>
      <c r="DW118" s="1">
        <f t="shared" ca="1" si="143"/>
        <v>235</v>
      </c>
      <c r="DX118" s="1">
        <f t="shared" ca="1" si="144"/>
        <v>12</v>
      </c>
      <c r="DY118" s="1">
        <f t="shared" ca="1" si="145"/>
        <v>7</v>
      </c>
    </row>
    <row r="119" spans="2:129" x14ac:dyDescent="0.25">
      <c r="B119">
        <f t="shared" ca="1" si="75"/>
        <v>635</v>
      </c>
      <c r="C119">
        <f t="shared" ca="1" si="76"/>
        <v>15</v>
      </c>
      <c r="D119">
        <f t="shared" ca="1" si="77"/>
        <v>0.2828778809894113</v>
      </c>
      <c r="F119" s="1">
        <f t="shared" ca="1" si="78"/>
        <v>35</v>
      </c>
      <c r="G119" s="1">
        <f t="shared" ca="1" si="79"/>
        <v>18</v>
      </c>
      <c r="H119" s="1">
        <f t="shared" ca="1" si="80"/>
        <v>14</v>
      </c>
      <c r="I119" s="1"/>
      <c r="J119" s="1">
        <f t="shared" ca="1" si="81"/>
        <v>17</v>
      </c>
      <c r="K119" s="1">
        <f t="shared" ca="1" si="82"/>
        <v>2.6726993166799655</v>
      </c>
      <c r="L119" s="1">
        <f t="shared" ca="1" si="83"/>
        <v>6</v>
      </c>
      <c r="M119" s="1"/>
      <c r="N119" s="1">
        <f t="shared" ca="1" si="84"/>
        <v>707</v>
      </c>
      <c r="O119" s="1">
        <f t="shared" ca="1" si="85"/>
        <v>37</v>
      </c>
      <c r="P119" s="1"/>
      <c r="Q119" s="1">
        <f t="shared" ca="1" si="86"/>
        <v>3.5136024496327609</v>
      </c>
      <c r="R119" s="1">
        <f t="shared" ca="1" si="87"/>
        <v>905</v>
      </c>
      <c r="S119" s="1"/>
      <c r="T119" s="1">
        <f t="shared" ca="1" si="88"/>
        <v>5.6412751027795006E-2</v>
      </c>
      <c r="U119" s="1">
        <f t="shared" ca="1" si="89"/>
        <v>194</v>
      </c>
      <c r="V119" s="1">
        <f t="shared" ca="1" si="90"/>
        <v>9</v>
      </c>
      <c r="W119" s="1"/>
      <c r="X119" s="1">
        <f t="shared" ca="1" si="91"/>
        <v>5.5021682097630533</v>
      </c>
      <c r="Y119" s="1">
        <f t="shared" ca="1" si="92"/>
        <v>0.38675131786802852</v>
      </c>
      <c r="Z119" s="1">
        <f t="shared" ca="1" si="93"/>
        <v>784</v>
      </c>
      <c r="AB119" s="1">
        <f t="shared" ca="1" si="94"/>
        <v>0.12204371332798399</v>
      </c>
      <c r="AC119" s="1">
        <f t="shared" ca="1" si="95"/>
        <v>398</v>
      </c>
      <c r="AD119" s="1">
        <f t="shared" ca="1" si="96"/>
        <v>1.4734587576306795E-3</v>
      </c>
      <c r="AE119" s="1"/>
      <c r="AF119" s="1">
        <f t="shared" ca="1" si="97"/>
        <v>0.36920211589272867</v>
      </c>
      <c r="AG119" s="1">
        <f t="shared" ca="1" si="98"/>
        <v>142</v>
      </c>
      <c r="AH119" s="1">
        <f t="shared" ca="1" si="99"/>
        <v>5.5600671175242188E-3</v>
      </c>
      <c r="AJ119" s="1">
        <f t="shared" ca="1" si="100"/>
        <v>0.91926778995933034</v>
      </c>
      <c r="AK119" s="1">
        <f t="shared" ca="1" si="101"/>
        <v>8.0687182295298265E-3</v>
      </c>
      <c r="AL119" s="1"/>
      <c r="AM119" s="1">
        <f t="shared" ca="1" si="102"/>
        <v>0.16205557201524151</v>
      </c>
      <c r="AN119" s="1">
        <f t="shared" ca="1" si="103"/>
        <v>69</v>
      </c>
      <c r="AO119" s="1">
        <f t="shared" ca="1" si="104"/>
        <v>-1</v>
      </c>
      <c r="AQ119" s="1">
        <f t="shared" ca="1" si="105"/>
        <v>102</v>
      </c>
      <c r="AR119" s="1">
        <f t="shared" ca="1" si="106"/>
        <v>4</v>
      </c>
      <c r="AS119" s="1">
        <f t="shared" ca="1" si="107"/>
        <v>80</v>
      </c>
      <c r="AU119" s="1">
        <f t="shared" ca="1" si="108"/>
        <v>290</v>
      </c>
      <c r="AV119" s="1">
        <f t="shared" ca="1" si="109"/>
        <v>6</v>
      </c>
      <c r="AW119" s="1">
        <f t="shared" ca="1" si="110"/>
        <v>0.11963710331363882</v>
      </c>
      <c r="AY119" s="1">
        <f t="shared" ca="1" si="111"/>
        <v>1.425718118786337</v>
      </c>
      <c r="AZ119" s="1">
        <f t="shared" ca="1" si="112"/>
        <v>133</v>
      </c>
      <c r="BA119" s="1">
        <f t="shared" ca="1" si="113"/>
        <v>4.7335304445865343E-4</v>
      </c>
      <c r="BG119" s="1">
        <f t="shared" ca="1" si="114"/>
        <v>0.83402181222720084</v>
      </c>
      <c r="BH119" s="1">
        <f t="shared" ca="1" si="115"/>
        <v>0.19738018253193146</v>
      </c>
      <c r="BI119" s="1">
        <f t="shared" ca="1" si="116"/>
        <v>710</v>
      </c>
      <c r="BV119" s="1">
        <f t="shared" ca="1" si="117"/>
        <v>0.66729498706815815</v>
      </c>
      <c r="BW119" s="1">
        <f t="shared" ca="1" si="118"/>
        <v>337</v>
      </c>
      <c r="BX119" s="1">
        <f t="shared" ca="1" si="119"/>
        <v>7.4521042657249795E-3</v>
      </c>
      <c r="BY119" s="1">
        <f t="shared" ca="1" si="120"/>
        <v>3.8917275562671595E-4</v>
      </c>
      <c r="BZ119" s="1">
        <f t="shared" ca="1" si="121"/>
        <v>0.6128095521171314</v>
      </c>
      <c r="CB119" s="1">
        <f t="shared" ca="1" si="122"/>
        <v>86</v>
      </c>
      <c r="CC119" s="1">
        <f t="shared" ca="1" si="123"/>
        <v>3</v>
      </c>
      <c r="CD119" s="1">
        <f t="shared" ca="1" si="124"/>
        <v>8.9387306330911645E-2</v>
      </c>
      <c r="CE119" s="1">
        <f t="shared" ca="1" si="146"/>
        <v>0.80653815941975227</v>
      </c>
      <c r="CF119" s="1">
        <f t="shared" ca="1" si="146"/>
        <v>0.73927239410462797</v>
      </c>
      <c r="CH119" s="3">
        <f t="shared" ca="1" si="126"/>
        <v>0.4541905587028946</v>
      </c>
      <c r="CI119" s="3">
        <f t="shared" ca="1" si="127"/>
        <v>0.71310221979996113</v>
      </c>
      <c r="CJ119" s="3">
        <f t="shared" ca="1" si="128"/>
        <v>1147</v>
      </c>
      <c r="CK119" s="3">
        <f t="shared" ca="1" si="129"/>
        <v>1.5823939361069848E-3</v>
      </c>
      <c r="CL119" s="3">
        <f t="shared" ca="1" si="130"/>
        <v>1</v>
      </c>
      <c r="CM119" s="3"/>
      <c r="CN119" s="1">
        <f t="shared" ca="1" si="131"/>
        <v>1.8033409357271211</v>
      </c>
      <c r="CO119" s="1">
        <f t="shared" ca="1" si="132"/>
        <v>0.49492897518111717</v>
      </c>
      <c r="CP119" s="1">
        <f t="shared" ca="1" si="133"/>
        <v>1</v>
      </c>
      <c r="CV119" s="1">
        <f t="shared" ca="1" si="134"/>
        <v>1.137094026615415</v>
      </c>
      <c r="CW119" s="1">
        <f t="shared" ca="1" si="135"/>
        <v>1380</v>
      </c>
      <c r="CX119" s="1">
        <f t="shared" ca="1" si="136"/>
        <v>6.5783303468965829E-3</v>
      </c>
      <c r="DH119" s="1">
        <f t="shared" ca="1" si="137"/>
        <v>494</v>
      </c>
      <c r="DI119" s="1">
        <f t="shared" ca="1" si="138"/>
        <v>0.71558299566413763</v>
      </c>
      <c r="DJ119" s="1">
        <f t="shared" ca="1" si="139"/>
        <v>23</v>
      </c>
      <c r="DL119" s="1">
        <f t="shared" ca="1" si="140"/>
        <v>7.8966573670992427E-2</v>
      </c>
      <c r="DM119" s="1">
        <f t="shared" ca="1" si="141"/>
        <v>157</v>
      </c>
      <c r="DN119" s="1">
        <f t="shared" ca="1" si="142"/>
        <v>7</v>
      </c>
      <c r="DW119" s="1">
        <f t="shared" ca="1" si="143"/>
        <v>325</v>
      </c>
      <c r="DX119" s="1">
        <f t="shared" ca="1" si="144"/>
        <v>18</v>
      </c>
      <c r="DY119" s="1">
        <f t="shared" ca="1" si="145"/>
        <v>6</v>
      </c>
    </row>
    <row r="120" spans="2:129" x14ac:dyDescent="0.25">
      <c r="B120">
        <f t="shared" ca="1" si="75"/>
        <v>79</v>
      </c>
      <c r="C120">
        <f t="shared" ca="1" si="76"/>
        <v>38</v>
      </c>
      <c r="D120">
        <f t="shared" ca="1" si="77"/>
        <v>0.12509038704513378</v>
      </c>
      <c r="F120" s="1">
        <f t="shared" ca="1" si="78"/>
        <v>45</v>
      </c>
      <c r="G120" s="1">
        <f t="shared" ca="1" si="79"/>
        <v>5</v>
      </c>
      <c r="H120" s="1">
        <f t="shared" ca="1" si="80"/>
        <v>3</v>
      </c>
      <c r="I120" s="1"/>
      <c r="J120" s="1">
        <f t="shared" ca="1" si="81"/>
        <v>30</v>
      </c>
      <c r="K120" s="1">
        <f t="shared" ca="1" si="82"/>
        <v>2.2639247531106363</v>
      </c>
      <c r="L120" s="1">
        <f t="shared" ca="1" si="83"/>
        <v>24</v>
      </c>
      <c r="M120" s="1"/>
      <c r="N120" s="1">
        <f t="shared" ca="1" si="84"/>
        <v>540</v>
      </c>
      <c r="O120" s="1">
        <f t="shared" ca="1" si="85"/>
        <v>9</v>
      </c>
      <c r="P120" s="1"/>
      <c r="Q120" s="1">
        <f t="shared" ca="1" si="86"/>
        <v>1.459254139087373</v>
      </c>
      <c r="R120" s="1">
        <f t="shared" ca="1" si="87"/>
        <v>871</v>
      </c>
      <c r="S120" s="1"/>
      <c r="T120" s="1">
        <f t="shared" ca="1" si="88"/>
        <v>0.1409511185573516</v>
      </c>
      <c r="U120" s="1">
        <f t="shared" ca="1" si="89"/>
        <v>436</v>
      </c>
      <c r="V120" s="1">
        <f t="shared" ca="1" si="90"/>
        <v>43</v>
      </c>
      <c r="W120" s="1"/>
      <c r="X120" s="1">
        <f t="shared" ca="1" si="91"/>
        <v>3.1571296751365887</v>
      </c>
      <c r="Y120" s="1">
        <f t="shared" ca="1" si="92"/>
        <v>0.18263091690486122</v>
      </c>
      <c r="Z120" s="1">
        <f t="shared" ca="1" si="93"/>
        <v>264</v>
      </c>
      <c r="AB120" s="1">
        <f t="shared" ca="1" si="94"/>
        <v>0.39995390086845528</v>
      </c>
      <c r="AC120" s="1">
        <f t="shared" ca="1" si="95"/>
        <v>706</v>
      </c>
      <c r="AD120" s="1">
        <f t="shared" ca="1" si="96"/>
        <v>2.341744971174725E-3</v>
      </c>
      <c r="AE120" s="1"/>
      <c r="AF120" s="1">
        <f t="shared" ca="1" si="97"/>
        <v>0.72605549157507887</v>
      </c>
      <c r="AG120" s="1">
        <f t="shared" ca="1" si="98"/>
        <v>190</v>
      </c>
      <c r="AH120" s="1">
        <f t="shared" ca="1" si="99"/>
        <v>2.2467291465226268E-4</v>
      </c>
      <c r="AJ120" s="1">
        <f t="shared" ca="1" si="100"/>
        <v>0.7493464624006585</v>
      </c>
      <c r="AK120" s="1">
        <f t="shared" ca="1" si="101"/>
        <v>7.277953554285007E-3</v>
      </c>
      <c r="AL120" s="1"/>
      <c r="AM120" s="1">
        <f t="shared" ca="1" si="102"/>
        <v>5.0006263926087357E-3</v>
      </c>
      <c r="AN120" s="1">
        <f t="shared" ca="1" si="103"/>
        <v>12</v>
      </c>
      <c r="AO120" s="1">
        <f t="shared" ca="1" si="104"/>
        <v>15</v>
      </c>
      <c r="AQ120" s="1">
        <f t="shared" ca="1" si="105"/>
        <v>54</v>
      </c>
      <c r="AR120" s="1">
        <f t="shared" ca="1" si="106"/>
        <v>6</v>
      </c>
      <c r="AS120" s="1">
        <f t="shared" ca="1" si="107"/>
        <v>37</v>
      </c>
      <c r="AU120" s="1">
        <f t="shared" ca="1" si="108"/>
        <v>130</v>
      </c>
      <c r="AV120" s="1">
        <f t="shared" ca="1" si="109"/>
        <v>6</v>
      </c>
      <c r="AW120" s="1">
        <f t="shared" ca="1" si="110"/>
        <v>0.19195400769600376</v>
      </c>
      <c r="AY120" s="1">
        <f t="shared" ca="1" si="111"/>
        <v>1.1270766607136831</v>
      </c>
      <c r="AZ120" s="1">
        <f t="shared" ca="1" si="112"/>
        <v>164</v>
      </c>
      <c r="BA120" s="1">
        <f t="shared" ca="1" si="113"/>
        <v>8.5104768410379523E-3</v>
      </c>
      <c r="BG120" s="1">
        <f t="shared" ca="1" si="114"/>
        <v>0.27012803035368216</v>
      </c>
      <c r="BH120" s="1">
        <f t="shared" ca="1" si="115"/>
        <v>0.20637177968963749</v>
      </c>
      <c r="BI120" s="1">
        <f t="shared" ca="1" si="116"/>
        <v>743</v>
      </c>
      <c r="BV120" s="1">
        <f t="shared" ca="1" si="117"/>
        <v>0.19164727600011536</v>
      </c>
      <c r="BW120" s="1">
        <f t="shared" ca="1" si="118"/>
        <v>941</v>
      </c>
      <c r="BX120" s="1">
        <f t="shared" ca="1" si="119"/>
        <v>6.2569743884215243E-3</v>
      </c>
      <c r="BY120" s="1">
        <f t="shared" ca="1" si="120"/>
        <v>9.6502496204554325E-2</v>
      </c>
      <c r="BZ120" s="1">
        <f t="shared" ca="1" si="121"/>
        <v>0.56429961274155749</v>
      </c>
      <c r="CB120" s="1">
        <f t="shared" ca="1" si="122"/>
        <v>183</v>
      </c>
      <c r="CC120" s="1">
        <f t="shared" ca="1" si="123"/>
        <v>11</v>
      </c>
      <c r="CD120" s="1">
        <f t="shared" ca="1" si="124"/>
        <v>8.4659627255693815E-2</v>
      </c>
      <c r="CE120" s="1">
        <f t="shared" ca="1" si="146"/>
        <v>0.8572462867459183</v>
      </c>
      <c r="CF120" s="1">
        <f t="shared" ca="1" si="146"/>
        <v>0.87036911627305913</v>
      </c>
      <c r="CH120" s="3">
        <f t="shared" ca="1" si="126"/>
        <v>0.71105983011487817</v>
      </c>
      <c r="CI120" s="3">
        <f t="shared" ca="1" si="127"/>
        <v>0.19271605409288714</v>
      </c>
      <c r="CJ120" s="3">
        <f t="shared" ca="1" si="128"/>
        <v>1025</v>
      </c>
      <c r="CK120" s="3">
        <f t="shared" ca="1" si="129"/>
        <v>3.408076253643969E-3</v>
      </c>
      <c r="CL120" s="3">
        <f t="shared" ca="1" si="130"/>
        <v>1</v>
      </c>
      <c r="CM120" s="3"/>
      <c r="CN120" s="1">
        <f t="shared" ca="1" si="131"/>
        <v>10.448573994794035</v>
      </c>
      <c r="CO120" s="1">
        <f t="shared" ca="1" si="132"/>
        <v>0.31166112961310216</v>
      </c>
      <c r="CP120" s="1">
        <f t="shared" ca="1" si="133"/>
        <v>4</v>
      </c>
      <c r="CV120" s="1">
        <f t="shared" ca="1" si="134"/>
        <v>7.0701591340458156</v>
      </c>
      <c r="CW120" s="1">
        <f t="shared" ca="1" si="135"/>
        <v>907</v>
      </c>
      <c r="CX120" s="1">
        <f t="shared" ca="1" si="136"/>
        <v>6.181858313393406E-3</v>
      </c>
      <c r="DH120" s="1">
        <f t="shared" ca="1" si="137"/>
        <v>351</v>
      </c>
      <c r="DI120" s="1">
        <f t="shared" ca="1" si="138"/>
        <v>0.51145127901622656</v>
      </c>
      <c r="DJ120" s="1">
        <f t="shared" ca="1" si="139"/>
        <v>10</v>
      </c>
      <c r="DL120" s="1">
        <f t="shared" ca="1" si="140"/>
        <v>5.1444375865826571E-2</v>
      </c>
      <c r="DM120" s="1">
        <f t="shared" ca="1" si="141"/>
        <v>119</v>
      </c>
      <c r="DN120" s="1">
        <f t="shared" ca="1" si="142"/>
        <v>6</v>
      </c>
      <c r="DW120" s="1">
        <f t="shared" ca="1" si="143"/>
        <v>124</v>
      </c>
      <c r="DX120" s="1">
        <f t="shared" ca="1" si="144"/>
        <v>3</v>
      </c>
      <c r="DY120" s="1">
        <f t="shared" ca="1" si="145"/>
        <v>4</v>
      </c>
    </row>
    <row r="121" spans="2:129" x14ac:dyDescent="0.25">
      <c r="B121">
        <f t="shared" ca="1" si="75"/>
        <v>963</v>
      </c>
      <c r="C121">
        <f t="shared" ca="1" si="76"/>
        <v>28</v>
      </c>
      <c r="D121">
        <f t="shared" ca="1" si="77"/>
        <v>0.156505331208003</v>
      </c>
      <c r="F121" s="1">
        <f t="shared" ca="1" si="78"/>
        <v>5</v>
      </c>
      <c r="G121" s="1">
        <f t="shared" ca="1" si="79"/>
        <v>26</v>
      </c>
      <c r="H121" s="1">
        <f t="shared" ca="1" si="80"/>
        <v>5</v>
      </c>
      <c r="I121" s="1"/>
      <c r="J121" s="1">
        <f t="shared" ca="1" si="81"/>
        <v>25</v>
      </c>
      <c r="K121" s="1">
        <f t="shared" ca="1" si="82"/>
        <v>2.0902574798971836</v>
      </c>
      <c r="L121" s="1">
        <f t="shared" ca="1" si="83"/>
        <v>4</v>
      </c>
      <c r="M121" s="1"/>
      <c r="N121" s="1">
        <f t="shared" ca="1" si="84"/>
        <v>763</v>
      </c>
      <c r="O121" s="1">
        <f t="shared" ca="1" si="85"/>
        <v>45</v>
      </c>
      <c r="P121" s="1"/>
      <c r="Q121" s="1">
        <f t="shared" ca="1" si="86"/>
        <v>1.7500227862542967</v>
      </c>
      <c r="R121" s="1">
        <f t="shared" ca="1" si="87"/>
        <v>441</v>
      </c>
      <c r="S121" s="1"/>
      <c r="T121" s="1">
        <f t="shared" ca="1" si="88"/>
        <v>5.3701378520521537E-2</v>
      </c>
      <c r="U121" s="1">
        <f t="shared" ca="1" si="89"/>
        <v>223</v>
      </c>
      <c r="V121" s="1">
        <f t="shared" ca="1" si="90"/>
        <v>48</v>
      </c>
      <c r="W121" s="1"/>
      <c r="X121" s="1">
        <f t="shared" ca="1" si="91"/>
        <v>9.8114964466394454</v>
      </c>
      <c r="Y121" s="1">
        <f t="shared" ca="1" si="92"/>
        <v>0.465457546146266</v>
      </c>
      <c r="Z121" s="1">
        <f t="shared" ca="1" si="93"/>
        <v>299</v>
      </c>
      <c r="AB121" s="1">
        <f t="shared" ca="1" si="94"/>
        <v>0.11591405420610466</v>
      </c>
      <c r="AC121" s="1">
        <f t="shared" ca="1" si="95"/>
        <v>979</v>
      </c>
      <c r="AD121" s="1">
        <f t="shared" ca="1" si="96"/>
        <v>4.1994186138070953E-3</v>
      </c>
      <c r="AE121" s="1"/>
      <c r="AF121" s="1">
        <f t="shared" ca="1" si="97"/>
        <v>0.60067957077835676</v>
      </c>
      <c r="AG121" s="1">
        <f t="shared" ca="1" si="98"/>
        <v>679</v>
      </c>
      <c r="AH121" s="1">
        <f t="shared" ca="1" si="99"/>
        <v>9.4470972158555225E-3</v>
      </c>
      <c r="AJ121" s="1">
        <f t="shared" ca="1" si="100"/>
        <v>0.98132028275965089</v>
      </c>
      <c r="AK121" s="1">
        <f t="shared" ca="1" si="101"/>
        <v>6.8825654629048648E-3</v>
      </c>
      <c r="AL121" s="1"/>
      <c r="AM121" s="1">
        <f t="shared" ca="1" si="102"/>
        <v>0.15263045986451593</v>
      </c>
      <c r="AN121" s="1">
        <f t="shared" ca="1" si="103"/>
        <v>64</v>
      </c>
      <c r="AO121" s="1">
        <f t="shared" ca="1" si="104"/>
        <v>16</v>
      </c>
      <c r="AQ121" s="1">
        <f t="shared" ca="1" si="105"/>
        <v>29</v>
      </c>
      <c r="AR121" s="1">
        <f t="shared" ca="1" si="106"/>
        <v>9</v>
      </c>
      <c r="AS121" s="1">
        <f t="shared" ca="1" si="107"/>
        <v>68</v>
      </c>
      <c r="AU121" s="1">
        <f t="shared" ca="1" si="108"/>
        <v>105</v>
      </c>
      <c r="AV121" s="1">
        <f t="shared" ca="1" si="109"/>
        <v>8</v>
      </c>
      <c r="AW121" s="1">
        <f t="shared" ca="1" si="110"/>
        <v>0.15127364019158018</v>
      </c>
      <c r="AY121" s="1">
        <f t="shared" ca="1" si="111"/>
        <v>1.4634942679954412</v>
      </c>
      <c r="AZ121" s="1">
        <f t="shared" ca="1" si="112"/>
        <v>282</v>
      </c>
      <c r="BA121" s="1">
        <f t="shared" ca="1" si="113"/>
        <v>8.5035123913086014E-3</v>
      </c>
      <c r="BG121" s="1">
        <f t="shared" ca="1" si="114"/>
        <v>0.62215361969882088</v>
      </c>
      <c r="BH121" s="1">
        <f t="shared" ca="1" si="115"/>
        <v>0.43225745056969966</v>
      </c>
      <c r="BI121" s="1">
        <f t="shared" ca="1" si="116"/>
        <v>295</v>
      </c>
      <c r="BV121" s="1">
        <f t="shared" ca="1" si="117"/>
        <v>0.63952621211734062</v>
      </c>
      <c r="BW121" s="1">
        <f t="shared" ca="1" si="118"/>
        <v>581</v>
      </c>
      <c r="BX121" s="1">
        <f t="shared" ca="1" si="119"/>
        <v>6.8689022676189501E-3</v>
      </c>
      <c r="BY121" s="1">
        <f t="shared" ca="1" si="120"/>
        <v>1.8615705414317469E-2</v>
      </c>
      <c r="BZ121" s="1">
        <f t="shared" ca="1" si="121"/>
        <v>0.90611723178948311</v>
      </c>
      <c r="CB121" s="1">
        <f t="shared" ca="1" si="122"/>
        <v>406</v>
      </c>
      <c r="CC121" s="1">
        <f t="shared" ca="1" si="123"/>
        <v>12</v>
      </c>
      <c r="CD121" s="1">
        <f t="shared" ca="1" si="124"/>
        <v>6.9245922575308011E-2</v>
      </c>
      <c r="CE121" s="1">
        <f t="shared" ca="1" si="146"/>
        <v>0.8903440824616502</v>
      </c>
      <c r="CF121" s="1">
        <f t="shared" ca="1" si="146"/>
        <v>0.53726228609742166</v>
      </c>
      <c r="CH121" s="3">
        <f t="shared" ca="1" si="126"/>
        <v>0.46721398619942084</v>
      </c>
      <c r="CI121" s="3">
        <f t="shared" ca="1" si="127"/>
        <v>0.59477534749950633</v>
      </c>
      <c r="CJ121" s="3">
        <f t="shared" ca="1" si="128"/>
        <v>686</v>
      </c>
      <c r="CK121" s="3">
        <f t="shared" ca="1" si="129"/>
        <v>6.9734852748565765E-3</v>
      </c>
      <c r="CL121" s="3">
        <f t="shared" ca="1" si="130"/>
        <v>0</v>
      </c>
      <c r="CM121" s="3"/>
      <c r="CN121" s="1">
        <f t="shared" ca="1" si="131"/>
        <v>17.709148502866292</v>
      </c>
      <c r="CO121" s="1">
        <f t="shared" ca="1" si="132"/>
        <v>0.25233796485628146</v>
      </c>
      <c r="CP121" s="1">
        <f t="shared" ca="1" si="133"/>
        <v>2</v>
      </c>
      <c r="CV121" s="1">
        <f t="shared" ca="1" si="134"/>
        <v>5.4411462904821031</v>
      </c>
      <c r="CW121" s="1">
        <f t="shared" ca="1" si="135"/>
        <v>473</v>
      </c>
      <c r="CX121" s="1">
        <f t="shared" ca="1" si="136"/>
        <v>2.3351008382529377E-3</v>
      </c>
      <c r="DH121" s="1">
        <f t="shared" ca="1" si="137"/>
        <v>277</v>
      </c>
      <c r="DI121" s="1">
        <f t="shared" ca="1" si="138"/>
        <v>0.83610092257544244</v>
      </c>
      <c r="DJ121" s="1">
        <f t="shared" ca="1" si="139"/>
        <v>23</v>
      </c>
      <c r="DL121" s="1">
        <f t="shared" ca="1" si="140"/>
        <v>4.9129645349457414E-2</v>
      </c>
      <c r="DM121" s="1">
        <f t="shared" ca="1" si="141"/>
        <v>217</v>
      </c>
      <c r="DN121" s="1">
        <f t="shared" ca="1" si="142"/>
        <v>9</v>
      </c>
      <c r="DW121" s="1">
        <f t="shared" ca="1" si="143"/>
        <v>104</v>
      </c>
      <c r="DX121" s="1">
        <f t="shared" ca="1" si="144"/>
        <v>7</v>
      </c>
      <c r="DY121" s="1">
        <f t="shared" ca="1" si="145"/>
        <v>12</v>
      </c>
    </row>
    <row r="122" spans="2:129" x14ac:dyDescent="0.25">
      <c r="B122">
        <f t="shared" ca="1" si="75"/>
        <v>847</v>
      </c>
      <c r="C122">
        <f t="shared" ca="1" si="76"/>
        <v>11</v>
      </c>
      <c r="D122">
        <f t="shared" ca="1" si="77"/>
        <v>0.25466267804599607</v>
      </c>
      <c r="F122" s="1">
        <f t="shared" ca="1" si="78"/>
        <v>36</v>
      </c>
      <c r="G122" s="1">
        <f t="shared" ca="1" si="79"/>
        <v>15</v>
      </c>
      <c r="H122" s="1">
        <f t="shared" ca="1" si="80"/>
        <v>3</v>
      </c>
      <c r="I122" s="1"/>
      <c r="J122" s="1">
        <f t="shared" ca="1" si="81"/>
        <v>31</v>
      </c>
      <c r="K122" s="1">
        <f t="shared" ca="1" si="82"/>
        <v>2.9416978707741643</v>
      </c>
      <c r="L122" s="1">
        <f t="shared" ca="1" si="83"/>
        <v>19</v>
      </c>
      <c r="M122" s="1"/>
      <c r="N122" s="1">
        <f t="shared" ca="1" si="84"/>
        <v>246</v>
      </c>
      <c r="O122" s="1">
        <f t="shared" ca="1" si="85"/>
        <v>22</v>
      </c>
      <c r="P122" s="1"/>
      <c r="Q122" s="1">
        <f t="shared" ca="1" si="86"/>
        <v>4.8716969790432154</v>
      </c>
      <c r="R122" s="1">
        <f t="shared" ca="1" si="87"/>
        <v>481</v>
      </c>
      <c r="S122" s="1"/>
      <c r="T122" s="1">
        <f t="shared" ca="1" si="88"/>
        <v>2.2796040877006509E-2</v>
      </c>
      <c r="U122" s="1">
        <f t="shared" ca="1" si="89"/>
        <v>179</v>
      </c>
      <c r="V122" s="1">
        <f t="shared" ca="1" si="90"/>
        <v>41</v>
      </c>
      <c r="W122" s="1"/>
      <c r="X122" s="1">
        <f t="shared" ca="1" si="91"/>
        <v>8.3902251174145448</v>
      </c>
      <c r="Y122" s="1">
        <f t="shared" ca="1" si="92"/>
        <v>0.8967353195127139</v>
      </c>
      <c r="Z122" s="1">
        <f t="shared" ca="1" si="93"/>
        <v>935</v>
      </c>
      <c r="AB122" s="1">
        <f t="shared" ca="1" si="94"/>
        <v>0.48846863400668034</v>
      </c>
      <c r="AC122" s="1">
        <f t="shared" ca="1" si="95"/>
        <v>148</v>
      </c>
      <c r="AD122" s="1">
        <f t="shared" ca="1" si="96"/>
        <v>3.6786278132160694E-3</v>
      </c>
      <c r="AE122" s="1"/>
      <c r="AF122" s="1">
        <f t="shared" ca="1" si="97"/>
        <v>0.71257005978026022</v>
      </c>
      <c r="AG122" s="1">
        <f t="shared" ca="1" si="98"/>
        <v>140</v>
      </c>
      <c r="AH122" s="1">
        <f t="shared" ca="1" si="99"/>
        <v>1.8748420114468494E-3</v>
      </c>
      <c r="AJ122" s="1">
        <f t="shared" ca="1" si="100"/>
        <v>0.66631913719682379</v>
      </c>
      <c r="AK122" s="1">
        <f t="shared" ca="1" si="101"/>
        <v>9.7804838499204543E-4</v>
      </c>
      <c r="AL122" s="1"/>
      <c r="AM122" s="1">
        <f t="shared" ca="1" si="102"/>
        <v>6.0441033250324669E-2</v>
      </c>
      <c r="AN122" s="1">
        <f t="shared" ca="1" si="103"/>
        <v>25</v>
      </c>
      <c r="AO122" s="1">
        <f t="shared" ca="1" si="104"/>
        <v>16</v>
      </c>
      <c r="AQ122" s="1">
        <f t="shared" ca="1" si="105"/>
        <v>65</v>
      </c>
      <c r="AR122" s="1">
        <f t="shared" ca="1" si="106"/>
        <v>0</v>
      </c>
      <c r="AS122" s="1">
        <f t="shared" ca="1" si="107"/>
        <v>86</v>
      </c>
      <c r="AU122" s="1">
        <f t="shared" ca="1" si="108"/>
        <v>266</v>
      </c>
      <c r="AV122" s="1">
        <f t="shared" ca="1" si="109"/>
        <v>5</v>
      </c>
      <c r="AW122" s="1">
        <f t="shared" ca="1" si="110"/>
        <v>0.14759071778527019</v>
      </c>
      <c r="AY122" s="1">
        <f t="shared" ca="1" si="111"/>
        <v>1.8240298053629875</v>
      </c>
      <c r="AZ122" s="1">
        <f t="shared" ca="1" si="112"/>
        <v>203</v>
      </c>
      <c r="BA122" s="1">
        <f t="shared" ca="1" si="113"/>
        <v>2.1499339917663523E-3</v>
      </c>
      <c r="BG122" s="1">
        <f t="shared" ca="1" si="114"/>
        <v>0.53640020328004312</v>
      </c>
      <c r="BH122" s="1">
        <f t="shared" ca="1" si="115"/>
        <v>0.3094282776226418</v>
      </c>
      <c r="BI122" s="1">
        <f t="shared" ca="1" si="116"/>
        <v>199</v>
      </c>
      <c r="BV122" s="1">
        <f t="shared" ca="1" si="117"/>
        <v>9.8292716185644294E-2</v>
      </c>
      <c r="BW122" s="1">
        <f t="shared" ca="1" si="118"/>
        <v>707</v>
      </c>
      <c r="BX122" s="1">
        <f t="shared" ca="1" si="119"/>
        <v>9.7572259753533116E-3</v>
      </c>
      <c r="BY122" s="1">
        <f t="shared" ca="1" si="120"/>
        <v>8.8624831533223536E-2</v>
      </c>
      <c r="BZ122" s="1">
        <f t="shared" ca="1" si="121"/>
        <v>0.78911357549195094</v>
      </c>
      <c r="CB122" s="1">
        <f t="shared" ca="1" si="122"/>
        <v>203</v>
      </c>
      <c r="CC122" s="1">
        <f t="shared" ca="1" si="123"/>
        <v>15</v>
      </c>
      <c r="CD122" s="1">
        <f t="shared" ca="1" si="124"/>
        <v>0.1216661011310405</v>
      </c>
      <c r="CE122" s="1">
        <f t="shared" ca="1" si="146"/>
        <v>0.60200284163546369</v>
      </c>
      <c r="CF122" s="1">
        <f t="shared" ca="1" si="146"/>
        <v>0.66573546373379178</v>
      </c>
      <c r="CH122" s="3">
        <f t="shared" ca="1" si="126"/>
        <v>0.71708776789262985</v>
      </c>
      <c r="CI122" s="3">
        <f t="shared" ca="1" si="127"/>
        <v>0.29262985302938382</v>
      </c>
      <c r="CJ122" s="3">
        <f t="shared" ca="1" si="128"/>
        <v>1653</v>
      </c>
      <c r="CK122" s="3">
        <f t="shared" ca="1" si="129"/>
        <v>1.7354274977050502E-3</v>
      </c>
      <c r="CL122" s="3">
        <f t="shared" ca="1" si="130"/>
        <v>0</v>
      </c>
      <c r="CM122" s="3"/>
      <c r="CN122" s="1">
        <f t="shared" ca="1" si="131"/>
        <v>3.3113561658282902</v>
      </c>
      <c r="CO122" s="1">
        <f t="shared" ca="1" si="132"/>
        <v>0.42974024739250188</v>
      </c>
      <c r="CP122" s="1">
        <f t="shared" ca="1" si="133"/>
        <v>1</v>
      </c>
      <c r="CV122" s="1">
        <f t="shared" ca="1" si="134"/>
        <v>6.7654834923467444</v>
      </c>
      <c r="CW122" s="1">
        <f t="shared" ca="1" si="135"/>
        <v>1330</v>
      </c>
      <c r="CX122" s="1">
        <f t="shared" ca="1" si="136"/>
        <v>7.536391439796542E-3</v>
      </c>
      <c r="DH122" s="1">
        <f t="shared" ca="1" si="137"/>
        <v>502</v>
      </c>
      <c r="DI122" s="1">
        <f t="shared" ca="1" si="138"/>
        <v>0.43082790518599584</v>
      </c>
      <c r="DJ122" s="1">
        <f t="shared" ca="1" si="139"/>
        <v>26</v>
      </c>
      <c r="DL122" s="1">
        <f t="shared" ca="1" si="140"/>
        <v>0.12076838416431072</v>
      </c>
      <c r="DM122" s="1">
        <f t="shared" ca="1" si="141"/>
        <v>54</v>
      </c>
      <c r="DN122" s="1">
        <f t="shared" ca="1" si="142"/>
        <v>9</v>
      </c>
      <c r="DW122" s="1">
        <f t="shared" ca="1" si="143"/>
        <v>202</v>
      </c>
      <c r="DX122" s="1">
        <f t="shared" ca="1" si="144"/>
        <v>4</v>
      </c>
      <c r="DY122" s="1">
        <f t="shared" ca="1" si="145"/>
        <v>20</v>
      </c>
    </row>
    <row r="123" spans="2:129" x14ac:dyDescent="0.25">
      <c r="B123">
        <f t="shared" ca="1" si="75"/>
        <v>892</v>
      </c>
      <c r="C123">
        <f t="shared" ca="1" si="76"/>
        <v>14</v>
      </c>
      <c r="D123">
        <f t="shared" ca="1" si="77"/>
        <v>5.6271965368892299E-2</v>
      </c>
      <c r="F123" s="1">
        <f t="shared" ca="1" si="78"/>
        <v>8</v>
      </c>
      <c r="G123" s="1">
        <f t="shared" ca="1" si="79"/>
        <v>15</v>
      </c>
      <c r="H123" s="1">
        <f t="shared" ca="1" si="80"/>
        <v>4</v>
      </c>
      <c r="I123" s="1"/>
      <c r="J123" s="1">
        <f t="shared" ca="1" si="81"/>
        <v>13</v>
      </c>
      <c r="K123" s="1">
        <f t="shared" ca="1" si="82"/>
        <v>1.6556548794941877</v>
      </c>
      <c r="L123" s="1">
        <f t="shared" ca="1" si="83"/>
        <v>22</v>
      </c>
      <c r="M123" s="1"/>
      <c r="N123" s="1">
        <f t="shared" ca="1" si="84"/>
        <v>994</v>
      </c>
      <c r="O123" s="1">
        <f t="shared" ca="1" si="85"/>
        <v>45</v>
      </c>
      <c r="P123" s="1"/>
      <c r="Q123" s="1">
        <f t="shared" ca="1" si="86"/>
        <v>1.3306340955240283</v>
      </c>
      <c r="R123" s="1">
        <f t="shared" ca="1" si="87"/>
        <v>585</v>
      </c>
      <c r="S123" s="1"/>
      <c r="T123" s="1">
        <f t="shared" ca="1" si="88"/>
        <v>7.5415013309214157E-2</v>
      </c>
      <c r="U123" s="1">
        <f t="shared" ca="1" si="89"/>
        <v>66</v>
      </c>
      <c r="V123" s="1">
        <f t="shared" ca="1" si="90"/>
        <v>4</v>
      </c>
      <c r="W123" s="1"/>
      <c r="X123" s="1">
        <f t="shared" ca="1" si="91"/>
        <v>6.783810917670408</v>
      </c>
      <c r="Y123" s="1">
        <f t="shared" ca="1" si="92"/>
        <v>0.45643220565546294</v>
      </c>
      <c r="Z123" s="1">
        <f t="shared" ca="1" si="93"/>
        <v>1615</v>
      </c>
      <c r="AB123" s="1">
        <f t="shared" ca="1" si="94"/>
        <v>0.51311610364262328</v>
      </c>
      <c r="AC123" s="1">
        <f t="shared" ca="1" si="95"/>
        <v>834</v>
      </c>
      <c r="AD123" s="1">
        <f t="shared" ca="1" si="96"/>
        <v>9.4881748601860338E-3</v>
      </c>
      <c r="AE123" s="1"/>
      <c r="AF123" s="1">
        <f t="shared" ca="1" si="97"/>
        <v>0.72833734369549263</v>
      </c>
      <c r="AG123" s="1">
        <f t="shared" ca="1" si="98"/>
        <v>306</v>
      </c>
      <c r="AH123" s="1">
        <f t="shared" ca="1" si="99"/>
        <v>4.962765345134873E-3</v>
      </c>
      <c r="AJ123" s="1">
        <f t="shared" ca="1" si="100"/>
        <v>0.9120136056532786</v>
      </c>
      <c r="AK123" s="1">
        <f t="shared" ca="1" si="101"/>
        <v>3.7406690244132855E-3</v>
      </c>
      <c r="AL123" s="1"/>
      <c r="AM123" s="1">
        <f t="shared" ca="1" si="102"/>
        <v>3.832047064991162E-2</v>
      </c>
      <c r="AN123" s="1">
        <f t="shared" ca="1" si="103"/>
        <v>32</v>
      </c>
      <c r="AO123" s="1">
        <f t="shared" ca="1" si="104"/>
        <v>6</v>
      </c>
      <c r="AQ123" s="1">
        <f t="shared" ca="1" si="105"/>
        <v>93</v>
      </c>
      <c r="AR123" s="1">
        <f t="shared" ca="1" si="106"/>
        <v>6</v>
      </c>
      <c r="AS123" s="1">
        <f t="shared" ca="1" si="107"/>
        <v>45</v>
      </c>
      <c r="AU123" s="1">
        <f t="shared" ca="1" si="108"/>
        <v>333</v>
      </c>
      <c r="AV123" s="1">
        <f t="shared" ca="1" si="109"/>
        <v>10</v>
      </c>
      <c r="AW123" s="1">
        <f t="shared" ca="1" si="110"/>
        <v>0.14964311948268944</v>
      </c>
      <c r="AY123" s="1">
        <f t="shared" ca="1" si="111"/>
        <v>1.3405149823881766</v>
      </c>
      <c r="AZ123" s="1">
        <f t="shared" ca="1" si="112"/>
        <v>256</v>
      </c>
      <c r="BA123" s="1">
        <f t="shared" ca="1" si="113"/>
        <v>6.0309260454473801E-3</v>
      </c>
      <c r="BG123" s="1">
        <f t="shared" ca="1" si="114"/>
        <v>0.34750620210923838</v>
      </c>
      <c r="BH123" s="1">
        <f t="shared" ca="1" si="115"/>
        <v>0.11143004940548662</v>
      </c>
      <c r="BI123" s="1">
        <f t="shared" ca="1" si="116"/>
        <v>893</v>
      </c>
      <c r="BV123" s="1">
        <f t="shared" ca="1" si="117"/>
        <v>0.82670032524322667</v>
      </c>
      <c r="BW123" s="1">
        <f t="shared" ca="1" si="118"/>
        <v>668</v>
      </c>
      <c r="BX123" s="1">
        <f t="shared" ca="1" si="119"/>
        <v>1.5550670793587396E-4</v>
      </c>
      <c r="BY123" s="1">
        <f t="shared" ca="1" si="120"/>
        <v>5.9705235934704289E-2</v>
      </c>
      <c r="BZ123" s="1">
        <f t="shared" ca="1" si="121"/>
        <v>0.31009604029032678</v>
      </c>
      <c r="CB123" s="1">
        <f t="shared" ca="1" si="122"/>
        <v>114</v>
      </c>
      <c r="CC123" s="1">
        <f t="shared" ca="1" si="123"/>
        <v>3</v>
      </c>
      <c r="CD123" s="1">
        <f t="shared" ca="1" si="124"/>
        <v>7.2573835139753642E-2</v>
      </c>
      <c r="CE123" s="1">
        <f t="shared" ca="1" si="146"/>
        <v>0.52495044957597725</v>
      </c>
      <c r="CF123" s="1">
        <f t="shared" ca="1" si="146"/>
        <v>0.87476740488217453</v>
      </c>
      <c r="CH123" s="3">
        <f t="shared" ca="1" si="126"/>
        <v>0.49111456741427845</v>
      </c>
      <c r="CI123" s="3">
        <f t="shared" ca="1" si="127"/>
        <v>0.13592961431254103</v>
      </c>
      <c r="CJ123" s="3">
        <f t="shared" ca="1" si="128"/>
        <v>174</v>
      </c>
      <c r="CK123" s="3">
        <f t="shared" ca="1" si="129"/>
        <v>5.8878842310894335E-3</v>
      </c>
      <c r="CL123" s="3">
        <f t="shared" ca="1" si="130"/>
        <v>0</v>
      </c>
      <c r="CM123" s="3"/>
      <c r="CN123" s="1">
        <f t="shared" ca="1" si="131"/>
        <v>17.922769337895051</v>
      </c>
      <c r="CO123" s="1">
        <f t="shared" ca="1" si="132"/>
        <v>9.9173790853651481E-2</v>
      </c>
      <c r="CP123" s="1">
        <f t="shared" ca="1" si="133"/>
        <v>2</v>
      </c>
      <c r="CV123" s="1">
        <f t="shared" ca="1" si="134"/>
        <v>2.1863128686584252</v>
      </c>
      <c r="CW123" s="1">
        <f t="shared" ca="1" si="135"/>
        <v>1131</v>
      </c>
      <c r="CX123" s="1">
        <f t="shared" ca="1" si="136"/>
        <v>5.9926661169432778E-3</v>
      </c>
      <c r="DH123" s="1">
        <f t="shared" ca="1" si="137"/>
        <v>144</v>
      </c>
      <c r="DI123" s="1">
        <f t="shared" ca="1" si="138"/>
        <v>0.93820030767780749</v>
      </c>
      <c r="DJ123" s="1">
        <f t="shared" ca="1" si="139"/>
        <v>28</v>
      </c>
      <c r="DL123" s="1">
        <f t="shared" ca="1" si="140"/>
        <v>2.511743639289191E-2</v>
      </c>
      <c r="DM123" s="1">
        <f t="shared" ca="1" si="141"/>
        <v>157</v>
      </c>
      <c r="DN123" s="1">
        <f t="shared" ca="1" si="142"/>
        <v>10</v>
      </c>
      <c r="DW123" s="1">
        <f t="shared" ca="1" si="143"/>
        <v>306</v>
      </c>
      <c r="DX123" s="1">
        <f t="shared" ca="1" si="144"/>
        <v>15</v>
      </c>
      <c r="DY123" s="1">
        <f t="shared" ca="1" si="145"/>
        <v>8</v>
      </c>
    </row>
    <row r="124" spans="2:129" x14ac:dyDescent="0.25">
      <c r="B124">
        <f t="shared" ca="1" si="75"/>
        <v>969</v>
      </c>
      <c r="C124">
        <f t="shared" ca="1" si="76"/>
        <v>21</v>
      </c>
      <c r="D124">
        <f t="shared" ca="1" si="77"/>
        <v>0.2540649301212361</v>
      </c>
      <c r="F124" s="1">
        <f t="shared" ca="1" si="78"/>
        <v>21</v>
      </c>
      <c r="G124" s="1">
        <f t="shared" ca="1" si="79"/>
        <v>17</v>
      </c>
      <c r="H124" s="1">
        <f t="shared" ca="1" si="80"/>
        <v>5</v>
      </c>
      <c r="I124" s="1"/>
      <c r="J124" s="1">
        <f t="shared" ca="1" si="81"/>
        <v>32</v>
      </c>
      <c r="K124" s="1">
        <f t="shared" ca="1" si="82"/>
        <v>2.0992418898242855</v>
      </c>
      <c r="L124" s="1">
        <f t="shared" ca="1" si="83"/>
        <v>12</v>
      </c>
      <c r="M124" s="1"/>
      <c r="N124" s="1">
        <f t="shared" ca="1" si="84"/>
        <v>767</v>
      </c>
      <c r="O124" s="1">
        <f t="shared" ca="1" si="85"/>
        <v>44</v>
      </c>
      <c r="P124" s="1"/>
      <c r="Q124" s="1">
        <f t="shared" ca="1" si="86"/>
        <v>1.1469512784525238</v>
      </c>
      <c r="R124" s="1">
        <f t="shared" ca="1" si="87"/>
        <v>350</v>
      </c>
      <c r="S124" s="1"/>
      <c r="T124" s="1">
        <f t="shared" ca="1" si="88"/>
        <v>0.1351268815223641</v>
      </c>
      <c r="U124" s="1">
        <f t="shared" ca="1" si="89"/>
        <v>167</v>
      </c>
      <c r="V124" s="1">
        <f t="shared" ca="1" si="90"/>
        <v>17</v>
      </c>
      <c r="W124" s="1"/>
      <c r="X124" s="1">
        <f t="shared" ca="1" si="91"/>
        <v>2.0507465774021512</v>
      </c>
      <c r="Y124" s="1">
        <f t="shared" ca="1" si="92"/>
        <v>0.99319580112391914</v>
      </c>
      <c r="Z124" s="1">
        <f t="shared" ca="1" si="93"/>
        <v>916</v>
      </c>
      <c r="AB124" s="1">
        <f t="shared" ca="1" si="94"/>
        <v>0.7866477477524505</v>
      </c>
      <c r="AC124" s="1">
        <f t="shared" ca="1" si="95"/>
        <v>768</v>
      </c>
      <c r="AD124" s="1">
        <f t="shared" ca="1" si="96"/>
        <v>3.6432352506475047E-4</v>
      </c>
      <c r="AE124" s="1"/>
      <c r="AF124" s="1">
        <f t="shared" ca="1" si="97"/>
        <v>0.83612713646565373</v>
      </c>
      <c r="AG124" s="1">
        <f t="shared" ca="1" si="98"/>
        <v>584</v>
      </c>
      <c r="AH124" s="1">
        <f t="shared" ca="1" si="99"/>
        <v>2.1366917823543159E-3</v>
      </c>
      <c r="AJ124" s="1">
        <f t="shared" ca="1" si="100"/>
        <v>0.87941387988704089</v>
      </c>
      <c r="AK124" s="1">
        <f t="shared" ca="1" si="101"/>
        <v>7.5966794031813601E-3</v>
      </c>
      <c r="AL124" s="1"/>
      <c r="AM124" s="1">
        <f t="shared" ca="1" si="102"/>
        <v>7.4990316005842703E-2</v>
      </c>
      <c r="AN124" s="1">
        <f t="shared" ca="1" si="103"/>
        <v>48</v>
      </c>
      <c r="AO124" s="1">
        <f t="shared" ca="1" si="104"/>
        <v>6</v>
      </c>
      <c r="AQ124" s="1">
        <f t="shared" ca="1" si="105"/>
        <v>148</v>
      </c>
      <c r="AR124" s="1">
        <f t="shared" ca="1" si="106"/>
        <v>0</v>
      </c>
      <c r="AS124" s="1">
        <f t="shared" ca="1" si="107"/>
        <v>59</v>
      </c>
      <c r="AU124" s="1">
        <f t="shared" ca="1" si="108"/>
        <v>74</v>
      </c>
      <c r="AV124" s="1">
        <f t="shared" ca="1" si="109"/>
        <v>4</v>
      </c>
      <c r="AW124" s="1">
        <f t="shared" ca="1" si="110"/>
        <v>0.12033127720060142</v>
      </c>
      <c r="AY124" s="1">
        <f t="shared" ca="1" si="111"/>
        <v>1.4194294026504539</v>
      </c>
      <c r="AZ124" s="1">
        <f t="shared" ca="1" si="112"/>
        <v>347</v>
      </c>
      <c r="BA124" s="1">
        <f t="shared" ca="1" si="113"/>
        <v>2.4906827843326686E-4</v>
      </c>
      <c r="BG124" s="1">
        <f t="shared" ca="1" si="114"/>
        <v>0.76586834726116138</v>
      </c>
      <c r="BH124" s="1">
        <f t="shared" ca="1" si="115"/>
        <v>0.33324324756359158</v>
      </c>
      <c r="BI124" s="1">
        <f t="shared" ca="1" si="116"/>
        <v>442</v>
      </c>
      <c r="BV124" s="1">
        <f t="shared" ca="1" si="117"/>
        <v>0.93661653720926841</v>
      </c>
      <c r="BW124" s="1">
        <f t="shared" ca="1" si="118"/>
        <v>155</v>
      </c>
      <c r="BX124" s="1">
        <f t="shared" ca="1" si="119"/>
        <v>3.8795359263774499E-3</v>
      </c>
      <c r="BY124" s="1">
        <f t="shared" ca="1" si="120"/>
        <v>2.994838494100429E-2</v>
      </c>
      <c r="BZ124" s="1">
        <f t="shared" ca="1" si="121"/>
        <v>0.64968798394131899</v>
      </c>
      <c r="CB124" s="1">
        <f t="shared" ca="1" si="122"/>
        <v>386</v>
      </c>
      <c r="CC124" s="1">
        <f t="shared" ca="1" si="123"/>
        <v>13</v>
      </c>
      <c r="CD124" s="1">
        <f t="shared" ca="1" si="124"/>
        <v>0.18962705969743815</v>
      </c>
      <c r="CE124" s="1">
        <f t="shared" ca="1" si="146"/>
        <v>0.6029736130663077</v>
      </c>
      <c r="CF124" s="1">
        <f t="shared" ca="1" si="146"/>
        <v>0.61725681593219317</v>
      </c>
      <c r="CH124" s="3">
        <f t="shared" ca="1" si="126"/>
        <v>0.66729315476661133</v>
      </c>
      <c r="CI124" s="3">
        <f t="shared" ca="1" si="127"/>
        <v>0.81670786670544571</v>
      </c>
      <c r="CJ124" s="3">
        <f t="shared" ca="1" si="128"/>
        <v>724</v>
      </c>
      <c r="CK124" s="3">
        <f t="shared" ca="1" si="129"/>
        <v>5.6285646909535374E-3</v>
      </c>
      <c r="CL124" s="3">
        <f t="shared" ca="1" si="130"/>
        <v>0</v>
      </c>
      <c r="CM124" s="3"/>
      <c r="CN124" s="1">
        <f t="shared" ca="1" si="131"/>
        <v>0.408703008623306</v>
      </c>
      <c r="CO124" s="1">
        <f t="shared" ca="1" si="132"/>
        <v>0.37491091110666191</v>
      </c>
      <c r="CP124" s="1">
        <f t="shared" ca="1" si="133"/>
        <v>2</v>
      </c>
      <c r="CV124" s="1">
        <f t="shared" ca="1" si="134"/>
        <v>2.5782480449391416</v>
      </c>
      <c r="CW124" s="1">
        <f t="shared" ca="1" si="135"/>
        <v>708</v>
      </c>
      <c r="CX124" s="1">
        <f t="shared" ca="1" si="136"/>
        <v>7.8264853281192412E-3</v>
      </c>
      <c r="DH124" s="1">
        <f t="shared" ca="1" si="137"/>
        <v>569</v>
      </c>
      <c r="DI124" s="1">
        <f t="shared" ca="1" si="138"/>
        <v>0.72931938144728181</v>
      </c>
      <c r="DJ124" s="1">
        <f t="shared" ca="1" si="139"/>
        <v>21</v>
      </c>
      <c r="DL124" s="1">
        <f t="shared" ca="1" si="140"/>
        <v>0.11499915819001422</v>
      </c>
      <c r="DM124" s="1">
        <f t="shared" ca="1" si="141"/>
        <v>264</v>
      </c>
      <c r="DN124" s="1">
        <f t="shared" ca="1" si="142"/>
        <v>7</v>
      </c>
      <c r="DW124" s="1">
        <f t="shared" ca="1" si="143"/>
        <v>418</v>
      </c>
      <c r="DX124" s="1">
        <f t="shared" ca="1" si="144"/>
        <v>3</v>
      </c>
      <c r="DY124" s="1">
        <f t="shared" ca="1" si="145"/>
        <v>15</v>
      </c>
    </row>
    <row r="125" spans="2:129" x14ac:dyDescent="0.25">
      <c r="B125">
        <f t="shared" ca="1" si="75"/>
        <v>344</v>
      </c>
      <c r="C125">
        <f t="shared" ca="1" si="76"/>
        <v>27</v>
      </c>
      <c r="D125">
        <f t="shared" ca="1" si="77"/>
        <v>0.20209872719276331</v>
      </c>
      <c r="F125" s="1">
        <f t="shared" ca="1" si="78"/>
        <v>39</v>
      </c>
      <c r="G125" s="1">
        <f t="shared" ca="1" si="79"/>
        <v>14</v>
      </c>
      <c r="H125" s="1">
        <f t="shared" ca="1" si="80"/>
        <v>3</v>
      </c>
      <c r="I125" s="1"/>
      <c r="J125" s="1">
        <f t="shared" ca="1" si="81"/>
        <v>6</v>
      </c>
      <c r="K125" s="1">
        <f t="shared" ca="1" si="82"/>
        <v>1.2467571660362766</v>
      </c>
      <c r="L125" s="1">
        <f t="shared" ca="1" si="83"/>
        <v>33</v>
      </c>
      <c r="M125" s="1"/>
      <c r="N125" s="1">
        <f t="shared" ca="1" si="84"/>
        <v>777</v>
      </c>
      <c r="O125" s="1">
        <f t="shared" ca="1" si="85"/>
        <v>21</v>
      </c>
      <c r="P125" s="1"/>
      <c r="Q125" s="1">
        <f t="shared" ca="1" si="86"/>
        <v>1.8901545141662808</v>
      </c>
      <c r="R125" s="1">
        <f t="shared" ca="1" si="87"/>
        <v>337</v>
      </c>
      <c r="S125" s="1"/>
      <c r="T125" s="1">
        <f t="shared" ca="1" si="88"/>
        <v>0.10735185603790558</v>
      </c>
      <c r="U125" s="1">
        <f t="shared" ca="1" si="89"/>
        <v>425</v>
      </c>
      <c r="V125" s="1">
        <f t="shared" ca="1" si="90"/>
        <v>19</v>
      </c>
      <c r="W125" s="1"/>
      <c r="X125" s="1">
        <f t="shared" ca="1" si="91"/>
        <v>6.227428238216806</v>
      </c>
      <c r="Y125" s="1">
        <f t="shared" ca="1" si="92"/>
        <v>0.12776235778568529</v>
      </c>
      <c r="Z125" s="1">
        <f t="shared" ca="1" si="93"/>
        <v>1455</v>
      </c>
      <c r="AB125" s="1">
        <f t="shared" ca="1" si="94"/>
        <v>0.47568048603518726</v>
      </c>
      <c r="AC125" s="1">
        <f t="shared" ca="1" si="95"/>
        <v>819</v>
      </c>
      <c r="AD125" s="1">
        <f t="shared" ca="1" si="96"/>
        <v>1.7622582955578354E-3</v>
      </c>
      <c r="AE125" s="1"/>
      <c r="AF125" s="1">
        <f t="shared" ca="1" si="97"/>
        <v>0.77733029094586448</v>
      </c>
      <c r="AG125" s="1">
        <f t="shared" ca="1" si="98"/>
        <v>408</v>
      </c>
      <c r="AH125" s="1">
        <f t="shared" ca="1" si="99"/>
        <v>9.8323351795153828E-3</v>
      </c>
      <c r="AJ125" s="1">
        <f t="shared" ca="1" si="100"/>
        <v>0.63735484330818348</v>
      </c>
      <c r="AK125" s="1">
        <f t="shared" ca="1" si="101"/>
        <v>6.9164595851991329E-3</v>
      </c>
      <c r="AL125" s="1"/>
      <c r="AM125" s="1">
        <f t="shared" ca="1" si="102"/>
        <v>9.9524280064468798E-2</v>
      </c>
      <c r="AN125" s="1">
        <f t="shared" ca="1" si="103"/>
        <v>31</v>
      </c>
      <c r="AO125" s="1">
        <f t="shared" ca="1" si="104"/>
        <v>6</v>
      </c>
      <c r="AQ125" s="1">
        <f t="shared" ca="1" si="105"/>
        <v>107</v>
      </c>
      <c r="AR125" s="1">
        <f t="shared" ca="1" si="106"/>
        <v>1</v>
      </c>
      <c r="AS125" s="1">
        <f t="shared" ca="1" si="107"/>
        <v>13</v>
      </c>
      <c r="AU125" s="1">
        <f t="shared" ca="1" si="108"/>
        <v>389</v>
      </c>
      <c r="AV125" s="1">
        <f t="shared" ca="1" si="109"/>
        <v>10</v>
      </c>
      <c r="AW125" s="1">
        <f t="shared" ca="1" si="110"/>
        <v>0.16040534227988679</v>
      </c>
      <c r="AY125" s="1">
        <f t="shared" ca="1" si="111"/>
        <v>1.6826529879342769</v>
      </c>
      <c r="AZ125" s="1">
        <f t="shared" ca="1" si="112"/>
        <v>161</v>
      </c>
      <c r="BA125" s="1">
        <f t="shared" ca="1" si="113"/>
        <v>1.3530292777020345E-3</v>
      </c>
      <c r="BG125" s="1">
        <f t="shared" ca="1" si="114"/>
        <v>0.61619292485415855</v>
      </c>
      <c r="BH125" s="1">
        <f t="shared" ca="1" si="115"/>
        <v>0.42240652971387915</v>
      </c>
      <c r="BI125" s="1">
        <f t="shared" ca="1" si="116"/>
        <v>316</v>
      </c>
      <c r="BV125" s="1">
        <f t="shared" ca="1" si="117"/>
        <v>0.16208578154548539</v>
      </c>
      <c r="BW125" s="1">
        <f t="shared" ca="1" si="118"/>
        <v>250</v>
      </c>
      <c r="BX125" s="1">
        <f t="shared" ca="1" si="119"/>
        <v>7.8833749191189097E-3</v>
      </c>
      <c r="BY125" s="1">
        <f t="shared" ca="1" si="120"/>
        <v>4.2608635923921633E-2</v>
      </c>
      <c r="BZ125" s="1">
        <f t="shared" ca="1" si="121"/>
        <v>0.82771741308152513</v>
      </c>
      <c r="CB125" s="1">
        <f t="shared" ca="1" si="122"/>
        <v>266</v>
      </c>
      <c r="CC125" s="1">
        <f t="shared" ca="1" si="123"/>
        <v>12</v>
      </c>
      <c r="CD125" s="1">
        <f t="shared" ca="1" si="124"/>
        <v>0.19760202967669482</v>
      </c>
      <c r="CE125" s="1">
        <f t="shared" ca="1" si="146"/>
        <v>0.87360902544686336</v>
      </c>
      <c r="CF125" s="1">
        <f t="shared" ca="1" si="146"/>
        <v>0.86259274899176819</v>
      </c>
      <c r="CH125" s="3">
        <f t="shared" ca="1" si="126"/>
        <v>0.34001641715618175</v>
      </c>
      <c r="CI125" s="3">
        <f t="shared" ca="1" si="127"/>
        <v>0.60092878190487919</v>
      </c>
      <c r="CJ125" s="3">
        <f t="shared" ca="1" si="128"/>
        <v>428</v>
      </c>
      <c r="CK125" s="3">
        <f t="shared" ca="1" si="129"/>
        <v>9.9172162361025398E-3</v>
      </c>
      <c r="CL125" s="3">
        <f t="shared" ca="1" si="130"/>
        <v>0</v>
      </c>
      <c r="CM125" s="3"/>
      <c r="CN125" s="1">
        <f t="shared" ca="1" si="131"/>
        <v>18.274177203392124</v>
      </c>
      <c r="CO125" s="1">
        <f t="shared" ca="1" si="132"/>
        <v>0.44272504433152726</v>
      </c>
      <c r="CP125" s="1">
        <f t="shared" ca="1" si="133"/>
        <v>4</v>
      </c>
      <c r="CV125" s="1">
        <f t="shared" ca="1" si="134"/>
        <v>4.3371179810906817</v>
      </c>
      <c r="CW125" s="1">
        <f t="shared" ca="1" si="135"/>
        <v>151</v>
      </c>
      <c r="CX125" s="1">
        <f t="shared" ca="1" si="136"/>
        <v>6.3847975611103251E-3</v>
      </c>
      <c r="DH125" s="1">
        <f t="shared" ca="1" si="137"/>
        <v>463</v>
      </c>
      <c r="DI125" s="1">
        <f t="shared" ca="1" si="138"/>
        <v>5.0612174589503657E-2</v>
      </c>
      <c r="DJ125" s="1">
        <f t="shared" ca="1" si="139"/>
        <v>26</v>
      </c>
      <c r="DL125" s="1">
        <f t="shared" ca="1" si="140"/>
        <v>9.9806472505831287E-2</v>
      </c>
      <c r="DM125" s="1">
        <f t="shared" ca="1" si="141"/>
        <v>122</v>
      </c>
      <c r="DN125" s="1">
        <f t="shared" ca="1" si="142"/>
        <v>1</v>
      </c>
      <c r="DW125" s="1">
        <f t="shared" ca="1" si="143"/>
        <v>222</v>
      </c>
      <c r="DX125" s="1">
        <f t="shared" ca="1" si="144"/>
        <v>13</v>
      </c>
      <c r="DY125" s="1">
        <f t="shared" ca="1" si="145"/>
        <v>16</v>
      </c>
    </row>
    <row r="126" spans="2:129" x14ac:dyDescent="0.25">
      <c r="B126">
        <f t="shared" ca="1" si="75"/>
        <v>309</v>
      </c>
      <c r="C126">
        <f t="shared" ca="1" si="76"/>
        <v>22</v>
      </c>
      <c r="D126">
        <f t="shared" ca="1" si="77"/>
        <v>1.0658944511082796E-2</v>
      </c>
      <c r="F126" s="1">
        <f t="shared" ca="1" si="78"/>
        <v>23</v>
      </c>
      <c r="G126" s="1">
        <f t="shared" ca="1" si="79"/>
        <v>20</v>
      </c>
      <c r="H126" s="1">
        <f t="shared" ca="1" si="80"/>
        <v>1</v>
      </c>
      <c r="I126" s="1"/>
      <c r="J126" s="1">
        <f t="shared" ca="1" si="81"/>
        <v>36</v>
      </c>
      <c r="K126" s="1">
        <f t="shared" ca="1" si="82"/>
        <v>1.6174346828913704</v>
      </c>
      <c r="L126" s="1">
        <f t="shared" ca="1" si="83"/>
        <v>5</v>
      </c>
      <c r="M126" s="1"/>
      <c r="N126" s="1">
        <f t="shared" ca="1" si="84"/>
        <v>374</v>
      </c>
      <c r="O126" s="1">
        <f t="shared" ca="1" si="85"/>
        <v>16</v>
      </c>
      <c r="P126" s="1"/>
      <c r="Q126" s="1">
        <f t="shared" ca="1" si="86"/>
        <v>4.2851363959479389</v>
      </c>
      <c r="R126" s="1">
        <f t="shared" ca="1" si="87"/>
        <v>315</v>
      </c>
      <c r="S126" s="1"/>
      <c r="T126" s="1">
        <f t="shared" ca="1" si="88"/>
        <v>0.12590424057614599</v>
      </c>
      <c r="U126" s="1">
        <f t="shared" ca="1" si="89"/>
        <v>378</v>
      </c>
      <c r="V126" s="1">
        <f t="shared" ca="1" si="90"/>
        <v>29</v>
      </c>
      <c r="W126" s="1"/>
      <c r="X126" s="1">
        <f t="shared" ca="1" si="91"/>
        <v>4.8776694086412844</v>
      </c>
      <c r="Y126" s="1">
        <f t="shared" ca="1" si="92"/>
        <v>0.17417269149650583</v>
      </c>
      <c r="Z126" s="1">
        <f t="shared" ca="1" si="93"/>
        <v>501</v>
      </c>
      <c r="AB126" s="1">
        <f t="shared" ca="1" si="94"/>
        <v>0.37945359958600244</v>
      </c>
      <c r="AC126" s="1">
        <f t="shared" ca="1" si="95"/>
        <v>566</v>
      </c>
      <c r="AD126" s="1">
        <f t="shared" ca="1" si="96"/>
        <v>1.3920068632887826E-3</v>
      </c>
      <c r="AE126" s="1"/>
      <c r="AF126" s="1">
        <f t="shared" ca="1" si="97"/>
        <v>0.88353851785425952</v>
      </c>
      <c r="AG126" s="1">
        <f t="shared" ca="1" si="98"/>
        <v>877</v>
      </c>
      <c r="AH126" s="1">
        <f t="shared" ca="1" si="99"/>
        <v>7.3707318236984854E-3</v>
      </c>
      <c r="AJ126" s="1">
        <f t="shared" ca="1" si="100"/>
        <v>0.20201973301266984</v>
      </c>
      <c r="AK126" s="1">
        <f t="shared" ca="1" si="101"/>
        <v>1.4322552109055416E-3</v>
      </c>
      <c r="AL126" s="1"/>
      <c r="AM126" s="1">
        <f t="shared" ca="1" si="102"/>
        <v>3.6376356315330309E-2</v>
      </c>
      <c r="AN126" s="1">
        <f t="shared" ca="1" si="103"/>
        <v>49</v>
      </c>
      <c r="AO126" s="1">
        <f t="shared" ca="1" si="104"/>
        <v>7</v>
      </c>
      <c r="AQ126" s="1">
        <f t="shared" ca="1" si="105"/>
        <v>116</v>
      </c>
      <c r="AR126" s="1">
        <f t="shared" ca="1" si="106"/>
        <v>4</v>
      </c>
      <c r="AS126" s="1">
        <f t="shared" ca="1" si="107"/>
        <v>55</v>
      </c>
      <c r="AU126" s="1">
        <f t="shared" ca="1" si="108"/>
        <v>322</v>
      </c>
      <c r="AV126" s="1">
        <f t="shared" ca="1" si="109"/>
        <v>10</v>
      </c>
      <c r="AW126" s="1">
        <f t="shared" ca="1" si="110"/>
        <v>0.19551200103447178</v>
      </c>
      <c r="AY126" s="1">
        <f t="shared" ca="1" si="111"/>
        <v>1.5541991236798796</v>
      </c>
      <c r="AZ126" s="1">
        <f t="shared" ca="1" si="112"/>
        <v>248</v>
      </c>
      <c r="BA126" s="1">
        <f t="shared" ca="1" si="113"/>
        <v>5.2406744928744902E-3</v>
      </c>
      <c r="BG126" s="1">
        <f t="shared" ca="1" si="114"/>
        <v>0.77303489734759279</v>
      </c>
      <c r="BH126" s="1">
        <f t="shared" ca="1" si="115"/>
        <v>0.88945552340938494</v>
      </c>
      <c r="BI126" s="1">
        <f t="shared" ca="1" si="116"/>
        <v>503</v>
      </c>
      <c r="BV126" s="1">
        <f t="shared" ca="1" si="117"/>
        <v>0.19378953601049501</v>
      </c>
      <c r="BW126" s="1">
        <f t="shared" ca="1" si="118"/>
        <v>617</v>
      </c>
      <c r="BX126" s="1">
        <f t="shared" ca="1" si="119"/>
        <v>9.0602894880437539E-3</v>
      </c>
      <c r="BY126" s="1">
        <f t="shared" ca="1" si="120"/>
        <v>3.934299869319742E-2</v>
      </c>
      <c r="BZ126" s="1">
        <f t="shared" ca="1" si="121"/>
        <v>0.87471967880064594</v>
      </c>
      <c r="CB126" s="1">
        <f t="shared" ca="1" si="122"/>
        <v>206</v>
      </c>
      <c r="CC126" s="1">
        <f t="shared" ca="1" si="123"/>
        <v>11</v>
      </c>
      <c r="CD126" s="1">
        <f t="shared" ca="1" si="124"/>
        <v>4.6735993102645965E-2</v>
      </c>
      <c r="CE126" s="1">
        <f t="shared" ca="1" si="146"/>
        <v>0.79854725521656966</v>
      </c>
      <c r="CF126" s="1">
        <f t="shared" ca="1" si="146"/>
        <v>0.70340864275243009</v>
      </c>
      <c r="CH126" s="3">
        <f t="shared" ca="1" si="126"/>
        <v>3.3039255591029479E-2</v>
      </c>
      <c r="CI126" s="3">
        <f t="shared" ca="1" si="127"/>
        <v>0.23997066863489436</v>
      </c>
      <c r="CJ126" s="3">
        <f t="shared" ca="1" si="128"/>
        <v>1271</v>
      </c>
      <c r="CK126" s="3">
        <f t="shared" ca="1" si="129"/>
        <v>6.986430749506921E-3</v>
      </c>
      <c r="CL126" s="3">
        <f t="shared" ca="1" si="130"/>
        <v>0</v>
      </c>
      <c r="CM126" s="3"/>
      <c r="CN126" s="1">
        <f t="shared" ca="1" si="131"/>
        <v>4.018327918848537</v>
      </c>
      <c r="CO126" s="1">
        <f t="shared" ca="1" si="132"/>
        <v>0.24528693687848527</v>
      </c>
      <c r="CP126" s="1">
        <f t="shared" ca="1" si="133"/>
        <v>1</v>
      </c>
      <c r="CV126" s="1">
        <f t="shared" ca="1" si="134"/>
        <v>9.4669781078140165</v>
      </c>
      <c r="CW126" s="1">
        <f t="shared" ca="1" si="135"/>
        <v>1030</v>
      </c>
      <c r="CX126" s="1">
        <f t="shared" ca="1" si="136"/>
        <v>6.0647872891362387E-3</v>
      </c>
      <c r="DH126" s="1">
        <f t="shared" ca="1" si="137"/>
        <v>550</v>
      </c>
      <c r="DI126" s="1">
        <f t="shared" ca="1" si="138"/>
        <v>0.68079143681523657</v>
      </c>
      <c r="DJ126" s="1">
        <f t="shared" ca="1" si="139"/>
        <v>30</v>
      </c>
      <c r="DL126" s="1">
        <f t="shared" ca="1" si="140"/>
        <v>0.19999718609471526</v>
      </c>
      <c r="DM126" s="1">
        <f t="shared" ca="1" si="141"/>
        <v>70</v>
      </c>
      <c r="DN126" s="1">
        <f t="shared" ca="1" si="142"/>
        <v>6</v>
      </c>
      <c r="DW126" s="1">
        <f t="shared" ca="1" si="143"/>
        <v>499</v>
      </c>
      <c r="DX126" s="1">
        <f t="shared" ca="1" si="144"/>
        <v>3</v>
      </c>
      <c r="DY126" s="1">
        <f t="shared" ca="1" si="145"/>
        <v>16</v>
      </c>
    </row>
    <row r="127" spans="2:129" x14ac:dyDescent="0.25">
      <c r="B127">
        <f t="shared" ca="1" si="75"/>
        <v>604</v>
      </c>
      <c r="C127">
        <f t="shared" ca="1" si="76"/>
        <v>43</v>
      </c>
      <c r="D127">
        <f t="shared" ca="1" si="77"/>
        <v>8.6470660421870488E-2</v>
      </c>
      <c r="F127" s="1">
        <f t="shared" ca="1" si="78"/>
        <v>14</v>
      </c>
      <c r="G127" s="1">
        <f t="shared" ca="1" si="79"/>
        <v>15</v>
      </c>
      <c r="H127" s="1">
        <f t="shared" ca="1" si="80"/>
        <v>9</v>
      </c>
      <c r="I127" s="1"/>
      <c r="J127" s="1">
        <f t="shared" ca="1" si="81"/>
        <v>14</v>
      </c>
      <c r="K127" s="1">
        <f t="shared" ca="1" si="82"/>
        <v>2.3613906137297338</v>
      </c>
      <c r="L127" s="1">
        <f t="shared" ca="1" si="83"/>
        <v>2</v>
      </c>
      <c r="M127" s="1"/>
      <c r="N127" s="1">
        <f t="shared" ca="1" si="84"/>
        <v>368</v>
      </c>
      <c r="O127" s="1">
        <f t="shared" ca="1" si="85"/>
        <v>34</v>
      </c>
      <c r="P127" s="1"/>
      <c r="Q127" s="1">
        <f t="shared" ca="1" si="86"/>
        <v>0.26860243567008285</v>
      </c>
      <c r="R127" s="1">
        <f t="shared" ca="1" si="87"/>
        <v>838</v>
      </c>
      <c r="S127" s="1"/>
      <c r="T127" s="1">
        <f t="shared" ca="1" si="88"/>
        <v>0.10066444455971299</v>
      </c>
      <c r="U127" s="1">
        <f t="shared" ca="1" si="89"/>
        <v>449</v>
      </c>
      <c r="V127" s="1">
        <f t="shared" ca="1" si="90"/>
        <v>20</v>
      </c>
      <c r="W127" s="1"/>
      <c r="X127" s="1">
        <f t="shared" ca="1" si="91"/>
        <v>2.9346573441324479</v>
      </c>
      <c r="Y127" s="1">
        <f t="shared" ca="1" si="92"/>
        <v>0.61339719200755105</v>
      </c>
      <c r="Z127" s="1">
        <f t="shared" ca="1" si="93"/>
        <v>1473</v>
      </c>
      <c r="AB127" s="1">
        <f t="shared" ca="1" si="94"/>
        <v>0.43095512401852554</v>
      </c>
      <c r="AC127" s="1">
        <f t="shared" ca="1" si="95"/>
        <v>717</v>
      </c>
      <c r="AD127" s="1">
        <f t="shared" ca="1" si="96"/>
        <v>3.9955853104488021E-4</v>
      </c>
      <c r="AE127" s="1"/>
      <c r="AF127" s="1">
        <f t="shared" ca="1" si="97"/>
        <v>0.61839984110707258</v>
      </c>
      <c r="AG127" s="1">
        <f t="shared" ca="1" si="98"/>
        <v>369</v>
      </c>
      <c r="AH127" s="1">
        <f t="shared" ca="1" si="99"/>
        <v>5.4144457756302418E-3</v>
      </c>
      <c r="AJ127" s="1">
        <f t="shared" ca="1" si="100"/>
        <v>0.5206981064417221</v>
      </c>
      <c r="AK127" s="1">
        <f t="shared" ca="1" si="101"/>
        <v>3.9665671075217344E-3</v>
      </c>
      <c r="AL127" s="1"/>
      <c r="AM127" s="1">
        <f t="shared" ca="1" si="102"/>
        <v>0.16362343589712713</v>
      </c>
      <c r="AN127" s="1">
        <f t="shared" ca="1" si="103"/>
        <v>55</v>
      </c>
      <c r="AO127" s="1">
        <f t="shared" ca="1" si="104"/>
        <v>9</v>
      </c>
      <c r="AQ127" s="1">
        <f t="shared" ca="1" si="105"/>
        <v>189</v>
      </c>
      <c r="AR127" s="1">
        <f t="shared" ca="1" si="106"/>
        <v>4</v>
      </c>
      <c r="AS127" s="1">
        <f t="shared" ca="1" si="107"/>
        <v>30</v>
      </c>
      <c r="AU127" s="1">
        <f t="shared" ca="1" si="108"/>
        <v>198</v>
      </c>
      <c r="AV127" s="1">
        <f t="shared" ca="1" si="109"/>
        <v>4</v>
      </c>
      <c r="AW127" s="1">
        <f t="shared" ca="1" si="110"/>
        <v>0.14093131524796551</v>
      </c>
      <c r="AY127" s="1">
        <f t="shared" ca="1" si="111"/>
        <v>1.251627941064777</v>
      </c>
      <c r="AZ127" s="1">
        <f t="shared" ca="1" si="112"/>
        <v>91</v>
      </c>
      <c r="BA127" s="1">
        <f t="shared" ca="1" si="113"/>
        <v>3.3489149486888208E-3</v>
      </c>
      <c r="BG127" s="1">
        <f t="shared" ca="1" si="114"/>
        <v>0.51510892699303967</v>
      </c>
      <c r="BH127" s="1">
        <f t="shared" ca="1" si="115"/>
        <v>0.93068617899293371</v>
      </c>
      <c r="BI127" s="1">
        <f t="shared" ca="1" si="116"/>
        <v>147</v>
      </c>
      <c r="BV127" s="1">
        <f t="shared" ca="1" si="117"/>
        <v>0.17156904602383649</v>
      </c>
      <c r="BW127" s="1">
        <f t="shared" ca="1" si="118"/>
        <v>441</v>
      </c>
      <c r="BX127" s="1">
        <f t="shared" ca="1" si="119"/>
        <v>1.7699502395363588E-3</v>
      </c>
      <c r="BY127" s="1">
        <f t="shared" ca="1" si="120"/>
        <v>9.5349967829462048E-2</v>
      </c>
      <c r="BZ127" s="1">
        <f t="shared" ca="1" si="121"/>
        <v>7.0766499867915722E-2</v>
      </c>
      <c r="CB127" s="1">
        <f t="shared" ca="1" si="122"/>
        <v>112</v>
      </c>
      <c r="CC127" s="1">
        <f t="shared" ca="1" si="123"/>
        <v>13</v>
      </c>
      <c r="CD127" s="1">
        <f t="shared" ca="1" si="124"/>
        <v>0.28815487502427434</v>
      </c>
      <c r="CE127" s="1">
        <f t="shared" ca="1" si="146"/>
        <v>0.91664083662897777</v>
      </c>
      <c r="CF127" s="1">
        <f t="shared" ca="1" si="146"/>
        <v>0.72513715899924436</v>
      </c>
      <c r="CH127" s="3">
        <f t="shared" ca="1" si="126"/>
        <v>0.81842108566478544</v>
      </c>
      <c r="CI127" s="3">
        <f t="shared" ca="1" si="127"/>
        <v>0.17255310581668748</v>
      </c>
      <c r="CJ127" s="3">
        <f t="shared" ca="1" si="128"/>
        <v>1760</v>
      </c>
      <c r="CK127" s="3">
        <f t="shared" ca="1" si="129"/>
        <v>8.7498893346388291E-3</v>
      </c>
      <c r="CL127" s="3">
        <f t="shared" ca="1" si="130"/>
        <v>0</v>
      </c>
      <c r="CM127" s="3"/>
      <c r="CN127" s="1">
        <f t="shared" ca="1" si="131"/>
        <v>2.4033976891255238</v>
      </c>
      <c r="CO127" s="1">
        <f t="shared" ca="1" si="132"/>
        <v>9.8196268807047779E-3</v>
      </c>
      <c r="CP127" s="1">
        <f t="shared" ca="1" si="133"/>
        <v>2</v>
      </c>
      <c r="CV127" s="1">
        <f t="shared" ca="1" si="134"/>
        <v>5.9363539425324339</v>
      </c>
      <c r="CW127" s="1">
        <f t="shared" ca="1" si="135"/>
        <v>659</v>
      </c>
      <c r="CX127" s="1">
        <f t="shared" ca="1" si="136"/>
        <v>7.1110009908012216E-3</v>
      </c>
      <c r="DH127" s="1">
        <f t="shared" ca="1" si="137"/>
        <v>435</v>
      </c>
      <c r="DI127" s="1">
        <f t="shared" ca="1" si="138"/>
        <v>0.56600432495461561</v>
      </c>
      <c r="DJ127" s="1">
        <f t="shared" ca="1" si="139"/>
        <v>9</v>
      </c>
      <c r="DL127" s="1">
        <f t="shared" ca="1" si="140"/>
        <v>0.18496251798833868</v>
      </c>
      <c r="DM127" s="1">
        <f t="shared" ca="1" si="141"/>
        <v>141</v>
      </c>
      <c r="DN127" s="1">
        <f t="shared" ca="1" si="142"/>
        <v>10</v>
      </c>
      <c r="DW127" s="1">
        <f t="shared" ca="1" si="143"/>
        <v>161</v>
      </c>
      <c r="DX127" s="1">
        <f t="shared" ca="1" si="144"/>
        <v>18</v>
      </c>
      <c r="DY127" s="1">
        <f t="shared" ca="1" si="145"/>
        <v>7</v>
      </c>
    </row>
    <row r="128" spans="2:129" x14ac:dyDescent="0.25">
      <c r="B128">
        <f t="shared" ca="1" si="75"/>
        <v>333</v>
      </c>
      <c r="C128">
        <f t="shared" ca="1" si="76"/>
        <v>46</v>
      </c>
      <c r="D128">
        <f t="shared" ca="1" si="77"/>
        <v>0.25679193939991513</v>
      </c>
      <c r="F128" s="1">
        <f t="shared" ca="1" si="78"/>
        <v>35</v>
      </c>
      <c r="G128" s="1">
        <f t="shared" ca="1" si="79"/>
        <v>9</v>
      </c>
      <c r="H128" s="1">
        <f t="shared" ca="1" si="80"/>
        <v>9</v>
      </c>
      <c r="I128" s="1"/>
      <c r="J128" s="1">
        <f t="shared" ca="1" si="81"/>
        <v>14</v>
      </c>
      <c r="K128" s="1">
        <f t="shared" ca="1" si="82"/>
        <v>1.3655085392333832</v>
      </c>
      <c r="L128" s="1">
        <f t="shared" ca="1" si="83"/>
        <v>8</v>
      </c>
      <c r="M128" s="1"/>
      <c r="N128" s="1">
        <f t="shared" ca="1" si="84"/>
        <v>962</v>
      </c>
      <c r="O128" s="1">
        <f t="shared" ca="1" si="85"/>
        <v>15</v>
      </c>
      <c r="P128" s="1"/>
      <c r="Q128" s="1">
        <f t="shared" ca="1" si="86"/>
        <v>2.7747897125268794</v>
      </c>
      <c r="R128" s="1">
        <f t="shared" ca="1" si="87"/>
        <v>683</v>
      </c>
      <c r="S128" s="1"/>
      <c r="T128" s="1">
        <f t="shared" ca="1" si="88"/>
        <v>0.15945036714036037</v>
      </c>
      <c r="U128" s="1">
        <f t="shared" ca="1" si="89"/>
        <v>85</v>
      </c>
      <c r="V128" s="1">
        <f t="shared" ca="1" si="90"/>
        <v>31</v>
      </c>
      <c r="W128" s="1"/>
      <c r="X128" s="1">
        <f t="shared" ca="1" si="91"/>
        <v>8.4570254750291198</v>
      </c>
      <c r="Y128" s="1">
        <f t="shared" ca="1" si="92"/>
        <v>0.63026325611474854</v>
      </c>
      <c r="Z128" s="1">
        <f t="shared" ca="1" si="93"/>
        <v>1884</v>
      </c>
      <c r="AB128" s="1">
        <f t="shared" ca="1" si="94"/>
        <v>7.477347732296373E-2</v>
      </c>
      <c r="AC128" s="1">
        <f t="shared" ca="1" si="95"/>
        <v>999</v>
      </c>
      <c r="AD128" s="1">
        <f t="shared" ca="1" si="96"/>
        <v>5.784146166218071E-3</v>
      </c>
      <c r="AE128" s="1"/>
      <c r="AF128" s="1">
        <f t="shared" ca="1" si="97"/>
        <v>0.42512277301356871</v>
      </c>
      <c r="AG128" s="1">
        <f t="shared" ca="1" si="98"/>
        <v>552</v>
      </c>
      <c r="AH128" s="1">
        <f t="shared" ca="1" si="99"/>
        <v>9.3545662381502928E-3</v>
      </c>
      <c r="AJ128" s="1">
        <f t="shared" ca="1" si="100"/>
        <v>0.64477744567366502</v>
      </c>
      <c r="AK128" s="1">
        <f t="shared" ca="1" si="101"/>
        <v>5.0769202093067867E-3</v>
      </c>
      <c r="AL128" s="1"/>
      <c r="AM128" s="1">
        <f t="shared" ca="1" si="102"/>
        <v>3.143585867670505E-2</v>
      </c>
      <c r="AN128" s="1">
        <f t="shared" ca="1" si="103"/>
        <v>52</v>
      </c>
      <c r="AO128" s="1">
        <f t="shared" ca="1" si="104"/>
        <v>5</v>
      </c>
      <c r="AQ128" s="1">
        <f t="shared" ca="1" si="105"/>
        <v>66</v>
      </c>
      <c r="AR128" s="1">
        <f t="shared" ca="1" si="106"/>
        <v>2</v>
      </c>
      <c r="AS128" s="1">
        <f t="shared" ca="1" si="107"/>
        <v>46</v>
      </c>
      <c r="AU128" s="1">
        <f t="shared" ca="1" si="108"/>
        <v>386</v>
      </c>
      <c r="AV128" s="1">
        <f t="shared" ca="1" si="109"/>
        <v>8</v>
      </c>
      <c r="AW128" s="1">
        <f t="shared" ca="1" si="110"/>
        <v>7.2726942382218662E-2</v>
      </c>
      <c r="AY128" s="1">
        <f t="shared" ca="1" si="111"/>
        <v>1.5801953990134407</v>
      </c>
      <c r="AZ128" s="1">
        <f t="shared" ca="1" si="112"/>
        <v>164</v>
      </c>
      <c r="BA128" s="1">
        <f t="shared" ca="1" si="113"/>
        <v>6.1439670392364927E-3</v>
      </c>
      <c r="BG128" s="1">
        <f t="shared" ca="1" si="114"/>
        <v>0.85601164172227739</v>
      </c>
      <c r="BH128" s="1">
        <f t="shared" ca="1" si="115"/>
        <v>0.21095797868947941</v>
      </c>
      <c r="BI128" s="1">
        <f t="shared" ca="1" si="116"/>
        <v>699</v>
      </c>
      <c r="BV128" s="1">
        <f t="shared" ca="1" si="117"/>
        <v>0.43618830429100197</v>
      </c>
      <c r="BW128" s="1">
        <f t="shared" ca="1" si="118"/>
        <v>422</v>
      </c>
      <c r="BX128" s="1">
        <f t="shared" ca="1" si="119"/>
        <v>7.0257339740167997E-3</v>
      </c>
      <c r="BY128" s="1">
        <f t="shared" ca="1" si="120"/>
        <v>2.8635594470527066E-2</v>
      </c>
      <c r="BZ128" s="1">
        <f t="shared" ca="1" si="121"/>
        <v>9.2552091340147413E-2</v>
      </c>
      <c r="CB128" s="1">
        <f t="shared" ca="1" si="122"/>
        <v>204</v>
      </c>
      <c r="CC128" s="1">
        <f t="shared" ca="1" si="123"/>
        <v>9</v>
      </c>
      <c r="CD128" s="1">
        <f t="shared" ca="1" si="124"/>
        <v>0.26860752409054917</v>
      </c>
      <c r="CE128" s="1">
        <f t="shared" ca="1" si="146"/>
        <v>0.83612968815266697</v>
      </c>
      <c r="CF128" s="1">
        <f t="shared" ca="1" si="146"/>
        <v>0.80011846053007707</v>
      </c>
      <c r="CH128" s="3">
        <f t="shared" ca="1" si="126"/>
        <v>0.98063741171066754</v>
      </c>
      <c r="CI128" s="3">
        <f t="shared" ca="1" si="127"/>
        <v>0.44597551789294865</v>
      </c>
      <c r="CJ128" s="3">
        <f t="shared" ca="1" si="128"/>
        <v>1066</v>
      </c>
      <c r="CK128" s="3">
        <f t="shared" ca="1" si="129"/>
        <v>2.2666821846558595E-4</v>
      </c>
      <c r="CL128" s="3">
        <f t="shared" ca="1" si="130"/>
        <v>1</v>
      </c>
      <c r="CM128" s="3"/>
      <c r="CN128" s="1">
        <f t="shared" ca="1" si="131"/>
        <v>10.023080832334653</v>
      </c>
      <c r="CO128" s="1">
        <f t="shared" ca="1" si="132"/>
        <v>3.7740121401318362E-2</v>
      </c>
      <c r="CP128" s="1">
        <f t="shared" ca="1" si="133"/>
        <v>3</v>
      </c>
      <c r="CV128" s="1">
        <f t="shared" ca="1" si="134"/>
        <v>3.0135283334746688</v>
      </c>
      <c r="CW128" s="1">
        <f t="shared" ca="1" si="135"/>
        <v>1802</v>
      </c>
      <c r="CX128" s="1">
        <f t="shared" ca="1" si="136"/>
        <v>8.8148161053829017E-3</v>
      </c>
      <c r="DH128" s="1">
        <f t="shared" ca="1" si="137"/>
        <v>70</v>
      </c>
      <c r="DI128" s="1">
        <f t="shared" ca="1" si="138"/>
        <v>7.3568169175750903E-2</v>
      </c>
      <c r="DJ128" s="1">
        <f t="shared" ca="1" si="139"/>
        <v>19</v>
      </c>
      <c r="DL128" s="1">
        <f t="shared" ca="1" si="140"/>
        <v>0.13253690338234847</v>
      </c>
      <c r="DM128" s="1">
        <f t="shared" ca="1" si="141"/>
        <v>98</v>
      </c>
      <c r="DN128" s="1">
        <f t="shared" ca="1" si="142"/>
        <v>6</v>
      </c>
      <c r="DW128" s="1">
        <f t="shared" ca="1" si="143"/>
        <v>110</v>
      </c>
      <c r="DX128" s="1">
        <f t="shared" ca="1" si="144"/>
        <v>12</v>
      </c>
      <c r="DY128" s="1">
        <f t="shared" ca="1" si="145"/>
        <v>3</v>
      </c>
    </row>
    <row r="129" spans="2:129" x14ac:dyDescent="0.25">
      <c r="B129">
        <f t="shared" ca="1" si="75"/>
        <v>412</v>
      </c>
      <c r="C129">
        <f t="shared" ca="1" si="76"/>
        <v>49</v>
      </c>
      <c r="D129">
        <f t="shared" ca="1" si="77"/>
        <v>0.18253360603675797</v>
      </c>
      <c r="F129" s="1">
        <f t="shared" ca="1" si="78"/>
        <v>45</v>
      </c>
      <c r="G129" s="1">
        <f t="shared" ca="1" si="79"/>
        <v>20</v>
      </c>
      <c r="H129" s="1">
        <f t="shared" ca="1" si="80"/>
        <v>14</v>
      </c>
      <c r="I129" s="1"/>
      <c r="J129" s="1">
        <f t="shared" ca="1" si="81"/>
        <v>31</v>
      </c>
      <c r="K129" s="1">
        <f t="shared" ca="1" si="82"/>
        <v>2.3434664646116476</v>
      </c>
      <c r="L129" s="1">
        <f t="shared" ca="1" si="83"/>
        <v>16</v>
      </c>
      <c r="M129" s="1"/>
      <c r="N129" s="1">
        <f t="shared" ca="1" si="84"/>
        <v>774</v>
      </c>
      <c r="O129" s="1">
        <f t="shared" ca="1" si="85"/>
        <v>42</v>
      </c>
      <c r="P129" s="1"/>
      <c r="Q129" s="1">
        <f t="shared" ca="1" si="86"/>
        <v>2.5114575391753644</v>
      </c>
      <c r="R129" s="1">
        <f t="shared" ca="1" si="87"/>
        <v>605</v>
      </c>
      <c r="S129" s="1"/>
      <c r="T129" s="1">
        <f t="shared" ca="1" si="88"/>
        <v>3.4438815125120099E-2</v>
      </c>
      <c r="U129" s="1">
        <f t="shared" ca="1" si="89"/>
        <v>282</v>
      </c>
      <c r="V129" s="1">
        <f t="shared" ca="1" si="90"/>
        <v>5</v>
      </c>
      <c r="W129" s="1"/>
      <c r="X129" s="1">
        <f t="shared" ca="1" si="91"/>
        <v>9.5200346814418051</v>
      </c>
      <c r="Y129" s="1">
        <f t="shared" ca="1" si="92"/>
        <v>2.2525421188469688E-2</v>
      </c>
      <c r="Z129" s="1">
        <f t="shared" ca="1" si="93"/>
        <v>1415</v>
      </c>
      <c r="AB129" s="1">
        <f t="shared" ca="1" si="94"/>
        <v>0.71924740693059042</v>
      </c>
      <c r="AC129" s="1">
        <f t="shared" ca="1" si="95"/>
        <v>139</v>
      </c>
      <c r="AD129" s="1">
        <f t="shared" ca="1" si="96"/>
        <v>6.2850995313930343E-3</v>
      </c>
      <c r="AE129" s="1"/>
      <c r="AF129" s="1">
        <f t="shared" ca="1" si="97"/>
        <v>0.62858825372318683</v>
      </c>
      <c r="AG129" s="1">
        <f t="shared" ca="1" si="98"/>
        <v>495</v>
      </c>
      <c r="AH129" s="1">
        <f t="shared" ca="1" si="99"/>
        <v>4.8735032537609267E-3</v>
      </c>
      <c r="AJ129" s="1">
        <f t="shared" ca="1" si="100"/>
        <v>0.89947867596194786</v>
      </c>
      <c r="AK129" s="1">
        <f t="shared" ca="1" si="101"/>
        <v>5.8342648471931564E-3</v>
      </c>
      <c r="AL129" s="1"/>
      <c r="AM129" s="1">
        <f t="shared" ca="1" si="102"/>
        <v>6.1043441093841758E-2</v>
      </c>
      <c r="AN129" s="1">
        <f t="shared" ca="1" si="103"/>
        <v>14</v>
      </c>
      <c r="AO129" s="1">
        <f t="shared" ca="1" si="104"/>
        <v>2</v>
      </c>
      <c r="AQ129" s="1">
        <f t="shared" ca="1" si="105"/>
        <v>168</v>
      </c>
      <c r="AR129" s="1">
        <f t="shared" ca="1" si="106"/>
        <v>1</v>
      </c>
      <c r="AS129" s="1">
        <f t="shared" ca="1" si="107"/>
        <v>14</v>
      </c>
      <c r="AU129" s="1">
        <f t="shared" ca="1" si="108"/>
        <v>293</v>
      </c>
      <c r="AV129" s="1">
        <f t="shared" ca="1" si="109"/>
        <v>9</v>
      </c>
      <c r="AW129" s="1">
        <f t="shared" ca="1" si="110"/>
        <v>0.1976405359219397</v>
      </c>
      <c r="AY129" s="1">
        <f t="shared" ca="1" si="111"/>
        <v>1.4756702385113418</v>
      </c>
      <c r="AZ129" s="1">
        <f t="shared" ca="1" si="112"/>
        <v>380</v>
      </c>
      <c r="BA129" s="1">
        <f t="shared" ca="1" si="113"/>
        <v>3.4037941865515246E-3</v>
      </c>
      <c r="BG129" s="1">
        <f t="shared" ca="1" si="114"/>
        <v>0.29731349770329091</v>
      </c>
      <c r="BH129" s="1">
        <f t="shared" ca="1" si="115"/>
        <v>0.57506935168203055</v>
      </c>
      <c r="BI129" s="1">
        <f t="shared" ca="1" si="116"/>
        <v>886</v>
      </c>
      <c r="BV129" s="1">
        <f t="shared" ca="1" si="117"/>
        <v>0.24252531060631877</v>
      </c>
      <c r="BW129" s="1">
        <f t="shared" ca="1" si="118"/>
        <v>142</v>
      </c>
      <c r="BX129" s="1">
        <f t="shared" ca="1" si="119"/>
        <v>3.7560080726930303E-3</v>
      </c>
      <c r="BY129" s="1">
        <f t="shared" ca="1" si="120"/>
        <v>1.6120154043938482E-2</v>
      </c>
      <c r="BZ129" s="1">
        <f t="shared" ca="1" si="121"/>
        <v>1.3031838260363915E-2</v>
      </c>
      <c r="CB129" s="1">
        <f t="shared" ca="1" si="122"/>
        <v>295</v>
      </c>
      <c r="CC129" s="1">
        <f t="shared" ca="1" si="123"/>
        <v>10</v>
      </c>
      <c r="CD129" s="1">
        <f t="shared" ca="1" si="124"/>
        <v>0.2664055508817389</v>
      </c>
      <c r="CE129" s="1">
        <f t="shared" ca="1" si="146"/>
        <v>0.82812180847956585</v>
      </c>
      <c r="CF129" s="1">
        <f t="shared" ca="1" si="146"/>
        <v>0.86734542335607057</v>
      </c>
      <c r="CH129" s="3">
        <f t="shared" ca="1" si="126"/>
        <v>0.44001845378980903</v>
      </c>
      <c r="CI129" s="3">
        <f t="shared" ca="1" si="127"/>
        <v>0.36079101172209527</v>
      </c>
      <c r="CJ129" s="3">
        <f t="shared" ca="1" si="128"/>
        <v>1541</v>
      </c>
      <c r="CK129" s="3">
        <f t="shared" ca="1" si="129"/>
        <v>2.0156028413521035E-3</v>
      </c>
      <c r="CL129" s="3">
        <f t="shared" ca="1" si="130"/>
        <v>1</v>
      </c>
      <c r="CM129" s="3"/>
      <c r="CN129" s="1">
        <f t="shared" ca="1" si="131"/>
        <v>1.438357013203047</v>
      </c>
      <c r="CO129" s="1">
        <f t="shared" ca="1" si="132"/>
        <v>0.19648518783705862</v>
      </c>
      <c r="CP129" s="1">
        <f t="shared" ca="1" si="133"/>
        <v>1</v>
      </c>
      <c r="CV129" s="1">
        <f t="shared" ca="1" si="134"/>
        <v>4.4016417545405364</v>
      </c>
      <c r="CW129" s="1">
        <f t="shared" ca="1" si="135"/>
        <v>817</v>
      </c>
      <c r="CX129" s="1">
        <f t="shared" ca="1" si="136"/>
        <v>3.9194884158309682E-3</v>
      </c>
      <c r="DH129" s="1">
        <f t="shared" ca="1" si="137"/>
        <v>757</v>
      </c>
      <c r="DI129" s="1">
        <f t="shared" ca="1" si="138"/>
        <v>0.67185646497542229</v>
      </c>
      <c r="DJ129" s="1">
        <f t="shared" ca="1" si="139"/>
        <v>26</v>
      </c>
      <c r="DL129" s="1">
        <f t="shared" ca="1" si="140"/>
        <v>0.17429682366962496</v>
      </c>
      <c r="DM129" s="1">
        <f t="shared" ca="1" si="141"/>
        <v>146</v>
      </c>
      <c r="DN129" s="1">
        <f t="shared" ca="1" si="142"/>
        <v>4</v>
      </c>
      <c r="DW129" s="1">
        <f t="shared" ca="1" si="143"/>
        <v>160</v>
      </c>
      <c r="DX129" s="1">
        <f t="shared" ca="1" si="144"/>
        <v>20</v>
      </c>
      <c r="DY129" s="1">
        <f t="shared" ca="1" si="145"/>
        <v>17</v>
      </c>
    </row>
    <row r="130" spans="2:129" x14ac:dyDescent="0.25">
      <c r="B130">
        <f t="shared" ca="1" si="75"/>
        <v>986</v>
      </c>
      <c r="C130">
        <f t="shared" ca="1" si="76"/>
        <v>50</v>
      </c>
      <c r="D130">
        <f t="shared" ca="1" si="77"/>
        <v>0.21654793969057703</v>
      </c>
      <c r="F130" s="1">
        <f t="shared" ca="1" si="78"/>
        <v>45</v>
      </c>
      <c r="G130" s="1">
        <f t="shared" ca="1" si="79"/>
        <v>4</v>
      </c>
      <c r="H130" s="1">
        <f t="shared" ca="1" si="80"/>
        <v>14</v>
      </c>
      <c r="I130" s="1"/>
      <c r="J130" s="1">
        <f t="shared" ca="1" si="81"/>
        <v>18</v>
      </c>
      <c r="K130" s="1">
        <f t="shared" ca="1" si="82"/>
        <v>1.9859412339612688</v>
      </c>
      <c r="L130" s="1">
        <f t="shared" ca="1" si="83"/>
        <v>32</v>
      </c>
      <c r="M130" s="1"/>
      <c r="N130" s="1">
        <f t="shared" ca="1" si="84"/>
        <v>640</v>
      </c>
      <c r="O130" s="1">
        <f t="shared" ca="1" si="85"/>
        <v>50</v>
      </c>
      <c r="P130" s="1"/>
      <c r="Q130" s="1">
        <f t="shared" ca="1" si="86"/>
        <v>3.2834674010611828</v>
      </c>
      <c r="R130" s="1">
        <f t="shared" ca="1" si="87"/>
        <v>210</v>
      </c>
      <c r="S130" s="1"/>
      <c r="T130" s="1">
        <f t="shared" ca="1" si="88"/>
        <v>0.14607071057992782</v>
      </c>
      <c r="U130" s="1">
        <f t="shared" ca="1" si="89"/>
        <v>267</v>
      </c>
      <c r="V130" s="1">
        <f t="shared" ca="1" si="90"/>
        <v>20</v>
      </c>
      <c r="W130" s="1"/>
      <c r="X130" s="1">
        <f t="shared" ca="1" si="91"/>
        <v>3.6593096819281876</v>
      </c>
      <c r="Y130" s="1">
        <f t="shared" ca="1" si="92"/>
        <v>0.48591182518453002</v>
      </c>
      <c r="Z130" s="1">
        <f t="shared" ca="1" si="93"/>
        <v>438</v>
      </c>
      <c r="AB130" s="1">
        <f t="shared" ca="1" si="94"/>
        <v>0.94481583630614696</v>
      </c>
      <c r="AC130" s="1">
        <f t="shared" ca="1" si="95"/>
        <v>982</v>
      </c>
      <c r="AD130" s="1">
        <f t="shared" ca="1" si="96"/>
        <v>4.7716783363655748E-3</v>
      </c>
      <c r="AE130" s="1"/>
      <c r="AF130" s="1">
        <f t="shared" ca="1" si="97"/>
        <v>0.53806927308021579</v>
      </c>
      <c r="AG130" s="1">
        <f t="shared" ca="1" si="98"/>
        <v>440</v>
      </c>
      <c r="AH130" s="1">
        <f t="shared" ca="1" si="99"/>
        <v>8.4681499135361073E-3</v>
      </c>
      <c r="AJ130" s="1">
        <f t="shared" ca="1" si="100"/>
        <v>0.59297512829764099</v>
      </c>
      <c r="AK130" s="1">
        <f t="shared" ca="1" si="101"/>
        <v>2.9831519226902708E-3</v>
      </c>
      <c r="AL130" s="1"/>
      <c r="AM130" s="1">
        <f t="shared" ca="1" si="102"/>
        <v>6.943897652014791E-2</v>
      </c>
      <c r="AN130" s="1">
        <f t="shared" ca="1" si="103"/>
        <v>64</v>
      </c>
      <c r="AO130" s="1">
        <f t="shared" ca="1" si="104"/>
        <v>4</v>
      </c>
      <c r="AQ130" s="1">
        <f t="shared" ca="1" si="105"/>
        <v>76</v>
      </c>
      <c r="AR130" s="1">
        <f t="shared" ca="1" si="106"/>
        <v>3</v>
      </c>
      <c r="AS130" s="1">
        <f t="shared" ca="1" si="107"/>
        <v>54</v>
      </c>
      <c r="AU130" s="1">
        <f t="shared" ca="1" si="108"/>
        <v>182</v>
      </c>
      <c r="AV130" s="1">
        <f t="shared" ca="1" si="109"/>
        <v>4</v>
      </c>
      <c r="AW130" s="1">
        <f t="shared" ca="1" si="110"/>
        <v>0.1343749623916797</v>
      </c>
      <c r="AY130" s="1">
        <f t="shared" ca="1" si="111"/>
        <v>1.669136849043471</v>
      </c>
      <c r="AZ130" s="1">
        <f t="shared" ca="1" si="112"/>
        <v>431</v>
      </c>
      <c r="BA130" s="1">
        <f t="shared" ca="1" si="113"/>
        <v>2.8005486311469194E-3</v>
      </c>
      <c r="BG130" s="1">
        <f t="shared" ca="1" si="114"/>
        <v>0.25243920007501147</v>
      </c>
      <c r="BH130" s="1">
        <f t="shared" ca="1" si="115"/>
        <v>0.46830117439954344</v>
      </c>
      <c r="BI130" s="1">
        <f t="shared" ca="1" si="116"/>
        <v>710</v>
      </c>
      <c r="BV130" s="1">
        <f t="shared" ca="1" si="117"/>
        <v>0.29289501484161007</v>
      </c>
      <c r="BW130" s="1">
        <f t="shared" ca="1" si="118"/>
        <v>459</v>
      </c>
      <c r="BX130" s="1">
        <f t="shared" ca="1" si="119"/>
        <v>7.7383985736912114E-3</v>
      </c>
      <c r="BY130" s="1">
        <f t="shared" ca="1" si="120"/>
        <v>5.9180274267162936E-2</v>
      </c>
      <c r="BZ130" s="1">
        <f t="shared" ca="1" si="121"/>
        <v>0.93986943092028508</v>
      </c>
      <c r="CB130" s="1">
        <f t="shared" ca="1" si="122"/>
        <v>395</v>
      </c>
      <c r="CC130" s="1">
        <f t="shared" ca="1" si="123"/>
        <v>13</v>
      </c>
      <c r="CD130" s="1">
        <f t="shared" ca="1" si="124"/>
        <v>0.1293676966960397</v>
      </c>
      <c r="CE130" s="1">
        <f t="shared" ca="1" si="146"/>
        <v>0.93209245972038779</v>
      </c>
      <c r="CF130" s="1">
        <f t="shared" ca="1" si="146"/>
        <v>0.79871258529761402</v>
      </c>
      <c r="CH130" s="3">
        <f t="shared" ca="1" si="126"/>
        <v>1.0823999470254237E-2</v>
      </c>
      <c r="CI130" s="3">
        <f t="shared" ca="1" si="127"/>
        <v>0.80040406387704366</v>
      </c>
      <c r="CJ130" s="3">
        <f t="shared" ca="1" si="128"/>
        <v>1174</v>
      </c>
      <c r="CK130" s="3">
        <f t="shared" ca="1" si="129"/>
        <v>4.3943448289438317E-3</v>
      </c>
      <c r="CL130" s="3">
        <f t="shared" ca="1" si="130"/>
        <v>0</v>
      </c>
      <c r="CM130" s="3"/>
      <c r="CN130" s="1">
        <f t="shared" ca="1" si="131"/>
        <v>5.5051701934701596</v>
      </c>
      <c r="CO130" s="1">
        <f t="shared" ca="1" si="132"/>
        <v>0.12528530797972767</v>
      </c>
      <c r="CP130" s="1">
        <f t="shared" ca="1" si="133"/>
        <v>5</v>
      </c>
      <c r="CV130" s="1">
        <f t="shared" ca="1" si="134"/>
        <v>3.7510408000054634</v>
      </c>
      <c r="CW130" s="1">
        <f t="shared" ca="1" si="135"/>
        <v>636</v>
      </c>
      <c r="CX130" s="1">
        <f t="shared" ca="1" si="136"/>
        <v>3.5697203748384877E-3</v>
      </c>
      <c r="DH130" s="1">
        <f t="shared" ca="1" si="137"/>
        <v>595</v>
      </c>
      <c r="DI130" s="1">
        <f t="shared" ca="1" si="138"/>
        <v>0.82599152486250971</v>
      </c>
      <c r="DJ130" s="1">
        <f t="shared" ca="1" si="139"/>
        <v>27</v>
      </c>
      <c r="DL130" s="1">
        <f t="shared" ca="1" si="140"/>
        <v>1.5597819180032125E-2</v>
      </c>
      <c r="DM130" s="1">
        <f t="shared" ca="1" si="141"/>
        <v>278</v>
      </c>
      <c r="DN130" s="1">
        <f t="shared" ca="1" si="142"/>
        <v>5</v>
      </c>
      <c r="DW130" s="1">
        <f t="shared" ca="1" si="143"/>
        <v>177</v>
      </c>
      <c r="DX130" s="1">
        <f t="shared" ca="1" si="144"/>
        <v>5</v>
      </c>
      <c r="DY130" s="1">
        <f t="shared" ca="1" si="145"/>
        <v>19</v>
      </c>
    </row>
    <row r="131" spans="2:129" x14ac:dyDescent="0.25">
      <c r="B131">
        <f t="shared" ca="1" si="75"/>
        <v>940</v>
      </c>
      <c r="C131">
        <f t="shared" ca="1" si="76"/>
        <v>51</v>
      </c>
      <c r="D131">
        <f t="shared" ca="1" si="77"/>
        <v>0.167506765327403</v>
      </c>
      <c r="F131" s="1">
        <f t="shared" ca="1" si="78"/>
        <v>35</v>
      </c>
      <c r="G131" s="1">
        <f t="shared" ca="1" si="79"/>
        <v>24</v>
      </c>
      <c r="H131" s="1">
        <f t="shared" ca="1" si="80"/>
        <v>15</v>
      </c>
      <c r="I131" s="1"/>
      <c r="J131" s="1">
        <f t="shared" ca="1" si="81"/>
        <v>5</v>
      </c>
      <c r="K131" s="1">
        <f t="shared" ca="1" si="82"/>
        <v>1.3826148331480836</v>
      </c>
      <c r="L131" s="1">
        <f t="shared" ca="1" si="83"/>
        <v>8</v>
      </c>
      <c r="M131" s="1"/>
      <c r="N131" s="1">
        <f t="shared" ca="1" si="84"/>
        <v>451</v>
      </c>
      <c r="O131" s="1">
        <f t="shared" ca="1" si="85"/>
        <v>7</v>
      </c>
      <c r="P131" s="1"/>
      <c r="Q131" s="1">
        <f t="shared" ca="1" si="86"/>
        <v>3.857476955390942</v>
      </c>
      <c r="R131" s="1">
        <f t="shared" ca="1" si="87"/>
        <v>220</v>
      </c>
      <c r="S131" s="1"/>
      <c r="T131" s="1">
        <f t="shared" ca="1" si="88"/>
        <v>0.13186027132823067</v>
      </c>
      <c r="U131" s="1">
        <f t="shared" ca="1" si="89"/>
        <v>86</v>
      </c>
      <c r="V131" s="1">
        <f t="shared" ca="1" si="90"/>
        <v>27</v>
      </c>
      <c r="W131" s="1"/>
      <c r="X131" s="1">
        <f t="shared" ca="1" si="91"/>
        <v>3.5769477510737917</v>
      </c>
      <c r="Y131" s="1">
        <f t="shared" ca="1" si="92"/>
        <v>0.29855385905249637</v>
      </c>
      <c r="Z131" s="1">
        <f t="shared" ca="1" si="93"/>
        <v>1484</v>
      </c>
      <c r="AB131" s="1">
        <f t="shared" ca="1" si="94"/>
        <v>0.93133149299044216</v>
      </c>
      <c r="AC131" s="1">
        <f t="shared" ca="1" si="95"/>
        <v>858</v>
      </c>
      <c r="AD131" s="1">
        <f t="shared" ca="1" si="96"/>
        <v>4.0149164838985708E-3</v>
      </c>
      <c r="AE131" s="1"/>
      <c r="AF131" s="1">
        <f t="shared" ca="1" si="97"/>
        <v>0.26234129575580545</v>
      </c>
      <c r="AG131" s="1">
        <f t="shared" ca="1" si="98"/>
        <v>104</v>
      </c>
      <c r="AH131" s="1">
        <f t="shared" ca="1" si="99"/>
        <v>8.9887904434483336E-3</v>
      </c>
      <c r="AJ131" s="1">
        <f t="shared" ca="1" si="100"/>
        <v>0.48642768011415638</v>
      </c>
      <c r="AK131" s="1">
        <f t="shared" ca="1" si="101"/>
        <v>1.1538186206199166E-3</v>
      </c>
      <c r="AL131" s="1"/>
      <c r="AM131" s="1">
        <f t="shared" ca="1" si="102"/>
        <v>4.0106360738727198E-2</v>
      </c>
      <c r="AN131" s="1">
        <f t="shared" ca="1" si="103"/>
        <v>46</v>
      </c>
      <c r="AO131" s="1">
        <f t="shared" ca="1" si="104"/>
        <v>13</v>
      </c>
      <c r="AQ131" s="1">
        <f t="shared" ca="1" si="105"/>
        <v>156</v>
      </c>
      <c r="AR131" s="1">
        <f t="shared" ca="1" si="106"/>
        <v>2</v>
      </c>
      <c r="AS131" s="1">
        <f t="shared" ca="1" si="107"/>
        <v>44</v>
      </c>
      <c r="AU131" s="1">
        <f t="shared" ca="1" si="108"/>
        <v>129</v>
      </c>
      <c r="AV131" s="1">
        <f t="shared" ca="1" si="109"/>
        <v>6</v>
      </c>
      <c r="AW131" s="1">
        <f t="shared" ca="1" si="110"/>
        <v>3.2705956560954028E-2</v>
      </c>
      <c r="AY131" s="1">
        <f t="shared" ca="1" si="111"/>
        <v>1.7840376435781773</v>
      </c>
      <c r="AZ131" s="1">
        <f t="shared" ca="1" si="112"/>
        <v>212</v>
      </c>
      <c r="BA131" s="1">
        <f t="shared" ca="1" si="113"/>
        <v>6.5882121394084253E-3</v>
      </c>
      <c r="BG131" s="1">
        <f t="shared" ca="1" si="114"/>
        <v>0.39672352846803033</v>
      </c>
      <c r="BH131" s="1">
        <f t="shared" ca="1" si="115"/>
        <v>0.24617044263127463</v>
      </c>
      <c r="BI131" s="1">
        <f t="shared" ca="1" si="116"/>
        <v>842</v>
      </c>
      <c r="BV131" s="1">
        <f t="shared" ca="1" si="117"/>
        <v>0.41351092660277872</v>
      </c>
      <c r="BW131" s="1">
        <f t="shared" ca="1" si="118"/>
        <v>876</v>
      </c>
      <c r="BX131" s="1">
        <f t="shared" ca="1" si="119"/>
        <v>3.2137133808972443E-3</v>
      </c>
      <c r="BY131" s="1">
        <f t="shared" ca="1" si="120"/>
        <v>4.0937658941015524E-2</v>
      </c>
      <c r="BZ131" s="1">
        <f t="shared" ca="1" si="121"/>
        <v>0.1906897299903364</v>
      </c>
      <c r="CB131" s="1">
        <f t="shared" ca="1" si="122"/>
        <v>228</v>
      </c>
      <c r="CC131" s="1">
        <f t="shared" ca="1" si="123"/>
        <v>10</v>
      </c>
      <c r="CD131" s="1">
        <f t="shared" ca="1" si="124"/>
        <v>0.19267902586391661</v>
      </c>
      <c r="CE131" s="1">
        <f t="shared" ca="1" si="146"/>
        <v>0.88824907749193449</v>
      </c>
      <c r="CF131" s="1">
        <f t="shared" ca="1" si="146"/>
        <v>0.70210536423068981</v>
      </c>
      <c r="CH131" s="3">
        <f t="shared" ca="1" si="126"/>
        <v>0.71236834119957693</v>
      </c>
      <c r="CI131" s="3">
        <f t="shared" ca="1" si="127"/>
        <v>0.3289875206214497</v>
      </c>
      <c r="CJ131" s="3">
        <f t="shared" ca="1" si="128"/>
        <v>1059</v>
      </c>
      <c r="CK131" s="3">
        <f t="shared" ca="1" si="129"/>
        <v>5.6735837487196733E-3</v>
      </c>
      <c r="CL131" s="3">
        <f t="shared" ca="1" si="130"/>
        <v>0</v>
      </c>
      <c r="CM131" s="3"/>
      <c r="CN131" s="1">
        <f t="shared" ca="1" si="131"/>
        <v>8.3683023404442043</v>
      </c>
      <c r="CO131" s="1">
        <f t="shared" ca="1" si="132"/>
        <v>0.36813187438351647</v>
      </c>
      <c r="CP131" s="1">
        <f t="shared" ca="1" si="133"/>
        <v>4</v>
      </c>
      <c r="CV131" s="1">
        <f t="shared" ca="1" si="134"/>
        <v>9.3854271908887679</v>
      </c>
      <c r="CW131" s="1">
        <f t="shared" ca="1" si="135"/>
        <v>559</v>
      </c>
      <c r="CX131" s="1">
        <f t="shared" ca="1" si="136"/>
        <v>1.1665162321543518E-3</v>
      </c>
      <c r="DH131" s="1">
        <f t="shared" ca="1" si="137"/>
        <v>730</v>
      </c>
      <c r="DI131" s="1">
        <f t="shared" ca="1" si="138"/>
        <v>0.79319047768323703</v>
      </c>
      <c r="DJ131" s="1">
        <f t="shared" ca="1" si="139"/>
        <v>7</v>
      </c>
      <c r="DL131" s="1">
        <f t="shared" ca="1" si="140"/>
        <v>0.1603727883194809</v>
      </c>
      <c r="DM131" s="1">
        <f t="shared" ca="1" si="141"/>
        <v>126</v>
      </c>
      <c r="DN131" s="1">
        <f t="shared" ca="1" si="142"/>
        <v>10</v>
      </c>
      <c r="DW131" s="1">
        <f t="shared" ca="1" si="143"/>
        <v>185</v>
      </c>
      <c r="DX131" s="1">
        <f t="shared" ca="1" si="144"/>
        <v>19</v>
      </c>
      <c r="DY131" s="1">
        <f t="shared" ca="1" si="145"/>
        <v>8</v>
      </c>
    </row>
    <row r="132" spans="2:129" x14ac:dyDescent="0.25">
      <c r="B132">
        <f t="shared" ref="B132:B195" ca="1" si="147">RANDBETWEEN(15,1000)</f>
        <v>307</v>
      </c>
      <c r="C132">
        <f t="shared" ref="C132:C195" ca="1" si="148">RANDBETWEEN(2,52)</f>
        <v>36</v>
      </c>
      <c r="D132">
        <f t="shared" ref="D132:D195" ca="1" si="149">RAND()*(0.3-0.01)+0.01</f>
        <v>0.13614125811625105</v>
      </c>
      <c r="F132" s="1">
        <f t="shared" ref="F132:F195" ca="1" si="150">RANDBETWEEN(2,52)</f>
        <v>7</v>
      </c>
      <c r="G132" s="1">
        <f t="shared" ref="G132:G195" ca="1" si="151">RANDBETWEEN(2,30)</f>
        <v>2</v>
      </c>
      <c r="H132" s="1">
        <f t="shared" ref="H132:H195" ca="1" si="152">RANDBETWEEN(1,15)</f>
        <v>15</v>
      </c>
      <c r="I132" s="1"/>
      <c r="J132" s="1">
        <f t="shared" ref="J132:J195" ca="1" si="153">RANDBETWEEN(1,39)</f>
        <v>17</v>
      </c>
      <c r="K132" s="1">
        <f t="shared" ref="K132:K195" ca="1" si="154">RAND()*(3-1)+1</f>
        <v>1.6963406633062414</v>
      </c>
      <c r="L132" s="1">
        <f t="shared" ref="L132:L195" ca="1" si="155">RANDBETWEEN(2,35)</f>
        <v>8</v>
      </c>
      <c r="M132" s="1"/>
      <c r="N132" s="1">
        <f t="shared" ref="N132:N195" ca="1" si="156">RANDBETWEEN(15,1000)</f>
        <v>321</v>
      </c>
      <c r="O132" s="1">
        <f t="shared" ref="O132:O195" ca="1" si="157">RANDBETWEEN(2,52)</f>
        <v>44</v>
      </c>
      <c r="P132" s="1"/>
      <c r="Q132" s="1">
        <f t="shared" ref="Q132:Q195" ca="1" si="158">RAND()*(5-0.01)+0.01</f>
        <v>4.8744137658266737</v>
      </c>
      <c r="R132" s="1">
        <f t="shared" ref="R132:R195" ca="1" si="159">RANDBETWEEN(200,1200)</f>
        <v>1162</v>
      </c>
      <c r="S132" s="1"/>
      <c r="T132" s="1">
        <f t="shared" ref="T132:T195" ca="1" si="160">RAND()*(0.2-0.01)+0.01</f>
        <v>0.17744951807007783</v>
      </c>
      <c r="U132" s="1">
        <f t="shared" ref="U132:U195" ca="1" si="161">RANDBETWEEN(50,450)</f>
        <v>88</v>
      </c>
      <c r="V132" s="1">
        <f t="shared" ref="V132:V195" ca="1" si="162">RANDBETWEEN(2,52)</f>
        <v>6</v>
      </c>
      <c r="W132" s="1"/>
      <c r="X132" s="1">
        <f t="shared" ref="X132:X195" ca="1" si="163">RAND()*(10-0.01)+0.01</f>
        <v>6.2600781118838471</v>
      </c>
      <c r="Y132" s="1">
        <f t="shared" ref="Y132:Y195" ca="1" si="164">RAND()*(1-0.0001)+0.0001</f>
        <v>0.36937125409942329</v>
      </c>
      <c r="Z132" s="1">
        <f t="shared" ref="Z132:Z195" ca="1" si="165">RANDBETWEEN(100,2000)</f>
        <v>703</v>
      </c>
      <c r="AB132" s="1">
        <f t="shared" ref="AB132:AB195" ca="1" si="166">RAND()*(1-0.0001)+0.0001</f>
        <v>0.68310259683001384</v>
      </c>
      <c r="AC132" s="1">
        <f t="shared" ref="AC132:AC195" ca="1" si="167">RANDBETWEEN(100,1000)</f>
        <v>497</v>
      </c>
      <c r="AD132" s="1">
        <f t="shared" ref="AD132:AD195" ca="1" si="168">RAND()*(0.01-0.00001)+0.00001</f>
        <v>1.6793938158278852E-3</v>
      </c>
      <c r="AE132" s="1"/>
      <c r="AF132" s="1">
        <f t="shared" ref="AF132:AF195" ca="1" si="169">RAND()*(0.9-0.1)+0.1</f>
        <v>0.17015598875609073</v>
      </c>
      <c r="AG132" s="1">
        <f t="shared" ref="AG132:AG195" ca="1" si="170">RANDBETWEEN(100,1000)</f>
        <v>872</v>
      </c>
      <c r="AH132" s="1">
        <f t="shared" ref="AH132:AH195" ca="1" si="171">RAND()*(0.01-0.00001)+0.00001</f>
        <v>9.5225920195814318E-3</v>
      </c>
      <c r="AJ132" s="1">
        <f t="shared" ref="AJ132:AJ195" ca="1" si="172">RAND()*(1-0)+0</f>
        <v>0.94832331052789975</v>
      </c>
      <c r="AK132" s="1">
        <f t="shared" ref="AK132:AK195" ca="1" si="173">RAND()*(0.01-0.00001)+0.00001</f>
        <v>1.090273327678997E-4</v>
      </c>
      <c r="AL132" s="1"/>
      <c r="AM132" s="1">
        <f t="shared" ref="AM132:AM195" ca="1" si="174">RAND()*(0.2-0.005)+0.005</f>
        <v>0.10287795985065203</v>
      </c>
      <c r="AN132" s="1">
        <f t="shared" ref="AN132:AN195" ca="1" si="175">RANDBETWEEN(10,80)</f>
        <v>23</v>
      </c>
      <c r="AO132" s="1">
        <f t="shared" ref="AO132:AO195" ca="1" si="176">RANDBETWEEN(-1,20)</f>
        <v>2</v>
      </c>
      <c r="AQ132" s="1">
        <f t="shared" ref="AQ132:AQ195" ca="1" si="177">RANDBETWEEN(10,200)</f>
        <v>172</v>
      </c>
      <c r="AR132" s="1">
        <f t="shared" ref="AR132:AR195" ca="1" si="178">RANDBETWEEN(0,10)</f>
        <v>6</v>
      </c>
      <c r="AS132" s="1">
        <f t="shared" ref="AS132:AS195" ca="1" si="179">RANDBETWEEN(1,100)</f>
        <v>9</v>
      </c>
      <c r="AU132" s="1">
        <f t="shared" ref="AU132:AU195" ca="1" si="180">RANDBETWEEN(50,400)</f>
        <v>118</v>
      </c>
      <c r="AV132" s="1">
        <f t="shared" ref="AV132:AV195" ca="1" si="181">RANDBETWEEN(2,10)</f>
        <v>8</v>
      </c>
      <c r="AW132" s="1">
        <f t="shared" ref="AW132:AW195" ca="1" si="182">RAND()*(0.2-0.01)+0.01</f>
        <v>1.7948414936229555E-2</v>
      </c>
      <c r="AY132" s="1">
        <f t="shared" ref="AY132:AY195" ca="1" si="183">RAND()*(2-1.1)+1.1</f>
        <v>1.5008343266357416</v>
      </c>
      <c r="AZ132" s="1">
        <f t="shared" ref="AZ132:AZ195" ca="1" si="184">RANDBETWEEN(50,500)</f>
        <v>222</v>
      </c>
      <c r="BA132" s="1">
        <f t="shared" ref="BA132:BA195" ca="1" si="185">RAND()*(0.01-0.00001)+0.00001</f>
        <v>4.8350647822857596E-3</v>
      </c>
      <c r="BG132" s="1">
        <f t="shared" ref="BG132:BG195" ca="1" si="186">RAND()*(1-0.0001)+0.0001</f>
        <v>0.42836701808194516</v>
      </c>
      <c r="BH132" s="1">
        <f t="shared" ref="BH132:BH195" ca="1" si="187">RAND()*(1-0)+0</f>
        <v>0.21515325633161553</v>
      </c>
      <c r="BI132" s="1">
        <f t="shared" ref="BI132:BI195" ca="1" si="188">RANDBETWEEN(100,1000)</f>
        <v>916</v>
      </c>
      <c r="BV132" s="1">
        <f t="shared" ref="BV132:BV195" ca="1" si="189">RAND()*(1-0.0001)+0.0001</f>
        <v>0.52256906449915941</v>
      </c>
      <c r="BW132" s="1">
        <f t="shared" ref="BW132:BW195" ca="1" si="190">RANDBETWEEN(100,1000)</f>
        <v>238</v>
      </c>
      <c r="BX132" s="1">
        <f t="shared" ref="BX132:BX195" ca="1" si="191">RAND()*(0.01-0.00001)+0.00001</f>
        <v>7.5488731088996751E-3</v>
      </c>
      <c r="BY132" s="1">
        <f t="shared" ref="BY132:BY195" ca="1" si="192">RAND()*(0.1-0.0001)+0.0001</f>
        <v>4.3396991787139662E-2</v>
      </c>
      <c r="BZ132" s="1">
        <f t="shared" ref="BZ132:BZ195" ca="1" si="193">RAND()*(1-0)+0</f>
        <v>0.74155403837829559</v>
      </c>
      <c r="CB132" s="1">
        <f t="shared" ref="CB132:CB195" ca="1" si="194">RANDBETWEEN(50,500)</f>
        <v>359</v>
      </c>
      <c r="CC132" s="1">
        <f t="shared" ref="CC132:CC195" ca="1" si="195">RANDBETWEEN(3,15)</f>
        <v>5</v>
      </c>
      <c r="CD132" s="1">
        <f t="shared" ref="CD132:CD195" ca="1" si="196">RAND()*(0.3-0.01)+0.01</f>
        <v>0.19897354771458933</v>
      </c>
      <c r="CE132" s="1">
        <f t="shared" ref="CE132:CF163" ca="1" si="197">RAND()*(1-0.5)+0.5</f>
        <v>0.91715172254330257</v>
      </c>
      <c r="CF132" s="1">
        <f t="shared" ca="1" si="197"/>
        <v>0.97826840973863349</v>
      </c>
      <c r="CH132" s="3">
        <f t="shared" ref="CH132:CH195" ca="1" si="198">RAND()*(1-0.0001)+0.0001</f>
        <v>5.6336885050178968E-2</v>
      </c>
      <c r="CI132" s="3">
        <f t="shared" ref="CI132:CI195" ca="1" si="199">RAND()*(0.99-0.01)+0.01</f>
        <v>0.40193535187704643</v>
      </c>
      <c r="CJ132" s="3">
        <f t="shared" ref="CJ132:CJ195" ca="1" si="200">RANDBETWEEN(100,2000)</f>
        <v>912</v>
      </c>
      <c r="CK132" s="3">
        <f t="shared" ref="CK132:CK195" ca="1" si="201">RAND()*(0.01-0.000001)+0.000001</f>
        <v>2.757446908934512E-4</v>
      </c>
      <c r="CL132" s="3">
        <f t="shared" ref="CL132:CL195" ca="1" si="202">RANDBETWEEN(0,1)</f>
        <v>0</v>
      </c>
      <c r="CM132" s="3"/>
      <c r="CN132" s="1">
        <f t="shared" ref="CN132:CN195" ca="1" si="203">RAND()*(20-0.1)+0.1</f>
        <v>10.557854659723679</v>
      </c>
      <c r="CO132" s="1">
        <f t="shared" ref="CO132:CO195" ca="1" si="204">RAND()*(0.5-0.001)+0.001</f>
        <v>0.27937172538887506</v>
      </c>
      <c r="CP132" s="1">
        <f t="shared" ref="CP132:CP195" ca="1" si="205">RANDBETWEEN(1,5)</f>
        <v>3</v>
      </c>
      <c r="CV132" s="1">
        <f t="shared" ref="CV132:CV195" ca="1" si="206">RAND()*(10-0.0001)+0.0001</f>
        <v>7.2907580889345587</v>
      </c>
      <c r="CW132" s="1">
        <f t="shared" ref="CW132:CW195" ca="1" si="207">RANDBETWEEN(100,2000)</f>
        <v>1800</v>
      </c>
      <c r="CX132" s="1">
        <f t="shared" ref="CX132:CX195" ca="1" si="208">RAND()*(0.01-0.000001)+0.000001</f>
        <v>2.9519722417396278E-6</v>
      </c>
      <c r="DH132" s="1">
        <f t="shared" ref="DH132:DH195" ca="1" si="209">RANDBETWEEN(10,900)</f>
        <v>427</v>
      </c>
      <c r="DI132" s="1">
        <f t="shared" ref="DI132:DI195" ca="1" si="210">RAND()*(1-0.001)+0.001</f>
        <v>0.59773874203310862</v>
      </c>
      <c r="DJ132" s="1">
        <f t="shared" ref="DJ132:DJ195" ca="1" si="211">RANDBETWEEN(1,30)</f>
        <v>14</v>
      </c>
      <c r="DL132" s="1">
        <f t="shared" ref="DL132:DL195" ca="1" si="212">RAND()*(0.2-0.01)+0.01</f>
        <v>0.13574282068185001</v>
      </c>
      <c r="DM132" s="1">
        <f t="shared" ref="DM132:DM195" ca="1" si="213">RANDBETWEEN(50,300)</f>
        <v>132</v>
      </c>
      <c r="DN132" s="1">
        <f t="shared" ref="DN132:DN195" ca="1" si="214">RANDBETWEEN(1,10)</f>
        <v>1</v>
      </c>
      <c r="DW132" s="1">
        <f t="shared" ref="DW132:DW195" ca="1" si="215">RANDBETWEEN(50,500)</f>
        <v>112</v>
      </c>
      <c r="DX132" s="1">
        <f t="shared" ref="DX132:DX195" ca="1" si="216">RANDBETWEEN(3,20)</f>
        <v>14</v>
      </c>
      <c r="DY132" s="1">
        <f t="shared" ref="DY132:DY195" ca="1" si="217">RANDBETWEEN(2,20)</f>
        <v>20</v>
      </c>
    </row>
    <row r="133" spans="2:129" x14ac:dyDescent="0.25">
      <c r="B133">
        <f t="shared" ca="1" si="147"/>
        <v>308</v>
      </c>
      <c r="C133">
        <f t="shared" ca="1" si="148"/>
        <v>6</v>
      </c>
      <c r="D133">
        <f t="shared" ca="1" si="149"/>
        <v>8.5271572326716435E-2</v>
      </c>
      <c r="F133" s="1">
        <f t="shared" ca="1" si="150"/>
        <v>32</v>
      </c>
      <c r="G133" s="1">
        <f t="shared" ca="1" si="151"/>
        <v>11</v>
      </c>
      <c r="H133" s="1">
        <f t="shared" ca="1" si="152"/>
        <v>4</v>
      </c>
      <c r="I133" s="1"/>
      <c r="J133" s="1">
        <f t="shared" ca="1" si="153"/>
        <v>34</v>
      </c>
      <c r="K133" s="1">
        <f t="shared" ca="1" si="154"/>
        <v>1.0152957516219738</v>
      </c>
      <c r="L133" s="1">
        <f t="shared" ca="1" si="155"/>
        <v>21</v>
      </c>
      <c r="M133" s="1"/>
      <c r="N133" s="1">
        <f t="shared" ca="1" si="156"/>
        <v>28</v>
      </c>
      <c r="O133" s="1">
        <f t="shared" ca="1" si="157"/>
        <v>31</v>
      </c>
      <c r="P133" s="1"/>
      <c r="Q133" s="1">
        <f t="shared" ca="1" si="158"/>
        <v>1.367028172061679</v>
      </c>
      <c r="R133" s="1">
        <f t="shared" ca="1" si="159"/>
        <v>372</v>
      </c>
      <c r="S133" s="1"/>
      <c r="T133" s="1">
        <f t="shared" ca="1" si="160"/>
        <v>6.5520711836515227E-2</v>
      </c>
      <c r="U133" s="1">
        <f t="shared" ca="1" si="161"/>
        <v>395</v>
      </c>
      <c r="V133" s="1">
        <f t="shared" ca="1" si="162"/>
        <v>2</v>
      </c>
      <c r="W133" s="1"/>
      <c r="X133" s="1">
        <f t="shared" ca="1" si="163"/>
        <v>8.490548875831081</v>
      </c>
      <c r="Y133" s="1">
        <f t="shared" ca="1" si="164"/>
        <v>0.89720170154050916</v>
      </c>
      <c r="Z133" s="1">
        <f t="shared" ca="1" si="165"/>
        <v>1461</v>
      </c>
      <c r="AB133" s="1">
        <f t="shared" ca="1" si="166"/>
        <v>0.66871308065807045</v>
      </c>
      <c r="AC133" s="1">
        <f t="shared" ca="1" si="167"/>
        <v>219</v>
      </c>
      <c r="AD133" s="1">
        <f t="shared" ca="1" si="168"/>
        <v>7.8206991710571671E-3</v>
      </c>
      <c r="AE133" s="1"/>
      <c r="AF133" s="1">
        <f t="shared" ca="1" si="169"/>
        <v>0.68857832652759954</v>
      </c>
      <c r="AG133" s="1">
        <f t="shared" ca="1" si="170"/>
        <v>1000</v>
      </c>
      <c r="AH133" s="1">
        <f t="shared" ca="1" si="171"/>
        <v>7.8777666475768181E-3</v>
      </c>
      <c r="AJ133" s="1">
        <f t="shared" ca="1" si="172"/>
        <v>0.14365505936707224</v>
      </c>
      <c r="AK133" s="1">
        <f t="shared" ca="1" si="173"/>
        <v>9.1977296849640646E-3</v>
      </c>
      <c r="AL133" s="1"/>
      <c r="AM133" s="1">
        <f t="shared" ca="1" si="174"/>
        <v>4.3164763970509105E-2</v>
      </c>
      <c r="AN133" s="1">
        <f t="shared" ca="1" si="175"/>
        <v>37</v>
      </c>
      <c r="AO133" s="1">
        <f t="shared" ca="1" si="176"/>
        <v>15</v>
      </c>
      <c r="AQ133" s="1">
        <f t="shared" ca="1" si="177"/>
        <v>31</v>
      </c>
      <c r="AR133" s="1">
        <f t="shared" ca="1" si="178"/>
        <v>8</v>
      </c>
      <c r="AS133" s="1">
        <f t="shared" ca="1" si="179"/>
        <v>70</v>
      </c>
      <c r="AU133" s="1">
        <f t="shared" ca="1" si="180"/>
        <v>113</v>
      </c>
      <c r="AV133" s="1">
        <f t="shared" ca="1" si="181"/>
        <v>2</v>
      </c>
      <c r="AW133" s="1">
        <f t="shared" ca="1" si="182"/>
        <v>4.5634135411619481E-2</v>
      </c>
      <c r="AY133" s="1">
        <f t="shared" ca="1" si="183"/>
        <v>1.4978864467497068</v>
      </c>
      <c r="AZ133" s="1">
        <f t="shared" ca="1" si="184"/>
        <v>428</v>
      </c>
      <c r="BA133" s="1">
        <f t="shared" ca="1" si="185"/>
        <v>1.9116970322066934E-3</v>
      </c>
      <c r="BG133" s="1">
        <f t="shared" ca="1" si="186"/>
        <v>0.72487990127584268</v>
      </c>
      <c r="BH133" s="1">
        <f t="shared" ca="1" si="187"/>
        <v>0.31741747730033443</v>
      </c>
      <c r="BI133" s="1">
        <f t="shared" ca="1" si="188"/>
        <v>572</v>
      </c>
      <c r="BV133" s="1">
        <f t="shared" ca="1" si="189"/>
        <v>0.6542896041749926</v>
      </c>
      <c r="BW133" s="1">
        <f t="shared" ca="1" si="190"/>
        <v>508</v>
      </c>
      <c r="BX133" s="1">
        <f t="shared" ca="1" si="191"/>
        <v>9.4715930381502108E-3</v>
      </c>
      <c r="BY133" s="1">
        <f t="shared" ca="1" si="192"/>
        <v>5.8376610663768036E-2</v>
      </c>
      <c r="BZ133" s="1">
        <f t="shared" ca="1" si="193"/>
        <v>0.7161919065362754</v>
      </c>
      <c r="CB133" s="1">
        <f t="shared" ca="1" si="194"/>
        <v>443</v>
      </c>
      <c r="CC133" s="1">
        <f t="shared" ca="1" si="195"/>
        <v>15</v>
      </c>
      <c r="CD133" s="1">
        <f t="shared" ca="1" si="196"/>
        <v>0.24335001552351102</v>
      </c>
      <c r="CE133" s="1">
        <f t="shared" ca="1" si="197"/>
        <v>0.74640156520437428</v>
      </c>
      <c r="CF133" s="1">
        <f t="shared" ca="1" si="197"/>
        <v>0.69996815811955693</v>
      </c>
      <c r="CH133" s="3">
        <f t="shared" ca="1" si="198"/>
        <v>3.5855600036950798E-2</v>
      </c>
      <c r="CI133" s="3">
        <f t="shared" ca="1" si="199"/>
        <v>0.36671281405171913</v>
      </c>
      <c r="CJ133" s="3">
        <f t="shared" ca="1" si="200"/>
        <v>581</v>
      </c>
      <c r="CK133" s="3">
        <f t="shared" ca="1" si="201"/>
        <v>7.9176262626881582E-3</v>
      </c>
      <c r="CL133" s="3">
        <f t="shared" ca="1" si="202"/>
        <v>1</v>
      </c>
      <c r="CM133" s="3"/>
      <c r="CN133" s="1">
        <f t="shared" ca="1" si="203"/>
        <v>8.3141183745998326</v>
      </c>
      <c r="CO133" s="1">
        <f t="shared" ca="1" si="204"/>
        <v>0.38430249159960977</v>
      </c>
      <c r="CP133" s="1">
        <f t="shared" ca="1" si="205"/>
        <v>1</v>
      </c>
      <c r="CV133" s="1">
        <f t="shared" ca="1" si="206"/>
        <v>5.9038445414539247</v>
      </c>
      <c r="CW133" s="1">
        <f t="shared" ca="1" si="207"/>
        <v>509</v>
      </c>
      <c r="CX133" s="1">
        <f t="shared" ca="1" si="208"/>
        <v>9.4749052114250134E-3</v>
      </c>
      <c r="DH133" s="1">
        <f t="shared" ca="1" si="209"/>
        <v>549</v>
      </c>
      <c r="DI133" s="1">
        <f t="shared" ca="1" si="210"/>
        <v>0.14791464634635149</v>
      </c>
      <c r="DJ133" s="1">
        <f t="shared" ca="1" si="211"/>
        <v>14</v>
      </c>
      <c r="DL133" s="1">
        <f t="shared" ca="1" si="212"/>
        <v>7.028048799054866E-2</v>
      </c>
      <c r="DM133" s="1">
        <f t="shared" ca="1" si="213"/>
        <v>269</v>
      </c>
      <c r="DN133" s="1">
        <f t="shared" ca="1" si="214"/>
        <v>8</v>
      </c>
      <c r="DW133" s="1">
        <f t="shared" ca="1" si="215"/>
        <v>337</v>
      </c>
      <c r="DX133" s="1">
        <f t="shared" ca="1" si="216"/>
        <v>12</v>
      </c>
      <c r="DY133" s="1">
        <f t="shared" ca="1" si="217"/>
        <v>7</v>
      </c>
    </row>
    <row r="134" spans="2:129" x14ac:dyDescent="0.25">
      <c r="B134">
        <f t="shared" ca="1" si="147"/>
        <v>249</v>
      </c>
      <c r="C134">
        <f t="shared" ca="1" si="148"/>
        <v>49</v>
      </c>
      <c r="D134">
        <f t="shared" ca="1" si="149"/>
        <v>0.11372025837746895</v>
      </c>
      <c r="F134" s="1">
        <f t="shared" ca="1" si="150"/>
        <v>6</v>
      </c>
      <c r="G134" s="1">
        <f t="shared" ca="1" si="151"/>
        <v>3</v>
      </c>
      <c r="H134" s="1">
        <f t="shared" ca="1" si="152"/>
        <v>5</v>
      </c>
      <c r="I134" s="1"/>
      <c r="J134" s="1">
        <f t="shared" ca="1" si="153"/>
        <v>19</v>
      </c>
      <c r="K134" s="1">
        <f t="shared" ca="1" si="154"/>
        <v>1.4401556314497075</v>
      </c>
      <c r="L134" s="1">
        <f t="shared" ca="1" si="155"/>
        <v>4</v>
      </c>
      <c r="M134" s="1"/>
      <c r="N134" s="1">
        <f t="shared" ca="1" si="156"/>
        <v>430</v>
      </c>
      <c r="O134" s="1">
        <f t="shared" ca="1" si="157"/>
        <v>29</v>
      </c>
      <c r="P134" s="1"/>
      <c r="Q134" s="1">
        <f t="shared" ca="1" si="158"/>
        <v>4.4013275478498155</v>
      </c>
      <c r="R134" s="1">
        <f t="shared" ca="1" si="159"/>
        <v>587</v>
      </c>
      <c r="S134" s="1"/>
      <c r="T134" s="1">
        <f t="shared" ca="1" si="160"/>
        <v>0.16583883612399522</v>
      </c>
      <c r="U134" s="1">
        <f t="shared" ca="1" si="161"/>
        <v>168</v>
      </c>
      <c r="V134" s="1">
        <f t="shared" ca="1" si="162"/>
        <v>16</v>
      </c>
      <c r="W134" s="1"/>
      <c r="X134" s="1">
        <f t="shared" ca="1" si="163"/>
        <v>3.1024932954086393</v>
      </c>
      <c r="Y134" s="1">
        <f t="shared" ca="1" si="164"/>
        <v>0.86759323444005854</v>
      </c>
      <c r="Z134" s="1">
        <f t="shared" ca="1" si="165"/>
        <v>394</v>
      </c>
      <c r="AB134" s="1">
        <f t="shared" ca="1" si="166"/>
        <v>0.25443667398570857</v>
      </c>
      <c r="AC134" s="1">
        <f t="shared" ca="1" si="167"/>
        <v>611</v>
      </c>
      <c r="AD134" s="1">
        <f t="shared" ca="1" si="168"/>
        <v>5.5131359128695236E-3</v>
      </c>
      <c r="AE134" s="1"/>
      <c r="AF134" s="1">
        <f t="shared" ca="1" si="169"/>
        <v>0.52769895743079176</v>
      </c>
      <c r="AG134" s="1">
        <f t="shared" ca="1" si="170"/>
        <v>799</v>
      </c>
      <c r="AH134" s="1">
        <f t="shared" ca="1" si="171"/>
        <v>3.2061107320533484E-3</v>
      </c>
      <c r="AJ134" s="1">
        <f t="shared" ca="1" si="172"/>
        <v>0.9358603258722431</v>
      </c>
      <c r="AK134" s="1">
        <f t="shared" ca="1" si="173"/>
        <v>9.3818905343861347E-3</v>
      </c>
      <c r="AL134" s="1"/>
      <c r="AM134" s="1">
        <f t="shared" ca="1" si="174"/>
        <v>0.12529582743087292</v>
      </c>
      <c r="AN134" s="1">
        <f t="shared" ca="1" si="175"/>
        <v>75</v>
      </c>
      <c r="AO134" s="1">
        <f t="shared" ca="1" si="176"/>
        <v>5</v>
      </c>
      <c r="AQ134" s="1">
        <f t="shared" ca="1" si="177"/>
        <v>41</v>
      </c>
      <c r="AR134" s="1">
        <f t="shared" ca="1" si="178"/>
        <v>0</v>
      </c>
      <c r="AS134" s="1">
        <f t="shared" ca="1" si="179"/>
        <v>46</v>
      </c>
      <c r="AU134" s="1">
        <f t="shared" ca="1" si="180"/>
        <v>245</v>
      </c>
      <c r="AV134" s="1">
        <f t="shared" ca="1" si="181"/>
        <v>2</v>
      </c>
      <c r="AW134" s="1">
        <f t="shared" ca="1" si="182"/>
        <v>0.11116328049381233</v>
      </c>
      <c r="AY134" s="1">
        <f t="shared" ca="1" si="183"/>
        <v>1.5113017656781638</v>
      </c>
      <c r="AZ134" s="1">
        <f t="shared" ca="1" si="184"/>
        <v>474</v>
      </c>
      <c r="BA134" s="1">
        <f t="shared" ca="1" si="185"/>
        <v>7.3302416331826013E-5</v>
      </c>
      <c r="BG134" s="1">
        <f t="shared" ca="1" si="186"/>
        <v>0.72660500311204657</v>
      </c>
      <c r="BH134" s="1">
        <f t="shared" ca="1" si="187"/>
        <v>0.4445487903287646</v>
      </c>
      <c r="BI134" s="1">
        <f t="shared" ca="1" si="188"/>
        <v>929</v>
      </c>
      <c r="BV134" s="1">
        <f t="shared" ca="1" si="189"/>
        <v>0.91318507609994337</v>
      </c>
      <c r="BW134" s="1">
        <f t="shared" ca="1" si="190"/>
        <v>551</v>
      </c>
      <c r="BX134" s="1">
        <f t="shared" ca="1" si="191"/>
        <v>6.914025731157128E-4</v>
      </c>
      <c r="BY134" s="1">
        <f t="shared" ca="1" si="192"/>
        <v>2.3271104403691362E-2</v>
      </c>
      <c r="BZ134" s="1">
        <f t="shared" ca="1" si="193"/>
        <v>0.80789194448542734</v>
      </c>
      <c r="CB134" s="1">
        <f t="shared" ca="1" si="194"/>
        <v>288</v>
      </c>
      <c r="CC134" s="1">
        <f t="shared" ca="1" si="195"/>
        <v>8</v>
      </c>
      <c r="CD134" s="1">
        <f t="shared" ca="1" si="196"/>
        <v>0.2846104676299428</v>
      </c>
      <c r="CE134" s="1">
        <f t="shared" ca="1" si="197"/>
        <v>0.86108801963506254</v>
      </c>
      <c r="CF134" s="1">
        <f t="shared" ca="1" si="197"/>
        <v>0.92408743748612243</v>
      </c>
      <c r="CH134" s="3">
        <f t="shared" ca="1" si="198"/>
        <v>0.19997497690868113</v>
      </c>
      <c r="CI134" s="3">
        <f t="shared" ca="1" si="199"/>
        <v>0.48846907439356685</v>
      </c>
      <c r="CJ134" s="3">
        <f t="shared" ca="1" si="200"/>
        <v>1761</v>
      </c>
      <c r="CK134" s="3">
        <f t="shared" ca="1" si="201"/>
        <v>7.6981942861924406E-3</v>
      </c>
      <c r="CL134" s="3">
        <f t="shared" ca="1" si="202"/>
        <v>0</v>
      </c>
      <c r="CM134" s="3"/>
      <c r="CN134" s="1">
        <f t="shared" ca="1" si="203"/>
        <v>9.623589680590003</v>
      </c>
      <c r="CO134" s="1">
        <f t="shared" ca="1" si="204"/>
        <v>0.46332454492751324</v>
      </c>
      <c r="CP134" s="1">
        <f t="shared" ca="1" si="205"/>
        <v>5</v>
      </c>
      <c r="CV134" s="1">
        <f t="shared" ca="1" si="206"/>
        <v>1.3709168130204223</v>
      </c>
      <c r="CW134" s="1">
        <f t="shared" ca="1" si="207"/>
        <v>1708</v>
      </c>
      <c r="CX134" s="1">
        <f t="shared" ca="1" si="208"/>
        <v>5.9115525070408282E-3</v>
      </c>
      <c r="DH134" s="1">
        <f t="shared" ca="1" si="209"/>
        <v>371</v>
      </c>
      <c r="DI134" s="1">
        <f t="shared" ca="1" si="210"/>
        <v>1.5146680384566517E-2</v>
      </c>
      <c r="DJ134" s="1">
        <f t="shared" ca="1" si="211"/>
        <v>4</v>
      </c>
      <c r="DL134" s="1">
        <f t="shared" ca="1" si="212"/>
        <v>0.12478186662466101</v>
      </c>
      <c r="DM134" s="1">
        <f t="shared" ca="1" si="213"/>
        <v>145</v>
      </c>
      <c r="DN134" s="1">
        <f t="shared" ca="1" si="214"/>
        <v>9</v>
      </c>
      <c r="DW134" s="1">
        <f t="shared" ca="1" si="215"/>
        <v>137</v>
      </c>
      <c r="DX134" s="1">
        <f t="shared" ca="1" si="216"/>
        <v>14</v>
      </c>
      <c r="DY134" s="1">
        <f t="shared" ca="1" si="217"/>
        <v>16</v>
      </c>
    </row>
    <row r="135" spans="2:129" x14ac:dyDescent="0.25">
      <c r="B135">
        <f t="shared" ca="1" si="147"/>
        <v>88</v>
      </c>
      <c r="C135">
        <f t="shared" ca="1" si="148"/>
        <v>36</v>
      </c>
      <c r="D135">
        <f t="shared" ca="1" si="149"/>
        <v>0.15625313301854263</v>
      </c>
      <c r="F135" s="1">
        <f t="shared" ca="1" si="150"/>
        <v>11</v>
      </c>
      <c r="G135" s="1">
        <f t="shared" ca="1" si="151"/>
        <v>24</v>
      </c>
      <c r="H135" s="1">
        <f t="shared" ca="1" si="152"/>
        <v>11</v>
      </c>
      <c r="I135" s="1"/>
      <c r="J135" s="1">
        <f t="shared" ca="1" si="153"/>
        <v>22</v>
      </c>
      <c r="K135" s="1">
        <f t="shared" ca="1" si="154"/>
        <v>1.186221163520639</v>
      </c>
      <c r="L135" s="1">
        <f t="shared" ca="1" si="155"/>
        <v>15</v>
      </c>
      <c r="M135" s="1"/>
      <c r="N135" s="1">
        <f t="shared" ca="1" si="156"/>
        <v>39</v>
      </c>
      <c r="O135" s="1">
        <f t="shared" ca="1" si="157"/>
        <v>19</v>
      </c>
      <c r="P135" s="1"/>
      <c r="Q135" s="1">
        <f t="shared" ca="1" si="158"/>
        <v>4.6274465292640201</v>
      </c>
      <c r="R135" s="1">
        <f t="shared" ca="1" si="159"/>
        <v>475</v>
      </c>
      <c r="S135" s="1"/>
      <c r="T135" s="1">
        <f t="shared" ca="1" si="160"/>
        <v>5.9456180143662218E-2</v>
      </c>
      <c r="U135" s="1">
        <f t="shared" ca="1" si="161"/>
        <v>273</v>
      </c>
      <c r="V135" s="1">
        <f t="shared" ca="1" si="162"/>
        <v>49</v>
      </c>
      <c r="W135" s="1"/>
      <c r="X135" s="1">
        <f t="shared" ca="1" si="163"/>
        <v>9.5939971323440645</v>
      </c>
      <c r="Y135" s="1">
        <f t="shared" ca="1" si="164"/>
        <v>0.67759426440652482</v>
      </c>
      <c r="Z135" s="1">
        <f t="shared" ca="1" si="165"/>
        <v>1699</v>
      </c>
      <c r="AB135" s="1">
        <f t="shared" ca="1" si="166"/>
        <v>0.58540973308714239</v>
      </c>
      <c r="AC135" s="1">
        <f t="shared" ca="1" si="167"/>
        <v>498</v>
      </c>
      <c r="AD135" s="1">
        <f t="shared" ca="1" si="168"/>
        <v>7.2145747754045432E-3</v>
      </c>
      <c r="AE135" s="1"/>
      <c r="AF135" s="1">
        <f t="shared" ca="1" si="169"/>
        <v>0.57143493703925929</v>
      </c>
      <c r="AG135" s="1">
        <f t="shared" ca="1" si="170"/>
        <v>856</v>
      </c>
      <c r="AH135" s="1">
        <f t="shared" ca="1" si="171"/>
        <v>2.6952346327646219E-3</v>
      </c>
      <c r="AJ135" s="1">
        <f t="shared" ca="1" si="172"/>
        <v>0.65206872708368913</v>
      </c>
      <c r="AK135" s="1">
        <f t="shared" ca="1" si="173"/>
        <v>4.7566584262032839E-4</v>
      </c>
      <c r="AL135" s="1"/>
      <c r="AM135" s="1">
        <f t="shared" ca="1" si="174"/>
        <v>2.0396312777150868E-2</v>
      </c>
      <c r="AN135" s="1">
        <f t="shared" ca="1" si="175"/>
        <v>68</v>
      </c>
      <c r="AO135" s="1">
        <f t="shared" ca="1" si="176"/>
        <v>5</v>
      </c>
      <c r="AQ135" s="1">
        <f t="shared" ca="1" si="177"/>
        <v>162</v>
      </c>
      <c r="AR135" s="1">
        <f t="shared" ca="1" si="178"/>
        <v>6</v>
      </c>
      <c r="AS135" s="1">
        <f t="shared" ca="1" si="179"/>
        <v>92</v>
      </c>
      <c r="AU135" s="1">
        <f t="shared" ca="1" si="180"/>
        <v>340</v>
      </c>
      <c r="AV135" s="1">
        <f t="shared" ca="1" si="181"/>
        <v>10</v>
      </c>
      <c r="AW135" s="1">
        <f t="shared" ca="1" si="182"/>
        <v>1.0358878465024448E-2</v>
      </c>
      <c r="AY135" s="1">
        <f t="shared" ca="1" si="183"/>
        <v>1.451027153583385</v>
      </c>
      <c r="AZ135" s="1">
        <f t="shared" ca="1" si="184"/>
        <v>260</v>
      </c>
      <c r="BA135" s="1">
        <f t="shared" ca="1" si="185"/>
        <v>4.305489136182547E-3</v>
      </c>
      <c r="BG135" s="1">
        <f t="shared" ca="1" si="186"/>
        <v>0.71692672499651944</v>
      </c>
      <c r="BH135" s="1">
        <f t="shared" ca="1" si="187"/>
        <v>0.99056937696729164</v>
      </c>
      <c r="BI135" s="1">
        <f t="shared" ca="1" si="188"/>
        <v>862</v>
      </c>
      <c r="BV135" s="1">
        <f t="shared" ca="1" si="189"/>
        <v>8.0579926988420605E-2</v>
      </c>
      <c r="BW135" s="1">
        <f t="shared" ca="1" si="190"/>
        <v>341</v>
      </c>
      <c r="BX135" s="1">
        <f t="shared" ca="1" si="191"/>
        <v>2.9417798980810306E-4</v>
      </c>
      <c r="BY135" s="1">
        <f t="shared" ca="1" si="192"/>
        <v>6.6290458051794968E-2</v>
      </c>
      <c r="BZ135" s="1">
        <f t="shared" ca="1" si="193"/>
        <v>0.61346655772292702</v>
      </c>
      <c r="CB135" s="1">
        <f t="shared" ca="1" si="194"/>
        <v>316</v>
      </c>
      <c r="CC135" s="1">
        <f t="shared" ca="1" si="195"/>
        <v>8</v>
      </c>
      <c r="CD135" s="1">
        <f t="shared" ca="1" si="196"/>
        <v>0.16156249852322077</v>
      </c>
      <c r="CE135" s="1">
        <f t="shared" ca="1" si="197"/>
        <v>0.76985914280967149</v>
      </c>
      <c r="CF135" s="1">
        <f t="shared" ca="1" si="197"/>
        <v>0.61201214667158954</v>
      </c>
      <c r="CH135" s="3">
        <f t="shared" ca="1" si="198"/>
        <v>0.23820268461105054</v>
      </c>
      <c r="CI135" s="3">
        <f t="shared" ca="1" si="199"/>
        <v>0.72447814105854191</v>
      </c>
      <c r="CJ135" s="3">
        <f t="shared" ca="1" si="200"/>
        <v>1827</v>
      </c>
      <c r="CK135" s="3">
        <f t="shared" ca="1" si="201"/>
        <v>9.2547424651843041E-3</v>
      </c>
      <c r="CL135" s="3">
        <f t="shared" ca="1" si="202"/>
        <v>1</v>
      </c>
      <c r="CM135" s="3"/>
      <c r="CN135" s="1">
        <f t="shared" ca="1" si="203"/>
        <v>6.1748367180368575</v>
      </c>
      <c r="CO135" s="1">
        <f t="shared" ca="1" si="204"/>
        <v>0.26835240139921973</v>
      </c>
      <c r="CP135" s="1">
        <f t="shared" ca="1" si="205"/>
        <v>1</v>
      </c>
      <c r="CV135" s="1">
        <f t="shared" ca="1" si="206"/>
        <v>0.44491391387552781</v>
      </c>
      <c r="CW135" s="1">
        <f t="shared" ca="1" si="207"/>
        <v>1921</v>
      </c>
      <c r="CX135" s="1">
        <f t="shared" ca="1" si="208"/>
        <v>5.2888391881127893E-3</v>
      </c>
      <c r="DH135" s="1">
        <f t="shared" ca="1" si="209"/>
        <v>867</v>
      </c>
      <c r="DI135" s="1">
        <f t="shared" ca="1" si="210"/>
        <v>0.14449372517531656</v>
      </c>
      <c r="DJ135" s="1">
        <f t="shared" ca="1" si="211"/>
        <v>18</v>
      </c>
      <c r="DL135" s="1">
        <f t="shared" ca="1" si="212"/>
        <v>3.1546034956437749E-2</v>
      </c>
      <c r="DM135" s="1">
        <f t="shared" ca="1" si="213"/>
        <v>292</v>
      </c>
      <c r="DN135" s="1">
        <f t="shared" ca="1" si="214"/>
        <v>2</v>
      </c>
      <c r="DW135" s="1">
        <f t="shared" ca="1" si="215"/>
        <v>414</v>
      </c>
      <c r="DX135" s="1">
        <f t="shared" ca="1" si="216"/>
        <v>19</v>
      </c>
      <c r="DY135" s="1">
        <f t="shared" ca="1" si="217"/>
        <v>6</v>
      </c>
    </row>
    <row r="136" spans="2:129" x14ac:dyDescent="0.25">
      <c r="B136">
        <f t="shared" ca="1" si="147"/>
        <v>43</v>
      </c>
      <c r="C136">
        <f t="shared" ca="1" si="148"/>
        <v>6</v>
      </c>
      <c r="D136">
        <f t="shared" ca="1" si="149"/>
        <v>0.14902273237424485</v>
      </c>
      <c r="F136" s="1">
        <f t="shared" ca="1" si="150"/>
        <v>49</v>
      </c>
      <c r="G136" s="1">
        <f t="shared" ca="1" si="151"/>
        <v>22</v>
      </c>
      <c r="H136" s="1">
        <f t="shared" ca="1" si="152"/>
        <v>10</v>
      </c>
      <c r="I136" s="1"/>
      <c r="J136" s="1">
        <f t="shared" ca="1" si="153"/>
        <v>38</v>
      </c>
      <c r="K136" s="1">
        <f t="shared" ca="1" si="154"/>
        <v>1.4540174824946748</v>
      </c>
      <c r="L136" s="1">
        <f t="shared" ca="1" si="155"/>
        <v>4</v>
      </c>
      <c r="M136" s="1"/>
      <c r="N136" s="1">
        <f t="shared" ca="1" si="156"/>
        <v>454</v>
      </c>
      <c r="O136" s="1">
        <f t="shared" ca="1" si="157"/>
        <v>34</v>
      </c>
      <c r="P136" s="1"/>
      <c r="Q136" s="1">
        <f t="shared" ca="1" si="158"/>
        <v>2.2483633717773066</v>
      </c>
      <c r="R136" s="1">
        <f t="shared" ca="1" si="159"/>
        <v>1139</v>
      </c>
      <c r="S136" s="1"/>
      <c r="T136" s="1">
        <f t="shared" ca="1" si="160"/>
        <v>9.91919258826751E-2</v>
      </c>
      <c r="U136" s="1">
        <f t="shared" ca="1" si="161"/>
        <v>79</v>
      </c>
      <c r="V136" s="1">
        <f t="shared" ca="1" si="162"/>
        <v>45</v>
      </c>
      <c r="W136" s="1"/>
      <c r="X136" s="1">
        <f t="shared" ca="1" si="163"/>
        <v>7.0241246996773116E-2</v>
      </c>
      <c r="Y136" s="1">
        <f t="shared" ca="1" si="164"/>
        <v>0.5923242047739925</v>
      </c>
      <c r="Z136" s="1">
        <f t="shared" ca="1" si="165"/>
        <v>111</v>
      </c>
      <c r="AB136" s="1">
        <f t="shared" ca="1" si="166"/>
        <v>0.54808753198431159</v>
      </c>
      <c r="AC136" s="1">
        <f t="shared" ca="1" si="167"/>
        <v>145</v>
      </c>
      <c r="AD136" s="1">
        <f t="shared" ca="1" si="168"/>
        <v>8.4211656924999597E-3</v>
      </c>
      <c r="AE136" s="1"/>
      <c r="AF136" s="1">
        <f t="shared" ca="1" si="169"/>
        <v>0.66992498410607249</v>
      </c>
      <c r="AG136" s="1">
        <f t="shared" ca="1" si="170"/>
        <v>157</v>
      </c>
      <c r="AH136" s="1">
        <f t="shared" ca="1" si="171"/>
        <v>8.4797684692616421E-3</v>
      </c>
      <c r="AJ136" s="1">
        <f t="shared" ca="1" si="172"/>
        <v>0.86960523045013893</v>
      </c>
      <c r="AK136" s="1">
        <f t="shared" ca="1" si="173"/>
        <v>5.2649484363283452E-3</v>
      </c>
      <c r="AL136" s="1"/>
      <c r="AM136" s="1">
        <f t="shared" ca="1" si="174"/>
        <v>5.6947594428621878E-2</v>
      </c>
      <c r="AN136" s="1">
        <f t="shared" ca="1" si="175"/>
        <v>28</v>
      </c>
      <c r="AO136" s="1">
        <f t="shared" ca="1" si="176"/>
        <v>20</v>
      </c>
      <c r="AQ136" s="1">
        <f t="shared" ca="1" si="177"/>
        <v>107</v>
      </c>
      <c r="AR136" s="1">
        <f t="shared" ca="1" si="178"/>
        <v>10</v>
      </c>
      <c r="AS136" s="1">
        <f t="shared" ca="1" si="179"/>
        <v>30</v>
      </c>
      <c r="AU136" s="1">
        <f t="shared" ca="1" si="180"/>
        <v>367</v>
      </c>
      <c r="AV136" s="1">
        <f t="shared" ca="1" si="181"/>
        <v>3</v>
      </c>
      <c r="AW136" s="1">
        <f t="shared" ca="1" si="182"/>
        <v>1.7263593094122353E-2</v>
      </c>
      <c r="AY136" s="1">
        <f t="shared" ca="1" si="183"/>
        <v>1.287860820161369</v>
      </c>
      <c r="AZ136" s="1">
        <f t="shared" ca="1" si="184"/>
        <v>300</v>
      </c>
      <c r="BA136" s="1">
        <f t="shared" ca="1" si="185"/>
        <v>6.6325296471111857E-3</v>
      </c>
      <c r="BG136" s="1">
        <f t="shared" ca="1" si="186"/>
        <v>0.32615688864415709</v>
      </c>
      <c r="BH136" s="1">
        <f t="shared" ca="1" si="187"/>
        <v>0.48606022342123179</v>
      </c>
      <c r="BI136" s="1">
        <f t="shared" ca="1" si="188"/>
        <v>599</v>
      </c>
      <c r="BV136" s="1">
        <f t="shared" ca="1" si="189"/>
        <v>0.84594077226320152</v>
      </c>
      <c r="BW136" s="1">
        <f t="shared" ca="1" si="190"/>
        <v>147</v>
      </c>
      <c r="BX136" s="1">
        <f t="shared" ca="1" si="191"/>
        <v>4.1935193920585945E-3</v>
      </c>
      <c r="BY136" s="1">
        <f t="shared" ca="1" si="192"/>
        <v>8.0634400180228341E-2</v>
      </c>
      <c r="BZ136" s="1">
        <f t="shared" ca="1" si="193"/>
        <v>0.21455304394850716</v>
      </c>
      <c r="CB136" s="1">
        <f t="shared" ca="1" si="194"/>
        <v>473</v>
      </c>
      <c r="CC136" s="1">
        <f t="shared" ca="1" si="195"/>
        <v>3</v>
      </c>
      <c r="CD136" s="1">
        <f t="shared" ca="1" si="196"/>
        <v>0.10524669873318625</v>
      </c>
      <c r="CE136" s="1">
        <f t="shared" ca="1" si="197"/>
        <v>0.81278925010165703</v>
      </c>
      <c r="CF136" s="1">
        <f t="shared" ca="1" si="197"/>
        <v>0.94660680125846774</v>
      </c>
      <c r="CH136" s="3">
        <f t="shared" ca="1" si="198"/>
        <v>0.47057257130148422</v>
      </c>
      <c r="CI136" s="3">
        <f t="shared" ca="1" si="199"/>
        <v>0.94763297686884085</v>
      </c>
      <c r="CJ136" s="3">
        <f t="shared" ca="1" si="200"/>
        <v>302</v>
      </c>
      <c r="CK136" s="3">
        <f t="shared" ca="1" si="201"/>
        <v>9.2364815246447941E-3</v>
      </c>
      <c r="CL136" s="3">
        <f t="shared" ca="1" si="202"/>
        <v>1</v>
      </c>
      <c r="CM136" s="3"/>
      <c r="CN136" s="1">
        <f t="shared" ca="1" si="203"/>
        <v>1.4310250148895414</v>
      </c>
      <c r="CO136" s="1">
        <f t="shared" ca="1" si="204"/>
        <v>0.16632455944175648</v>
      </c>
      <c r="CP136" s="1">
        <f t="shared" ca="1" si="205"/>
        <v>4</v>
      </c>
      <c r="CV136" s="1">
        <f t="shared" ca="1" si="206"/>
        <v>4.9683941460345409</v>
      </c>
      <c r="CW136" s="1">
        <f t="shared" ca="1" si="207"/>
        <v>1147</v>
      </c>
      <c r="CX136" s="1">
        <f t="shared" ca="1" si="208"/>
        <v>1.0501592412144023E-3</v>
      </c>
      <c r="DH136" s="1">
        <f t="shared" ca="1" si="209"/>
        <v>571</v>
      </c>
      <c r="DI136" s="1">
        <f t="shared" ca="1" si="210"/>
        <v>0.7890573895489047</v>
      </c>
      <c r="DJ136" s="1">
        <f t="shared" ca="1" si="211"/>
        <v>28</v>
      </c>
      <c r="DL136" s="1">
        <f t="shared" ca="1" si="212"/>
        <v>0.14699762868975838</v>
      </c>
      <c r="DM136" s="1">
        <f t="shared" ca="1" si="213"/>
        <v>296</v>
      </c>
      <c r="DN136" s="1">
        <f t="shared" ca="1" si="214"/>
        <v>8</v>
      </c>
      <c r="DW136" s="1">
        <f t="shared" ca="1" si="215"/>
        <v>467</v>
      </c>
      <c r="DX136" s="1">
        <f t="shared" ca="1" si="216"/>
        <v>11</v>
      </c>
      <c r="DY136" s="1">
        <f t="shared" ca="1" si="217"/>
        <v>8</v>
      </c>
    </row>
    <row r="137" spans="2:129" x14ac:dyDescent="0.25">
      <c r="B137">
        <f t="shared" ca="1" si="147"/>
        <v>672</v>
      </c>
      <c r="C137">
        <f t="shared" ca="1" si="148"/>
        <v>46</v>
      </c>
      <c r="D137">
        <f t="shared" ca="1" si="149"/>
        <v>0.15068949144696114</v>
      </c>
      <c r="F137" s="1">
        <f t="shared" ca="1" si="150"/>
        <v>45</v>
      </c>
      <c r="G137" s="1">
        <f t="shared" ca="1" si="151"/>
        <v>14</v>
      </c>
      <c r="H137" s="1">
        <f t="shared" ca="1" si="152"/>
        <v>3</v>
      </c>
      <c r="I137" s="1"/>
      <c r="J137" s="1">
        <f t="shared" ca="1" si="153"/>
        <v>19</v>
      </c>
      <c r="K137" s="1">
        <f t="shared" ca="1" si="154"/>
        <v>1.5124775661105301</v>
      </c>
      <c r="L137" s="1">
        <f t="shared" ca="1" si="155"/>
        <v>13</v>
      </c>
      <c r="M137" s="1"/>
      <c r="N137" s="1">
        <f t="shared" ca="1" si="156"/>
        <v>516</v>
      </c>
      <c r="O137" s="1">
        <f t="shared" ca="1" si="157"/>
        <v>43</v>
      </c>
      <c r="P137" s="1"/>
      <c r="Q137" s="1">
        <f t="shared" ca="1" si="158"/>
        <v>1.6108095803566578</v>
      </c>
      <c r="R137" s="1">
        <f t="shared" ca="1" si="159"/>
        <v>767</v>
      </c>
      <c r="S137" s="1"/>
      <c r="T137" s="1">
        <f t="shared" ca="1" si="160"/>
        <v>5.3405115452200426E-2</v>
      </c>
      <c r="U137" s="1">
        <f t="shared" ca="1" si="161"/>
        <v>130</v>
      </c>
      <c r="V137" s="1">
        <f t="shared" ca="1" si="162"/>
        <v>14</v>
      </c>
      <c r="W137" s="1"/>
      <c r="X137" s="1">
        <f t="shared" ca="1" si="163"/>
        <v>0.423412903846835</v>
      </c>
      <c r="Y137" s="1">
        <f t="shared" ca="1" si="164"/>
        <v>0.39649529795652089</v>
      </c>
      <c r="Z137" s="1">
        <f t="shared" ca="1" si="165"/>
        <v>1800</v>
      </c>
      <c r="AB137" s="1">
        <f t="shared" ca="1" si="166"/>
        <v>0.22649222170494734</v>
      </c>
      <c r="AC137" s="1">
        <f t="shared" ca="1" si="167"/>
        <v>628</v>
      </c>
      <c r="AD137" s="1">
        <f t="shared" ca="1" si="168"/>
        <v>5.7820489647211304E-4</v>
      </c>
      <c r="AE137" s="1"/>
      <c r="AF137" s="1">
        <f t="shared" ca="1" si="169"/>
        <v>0.33608248903427029</v>
      </c>
      <c r="AG137" s="1">
        <f t="shared" ca="1" si="170"/>
        <v>876</v>
      </c>
      <c r="AH137" s="1">
        <f t="shared" ca="1" si="171"/>
        <v>4.5380530671266664E-3</v>
      </c>
      <c r="AJ137" s="1">
        <f t="shared" ca="1" si="172"/>
        <v>0.89260147994843253</v>
      </c>
      <c r="AK137" s="1">
        <f t="shared" ca="1" si="173"/>
        <v>2.791562565427029E-3</v>
      </c>
      <c r="AL137" s="1"/>
      <c r="AM137" s="1">
        <f t="shared" ca="1" si="174"/>
        <v>0.18492094087290156</v>
      </c>
      <c r="AN137" s="1">
        <f t="shared" ca="1" si="175"/>
        <v>52</v>
      </c>
      <c r="AO137" s="1">
        <f t="shared" ca="1" si="176"/>
        <v>9</v>
      </c>
      <c r="AQ137" s="1">
        <f t="shared" ca="1" si="177"/>
        <v>136</v>
      </c>
      <c r="AR137" s="1">
        <f t="shared" ca="1" si="178"/>
        <v>10</v>
      </c>
      <c r="AS137" s="1">
        <f t="shared" ca="1" si="179"/>
        <v>59</v>
      </c>
      <c r="AU137" s="1">
        <f t="shared" ca="1" si="180"/>
        <v>309</v>
      </c>
      <c r="AV137" s="1">
        <f t="shared" ca="1" si="181"/>
        <v>4</v>
      </c>
      <c r="AW137" s="1">
        <f t="shared" ca="1" si="182"/>
        <v>0.19390335627297267</v>
      </c>
      <c r="AY137" s="1">
        <f t="shared" ca="1" si="183"/>
        <v>1.2725362716330089</v>
      </c>
      <c r="AZ137" s="1">
        <f t="shared" ca="1" si="184"/>
        <v>389</v>
      </c>
      <c r="BA137" s="1">
        <f t="shared" ca="1" si="185"/>
        <v>7.329981896330144E-3</v>
      </c>
      <c r="BG137" s="1">
        <f t="shared" ca="1" si="186"/>
        <v>0.30210162796698087</v>
      </c>
      <c r="BH137" s="1">
        <f t="shared" ca="1" si="187"/>
        <v>0.86361225507257278</v>
      </c>
      <c r="BI137" s="1">
        <f t="shared" ca="1" si="188"/>
        <v>688</v>
      </c>
      <c r="BV137" s="1">
        <f t="shared" ca="1" si="189"/>
        <v>0.75298241303969304</v>
      </c>
      <c r="BW137" s="1">
        <f t="shared" ca="1" si="190"/>
        <v>402</v>
      </c>
      <c r="BX137" s="1">
        <f t="shared" ca="1" si="191"/>
        <v>8.7395008917245855E-3</v>
      </c>
      <c r="BY137" s="1">
        <f t="shared" ca="1" si="192"/>
        <v>7.0199408774245728E-2</v>
      </c>
      <c r="BZ137" s="1">
        <f t="shared" ca="1" si="193"/>
        <v>2.7963717426044199E-2</v>
      </c>
      <c r="CB137" s="1">
        <f t="shared" ca="1" si="194"/>
        <v>408</v>
      </c>
      <c r="CC137" s="1">
        <f t="shared" ca="1" si="195"/>
        <v>8</v>
      </c>
      <c r="CD137" s="1">
        <f t="shared" ca="1" si="196"/>
        <v>0.29265057150999013</v>
      </c>
      <c r="CE137" s="1">
        <f t="shared" ca="1" si="197"/>
        <v>0.82604846706427504</v>
      </c>
      <c r="CF137" s="1">
        <f t="shared" ca="1" si="197"/>
        <v>0.5609626619868493</v>
      </c>
      <c r="CH137" s="3">
        <f t="shared" ca="1" si="198"/>
        <v>0.67305927451381975</v>
      </c>
      <c r="CI137" s="3">
        <f t="shared" ca="1" si="199"/>
        <v>0.65292981996586252</v>
      </c>
      <c r="CJ137" s="3">
        <f t="shared" ca="1" si="200"/>
        <v>1142</v>
      </c>
      <c r="CK137" s="3">
        <f t="shared" ca="1" si="201"/>
        <v>6.6463389179501531E-4</v>
      </c>
      <c r="CL137" s="3">
        <f t="shared" ca="1" si="202"/>
        <v>0</v>
      </c>
      <c r="CM137" s="3"/>
      <c r="CN137" s="1">
        <f t="shared" ca="1" si="203"/>
        <v>6.9116294062884922</v>
      </c>
      <c r="CO137" s="1">
        <f t="shared" ca="1" si="204"/>
        <v>0.14867645523054326</v>
      </c>
      <c r="CP137" s="1">
        <f t="shared" ca="1" si="205"/>
        <v>2</v>
      </c>
      <c r="CV137" s="1">
        <f t="shared" ca="1" si="206"/>
        <v>8.5565602954391569</v>
      </c>
      <c r="CW137" s="1">
        <f t="shared" ca="1" si="207"/>
        <v>1939</v>
      </c>
      <c r="CX137" s="1">
        <f t="shared" ca="1" si="208"/>
        <v>3.5507535616674762E-3</v>
      </c>
      <c r="DH137" s="1">
        <f t="shared" ca="1" si="209"/>
        <v>101</v>
      </c>
      <c r="DI137" s="1">
        <f t="shared" ca="1" si="210"/>
        <v>0.10447028819571631</v>
      </c>
      <c r="DJ137" s="1">
        <f t="shared" ca="1" si="211"/>
        <v>5</v>
      </c>
      <c r="DL137" s="1">
        <f t="shared" ca="1" si="212"/>
        <v>0.11859990073914942</v>
      </c>
      <c r="DM137" s="1">
        <f t="shared" ca="1" si="213"/>
        <v>199</v>
      </c>
      <c r="DN137" s="1">
        <f t="shared" ca="1" si="214"/>
        <v>9</v>
      </c>
      <c r="DW137" s="1">
        <f t="shared" ca="1" si="215"/>
        <v>443</v>
      </c>
      <c r="DX137" s="1">
        <f t="shared" ca="1" si="216"/>
        <v>19</v>
      </c>
      <c r="DY137" s="1">
        <f t="shared" ca="1" si="217"/>
        <v>8</v>
      </c>
    </row>
    <row r="138" spans="2:129" x14ac:dyDescent="0.25">
      <c r="B138">
        <f t="shared" ca="1" si="147"/>
        <v>85</v>
      </c>
      <c r="C138">
        <f t="shared" ca="1" si="148"/>
        <v>35</v>
      </c>
      <c r="D138">
        <f t="shared" ca="1" si="149"/>
        <v>0.29913752023398932</v>
      </c>
      <c r="F138" s="1">
        <f t="shared" ca="1" si="150"/>
        <v>8</v>
      </c>
      <c r="G138" s="1">
        <f t="shared" ca="1" si="151"/>
        <v>28</v>
      </c>
      <c r="H138" s="1">
        <f t="shared" ca="1" si="152"/>
        <v>6</v>
      </c>
      <c r="I138" s="1"/>
      <c r="J138" s="1">
        <f t="shared" ca="1" si="153"/>
        <v>8</v>
      </c>
      <c r="K138" s="1">
        <f t="shared" ca="1" si="154"/>
        <v>1.4833991091097147</v>
      </c>
      <c r="L138" s="1">
        <f t="shared" ca="1" si="155"/>
        <v>19</v>
      </c>
      <c r="M138" s="1"/>
      <c r="N138" s="1">
        <f t="shared" ca="1" si="156"/>
        <v>171</v>
      </c>
      <c r="O138" s="1">
        <f t="shared" ca="1" si="157"/>
        <v>17</v>
      </c>
      <c r="P138" s="1"/>
      <c r="Q138" s="1">
        <f t="shared" ca="1" si="158"/>
        <v>3.8857964005572072E-2</v>
      </c>
      <c r="R138" s="1">
        <f t="shared" ca="1" si="159"/>
        <v>891</v>
      </c>
      <c r="S138" s="1"/>
      <c r="T138" s="1">
        <f t="shared" ca="1" si="160"/>
        <v>8.4617671622775656E-2</v>
      </c>
      <c r="U138" s="1">
        <f t="shared" ca="1" si="161"/>
        <v>114</v>
      </c>
      <c r="V138" s="1">
        <f t="shared" ca="1" si="162"/>
        <v>27</v>
      </c>
      <c r="W138" s="1"/>
      <c r="X138" s="1">
        <f t="shared" ca="1" si="163"/>
        <v>8.6853725064152307</v>
      </c>
      <c r="Y138" s="1">
        <f t="shared" ca="1" si="164"/>
        <v>0.68680842811458154</v>
      </c>
      <c r="Z138" s="1">
        <f t="shared" ca="1" si="165"/>
        <v>1232</v>
      </c>
      <c r="AB138" s="1">
        <f t="shared" ca="1" si="166"/>
        <v>0.74610162600732988</v>
      </c>
      <c r="AC138" s="1">
        <f t="shared" ca="1" si="167"/>
        <v>407</v>
      </c>
      <c r="AD138" s="1">
        <f t="shared" ca="1" si="168"/>
        <v>6.6495807631711734E-3</v>
      </c>
      <c r="AE138" s="1"/>
      <c r="AF138" s="1">
        <f t="shared" ca="1" si="169"/>
        <v>0.83679037194880346</v>
      </c>
      <c r="AG138" s="1">
        <f t="shared" ca="1" si="170"/>
        <v>434</v>
      </c>
      <c r="AH138" s="1">
        <f t="shared" ca="1" si="171"/>
        <v>5.6468164348684978E-4</v>
      </c>
      <c r="AJ138" s="1">
        <f t="shared" ca="1" si="172"/>
        <v>0.50516784028075001</v>
      </c>
      <c r="AK138" s="1">
        <f t="shared" ca="1" si="173"/>
        <v>7.3588594895770366E-3</v>
      </c>
      <c r="AL138" s="1"/>
      <c r="AM138" s="1">
        <f t="shared" ca="1" si="174"/>
        <v>0.1180573025834738</v>
      </c>
      <c r="AN138" s="1">
        <f t="shared" ca="1" si="175"/>
        <v>60</v>
      </c>
      <c r="AO138" s="1">
        <f t="shared" ca="1" si="176"/>
        <v>1</v>
      </c>
      <c r="AQ138" s="1">
        <f t="shared" ca="1" si="177"/>
        <v>125</v>
      </c>
      <c r="AR138" s="1">
        <f t="shared" ca="1" si="178"/>
        <v>0</v>
      </c>
      <c r="AS138" s="1">
        <f t="shared" ca="1" si="179"/>
        <v>69</v>
      </c>
      <c r="AU138" s="1">
        <f t="shared" ca="1" si="180"/>
        <v>264</v>
      </c>
      <c r="AV138" s="1">
        <f t="shared" ca="1" si="181"/>
        <v>8</v>
      </c>
      <c r="AW138" s="1">
        <f t="shared" ca="1" si="182"/>
        <v>0.11904220994216319</v>
      </c>
      <c r="AY138" s="1">
        <f t="shared" ca="1" si="183"/>
        <v>1.8437701191025231</v>
      </c>
      <c r="AZ138" s="1">
        <f t="shared" ca="1" si="184"/>
        <v>367</v>
      </c>
      <c r="BA138" s="1">
        <f t="shared" ca="1" si="185"/>
        <v>1.8431212178002796E-3</v>
      </c>
      <c r="BG138" s="1">
        <f t="shared" ca="1" si="186"/>
        <v>7.1790408370485309E-2</v>
      </c>
      <c r="BH138" s="1">
        <f t="shared" ca="1" si="187"/>
        <v>0.19635773113195309</v>
      </c>
      <c r="BI138" s="1">
        <f t="shared" ca="1" si="188"/>
        <v>583</v>
      </c>
      <c r="BV138" s="1">
        <f t="shared" ca="1" si="189"/>
        <v>0.30361004648432349</v>
      </c>
      <c r="BW138" s="1">
        <f t="shared" ca="1" si="190"/>
        <v>499</v>
      </c>
      <c r="BX138" s="1">
        <f t="shared" ca="1" si="191"/>
        <v>4.1105720390770704E-3</v>
      </c>
      <c r="BY138" s="1">
        <f t="shared" ca="1" si="192"/>
        <v>1.0953565287231848E-3</v>
      </c>
      <c r="BZ138" s="1">
        <f t="shared" ca="1" si="193"/>
        <v>0.20252337672806908</v>
      </c>
      <c r="CB138" s="1">
        <f t="shared" ca="1" si="194"/>
        <v>60</v>
      </c>
      <c r="CC138" s="1">
        <f t="shared" ca="1" si="195"/>
        <v>9</v>
      </c>
      <c r="CD138" s="1">
        <f t="shared" ca="1" si="196"/>
        <v>0.14695622019833066</v>
      </c>
      <c r="CE138" s="1">
        <f t="shared" ca="1" si="197"/>
        <v>0.9553148710847289</v>
      </c>
      <c r="CF138" s="1">
        <f t="shared" ca="1" si="197"/>
        <v>0.84017593210719543</v>
      </c>
      <c r="CH138" s="3">
        <f t="shared" ca="1" si="198"/>
        <v>0.44376267639287592</v>
      </c>
      <c r="CI138" s="3">
        <f t="shared" ca="1" si="199"/>
        <v>0.36398710691678687</v>
      </c>
      <c r="CJ138" s="3">
        <f t="shared" ca="1" si="200"/>
        <v>1637</v>
      </c>
      <c r="CK138" s="3">
        <f t="shared" ca="1" si="201"/>
        <v>9.1071454216117859E-3</v>
      </c>
      <c r="CL138" s="3">
        <f t="shared" ca="1" si="202"/>
        <v>1</v>
      </c>
      <c r="CM138" s="3"/>
      <c r="CN138" s="1">
        <f t="shared" ca="1" si="203"/>
        <v>19.073772140405811</v>
      </c>
      <c r="CO138" s="1">
        <f t="shared" ca="1" si="204"/>
        <v>2.1855026300528112E-2</v>
      </c>
      <c r="CP138" s="1">
        <f t="shared" ca="1" si="205"/>
        <v>2</v>
      </c>
      <c r="CV138" s="1">
        <f t="shared" ca="1" si="206"/>
        <v>1.8818966281192009</v>
      </c>
      <c r="CW138" s="1">
        <f t="shared" ca="1" si="207"/>
        <v>196</v>
      </c>
      <c r="CX138" s="1">
        <f t="shared" ca="1" si="208"/>
        <v>4.5476387156523565E-3</v>
      </c>
      <c r="DH138" s="1">
        <f t="shared" ca="1" si="209"/>
        <v>96</v>
      </c>
      <c r="DI138" s="1">
        <f t="shared" ca="1" si="210"/>
        <v>0.35663434612058598</v>
      </c>
      <c r="DJ138" s="1">
        <f t="shared" ca="1" si="211"/>
        <v>26</v>
      </c>
      <c r="DL138" s="1">
        <f t="shared" ca="1" si="212"/>
        <v>0.18504673116402104</v>
      </c>
      <c r="DM138" s="1">
        <f t="shared" ca="1" si="213"/>
        <v>261</v>
      </c>
      <c r="DN138" s="1">
        <f t="shared" ca="1" si="214"/>
        <v>10</v>
      </c>
      <c r="DW138" s="1">
        <f t="shared" ca="1" si="215"/>
        <v>198</v>
      </c>
      <c r="DX138" s="1">
        <f t="shared" ca="1" si="216"/>
        <v>13</v>
      </c>
      <c r="DY138" s="1">
        <f t="shared" ca="1" si="217"/>
        <v>19</v>
      </c>
    </row>
    <row r="139" spans="2:129" x14ac:dyDescent="0.25">
      <c r="B139">
        <f t="shared" ca="1" si="147"/>
        <v>779</v>
      </c>
      <c r="C139">
        <f t="shared" ca="1" si="148"/>
        <v>24</v>
      </c>
      <c r="D139">
        <f t="shared" ca="1" si="149"/>
        <v>2.4830963174726151E-2</v>
      </c>
      <c r="F139" s="1">
        <f t="shared" ca="1" si="150"/>
        <v>33</v>
      </c>
      <c r="G139" s="1">
        <f t="shared" ca="1" si="151"/>
        <v>13</v>
      </c>
      <c r="H139" s="1">
        <f t="shared" ca="1" si="152"/>
        <v>9</v>
      </c>
      <c r="I139" s="1"/>
      <c r="J139" s="1">
        <f t="shared" ca="1" si="153"/>
        <v>12</v>
      </c>
      <c r="K139" s="1">
        <f t="shared" ca="1" si="154"/>
        <v>1.980933156344149</v>
      </c>
      <c r="L139" s="1">
        <f t="shared" ca="1" si="155"/>
        <v>32</v>
      </c>
      <c r="M139" s="1"/>
      <c r="N139" s="1">
        <f t="shared" ca="1" si="156"/>
        <v>160</v>
      </c>
      <c r="O139" s="1">
        <f t="shared" ca="1" si="157"/>
        <v>3</v>
      </c>
      <c r="P139" s="1"/>
      <c r="Q139" s="1">
        <f t="shared" ca="1" si="158"/>
        <v>2.9553434088488935</v>
      </c>
      <c r="R139" s="1">
        <f t="shared" ca="1" si="159"/>
        <v>953</v>
      </c>
      <c r="S139" s="1"/>
      <c r="T139" s="1">
        <f t="shared" ca="1" si="160"/>
        <v>2.5751483646998231E-2</v>
      </c>
      <c r="U139" s="1">
        <f t="shared" ca="1" si="161"/>
        <v>280</v>
      </c>
      <c r="V139" s="1">
        <f t="shared" ca="1" si="162"/>
        <v>35</v>
      </c>
      <c r="W139" s="1"/>
      <c r="X139" s="1">
        <f t="shared" ca="1" si="163"/>
        <v>1.2683058957493429</v>
      </c>
      <c r="Y139" s="1">
        <f t="shared" ca="1" si="164"/>
        <v>0.74446199326893947</v>
      </c>
      <c r="Z139" s="1">
        <f t="shared" ca="1" si="165"/>
        <v>904</v>
      </c>
      <c r="AB139" s="1">
        <f t="shared" ca="1" si="166"/>
        <v>0.14245311499963925</v>
      </c>
      <c r="AC139" s="1">
        <f t="shared" ca="1" si="167"/>
        <v>631</v>
      </c>
      <c r="AD139" s="1">
        <f t="shared" ca="1" si="168"/>
        <v>3.2333959103621234E-3</v>
      </c>
      <c r="AE139" s="1"/>
      <c r="AF139" s="1">
        <f t="shared" ca="1" si="169"/>
        <v>0.34176561043403553</v>
      </c>
      <c r="AG139" s="1">
        <f t="shared" ca="1" si="170"/>
        <v>985</v>
      </c>
      <c r="AH139" s="1">
        <f t="shared" ca="1" si="171"/>
        <v>8.0252708349599789E-3</v>
      </c>
      <c r="AJ139" s="1">
        <f t="shared" ca="1" si="172"/>
        <v>0.55844647854123497</v>
      </c>
      <c r="AK139" s="1">
        <f t="shared" ca="1" si="173"/>
        <v>6.3740024821006078E-3</v>
      </c>
      <c r="AL139" s="1"/>
      <c r="AM139" s="1">
        <f t="shared" ca="1" si="174"/>
        <v>3.4947218093450937E-2</v>
      </c>
      <c r="AN139" s="1">
        <f t="shared" ca="1" si="175"/>
        <v>56</v>
      </c>
      <c r="AO139" s="1">
        <f t="shared" ca="1" si="176"/>
        <v>0</v>
      </c>
      <c r="AQ139" s="1">
        <f t="shared" ca="1" si="177"/>
        <v>40</v>
      </c>
      <c r="AR139" s="1">
        <f t="shared" ca="1" si="178"/>
        <v>8</v>
      </c>
      <c r="AS139" s="1">
        <f t="shared" ca="1" si="179"/>
        <v>61</v>
      </c>
      <c r="AU139" s="1">
        <f t="shared" ca="1" si="180"/>
        <v>120</v>
      </c>
      <c r="AV139" s="1">
        <f t="shared" ca="1" si="181"/>
        <v>4</v>
      </c>
      <c r="AW139" s="1">
        <f t="shared" ca="1" si="182"/>
        <v>0.14734809948022465</v>
      </c>
      <c r="AY139" s="1">
        <f t="shared" ca="1" si="183"/>
        <v>1.7730535022646992</v>
      </c>
      <c r="AZ139" s="1">
        <f t="shared" ca="1" si="184"/>
        <v>448</v>
      </c>
      <c r="BA139" s="1">
        <f t="shared" ca="1" si="185"/>
        <v>2.6911688753696911E-3</v>
      </c>
      <c r="BG139" s="1">
        <f t="shared" ca="1" si="186"/>
        <v>0.54553249105927459</v>
      </c>
      <c r="BH139" s="1">
        <f t="shared" ca="1" si="187"/>
        <v>0.23425804494252811</v>
      </c>
      <c r="BI139" s="1">
        <f t="shared" ca="1" si="188"/>
        <v>260</v>
      </c>
      <c r="BV139" s="1">
        <f t="shared" ca="1" si="189"/>
        <v>0.64166512069585413</v>
      </c>
      <c r="BW139" s="1">
        <f t="shared" ca="1" si="190"/>
        <v>822</v>
      </c>
      <c r="BX139" s="1">
        <f t="shared" ca="1" si="191"/>
        <v>7.4230943163185363E-3</v>
      </c>
      <c r="BY139" s="1">
        <f t="shared" ca="1" si="192"/>
        <v>3.9141039223013582E-2</v>
      </c>
      <c r="BZ139" s="1">
        <f t="shared" ca="1" si="193"/>
        <v>0.11263519055994553</v>
      </c>
      <c r="CB139" s="1">
        <f t="shared" ca="1" si="194"/>
        <v>386</v>
      </c>
      <c r="CC139" s="1">
        <f t="shared" ca="1" si="195"/>
        <v>8</v>
      </c>
      <c r="CD139" s="1">
        <f t="shared" ca="1" si="196"/>
        <v>0.28134180592252556</v>
      </c>
      <c r="CE139" s="1">
        <f t="shared" ca="1" si="197"/>
        <v>0.61525618657986691</v>
      </c>
      <c r="CF139" s="1">
        <f t="shared" ca="1" si="197"/>
        <v>0.57714673042037323</v>
      </c>
      <c r="CH139" s="3">
        <f t="shared" ca="1" si="198"/>
        <v>0.4719653513083516</v>
      </c>
      <c r="CI139" s="3">
        <f t="shared" ca="1" si="199"/>
        <v>0.29245083383673542</v>
      </c>
      <c r="CJ139" s="3">
        <f t="shared" ca="1" si="200"/>
        <v>428</v>
      </c>
      <c r="CK139" s="3">
        <f t="shared" ca="1" si="201"/>
        <v>6.5329881233896527E-3</v>
      </c>
      <c r="CL139" s="3">
        <f t="shared" ca="1" si="202"/>
        <v>1</v>
      </c>
      <c r="CM139" s="3"/>
      <c r="CN139" s="1">
        <f t="shared" ca="1" si="203"/>
        <v>11.048309167191679</v>
      </c>
      <c r="CO139" s="1">
        <f t="shared" ca="1" si="204"/>
        <v>0.22934073882771305</v>
      </c>
      <c r="CP139" s="1">
        <f t="shared" ca="1" si="205"/>
        <v>4</v>
      </c>
      <c r="CV139" s="1">
        <f t="shared" ca="1" si="206"/>
        <v>0.30550678518076207</v>
      </c>
      <c r="CW139" s="1">
        <f t="shared" ca="1" si="207"/>
        <v>149</v>
      </c>
      <c r="CX139" s="1">
        <f t="shared" ca="1" si="208"/>
        <v>1.6983868252958341E-3</v>
      </c>
      <c r="DH139" s="1">
        <f t="shared" ca="1" si="209"/>
        <v>110</v>
      </c>
      <c r="DI139" s="1">
        <f t="shared" ca="1" si="210"/>
        <v>0.55410389770610702</v>
      </c>
      <c r="DJ139" s="1">
        <f t="shared" ca="1" si="211"/>
        <v>4</v>
      </c>
      <c r="DL139" s="1">
        <f t="shared" ca="1" si="212"/>
        <v>6.5867667310068212E-2</v>
      </c>
      <c r="DM139" s="1">
        <f t="shared" ca="1" si="213"/>
        <v>205</v>
      </c>
      <c r="DN139" s="1">
        <f t="shared" ca="1" si="214"/>
        <v>3</v>
      </c>
      <c r="DW139" s="1">
        <f t="shared" ca="1" si="215"/>
        <v>140</v>
      </c>
      <c r="DX139" s="1">
        <f t="shared" ca="1" si="216"/>
        <v>5</v>
      </c>
      <c r="DY139" s="1">
        <f t="shared" ca="1" si="217"/>
        <v>8</v>
      </c>
    </row>
    <row r="140" spans="2:129" x14ac:dyDescent="0.25">
      <c r="B140">
        <f t="shared" ca="1" si="147"/>
        <v>106</v>
      </c>
      <c r="C140">
        <f t="shared" ca="1" si="148"/>
        <v>36</v>
      </c>
      <c r="D140">
        <f t="shared" ca="1" si="149"/>
        <v>0.19812084215009892</v>
      </c>
      <c r="F140" s="1">
        <f t="shared" ca="1" si="150"/>
        <v>6</v>
      </c>
      <c r="G140" s="1">
        <f t="shared" ca="1" si="151"/>
        <v>25</v>
      </c>
      <c r="H140" s="1">
        <f t="shared" ca="1" si="152"/>
        <v>2</v>
      </c>
      <c r="I140" s="1"/>
      <c r="J140" s="1">
        <f t="shared" ca="1" si="153"/>
        <v>16</v>
      </c>
      <c r="K140" s="1">
        <f t="shared" ca="1" si="154"/>
        <v>1.2384173633340816</v>
      </c>
      <c r="L140" s="1">
        <f t="shared" ca="1" si="155"/>
        <v>25</v>
      </c>
      <c r="M140" s="1"/>
      <c r="N140" s="1">
        <f t="shared" ca="1" si="156"/>
        <v>315</v>
      </c>
      <c r="O140" s="1">
        <f t="shared" ca="1" si="157"/>
        <v>34</v>
      </c>
      <c r="P140" s="1"/>
      <c r="Q140" s="1">
        <f t="shared" ca="1" si="158"/>
        <v>1.6136110947106421</v>
      </c>
      <c r="R140" s="1">
        <f t="shared" ca="1" si="159"/>
        <v>535</v>
      </c>
      <c r="S140" s="1"/>
      <c r="T140" s="1">
        <f t="shared" ca="1" si="160"/>
        <v>0.14032706388276933</v>
      </c>
      <c r="U140" s="1">
        <f t="shared" ca="1" si="161"/>
        <v>399</v>
      </c>
      <c r="V140" s="1">
        <f t="shared" ca="1" si="162"/>
        <v>40</v>
      </c>
      <c r="W140" s="1"/>
      <c r="X140" s="1">
        <f t="shared" ca="1" si="163"/>
        <v>2.0018049208119284</v>
      </c>
      <c r="Y140" s="1">
        <f t="shared" ca="1" si="164"/>
        <v>0.34414814538392002</v>
      </c>
      <c r="Z140" s="1">
        <f t="shared" ca="1" si="165"/>
        <v>223</v>
      </c>
      <c r="AB140" s="1">
        <f t="shared" ca="1" si="166"/>
        <v>0.81342484823755123</v>
      </c>
      <c r="AC140" s="1">
        <f t="shared" ca="1" si="167"/>
        <v>442</v>
      </c>
      <c r="AD140" s="1">
        <f t="shared" ca="1" si="168"/>
        <v>9.0100571301492439E-3</v>
      </c>
      <c r="AE140" s="1"/>
      <c r="AF140" s="1">
        <f t="shared" ca="1" si="169"/>
        <v>0.62489409742593494</v>
      </c>
      <c r="AG140" s="1">
        <f t="shared" ca="1" si="170"/>
        <v>212</v>
      </c>
      <c r="AH140" s="1">
        <f t="shared" ca="1" si="171"/>
        <v>2.2593125248153083E-3</v>
      </c>
      <c r="AJ140" s="1">
        <f t="shared" ca="1" si="172"/>
        <v>0.74659569807976733</v>
      </c>
      <c r="AK140" s="1">
        <f t="shared" ca="1" si="173"/>
        <v>2.8422022337006416E-3</v>
      </c>
      <c r="AL140" s="1"/>
      <c r="AM140" s="1">
        <f t="shared" ca="1" si="174"/>
        <v>0.15874408453181169</v>
      </c>
      <c r="AN140" s="1">
        <f t="shared" ca="1" si="175"/>
        <v>79</v>
      </c>
      <c r="AO140" s="1">
        <f t="shared" ca="1" si="176"/>
        <v>5</v>
      </c>
      <c r="AQ140" s="1">
        <f t="shared" ca="1" si="177"/>
        <v>148</v>
      </c>
      <c r="AR140" s="1">
        <f t="shared" ca="1" si="178"/>
        <v>1</v>
      </c>
      <c r="AS140" s="1">
        <f t="shared" ca="1" si="179"/>
        <v>71</v>
      </c>
      <c r="AU140" s="1">
        <f t="shared" ca="1" si="180"/>
        <v>313</v>
      </c>
      <c r="AV140" s="1">
        <f t="shared" ca="1" si="181"/>
        <v>3</v>
      </c>
      <c r="AW140" s="1">
        <f t="shared" ca="1" si="182"/>
        <v>7.0626659154901045E-2</v>
      </c>
      <c r="AY140" s="1">
        <f t="shared" ca="1" si="183"/>
        <v>1.6566086426240061</v>
      </c>
      <c r="AZ140" s="1">
        <f t="shared" ca="1" si="184"/>
        <v>492</v>
      </c>
      <c r="BA140" s="1">
        <f t="shared" ca="1" si="185"/>
        <v>7.7661933730971558E-3</v>
      </c>
      <c r="BG140" s="1">
        <f t="shared" ca="1" si="186"/>
        <v>0.72546229012137142</v>
      </c>
      <c r="BH140" s="1">
        <f t="shared" ca="1" si="187"/>
        <v>0.42088658022630332</v>
      </c>
      <c r="BI140" s="1">
        <f t="shared" ca="1" si="188"/>
        <v>399</v>
      </c>
      <c r="BV140" s="1">
        <f t="shared" ca="1" si="189"/>
        <v>0.69924779065571585</v>
      </c>
      <c r="BW140" s="1">
        <f t="shared" ca="1" si="190"/>
        <v>181</v>
      </c>
      <c r="BX140" s="1">
        <f t="shared" ca="1" si="191"/>
        <v>3.1303107642412678E-3</v>
      </c>
      <c r="BY140" s="1">
        <f t="shared" ca="1" si="192"/>
        <v>3.2675328909789768E-2</v>
      </c>
      <c r="BZ140" s="1">
        <f t="shared" ca="1" si="193"/>
        <v>0.87997308073572567</v>
      </c>
      <c r="CB140" s="1">
        <f t="shared" ca="1" si="194"/>
        <v>218</v>
      </c>
      <c r="CC140" s="1">
        <f t="shared" ca="1" si="195"/>
        <v>3</v>
      </c>
      <c r="CD140" s="1">
        <f t="shared" ca="1" si="196"/>
        <v>0.24726873570242944</v>
      </c>
      <c r="CE140" s="1">
        <f t="shared" ca="1" si="197"/>
        <v>0.84716665219272547</v>
      </c>
      <c r="CF140" s="1">
        <f t="shared" ca="1" si="197"/>
        <v>0.54070289473393274</v>
      </c>
      <c r="CH140" s="3">
        <f t="shared" ca="1" si="198"/>
        <v>0.78974974210164928</v>
      </c>
      <c r="CI140" s="3">
        <f t="shared" ca="1" si="199"/>
        <v>0.76859772963807638</v>
      </c>
      <c r="CJ140" s="3">
        <f t="shared" ca="1" si="200"/>
        <v>648</v>
      </c>
      <c r="CK140" s="3">
        <f t="shared" ca="1" si="201"/>
        <v>8.0423156369163352E-3</v>
      </c>
      <c r="CL140" s="3">
        <f t="shared" ca="1" si="202"/>
        <v>0</v>
      </c>
      <c r="CM140" s="3"/>
      <c r="CN140" s="1">
        <f t="shared" ca="1" si="203"/>
        <v>7.3421533537344716</v>
      </c>
      <c r="CO140" s="1">
        <f t="shared" ca="1" si="204"/>
        <v>7.1816080887585648E-2</v>
      </c>
      <c r="CP140" s="1">
        <f t="shared" ca="1" si="205"/>
        <v>5</v>
      </c>
      <c r="CV140" s="1">
        <f t="shared" ca="1" si="206"/>
        <v>4.3833750912413114</v>
      </c>
      <c r="CW140" s="1">
        <f t="shared" ca="1" si="207"/>
        <v>884</v>
      </c>
      <c r="CX140" s="1">
        <f t="shared" ca="1" si="208"/>
        <v>1.0168317191250574E-3</v>
      </c>
      <c r="DH140" s="1">
        <f t="shared" ca="1" si="209"/>
        <v>352</v>
      </c>
      <c r="DI140" s="1">
        <f t="shared" ca="1" si="210"/>
        <v>0.25652022640170469</v>
      </c>
      <c r="DJ140" s="1">
        <f t="shared" ca="1" si="211"/>
        <v>30</v>
      </c>
      <c r="DL140" s="1">
        <f t="shared" ca="1" si="212"/>
        <v>6.4317284935868427E-2</v>
      </c>
      <c r="DM140" s="1">
        <f t="shared" ca="1" si="213"/>
        <v>161</v>
      </c>
      <c r="DN140" s="1">
        <f t="shared" ca="1" si="214"/>
        <v>8</v>
      </c>
      <c r="DW140" s="1">
        <f t="shared" ca="1" si="215"/>
        <v>471</v>
      </c>
      <c r="DX140" s="1">
        <f t="shared" ca="1" si="216"/>
        <v>11</v>
      </c>
      <c r="DY140" s="1">
        <f t="shared" ca="1" si="217"/>
        <v>19</v>
      </c>
    </row>
    <row r="141" spans="2:129" x14ac:dyDescent="0.25">
      <c r="B141">
        <f t="shared" ca="1" si="147"/>
        <v>431</v>
      </c>
      <c r="C141">
        <f t="shared" ca="1" si="148"/>
        <v>2</v>
      </c>
      <c r="D141">
        <f t="shared" ca="1" si="149"/>
        <v>2.7289678708349384E-2</v>
      </c>
      <c r="F141" s="1">
        <f t="shared" ca="1" si="150"/>
        <v>28</v>
      </c>
      <c r="G141" s="1">
        <f t="shared" ca="1" si="151"/>
        <v>19</v>
      </c>
      <c r="H141" s="1">
        <f t="shared" ca="1" si="152"/>
        <v>4</v>
      </c>
      <c r="I141" s="1"/>
      <c r="J141" s="1">
        <f t="shared" ca="1" si="153"/>
        <v>29</v>
      </c>
      <c r="K141" s="1">
        <f t="shared" ca="1" si="154"/>
        <v>1.8712204184114152</v>
      </c>
      <c r="L141" s="1">
        <f t="shared" ca="1" si="155"/>
        <v>12</v>
      </c>
      <c r="M141" s="1"/>
      <c r="N141" s="1">
        <f t="shared" ca="1" si="156"/>
        <v>808</v>
      </c>
      <c r="O141" s="1">
        <f t="shared" ca="1" si="157"/>
        <v>35</v>
      </c>
      <c r="P141" s="1"/>
      <c r="Q141" s="1">
        <f t="shared" ca="1" si="158"/>
        <v>2.2471959173831495</v>
      </c>
      <c r="R141" s="1">
        <f t="shared" ca="1" si="159"/>
        <v>272</v>
      </c>
      <c r="S141" s="1"/>
      <c r="T141" s="1">
        <f t="shared" ca="1" si="160"/>
        <v>0.11780514759983178</v>
      </c>
      <c r="U141" s="1">
        <f t="shared" ca="1" si="161"/>
        <v>159</v>
      </c>
      <c r="V141" s="1">
        <f t="shared" ca="1" si="162"/>
        <v>44</v>
      </c>
      <c r="W141" s="1"/>
      <c r="X141" s="1">
        <f t="shared" ca="1" si="163"/>
        <v>4.3086807686038471</v>
      </c>
      <c r="Y141" s="1">
        <f t="shared" ca="1" si="164"/>
        <v>0.51948561319709619</v>
      </c>
      <c r="Z141" s="1">
        <f t="shared" ca="1" si="165"/>
        <v>939</v>
      </c>
      <c r="AB141" s="1">
        <f t="shared" ca="1" si="166"/>
        <v>0.59057547879744221</v>
      </c>
      <c r="AC141" s="1">
        <f t="shared" ca="1" si="167"/>
        <v>608</v>
      </c>
      <c r="AD141" s="1">
        <f t="shared" ca="1" si="168"/>
        <v>5.9029156412963935E-3</v>
      </c>
      <c r="AE141" s="1"/>
      <c r="AF141" s="1">
        <f t="shared" ca="1" si="169"/>
        <v>0.24650636216639557</v>
      </c>
      <c r="AG141" s="1">
        <f t="shared" ca="1" si="170"/>
        <v>664</v>
      </c>
      <c r="AH141" s="1">
        <f t="shared" ca="1" si="171"/>
        <v>6.9581900269100787E-3</v>
      </c>
      <c r="AJ141" s="1">
        <f t="shared" ca="1" si="172"/>
        <v>0.2967108318181082</v>
      </c>
      <c r="AK141" s="1">
        <f t="shared" ca="1" si="173"/>
        <v>6.6941167761517617E-3</v>
      </c>
      <c r="AL141" s="1"/>
      <c r="AM141" s="1">
        <f t="shared" ca="1" si="174"/>
        <v>9.1250775801173953E-2</v>
      </c>
      <c r="AN141" s="1">
        <f t="shared" ca="1" si="175"/>
        <v>65</v>
      </c>
      <c r="AO141" s="1">
        <f t="shared" ca="1" si="176"/>
        <v>8</v>
      </c>
      <c r="AQ141" s="1">
        <f t="shared" ca="1" si="177"/>
        <v>63</v>
      </c>
      <c r="AR141" s="1">
        <f t="shared" ca="1" si="178"/>
        <v>2</v>
      </c>
      <c r="AS141" s="1">
        <f t="shared" ca="1" si="179"/>
        <v>44</v>
      </c>
      <c r="AU141" s="1">
        <f t="shared" ca="1" si="180"/>
        <v>312</v>
      </c>
      <c r="AV141" s="1">
        <f t="shared" ca="1" si="181"/>
        <v>8</v>
      </c>
      <c r="AW141" s="1">
        <f t="shared" ca="1" si="182"/>
        <v>0.13359740499626216</v>
      </c>
      <c r="AY141" s="1">
        <f t="shared" ca="1" si="183"/>
        <v>1.2897571930221636</v>
      </c>
      <c r="AZ141" s="1">
        <f t="shared" ca="1" si="184"/>
        <v>432</v>
      </c>
      <c r="BA141" s="1">
        <f t="shared" ca="1" si="185"/>
        <v>1.560148107935957E-3</v>
      </c>
      <c r="BG141" s="1">
        <f t="shared" ca="1" si="186"/>
        <v>0.87489603503385294</v>
      </c>
      <c r="BH141" s="1">
        <f t="shared" ca="1" si="187"/>
        <v>0.22414554587229385</v>
      </c>
      <c r="BI141" s="1">
        <f t="shared" ca="1" si="188"/>
        <v>162</v>
      </c>
      <c r="BV141" s="1">
        <f t="shared" ca="1" si="189"/>
        <v>8.0891845015266126E-2</v>
      </c>
      <c r="BW141" s="1">
        <f t="shared" ca="1" si="190"/>
        <v>326</v>
      </c>
      <c r="BX141" s="1">
        <f t="shared" ca="1" si="191"/>
        <v>4.3821658621459947E-3</v>
      </c>
      <c r="BY141" s="1">
        <f t="shared" ca="1" si="192"/>
        <v>5.5663833478297564E-2</v>
      </c>
      <c r="BZ141" s="1">
        <f t="shared" ca="1" si="193"/>
        <v>0.74859051846124747</v>
      </c>
      <c r="CB141" s="1">
        <f t="shared" ca="1" si="194"/>
        <v>209</v>
      </c>
      <c r="CC141" s="1">
        <f t="shared" ca="1" si="195"/>
        <v>13</v>
      </c>
      <c r="CD141" s="1">
        <f t="shared" ca="1" si="196"/>
        <v>0.22763259957511625</v>
      </c>
      <c r="CE141" s="1">
        <f t="shared" ca="1" si="197"/>
        <v>0.65221353095125245</v>
      </c>
      <c r="CF141" s="1">
        <f t="shared" ca="1" si="197"/>
        <v>0.61468817310623525</v>
      </c>
      <c r="CH141" s="3">
        <f t="shared" ca="1" si="198"/>
        <v>0.55061000817373329</v>
      </c>
      <c r="CI141" s="3">
        <f t="shared" ca="1" si="199"/>
        <v>0.64097271011256118</v>
      </c>
      <c r="CJ141" s="3">
        <f t="shared" ca="1" si="200"/>
        <v>1052</v>
      </c>
      <c r="CK141" s="3">
        <f t="shared" ca="1" si="201"/>
        <v>9.8684338770139105E-3</v>
      </c>
      <c r="CL141" s="3">
        <f t="shared" ca="1" si="202"/>
        <v>0</v>
      </c>
      <c r="CM141" s="3"/>
      <c r="CN141" s="1">
        <f t="shared" ca="1" si="203"/>
        <v>11.418654956003456</v>
      </c>
      <c r="CO141" s="1">
        <f t="shared" ca="1" si="204"/>
        <v>0.32321036476181425</v>
      </c>
      <c r="CP141" s="1">
        <f t="shared" ca="1" si="205"/>
        <v>3</v>
      </c>
      <c r="CV141" s="1">
        <f t="shared" ca="1" si="206"/>
        <v>8.3365238345042165</v>
      </c>
      <c r="CW141" s="1">
        <f t="shared" ca="1" si="207"/>
        <v>1157</v>
      </c>
      <c r="CX141" s="1">
        <f t="shared" ca="1" si="208"/>
        <v>7.709871299552736E-3</v>
      </c>
      <c r="DH141" s="1">
        <f t="shared" ca="1" si="209"/>
        <v>299</v>
      </c>
      <c r="DI141" s="1">
        <f t="shared" ca="1" si="210"/>
        <v>6.6004419511778795E-2</v>
      </c>
      <c r="DJ141" s="1">
        <f t="shared" ca="1" si="211"/>
        <v>18</v>
      </c>
      <c r="DL141" s="1">
        <f t="shared" ca="1" si="212"/>
        <v>0.19121307564737344</v>
      </c>
      <c r="DM141" s="1">
        <f t="shared" ca="1" si="213"/>
        <v>248</v>
      </c>
      <c r="DN141" s="1">
        <f t="shared" ca="1" si="214"/>
        <v>8</v>
      </c>
      <c r="DW141" s="1">
        <f t="shared" ca="1" si="215"/>
        <v>260</v>
      </c>
      <c r="DX141" s="1">
        <f t="shared" ca="1" si="216"/>
        <v>7</v>
      </c>
      <c r="DY141" s="1">
        <f t="shared" ca="1" si="217"/>
        <v>14</v>
      </c>
    </row>
    <row r="142" spans="2:129" x14ac:dyDescent="0.25">
      <c r="B142">
        <f t="shared" ca="1" si="147"/>
        <v>682</v>
      </c>
      <c r="C142">
        <f t="shared" ca="1" si="148"/>
        <v>29</v>
      </c>
      <c r="D142">
        <f t="shared" ca="1" si="149"/>
        <v>0.21678940029019675</v>
      </c>
      <c r="F142" s="1">
        <f t="shared" ca="1" si="150"/>
        <v>38</v>
      </c>
      <c r="G142" s="1">
        <f t="shared" ca="1" si="151"/>
        <v>28</v>
      </c>
      <c r="H142" s="1">
        <f t="shared" ca="1" si="152"/>
        <v>13</v>
      </c>
      <c r="I142" s="1"/>
      <c r="J142" s="1">
        <f t="shared" ca="1" si="153"/>
        <v>21</v>
      </c>
      <c r="K142" s="1">
        <f t="shared" ca="1" si="154"/>
        <v>1.0870456930067243</v>
      </c>
      <c r="L142" s="1">
        <f t="shared" ca="1" si="155"/>
        <v>4</v>
      </c>
      <c r="M142" s="1"/>
      <c r="N142" s="1">
        <f t="shared" ca="1" si="156"/>
        <v>413</v>
      </c>
      <c r="O142" s="1">
        <f t="shared" ca="1" si="157"/>
        <v>18</v>
      </c>
      <c r="P142" s="1"/>
      <c r="Q142" s="1">
        <f t="shared" ca="1" si="158"/>
        <v>0.68715408878853079</v>
      </c>
      <c r="R142" s="1">
        <f t="shared" ca="1" si="159"/>
        <v>491</v>
      </c>
      <c r="S142" s="1"/>
      <c r="T142" s="1">
        <f t="shared" ca="1" si="160"/>
        <v>0.17643525808012883</v>
      </c>
      <c r="U142" s="1">
        <f t="shared" ca="1" si="161"/>
        <v>175</v>
      </c>
      <c r="V142" s="1">
        <f t="shared" ca="1" si="162"/>
        <v>24</v>
      </c>
      <c r="W142" s="1"/>
      <c r="X142" s="1">
        <f t="shared" ca="1" si="163"/>
        <v>4.1559438998892047</v>
      </c>
      <c r="Y142" s="1">
        <f t="shared" ca="1" si="164"/>
        <v>0.11503563270484664</v>
      </c>
      <c r="Z142" s="1">
        <f t="shared" ca="1" si="165"/>
        <v>1308</v>
      </c>
      <c r="AB142" s="1">
        <f t="shared" ca="1" si="166"/>
        <v>0.24523238083661797</v>
      </c>
      <c r="AC142" s="1">
        <f t="shared" ca="1" si="167"/>
        <v>507</v>
      </c>
      <c r="AD142" s="1">
        <f t="shared" ca="1" si="168"/>
        <v>3.460384890678713E-3</v>
      </c>
      <c r="AE142" s="1"/>
      <c r="AF142" s="1">
        <f t="shared" ca="1" si="169"/>
        <v>0.67653720872697887</v>
      </c>
      <c r="AG142" s="1">
        <f t="shared" ca="1" si="170"/>
        <v>255</v>
      </c>
      <c r="AH142" s="1">
        <f t="shared" ca="1" si="171"/>
        <v>8.8675864958262848E-3</v>
      </c>
      <c r="AJ142" s="1">
        <f t="shared" ca="1" si="172"/>
        <v>0.37298681939920553</v>
      </c>
      <c r="AK142" s="1">
        <f t="shared" ca="1" si="173"/>
        <v>3.3658161301565017E-3</v>
      </c>
      <c r="AL142" s="1"/>
      <c r="AM142" s="1">
        <f t="shared" ca="1" si="174"/>
        <v>4.5054144029984595E-2</v>
      </c>
      <c r="AN142" s="1">
        <f t="shared" ca="1" si="175"/>
        <v>26</v>
      </c>
      <c r="AO142" s="1">
        <f t="shared" ca="1" si="176"/>
        <v>2</v>
      </c>
      <c r="AQ142" s="1">
        <f t="shared" ca="1" si="177"/>
        <v>41</v>
      </c>
      <c r="AR142" s="1">
        <f t="shared" ca="1" si="178"/>
        <v>3</v>
      </c>
      <c r="AS142" s="1">
        <f t="shared" ca="1" si="179"/>
        <v>3</v>
      </c>
      <c r="AU142" s="1">
        <f t="shared" ca="1" si="180"/>
        <v>245</v>
      </c>
      <c r="AV142" s="1">
        <f t="shared" ca="1" si="181"/>
        <v>9</v>
      </c>
      <c r="AW142" s="1">
        <f t="shared" ca="1" si="182"/>
        <v>0.11619764696870839</v>
      </c>
      <c r="AY142" s="1">
        <f t="shared" ca="1" si="183"/>
        <v>1.1833056809173099</v>
      </c>
      <c r="AZ142" s="1">
        <f t="shared" ca="1" si="184"/>
        <v>428</v>
      </c>
      <c r="BA142" s="1">
        <f t="shared" ca="1" si="185"/>
        <v>3.5250850731599758E-3</v>
      </c>
      <c r="BG142" s="1">
        <f t="shared" ca="1" si="186"/>
        <v>0.61257654857754418</v>
      </c>
      <c r="BH142" s="1">
        <f t="shared" ca="1" si="187"/>
        <v>0.18791745697463469</v>
      </c>
      <c r="BI142" s="1">
        <f t="shared" ca="1" si="188"/>
        <v>818</v>
      </c>
      <c r="BV142" s="1">
        <f t="shared" ca="1" si="189"/>
        <v>0.19643972860034711</v>
      </c>
      <c r="BW142" s="1">
        <f t="shared" ca="1" si="190"/>
        <v>736</v>
      </c>
      <c r="BX142" s="1">
        <f t="shared" ca="1" si="191"/>
        <v>3.8939339039300062E-4</v>
      </c>
      <c r="BY142" s="1">
        <f t="shared" ca="1" si="192"/>
        <v>7.2441893855696438E-2</v>
      </c>
      <c r="BZ142" s="1">
        <f t="shared" ca="1" si="193"/>
        <v>0.40187433283479823</v>
      </c>
      <c r="CB142" s="1">
        <f t="shared" ca="1" si="194"/>
        <v>196</v>
      </c>
      <c r="CC142" s="1">
        <f t="shared" ca="1" si="195"/>
        <v>10</v>
      </c>
      <c r="CD142" s="1">
        <f t="shared" ca="1" si="196"/>
        <v>7.9338563625756253E-2</v>
      </c>
      <c r="CE142" s="1">
        <f t="shared" ca="1" si="197"/>
        <v>0.91700206597532186</v>
      </c>
      <c r="CF142" s="1">
        <f t="shared" ca="1" si="197"/>
        <v>0.68435121833436474</v>
      </c>
      <c r="CH142" s="3">
        <f t="shared" ca="1" si="198"/>
        <v>0.54758584483528716</v>
      </c>
      <c r="CI142" s="3">
        <f t="shared" ca="1" si="199"/>
        <v>0.81109226979178173</v>
      </c>
      <c r="CJ142" s="3">
        <f t="shared" ca="1" si="200"/>
        <v>448</v>
      </c>
      <c r="CK142" s="3">
        <f t="shared" ca="1" si="201"/>
        <v>5.9754150512121998E-3</v>
      </c>
      <c r="CL142" s="3">
        <f t="shared" ca="1" si="202"/>
        <v>0</v>
      </c>
      <c r="CM142" s="3"/>
      <c r="CN142" s="1">
        <f t="shared" ca="1" si="203"/>
        <v>11.407683879271003</v>
      </c>
      <c r="CO142" s="1">
        <f t="shared" ca="1" si="204"/>
        <v>0.33968158196758141</v>
      </c>
      <c r="CP142" s="1">
        <f t="shared" ca="1" si="205"/>
        <v>4</v>
      </c>
      <c r="CV142" s="1">
        <f t="shared" ca="1" si="206"/>
        <v>3.4547884666125883</v>
      </c>
      <c r="CW142" s="1">
        <f t="shared" ca="1" si="207"/>
        <v>290</v>
      </c>
      <c r="CX142" s="1">
        <f t="shared" ca="1" si="208"/>
        <v>4.4032124842910926E-3</v>
      </c>
      <c r="DH142" s="1">
        <f t="shared" ca="1" si="209"/>
        <v>801</v>
      </c>
      <c r="DI142" s="1">
        <f t="shared" ca="1" si="210"/>
        <v>0.4861360181349379</v>
      </c>
      <c r="DJ142" s="1">
        <f t="shared" ca="1" si="211"/>
        <v>10</v>
      </c>
      <c r="DL142" s="1">
        <f t="shared" ca="1" si="212"/>
        <v>8.1150837863760067E-2</v>
      </c>
      <c r="DM142" s="1">
        <f t="shared" ca="1" si="213"/>
        <v>160</v>
      </c>
      <c r="DN142" s="1">
        <f t="shared" ca="1" si="214"/>
        <v>8</v>
      </c>
      <c r="DW142" s="1">
        <f t="shared" ca="1" si="215"/>
        <v>206</v>
      </c>
      <c r="DX142" s="1">
        <f t="shared" ca="1" si="216"/>
        <v>8</v>
      </c>
      <c r="DY142" s="1">
        <f t="shared" ca="1" si="217"/>
        <v>20</v>
      </c>
    </row>
    <row r="143" spans="2:129" x14ac:dyDescent="0.25">
      <c r="B143">
        <f t="shared" ca="1" si="147"/>
        <v>412</v>
      </c>
      <c r="C143">
        <f t="shared" ca="1" si="148"/>
        <v>11</v>
      </c>
      <c r="D143">
        <f t="shared" ca="1" si="149"/>
        <v>0.15781228755098078</v>
      </c>
      <c r="F143" s="1">
        <f t="shared" ca="1" si="150"/>
        <v>34</v>
      </c>
      <c r="G143" s="1">
        <f t="shared" ca="1" si="151"/>
        <v>27</v>
      </c>
      <c r="H143" s="1">
        <f t="shared" ca="1" si="152"/>
        <v>13</v>
      </c>
      <c r="I143" s="1"/>
      <c r="J143" s="1">
        <f t="shared" ca="1" si="153"/>
        <v>36</v>
      </c>
      <c r="K143" s="1">
        <f t="shared" ca="1" si="154"/>
        <v>1.254304541229051</v>
      </c>
      <c r="L143" s="1">
        <f t="shared" ca="1" si="155"/>
        <v>19</v>
      </c>
      <c r="M143" s="1"/>
      <c r="N143" s="1">
        <f t="shared" ca="1" si="156"/>
        <v>868</v>
      </c>
      <c r="O143" s="1">
        <f t="shared" ca="1" si="157"/>
        <v>46</v>
      </c>
      <c r="P143" s="1"/>
      <c r="Q143" s="1">
        <f t="shared" ca="1" si="158"/>
        <v>2.9580190222793084</v>
      </c>
      <c r="R143" s="1">
        <f t="shared" ca="1" si="159"/>
        <v>221</v>
      </c>
      <c r="S143" s="1"/>
      <c r="T143" s="1">
        <f t="shared" ca="1" si="160"/>
        <v>6.2339396313201921E-2</v>
      </c>
      <c r="U143" s="1">
        <f t="shared" ca="1" si="161"/>
        <v>370</v>
      </c>
      <c r="V143" s="1">
        <f t="shared" ca="1" si="162"/>
        <v>15</v>
      </c>
      <c r="W143" s="1"/>
      <c r="X143" s="1">
        <f t="shared" ca="1" si="163"/>
        <v>8.6474140936198882</v>
      </c>
      <c r="Y143" s="1">
        <f t="shared" ca="1" si="164"/>
        <v>0.74526138825439858</v>
      </c>
      <c r="Z143" s="1">
        <f t="shared" ca="1" si="165"/>
        <v>647</v>
      </c>
      <c r="AB143" s="1">
        <f t="shared" ca="1" si="166"/>
        <v>2.4604283656940056E-2</v>
      </c>
      <c r="AC143" s="1">
        <f t="shared" ca="1" si="167"/>
        <v>203</v>
      </c>
      <c r="AD143" s="1">
        <f t="shared" ca="1" si="168"/>
        <v>5.98472199762366E-3</v>
      </c>
      <c r="AE143" s="1"/>
      <c r="AF143" s="1">
        <f t="shared" ca="1" si="169"/>
        <v>0.26359565244795624</v>
      </c>
      <c r="AG143" s="1">
        <f t="shared" ca="1" si="170"/>
        <v>641</v>
      </c>
      <c r="AH143" s="1">
        <f t="shared" ca="1" si="171"/>
        <v>4.3030826922930629E-3</v>
      </c>
      <c r="AJ143" s="1">
        <f t="shared" ca="1" si="172"/>
        <v>0.8278776668068889</v>
      </c>
      <c r="AK143" s="1">
        <f t="shared" ca="1" si="173"/>
        <v>1.2272941672261092E-4</v>
      </c>
      <c r="AL143" s="1"/>
      <c r="AM143" s="1">
        <f t="shared" ca="1" si="174"/>
        <v>9.6659117023745134E-2</v>
      </c>
      <c r="AN143" s="1">
        <f t="shared" ca="1" si="175"/>
        <v>38</v>
      </c>
      <c r="AO143" s="1">
        <f t="shared" ca="1" si="176"/>
        <v>14</v>
      </c>
      <c r="AQ143" s="1">
        <f t="shared" ca="1" si="177"/>
        <v>103</v>
      </c>
      <c r="AR143" s="1">
        <f t="shared" ca="1" si="178"/>
        <v>2</v>
      </c>
      <c r="AS143" s="1">
        <f t="shared" ca="1" si="179"/>
        <v>28</v>
      </c>
      <c r="AU143" s="1">
        <f t="shared" ca="1" si="180"/>
        <v>142</v>
      </c>
      <c r="AV143" s="1">
        <f t="shared" ca="1" si="181"/>
        <v>8</v>
      </c>
      <c r="AW143" s="1">
        <f t="shared" ca="1" si="182"/>
        <v>9.3313545116664218E-2</v>
      </c>
      <c r="AY143" s="1">
        <f t="shared" ca="1" si="183"/>
        <v>1.5456015568699835</v>
      </c>
      <c r="AZ143" s="1">
        <f t="shared" ca="1" si="184"/>
        <v>360</v>
      </c>
      <c r="BA143" s="1">
        <f t="shared" ca="1" si="185"/>
        <v>1.9068656417317008E-3</v>
      </c>
      <c r="BG143" s="1">
        <f t="shared" ca="1" si="186"/>
        <v>0.89631597529190776</v>
      </c>
      <c r="BH143" s="1">
        <f t="shared" ca="1" si="187"/>
        <v>0.30099911612939045</v>
      </c>
      <c r="BI143" s="1">
        <f t="shared" ca="1" si="188"/>
        <v>534</v>
      </c>
      <c r="BV143" s="1">
        <f t="shared" ca="1" si="189"/>
        <v>0.79263787366380711</v>
      </c>
      <c r="BW143" s="1">
        <f t="shared" ca="1" si="190"/>
        <v>323</v>
      </c>
      <c r="BX143" s="1">
        <f t="shared" ca="1" si="191"/>
        <v>2.3730141214177786E-4</v>
      </c>
      <c r="BY143" s="1">
        <f t="shared" ca="1" si="192"/>
        <v>1.5119762584198886E-2</v>
      </c>
      <c r="BZ143" s="1">
        <f t="shared" ca="1" si="193"/>
        <v>0.59358905084616775</v>
      </c>
      <c r="CB143" s="1">
        <f t="shared" ca="1" si="194"/>
        <v>229</v>
      </c>
      <c r="CC143" s="1">
        <f t="shared" ca="1" si="195"/>
        <v>4</v>
      </c>
      <c r="CD143" s="1">
        <f t="shared" ca="1" si="196"/>
        <v>0.14668446761140413</v>
      </c>
      <c r="CE143" s="1">
        <f t="shared" ca="1" si="197"/>
        <v>0.57664032797777875</v>
      </c>
      <c r="CF143" s="1">
        <f t="shared" ca="1" si="197"/>
        <v>0.73855647615770792</v>
      </c>
      <c r="CH143" s="3">
        <f t="shared" ca="1" si="198"/>
        <v>4.0664205645067272E-2</v>
      </c>
      <c r="CI143" s="3">
        <f t="shared" ca="1" si="199"/>
        <v>0.65049503147951682</v>
      </c>
      <c r="CJ143" s="3">
        <f t="shared" ca="1" si="200"/>
        <v>268</v>
      </c>
      <c r="CK143" s="3">
        <f t="shared" ca="1" si="201"/>
        <v>5.4044441648340063E-3</v>
      </c>
      <c r="CL143" s="3">
        <f t="shared" ca="1" si="202"/>
        <v>1</v>
      </c>
      <c r="CM143" s="3"/>
      <c r="CN143" s="1">
        <f t="shared" ca="1" si="203"/>
        <v>1.076693295024528</v>
      </c>
      <c r="CO143" s="1">
        <f t="shared" ca="1" si="204"/>
        <v>0.35534182450282709</v>
      </c>
      <c r="CP143" s="1">
        <f t="shared" ca="1" si="205"/>
        <v>3</v>
      </c>
      <c r="CV143" s="1">
        <f t="shared" ca="1" si="206"/>
        <v>8.6014962381776421</v>
      </c>
      <c r="CW143" s="1">
        <f t="shared" ca="1" si="207"/>
        <v>500</v>
      </c>
      <c r="CX143" s="1">
        <f t="shared" ca="1" si="208"/>
        <v>5.8647496806148152E-3</v>
      </c>
      <c r="DH143" s="1">
        <f t="shared" ca="1" si="209"/>
        <v>759</v>
      </c>
      <c r="DI143" s="1">
        <f t="shared" ca="1" si="210"/>
        <v>0.37999621681624551</v>
      </c>
      <c r="DJ143" s="1">
        <f t="shared" ca="1" si="211"/>
        <v>9</v>
      </c>
      <c r="DL143" s="1">
        <f t="shared" ca="1" si="212"/>
        <v>3.9181991076883929E-2</v>
      </c>
      <c r="DM143" s="1">
        <f t="shared" ca="1" si="213"/>
        <v>112</v>
      </c>
      <c r="DN143" s="1">
        <f t="shared" ca="1" si="214"/>
        <v>4</v>
      </c>
      <c r="DW143" s="1">
        <f t="shared" ca="1" si="215"/>
        <v>189</v>
      </c>
      <c r="DX143" s="1">
        <f t="shared" ca="1" si="216"/>
        <v>18</v>
      </c>
      <c r="DY143" s="1">
        <f t="shared" ca="1" si="217"/>
        <v>8</v>
      </c>
    </row>
    <row r="144" spans="2:129" x14ac:dyDescent="0.25">
      <c r="B144">
        <f t="shared" ca="1" si="147"/>
        <v>298</v>
      </c>
      <c r="C144">
        <f t="shared" ca="1" si="148"/>
        <v>16</v>
      </c>
      <c r="D144">
        <f t="shared" ca="1" si="149"/>
        <v>0.17358690819390904</v>
      </c>
      <c r="F144" s="1">
        <f t="shared" ca="1" si="150"/>
        <v>26</v>
      </c>
      <c r="G144" s="1">
        <f t="shared" ca="1" si="151"/>
        <v>24</v>
      </c>
      <c r="H144" s="1">
        <f t="shared" ca="1" si="152"/>
        <v>12</v>
      </c>
      <c r="I144" s="1"/>
      <c r="J144" s="1">
        <f t="shared" ca="1" si="153"/>
        <v>21</v>
      </c>
      <c r="K144" s="1">
        <f t="shared" ca="1" si="154"/>
        <v>1.2850555241184116</v>
      </c>
      <c r="L144" s="1">
        <f t="shared" ca="1" si="155"/>
        <v>16</v>
      </c>
      <c r="M144" s="1"/>
      <c r="N144" s="1">
        <f t="shared" ca="1" si="156"/>
        <v>382</v>
      </c>
      <c r="O144" s="1">
        <f t="shared" ca="1" si="157"/>
        <v>25</v>
      </c>
      <c r="P144" s="1"/>
      <c r="Q144" s="1">
        <f t="shared" ca="1" si="158"/>
        <v>0.48901719771698238</v>
      </c>
      <c r="R144" s="1">
        <f t="shared" ca="1" si="159"/>
        <v>970</v>
      </c>
      <c r="S144" s="1"/>
      <c r="T144" s="1">
        <f t="shared" ca="1" si="160"/>
        <v>0.16897044842214151</v>
      </c>
      <c r="U144" s="1">
        <f t="shared" ca="1" si="161"/>
        <v>249</v>
      </c>
      <c r="V144" s="1">
        <f t="shared" ca="1" si="162"/>
        <v>17</v>
      </c>
      <c r="W144" s="1"/>
      <c r="X144" s="1">
        <f t="shared" ca="1" si="163"/>
        <v>5.6786595773053357</v>
      </c>
      <c r="Y144" s="1">
        <f t="shared" ca="1" si="164"/>
        <v>0.59057728948771993</v>
      </c>
      <c r="Z144" s="1">
        <f t="shared" ca="1" si="165"/>
        <v>186</v>
      </c>
      <c r="AB144" s="1">
        <f t="shared" ca="1" si="166"/>
        <v>0.36729814640209624</v>
      </c>
      <c r="AC144" s="1">
        <f t="shared" ca="1" si="167"/>
        <v>756</v>
      </c>
      <c r="AD144" s="1">
        <f t="shared" ca="1" si="168"/>
        <v>6.0449211945602334E-3</v>
      </c>
      <c r="AE144" s="1"/>
      <c r="AF144" s="1">
        <f t="shared" ca="1" si="169"/>
        <v>0.56003924105467506</v>
      </c>
      <c r="AG144" s="1">
        <f t="shared" ca="1" si="170"/>
        <v>412</v>
      </c>
      <c r="AH144" s="1">
        <f t="shared" ca="1" si="171"/>
        <v>7.6897661311973618E-3</v>
      </c>
      <c r="AJ144" s="1">
        <f t="shared" ca="1" si="172"/>
        <v>0.25763143147169432</v>
      </c>
      <c r="AK144" s="1">
        <f t="shared" ca="1" si="173"/>
        <v>7.9762801033463771E-3</v>
      </c>
      <c r="AL144" s="1"/>
      <c r="AM144" s="1">
        <f t="shared" ca="1" si="174"/>
        <v>5.3366958342154422E-2</v>
      </c>
      <c r="AN144" s="1">
        <f t="shared" ca="1" si="175"/>
        <v>21</v>
      </c>
      <c r="AO144" s="1">
        <f t="shared" ca="1" si="176"/>
        <v>2</v>
      </c>
      <c r="AQ144" s="1">
        <f t="shared" ca="1" si="177"/>
        <v>33</v>
      </c>
      <c r="AR144" s="1">
        <f t="shared" ca="1" si="178"/>
        <v>8</v>
      </c>
      <c r="AS144" s="1">
        <f t="shared" ca="1" si="179"/>
        <v>90</v>
      </c>
      <c r="AU144" s="1">
        <f t="shared" ca="1" si="180"/>
        <v>200</v>
      </c>
      <c r="AV144" s="1">
        <f t="shared" ca="1" si="181"/>
        <v>4</v>
      </c>
      <c r="AW144" s="1">
        <f t="shared" ca="1" si="182"/>
        <v>0.11290596584733754</v>
      </c>
      <c r="AY144" s="1">
        <f t="shared" ca="1" si="183"/>
        <v>1.9943086152163623</v>
      </c>
      <c r="AZ144" s="1">
        <f t="shared" ca="1" si="184"/>
        <v>73</v>
      </c>
      <c r="BA144" s="1">
        <f t="shared" ca="1" si="185"/>
        <v>9.202953616176783E-3</v>
      </c>
      <c r="BG144" s="1">
        <f t="shared" ca="1" si="186"/>
        <v>0.62772846001335292</v>
      </c>
      <c r="BH144" s="1">
        <f t="shared" ca="1" si="187"/>
        <v>0.67355877901642813</v>
      </c>
      <c r="BI144" s="1">
        <f t="shared" ca="1" si="188"/>
        <v>267</v>
      </c>
      <c r="BV144" s="1">
        <f t="shared" ca="1" si="189"/>
        <v>0.84692715898724258</v>
      </c>
      <c r="BW144" s="1">
        <f t="shared" ca="1" si="190"/>
        <v>839</v>
      </c>
      <c r="BX144" s="1">
        <f t="shared" ca="1" si="191"/>
        <v>1.7430433375347381E-3</v>
      </c>
      <c r="BY144" s="1">
        <f t="shared" ca="1" si="192"/>
        <v>5.6616269959024065E-2</v>
      </c>
      <c r="BZ144" s="1">
        <f t="shared" ca="1" si="193"/>
        <v>0.96956525611444255</v>
      </c>
      <c r="CB144" s="1">
        <f t="shared" ca="1" si="194"/>
        <v>357</v>
      </c>
      <c r="CC144" s="1">
        <f t="shared" ca="1" si="195"/>
        <v>14</v>
      </c>
      <c r="CD144" s="1">
        <f t="shared" ca="1" si="196"/>
        <v>0.24553178407121407</v>
      </c>
      <c r="CE144" s="1">
        <f t="shared" ca="1" si="197"/>
        <v>0.56798047267152174</v>
      </c>
      <c r="CF144" s="1">
        <f t="shared" ca="1" si="197"/>
        <v>0.77295017289259182</v>
      </c>
      <c r="CH144" s="3">
        <f t="shared" ca="1" si="198"/>
        <v>0.48158656709810832</v>
      </c>
      <c r="CI144" s="3">
        <f t="shared" ca="1" si="199"/>
        <v>0.26651100287827434</v>
      </c>
      <c r="CJ144" s="3">
        <f t="shared" ca="1" si="200"/>
        <v>815</v>
      </c>
      <c r="CK144" s="3">
        <f t="shared" ca="1" si="201"/>
        <v>6.0583900887414494E-3</v>
      </c>
      <c r="CL144" s="3">
        <f t="shared" ca="1" si="202"/>
        <v>1</v>
      </c>
      <c r="CM144" s="3"/>
      <c r="CN144" s="1">
        <f t="shared" ca="1" si="203"/>
        <v>16.373291094909103</v>
      </c>
      <c r="CO144" s="1">
        <f t="shared" ca="1" si="204"/>
        <v>0.34403937541032292</v>
      </c>
      <c r="CP144" s="1">
        <f t="shared" ca="1" si="205"/>
        <v>5</v>
      </c>
      <c r="CV144" s="1">
        <f t="shared" ca="1" si="206"/>
        <v>0.81689228567902139</v>
      </c>
      <c r="CW144" s="1">
        <f t="shared" ca="1" si="207"/>
        <v>1575</v>
      </c>
      <c r="CX144" s="1">
        <f t="shared" ca="1" si="208"/>
        <v>8.9809717045078157E-3</v>
      </c>
      <c r="DH144" s="1">
        <f t="shared" ca="1" si="209"/>
        <v>88</v>
      </c>
      <c r="DI144" s="1">
        <f t="shared" ca="1" si="210"/>
        <v>3.9085281036734615E-2</v>
      </c>
      <c r="DJ144" s="1">
        <f t="shared" ca="1" si="211"/>
        <v>25</v>
      </c>
      <c r="DL144" s="1">
        <f t="shared" ca="1" si="212"/>
        <v>0.13509452718357309</v>
      </c>
      <c r="DM144" s="1">
        <f t="shared" ca="1" si="213"/>
        <v>126</v>
      </c>
      <c r="DN144" s="1">
        <f t="shared" ca="1" si="214"/>
        <v>1</v>
      </c>
      <c r="DW144" s="1">
        <f t="shared" ca="1" si="215"/>
        <v>262</v>
      </c>
      <c r="DX144" s="1">
        <f t="shared" ca="1" si="216"/>
        <v>18</v>
      </c>
      <c r="DY144" s="1">
        <f t="shared" ca="1" si="217"/>
        <v>17</v>
      </c>
    </row>
    <row r="145" spans="2:129" x14ac:dyDescent="0.25">
      <c r="B145">
        <f t="shared" ca="1" si="147"/>
        <v>177</v>
      </c>
      <c r="C145">
        <f t="shared" ca="1" si="148"/>
        <v>2</v>
      </c>
      <c r="D145">
        <f t="shared" ca="1" si="149"/>
        <v>0.12269994697422931</v>
      </c>
      <c r="F145" s="1">
        <f t="shared" ca="1" si="150"/>
        <v>4</v>
      </c>
      <c r="G145" s="1">
        <f t="shared" ca="1" si="151"/>
        <v>16</v>
      </c>
      <c r="H145" s="1">
        <f t="shared" ca="1" si="152"/>
        <v>1</v>
      </c>
      <c r="I145" s="1"/>
      <c r="J145" s="1">
        <f t="shared" ca="1" si="153"/>
        <v>11</v>
      </c>
      <c r="K145" s="1">
        <f t="shared" ca="1" si="154"/>
        <v>1.1313800762005559</v>
      </c>
      <c r="L145" s="1">
        <f t="shared" ca="1" si="155"/>
        <v>30</v>
      </c>
      <c r="M145" s="1"/>
      <c r="N145" s="1">
        <f t="shared" ca="1" si="156"/>
        <v>668</v>
      </c>
      <c r="O145" s="1">
        <f t="shared" ca="1" si="157"/>
        <v>21</v>
      </c>
      <c r="P145" s="1"/>
      <c r="Q145" s="1">
        <f t="shared" ca="1" si="158"/>
        <v>0.67973113292174037</v>
      </c>
      <c r="R145" s="1">
        <f t="shared" ca="1" si="159"/>
        <v>813</v>
      </c>
      <c r="S145" s="1"/>
      <c r="T145" s="1">
        <f t="shared" ca="1" si="160"/>
        <v>0.1978194605393585</v>
      </c>
      <c r="U145" s="1">
        <f t="shared" ca="1" si="161"/>
        <v>125</v>
      </c>
      <c r="V145" s="1">
        <f t="shared" ca="1" si="162"/>
        <v>15</v>
      </c>
      <c r="W145" s="1"/>
      <c r="X145" s="1">
        <f t="shared" ca="1" si="163"/>
        <v>1.9686129253436448</v>
      </c>
      <c r="Y145" s="1">
        <f t="shared" ca="1" si="164"/>
        <v>0.23299566699826252</v>
      </c>
      <c r="Z145" s="1">
        <f t="shared" ca="1" si="165"/>
        <v>212</v>
      </c>
      <c r="AB145" s="1">
        <f t="shared" ca="1" si="166"/>
        <v>0.76095942474877387</v>
      </c>
      <c r="AC145" s="1">
        <f t="shared" ca="1" si="167"/>
        <v>486</v>
      </c>
      <c r="AD145" s="1">
        <f t="shared" ca="1" si="168"/>
        <v>7.1894211933720099E-3</v>
      </c>
      <c r="AE145" s="1"/>
      <c r="AF145" s="1">
        <f t="shared" ca="1" si="169"/>
        <v>0.48585484222045972</v>
      </c>
      <c r="AG145" s="1">
        <f t="shared" ca="1" si="170"/>
        <v>816</v>
      </c>
      <c r="AH145" s="1">
        <f t="shared" ca="1" si="171"/>
        <v>6.5739352445231035E-3</v>
      </c>
      <c r="AJ145" s="1">
        <f t="shared" ca="1" si="172"/>
        <v>0.45360644317638377</v>
      </c>
      <c r="AK145" s="1">
        <f t="shared" ca="1" si="173"/>
        <v>6.4004249670793793E-3</v>
      </c>
      <c r="AL145" s="1"/>
      <c r="AM145" s="1">
        <f t="shared" ca="1" si="174"/>
        <v>6.2280878748575942E-2</v>
      </c>
      <c r="AN145" s="1">
        <f t="shared" ca="1" si="175"/>
        <v>77</v>
      </c>
      <c r="AO145" s="1">
        <f t="shared" ca="1" si="176"/>
        <v>8</v>
      </c>
      <c r="AQ145" s="1">
        <f t="shared" ca="1" si="177"/>
        <v>149</v>
      </c>
      <c r="AR145" s="1">
        <f t="shared" ca="1" si="178"/>
        <v>3</v>
      </c>
      <c r="AS145" s="1">
        <f t="shared" ca="1" si="179"/>
        <v>100</v>
      </c>
      <c r="AU145" s="1">
        <f t="shared" ca="1" si="180"/>
        <v>383</v>
      </c>
      <c r="AV145" s="1">
        <f t="shared" ca="1" si="181"/>
        <v>8</v>
      </c>
      <c r="AW145" s="1">
        <f t="shared" ca="1" si="182"/>
        <v>6.0916090927871772E-2</v>
      </c>
      <c r="AY145" s="1">
        <f t="shared" ca="1" si="183"/>
        <v>1.3884902641113881</v>
      </c>
      <c r="AZ145" s="1">
        <f t="shared" ca="1" si="184"/>
        <v>284</v>
      </c>
      <c r="BA145" s="1">
        <f t="shared" ca="1" si="185"/>
        <v>6.9893099178587161E-3</v>
      </c>
      <c r="BG145" s="1">
        <f t="shared" ca="1" si="186"/>
        <v>0.5040230050750546</v>
      </c>
      <c r="BH145" s="1">
        <f t="shared" ca="1" si="187"/>
        <v>0.40948259447112201</v>
      </c>
      <c r="BI145" s="1">
        <f t="shared" ca="1" si="188"/>
        <v>734</v>
      </c>
      <c r="BV145" s="1">
        <f t="shared" ca="1" si="189"/>
        <v>3.3788716600702033E-2</v>
      </c>
      <c r="BW145" s="1">
        <f t="shared" ca="1" si="190"/>
        <v>692</v>
      </c>
      <c r="BX145" s="1">
        <f t="shared" ca="1" si="191"/>
        <v>5.9323307890918201E-3</v>
      </c>
      <c r="BY145" s="1">
        <f t="shared" ca="1" si="192"/>
        <v>2.6384748990360585E-2</v>
      </c>
      <c r="BZ145" s="1">
        <f t="shared" ca="1" si="193"/>
        <v>0.55513563507726393</v>
      </c>
      <c r="CB145" s="1">
        <f t="shared" ca="1" si="194"/>
        <v>223</v>
      </c>
      <c r="CC145" s="1">
        <f t="shared" ca="1" si="195"/>
        <v>7</v>
      </c>
      <c r="CD145" s="1">
        <f t="shared" ca="1" si="196"/>
        <v>0.16825437487049083</v>
      </c>
      <c r="CE145" s="1">
        <f t="shared" ca="1" si="197"/>
        <v>0.77554220337558455</v>
      </c>
      <c r="CF145" s="1">
        <f t="shared" ca="1" si="197"/>
        <v>0.95132802569957065</v>
      </c>
      <c r="CH145" s="3">
        <f t="shared" ca="1" si="198"/>
        <v>0.8291113606799283</v>
      </c>
      <c r="CI145" s="3">
        <f t="shared" ca="1" si="199"/>
        <v>0.34203429661489643</v>
      </c>
      <c r="CJ145" s="3">
        <f t="shared" ca="1" si="200"/>
        <v>418</v>
      </c>
      <c r="CK145" s="3">
        <f t="shared" ca="1" si="201"/>
        <v>4.9496512202269671E-3</v>
      </c>
      <c r="CL145" s="3">
        <f t="shared" ca="1" si="202"/>
        <v>1</v>
      </c>
      <c r="CM145" s="3"/>
      <c r="CN145" s="1">
        <f t="shared" ca="1" si="203"/>
        <v>8.2321530525804985</v>
      </c>
      <c r="CO145" s="1">
        <f t="shared" ca="1" si="204"/>
        <v>0.34239248108610548</v>
      </c>
      <c r="CP145" s="1">
        <f t="shared" ca="1" si="205"/>
        <v>1</v>
      </c>
      <c r="CV145" s="1">
        <f t="shared" ca="1" si="206"/>
        <v>3.5267419935124713</v>
      </c>
      <c r="CW145" s="1">
        <f t="shared" ca="1" si="207"/>
        <v>1613</v>
      </c>
      <c r="CX145" s="1">
        <f t="shared" ca="1" si="208"/>
        <v>8.6758195346925155E-3</v>
      </c>
      <c r="DH145" s="1">
        <f t="shared" ca="1" si="209"/>
        <v>62</v>
      </c>
      <c r="DI145" s="1">
        <f t="shared" ca="1" si="210"/>
        <v>0.35925408927720442</v>
      </c>
      <c r="DJ145" s="1">
        <f t="shared" ca="1" si="211"/>
        <v>6</v>
      </c>
      <c r="DL145" s="1">
        <f t="shared" ca="1" si="212"/>
        <v>5.4318486516158206E-2</v>
      </c>
      <c r="DM145" s="1">
        <f t="shared" ca="1" si="213"/>
        <v>200</v>
      </c>
      <c r="DN145" s="1">
        <f t="shared" ca="1" si="214"/>
        <v>10</v>
      </c>
      <c r="DW145" s="1">
        <f t="shared" ca="1" si="215"/>
        <v>343</v>
      </c>
      <c r="DX145" s="1">
        <f t="shared" ca="1" si="216"/>
        <v>4</v>
      </c>
      <c r="DY145" s="1">
        <f t="shared" ca="1" si="217"/>
        <v>18</v>
      </c>
    </row>
    <row r="146" spans="2:129" x14ac:dyDescent="0.25">
      <c r="B146">
        <f t="shared" ca="1" si="147"/>
        <v>631</v>
      </c>
      <c r="C146">
        <f t="shared" ca="1" si="148"/>
        <v>52</v>
      </c>
      <c r="D146">
        <f t="shared" ca="1" si="149"/>
        <v>0.29126986659271997</v>
      </c>
      <c r="F146" s="1">
        <f t="shared" ca="1" si="150"/>
        <v>31</v>
      </c>
      <c r="G146" s="1">
        <f t="shared" ca="1" si="151"/>
        <v>22</v>
      </c>
      <c r="H146" s="1">
        <f t="shared" ca="1" si="152"/>
        <v>13</v>
      </c>
      <c r="I146" s="1"/>
      <c r="J146" s="1">
        <f t="shared" ca="1" si="153"/>
        <v>18</v>
      </c>
      <c r="K146" s="1">
        <f t="shared" ca="1" si="154"/>
        <v>2.5397423895437665</v>
      </c>
      <c r="L146" s="1">
        <f t="shared" ca="1" si="155"/>
        <v>26</v>
      </c>
      <c r="M146" s="1"/>
      <c r="N146" s="1">
        <f t="shared" ca="1" si="156"/>
        <v>672</v>
      </c>
      <c r="O146" s="1">
        <f t="shared" ca="1" si="157"/>
        <v>22</v>
      </c>
      <c r="P146" s="1"/>
      <c r="Q146" s="1">
        <f t="shared" ca="1" si="158"/>
        <v>0.45483500909192048</v>
      </c>
      <c r="R146" s="1">
        <f t="shared" ca="1" si="159"/>
        <v>738</v>
      </c>
      <c r="S146" s="1"/>
      <c r="T146" s="1">
        <f t="shared" ca="1" si="160"/>
        <v>0.134043710971258</v>
      </c>
      <c r="U146" s="1">
        <f t="shared" ca="1" si="161"/>
        <v>307</v>
      </c>
      <c r="V146" s="1">
        <f t="shared" ca="1" si="162"/>
        <v>2</v>
      </c>
      <c r="W146" s="1"/>
      <c r="X146" s="1">
        <f t="shared" ca="1" si="163"/>
        <v>2.4552256986345391</v>
      </c>
      <c r="Y146" s="1">
        <f t="shared" ca="1" si="164"/>
        <v>0.21428343328208793</v>
      </c>
      <c r="Z146" s="1">
        <f t="shared" ca="1" si="165"/>
        <v>850</v>
      </c>
      <c r="AB146" s="1">
        <f t="shared" ca="1" si="166"/>
        <v>0.83123914133281607</v>
      </c>
      <c r="AC146" s="1">
        <f t="shared" ca="1" si="167"/>
        <v>430</v>
      </c>
      <c r="AD146" s="1">
        <f t="shared" ca="1" si="168"/>
        <v>8.0207726290259448E-3</v>
      </c>
      <c r="AE146" s="1"/>
      <c r="AF146" s="1">
        <f t="shared" ca="1" si="169"/>
        <v>0.42497045140222922</v>
      </c>
      <c r="AG146" s="1">
        <f t="shared" ca="1" si="170"/>
        <v>941</v>
      </c>
      <c r="AH146" s="1">
        <f t="shared" ca="1" si="171"/>
        <v>5.0137779833938105E-3</v>
      </c>
      <c r="AJ146" s="1">
        <f t="shared" ca="1" si="172"/>
        <v>0.12179655650601917</v>
      </c>
      <c r="AK146" s="1">
        <f t="shared" ca="1" si="173"/>
        <v>4.615759833200654E-3</v>
      </c>
      <c r="AL146" s="1"/>
      <c r="AM146" s="1">
        <f t="shared" ca="1" si="174"/>
        <v>0.1188851554896293</v>
      </c>
      <c r="AN146" s="1">
        <f t="shared" ca="1" si="175"/>
        <v>10</v>
      </c>
      <c r="AO146" s="1">
        <f t="shared" ca="1" si="176"/>
        <v>19</v>
      </c>
      <c r="AQ146" s="1">
        <f t="shared" ca="1" si="177"/>
        <v>105</v>
      </c>
      <c r="AR146" s="1">
        <f t="shared" ca="1" si="178"/>
        <v>0</v>
      </c>
      <c r="AS146" s="1">
        <f t="shared" ca="1" si="179"/>
        <v>56</v>
      </c>
      <c r="AU146" s="1">
        <f t="shared" ca="1" si="180"/>
        <v>295</v>
      </c>
      <c r="AV146" s="1">
        <f t="shared" ca="1" si="181"/>
        <v>5</v>
      </c>
      <c r="AW146" s="1">
        <f t="shared" ca="1" si="182"/>
        <v>0.17806414370810691</v>
      </c>
      <c r="AY146" s="1">
        <f t="shared" ca="1" si="183"/>
        <v>1.7600919804953166</v>
      </c>
      <c r="AZ146" s="1">
        <f t="shared" ca="1" si="184"/>
        <v>434</v>
      </c>
      <c r="BA146" s="1">
        <f t="shared" ca="1" si="185"/>
        <v>7.7533687837272125E-3</v>
      </c>
      <c r="BG146" s="1">
        <f t="shared" ca="1" si="186"/>
        <v>0.40304425722216475</v>
      </c>
      <c r="BH146" s="1">
        <f t="shared" ca="1" si="187"/>
        <v>9.6970572109301711E-3</v>
      </c>
      <c r="BI146" s="1">
        <f t="shared" ca="1" si="188"/>
        <v>155</v>
      </c>
      <c r="BV146" s="1">
        <f t="shared" ca="1" si="189"/>
        <v>0.9446390834017776</v>
      </c>
      <c r="BW146" s="1">
        <f t="shared" ca="1" si="190"/>
        <v>980</v>
      </c>
      <c r="BX146" s="1">
        <f t="shared" ca="1" si="191"/>
        <v>3.8100887248421595E-3</v>
      </c>
      <c r="BY146" s="1">
        <f t="shared" ca="1" si="192"/>
        <v>2.1578435995861352E-2</v>
      </c>
      <c r="BZ146" s="1">
        <f t="shared" ca="1" si="193"/>
        <v>0.39308362555460108</v>
      </c>
      <c r="CB146" s="1">
        <f t="shared" ca="1" si="194"/>
        <v>303</v>
      </c>
      <c r="CC146" s="1">
        <f t="shared" ca="1" si="195"/>
        <v>8</v>
      </c>
      <c r="CD146" s="1">
        <f t="shared" ca="1" si="196"/>
        <v>0.14497952229006644</v>
      </c>
      <c r="CE146" s="1">
        <f t="shared" ca="1" si="197"/>
        <v>0.50345339440801973</v>
      </c>
      <c r="CF146" s="1">
        <f t="shared" ca="1" si="197"/>
        <v>0.53149678989658189</v>
      </c>
      <c r="CH146" s="3">
        <f t="shared" ca="1" si="198"/>
        <v>0.44001990865086404</v>
      </c>
      <c r="CI146" s="3">
        <f t="shared" ca="1" si="199"/>
        <v>0.94007529677193524</v>
      </c>
      <c r="CJ146" s="3">
        <f t="shared" ca="1" si="200"/>
        <v>202</v>
      </c>
      <c r="CK146" s="3">
        <f t="shared" ca="1" si="201"/>
        <v>4.3724828728252622E-3</v>
      </c>
      <c r="CL146" s="3">
        <f t="shared" ca="1" si="202"/>
        <v>0</v>
      </c>
      <c r="CM146" s="3"/>
      <c r="CN146" s="1">
        <f t="shared" ca="1" si="203"/>
        <v>11.630065608917562</v>
      </c>
      <c r="CO146" s="1">
        <f t="shared" ca="1" si="204"/>
        <v>0.20804245990430065</v>
      </c>
      <c r="CP146" s="1">
        <f t="shared" ca="1" si="205"/>
        <v>3</v>
      </c>
      <c r="CV146" s="1">
        <f t="shared" ca="1" si="206"/>
        <v>2.7284171028993223</v>
      </c>
      <c r="CW146" s="1">
        <f t="shared" ca="1" si="207"/>
        <v>1637</v>
      </c>
      <c r="CX146" s="1">
        <f t="shared" ca="1" si="208"/>
        <v>8.0184435410601464E-3</v>
      </c>
      <c r="DH146" s="1">
        <f t="shared" ca="1" si="209"/>
        <v>414</v>
      </c>
      <c r="DI146" s="1">
        <f t="shared" ca="1" si="210"/>
        <v>0.79997720009740603</v>
      </c>
      <c r="DJ146" s="1">
        <f t="shared" ca="1" si="211"/>
        <v>19</v>
      </c>
      <c r="DL146" s="1">
        <f t="shared" ca="1" si="212"/>
        <v>2.4130005031041207E-2</v>
      </c>
      <c r="DM146" s="1">
        <f t="shared" ca="1" si="213"/>
        <v>273</v>
      </c>
      <c r="DN146" s="1">
        <f t="shared" ca="1" si="214"/>
        <v>10</v>
      </c>
      <c r="DW146" s="1">
        <f t="shared" ca="1" si="215"/>
        <v>269</v>
      </c>
      <c r="DX146" s="1">
        <f t="shared" ca="1" si="216"/>
        <v>6</v>
      </c>
      <c r="DY146" s="1">
        <f t="shared" ca="1" si="217"/>
        <v>11</v>
      </c>
    </row>
    <row r="147" spans="2:129" x14ac:dyDescent="0.25">
      <c r="B147">
        <f t="shared" ca="1" si="147"/>
        <v>491</v>
      </c>
      <c r="C147">
        <f t="shared" ca="1" si="148"/>
        <v>5</v>
      </c>
      <c r="D147">
        <f t="shared" ca="1" si="149"/>
        <v>7.3430761659012855E-2</v>
      </c>
      <c r="F147" s="1">
        <f t="shared" ca="1" si="150"/>
        <v>39</v>
      </c>
      <c r="G147" s="1">
        <f t="shared" ca="1" si="151"/>
        <v>15</v>
      </c>
      <c r="H147" s="1">
        <f t="shared" ca="1" si="152"/>
        <v>15</v>
      </c>
      <c r="I147" s="1"/>
      <c r="J147" s="1">
        <f t="shared" ca="1" si="153"/>
        <v>23</v>
      </c>
      <c r="K147" s="1">
        <f t="shared" ca="1" si="154"/>
        <v>2.0309236414435716</v>
      </c>
      <c r="L147" s="1">
        <f t="shared" ca="1" si="155"/>
        <v>21</v>
      </c>
      <c r="M147" s="1"/>
      <c r="N147" s="1">
        <f t="shared" ca="1" si="156"/>
        <v>302</v>
      </c>
      <c r="O147" s="1">
        <f t="shared" ca="1" si="157"/>
        <v>28</v>
      </c>
      <c r="P147" s="1"/>
      <c r="Q147" s="1">
        <f t="shared" ca="1" si="158"/>
        <v>2.1592008466384214</v>
      </c>
      <c r="R147" s="1">
        <f t="shared" ca="1" si="159"/>
        <v>213</v>
      </c>
      <c r="S147" s="1"/>
      <c r="T147" s="1">
        <f t="shared" ca="1" si="160"/>
        <v>4.7326418201955982E-2</v>
      </c>
      <c r="U147" s="1">
        <f t="shared" ca="1" si="161"/>
        <v>204</v>
      </c>
      <c r="V147" s="1">
        <f t="shared" ca="1" si="162"/>
        <v>12</v>
      </c>
      <c r="W147" s="1"/>
      <c r="X147" s="1">
        <f t="shared" ca="1" si="163"/>
        <v>3.1363855905802733</v>
      </c>
      <c r="Y147" s="1">
        <f t="shared" ca="1" si="164"/>
        <v>0.41098393423543533</v>
      </c>
      <c r="Z147" s="1">
        <f t="shared" ca="1" si="165"/>
        <v>1050</v>
      </c>
      <c r="AB147" s="1">
        <f t="shared" ca="1" si="166"/>
        <v>0.60056703785259213</v>
      </c>
      <c r="AC147" s="1">
        <f t="shared" ca="1" si="167"/>
        <v>852</v>
      </c>
      <c r="AD147" s="1">
        <f t="shared" ca="1" si="168"/>
        <v>4.9765315555655772E-3</v>
      </c>
      <c r="AE147" s="1"/>
      <c r="AF147" s="1">
        <f t="shared" ca="1" si="169"/>
        <v>0.54720077714355908</v>
      </c>
      <c r="AG147" s="1">
        <f t="shared" ca="1" si="170"/>
        <v>401</v>
      </c>
      <c r="AH147" s="1">
        <f t="shared" ca="1" si="171"/>
        <v>8.6906421146686411E-3</v>
      </c>
      <c r="AJ147" s="1">
        <f t="shared" ca="1" si="172"/>
        <v>0.80544869666864383</v>
      </c>
      <c r="AK147" s="1">
        <f t="shared" ca="1" si="173"/>
        <v>5.0134265810777446E-3</v>
      </c>
      <c r="AL147" s="1"/>
      <c r="AM147" s="1">
        <f t="shared" ca="1" si="174"/>
        <v>0.16497989279652939</v>
      </c>
      <c r="AN147" s="1">
        <f t="shared" ca="1" si="175"/>
        <v>75</v>
      </c>
      <c r="AO147" s="1">
        <f t="shared" ca="1" si="176"/>
        <v>18</v>
      </c>
      <c r="AQ147" s="1">
        <f t="shared" ca="1" si="177"/>
        <v>196</v>
      </c>
      <c r="AR147" s="1">
        <f t="shared" ca="1" si="178"/>
        <v>2</v>
      </c>
      <c r="AS147" s="1">
        <f t="shared" ca="1" si="179"/>
        <v>5</v>
      </c>
      <c r="AU147" s="1">
        <f t="shared" ca="1" si="180"/>
        <v>354</v>
      </c>
      <c r="AV147" s="1">
        <f t="shared" ca="1" si="181"/>
        <v>4</v>
      </c>
      <c r="AW147" s="1">
        <f t="shared" ca="1" si="182"/>
        <v>3.5839315536753888E-2</v>
      </c>
      <c r="AY147" s="1">
        <f t="shared" ca="1" si="183"/>
        <v>1.7345733462622106</v>
      </c>
      <c r="AZ147" s="1">
        <f t="shared" ca="1" si="184"/>
        <v>199</v>
      </c>
      <c r="BA147" s="1">
        <f t="shared" ca="1" si="185"/>
        <v>8.6357482635540002E-3</v>
      </c>
      <c r="BG147" s="1">
        <f t="shared" ca="1" si="186"/>
        <v>0.44092424001254116</v>
      </c>
      <c r="BH147" s="1">
        <f t="shared" ca="1" si="187"/>
        <v>0.39961431815093296</v>
      </c>
      <c r="BI147" s="1">
        <f t="shared" ca="1" si="188"/>
        <v>932</v>
      </c>
      <c r="BV147" s="1">
        <f t="shared" ca="1" si="189"/>
        <v>0.8899707449628057</v>
      </c>
      <c r="BW147" s="1">
        <f t="shared" ca="1" si="190"/>
        <v>475</v>
      </c>
      <c r="BX147" s="1">
        <f t="shared" ca="1" si="191"/>
        <v>8.9241459854230501E-3</v>
      </c>
      <c r="BY147" s="1">
        <f t="shared" ca="1" si="192"/>
        <v>1.9733290501870813E-2</v>
      </c>
      <c r="BZ147" s="1">
        <f t="shared" ca="1" si="193"/>
        <v>0.97788058960695134</v>
      </c>
      <c r="CB147" s="1">
        <f t="shared" ca="1" si="194"/>
        <v>291</v>
      </c>
      <c r="CC147" s="1">
        <f t="shared" ca="1" si="195"/>
        <v>12</v>
      </c>
      <c r="CD147" s="1">
        <f t="shared" ca="1" si="196"/>
        <v>0.14691867740585585</v>
      </c>
      <c r="CE147" s="1">
        <f t="shared" ca="1" si="197"/>
        <v>0.97135243835679452</v>
      </c>
      <c r="CF147" s="1">
        <f t="shared" ca="1" si="197"/>
        <v>0.79509859175598385</v>
      </c>
      <c r="CH147" s="3">
        <f t="shared" ca="1" si="198"/>
        <v>0.21539159616853215</v>
      </c>
      <c r="CI147" s="3">
        <f t="shared" ca="1" si="199"/>
        <v>0.40883517721344204</v>
      </c>
      <c r="CJ147" s="3">
        <f t="shared" ca="1" si="200"/>
        <v>1905</v>
      </c>
      <c r="CK147" s="3">
        <f t="shared" ca="1" si="201"/>
        <v>8.5792083186393888E-3</v>
      </c>
      <c r="CL147" s="3">
        <f t="shared" ca="1" si="202"/>
        <v>1</v>
      </c>
      <c r="CM147" s="3"/>
      <c r="CN147" s="1">
        <f t="shared" ca="1" si="203"/>
        <v>12.941615682818373</v>
      </c>
      <c r="CO147" s="1">
        <f t="shared" ca="1" si="204"/>
        <v>0.49009283902228201</v>
      </c>
      <c r="CP147" s="1">
        <f t="shared" ca="1" si="205"/>
        <v>4</v>
      </c>
      <c r="CV147" s="1">
        <f t="shared" ca="1" si="206"/>
        <v>0.91486951173465736</v>
      </c>
      <c r="CW147" s="1">
        <f t="shared" ca="1" si="207"/>
        <v>240</v>
      </c>
      <c r="CX147" s="1">
        <f t="shared" ca="1" si="208"/>
        <v>8.3231485135283247E-3</v>
      </c>
      <c r="DH147" s="1">
        <f t="shared" ca="1" si="209"/>
        <v>434</v>
      </c>
      <c r="DI147" s="1">
        <f t="shared" ca="1" si="210"/>
        <v>0.36262077710342583</v>
      </c>
      <c r="DJ147" s="1">
        <f t="shared" ca="1" si="211"/>
        <v>29</v>
      </c>
      <c r="DL147" s="1">
        <f t="shared" ca="1" si="212"/>
        <v>4.799570721889488E-2</v>
      </c>
      <c r="DM147" s="1">
        <f t="shared" ca="1" si="213"/>
        <v>168</v>
      </c>
      <c r="DN147" s="1">
        <f t="shared" ca="1" si="214"/>
        <v>8</v>
      </c>
      <c r="DW147" s="1">
        <f t="shared" ca="1" si="215"/>
        <v>259</v>
      </c>
      <c r="DX147" s="1">
        <f t="shared" ca="1" si="216"/>
        <v>14</v>
      </c>
      <c r="DY147" s="1">
        <f t="shared" ca="1" si="217"/>
        <v>19</v>
      </c>
    </row>
    <row r="148" spans="2:129" x14ac:dyDescent="0.25">
      <c r="B148">
        <f t="shared" ca="1" si="147"/>
        <v>793</v>
      </c>
      <c r="C148">
        <f t="shared" ca="1" si="148"/>
        <v>15</v>
      </c>
      <c r="D148">
        <f t="shared" ca="1" si="149"/>
        <v>7.2418771359168854E-2</v>
      </c>
      <c r="F148" s="1">
        <f t="shared" ca="1" si="150"/>
        <v>15</v>
      </c>
      <c r="G148" s="1">
        <f t="shared" ca="1" si="151"/>
        <v>27</v>
      </c>
      <c r="H148" s="1">
        <f t="shared" ca="1" si="152"/>
        <v>4</v>
      </c>
      <c r="I148" s="1"/>
      <c r="J148" s="1">
        <f t="shared" ca="1" si="153"/>
        <v>28</v>
      </c>
      <c r="K148" s="1">
        <f t="shared" ca="1" si="154"/>
        <v>1.0746397164248311</v>
      </c>
      <c r="L148" s="1">
        <f t="shared" ca="1" si="155"/>
        <v>33</v>
      </c>
      <c r="M148" s="1"/>
      <c r="N148" s="1">
        <f t="shared" ca="1" si="156"/>
        <v>998</v>
      </c>
      <c r="O148" s="1">
        <f t="shared" ca="1" si="157"/>
        <v>27</v>
      </c>
      <c r="P148" s="1"/>
      <c r="Q148" s="1">
        <f t="shared" ca="1" si="158"/>
        <v>3.6497926205259463</v>
      </c>
      <c r="R148" s="1">
        <f t="shared" ca="1" si="159"/>
        <v>729</v>
      </c>
      <c r="S148" s="1"/>
      <c r="T148" s="1">
        <f t="shared" ca="1" si="160"/>
        <v>0.1074238271088449</v>
      </c>
      <c r="U148" s="1">
        <f t="shared" ca="1" si="161"/>
        <v>288</v>
      </c>
      <c r="V148" s="1">
        <f t="shared" ca="1" si="162"/>
        <v>7</v>
      </c>
      <c r="W148" s="1"/>
      <c r="X148" s="1">
        <f t="shared" ca="1" si="163"/>
        <v>7.7686592044748366</v>
      </c>
      <c r="Y148" s="1">
        <f t="shared" ca="1" si="164"/>
        <v>0.12388848826466814</v>
      </c>
      <c r="Z148" s="1">
        <f t="shared" ca="1" si="165"/>
        <v>809</v>
      </c>
      <c r="AB148" s="1">
        <f t="shared" ca="1" si="166"/>
        <v>0.27004665314472176</v>
      </c>
      <c r="AC148" s="1">
        <f t="shared" ca="1" si="167"/>
        <v>672</v>
      </c>
      <c r="AD148" s="1">
        <f t="shared" ca="1" si="168"/>
        <v>1.7766447029891335E-3</v>
      </c>
      <c r="AE148" s="1"/>
      <c r="AF148" s="1">
        <f t="shared" ca="1" si="169"/>
        <v>0.70475022451104286</v>
      </c>
      <c r="AG148" s="1">
        <f t="shared" ca="1" si="170"/>
        <v>763</v>
      </c>
      <c r="AH148" s="1">
        <f t="shared" ca="1" si="171"/>
        <v>4.1412122620560965E-3</v>
      </c>
      <c r="AJ148" s="1">
        <f t="shared" ca="1" si="172"/>
        <v>3.7526657688415788E-2</v>
      </c>
      <c r="AK148" s="1">
        <f t="shared" ca="1" si="173"/>
        <v>4.492721345783322E-3</v>
      </c>
      <c r="AL148" s="1"/>
      <c r="AM148" s="1">
        <f t="shared" ca="1" si="174"/>
        <v>2.157724878614704E-2</v>
      </c>
      <c r="AN148" s="1">
        <f t="shared" ca="1" si="175"/>
        <v>49</v>
      </c>
      <c r="AO148" s="1">
        <f t="shared" ca="1" si="176"/>
        <v>9</v>
      </c>
      <c r="AQ148" s="1">
        <f t="shared" ca="1" si="177"/>
        <v>74</v>
      </c>
      <c r="AR148" s="1">
        <f t="shared" ca="1" si="178"/>
        <v>0</v>
      </c>
      <c r="AS148" s="1">
        <f t="shared" ca="1" si="179"/>
        <v>49</v>
      </c>
      <c r="AU148" s="1">
        <f t="shared" ca="1" si="180"/>
        <v>301</v>
      </c>
      <c r="AV148" s="1">
        <f t="shared" ca="1" si="181"/>
        <v>6</v>
      </c>
      <c r="AW148" s="1">
        <f t="shared" ca="1" si="182"/>
        <v>0.14001562278184482</v>
      </c>
      <c r="AY148" s="1">
        <f t="shared" ca="1" si="183"/>
        <v>1.2793655103344399</v>
      </c>
      <c r="AZ148" s="1">
        <f t="shared" ca="1" si="184"/>
        <v>106</v>
      </c>
      <c r="BA148" s="1">
        <f t="shared" ca="1" si="185"/>
        <v>3.0630980709154512E-3</v>
      </c>
      <c r="BG148" s="1">
        <f t="shared" ca="1" si="186"/>
        <v>0.19579816586423801</v>
      </c>
      <c r="BH148" s="1">
        <f t="shared" ca="1" si="187"/>
        <v>0.41399808115428482</v>
      </c>
      <c r="BI148" s="1">
        <f t="shared" ca="1" si="188"/>
        <v>348</v>
      </c>
      <c r="BV148" s="1">
        <f t="shared" ca="1" si="189"/>
        <v>3.5896844993503624E-2</v>
      </c>
      <c r="BW148" s="1">
        <f t="shared" ca="1" si="190"/>
        <v>187</v>
      </c>
      <c r="BX148" s="1">
        <f t="shared" ca="1" si="191"/>
        <v>5.1985395582462611E-3</v>
      </c>
      <c r="BY148" s="1">
        <f t="shared" ca="1" si="192"/>
        <v>2.3256367575761942E-2</v>
      </c>
      <c r="BZ148" s="1">
        <f t="shared" ca="1" si="193"/>
        <v>0.37019878307612653</v>
      </c>
      <c r="CB148" s="1">
        <f t="shared" ca="1" si="194"/>
        <v>93</v>
      </c>
      <c r="CC148" s="1">
        <f t="shared" ca="1" si="195"/>
        <v>10</v>
      </c>
      <c r="CD148" s="1">
        <f t="shared" ca="1" si="196"/>
        <v>1.0811305823341236E-2</v>
      </c>
      <c r="CE148" s="1">
        <f t="shared" ca="1" si="197"/>
        <v>0.94304887040085172</v>
      </c>
      <c r="CF148" s="1">
        <f t="shared" ca="1" si="197"/>
        <v>0.95773849172881165</v>
      </c>
      <c r="CH148" s="3">
        <f t="shared" ca="1" si="198"/>
        <v>0.63895206887574341</v>
      </c>
      <c r="CI148" s="3">
        <f t="shared" ca="1" si="199"/>
        <v>0.31692567876028699</v>
      </c>
      <c r="CJ148" s="3">
        <f t="shared" ca="1" si="200"/>
        <v>572</v>
      </c>
      <c r="CK148" s="3">
        <f t="shared" ca="1" si="201"/>
        <v>3.3099875908192836E-3</v>
      </c>
      <c r="CL148" s="3">
        <f t="shared" ca="1" si="202"/>
        <v>1</v>
      </c>
      <c r="CM148" s="3"/>
      <c r="CN148" s="1">
        <f t="shared" ca="1" si="203"/>
        <v>1.1010712238008888</v>
      </c>
      <c r="CO148" s="1">
        <f t="shared" ca="1" si="204"/>
        <v>0.30538635352904381</v>
      </c>
      <c r="CP148" s="1">
        <f t="shared" ca="1" si="205"/>
        <v>4</v>
      </c>
      <c r="CV148" s="1">
        <f t="shared" ca="1" si="206"/>
        <v>2.8752465772919997</v>
      </c>
      <c r="CW148" s="1">
        <f t="shared" ca="1" si="207"/>
        <v>1372</v>
      </c>
      <c r="CX148" s="1">
        <f t="shared" ca="1" si="208"/>
        <v>3.2413133123682901E-3</v>
      </c>
      <c r="DH148" s="1">
        <f t="shared" ca="1" si="209"/>
        <v>676</v>
      </c>
      <c r="DI148" s="1">
        <f t="shared" ca="1" si="210"/>
        <v>0.90756805365098503</v>
      </c>
      <c r="DJ148" s="1">
        <f t="shared" ca="1" si="211"/>
        <v>24</v>
      </c>
      <c r="DL148" s="1">
        <f t="shared" ca="1" si="212"/>
        <v>0.1308554151028162</v>
      </c>
      <c r="DM148" s="1">
        <f t="shared" ca="1" si="213"/>
        <v>88</v>
      </c>
      <c r="DN148" s="1">
        <f t="shared" ca="1" si="214"/>
        <v>8</v>
      </c>
      <c r="DW148" s="1">
        <f t="shared" ca="1" si="215"/>
        <v>134</v>
      </c>
      <c r="DX148" s="1">
        <f t="shared" ca="1" si="216"/>
        <v>5</v>
      </c>
      <c r="DY148" s="1">
        <f t="shared" ca="1" si="217"/>
        <v>16</v>
      </c>
    </row>
    <row r="149" spans="2:129" x14ac:dyDescent="0.25">
      <c r="B149">
        <f t="shared" ca="1" si="147"/>
        <v>100</v>
      </c>
      <c r="C149">
        <f t="shared" ca="1" si="148"/>
        <v>40</v>
      </c>
      <c r="D149">
        <f t="shared" ca="1" si="149"/>
        <v>2.91714345691595E-2</v>
      </c>
      <c r="F149" s="1">
        <f t="shared" ca="1" si="150"/>
        <v>34</v>
      </c>
      <c r="G149" s="1">
        <f t="shared" ca="1" si="151"/>
        <v>16</v>
      </c>
      <c r="H149" s="1">
        <f t="shared" ca="1" si="152"/>
        <v>2</v>
      </c>
      <c r="I149" s="1"/>
      <c r="J149" s="1">
        <f t="shared" ca="1" si="153"/>
        <v>9</v>
      </c>
      <c r="K149" s="1">
        <f t="shared" ca="1" si="154"/>
        <v>2.7372429747248734</v>
      </c>
      <c r="L149" s="1">
        <f t="shared" ca="1" si="155"/>
        <v>22</v>
      </c>
      <c r="M149" s="1"/>
      <c r="N149" s="1">
        <f t="shared" ca="1" si="156"/>
        <v>490</v>
      </c>
      <c r="O149" s="1">
        <f t="shared" ca="1" si="157"/>
        <v>3</v>
      </c>
      <c r="P149" s="1"/>
      <c r="Q149" s="1">
        <f t="shared" ca="1" si="158"/>
        <v>0.21030478736900568</v>
      </c>
      <c r="R149" s="1">
        <f t="shared" ca="1" si="159"/>
        <v>1169</v>
      </c>
      <c r="S149" s="1"/>
      <c r="T149" s="1">
        <f t="shared" ca="1" si="160"/>
        <v>0.17937142439506151</v>
      </c>
      <c r="U149" s="1">
        <f t="shared" ca="1" si="161"/>
        <v>378</v>
      </c>
      <c r="V149" s="1">
        <f t="shared" ca="1" si="162"/>
        <v>25</v>
      </c>
      <c r="W149" s="1"/>
      <c r="X149" s="1">
        <f t="shared" ca="1" si="163"/>
        <v>2.7123703444367462</v>
      </c>
      <c r="Y149" s="1">
        <f t="shared" ca="1" si="164"/>
        <v>0.19217196351947358</v>
      </c>
      <c r="Z149" s="1">
        <f t="shared" ca="1" si="165"/>
        <v>345</v>
      </c>
      <c r="AB149" s="1">
        <f t="shared" ca="1" si="166"/>
        <v>0.98527773521584716</v>
      </c>
      <c r="AC149" s="1">
        <f t="shared" ca="1" si="167"/>
        <v>646</v>
      </c>
      <c r="AD149" s="1">
        <f t="shared" ca="1" si="168"/>
        <v>7.8029104381276649E-3</v>
      </c>
      <c r="AE149" s="1"/>
      <c r="AF149" s="1">
        <f t="shared" ca="1" si="169"/>
        <v>0.4082145538454125</v>
      </c>
      <c r="AG149" s="1">
        <f t="shared" ca="1" si="170"/>
        <v>598</v>
      </c>
      <c r="AH149" s="1">
        <f t="shared" ca="1" si="171"/>
        <v>5.2547961160495128E-3</v>
      </c>
      <c r="AJ149" s="1">
        <f t="shared" ca="1" si="172"/>
        <v>0.85371369530128849</v>
      </c>
      <c r="AK149" s="1">
        <f t="shared" ca="1" si="173"/>
        <v>4.5109106119963025E-3</v>
      </c>
      <c r="AL149" s="1"/>
      <c r="AM149" s="1">
        <f t="shared" ca="1" si="174"/>
        <v>6.3361963842318056E-2</v>
      </c>
      <c r="AN149" s="1">
        <f t="shared" ca="1" si="175"/>
        <v>22</v>
      </c>
      <c r="AO149" s="1">
        <f t="shared" ca="1" si="176"/>
        <v>2</v>
      </c>
      <c r="AQ149" s="1">
        <f t="shared" ca="1" si="177"/>
        <v>114</v>
      </c>
      <c r="AR149" s="1">
        <f t="shared" ca="1" si="178"/>
        <v>10</v>
      </c>
      <c r="AS149" s="1">
        <f t="shared" ca="1" si="179"/>
        <v>73</v>
      </c>
      <c r="AU149" s="1">
        <f t="shared" ca="1" si="180"/>
        <v>102</v>
      </c>
      <c r="AV149" s="1">
        <f t="shared" ca="1" si="181"/>
        <v>9</v>
      </c>
      <c r="AW149" s="1">
        <f t="shared" ca="1" si="182"/>
        <v>0.16867038457743405</v>
      </c>
      <c r="AY149" s="1">
        <f t="shared" ca="1" si="183"/>
        <v>1.8347879097402267</v>
      </c>
      <c r="AZ149" s="1">
        <f t="shared" ca="1" si="184"/>
        <v>293</v>
      </c>
      <c r="BA149" s="1">
        <f t="shared" ca="1" si="185"/>
        <v>9.9691179084578224E-3</v>
      </c>
      <c r="BG149" s="1">
        <f t="shared" ca="1" si="186"/>
        <v>0.56394540609296195</v>
      </c>
      <c r="BH149" s="1">
        <f t="shared" ca="1" si="187"/>
        <v>0.35191186566606047</v>
      </c>
      <c r="BI149" s="1">
        <f t="shared" ca="1" si="188"/>
        <v>109</v>
      </c>
      <c r="BV149" s="1">
        <f t="shared" ca="1" si="189"/>
        <v>0.23642791933914531</v>
      </c>
      <c r="BW149" s="1">
        <f t="shared" ca="1" si="190"/>
        <v>556</v>
      </c>
      <c r="BX149" s="1">
        <f t="shared" ca="1" si="191"/>
        <v>3.1252152416675061E-3</v>
      </c>
      <c r="BY149" s="1">
        <f t="shared" ca="1" si="192"/>
        <v>1.9618581088926716E-2</v>
      </c>
      <c r="BZ149" s="1">
        <f t="shared" ca="1" si="193"/>
        <v>0.56209922797969669</v>
      </c>
      <c r="CB149" s="1">
        <f t="shared" ca="1" si="194"/>
        <v>301</v>
      </c>
      <c r="CC149" s="1">
        <f t="shared" ca="1" si="195"/>
        <v>5</v>
      </c>
      <c r="CD149" s="1">
        <f t="shared" ca="1" si="196"/>
        <v>8.6457472458763951E-2</v>
      </c>
      <c r="CE149" s="1">
        <f t="shared" ca="1" si="197"/>
        <v>0.55800692576546962</v>
      </c>
      <c r="CF149" s="1">
        <f t="shared" ca="1" si="197"/>
        <v>0.87729449766321488</v>
      </c>
      <c r="CH149" s="3">
        <f t="shared" ca="1" si="198"/>
        <v>0.28115133776554596</v>
      </c>
      <c r="CI149" s="3">
        <f t="shared" ca="1" si="199"/>
        <v>0.72172973664585127</v>
      </c>
      <c r="CJ149" s="3">
        <f t="shared" ca="1" si="200"/>
        <v>507</v>
      </c>
      <c r="CK149" s="3">
        <f t="shared" ca="1" si="201"/>
        <v>6.6920104907515167E-3</v>
      </c>
      <c r="CL149" s="3">
        <f t="shared" ca="1" si="202"/>
        <v>1</v>
      </c>
      <c r="CM149" s="3"/>
      <c r="CN149" s="1">
        <f t="shared" ca="1" si="203"/>
        <v>11.679698382475463</v>
      </c>
      <c r="CO149" s="1">
        <f t="shared" ca="1" si="204"/>
        <v>4.4173744778696795E-2</v>
      </c>
      <c r="CP149" s="1">
        <f t="shared" ca="1" si="205"/>
        <v>1</v>
      </c>
      <c r="CV149" s="1">
        <f t="shared" ca="1" si="206"/>
        <v>9.0322899406454962</v>
      </c>
      <c r="CW149" s="1">
        <f t="shared" ca="1" si="207"/>
        <v>1020</v>
      </c>
      <c r="CX149" s="1">
        <f t="shared" ca="1" si="208"/>
        <v>7.6550902952378774E-3</v>
      </c>
      <c r="DH149" s="1">
        <f t="shared" ca="1" si="209"/>
        <v>213</v>
      </c>
      <c r="DI149" s="1">
        <f t="shared" ca="1" si="210"/>
        <v>8.1643460770429527E-2</v>
      </c>
      <c r="DJ149" s="1">
        <f t="shared" ca="1" si="211"/>
        <v>30</v>
      </c>
      <c r="DL149" s="1">
        <f t="shared" ca="1" si="212"/>
        <v>9.7704614074956037E-2</v>
      </c>
      <c r="DM149" s="1">
        <f t="shared" ca="1" si="213"/>
        <v>263</v>
      </c>
      <c r="DN149" s="1">
        <f t="shared" ca="1" si="214"/>
        <v>3</v>
      </c>
      <c r="DW149" s="1">
        <f t="shared" ca="1" si="215"/>
        <v>231</v>
      </c>
      <c r="DX149" s="1">
        <f t="shared" ca="1" si="216"/>
        <v>17</v>
      </c>
      <c r="DY149" s="1">
        <f t="shared" ca="1" si="217"/>
        <v>15</v>
      </c>
    </row>
    <row r="150" spans="2:129" x14ac:dyDescent="0.25">
      <c r="B150">
        <f t="shared" ca="1" si="147"/>
        <v>572</v>
      </c>
      <c r="C150">
        <f t="shared" ca="1" si="148"/>
        <v>5</v>
      </c>
      <c r="D150">
        <f t="shared" ca="1" si="149"/>
        <v>0.1361415662537773</v>
      </c>
      <c r="F150" s="1">
        <f t="shared" ca="1" si="150"/>
        <v>26</v>
      </c>
      <c r="G150" s="1">
        <f t="shared" ca="1" si="151"/>
        <v>4</v>
      </c>
      <c r="H150" s="1">
        <f t="shared" ca="1" si="152"/>
        <v>4</v>
      </c>
      <c r="I150" s="1"/>
      <c r="J150" s="1">
        <f t="shared" ca="1" si="153"/>
        <v>26</v>
      </c>
      <c r="K150" s="1">
        <f t="shared" ca="1" si="154"/>
        <v>2.9179921428504452</v>
      </c>
      <c r="L150" s="1">
        <f t="shared" ca="1" si="155"/>
        <v>2</v>
      </c>
      <c r="M150" s="1"/>
      <c r="N150" s="1">
        <f t="shared" ca="1" si="156"/>
        <v>406</v>
      </c>
      <c r="O150" s="1">
        <f t="shared" ca="1" si="157"/>
        <v>14</v>
      </c>
      <c r="P150" s="1"/>
      <c r="Q150" s="1">
        <f t="shared" ca="1" si="158"/>
        <v>0.97404517317012573</v>
      </c>
      <c r="R150" s="1">
        <f t="shared" ca="1" si="159"/>
        <v>1003</v>
      </c>
      <c r="S150" s="1"/>
      <c r="T150" s="1">
        <f t="shared" ca="1" si="160"/>
        <v>0.17101240115668578</v>
      </c>
      <c r="U150" s="1">
        <f t="shared" ca="1" si="161"/>
        <v>387</v>
      </c>
      <c r="V150" s="1">
        <f t="shared" ca="1" si="162"/>
        <v>44</v>
      </c>
      <c r="W150" s="1"/>
      <c r="X150" s="1">
        <f t="shared" ca="1" si="163"/>
        <v>5.4105688922766637</v>
      </c>
      <c r="Y150" s="1">
        <f t="shared" ca="1" si="164"/>
        <v>0.608398953219907</v>
      </c>
      <c r="Z150" s="1">
        <f t="shared" ca="1" si="165"/>
        <v>1585</v>
      </c>
      <c r="AB150" s="1">
        <f t="shared" ca="1" si="166"/>
        <v>0.71256205911815851</v>
      </c>
      <c r="AC150" s="1">
        <f t="shared" ca="1" si="167"/>
        <v>673</v>
      </c>
      <c r="AD150" s="1">
        <f t="shared" ca="1" si="168"/>
        <v>2.842839062965763E-3</v>
      </c>
      <c r="AE150" s="1"/>
      <c r="AF150" s="1">
        <f t="shared" ca="1" si="169"/>
        <v>0.24677474499171206</v>
      </c>
      <c r="AG150" s="1">
        <f t="shared" ca="1" si="170"/>
        <v>484</v>
      </c>
      <c r="AH150" s="1">
        <f t="shared" ca="1" si="171"/>
        <v>9.6473851783234182E-3</v>
      </c>
      <c r="AJ150" s="1">
        <f t="shared" ca="1" si="172"/>
        <v>0.77394307476489066</v>
      </c>
      <c r="AK150" s="1">
        <f t="shared" ca="1" si="173"/>
        <v>8.5514928078005027E-3</v>
      </c>
      <c r="AL150" s="1"/>
      <c r="AM150" s="1">
        <f t="shared" ca="1" si="174"/>
        <v>0.11043776774299852</v>
      </c>
      <c r="AN150" s="1">
        <f t="shared" ca="1" si="175"/>
        <v>77</v>
      </c>
      <c r="AO150" s="1">
        <f t="shared" ca="1" si="176"/>
        <v>2</v>
      </c>
      <c r="AQ150" s="1">
        <f t="shared" ca="1" si="177"/>
        <v>65</v>
      </c>
      <c r="AR150" s="1">
        <f t="shared" ca="1" si="178"/>
        <v>5</v>
      </c>
      <c r="AS150" s="1">
        <f t="shared" ca="1" si="179"/>
        <v>28</v>
      </c>
      <c r="AU150" s="1">
        <f t="shared" ca="1" si="180"/>
        <v>112</v>
      </c>
      <c r="AV150" s="1">
        <f t="shared" ca="1" si="181"/>
        <v>9</v>
      </c>
      <c r="AW150" s="1">
        <f t="shared" ca="1" si="182"/>
        <v>4.4753130354437697E-2</v>
      </c>
      <c r="AY150" s="1">
        <f t="shared" ca="1" si="183"/>
        <v>1.7070848717862512</v>
      </c>
      <c r="AZ150" s="1">
        <f t="shared" ca="1" si="184"/>
        <v>460</v>
      </c>
      <c r="BA150" s="1">
        <f t="shared" ca="1" si="185"/>
        <v>6.2665969757814228E-3</v>
      </c>
      <c r="BG150" s="1">
        <f t="shared" ca="1" si="186"/>
        <v>0.87870067819367847</v>
      </c>
      <c r="BH150" s="1">
        <f t="shared" ca="1" si="187"/>
        <v>0.47736058209130605</v>
      </c>
      <c r="BI150" s="1">
        <f t="shared" ca="1" si="188"/>
        <v>561</v>
      </c>
      <c r="BV150" s="1">
        <f t="shared" ca="1" si="189"/>
        <v>0.42118402218306572</v>
      </c>
      <c r="BW150" s="1">
        <f t="shared" ca="1" si="190"/>
        <v>767</v>
      </c>
      <c r="BX150" s="1">
        <f t="shared" ca="1" si="191"/>
        <v>9.7998525455735303E-3</v>
      </c>
      <c r="BY150" s="1">
        <f t="shared" ca="1" si="192"/>
        <v>6.8707829528484171E-2</v>
      </c>
      <c r="BZ150" s="1">
        <f t="shared" ca="1" si="193"/>
        <v>0.25049505436455966</v>
      </c>
      <c r="CB150" s="1">
        <f t="shared" ca="1" si="194"/>
        <v>228</v>
      </c>
      <c r="CC150" s="1">
        <f t="shared" ca="1" si="195"/>
        <v>3</v>
      </c>
      <c r="CD150" s="1">
        <f t="shared" ca="1" si="196"/>
        <v>3.9153341098308571E-2</v>
      </c>
      <c r="CE150" s="1">
        <f t="shared" ca="1" si="197"/>
        <v>0.79815765423551177</v>
      </c>
      <c r="CF150" s="1">
        <f t="shared" ca="1" si="197"/>
        <v>0.68980361353625352</v>
      </c>
      <c r="CH150" s="3">
        <f t="shared" ca="1" si="198"/>
        <v>0.51600306776105587</v>
      </c>
      <c r="CI150" s="3">
        <f t="shared" ca="1" si="199"/>
        <v>0.13309043566515658</v>
      </c>
      <c r="CJ150" s="3">
        <f t="shared" ca="1" si="200"/>
        <v>1168</v>
      </c>
      <c r="CK150" s="3">
        <f t="shared" ca="1" si="201"/>
        <v>4.5870058310313466E-4</v>
      </c>
      <c r="CL150" s="3">
        <f t="shared" ca="1" si="202"/>
        <v>0</v>
      </c>
      <c r="CM150" s="3"/>
      <c r="CN150" s="1">
        <f t="shared" ca="1" si="203"/>
        <v>12.915547724458129</v>
      </c>
      <c r="CO150" s="1">
        <f t="shared" ca="1" si="204"/>
        <v>0.20343491798197397</v>
      </c>
      <c r="CP150" s="1">
        <f t="shared" ca="1" si="205"/>
        <v>2</v>
      </c>
      <c r="CV150" s="1">
        <f t="shared" ca="1" si="206"/>
        <v>9.5302853624304316</v>
      </c>
      <c r="CW150" s="1">
        <f t="shared" ca="1" si="207"/>
        <v>1313</v>
      </c>
      <c r="CX150" s="1">
        <f t="shared" ca="1" si="208"/>
        <v>5.2049904126150667E-3</v>
      </c>
      <c r="DH150" s="1">
        <f t="shared" ca="1" si="209"/>
        <v>814</v>
      </c>
      <c r="DI150" s="1">
        <f t="shared" ca="1" si="210"/>
        <v>3.6588630642978251E-2</v>
      </c>
      <c r="DJ150" s="1">
        <f t="shared" ca="1" si="211"/>
        <v>9</v>
      </c>
      <c r="DL150" s="1">
        <f t="shared" ca="1" si="212"/>
        <v>7.7550044711929667E-2</v>
      </c>
      <c r="DM150" s="1">
        <f t="shared" ca="1" si="213"/>
        <v>246</v>
      </c>
      <c r="DN150" s="1">
        <f t="shared" ca="1" si="214"/>
        <v>7</v>
      </c>
      <c r="DW150" s="1">
        <f t="shared" ca="1" si="215"/>
        <v>489</v>
      </c>
      <c r="DX150" s="1">
        <f t="shared" ca="1" si="216"/>
        <v>3</v>
      </c>
      <c r="DY150" s="1">
        <f t="shared" ca="1" si="217"/>
        <v>14</v>
      </c>
    </row>
    <row r="151" spans="2:129" x14ac:dyDescent="0.25">
      <c r="B151">
        <f t="shared" ca="1" si="147"/>
        <v>199</v>
      </c>
      <c r="C151">
        <f t="shared" ca="1" si="148"/>
        <v>52</v>
      </c>
      <c r="D151">
        <f t="shared" ca="1" si="149"/>
        <v>0.24099746246482642</v>
      </c>
      <c r="F151" s="1">
        <f t="shared" ca="1" si="150"/>
        <v>51</v>
      </c>
      <c r="G151" s="1">
        <f t="shared" ca="1" si="151"/>
        <v>8</v>
      </c>
      <c r="H151" s="1">
        <f t="shared" ca="1" si="152"/>
        <v>11</v>
      </c>
      <c r="I151" s="1"/>
      <c r="J151" s="1">
        <f t="shared" ca="1" si="153"/>
        <v>15</v>
      </c>
      <c r="K151" s="1">
        <f t="shared" ca="1" si="154"/>
        <v>2.5932582056187075</v>
      </c>
      <c r="L151" s="1">
        <f t="shared" ca="1" si="155"/>
        <v>4</v>
      </c>
      <c r="M151" s="1"/>
      <c r="N151" s="1">
        <f t="shared" ca="1" si="156"/>
        <v>728</v>
      </c>
      <c r="O151" s="1">
        <f t="shared" ca="1" si="157"/>
        <v>7</v>
      </c>
      <c r="P151" s="1"/>
      <c r="Q151" s="1">
        <f t="shared" ca="1" si="158"/>
        <v>4.7843956044454856</v>
      </c>
      <c r="R151" s="1">
        <f t="shared" ca="1" si="159"/>
        <v>628</v>
      </c>
      <c r="S151" s="1"/>
      <c r="T151" s="1">
        <f t="shared" ca="1" si="160"/>
        <v>0.13564195525658518</v>
      </c>
      <c r="U151" s="1">
        <f t="shared" ca="1" si="161"/>
        <v>311</v>
      </c>
      <c r="V151" s="1">
        <f t="shared" ca="1" si="162"/>
        <v>51</v>
      </c>
      <c r="W151" s="1"/>
      <c r="X151" s="1">
        <f t="shared" ca="1" si="163"/>
        <v>0.2862844782705008</v>
      </c>
      <c r="Y151" s="1">
        <f t="shared" ca="1" si="164"/>
        <v>0.39743263220890895</v>
      </c>
      <c r="Z151" s="1">
        <f t="shared" ca="1" si="165"/>
        <v>152</v>
      </c>
      <c r="AB151" s="1">
        <f t="shared" ca="1" si="166"/>
        <v>0.39942355301816401</v>
      </c>
      <c r="AC151" s="1">
        <f t="shared" ca="1" si="167"/>
        <v>203</v>
      </c>
      <c r="AD151" s="1">
        <f t="shared" ca="1" si="168"/>
        <v>1.0678640099967517E-3</v>
      </c>
      <c r="AE151" s="1"/>
      <c r="AF151" s="1">
        <f t="shared" ca="1" si="169"/>
        <v>0.16964748370774857</v>
      </c>
      <c r="AG151" s="1">
        <f t="shared" ca="1" si="170"/>
        <v>225</v>
      </c>
      <c r="AH151" s="1">
        <f t="shared" ca="1" si="171"/>
        <v>5.6674543459952099E-4</v>
      </c>
      <c r="AJ151" s="1">
        <f t="shared" ca="1" si="172"/>
        <v>0.93356981604339784</v>
      </c>
      <c r="AK151" s="1">
        <f t="shared" ca="1" si="173"/>
        <v>8.1824040116427951E-3</v>
      </c>
      <c r="AL151" s="1"/>
      <c r="AM151" s="1">
        <f t="shared" ca="1" si="174"/>
        <v>3.950683293125011E-2</v>
      </c>
      <c r="AN151" s="1">
        <f t="shared" ca="1" si="175"/>
        <v>25</v>
      </c>
      <c r="AO151" s="1">
        <f t="shared" ca="1" si="176"/>
        <v>13</v>
      </c>
      <c r="AQ151" s="1">
        <f t="shared" ca="1" si="177"/>
        <v>74</v>
      </c>
      <c r="AR151" s="1">
        <f t="shared" ca="1" si="178"/>
        <v>4</v>
      </c>
      <c r="AS151" s="1">
        <f t="shared" ca="1" si="179"/>
        <v>21</v>
      </c>
      <c r="AU151" s="1">
        <f t="shared" ca="1" si="180"/>
        <v>136</v>
      </c>
      <c r="AV151" s="1">
        <f t="shared" ca="1" si="181"/>
        <v>4</v>
      </c>
      <c r="AW151" s="1">
        <f t="shared" ca="1" si="182"/>
        <v>1.5782764823386582E-2</v>
      </c>
      <c r="AY151" s="1">
        <f t="shared" ca="1" si="183"/>
        <v>1.5585679200289635</v>
      </c>
      <c r="AZ151" s="1">
        <f t="shared" ca="1" si="184"/>
        <v>408</v>
      </c>
      <c r="BA151" s="1">
        <f t="shared" ca="1" si="185"/>
        <v>5.472587897630765E-3</v>
      </c>
      <c r="BG151" s="1">
        <f t="shared" ca="1" si="186"/>
        <v>0.86567603039951224</v>
      </c>
      <c r="BH151" s="1">
        <f t="shared" ca="1" si="187"/>
        <v>0.54264105593326961</v>
      </c>
      <c r="BI151" s="1">
        <f t="shared" ca="1" si="188"/>
        <v>418</v>
      </c>
      <c r="BV151" s="1">
        <f t="shared" ca="1" si="189"/>
        <v>0.28662595599646939</v>
      </c>
      <c r="BW151" s="1">
        <f t="shared" ca="1" si="190"/>
        <v>529</v>
      </c>
      <c r="BX151" s="1">
        <f t="shared" ca="1" si="191"/>
        <v>2.9119986138791101E-3</v>
      </c>
      <c r="BY151" s="1">
        <f t="shared" ca="1" si="192"/>
        <v>4.2525804649464261E-2</v>
      </c>
      <c r="BZ151" s="1">
        <f t="shared" ca="1" si="193"/>
        <v>0.18703800581586572</v>
      </c>
      <c r="CB151" s="1">
        <f t="shared" ca="1" si="194"/>
        <v>336</v>
      </c>
      <c r="CC151" s="1">
        <f t="shared" ca="1" si="195"/>
        <v>9</v>
      </c>
      <c r="CD151" s="1">
        <f t="shared" ca="1" si="196"/>
        <v>0.13479545554314976</v>
      </c>
      <c r="CE151" s="1">
        <f t="shared" ca="1" si="197"/>
        <v>0.91171650066536758</v>
      </c>
      <c r="CF151" s="1">
        <f t="shared" ca="1" si="197"/>
        <v>0.78250720441844623</v>
      </c>
      <c r="CH151" s="3">
        <f t="shared" ca="1" si="198"/>
        <v>2.8844753074433317E-3</v>
      </c>
      <c r="CI151" s="3">
        <f t="shared" ca="1" si="199"/>
        <v>0.43718878567595887</v>
      </c>
      <c r="CJ151" s="3">
        <f t="shared" ca="1" si="200"/>
        <v>779</v>
      </c>
      <c r="CK151" s="3">
        <f t="shared" ca="1" si="201"/>
        <v>8.8451143117321464E-3</v>
      </c>
      <c r="CL151" s="3">
        <f t="shared" ca="1" si="202"/>
        <v>1</v>
      </c>
      <c r="CM151" s="3"/>
      <c r="CN151" s="1">
        <f t="shared" ca="1" si="203"/>
        <v>18.235226641611515</v>
      </c>
      <c r="CO151" s="1">
        <f t="shared" ca="1" si="204"/>
        <v>0.28225416056125857</v>
      </c>
      <c r="CP151" s="1">
        <f t="shared" ca="1" si="205"/>
        <v>5</v>
      </c>
      <c r="CV151" s="1">
        <f t="shared" ca="1" si="206"/>
        <v>1.6658592076628473</v>
      </c>
      <c r="CW151" s="1">
        <f t="shared" ca="1" si="207"/>
        <v>1060</v>
      </c>
      <c r="CX151" s="1">
        <f t="shared" ca="1" si="208"/>
        <v>8.9845093618220965E-3</v>
      </c>
      <c r="DH151" s="1">
        <f t="shared" ca="1" si="209"/>
        <v>553</v>
      </c>
      <c r="DI151" s="1">
        <f t="shared" ca="1" si="210"/>
        <v>0.81052010340183422</v>
      </c>
      <c r="DJ151" s="1">
        <f t="shared" ca="1" si="211"/>
        <v>2</v>
      </c>
      <c r="DL151" s="1">
        <f t="shared" ca="1" si="212"/>
        <v>7.0636486215877786E-2</v>
      </c>
      <c r="DM151" s="1">
        <f t="shared" ca="1" si="213"/>
        <v>259</v>
      </c>
      <c r="DN151" s="1">
        <f t="shared" ca="1" si="214"/>
        <v>4</v>
      </c>
      <c r="DW151" s="1">
        <f t="shared" ca="1" si="215"/>
        <v>108</v>
      </c>
      <c r="DX151" s="1">
        <f t="shared" ca="1" si="216"/>
        <v>15</v>
      </c>
      <c r="DY151" s="1">
        <f t="shared" ca="1" si="217"/>
        <v>18</v>
      </c>
    </row>
    <row r="152" spans="2:129" x14ac:dyDescent="0.25">
      <c r="B152">
        <f t="shared" ca="1" si="147"/>
        <v>313</v>
      </c>
      <c r="C152">
        <f t="shared" ca="1" si="148"/>
        <v>12</v>
      </c>
      <c r="D152">
        <f t="shared" ca="1" si="149"/>
        <v>8.5652561590240511E-2</v>
      </c>
      <c r="F152" s="1">
        <f t="shared" ca="1" si="150"/>
        <v>14</v>
      </c>
      <c r="G152" s="1">
        <f t="shared" ca="1" si="151"/>
        <v>23</v>
      </c>
      <c r="H152" s="1">
        <f t="shared" ca="1" si="152"/>
        <v>10</v>
      </c>
      <c r="I152" s="1"/>
      <c r="J152" s="1">
        <f t="shared" ca="1" si="153"/>
        <v>21</v>
      </c>
      <c r="K152" s="1">
        <f t="shared" ca="1" si="154"/>
        <v>2.1937124656138161</v>
      </c>
      <c r="L152" s="1">
        <f t="shared" ca="1" si="155"/>
        <v>10</v>
      </c>
      <c r="M152" s="1"/>
      <c r="N152" s="1">
        <f t="shared" ca="1" si="156"/>
        <v>344</v>
      </c>
      <c r="O152" s="1">
        <f t="shared" ca="1" si="157"/>
        <v>37</v>
      </c>
      <c r="P152" s="1"/>
      <c r="Q152" s="1">
        <f t="shared" ca="1" si="158"/>
        <v>0.28799222129674301</v>
      </c>
      <c r="R152" s="1">
        <f t="shared" ca="1" si="159"/>
        <v>841</v>
      </c>
      <c r="S152" s="1"/>
      <c r="T152" s="1">
        <f t="shared" ca="1" si="160"/>
        <v>5.3198326143122976E-2</v>
      </c>
      <c r="U152" s="1">
        <f t="shared" ca="1" si="161"/>
        <v>80</v>
      </c>
      <c r="V152" s="1">
        <f t="shared" ca="1" si="162"/>
        <v>48</v>
      </c>
      <c r="W152" s="1"/>
      <c r="X152" s="1">
        <f t="shared" ca="1" si="163"/>
        <v>9.0136243871097594</v>
      </c>
      <c r="Y152" s="1">
        <f t="shared" ca="1" si="164"/>
        <v>0.27111401975397392</v>
      </c>
      <c r="Z152" s="1">
        <f t="shared" ca="1" si="165"/>
        <v>775</v>
      </c>
      <c r="AB152" s="1">
        <f t="shared" ca="1" si="166"/>
        <v>0.72001476357730543</v>
      </c>
      <c r="AC152" s="1">
        <f t="shared" ca="1" si="167"/>
        <v>867</v>
      </c>
      <c r="AD152" s="1">
        <f t="shared" ca="1" si="168"/>
        <v>2.6210433299304072E-3</v>
      </c>
      <c r="AE152" s="1"/>
      <c r="AF152" s="1">
        <f t="shared" ca="1" si="169"/>
        <v>0.61244663057168425</v>
      </c>
      <c r="AG152" s="1">
        <f t="shared" ca="1" si="170"/>
        <v>207</v>
      </c>
      <c r="AH152" s="1">
        <f t="shared" ca="1" si="171"/>
        <v>9.3772620427672922E-3</v>
      </c>
      <c r="AJ152" s="1">
        <f t="shared" ca="1" si="172"/>
        <v>0.86273623671786359</v>
      </c>
      <c r="AK152" s="1">
        <f t="shared" ca="1" si="173"/>
        <v>1.0887229039690963E-3</v>
      </c>
      <c r="AL152" s="1"/>
      <c r="AM152" s="1">
        <f t="shared" ca="1" si="174"/>
        <v>5.6998025060877297E-2</v>
      </c>
      <c r="AN152" s="1">
        <f t="shared" ca="1" si="175"/>
        <v>22</v>
      </c>
      <c r="AO152" s="1">
        <f t="shared" ca="1" si="176"/>
        <v>17</v>
      </c>
      <c r="AQ152" s="1">
        <f t="shared" ca="1" si="177"/>
        <v>81</v>
      </c>
      <c r="AR152" s="1">
        <f t="shared" ca="1" si="178"/>
        <v>9</v>
      </c>
      <c r="AS152" s="1">
        <f t="shared" ca="1" si="179"/>
        <v>1</v>
      </c>
      <c r="AU152" s="1">
        <f t="shared" ca="1" si="180"/>
        <v>145</v>
      </c>
      <c r="AV152" s="1">
        <f t="shared" ca="1" si="181"/>
        <v>10</v>
      </c>
      <c r="AW152" s="1">
        <f t="shared" ca="1" si="182"/>
        <v>8.1102802998511511E-2</v>
      </c>
      <c r="AY152" s="1">
        <f t="shared" ca="1" si="183"/>
        <v>1.363054679351327</v>
      </c>
      <c r="AZ152" s="1">
        <f t="shared" ca="1" si="184"/>
        <v>256</v>
      </c>
      <c r="BA152" s="1">
        <f t="shared" ca="1" si="185"/>
        <v>1.5209714910093468E-3</v>
      </c>
      <c r="BG152" s="1">
        <f t="shared" ca="1" si="186"/>
        <v>0.80262262433285714</v>
      </c>
      <c r="BH152" s="1">
        <f t="shared" ca="1" si="187"/>
        <v>4.0398014872433552E-2</v>
      </c>
      <c r="BI152" s="1">
        <f t="shared" ca="1" si="188"/>
        <v>560</v>
      </c>
      <c r="BV152" s="1">
        <f t="shared" ca="1" si="189"/>
        <v>0.93796655334984047</v>
      </c>
      <c r="BW152" s="1">
        <f t="shared" ca="1" si="190"/>
        <v>592</v>
      </c>
      <c r="BX152" s="1">
        <f t="shared" ca="1" si="191"/>
        <v>1.5345629921485471E-3</v>
      </c>
      <c r="BY152" s="1">
        <f t="shared" ca="1" si="192"/>
        <v>8.6695315583477733E-2</v>
      </c>
      <c r="BZ152" s="1">
        <f t="shared" ca="1" si="193"/>
        <v>6.5202470370995247E-2</v>
      </c>
      <c r="CB152" s="1">
        <f t="shared" ca="1" si="194"/>
        <v>361</v>
      </c>
      <c r="CC152" s="1">
        <f t="shared" ca="1" si="195"/>
        <v>15</v>
      </c>
      <c r="CD152" s="1">
        <f t="shared" ca="1" si="196"/>
        <v>0.16043764076774122</v>
      </c>
      <c r="CE152" s="1">
        <f t="shared" ca="1" si="197"/>
        <v>0.89199311090212219</v>
      </c>
      <c r="CF152" s="1">
        <f t="shared" ca="1" si="197"/>
        <v>0.91955541811047226</v>
      </c>
      <c r="CH152" s="3">
        <f t="shared" ca="1" si="198"/>
        <v>0.47811760842255813</v>
      </c>
      <c r="CI152" s="3">
        <f t="shared" ca="1" si="199"/>
        <v>0.39618685854309565</v>
      </c>
      <c r="CJ152" s="3">
        <f t="shared" ca="1" si="200"/>
        <v>1493</v>
      </c>
      <c r="CK152" s="3">
        <f t="shared" ca="1" si="201"/>
        <v>5.4404858431747792E-3</v>
      </c>
      <c r="CL152" s="3">
        <f t="shared" ca="1" si="202"/>
        <v>1</v>
      </c>
      <c r="CM152" s="3"/>
      <c r="CN152" s="1">
        <f t="shared" ca="1" si="203"/>
        <v>4.3754898204132662</v>
      </c>
      <c r="CO152" s="1">
        <f t="shared" ca="1" si="204"/>
        <v>8.4143889670450819E-2</v>
      </c>
      <c r="CP152" s="1">
        <f t="shared" ca="1" si="205"/>
        <v>2</v>
      </c>
      <c r="CV152" s="1">
        <f t="shared" ca="1" si="206"/>
        <v>9.8795926026473619</v>
      </c>
      <c r="CW152" s="1">
        <f t="shared" ca="1" si="207"/>
        <v>1112</v>
      </c>
      <c r="CX152" s="1">
        <f t="shared" ca="1" si="208"/>
        <v>5.3138382132032974E-3</v>
      </c>
      <c r="DH152" s="1">
        <f t="shared" ca="1" si="209"/>
        <v>10</v>
      </c>
      <c r="DI152" s="1">
        <f t="shared" ca="1" si="210"/>
        <v>2.6403486479485025E-2</v>
      </c>
      <c r="DJ152" s="1">
        <f t="shared" ca="1" si="211"/>
        <v>24</v>
      </c>
      <c r="DL152" s="1">
        <f t="shared" ca="1" si="212"/>
        <v>0.17470063702191171</v>
      </c>
      <c r="DM152" s="1">
        <f t="shared" ca="1" si="213"/>
        <v>115</v>
      </c>
      <c r="DN152" s="1">
        <f t="shared" ca="1" si="214"/>
        <v>8</v>
      </c>
      <c r="DW152" s="1">
        <f t="shared" ca="1" si="215"/>
        <v>84</v>
      </c>
      <c r="DX152" s="1">
        <f t="shared" ca="1" si="216"/>
        <v>19</v>
      </c>
      <c r="DY152" s="1">
        <f t="shared" ca="1" si="217"/>
        <v>19</v>
      </c>
    </row>
    <row r="153" spans="2:129" x14ac:dyDescent="0.25">
      <c r="B153">
        <f t="shared" ca="1" si="147"/>
        <v>475</v>
      </c>
      <c r="C153">
        <f t="shared" ca="1" si="148"/>
        <v>9</v>
      </c>
      <c r="D153">
        <f t="shared" ca="1" si="149"/>
        <v>0.24094152729439</v>
      </c>
      <c r="F153" s="1">
        <f t="shared" ca="1" si="150"/>
        <v>8</v>
      </c>
      <c r="G153" s="1">
        <f t="shared" ca="1" si="151"/>
        <v>6</v>
      </c>
      <c r="H153" s="1">
        <f t="shared" ca="1" si="152"/>
        <v>15</v>
      </c>
      <c r="I153" s="1"/>
      <c r="J153" s="1">
        <f t="shared" ca="1" si="153"/>
        <v>13</v>
      </c>
      <c r="K153" s="1">
        <f t="shared" ca="1" si="154"/>
        <v>1.3837966670981516</v>
      </c>
      <c r="L153" s="1">
        <f t="shared" ca="1" si="155"/>
        <v>4</v>
      </c>
      <c r="M153" s="1"/>
      <c r="N153" s="1">
        <f t="shared" ca="1" si="156"/>
        <v>923</v>
      </c>
      <c r="O153" s="1">
        <f t="shared" ca="1" si="157"/>
        <v>16</v>
      </c>
      <c r="P153" s="1"/>
      <c r="Q153" s="1">
        <f t="shared" ca="1" si="158"/>
        <v>0.89579336045852964</v>
      </c>
      <c r="R153" s="1">
        <f t="shared" ca="1" si="159"/>
        <v>202</v>
      </c>
      <c r="S153" s="1"/>
      <c r="T153" s="1">
        <f t="shared" ca="1" si="160"/>
        <v>7.76730510021615E-2</v>
      </c>
      <c r="U153" s="1">
        <f t="shared" ca="1" si="161"/>
        <v>438</v>
      </c>
      <c r="V153" s="1">
        <f t="shared" ca="1" si="162"/>
        <v>27</v>
      </c>
      <c r="W153" s="1"/>
      <c r="X153" s="1">
        <f t="shared" ca="1" si="163"/>
        <v>7.5950887311209359</v>
      </c>
      <c r="Y153" s="1">
        <f t="shared" ca="1" si="164"/>
        <v>0.26499630505650451</v>
      </c>
      <c r="Z153" s="1">
        <f t="shared" ca="1" si="165"/>
        <v>1342</v>
      </c>
      <c r="AB153" s="1">
        <f t="shared" ca="1" si="166"/>
        <v>0.20626590786218321</v>
      </c>
      <c r="AC153" s="1">
        <f t="shared" ca="1" si="167"/>
        <v>229</v>
      </c>
      <c r="AD153" s="1">
        <f t="shared" ca="1" si="168"/>
        <v>1.2955851001377112E-3</v>
      </c>
      <c r="AE153" s="1"/>
      <c r="AF153" s="1">
        <f t="shared" ca="1" si="169"/>
        <v>0.41053106014028595</v>
      </c>
      <c r="AG153" s="1">
        <f t="shared" ca="1" si="170"/>
        <v>418</v>
      </c>
      <c r="AH153" s="1">
        <f t="shared" ca="1" si="171"/>
        <v>5.296434670126215E-3</v>
      </c>
      <c r="AJ153" s="1">
        <f t="shared" ca="1" si="172"/>
        <v>0.44269816235634429</v>
      </c>
      <c r="AK153" s="1">
        <f t="shared" ca="1" si="173"/>
        <v>9.3512187880837126E-4</v>
      </c>
      <c r="AL153" s="1"/>
      <c r="AM153" s="1">
        <f t="shared" ca="1" si="174"/>
        <v>0.14628965852605796</v>
      </c>
      <c r="AN153" s="1">
        <f t="shared" ca="1" si="175"/>
        <v>19</v>
      </c>
      <c r="AO153" s="1">
        <f t="shared" ca="1" si="176"/>
        <v>11</v>
      </c>
      <c r="AQ153" s="1">
        <f t="shared" ca="1" si="177"/>
        <v>197</v>
      </c>
      <c r="AR153" s="1">
        <f t="shared" ca="1" si="178"/>
        <v>10</v>
      </c>
      <c r="AS153" s="1">
        <f t="shared" ca="1" si="179"/>
        <v>8</v>
      </c>
      <c r="AU153" s="1">
        <f t="shared" ca="1" si="180"/>
        <v>141</v>
      </c>
      <c r="AV153" s="1">
        <f t="shared" ca="1" si="181"/>
        <v>10</v>
      </c>
      <c r="AW153" s="1">
        <f t="shared" ca="1" si="182"/>
        <v>0.16327470986310916</v>
      </c>
      <c r="AY153" s="1">
        <f t="shared" ca="1" si="183"/>
        <v>1.3214861917061431</v>
      </c>
      <c r="AZ153" s="1">
        <f t="shared" ca="1" si="184"/>
        <v>452</v>
      </c>
      <c r="BA153" s="1">
        <f t="shared" ca="1" si="185"/>
        <v>8.9749816081214039E-3</v>
      </c>
      <c r="BG153" s="1">
        <f t="shared" ca="1" si="186"/>
        <v>0.7411952216443517</v>
      </c>
      <c r="BH153" s="1">
        <f t="shared" ca="1" si="187"/>
        <v>0.3079387247527412</v>
      </c>
      <c r="BI153" s="1">
        <f t="shared" ca="1" si="188"/>
        <v>568</v>
      </c>
      <c r="BV153" s="1">
        <f t="shared" ca="1" si="189"/>
        <v>0.56113666685564312</v>
      </c>
      <c r="BW153" s="1">
        <f t="shared" ca="1" si="190"/>
        <v>705</v>
      </c>
      <c r="BX153" s="1">
        <f t="shared" ca="1" si="191"/>
        <v>3.4551039182056367E-3</v>
      </c>
      <c r="BY153" s="1">
        <f t="shared" ca="1" si="192"/>
        <v>9.3117450559529177E-2</v>
      </c>
      <c r="BZ153" s="1">
        <f t="shared" ca="1" si="193"/>
        <v>9.0906130505012395E-2</v>
      </c>
      <c r="CB153" s="1">
        <f t="shared" ca="1" si="194"/>
        <v>178</v>
      </c>
      <c r="CC153" s="1">
        <f t="shared" ca="1" si="195"/>
        <v>14</v>
      </c>
      <c r="CD153" s="1">
        <f t="shared" ca="1" si="196"/>
        <v>0.13238942449135158</v>
      </c>
      <c r="CE153" s="1">
        <f t="shared" ca="1" si="197"/>
        <v>0.86219598988525448</v>
      </c>
      <c r="CF153" s="1">
        <f t="shared" ca="1" si="197"/>
        <v>0.79135691001117214</v>
      </c>
      <c r="CH153" s="3">
        <f t="shared" ca="1" si="198"/>
        <v>0.56483096476212857</v>
      </c>
      <c r="CI153" s="3">
        <f t="shared" ca="1" si="199"/>
        <v>0.97336555146979897</v>
      </c>
      <c r="CJ153" s="3">
        <f t="shared" ca="1" si="200"/>
        <v>1597</v>
      </c>
      <c r="CK153" s="3">
        <f t="shared" ca="1" si="201"/>
        <v>8.3924139109162084E-3</v>
      </c>
      <c r="CL153" s="3">
        <f t="shared" ca="1" si="202"/>
        <v>0</v>
      </c>
      <c r="CM153" s="3"/>
      <c r="CN153" s="1">
        <f t="shared" ca="1" si="203"/>
        <v>2.3259571624314721</v>
      </c>
      <c r="CO153" s="1">
        <f t="shared" ca="1" si="204"/>
        <v>0.30271240135078853</v>
      </c>
      <c r="CP153" s="1">
        <f t="shared" ca="1" si="205"/>
        <v>3</v>
      </c>
      <c r="CV153" s="1">
        <f t="shared" ca="1" si="206"/>
        <v>5.487400725416097</v>
      </c>
      <c r="CW153" s="1">
        <f t="shared" ca="1" si="207"/>
        <v>121</v>
      </c>
      <c r="CX153" s="1">
        <f t="shared" ca="1" si="208"/>
        <v>6.9857491699616458E-3</v>
      </c>
      <c r="DH153" s="1">
        <f t="shared" ca="1" si="209"/>
        <v>331</v>
      </c>
      <c r="DI153" s="1">
        <f t="shared" ca="1" si="210"/>
        <v>0.93602472622290622</v>
      </c>
      <c r="DJ153" s="1">
        <f t="shared" ca="1" si="211"/>
        <v>5</v>
      </c>
      <c r="DL153" s="1">
        <f t="shared" ca="1" si="212"/>
        <v>4.0412434680545672E-2</v>
      </c>
      <c r="DM153" s="1">
        <f t="shared" ca="1" si="213"/>
        <v>297</v>
      </c>
      <c r="DN153" s="1">
        <f t="shared" ca="1" si="214"/>
        <v>9</v>
      </c>
      <c r="DW153" s="1">
        <f t="shared" ca="1" si="215"/>
        <v>127</v>
      </c>
      <c r="DX153" s="1">
        <f t="shared" ca="1" si="216"/>
        <v>16</v>
      </c>
      <c r="DY153" s="1">
        <f t="shared" ca="1" si="217"/>
        <v>9</v>
      </c>
    </row>
    <row r="154" spans="2:129" x14ac:dyDescent="0.25">
      <c r="B154">
        <f t="shared" ca="1" si="147"/>
        <v>969</v>
      </c>
      <c r="C154">
        <f t="shared" ca="1" si="148"/>
        <v>44</v>
      </c>
      <c r="D154">
        <f t="shared" ca="1" si="149"/>
        <v>0.19495822282664352</v>
      </c>
      <c r="F154" s="1">
        <f t="shared" ca="1" si="150"/>
        <v>12</v>
      </c>
      <c r="G154" s="1">
        <f t="shared" ca="1" si="151"/>
        <v>13</v>
      </c>
      <c r="H154" s="1">
        <f t="shared" ca="1" si="152"/>
        <v>9</v>
      </c>
      <c r="I154" s="1"/>
      <c r="J154" s="1">
        <f t="shared" ca="1" si="153"/>
        <v>33</v>
      </c>
      <c r="K154" s="1">
        <f t="shared" ca="1" si="154"/>
        <v>2.4586766818186492</v>
      </c>
      <c r="L154" s="1">
        <f t="shared" ca="1" si="155"/>
        <v>10</v>
      </c>
      <c r="M154" s="1"/>
      <c r="N154" s="1">
        <f t="shared" ca="1" si="156"/>
        <v>286</v>
      </c>
      <c r="O154" s="1">
        <f t="shared" ca="1" si="157"/>
        <v>34</v>
      </c>
      <c r="P154" s="1"/>
      <c r="Q154" s="1">
        <f t="shared" ca="1" si="158"/>
        <v>4.7947576223449966</v>
      </c>
      <c r="R154" s="1">
        <f t="shared" ca="1" si="159"/>
        <v>560</v>
      </c>
      <c r="S154" s="1"/>
      <c r="T154" s="1">
        <f t="shared" ca="1" si="160"/>
        <v>4.1382891064499321E-2</v>
      </c>
      <c r="U154" s="1">
        <f t="shared" ca="1" si="161"/>
        <v>409</v>
      </c>
      <c r="V154" s="1">
        <f t="shared" ca="1" si="162"/>
        <v>44</v>
      </c>
      <c r="W154" s="1"/>
      <c r="X154" s="1">
        <f t="shared" ca="1" si="163"/>
        <v>9.5306671851965721</v>
      </c>
      <c r="Y154" s="1">
        <f t="shared" ca="1" si="164"/>
        <v>0.24697155895781683</v>
      </c>
      <c r="Z154" s="1">
        <f t="shared" ca="1" si="165"/>
        <v>497</v>
      </c>
      <c r="AB154" s="1">
        <f t="shared" ca="1" si="166"/>
        <v>0.14888483107183789</v>
      </c>
      <c r="AC154" s="1">
        <f t="shared" ca="1" si="167"/>
        <v>870</v>
      </c>
      <c r="AD154" s="1">
        <f t="shared" ca="1" si="168"/>
        <v>6.3023527218416338E-4</v>
      </c>
      <c r="AE154" s="1"/>
      <c r="AF154" s="1">
        <f t="shared" ca="1" si="169"/>
        <v>0.8908934650948338</v>
      </c>
      <c r="AG154" s="1">
        <f t="shared" ca="1" si="170"/>
        <v>542</v>
      </c>
      <c r="AH154" s="1">
        <f t="shared" ca="1" si="171"/>
        <v>1.8466935258161623E-3</v>
      </c>
      <c r="AJ154" s="1">
        <f t="shared" ca="1" si="172"/>
        <v>6.9884331833013014E-2</v>
      </c>
      <c r="AK154" s="1">
        <f t="shared" ca="1" si="173"/>
        <v>8.0439987810446048E-4</v>
      </c>
      <c r="AL154" s="1"/>
      <c r="AM154" s="1">
        <f t="shared" ca="1" si="174"/>
        <v>0.11810721717440624</v>
      </c>
      <c r="AN154" s="1">
        <f t="shared" ca="1" si="175"/>
        <v>63</v>
      </c>
      <c r="AO154" s="1">
        <f t="shared" ca="1" si="176"/>
        <v>15</v>
      </c>
      <c r="AQ154" s="1">
        <f t="shared" ca="1" si="177"/>
        <v>34</v>
      </c>
      <c r="AR154" s="1">
        <f t="shared" ca="1" si="178"/>
        <v>0</v>
      </c>
      <c r="AS154" s="1">
        <f t="shared" ca="1" si="179"/>
        <v>42</v>
      </c>
      <c r="AU154" s="1">
        <f t="shared" ca="1" si="180"/>
        <v>92</v>
      </c>
      <c r="AV154" s="1">
        <f t="shared" ca="1" si="181"/>
        <v>3</v>
      </c>
      <c r="AW154" s="1">
        <f t="shared" ca="1" si="182"/>
        <v>6.2406326518224024E-2</v>
      </c>
      <c r="AY154" s="1">
        <f t="shared" ca="1" si="183"/>
        <v>1.828939921781898</v>
      </c>
      <c r="AZ154" s="1">
        <f t="shared" ca="1" si="184"/>
        <v>323</v>
      </c>
      <c r="BA154" s="1">
        <f t="shared" ca="1" si="185"/>
        <v>8.4936904401420703E-3</v>
      </c>
      <c r="BG154" s="1">
        <f t="shared" ca="1" si="186"/>
        <v>0.95552232481111243</v>
      </c>
      <c r="BH154" s="1">
        <f t="shared" ca="1" si="187"/>
        <v>0.33050609032030975</v>
      </c>
      <c r="BI154" s="1">
        <f t="shared" ca="1" si="188"/>
        <v>703</v>
      </c>
      <c r="BV154" s="1">
        <f t="shared" ca="1" si="189"/>
        <v>0.1428889356337805</v>
      </c>
      <c r="BW154" s="1">
        <f t="shared" ca="1" si="190"/>
        <v>910</v>
      </c>
      <c r="BX154" s="1">
        <f t="shared" ca="1" si="191"/>
        <v>1.1659315060977766E-4</v>
      </c>
      <c r="BY154" s="1">
        <f t="shared" ca="1" si="192"/>
        <v>9.2161872915977688E-2</v>
      </c>
      <c r="BZ154" s="1">
        <f t="shared" ca="1" si="193"/>
        <v>0.12781342677604135</v>
      </c>
      <c r="CB154" s="1">
        <f t="shared" ca="1" si="194"/>
        <v>291</v>
      </c>
      <c r="CC154" s="1">
        <f t="shared" ca="1" si="195"/>
        <v>3</v>
      </c>
      <c r="CD154" s="1">
        <f t="shared" ca="1" si="196"/>
        <v>0.20802466992200752</v>
      </c>
      <c r="CE154" s="1">
        <f t="shared" ca="1" si="197"/>
        <v>0.72260082095351219</v>
      </c>
      <c r="CF154" s="1">
        <f t="shared" ca="1" si="197"/>
        <v>0.67094755840274889</v>
      </c>
      <c r="CH154" s="3">
        <f t="shared" ca="1" si="198"/>
        <v>8.8799130436692977E-2</v>
      </c>
      <c r="CI154" s="3">
        <f t="shared" ca="1" si="199"/>
        <v>0.43946943716709552</v>
      </c>
      <c r="CJ154" s="3">
        <f t="shared" ca="1" si="200"/>
        <v>1370</v>
      </c>
      <c r="CK154" s="3">
        <f t="shared" ca="1" si="201"/>
        <v>1.0026309487805043E-4</v>
      </c>
      <c r="CL154" s="3">
        <f t="shared" ca="1" si="202"/>
        <v>1</v>
      </c>
      <c r="CM154" s="3"/>
      <c r="CN154" s="1">
        <f t="shared" ca="1" si="203"/>
        <v>17.05325596876753</v>
      </c>
      <c r="CO154" s="1">
        <f t="shared" ca="1" si="204"/>
        <v>0.40442265028540536</v>
      </c>
      <c r="CP154" s="1">
        <f t="shared" ca="1" si="205"/>
        <v>5</v>
      </c>
      <c r="CV154" s="1">
        <f t="shared" ca="1" si="206"/>
        <v>5.7878937610405448</v>
      </c>
      <c r="CW154" s="1">
        <f t="shared" ca="1" si="207"/>
        <v>568</v>
      </c>
      <c r="CX154" s="1">
        <f t="shared" ca="1" si="208"/>
        <v>3.1195349432460748E-3</v>
      </c>
      <c r="DH154" s="1">
        <f t="shared" ca="1" si="209"/>
        <v>694</v>
      </c>
      <c r="DI154" s="1">
        <f t="shared" ca="1" si="210"/>
        <v>6.5367071799314211E-2</v>
      </c>
      <c r="DJ154" s="1">
        <f t="shared" ca="1" si="211"/>
        <v>27</v>
      </c>
      <c r="DL154" s="1">
        <f t="shared" ca="1" si="212"/>
        <v>2.428019151024554E-2</v>
      </c>
      <c r="DM154" s="1">
        <f t="shared" ca="1" si="213"/>
        <v>134</v>
      </c>
      <c r="DN154" s="1">
        <f t="shared" ca="1" si="214"/>
        <v>4</v>
      </c>
      <c r="DW154" s="1">
        <f t="shared" ca="1" si="215"/>
        <v>487</v>
      </c>
      <c r="DX154" s="1">
        <f t="shared" ca="1" si="216"/>
        <v>11</v>
      </c>
      <c r="DY154" s="1">
        <f t="shared" ca="1" si="217"/>
        <v>17</v>
      </c>
    </row>
    <row r="155" spans="2:129" x14ac:dyDescent="0.25">
      <c r="B155">
        <f t="shared" ca="1" si="147"/>
        <v>727</v>
      </c>
      <c r="C155">
        <f t="shared" ca="1" si="148"/>
        <v>3</v>
      </c>
      <c r="D155">
        <f t="shared" ca="1" si="149"/>
        <v>5.7369788959110324E-2</v>
      </c>
      <c r="F155" s="1">
        <f t="shared" ca="1" si="150"/>
        <v>43</v>
      </c>
      <c r="G155" s="1">
        <f t="shared" ca="1" si="151"/>
        <v>29</v>
      </c>
      <c r="H155" s="1">
        <f t="shared" ca="1" si="152"/>
        <v>6</v>
      </c>
      <c r="I155" s="1"/>
      <c r="J155" s="1">
        <f t="shared" ca="1" si="153"/>
        <v>38</v>
      </c>
      <c r="K155" s="1">
        <f t="shared" ca="1" si="154"/>
        <v>1.6485576147642356</v>
      </c>
      <c r="L155" s="1">
        <f t="shared" ca="1" si="155"/>
        <v>19</v>
      </c>
      <c r="M155" s="1"/>
      <c r="N155" s="1">
        <f t="shared" ca="1" si="156"/>
        <v>822</v>
      </c>
      <c r="O155" s="1">
        <f t="shared" ca="1" si="157"/>
        <v>21</v>
      </c>
      <c r="P155" s="1"/>
      <c r="Q155" s="1">
        <f t="shared" ca="1" si="158"/>
        <v>4.6102191130649617</v>
      </c>
      <c r="R155" s="1">
        <f t="shared" ca="1" si="159"/>
        <v>297</v>
      </c>
      <c r="S155" s="1"/>
      <c r="T155" s="1">
        <f t="shared" ca="1" si="160"/>
        <v>0.11895874813423461</v>
      </c>
      <c r="U155" s="1">
        <f t="shared" ca="1" si="161"/>
        <v>121</v>
      </c>
      <c r="V155" s="1">
        <f t="shared" ca="1" si="162"/>
        <v>47</v>
      </c>
      <c r="W155" s="1"/>
      <c r="X155" s="1">
        <f t="shared" ca="1" si="163"/>
        <v>6.353995633537493</v>
      </c>
      <c r="Y155" s="1">
        <f t="shared" ca="1" si="164"/>
        <v>0.51163839995244653</v>
      </c>
      <c r="Z155" s="1">
        <f t="shared" ca="1" si="165"/>
        <v>1758</v>
      </c>
      <c r="AB155" s="1">
        <f t="shared" ca="1" si="166"/>
        <v>0.73754287881286451</v>
      </c>
      <c r="AC155" s="1">
        <f t="shared" ca="1" si="167"/>
        <v>682</v>
      </c>
      <c r="AD155" s="1">
        <f t="shared" ca="1" si="168"/>
        <v>8.9404793412854837E-3</v>
      </c>
      <c r="AE155" s="1"/>
      <c r="AF155" s="1">
        <f t="shared" ca="1" si="169"/>
        <v>0.25759795245772504</v>
      </c>
      <c r="AG155" s="1">
        <f t="shared" ca="1" si="170"/>
        <v>301</v>
      </c>
      <c r="AH155" s="1">
        <f t="shared" ca="1" si="171"/>
        <v>1.8787115598045455E-3</v>
      </c>
      <c r="AJ155" s="1">
        <f t="shared" ca="1" si="172"/>
        <v>0.44359141629823928</v>
      </c>
      <c r="AK155" s="1">
        <f t="shared" ca="1" si="173"/>
        <v>5.5956015504435522E-3</v>
      </c>
      <c r="AL155" s="1"/>
      <c r="AM155" s="1">
        <f t="shared" ca="1" si="174"/>
        <v>0.10139841066729623</v>
      </c>
      <c r="AN155" s="1">
        <f t="shared" ca="1" si="175"/>
        <v>63</v>
      </c>
      <c r="AO155" s="1">
        <f t="shared" ca="1" si="176"/>
        <v>7</v>
      </c>
      <c r="AQ155" s="1">
        <f t="shared" ca="1" si="177"/>
        <v>148</v>
      </c>
      <c r="AR155" s="1">
        <f t="shared" ca="1" si="178"/>
        <v>3</v>
      </c>
      <c r="AS155" s="1">
        <f t="shared" ca="1" si="179"/>
        <v>63</v>
      </c>
      <c r="AU155" s="1">
        <f t="shared" ca="1" si="180"/>
        <v>180</v>
      </c>
      <c r="AV155" s="1">
        <f t="shared" ca="1" si="181"/>
        <v>6</v>
      </c>
      <c r="AW155" s="1">
        <f t="shared" ca="1" si="182"/>
        <v>0.17772182944593107</v>
      </c>
      <c r="AY155" s="1">
        <f t="shared" ca="1" si="183"/>
        <v>1.8554999729457542</v>
      </c>
      <c r="AZ155" s="1">
        <f t="shared" ca="1" si="184"/>
        <v>272</v>
      </c>
      <c r="BA155" s="1">
        <f t="shared" ca="1" si="185"/>
        <v>3.1152069166436071E-3</v>
      </c>
      <c r="BG155" s="1">
        <f t="shared" ca="1" si="186"/>
        <v>0.12161340098259657</v>
      </c>
      <c r="BH155" s="1">
        <f t="shared" ca="1" si="187"/>
        <v>0.81795182388234633</v>
      </c>
      <c r="BI155" s="1">
        <f t="shared" ca="1" si="188"/>
        <v>364</v>
      </c>
      <c r="BV155" s="1">
        <f t="shared" ca="1" si="189"/>
        <v>0.35121521618242552</v>
      </c>
      <c r="BW155" s="1">
        <f t="shared" ca="1" si="190"/>
        <v>526</v>
      </c>
      <c r="BX155" s="1">
        <f t="shared" ca="1" si="191"/>
        <v>2.4636491938442285E-3</v>
      </c>
      <c r="BY155" s="1">
        <f t="shared" ca="1" si="192"/>
        <v>2.4237678823013871E-2</v>
      </c>
      <c r="BZ155" s="1">
        <f t="shared" ca="1" si="193"/>
        <v>0.2122883600433948</v>
      </c>
      <c r="CB155" s="1">
        <f t="shared" ca="1" si="194"/>
        <v>294</v>
      </c>
      <c r="CC155" s="1">
        <f t="shared" ca="1" si="195"/>
        <v>6</v>
      </c>
      <c r="CD155" s="1">
        <f t="shared" ca="1" si="196"/>
        <v>5.7668492754254168E-2</v>
      </c>
      <c r="CE155" s="1">
        <f t="shared" ca="1" si="197"/>
        <v>0.73439845289192718</v>
      </c>
      <c r="CF155" s="1">
        <f t="shared" ca="1" si="197"/>
        <v>0.6627612836898169</v>
      </c>
      <c r="CH155" s="3">
        <f t="shared" ca="1" si="198"/>
        <v>0.50679583749613888</v>
      </c>
      <c r="CI155" s="3">
        <f t="shared" ca="1" si="199"/>
        <v>0.80700492511605004</v>
      </c>
      <c r="CJ155" s="3">
        <f t="shared" ca="1" si="200"/>
        <v>162</v>
      </c>
      <c r="CK155" s="3">
        <f t="shared" ca="1" si="201"/>
        <v>6.0133502712753399E-4</v>
      </c>
      <c r="CL155" s="3">
        <f t="shared" ca="1" si="202"/>
        <v>0</v>
      </c>
      <c r="CM155" s="3"/>
      <c r="CN155" s="1">
        <f t="shared" ca="1" si="203"/>
        <v>12.152103522833325</v>
      </c>
      <c r="CO155" s="1">
        <f t="shared" ca="1" si="204"/>
        <v>0.49934294716727023</v>
      </c>
      <c r="CP155" s="1">
        <f t="shared" ca="1" si="205"/>
        <v>4</v>
      </c>
      <c r="CV155" s="1">
        <f t="shared" ca="1" si="206"/>
        <v>9.59257908992282</v>
      </c>
      <c r="CW155" s="1">
        <f t="shared" ca="1" si="207"/>
        <v>790</v>
      </c>
      <c r="CX155" s="1">
        <f t="shared" ca="1" si="208"/>
        <v>1.5851024143333325E-3</v>
      </c>
      <c r="DH155" s="1">
        <f t="shared" ca="1" si="209"/>
        <v>882</v>
      </c>
      <c r="DI155" s="1">
        <f t="shared" ca="1" si="210"/>
        <v>0.98426583376519861</v>
      </c>
      <c r="DJ155" s="1">
        <f t="shared" ca="1" si="211"/>
        <v>22</v>
      </c>
      <c r="DL155" s="1">
        <f t="shared" ca="1" si="212"/>
        <v>0.11804170709652996</v>
      </c>
      <c r="DM155" s="1">
        <f t="shared" ca="1" si="213"/>
        <v>102</v>
      </c>
      <c r="DN155" s="1">
        <f t="shared" ca="1" si="214"/>
        <v>4</v>
      </c>
      <c r="DW155" s="1">
        <f t="shared" ca="1" si="215"/>
        <v>218</v>
      </c>
      <c r="DX155" s="1">
        <f t="shared" ca="1" si="216"/>
        <v>18</v>
      </c>
      <c r="DY155" s="1">
        <f t="shared" ca="1" si="217"/>
        <v>10</v>
      </c>
    </row>
    <row r="156" spans="2:129" x14ac:dyDescent="0.25">
      <c r="B156">
        <f t="shared" ca="1" si="147"/>
        <v>629</v>
      </c>
      <c r="C156">
        <f t="shared" ca="1" si="148"/>
        <v>34</v>
      </c>
      <c r="D156">
        <f t="shared" ca="1" si="149"/>
        <v>0.13479616477601267</v>
      </c>
      <c r="F156" s="1">
        <f t="shared" ca="1" si="150"/>
        <v>29</v>
      </c>
      <c r="G156" s="1">
        <f t="shared" ca="1" si="151"/>
        <v>18</v>
      </c>
      <c r="H156" s="1">
        <f t="shared" ca="1" si="152"/>
        <v>9</v>
      </c>
      <c r="I156" s="1"/>
      <c r="J156" s="1">
        <f t="shared" ca="1" si="153"/>
        <v>2</v>
      </c>
      <c r="K156" s="1">
        <f t="shared" ca="1" si="154"/>
        <v>2.4896754006081281</v>
      </c>
      <c r="L156" s="1">
        <f t="shared" ca="1" si="155"/>
        <v>34</v>
      </c>
      <c r="M156" s="1"/>
      <c r="N156" s="1">
        <f t="shared" ca="1" si="156"/>
        <v>987</v>
      </c>
      <c r="O156" s="1">
        <f t="shared" ca="1" si="157"/>
        <v>18</v>
      </c>
      <c r="P156" s="1"/>
      <c r="Q156" s="1">
        <f t="shared" ca="1" si="158"/>
        <v>0.32504127283264878</v>
      </c>
      <c r="R156" s="1">
        <f t="shared" ca="1" si="159"/>
        <v>602</v>
      </c>
      <c r="S156" s="1"/>
      <c r="T156" s="1">
        <f t="shared" ca="1" si="160"/>
        <v>0.11044128107514865</v>
      </c>
      <c r="U156" s="1">
        <f t="shared" ca="1" si="161"/>
        <v>367</v>
      </c>
      <c r="V156" s="1">
        <f t="shared" ca="1" si="162"/>
        <v>46</v>
      </c>
      <c r="W156" s="1"/>
      <c r="X156" s="1">
        <f t="shared" ca="1" si="163"/>
        <v>2.2534807198433469</v>
      </c>
      <c r="Y156" s="1">
        <f t="shared" ca="1" si="164"/>
        <v>0.49606792050050424</v>
      </c>
      <c r="Z156" s="1">
        <f t="shared" ca="1" si="165"/>
        <v>1429</v>
      </c>
      <c r="AB156" s="1">
        <f t="shared" ca="1" si="166"/>
        <v>0.3719010478972396</v>
      </c>
      <c r="AC156" s="1">
        <f t="shared" ca="1" si="167"/>
        <v>614</v>
      </c>
      <c r="AD156" s="1">
        <f t="shared" ca="1" si="168"/>
        <v>5.0155796780351307E-3</v>
      </c>
      <c r="AE156" s="1"/>
      <c r="AF156" s="1">
        <f t="shared" ca="1" si="169"/>
        <v>0.38079059832511286</v>
      </c>
      <c r="AG156" s="1">
        <f t="shared" ca="1" si="170"/>
        <v>139</v>
      </c>
      <c r="AH156" s="1">
        <f t="shared" ca="1" si="171"/>
        <v>7.6467926995629426E-3</v>
      </c>
      <c r="AJ156" s="1">
        <f t="shared" ca="1" si="172"/>
        <v>0.24055497774057222</v>
      </c>
      <c r="AK156" s="1">
        <f t="shared" ca="1" si="173"/>
        <v>6.1094837794301226E-3</v>
      </c>
      <c r="AL156" s="1"/>
      <c r="AM156" s="1">
        <f t="shared" ca="1" si="174"/>
        <v>0.17370819442866356</v>
      </c>
      <c r="AN156" s="1">
        <f t="shared" ca="1" si="175"/>
        <v>19</v>
      </c>
      <c r="AO156" s="1">
        <f t="shared" ca="1" si="176"/>
        <v>2</v>
      </c>
      <c r="AQ156" s="1">
        <f t="shared" ca="1" si="177"/>
        <v>18</v>
      </c>
      <c r="AR156" s="1">
        <f t="shared" ca="1" si="178"/>
        <v>0</v>
      </c>
      <c r="AS156" s="1">
        <f t="shared" ca="1" si="179"/>
        <v>27</v>
      </c>
      <c r="AU156" s="1">
        <f t="shared" ca="1" si="180"/>
        <v>269</v>
      </c>
      <c r="AV156" s="1">
        <f t="shared" ca="1" si="181"/>
        <v>10</v>
      </c>
      <c r="AW156" s="1">
        <f t="shared" ca="1" si="182"/>
        <v>0.19108836555447858</v>
      </c>
      <c r="AY156" s="1">
        <f t="shared" ca="1" si="183"/>
        <v>1.6881682400032498</v>
      </c>
      <c r="AZ156" s="1">
        <f t="shared" ca="1" si="184"/>
        <v>436</v>
      </c>
      <c r="BA156" s="1">
        <f t="shared" ca="1" si="185"/>
        <v>4.6230197301568221E-3</v>
      </c>
      <c r="BG156" s="1">
        <f t="shared" ca="1" si="186"/>
        <v>0.28114526300981285</v>
      </c>
      <c r="BH156" s="1">
        <f t="shared" ca="1" si="187"/>
        <v>3.6593153451860316E-2</v>
      </c>
      <c r="BI156" s="1">
        <f t="shared" ca="1" si="188"/>
        <v>639</v>
      </c>
      <c r="BV156" s="1">
        <f t="shared" ca="1" si="189"/>
        <v>0.79463424778715275</v>
      </c>
      <c r="BW156" s="1">
        <f t="shared" ca="1" si="190"/>
        <v>682</v>
      </c>
      <c r="BX156" s="1">
        <f t="shared" ca="1" si="191"/>
        <v>5.2802628049226693E-3</v>
      </c>
      <c r="BY156" s="1">
        <f t="shared" ca="1" si="192"/>
        <v>4.8416549204099872E-2</v>
      </c>
      <c r="BZ156" s="1">
        <f t="shared" ca="1" si="193"/>
        <v>1.2696394612780715E-2</v>
      </c>
      <c r="CB156" s="1">
        <f t="shared" ca="1" si="194"/>
        <v>170</v>
      </c>
      <c r="CC156" s="1">
        <f t="shared" ca="1" si="195"/>
        <v>6</v>
      </c>
      <c r="CD156" s="1">
        <f t="shared" ca="1" si="196"/>
        <v>5.7729815515550252E-2</v>
      </c>
      <c r="CE156" s="1">
        <f t="shared" ca="1" si="197"/>
        <v>0.89521045208521777</v>
      </c>
      <c r="CF156" s="1">
        <f t="shared" ca="1" si="197"/>
        <v>0.66500521548239</v>
      </c>
      <c r="CH156" s="3">
        <f t="shared" ca="1" si="198"/>
        <v>0.15260619723300828</v>
      </c>
      <c r="CI156" s="3">
        <f t="shared" ca="1" si="199"/>
        <v>0.41621701066289385</v>
      </c>
      <c r="CJ156" s="3">
        <f t="shared" ca="1" si="200"/>
        <v>419</v>
      </c>
      <c r="CK156" s="3">
        <f t="shared" ca="1" si="201"/>
        <v>4.2189388909153617E-3</v>
      </c>
      <c r="CL156" s="3">
        <f t="shared" ca="1" si="202"/>
        <v>1</v>
      </c>
      <c r="CM156" s="3"/>
      <c r="CN156" s="1">
        <f t="shared" ca="1" si="203"/>
        <v>12.662092458493117</v>
      </c>
      <c r="CO156" s="1">
        <f t="shared" ca="1" si="204"/>
        <v>0.28172328867334845</v>
      </c>
      <c r="CP156" s="1">
        <f t="shared" ca="1" si="205"/>
        <v>2</v>
      </c>
      <c r="CV156" s="1">
        <f t="shared" ca="1" si="206"/>
        <v>2.0867052660100049</v>
      </c>
      <c r="CW156" s="1">
        <f t="shared" ca="1" si="207"/>
        <v>1086</v>
      </c>
      <c r="CX156" s="1">
        <f t="shared" ca="1" si="208"/>
        <v>1.3163838636704851E-3</v>
      </c>
      <c r="DH156" s="1">
        <f t="shared" ca="1" si="209"/>
        <v>44</v>
      </c>
      <c r="DI156" s="1">
        <f t="shared" ca="1" si="210"/>
        <v>0.39594480784328645</v>
      </c>
      <c r="DJ156" s="1">
        <f t="shared" ca="1" si="211"/>
        <v>17</v>
      </c>
      <c r="DL156" s="1">
        <f t="shared" ca="1" si="212"/>
        <v>0.1356364772491464</v>
      </c>
      <c r="DM156" s="1">
        <f t="shared" ca="1" si="213"/>
        <v>111</v>
      </c>
      <c r="DN156" s="1">
        <f t="shared" ca="1" si="214"/>
        <v>1</v>
      </c>
      <c r="DW156" s="1">
        <f t="shared" ca="1" si="215"/>
        <v>369</v>
      </c>
      <c r="DX156" s="1">
        <f t="shared" ca="1" si="216"/>
        <v>7</v>
      </c>
      <c r="DY156" s="1">
        <f t="shared" ca="1" si="217"/>
        <v>17</v>
      </c>
    </row>
    <row r="157" spans="2:129" x14ac:dyDescent="0.25">
      <c r="B157">
        <f t="shared" ca="1" si="147"/>
        <v>18</v>
      </c>
      <c r="C157">
        <f t="shared" ca="1" si="148"/>
        <v>12</v>
      </c>
      <c r="D157">
        <f t="shared" ca="1" si="149"/>
        <v>2.9627889455590792E-2</v>
      </c>
      <c r="F157" s="1">
        <f t="shared" ca="1" si="150"/>
        <v>29</v>
      </c>
      <c r="G157" s="1">
        <f t="shared" ca="1" si="151"/>
        <v>8</v>
      </c>
      <c r="H157" s="1">
        <f t="shared" ca="1" si="152"/>
        <v>8</v>
      </c>
      <c r="I157" s="1"/>
      <c r="J157" s="1">
        <f t="shared" ca="1" si="153"/>
        <v>36</v>
      </c>
      <c r="K157" s="1">
        <f t="shared" ca="1" si="154"/>
        <v>1.6131187727126828</v>
      </c>
      <c r="L157" s="1">
        <f t="shared" ca="1" si="155"/>
        <v>4</v>
      </c>
      <c r="M157" s="1"/>
      <c r="N157" s="1">
        <f t="shared" ca="1" si="156"/>
        <v>95</v>
      </c>
      <c r="O157" s="1">
        <f t="shared" ca="1" si="157"/>
        <v>11</v>
      </c>
      <c r="P157" s="1"/>
      <c r="Q157" s="1">
        <f t="shared" ca="1" si="158"/>
        <v>3.1304077373324439</v>
      </c>
      <c r="R157" s="1">
        <f t="shared" ca="1" si="159"/>
        <v>948</v>
      </c>
      <c r="S157" s="1"/>
      <c r="T157" s="1">
        <f t="shared" ca="1" si="160"/>
        <v>1.7657494088403392E-2</v>
      </c>
      <c r="U157" s="1">
        <f t="shared" ca="1" si="161"/>
        <v>52</v>
      </c>
      <c r="V157" s="1">
        <f t="shared" ca="1" si="162"/>
        <v>10</v>
      </c>
      <c r="W157" s="1"/>
      <c r="X157" s="1">
        <f t="shared" ca="1" si="163"/>
        <v>4.7598670869135322</v>
      </c>
      <c r="Y157" s="1">
        <f t="shared" ca="1" si="164"/>
        <v>0.25482049082142944</v>
      </c>
      <c r="Z157" s="1">
        <f t="shared" ca="1" si="165"/>
        <v>1761</v>
      </c>
      <c r="AB157" s="1">
        <f t="shared" ca="1" si="166"/>
        <v>0.61463277797606464</v>
      </c>
      <c r="AC157" s="1">
        <f t="shared" ca="1" si="167"/>
        <v>795</v>
      </c>
      <c r="AD157" s="1">
        <f t="shared" ca="1" si="168"/>
        <v>2.8002198997360427E-3</v>
      </c>
      <c r="AE157" s="1"/>
      <c r="AF157" s="1">
        <f t="shared" ca="1" si="169"/>
        <v>0.23731742875920681</v>
      </c>
      <c r="AG157" s="1">
        <f t="shared" ca="1" si="170"/>
        <v>173</v>
      </c>
      <c r="AH157" s="1">
        <f t="shared" ca="1" si="171"/>
        <v>4.1348064419558083E-3</v>
      </c>
      <c r="AJ157" s="1">
        <f t="shared" ca="1" si="172"/>
        <v>0.44556167502132615</v>
      </c>
      <c r="AK157" s="1">
        <f t="shared" ca="1" si="173"/>
        <v>3.6990373612796729E-3</v>
      </c>
      <c r="AL157" s="1"/>
      <c r="AM157" s="1">
        <f t="shared" ca="1" si="174"/>
        <v>0.18740698784828008</v>
      </c>
      <c r="AN157" s="1">
        <f t="shared" ca="1" si="175"/>
        <v>51</v>
      </c>
      <c r="AO157" s="1">
        <f t="shared" ca="1" si="176"/>
        <v>7</v>
      </c>
      <c r="AQ157" s="1">
        <f t="shared" ca="1" si="177"/>
        <v>50</v>
      </c>
      <c r="AR157" s="1">
        <f t="shared" ca="1" si="178"/>
        <v>1</v>
      </c>
      <c r="AS157" s="1">
        <f t="shared" ca="1" si="179"/>
        <v>94</v>
      </c>
      <c r="AU157" s="1">
        <f t="shared" ca="1" si="180"/>
        <v>377</v>
      </c>
      <c r="AV157" s="1">
        <f t="shared" ca="1" si="181"/>
        <v>9</v>
      </c>
      <c r="AW157" s="1">
        <f t="shared" ca="1" si="182"/>
        <v>0.15536861832771268</v>
      </c>
      <c r="AY157" s="1">
        <f t="shared" ca="1" si="183"/>
        <v>1.2902445653429719</v>
      </c>
      <c r="AZ157" s="1">
        <f t="shared" ca="1" si="184"/>
        <v>79</v>
      </c>
      <c r="BA157" s="1">
        <f t="shared" ca="1" si="185"/>
        <v>2.3374307818018851E-3</v>
      </c>
      <c r="BG157" s="1">
        <f t="shared" ca="1" si="186"/>
        <v>0.29375733452501285</v>
      </c>
      <c r="BH157" s="1">
        <f t="shared" ca="1" si="187"/>
        <v>0.11823880675148835</v>
      </c>
      <c r="BI157" s="1">
        <f t="shared" ca="1" si="188"/>
        <v>576</v>
      </c>
      <c r="BV157" s="1">
        <f t="shared" ca="1" si="189"/>
        <v>0.29509942386589155</v>
      </c>
      <c r="BW157" s="1">
        <f t="shared" ca="1" si="190"/>
        <v>259</v>
      </c>
      <c r="BX157" s="1">
        <f t="shared" ca="1" si="191"/>
        <v>7.7977980037050414E-3</v>
      </c>
      <c r="BY157" s="1">
        <f t="shared" ca="1" si="192"/>
        <v>6.2088400624790936E-2</v>
      </c>
      <c r="BZ157" s="1">
        <f t="shared" ca="1" si="193"/>
        <v>0.26175339636690387</v>
      </c>
      <c r="CB157" s="1">
        <f t="shared" ca="1" si="194"/>
        <v>427</v>
      </c>
      <c r="CC157" s="1">
        <f t="shared" ca="1" si="195"/>
        <v>9</v>
      </c>
      <c r="CD157" s="1">
        <f t="shared" ca="1" si="196"/>
        <v>6.1765691281257022E-2</v>
      </c>
      <c r="CE157" s="1">
        <f t="shared" ca="1" si="197"/>
        <v>0.82670022024827983</v>
      </c>
      <c r="CF157" s="1">
        <f t="shared" ca="1" si="197"/>
        <v>0.79665997163088531</v>
      </c>
      <c r="CH157" s="3">
        <f t="shared" ca="1" si="198"/>
        <v>0.79939964807147246</v>
      </c>
      <c r="CI157" s="3">
        <f t="shared" ca="1" si="199"/>
        <v>0.58841525832471375</v>
      </c>
      <c r="CJ157" s="3">
        <f t="shared" ca="1" si="200"/>
        <v>1872</v>
      </c>
      <c r="CK157" s="3">
        <f t="shared" ca="1" si="201"/>
        <v>9.9879852245042741E-3</v>
      </c>
      <c r="CL157" s="3">
        <f t="shared" ca="1" si="202"/>
        <v>0</v>
      </c>
      <c r="CM157" s="3"/>
      <c r="CN157" s="1">
        <f t="shared" ca="1" si="203"/>
        <v>4.7283097863182615</v>
      </c>
      <c r="CO157" s="1">
        <f t="shared" ca="1" si="204"/>
        <v>0.3400589345862593</v>
      </c>
      <c r="CP157" s="1">
        <f t="shared" ca="1" si="205"/>
        <v>4</v>
      </c>
      <c r="CV157" s="1">
        <f t="shared" ca="1" si="206"/>
        <v>8.888335778311653</v>
      </c>
      <c r="CW157" s="1">
        <f t="shared" ca="1" si="207"/>
        <v>1257</v>
      </c>
      <c r="CX157" s="1">
        <f t="shared" ca="1" si="208"/>
        <v>5.2822239547633664E-3</v>
      </c>
      <c r="DH157" s="1">
        <f t="shared" ca="1" si="209"/>
        <v>745</v>
      </c>
      <c r="DI157" s="1">
        <f t="shared" ca="1" si="210"/>
        <v>0.41741663400004053</v>
      </c>
      <c r="DJ157" s="1">
        <f t="shared" ca="1" si="211"/>
        <v>9</v>
      </c>
      <c r="DL157" s="1">
        <f t="shared" ca="1" si="212"/>
        <v>9.2127459400979883E-2</v>
      </c>
      <c r="DM157" s="1">
        <f t="shared" ca="1" si="213"/>
        <v>265</v>
      </c>
      <c r="DN157" s="1">
        <f t="shared" ca="1" si="214"/>
        <v>10</v>
      </c>
      <c r="DW157" s="1">
        <f t="shared" ca="1" si="215"/>
        <v>199</v>
      </c>
      <c r="DX157" s="1">
        <f t="shared" ca="1" si="216"/>
        <v>14</v>
      </c>
      <c r="DY157" s="1">
        <f t="shared" ca="1" si="217"/>
        <v>13</v>
      </c>
    </row>
    <row r="158" spans="2:129" x14ac:dyDescent="0.25">
      <c r="B158">
        <f t="shared" ca="1" si="147"/>
        <v>431</v>
      </c>
      <c r="C158">
        <f t="shared" ca="1" si="148"/>
        <v>11</v>
      </c>
      <c r="D158">
        <f t="shared" ca="1" si="149"/>
        <v>0.12443182430713655</v>
      </c>
      <c r="F158" s="1">
        <f t="shared" ca="1" si="150"/>
        <v>24</v>
      </c>
      <c r="G158" s="1">
        <f t="shared" ca="1" si="151"/>
        <v>14</v>
      </c>
      <c r="H158" s="1">
        <f t="shared" ca="1" si="152"/>
        <v>2</v>
      </c>
      <c r="I158" s="1"/>
      <c r="J158" s="1">
        <f t="shared" ca="1" si="153"/>
        <v>28</v>
      </c>
      <c r="K158" s="1">
        <f t="shared" ca="1" si="154"/>
        <v>1.7555967354203863</v>
      </c>
      <c r="L158" s="1">
        <f t="shared" ca="1" si="155"/>
        <v>31</v>
      </c>
      <c r="M158" s="1"/>
      <c r="N158" s="1">
        <f t="shared" ca="1" si="156"/>
        <v>488</v>
      </c>
      <c r="O158" s="1">
        <f t="shared" ca="1" si="157"/>
        <v>23</v>
      </c>
      <c r="P158" s="1"/>
      <c r="Q158" s="1">
        <f t="shared" ca="1" si="158"/>
        <v>0.14460932567988038</v>
      </c>
      <c r="R158" s="1">
        <f t="shared" ca="1" si="159"/>
        <v>391</v>
      </c>
      <c r="S158" s="1"/>
      <c r="T158" s="1">
        <f t="shared" ca="1" si="160"/>
        <v>0.18774687347502225</v>
      </c>
      <c r="U158" s="1">
        <f t="shared" ca="1" si="161"/>
        <v>353</v>
      </c>
      <c r="V158" s="1">
        <f t="shared" ca="1" si="162"/>
        <v>29</v>
      </c>
      <c r="W158" s="1"/>
      <c r="X158" s="1">
        <f t="shared" ca="1" si="163"/>
        <v>7.7542298198358104</v>
      </c>
      <c r="Y158" s="1">
        <f t="shared" ca="1" si="164"/>
        <v>0.96744970408248077</v>
      </c>
      <c r="Z158" s="1">
        <f t="shared" ca="1" si="165"/>
        <v>877</v>
      </c>
      <c r="AB158" s="1">
        <f t="shared" ca="1" si="166"/>
        <v>0.33622511520567505</v>
      </c>
      <c r="AC158" s="1">
        <f t="shared" ca="1" si="167"/>
        <v>889</v>
      </c>
      <c r="AD158" s="1">
        <f t="shared" ca="1" si="168"/>
        <v>2.8088179865567078E-3</v>
      </c>
      <c r="AE158" s="1"/>
      <c r="AF158" s="1">
        <f t="shared" ca="1" si="169"/>
        <v>0.18869219420813171</v>
      </c>
      <c r="AG158" s="1">
        <f t="shared" ca="1" si="170"/>
        <v>799</v>
      </c>
      <c r="AH158" s="1">
        <f t="shared" ca="1" si="171"/>
        <v>5.8982771303085473E-3</v>
      </c>
      <c r="AJ158" s="1">
        <f t="shared" ca="1" si="172"/>
        <v>0.2627868793914705</v>
      </c>
      <c r="AK158" s="1">
        <f t="shared" ca="1" si="173"/>
        <v>9.4348927123812982E-5</v>
      </c>
      <c r="AL158" s="1"/>
      <c r="AM158" s="1">
        <f t="shared" ca="1" si="174"/>
        <v>0.12280590231350029</v>
      </c>
      <c r="AN158" s="1">
        <f t="shared" ca="1" si="175"/>
        <v>78</v>
      </c>
      <c r="AO158" s="1">
        <f t="shared" ca="1" si="176"/>
        <v>7</v>
      </c>
      <c r="AQ158" s="1">
        <f t="shared" ca="1" si="177"/>
        <v>167</v>
      </c>
      <c r="AR158" s="1">
        <f t="shared" ca="1" si="178"/>
        <v>10</v>
      </c>
      <c r="AS158" s="1">
        <f t="shared" ca="1" si="179"/>
        <v>21</v>
      </c>
      <c r="AU158" s="1">
        <f t="shared" ca="1" si="180"/>
        <v>233</v>
      </c>
      <c r="AV158" s="1">
        <f t="shared" ca="1" si="181"/>
        <v>4</v>
      </c>
      <c r="AW158" s="1">
        <f t="shared" ca="1" si="182"/>
        <v>0.19789432336072915</v>
      </c>
      <c r="AY158" s="1">
        <f t="shared" ca="1" si="183"/>
        <v>1.7700645533015655</v>
      </c>
      <c r="AZ158" s="1">
        <f t="shared" ca="1" si="184"/>
        <v>156</v>
      </c>
      <c r="BA158" s="1">
        <f t="shared" ca="1" si="185"/>
        <v>2.5977312698786895E-3</v>
      </c>
      <c r="BG158" s="1">
        <f t="shared" ca="1" si="186"/>
        <v>0.50891981496858174</v>
      </c>
      <c r="BH158" s="1">
        <f t="shared" ca="1" si="187"/>
        <v>0.23422564239772936</v>
      </c>
      <c r="BI158" s="1">
        <f t="shared" ca="1" si="188"/>
        <v>348</v>
      </c>
      <c r="BV158" s="1">
        <f t="shared" ca="1" si="189"/>
        <v>0.30084403202801896</v>
      </c>
      <c r="BW158" s="1">
        <f t="shared" ca="1" si="190"/>
        <v>918</v>
      </c>
      <c r="BX158" s="1">
        <f t="shared" ca="1" si="191"/>
        <v>4.4615596267670518E-3</v>
      </c>
      <c r="BY158" s="1">
        <f t="shared" ca="1" si="192"/>
        <v>3.9687123552912165E-2</v>
      </c>
      <c r="BZ158" s="1">
        <f t="shared" ca="1" si="193"/>
        <v>0.23518591998639737</v>
      </c>
      <c r="CB158" s="1">
        <f t="shared" ca="1" si="194"/>
        <v>356</v>
      </c>
      <c r="CC158" s="1">
        <f t="shared" ca="1" si="195"/>
        <v>10</v>
      </c>
      <c r="CD158" s="1">
        <f t="shared" ca="1" si="196"/>
        <v>0.2850285180542132</v>
      </c>
      <c r="CE158" s="1">
        <f t="shared" ca="1" si="197"/>
        <v>0.73968659736359332</v>
      </c>
      <c r="CF158" s="1">
        <f t="shared" ca="1" si="197"/>
        <v>0.51200016294033812</v>
      </c>
      <c r="CH158" s="3">
        <f t="shared" ca="1" si="198"/>
        <v>0.50509606578286625</v>
      </c>
      <c r="CI158" s="3">
        <f t="shared" ca="1" si="199"/>
        <v>0.16287396981827337</v>
      </c>
      <c r="CJ158" s="3">
        <f t="shared" ca="1" si="200"/>
        <v>515</v>
      </c>
      <c r="CK158" s="3">
        <f t="shared" ca="1" si="201"/>
        <v>9.2726096255648944E-3</v>
      </c>
      <c r="CL158" s="3">
        <f t="shared" ca="1" si="202"/>
        <v>1</v>
      </c>
      <c r="CM158" s="3"/>
      <c r="CN158" s="1">
        <f t="shared" ca="1" si="203"/>
        <v>5.9092261931589558</v>
      </c>
      <c r="CO158" s="1">
        <f t="shared" ca="1" si="204"/>
        <v>0.17823339405647048</v>
      </c>
      <c r="CP158" s="1">
        <f t="shared" ca="1" si="205"/>
        <v>3</v>
      </c>
      <c r="CV158" s="1">
        <f t="shared" ca="1" si="206"/>
        <v>6.1666105207582413</v>
      </c>
      <c r="CW158" s="1">
        <f t="shared" ca="1" si="207"/>
        <v>1205</v>
      </c>
      <c r="CX158" s="1">
        <f t="shared" ca="1" si="208"/>
        <v>3.6290805190483657E-3</v>
      </c>
      <c r="DH158" s="1">
        <f t="shared" ca="1" si="209"/>
        <v>554</v>
      </c>
      <c r="DI158" s="1">
        <f t="shared" ca="1" si="210"/>
        <v>0.91117325367163837</v>
      </c>
      <c r="DJ158" s="1">
        <f t="shared" ca="1" si="211"/>
        <v>6</v>
      </c>
      <c r="DL158" s="1">
        <f t="shared" ca="1" si="212"/>
        <v>0.13573075855037131</v>
      </c>
      <c r="DM158" s="1">
        <f t="shared" ca="1" si="213"/>
        <v>159</v>
      </c>
      <c r="DN158" s="1">
        <f t="shared" ca="1" si="214"/>
        <v>9</v>
      </c>
      <c r="DW158" s="1">
        <f t="shared" ca="1" si="215"/>
        <v>165</v>
      </c>
      <c r="DX158" s="1">
        <f t="shared" ca="1" si="216"/>
        <v>19</v>
      </c>
      <c r="DY158" s="1">
        <f t="shared" ca="1" si="217"/>
        <v>6</v>
      </c>
    </row>
    <row r="159" spans="2:129" x14ac:dyDescent="0.25">
      <c r="B159">
        <f t="shared" ca="1" si="147"/>
        <v>551</v>
      </c>
      <c r="C159">
        <f t="shared" ca="1" si="148"/>
        <v>41</v>
      </c>
      <c r="D159">
        <f t="shared" ca="1" si="149"/>
        <v>0.1369775715071668</v>
      </c>
      <c r="F159" s="1">
        <f t="shared" ca="1" si="150"/>
        <v>22</v>
      </c>
      <c r="G159" s="1">
        <f t="shared" ca="1" si="151"/>
        <v>20</v>
      </c>
      <c r="H159" s="1">
        <f t="shared" ca="1" si="152"/>
        <v>15</v>
      </c>
      <c r="I159" s="1"/>
      <c r="J159" s="1">
        <f t="shared" ca="1" si="153"/>
        <v>7</v>
      </c>
      <c r="K159" s="1">
        <f t="shared" ca="1" si="154"/>
        <v>1.532758913738268</v>
      </c>
      <c r="L159" s="1">
        <f t="shared" ca="1" si="155"/>
        <v>24</v>
      </c>
      <c r="M159" s="1"/>
      <c r="N159" s="1">
        <f t="shared" ca="1" si="156"/>
        <v>63</v>
      </c>
      <c r="O159" s="1">
        <f t="shared" ca="1" si="157"/>
        <v>47</v>
      </c>
      <c r="P159" s="1"/>
      <c r="Q159" s="1">
        <f t="shared" ca="1" si="158"/>
        <v>1.257286033752953</v>
      </c>
      <c r="R159" s="1">
        <f t="shared" ca="1" si="159"/>
        <v>920</v>
      </c>
      <c r="S159" s="1"/>
      <c r="T159" s="1">
        <f t="shared" ca="1" si="160"/>
        <v>8.2731042991399245E-2</v>
      </c>
      <c r="U159" s="1">
        <f t="shared" ca="1" si="161"/>
        <v>307</v>
      </c>
      <c r="V159" s="1">
        <f t="shared" ca="1" si="162"/>
        <v>24</v>
      </c>
      <c r="W159" s="1"/>
      <c r="X159" s="1">
        <f t="shared" ca="1" si="163"/>
        <v>9.8644885300155032</v>
      </c>
      <c r="Y159" s="1">
        <f t="shared" ca="1" si="164"/>
        <v>0.13593670755327897</v>
      </c>
      <c r="Z159" s="1">
        <f t="shared" ca="1" si="165"/>
        <v>801</v>
      </c>
      <c r="AB159" s="1">
        <f t="shared" ca="1" si="166"/>
        <v>0.30628366914573663</v>
      </c>
      <c r="AC159" s="1">
        <f t="shared" ca="1" si="167"/>
        <v>828</v>
      </c>
      <c r="AD159" s="1">
        <f t="shared" ca="1" si="168"/>
        <v>7.787721054400211E-3</v>
      </c>
      <c r="AE159" s="1"/>
      <c r="AF159" s="1">
        <f t="shared" ca="1" si="169"/>
        <v>0.28400533956243407</v>
      </c>
      <c r="AG159" s="1">
        <f t="shared" ca="1" si="170"/>
        <v>474</v>
      </c>
      <c r="AH159" s="1">
        <f t="shared" ca="1" si="171"/>
        <v>9.3118722067021854E-3</v>
      </c>
      <c r="AJ159" s="1">
        <f t="shared" ca="1" si="172"/>
        <v>0.85174246902198014</v>
      </c>
      <c r="AK159" s="1">
        <f t="shared" ca="1" si="173"/>
        <v>8.0185684327279978E-3</v>
      </c>
      <c r="AL159" s="1"/>
      <c r="AM159" s="1">
        <f t="shared" ca="1" si="174"/>
        <v>7.1439537410826731E-2</v>
      </c>
      <c r="AN159" s="1">
        <f t="shared" ca="1" si="175"/>
        <v>73</v>
      </c>
      <c r="AO159" s="1">
        <f t="shared" ca="1" si="176"/>
        <v>17</v>
      </c>
      <c r="AQ159" s="1">
        <f t="shared" ca="1" si="177"/>
        <v>139</v>
      </c>
      <c r="AR159" s="1">
        <f t="shared" ca="1" si="178"/>
        <v>3</v>
      </c>
      <c r="AS159" s="1">
        <f t="shared" ca="1" si="179"/>
        <v>100</v>
      </c>
      <c r="AU159" s="1">
        <f t="shared" ca="1" si="180"/>
        <v>142</v>
      </c>
      <c r="AV159" s="1">
        <f t="shared" ca="1" si="181"/>
        <v>2</v>
      </c>
      <c r="AW159" s="1">
        <f t="shared" ca="1" si="182"/>
        <v>0.14509870404215447</v>
      </c>
      <c r="AY159" s="1">
        <f t="shared" ca="1" si="183"/>
        <v>1.4264368781367713</v>
      </c>
      <c r="AZ159" s="1">
        <f t="shared" ca="1" si="184"/>
        <v>372</v>
      </c>
      <c r="BA159" s="1">
        <f t="shared" ca="1" si="185"/>
        <v>5.3479272341929052E-3</v>
      </c>
      <c r="BG159" s="1">
        <f t="shared" ca="1" si="186"/>
        <v>0.14897321998941099</v>
      </c>
      <c r="BH159" s="1">
        <f t="shared" ca="1" si="187"/>
        <v>0.25636579715426056</v>
      </c>
      <c r="BI159" s="1">
        <f t="shared" ca="1" si="188"/>
        <v>216</v>
      </c>
      <c r="BV159" s="1">
        <f t="shared" ca="1" si="189"/>
        <v>0.62160133261797756</v>
      </c>
      <c r="BW159" s="1">
        <f t="shared" ca="1" si="190"/>
        <v>922</v>
      </c>
      <c r="BX159" s="1">
        <f t="shared" ca="1" si="191"/>
        <v>3.4007374050230954E-3</v>
      </c>
      <c r="BY159" s="1">
        <f t="shared" ca="1" si="192"/>
        <v>2.5338749448103406E-2</v>
      </c>
      <c r="BZ159" s="1">
        <f t="shared" ca="1" si="193"/>
        <v>0.57204872406353113</v>
      </c>
      <c r="CB159" s="1">
        <f t="shared" ca="1" si="194"/>
        <v>434</v>
      </c>
      <c r="CC159" s="1">
        <f t="shared" ca="1" si="195"/>
        <v>11</v>
      </c>
      <c r="CD159" s="1">
        <f t="shared" ca="1" si="196"/>
        <v>0.14201005628842187</v>
      </c>
      <c r="CE159" s="1">
        <f t="shared" ca="1" si="197"/>
        <v>0.67864745297114948</v>
      </c>
      <c r="CF159" s="1">
        <f t="shared" ca="1" si="197"/>
        <v>0.86723049354031523</v>
      </c>
      <c r="CH159" s="3">
        <f t="shared" ca="1" si="198"/>
        <v>0.92660985949570729</v>
      </c>
      <c r="CI159" s="3">
        <f t="shared" ca="1" si="199"/>
        <v>0.5161077190796598</v>
      </c>
      <c r="CJ159" s="3">
        <f t="shared" ca="1" si="200"/>
        <v>707</v>
      </c>
      <c r="CK159" s="3">
        <f t="shared" ca="1" si="201"/>
        <v>5.8536185429656704E-3</v>
      </c>
      <c r="CL159" s="3">
        <f t="shared" ca="1" si="202"/>
        <v>1</v>
      </c>
      <c r="CM159" s="3"/>
      <c r="CN159" s="1">
        <f t="shared" ca="1" si="203"/>
        <v>19.24019765061179</v>
      </c>
      <c r="CO159" s="1">
        <f t="shared" ca="1" si="204"/>
        <v>0.23946103420615225</v>
      </c>
      <c r="CP159" s="1">
        <f t="shared" ca="1" si="205"/>
        <v>2</v>
      </c>
      <c r="CV159" s="1">
        <f t="shared" ca="1" si="206"/>
        <v>8.9754455117553142</v>
      </c>
      <c r="CW159" s="1">
        <f t="shared" ca="1" si="207"/>
        <v>1795</v>
      </c>
      <c r="CX159" s="1">
        <f t="shared" ca="1" si="208"/>
        <v>6.9852922255094476E-3</v>
      </c>
      <c r="DH159" s="1">
        <f t="shared" ca="1" si="209"/>
        <v>501</v>
      </c>
      <c r="DI159" s="1">
        <f t="shared" ca="1" si="210"/>
        <v>0.26056412916663196</v>
      </c>
      <c r="DJ159" s="1">
        <f t="shared" ca="1" si="211"/>
        <v>8</v>
      </c>
      <c r="DL159" s="1">
        <f t="shared" ca="1" si="212"/>
        <v>0.17600199577298339</v>
      </c>
      <c r="DM159" s="1">
        <f t="shared" ca="1" si="213"/>
        <v>63</v>
      </c>
      <c r="DN159" s="1">
        <f t="shared" ca="1" si="214"/>
        <v>4</v>
      </c>
      <c r="DW159" s="1">
        <f t="shared" ca="1" si="215"/>
        <v>493</v>
      </c>
      <c r="DX159" s="1">
        <f t="shared" ca="1" si="216"/>
        <v>7</v>
      </c>
      <c r="DY159" s="1">
        <f t="shared" ca="1" si="217"/>
        <v>19</v>
      </c>
    </row>
    <row r="160" spans="2:129" x14ac:dyDescent="0.25">
      <c r="B160">
        <f t="shared" ca="1" si="147"/>
        <v>158</v>
      </c>
      <c r="C160">
        <f t="shared" ca="1" si="148"/>
        <v>17</v>
      </c>
      <c r="D160">
        <f t="shared" ca="1" si="149"/>
        <v>0.226826765072178</v>
      </c>
      <c r="F160" s="1">
        <f t="shared" ca="1" si="150"/>
        <v>35</v>
      </c>
      <c r="G160" s="1">
        <f t="shared" ca="1" si="151"/>
        <v>22</v>
      </c>
      <c r="H160" s="1">
        <f t="shared" ca="1" si="152"/>
        <v>7</v>
      </c>
      <c r="I160" s="1"/>
      <c r="J160" s="1">
        <f t="shared" ca="1" si="153"/>
        <v>25</v>
      </c>
      <c r="K160" s="1">
        <f t="shared" ca="1" si="154"/>
        <v>1.9422820223933395</v>
      </c>
      <c r="L160" s="1">
        <f t="shared" ca="1" si="155"/>
        <v>7</v>
      </c>
      <c r="M160" s="1"/>
      <c r="N160" s="1">
        <f t="shared" ca="1" si="156"/>
        <v>611</v>
      </c>
      <c r="O160" s="1">
        <f t="shared" ca="1" si="157"/>
        <v>32</v>
      </c>
      <c r="P160" s="1"/>
      <c r="Q160" s="1">
        <f t="shared" ca="1" si="158"/>
        <v>1.2205688630413838</v>
      </c>
      <c r="R160" s="1">
        <f t="shared" ca="1" si="159"/>
        <v>854</v>
      </c>
      <c r="S160" s="1"/>
      <c r="T160" s="1">
        <f t="shared" ca="1" si="160"/>
        <v>6.3458185614053864E-2</v>
      </c>
      <c r="U160" s="1">
        <f t="shared" ca="1" si="161"/>
        <v>226</v>
      </c>
      <c r="V160" s="1">
        <f t="shared" ca="1" si="162"/>
        <v>16</v>
      </c>
      <c r="W160" s="1"/>
      <c r="X160" s="1">
        <f t="shared" ca="1" si="163"/>
        <v>2.2642126503560749</v>
      </c>
      <c r="Y160" s="1">
        <f t="shared" ca="1" si="164"/>
        <v>0.22504472636710812</v>
      </c>
      <c r="Z160" s="1">
        <f t="shared" ca="1" si="165"/>
        <v>1932</v>
      </c>
      <c r="AB160" s="1">
        <f t="shared" ca="1" si="166"/>
        <v>0.35012910371768924</v>
      </c>
      <c r="AC160" s="1">
        <f t="shared" ca="1" si="167"/>
        <v>539</v>
      </c>
      <c r="AD160" s="1">
        <f t="shared" ca="1" si="168"/>
        <v>6.1922259906076358E-3</v>
      </c>
      <c r="AE160" s="1"/>
      <c r="AF160" s="1">
        <f t="shared" ca="1" si="169"/>
        <v>0.58128267432978797</v>
      </c>
      <c r="AG160" s="1">
        <f t="shared" ca="1" si="170"/>
        <v>406</v>
      </c>
      <c r="AH160" s="1">
        <f t="shared" ca="1" si="171"/>
        <v>1.5031910134282477E-3</v>
      </c>
      <c r="AJ160" s="1">
        <f t="shared" ca="1" si="172"/>
        <v>0.8506481216873063</v>
      </c>
      <c r="AK160" s="1">
        <f t="shared" ca="1" si="173"/>
        <v>2.042392560721416E-3</v>
      </c>
      <c r="AL160" s="1"/>
      <c r="AM160" s="1">
        <f t="shared" ca="1" si="174"/>
        <v>0.1256719953129824</v>
      </c>
      <c r="AN160" s="1">
        <f t="shared" ca="1" si="175"/>
        <v>54</v>
      </c>
      <c r="AO160" s="1">
        <f t="shared" ca="1" si="176"/>
        <v>3</v>
      </c>
      <c r="AQ160" s="1">
        <f t="shared" ca="1" si="177"/>
        <v>62</v>
      </c>
      <c r="AR160" s="1">
        <f t="shared" ca="1" si="178"/>
        <v>1</v>
      </c>
      <c r="AS160" s="1">
        <f t="shared" ca="1" si="179"/>
        <v>32</v>
      </c>
      <c r="AU160" s="1">
        <f t="shared" ca="1" si="180"/>
        <v>240</v>
      </c>
      <c r="AV160" s="1">
        <f t="shared" ca="1" si="181"/>
        <v>3</v>
      </c>
      <c r="AW160" s="1">
        <f t="shared" ca="1" si="182"/>
        <v>8.0825107343701186E-2</v>
      </c>
      <c r="AY160" s="1">
        <f t="shared" ca="1" si="183"/>
        <v>1.4459104504324349</v>
      </c>
      <c r="AZ160" s="1">
        <f t="shared" ca="1" si="184"/>
        <v>344</v>
      </c>
      <c r="BA160" s="1">
        <f t="shared" ca="1" si="185"/>
        <v>5.7077396730513446E-3</v>
      </c>
      <c r="BG160" s="1">
        <f t="shared" ca="1" si="186"/>
        <v>0.36880298913356374</v>
      </c>
      <c r="BH160" s="1">
        <f t="shared" ca="1" si="187"/>
        <v>0.79535433393702382</v>
      </c>
      <c r="BI160" s="1">
        <f t="shared" ca="1" si="188"/>
        <v>354</v>
      </c>
      <c r="BV160" s="1">
        <f t="shared" ca="1" si="189"/>
        <v>0.4247035758977587</v>
      </c>
      <c r="BW160" s="1">
        <f t="shared" ca="1" si="190"/>
        <v>604</v>
      </c>
      <c r="BX160" s="1">
        <f t="shared" ca="1" si="191"/>
        <v>5.2328604176120896E-3</v>
      </c>
      <c r="BY160" s="1">
        <f t="shared" ca="1" si="192"/>
        <v>3.8696588938037811E-2</v>
      </c>
      <c r="BZ160" s="1">
        <f t="shared" ca="1" si="193"/>
        <v>0.21492124866055806</v>
      </c>
      <c r="CB160" s="1">
        <f t="shared" ca="1" si="194"/>
        <v>224</v>
      </c>
      <c r="CC160" s="1">
        <f t="shared" ca="1" si="195"/>
        <v>10</v>
      </c>
      <c r="CD160" s="1">
        <f t="shared" ca="1" si="196"/>
        <v>0.16882836964348746</v>
      </c>
      <c r="CE160" s="1">
        <f t="shared" ca="1" si="197"/>
        <v>0.72575868640909402</v>
      </c>
      <c r="CF160" s="1">
        <f t="shared" ca="1" si="197"/>
        <v>0.53806947130127003</v>
      </c>
      <c r="CH160" s="3">
        <f t="shared" ca="1" si="198"/>
        <v>0.58799113391145985</v>
      </c>
      <c r="CI160" s="3">
        <f t="shared" ca="1" si="199"/>
        <v>4.4809978089007552E-2</v>
      </c>
      <c r="CJ160" s="3">
        <f t="shared" ca="1" si="200"/>
        <v>1281</v>
      </c>
      <c r="CK160" s="3">
        <f t="shared" ca="1" si="201"/>
        <v>5.2813881463436565E-3</v>
      </c>
      <c r="CL160" s="3">
        <f t="shared" ca="1" si="202"/>
        <v>1</v>
      </c>
      <c r="CM160" s="3"/>
      <c r="CN160" s="1">
        <f t="shared" ca="1" si="203"/>
        <v>1.4412295991243338</v>
      </c>
      <c r="CO160" s="1">
        <f t="shared" ca="1" si="204"/>
        <v>0.30184997761257848</v>
      </c>
      <c r="CP160" s="1">
        <f t="shared" ca="1" si="205"/>
        <v>3</v>
      </c>
      <c r="CV160" s="1">
        <f t="shared" ca="1" si="206"/>
        <v>1.0951190131993096</v>
      </c>
      <c r="CW160" s="1">
        <f t="shared" ca="1" si="207"/>
        <v>963</v>
      </c>
      <c r="CX160" s="1">
        <f t="shared" ca="1" si="208"/>
        <v>5.6387597930018914E-5</v>
      </c>
      <c r="DH160" s="1">
        <f t="shared" ca="1" si="209"/>
        <v>435</v>
      </c>
      <c r="DI160" s="1">
        <f t="shared" ca="1" si="210"/>
        <v>0.3547099873248124</v>
      </c>
      <c r="DJ160" s="1">
        <f t="shared" ca="1" si="211"/>
        <v>18</v>
      </c>
      <c r="DL160" s="1">
        <f t="shared" ca="1" si="212"/>
        <v>2.3247228717770917E-2</v>
      </c>
      <c r="DM160" s="1">
        <f t="shared" ca="1" si="213"/>
        <v>224</v>
      </c>
      <c r="DN160" s="1">
        <f t="shared" ca="1" si="214"/>
        <v>1</v>
      </c>
      <c r="DW160" s="1">
        <f t="shared" ca="1" si="215"/>
        <v>390</v>
      </c>
      <c r="DX160" s="1">
        <f t="shared" ca="1" si="216"/>
        <v>5</v>
      </c>
      <c r="DY160" s="1">
        <f t="shared" ca="1" si="217"/>
        <v>14</v>
      </c>
    </row>
    <row r="161" spans="2:129" x14ac:dyDescent="0.25">
      <c r="B161">
        <f t="shared" ca="1" si="147"/>
        <v>324</v>
      </c>
      <c r="C161">
        <f t="shared" ca="1" si="148"/>
        <v>16</v>
      </c>
      <c r="D161">
        <f t="shared" ca="1" si="149"/>
        <v>0.11234255700012843</v>
      </c>
      <c r="F161" s="1">
        <f t="shared" ca="1" si="150"/>
        <v>29</v>
      </c>
      <c r="G161" s="1">
        <f t="shared" ca="1" si="151"/>
        <v>13</v>
      </c>
      <c r="H161" s="1">
        <f t="shared" ca="1" si="152"/>
        <v>8</v>
      </c>
      <c r="I161" s="1"/>
      <c r="J161" s="1">
        <f t="shared" ca="1" si="153"/>
        <v>37</v>
      </c>
      <c r="K161" s="1">
        <f t="shared" ca="1" si="154"/>
        <v>1.7535134804205885</v>
      </c>
      <c r="L161" s="1">
        <f t="shared" ca="1" si="155"/>
        <v>33</v>
      </c>
      <c r="M161" s="1"/>
      <c r="N161" s="1">
        <f t="shared" ca="1" si="156"/>
        <v>814</v>
      </c>
      <c r="O161" s="1">
        <f t="shared" ca="1" si="157"/>
        <v>8</v>
      </c>
      <c r="P161" s="1"/>
      <c r="Q161" s="1">
        <f t="shared" ca="1" si="158"/>
        <v>2.7161452954035528</v>
      </c>
      <c r="R161" s="1">
        <f t="shared" ca="1" si="159"/>
        <v>879</v>
      </c>
      <c r="S161" s="1"/>
      <c r="T161" s="1">
        <f t="shared" ca="1" si="160"/>
        <v>0.11475632562183577</v>
      </c>
      <c r="U161" s="1">
        <f t="shared" ca="1" si="161"/>
        <v>140</v>
      </c>
      <c r="V161" s="1">
        <f t="shared" ca="1" si="162"/>
        <v>43</v>
      </c>
      <c r="W161" s="1"/>
      <c r="X161" s="1">
        <f t="shared" ca="1" si="163"/>
        <v>1.9298961522197176</v>
      </c>
      <c r="Y161" s="1">
        <f t="shared" ca="1" si="164"/>
        <v>0.74507425143462547</v>
      </c>
      <c r="Z161" s="1">
        <f t="shared" ca="1" si="165"/>
        <v>669</v>
      </c>
      <c r="AB161" s="1">
        <f t="shared" ca="1" si="166"/>
        <v>0.38956934462021375</v>
      </c>
      <c r="AC161" s="1">
        <f t="shared" ca="1" si="167"/>
        <v>846</v>
      </c>
      <c r="AD161" s="1">
        <f t="shared" ca="1" si="168"/>
        <v>8.8689362202176297E-3</v>
      </c>
      <c r="AE161" s="1"/>
      <c r="AF161" s="1">
        <f t="shared" ca="1" si="169"/>
        <v>0.69581163254282463</v>
      </c>
      <c r="AG161" s="1">
        <f t="shared" ca="1" si="170"/>
        <v>706</v>
      </c>
      <c r="AH161" s="1">
        <f t="shared" ca="1" si="171"/>
        <v>5.2119163832001362E-3</v>
      </c>
      <c r="AJ161" s="1">
        <f t="shared" ca="1" si="172"/>
        <v>0.52930304749939316</v>
      </c>
      <c r="AK161" s="1">
        <f t="shared" ca="1" si="173"/>
        <v>3.5077251779503703E-3</v>
      </c>
      <c r="AL161" s="1"/>
      <c r="AM161" s="1">
        <f t="shared" ca="1" si="174"/>
        <v>0.12147737345250921</v>
      </c>
      <c r="AN161" s="1">
        <f t="shared" ca="1" si="175"/>
        <v>57</v>
      </c>
      <c r="AO161" s="1">
        <f t="shared" ca="1" si="176"/>
        <v>2</v>
      </c>
      <c r="AQ161" s="1">
        <f t="shared" ca="1" si="177"/>
        <v>34</v>
      </c>
      <c r="AR161" s="1">
        <f t="shared" ca="1" si="178"/>
        <v>1</v>
      </c>
      <c r="AS161" s="1">
        <f t="shared" ca="1" si="179"/>
        <v>73</v>
      </c>
      <c r="AU161" s="1">
        <f t="shared" ca="1" si="180"/>
        <v>223</v>
      </c>
      <c r="AV161" s="1">
        <f t="shared" ca="1" si="181"/>
        <v>6</v>
      </c>
      <c r="AW161" s="1">
        <f t="shared" ca="1" si="182"/>
        <v>0.12184460056680484</v>
      </c>
      <c r="AY161" s="1">
        <f t="shared" ca="1" si="183"/>
        <v>1.2324225316675286</v>
      </c>
      <c r="AZ161" s="1">
        <f t="shared" ca="1" si="184"/>
        <v>84</v>
      </c>
      <c r="BA161" s="1">
        <f t="shared" ca="1" si="185"/>
        <v>8.1944476717595079E-3</v>
      </c>
      <c r="BG161" s="1">
        <f t="shared" ca="1" si="186"/>
        <v>0.82531885246559678</v>
      </c>
      <c r="BH161" s="1">
        <f t="shared" ca="1" si="187"/>
        <v>0.9127944923465755</v>
      </c>
      <c r="BI161" s="1">
        <f t="shared" ca="1" si="188"/>
        <v>212</v>
      </c>
      <c r="BV161" s="1">
        <f t="shared" ca="1" si="189"/>
        <v>0.54343862273248178</v>
      </c>
      <c r="BW161" s="1">
        <f t="shared" ca="1" si="190"/>
        <v>429</v>
      </c>
      <c r="BX161" s="1">
        <f t="shared" ca="1" si="191"/>
        <v>1.7103176779059517E-3</v>
      </c>
      <c r="BY161" s="1">
        <f t="shared" ca="1" si="192"/>
        <v>5.2580141600417324E-2</v>
      </c>
      <c r="BZ161" s="1">
        <f t="shared" ca="1" si="193"/>
        <v>0.66996842430612036</v>
      </c>
      <c r="CB161" s="1">
        <f t="shared" ca="1" si="194"/>
        <v>481</v>
      </c>
      <c r="CC161" s="1">
        <f t="shared" ca="1" si="195"/>
        <v>6</v>
      </c>
      <c r="CD161" s="1">
        <f t="shared" ca="1" si="196"/>
        <v>0.10102210013427841</v>
      </c>
      <c r="CE161" s="1">
        <f t="shared" ca="1" si="197"/>
        <v>0.95813229347644513</v>
      </c>
      <c r="CF161" s="1">
        <f t="shared" ca="1" si="197"/>
        <v>0.9346591577977672</v>
      </c>
      <c r="CH161" s="3">
        <f t="shared" ca="1" si="198"/>
        <v>0.73920914663008863</v>
      </c>
      <c r="CI161" s="3">
        <f t="shared" ca="1" si="199"/>
        <v>0.13381901071914087</v>
      </c>
      <c r="CJ161" s="3">
        <f t="shared" ca="1" si="200"/>
        <v>1959</v>
      </c>
      <c r="CK161" s="3">
        <f t="shared" ca="1" si="201"/>
        <v>8.8839275545606108E-3</v>
      </c>
      <c r="CL161" s="3">
        <f t="shared" ca="1" si="202"/>
        <v>1</v>
      </c>
      <c r="CM161" s="3"/>
      <c r="CN161" s="1">
        <f t="shared" ca="1" si="203"/>
        <v>7.7707488139947909</v>
      </c>
      <c r="CO161" s="1">
        <f t="shared" ca="1" si="204"/>
        <v>0.26101983735359741</v>
      </c>
      <c r="CP161" s="1">
        <f t="shared" ca="1" si="205"/>
        <v>3</v>
      </c>
      <c r="CV161" s="1">
        <f t="shared" ca="1" si="206"/>
        <v>0.53238271784038027</v>
      </c>
      <c r="CW161" s="1">
        <f t="shared" ca="1" si="207"/>
        <v>820</v>
      </c>
      <c r="CX161" s="1">
        <f t="shared" ca="1" si="208"/>
        <v>3.4264780693824153E-3</v>
      </c>
      <c r="DH161" s="1">
        <f t="shared" ca="1" si="209"/>
        <v>397</v>
      </c>
      <c r="DI161" s="1">
        <f t="shared" ca="1" si="210"/>
        <v>0.76627913745414999</v>
      </c>
      <c r="DJ161" s="1">
        <f t="shared" ca="1" si="211"/>
        <v>9</v>
      </c>
      <c r="DL161" s="1">
        <f t="shared" ca="1" si="212"/>
        <v>0.14325109861517427</v>
      </c>
      <c r="DM161" s="1">
        <f t="shared" ca="1" si="213"/>
        <v>293</v>
      </c>
      <c r="DN161" s="1">
        <f t="shared" ca="1" si="214"/>
        <v>2</v>
      </c>
      <c r="DW161" s="1">
        <f t="shared" ca="1" si="215"/>
        <v>361</v>
      </c>
      <c r="DX161" s="1">
        <f t="shared" ca="1" si="216"/>
        <v>12</v>
      </c>
      <c r="DY161" s="1">
        <f t="shared" ca="1" si="217"/>
        <v>17</v>
      </c>
    </row>
    <row r="162" spans="2:129" x14ac:dyDescent="0.25">
      <c r="B162">
        <f t="shared" ca="1" si="147"/>
        <v>309</v>
      </c>
      <c r="C162">
        <f t="shared" ca="1" si="148"/>
        <v>41</v>
      </c>
      <c r="D162">
        <f t="shared" ca="1" si="149"/>
        <v>0.26184040684131321</v>
      </c>
      <c r="F162" s="1">
        <f t="shared" ca="1" si="150"/>
        <v>25</v>
      </c>
      <c r="G162" s="1">
        <f t="shared" ca="1" si="151"/>
        <v>12</v>
      </c>
      <c r="H162" s="1">
        <f t="shared" ca="1" si="152"/>
        <v>3</v>
      </c>
      <c r="I162" s="1"/>
      <c r="J162" s="1">
        <f t="shared" ca="1" si="153"/>
        <v>34</v>
      </c>
      <c r="K162" s="1">
        <f t="shared" ca="1" si="154"/>
        <v>1.0659985080802892</v>
      </c>
      <c r="L162" s="1">
        <f t="shared" ca="1" si="155"/>
        <v>14</v>
      </c>
      <c r="M162" s="1"/>
      <c r="N162" s="1">
        <f t="shared" ca="1" si="156"/>
        <v>654</v>
      </c>
      <c r="O162" s="1">
        <f t="shared" ca="1" si="157"/>
        <v>4</v>
      </c>
      <c r="P162" s="1"/>
      <c r="Q162" s="1">
        <f t="shared" ca="1" si="158"/>
        <v>1.8779346072598047</v>
      </c>
      <c r="R162" s="1">
        <f t="shared" ca="1" si="159"/>
        <v>854</v>
      </c>
      <c r="S162" s="1"/>
      <c r="T162" s="1">
        <f t="shared" ca="1" si="160"/>
        <v>0.11380890709567024</v>
      </c>
      <c r="U162" s="1">
        <f t="shared" ca="1" si="161"/>
        <v>318</v>
      </c>
      <c r="V162" s="1">
        <f t="shared" ca="1" si="162"/>
        <v>11</v>
      </c>
      <c r="W162" s="1"/>
      <c r="X162" s="1">
        <f t="shared" ca="1" si="163"/>
        <v>9.9021542840553423</v>
      </c>
      <c r="Y162" s="1">
        <f t="shared" ca="1" si="164"/>
        <v>0.81602268603007833</v>
      </c>
      <c r="Z162" s="1">
        <f t="shared" ca="1" si="165"/>
        <v>1919</v>
      </c>
      <c r="AB162" s="1">
        <f t="shared" ca="1" si="166"/>
        <v>0.29297451536642688</v>
      </c>
      <c r="AC162" s="1">
        <f t="shared" ca="1" si="167"/>
        <v>399</v>
      </c>
      <c r="AD162" s="1">
        <f t="shared" ca="1" si="168"/>
        <v>7.8858458178836903E-3</v>
      </c>
      <c r="AE162" s="1"/>
      <c r="AF162" s="1">
        <f t="shared" ca="1" si="169"/>
        <v>0.69015324079269891</v>
      </c>
      <c r="AG162" s="1">
        <f t="shared" ca="1" si="170"/>
        <v>402</v>
      </c>
      <c r="AH162" s="1">
        <f t="shared" ca="1" si="171"/>
        <v>9.7269422295589384E-3</v>
      </c>
      <c r="AJ162" s="1">
        <f t="shared" ca="1" si="172"/>
        <v>0.74055330405419073</v>
      </c>
      <c r="AK162" s="1">
        <f t="shared" ca="1" si="173"/>
        <v>5.1804375752887502E-3</v>
      </c>
      <c r="AL162" s="1"/>
      <c r="AM162" s="1">
        <f t="shared" ca="1" si="174"/>
        <v>1.9809096945166728E-2</v>
      </c>
      <c r="AN162" s="1">
        <f t="shared" ca="1" si="175"/>
        <v>51</v>
      </c>
      <c r="AO162" s="1">
        <f t="shared" ca="1" si="176"/>
        <v>-1</v>
      </c>
      <c r="AQ162" s="1">
        <f t="shared" ca="1" si="177"/>
        <v>28</v>
      </c>
      <c r="AR162" s="1">
        <f t="shared" ca="1" si="178"/>
        <v>0</v>
      </c>
      <c r="AS162" s="1">
        <f t="shared" ca="1" si="179"/>
        <v>23</v>
      </c>
      <c r="AU162" s="1">
        <f t="shared" ca="1" si="180"/>
        <v>148</v>
      </c>
      <c r="AV162" s="1">
        <f t="shared" ca="1" si="181"/>
        <v>6</v>
      </c>
      <c r="AW162" s="1">
        <f t="shared" ca="1" si="182"/>
        <v>0.16276407583513461</v>
      </c>
      <c r="AY162" s="1">
        <f t="shared" ca="1" si="183"/>
        <v>1.9344719777045523</v>
      </c>
      <c r="AZ162" s="1">
        <f t="shared" ca="1" si="184"/>
        <v>156</v>
      </c>
      <c r="BA162" s="1">
        <f t="shared" ca="1" si="185"/>
        <v>2.110238479201089E-4</v>
      </c>
      <c r="BG162" s="1">
        <f t="shared" ca="1" si="186"/>
        <v>0.57985133364893882</v>
      </c>
      <c r="BH162" s="1">
        <f t="shared" ca="1" si="187"/>
        <v>0.34275723189364482</v>
      </c>
      <c r="BI162" s="1">
        <f t="shared" ca="1" si="188"/>
        <v>515</v>
      </c>
      <c r="BV162" s="1">
        <f t="shared" ca="1" si="189"/>
        <v>0.64898251680939656</v>
      </c>
      <c r="BW162" s="1">
        <f t="shared" ca="1" si="190"/>
        <v>148</v>
      </c>
      <c r="BX162" s="1">
        <f t="shared" ca="1" si="191"/>
        <v>7.156824883157992E-3</v>
      </c>
      <c r="BY162" s="1">
        <f t="shared" ca="1" si="192"/>
        <v>7.0795552720100324E-2</v>
      </c>
      <c r="BZ162" s="1">
        <f t="shared" ca="1" si="193"/>
        <v>0.90733563492177138</v>
      </c>
      <c r="CB162" s="1">
        <f t="shared" ca="1" si="194"/>
        <v>480</v>
      </c>
      <c r="CC162" s="1">
        <f t="shared" ca="1" si="195"/>
        <v>15</v>
      </c>
      <c r="CD162" s="1">
        <f t="shared" ca="1" si="196"/>
        <v>9.4545328424805716E-2</v>
      </c>
      <c r="CE162" s="1">
        <f t="shared" ca="1" si="197"/>
        <v>0.95927051623108794</v>
      </c>
      <c r="CF162" s="1">
        <f t="shared" ca="1" si="197"/>
        <v>0.9543911777988372</v>
      </c>
      <c r="CH162" s="3">
        <f t="shared" ca="1" si="198"/>
        <v>0.8801176850601532</v>
      </c>
      <c r="CI162" s="3">
        <f t="shared" ca="1" si="199"/>
        <v>0.82002696166038391</v>
      </c>
      <c r="CJ162" s="3">
        <f t="shared" ca="1" si="200"/>
        <v>1256</v>
      </c>
      <c r="CK162" s="3">
        <f t="shared" ca="1" si="201"/>
        <v>7.3435175163350857E-3</v>
      </c>
      <c r="CL162" s="3">
        <f t="shared" ca="1" si="202"/>
        <v>1</v>
      </c>
      <c r="CM162" s="3"/>
      <c r="CN162" s="1">
        <f t="shared" ca="1" si="203"/>
        <v>3.8959296174276536</v>
      </c>
      <c r="CO162" s="1">
        <f t="shared" ca="1" si="204"/>
        <v>0.27910309519178328</v>
      </c>
      <c r="CP162" s="1">
        <f t="shared" ca="1" si="205"/>
        <v>4</v>
      </c>
      <c r="CV162" s="1">
        <f t="shared" ca="1" si="206"/>
        <v>5.9770993621835444</v>
      </c>
      <c r="CW162" s="1">
        <f t="shared" ca="1" si="207"/>
        <v>1998</v>
      </c>
      <c r="CX162" s="1">
        <f t="shared" ca="1" si="208"/>
        <v>5.382458538176752E-3</v>
      </c>
      <c r="DH162" s="1">
        <f t="shared" ca="1" si="209"/>
        <v>875</v>
      </c>
      <c r="DI162" s="1">
        <f t="shared" ca="1" si="210"/>
        <v>0.75770387500859782</v>
      </c>
      <c r="DJ162" s="1">
        <f t="shared" ca="1" si="211"/>
        <v>17</v>
      </c>
      <c r="DL162" s="1">
        <f t="shared" ca="1" si="212"/>
        <v>0.16639514950913853</v>
      </c>
      <c r="DM162" s="1">
        <f t="shared" ca="1" si="213"/>
        <v>65</v>
      </c>
      <c r="DN162" s="1">
        <f t="shared" ca="1" si="214"/>
        <v>5</v>
      </c>
      <c r="DW162" s="1">
        <f t="shared" ca="1" si="215"/>
        <v>119</v>
      </c>
      <c r="DX162" s="1">
        <f t="shared" ca="1" si="216"/>
        <v>13</v>
      </c>
      <c r="DY162" s="1">
        <f t="shared" ca="1" si="217"/>
        <v>11</v>
      </c>
    </row>
    <row r="163" spans="2:129" x14ac:dyDescent="0.25">
      <c r="B163">
        <f t="shared" ca="1" si="147"/>
        <v>480</v>
      </c>
      <c r="C163">
        <f t="shared" ca="1" si="148"/>
        <v>18</v>
      </c>
      <c r="D163">
        <f t="shared" ca="1" si="149"/>
        <v>0.15446478924335719</v>
      </c>
      <c r="F163" s="1">
        <f t="shared" ca="1" si="150"/>
        <v>32</v>
      </c>
      <c r="G163" s="1">
        <f t="shared" ca="1" si="151"/>
        <v>3</v>
      </c>
      <c r="H163" s="1">
        <f t="shared" ca="1" si="152"/>
        <v>3</v>
      </c>
      <c r="I163" s="1"/>
      <c r="J163" s="1">
        <f t="shared" ca="1" si="153"/>
        <v>37</v>
      </c>
      <c r="K163" s="1">
        <f t="shared" ca="1" si="154"/>
        <v>2.4418518486190113</v>
      </c>
      <c r="L163" s="1">
        <f t="shared" ca="1" si="155"/>
        <v>21</v>
      </c>
      <c r="M163" s="1"/>
      <c r="N163" s="1">
        <f t="shared" ca="1" si="156"/>
        <v>257</v>
      </c>
      <c r="O163" s="1">
        <f t="shared" ca="1" si="157"/>
        <v>25</v>
      </c>
      <c r="P163" s="1"/>
      <c r="Q163" s="1">
        <f t="shared" ca="1" si="158"/>
        <v>3.0797668842413</v>
      </c>
      <c r="R163" s="1">
        <f t="shared" ca="1" si="159"/>
        <v>305</v>
      </c>
      <c r="S163" s="1"/>
      <c r="T163" s="1">
        <f t="shared" ca="1" si="160"/>
        <v>3.0211905734860267E-2</v>
      </c>
      <c r="U163" s="1">
        <f t="shared" ca="1" si="161"/>
        <v>349</v>
      </c>
      <c r="V163" s="1">
        <f t="shared" ca="1" si="162"/>
        <v>17</v>
      </c>
      <c r="W163" s="1"/>
      <c r="X163" s="1">
        <f t="shared" ca="1" si="163"/>
        <v>8.3172791022366859</v>
      </c>
      <c r="Y163" s="1">
        <f t="shared" ca="1" si="164"/>
        <v>0.77070636100511059</v>
      </c>
      <c r="Z163" s="1">
        <f t="shared" ca="1" si="165"/>
        <v>421</v>
      </c>
      <c r="AB163" s="1">
        <f t="shared" ca="1" si="166"/>
        <v>1.3316091899039923E-2</v>
      </c>
      <c r="AC163" s="1">
        <f t="shared" ca="1" si="167"/>
        <v>293</v>
      </c>
      <c r="AD163" s="1">
        <f t="shared" ca="1" si="168"/>
        <v>2.6348635597361154E-4</v>
      </c>
      <c r="AE163" s="1"/>
      <c r="AF163" s="1">
        <f t="shared" ca="1" si="169"/>
        <v>0.62891987861874377</v>
      </c>
      <c r="AG163" s="1">
        <f t="shared" ca="1" si="170"/>
        <v>391</v>
      </c>
      <c r="AH163" s="1">
        <f t="shared" ca="1" si="171"/>
        <v>7.4722060497095918E-3</v>
      </c>
      <c r="AJ163" s="1">
        <f t="shared" ca="1" si="172"/>
        <v>0.61095626677560777</v>
      </c>
      <c r="AK163" s="1">
        <f t="shared" ca="1" si="173"/>
        <v>6.6519101712461096E-4</v>
      </c>
      <c r="AL163" s="1"/>
      <c r="AM163" s="1">
        <f t="shared" ca="1" si="174"/>
        <v>4.5864312841750632E-2</v>
      </c>
      <c r="AN163" s="1">
        <f t="shared" ca="1" si="175"/>
        <v>72</v>
      </c>
      <c r="AO163" s="1">
        <f t="shared" ca="1" si="176"/>
        <v>2</v>
      </c>
      <c r="AQ163" s="1">
        <f t="shared" ca="1" si="177"/>
        <v>72</v>
      </c>
      <c r="AR163" s="1">
        <f t="shared" ca="1" si="178"/>
        <v>9</v>
      </c>
      <c r="AS163" s="1">
        <f t="shared" ca="1" si="179"/>
        <v>29</v>
      </c>
      <c r="AU163" s="1">
        <f t="shared" ca="1" si="180"/>
        <v>128</v>
      </c>
      <c r="AV163" s="1">
        <f t="shared" ca="1" si="181"/>
        <v>2</v>
      </c>
      <c r="AW163" s="1">
        <f t="shared" ca="1" si="182"/>
        <v>0.1443468544526301</v>
      </c>
      <c r="AY163" s="1">
        <f t="shared" ca="1" si="183"/>
        <v>1.9920417594880615</v>
      </c>
      <c r="AZ163" s="1">
        <f t="shared" ca="1" si="184"/>
        <v>346</v>
      </c>
      <c r="BA163" s="1">
        <f t="shared" ca="1" si="185"/>
        <v>1.9287862627447951E-3</v>
      </c>
      <c r="BG163" s="1">
        <f t="shared" ca="1" si="186"/>
        <v>0.80809294864504488</v>
      </c>
      <c r="BH163" s="1">
        <f t="shared" ca="1" si="187"/>
        <v>0.8026774182437022</v>
      </c>
      <c r="BI163" s="1">
        <f t="shared" ca="1" si="188"/>
        <v>349</v>
      </c>
      <c r="BV163" s="1">
        <f t="shared" ca="1" si="189"/>
        <v>0.36682647966816168</v>
      </c>
      <c r="BW163" s="1">
        <f t="shared" ca="1" si="190"/>
        <v>522</v>
      </c>
      <c r="BX163" s="1">
        <f t="shared" ca="1" si="191"/>
        <v>5.5254369534011704E-3</v>
      </c>
      <c r="BY163" s="1">
        <f t="shared" ca="1" si="192"/>
        <v>4.9633637199611044E-2</v>
      </c>
      <c r="BZ163" s="1">
        <f t="shared" ca="1" si="193"/>
        <v>0.16722781587794933</v>
      </c>
      <c r="CB163" s="1">
        <f t="shared" ca="1" si="194"/>
        <v>168</v>
      </c>
      <c r="CC163" s="1">
        <f t="shared" ca="1" si="195"/>
        <v>3</v>
      </c>
      <c r="CD163" s="1">
        <f t="shared" ca="1" si="196"/>
        <v>3.6345714584389774E-2</v>
      </c>
      <c r="CE163" s="1">
        <f t="shared" ca="1" si="197"/>
        <v>0.84034800144632582</v>
      </c>
      <c r="CF163" s="1">
        <f t="shared" ca="1" si="197"/>
        <v>0.98247626475158401</v>
      </c>
      <c r="CH163" s="3">
        <f t="shared" ca="1" si="198"/>
        <v>0.3915267483425211</v>
      </c>
      <c r="CI163" s="3">
        <f t="shared" ca="1" si="199"/>
        <v>4.7122325821538427E-2</v>
      </c>
      <c r="CJ163" s="3">
        <f t="shared" ca="1" si="200"/>
        <v>345</v>
      </c>
      <c r="CK163" s="3">
        <f t="shared" ca="1" si="201"/>
        <v>3.0712327193138855E-3</v>
      </c>
      <c r="CL163" s="3">
        <f t="shared" ca="1" si="202"/>
        <v>1</v>
      </c>
      <c r="CM163" s="3"/>
      <c r="CN163" s="1">
        <f t="shared" ca="1" si="203"/>
        <v>2.1290292019527342</v>
      </c>
      <c r="CO163" s="1">
        <f t="shared" ca="1" si="204"/>
        <v>1.1480969037229657E-2</v>
      </c>
      <c r="CP163" s="1">
        <f t="shared" ca="1" si="205"/>
        <v>4</v>
      </c>
      <c r="CV163" s="1">
        <f t="shared" ca="1" si="206"/>
        <v>0.1653820159627217</v>
      </c>
      <c r="CW163" s="1">
        <f t="shared" ca="1" si="207"/>
        <v>1369</v>
      </c>
      <c r="CX163" s="1">
        <f t="shared" ca="1" si="208"/>
        <v>6.8595552198145743E-3</v>
      </c>
      <c r="DH163" s="1">
        <f t="shared" ca="1" si="209"/>
        <v>384</v>
      </c>
      <c r="DI163" s="1">
        <f t="shared" ca="1" si="210"/>
        <v>0.23905622747049166</v>
      </c>
      <c r="DJ163" s="1">
        <f t="shared" ca="1" si="211"/>
        <v>30</v>
      </c>
      <c r="DL163" s="1">
        <f t="shared" ca="1" si="212"/>
        <v>2.6792591980712405E-2</v>
      </c>
      <c r="DM163" s="1">
        <f t="shared" ca="1" si="213"/>
        <v>102</v>
      </c>
      <c r="DN163" s="1">
        <f t="shared" ca="1" si="214"/>
        <v>8</v>
      </c>
      <c r="DW163" s="1">
        <f t="shared" ca="1" si="215"/>
        <v>332</v>
      </c>
      <c r="DX163" s="1">
        <f t="shared" ca="1" si="216"/>
        <v>11</v>
      </c>
      <c r="DY163" s="1">
        <f t="shared" ca="1" si="217"/>
        <v>7</v>
      </c>
    </row>
    <row r="164" spans="2:129" x14ac:dyDescent="0.25">
      <c r="B164">
        <f t="shared" ca="1" si="147"/>
        <v>203</v>
      </c>
      <c r="C164">
        <f t="shared" ca="1" si="148"/>
        <v>2</v>
      </c>
      <c r="D164">
        <f t="shared" ca="1" si="149"/>
        <v>0.25454060427851349</v>
      </c>
      <c r="F164" s="1">
        <f t="shared" ca="1" si="150"/>
        <v>38</v>
      </c>
      <c r="G164" s="1">
        <f t="shared" ca="1" si="151"/>
        <v>2</v>
      </c>
      <c r="H164" s="1">
        <f t="shared" ca="1" si="152"/>
        <v>2</v>
      </c>
      <c r="I164" s="1"/>
      <c r="J164" s="1">
        <f t="shared" ca="1" si="153"/>
        <v>26</v>
      </c>
      <c r="K164" s="1">
        <f t="shared" ca="1" si="154"/>
        <v>1.7812390046658348</v>
      </c>
      <c r="L164" s="1">
        <f t="shared" ca="1" si="155"/>
        <v>7</v>
      </c>
      <c r="M164" s="1"/>
      <c r="N164" s="1">
        <f t="shared" ca="1" si="156"/>
        <v>871</v>
      </c>
      <c r="O164" s="1">
        <f t="shared" ca="1" si="157"/>
        <v>5</v>
      </c>
      <c r="P164" s="1"/>
      <c r="Q164" s="1">
        <f t="shared" ca="1" si="158"/>
        <v>0.47515327285284437</v>
      </c>
      <c r="R164" s="1">
        <f t="shared" ca="1" si="159"/>
        <v>977</v>
      </c>
      <c r="S164" s="1"/>
      <c r="T164" s="1">
        <f t="shared" ca="1" si="160"/>
        <v>0.11464463468711844</v>
      </c>
      <c r="U164" s="1">
        <f t="shared" ca="1" si="161"/>
        <v>128</v>
      </c>
      <c r="V164" s="1">
        <f t="shared" ca="1" si="162"/>
        <v>40</v>
      </c>
      <c r="W164" s="1"/>
      <c r="X164" s="1">
        <f t="shared" ca="1" si="163"/>
        <v>0.24432720479458767</v>
      </c>
      <c r="Y164" s="1">
        <f t="shared" ca="1" si="164"/>
        <v>0.75098746370172731</v>
      </c>
      <c r="Z164" s="1">
        <f t="shared" ca="1" si="165"/>
        <v>1343</v>
      </c>
      <c r="AB164" s="1">
        <f t="shared" ca="1" si="166"/>
        <v>0.26066182232595486</v>
      </c>
      <c r="AC164" s="1">
        <f t="shared" ca="1" si="167"/>
        <v>910</v>
      </c>
      <c r="AD164" s="1">
        <f t="shared" ca="1" si="168"/>
        <v>4.9947017686178844E-3</v>
      </c>
      <c r="AE164" s="1"/>
      <c r="AF164" s="1">
        <f t="shared" ca="1" si="169"/>
        <v>0.16823134284667818</v>
      </c>
      <c r="AG164" s="1">
        <f t="shared" ca="1" si="170"/>
        <v>185</v>
      </c>
      <c r="AH164" s="1">
        <f t="shared" ca="1" si="171"/>
        <v>7.250550748599904E-3</v>
      </c>
      <c r="AJ164" s="1">
        <f t="shared" ca="1" si="172"/>
        <v>0.27944701192715493</v>
      </c>
      <c r="AK164" s="1">
        <f t="shared" ca="1" si="173"/>
        <v>7.0790650720930148E-4</v>
      </c>
      <c r="AL164" s="1"/>
      <c r="AM164" s="1">
        <f t="shared" ca="1" si="174"/>
        <v>9.4724190519997142E-2</v>
      </c>
      <c r="AN164" s="1">
        <f t="shared" ca="1" si="175"/>
        <v>80</v>
      </c>
      <c r="AO164" s="1">
        <f t="shared" ca="1" si="176"/>
        <v>6</v>
      </c>
      <c r="AQ164" s="1">
        <f t="shared" ca="1" si="177"/>
        <v>136</v>
      </c>
      <c r="AR164" s="1">
        <f t="shared" ca="1" si="178"/>
        <v>1</v>
      </c>
      <c r="AS164" s="1">
        <f t="shared" ca="1" si="179"/>
        <v>41</v>
      </c>
      <c r="AU164" s="1">
        <f t="shared" ca="1" si="180"/>
        <v>226</v>
      </c>
      <c r="AV164" s="1">
        <f t="shared" ca="1" si="181"/>
        <v>7</v>
      </c>
      <c r="AW164" s="1">
        <f t="shared" ca="1" si="182"/>
        <v>2.866838090519519E-2</v>
      </c>
      <c r="AY164" s="1">
        <f t="shared" ca="1" si="183"/>
        <v>1.4196445097971064</v>
      </c>
      <c r="AZ164" s="1">
        <f t="shared" ca="1" si="184"/>
        <v>250</v>
      </c>
      <c r="BA164" s="1">
        <f t="shared" ca="1" si="185"/>
        <v>9.4437608082294389E-3</v>
      </c>
      <c r="BG164" s="1">
        <f t="shared" ca="1" si="186"/>
        <v>0.75401343076031135</v>
      </c>
      <c r="BH164" s="1">
        <f t="shared" ca="1" si="187"/>
        <v>0.75403736448053971</v>
      </c>
      <c r="BI164" s="1">
        <f t="shared" ca="1" si="188"/>
        <v>365</v>
      </c>
      <c r="BV164" s="1">
        <f t="shared" ca="1" si="189"/>
        <v>0.24160075360512659</v>
      </c>
      <c r="BW164" s="1">
        <f t="shared" ca="1" si="190"/>
        <v>374</v>
      </c>
      <c r="BX164" s="1">
        <f t="shared" ca="1" si="191"/>
        <v>9.5747341049153487E-3</v>
      </c>
      <c r="BY164" s="1">
        <f t="shared" ca="1" si="192"/>
        <v>5.6437569364965925E-2</v>
      </c>
      <c r="BZ164" s="1">
        <f t="shared" ca="1" si="193"/>
        <v>0.26467685206320057</v>
      </c>
      <c r="CB164" s="1">
        <f t="shared" ca="1" si="194"/>
        <v>479</v>
      </c>
      <c r="CC164" s="1">
        <f t="shared" ca="1" si="195"/>
        <v>10</v>
      </c>
      <c r="CD164" s="1">
        <f t="shared" ca="1" si="196"/>
        <v>0.19210082242370183</v>
      </c>
      <c r="CE164" s="1">
        <f t="shared" ref="CE164:CF202" ca="1" si="218">RAND()*(1-0.5)+0.5</f>
        <v>0.6670183782761423</v>
      </c>
      <c r="CF164" s="1">
        <f t="shared" ca="1" si="218"/>
        <v>0.67149798036819508</v>
      </c>
      <c r="CH164" s="3">
        <f t="shared" ca="1" si="198"/>
        <v>6.1661665669881009E-2</v>
      </c>
      <c r="CI164" s="3">
        <f t="shared" ca="1" si="199"/>
        <v>0.35391890024741324</v>
      </c>
      <c r="CJ164" s="3">
        <f t="shared" ca="1" si="200"/>
        <v>1631</v>
      </c>
      <c r="CK164" s="3">
        <f t="shared" ca="1" si="201"/>
        <v>5.6988177113632774E-3</v>
      </c>
      <c r="CL164" s="3">
        <f t="shared" ca="1" si="202"/>
        <v>1</v>
      </c>
      <c r="CM164" s="3"/>
      <c r="CN164" s="1">
        <f t="shared" ca="1" si="203"/>
        <v>15.072307661283737</v>
      </c>
      <c r="CO164" s="1">
        <f t="shared" ca="1" si="204"/>
        <v>0.11144772856679755</v>
      </c>
      <c r="CP164" s="1">
        <f t="shared" ca="1" si="205"/>
        <v>4</v>
      </c>
      <c r="CV164" s="1">
        <f t="shared" ca="1" si="206"/>
        <v>6.026599699840812</v>
      </c>
      <c r="CW164" s="1">
        <f t="shared" ca="1" si="207"/>
        <v>1064</v>
      </c>
      <c r="CX164" s="1">
        <f t="shared" ca="1" si="208"/>
        <v>7.7617613966949476E-3</v>
      </c>
      <c r="DH164" s="1">
        <f t="shared" ca="1" si="209"/>
        <v>264</v>
      </c>
      <c r="DI164" s="1">
        <f t="shared" ca="1" si="210"/>
        <v>0.37471473930876226</v>
      </c>
      <c r="DJ164" s="1">
        <f t="shared" ca="1" si="211"/>
        <v>21</v>
      </c>
      <c r="DL164" s="1">
        <f t="shared" ca="1" si="212"/>
        <v>8.369904498519716E-2</v>
      </c>
      <c r="DM164" s="1">
        <f t="shared" ca="1" si="213"/>
        <v>296</v>
      </c>
      <c r="DN164" s="1">
        <f t="shared" ca="1" si="214"/>
        <v>9</v>
      </c>
      <c r="DW164" s="1">
        <f t="shared" ca="1" si="215"/>
        <v>478</v>
      </c>
      <c r="DX164" s="1">
        <f t="shared" ca="1" si="216"/>
        <v>11</v>
      </c>
      <c r="DY164" s="1">
        <f t="shared" ca="1" si="217"/>
        <v>5</v>
      </c>
    </row>
    <row r="165" spans="2:129" x14ac:dyDescent="0.25">
      <c r="B165">
        <f t="shared" ca="1" si="147"/>
        <v>286</v>
      </c>
      <c r="C165">
        <f t="shared" ca="1" si="148"/>
        <v>5</v>
      </c>
      <c r="D165">
        <f t="shared" ca="1" si="149"/>
        <v>0.28085000990787512</v>
      </c>
      <c r="F165" s="1">
        <f t="shared" ca="1" si="150"/>
        <v>25</v>
      </c>
      <c r="G165" s="1">
        <f t="shared" ca="1" si="151"/>
        <v>5</v>
      </c>
      <c r="H165" s="1">
        <f t="shared" ca="1" si="152"/>
        <v>12</v>
      </c>
      <c r="I165" s="1"/>
      <c r="J165" s="1">
        <f t="shared" ca="1" si="153"/>
        <v>30</v>
      </c>
      <c r="K165" s="1">
        <f t="shared" ca="1" si="154"/>
        <v>1.9984088700773268</v>
      </c>
      <c r="L165" s="1">
        <f t="shared" ca="1" si="155"/>
        <v>35</v>
      </c>
      <c r="M165" s="1"/>
      <c r="N165" s="1">
        <f t="shared" ca="1" si="156"/>
        <v>279</v>
      </c>
      <c r="O165" s="1">
        <f t="shared" ca="1" si="157"/>
        <v>18</v>
      </c>
      <c r="P165" s="1"/>
      <c r="Q165" s="1">
        <f t="shared" ca="1" si="158"/>
        <v>0.98800341175302142</v>
      </c>
      <c r="R165" s="1">
        <f t="shared" ca="1" si="159"/>
        <v>291</v>
      </c>
      <c r="S165" s="1"/>
      <c r="T165" s="1">
        <f t="shared" ca="1" si="160"/>
        <v>0.11466341747923357</v>
      </c>
      <c r="U165" s="1">
        <f t="shared" ca="1" si="161"/>
        <v>268</v>
      </c>
      <c r="V165" s="1">
        <f t="shared" ca="1" si="162"/>
        <v>5</v>
      </c>
      <c r="W165" s="1"/>
      <c r="X165" s="1">
        <f t="shared" ca="1" si="163"/>
        <v>8.6232091369709689</v>
      </c>
      <c r="Y165" s="1">
        <f t="shared" ca="1" si="164"/>
        <v>0.29324038953688719</v>
      </c>
      <c r="Z165" s="1">
        <f t="shared" ca="1" si="165"/>
        <v>1685</v>
      </c>
      <c r="AB165" s="1">
        <f t="shared" ca="1" si="166"/>
        <v>0.5538006066336324</v>
      </c>
      <c r="AC165" s="1">
        <f t="shared" ca="1" si="167"/>
        <v>160</v>
      </c>
      <c r="AD165" s="1">
        <f t="shared" ca="1" si="168"/>
        <v>5.2258869544465009E-3</v>
      </c>
      <c r="AE165" s="1"/>
      <c r="AF165" s="1">
        <f t="shared" ca="1" si="169"/>
        <v>0.87468839378865371</v>
      </c>
      <c r="AG165" s="1">
        <f t="shared" ca="1" si="170"/>
        <v>358</v>
      </c>
      <c r="AH165" s="1">
        <f t="shared" ca="1" si="171"/>
        <v>3.099413469677779E-3</v>
      </c>
      <c r="AJ165" s="1">
        <f t="shared" ca="1" si="172"/>
        <v>0.77423135432062717</v>
      </c>
      <c r="AK165" s="1">
        <f t="shared" ca="1" si="173"/>
        <v>4.0150182811726819E-3</v>
      </c>
      <c r="AL165" s="1"/>
      <c r="AM165" s="1">
        <f t="shared" ca="1" si="174"/>
        <v>0.18958899411310698</v>
      </c>
      <c r="AN165" s="1">
        <f t="shared" ca="1" si="175"/>
        <v>19</v>
      </c>
      <c r="AO165" s="1">
        <f t="shared" ca="1" si="176"/>
        <v>5</v>
      </c>
      <c r="AQ165" s="1">
        <f t="shared" ca="1" si="177"/>
        <v>172</v>
      </c>
      <c r="AR165" s="1">
        <f t="shared" ca="1" si="178"/>
        <v>3</v>
      </c>
      <c r="AS165" s="1">
        <f t="shared" ca="1" si="179"/>
        <v>12</v>
      </c>
      <c r="AU165" s="1">
        <f t="shared" ca="1" si="180"/>
        <v>400</v>
      </c>
      <c r="AV165" s="1">
        <f t="shared" ca="1" si="181"/>
        <v>4</v>
      </c>
      <c r="AW165" s="1">
        <f t="shared" ca="1" si="182"/>
        <v>0.15793997453769229</v>
      </c>
      <c r="AY165" s="1">
        <f t="shared" ca="1" si="183"/>
        <v>1.435933307940839</v>
      </c>
      <c r="AZ165" s="1">
        <f t="shared" ca="1" si="184"/>
        <v>290</v>
      </c>
      <c r="BA165" s="1">
        <f t="shared" ca="1" si="185"/>
        <v>9.8686867171450428E-3</v>
      </c>
      <c r="BG165" s="1">
        <f t="shared" ca="1" si="186"/>
        <v>0.12348292178928436</v>
      </c>
      <c r="BH165" s="1">
        <f t="shared" ca="1" si="187"/>
        <v>0.65652035430261413</v>
      </c>
      <c r="BI165" s="1">
        <f t="shared" ca="1" si="188"/>
        <v>489</v>
      </c>
      <c r="BV165" s="1">
        <f t="shared" ca="1" si="189"/>
        <v>0.63255036788284902</v>
      </c>
      <c r="BW165" s="1">
        <f t="shared" ca="1" si="190"/>
        <v>708</v>
      </c>
      <c r="BX165" s="1">
        <f t="shared" ca="1" si="191"/>
        <v>9.780274612636081E-3</v>
      </c>
      <c r="BY165" s="1">
        <f t="shared" ca="1" si="192"/>
        <v>6.8981131288736758E-2</v>
      </c>
      <c r="BZ165" s="1">
        <f t="shared" ca="1" si="193"/>
        <v>0.80547834729099366</v>
      </c>
      <c r="CB165" s="1">
        <f t="shared" ca="1" si="194"/>
        <v>129</v>
      </c>
      <c r="CC165" s="1">
        <f t="shared" ca="1" si="195"/>
        <v>13</v>
      </c>
      <c r="CD165" s="1">
        <f t="shared" ca="1" si="196"/>
        <v>0.14907872192610361</v>
      </c>
      <c r="CE165" s="1">
        <f t="shared" ca="1" si="218"/>
        <v>0.77473052692036315</v>
      </c>
      <c r="CF165" s="1">
        <f t="shared" ca="1" si="218"/>
        <v>0.84548371141121381</v>
      </c>
      <c r="CH165" s="3">
        <f t="shared" ca="1" si="198"/>
        <v>6.9243481692847969E-2</v>
      </c>
      <c r="CI165" s="3">
        <f t="shared" ca="1" si="199"/>
        <v>0.15201760496952013</v>
      </c>
      <c r="CJ165" s="3">
        <f t="shared" ca="1" si="200"/>
        <v>1565</v>
      </c>
      <c r="CK165" s="3">
        <f t="shared" ca="1" si="201"/>
        <v>3.8591408816162306E-3</v>
      </c>
      <c r="CL165" s="3">
        <f t="shared" ca="1" si="202"/>
        <v>1</v>
      </c>
      <c r="CM165" s="3"/>
      <c r="CN165" s="1">
        <f t="shared" ca="1" si="203"/>
        <v>1.8886664819604309</v>
      </c>
      <c r="CO165" s="1">
        <f t="shared" ca="1" si="204"/>
        <v>0.43835060893534583</v>
      </c>
      <c r="CP165" s="1">
        <f t="shared" ca="1" si="205"/>
        <v>4</v>
      </c>
      <c r="CV165" s="1">
        <f t="shared" ca="1" si="206"/>
        <v>9.4797199913535408</v>
      </c>
      <c r="CW165" s="1">
        <f t="shared" ca="1" si="207"/>
        <v>1626</v>
      </c>
      <c r="CX165" s="1">
        <f t="shared" ca="1" si="208"/>
        <v>8.0895885643395501E-6</v>
      </c>
      <c r="DH165" s="1">
        <f t="shared" ca="1" si="209"/>
        <v>126</v>
      </c>
      <c r="DI165" s="1">
        <f t="shared" ca="1" si="210"/>
        <v>0.57427894636391275</v>
      </c>
      <c r="DJ165" s="1">
        <f t="shared" ca="1" si="211"/>
        <v>26</v>
      </c>
      <c r="DL165" s="1">
        <f t="shared" ca="1" si="212"/>
        <v>0.16549055628778508</v>
      </c>
      <c r="DM165" s="1">
        <f t="shared" ca="1" si="213"/>
        <v>220</v>
      </c>
      <c r="DN165" s="1">
        <f t="shared" ca="1" si="214"/>
        <v>9</v>
      </c>
      <c r="DW165" s="1">
        <f t="shared" ca="1" si="215"/>
        <v>368</v>
      </c>
      <c r="DX165" s="1">
        <f t="shared" ca="1" si="216"/>
        <v>10</v>
      </c>
      <c r="DY165" s="1">
        <f t="shared" ca="1" si="217"/>
        <v>10</v>
      </c>
    </row>
    <row r="166" spans="2:129" x14ac:dyDescent="0.25">
      <c r="B166">
        <f t="shared" ca="1" si="147"/>
        <v>919</v>
      </c>
      <c r="C166">
        <f t="shared" ca="1" si="148"/>
        <v>6</v>
      </c>
      <c r="D166">
        <f t="shared" ca="1" si="149"/>
        <v>0.20182177814924346</v>
      </c>
      <c r="F166" s="1">
        <f t="shared" ca="1" si="150"/>
        <v>14</v>
      </c>
      <c r="G166" s="1">
        <f t="shared" ca="1" si="151"/>
        <v>22</v>
      </c>
      <c r="H166" s="1">
        <f t="shared" ca="1" si="152"/>
        <v>9</v>
      </c>
      <c r="I166" s="1"/>
      <c r="J166" s="1">
        <f t="shared" ca="1" si="153"/>
        <v>1</v>
      </c>
      <c r="K166" s="1">
        <f t="shared" ca="1" si="154"/>
        <v>1.096293253060413</v>
      </c>
      <c r="L166" s="1">
        <f t="shared" ca="1" si="155"/>
        <v>2</v>
      </c>
      <c r="M166" s="1"/>
      <c r="N166" s="1">
        <f t="shared" ca="1" si="156"/>
        <v>807</v>
      </c>
      <c r="O166" s="1">
        <f t="shared" ca="1" si="157"/>
        <v>51</v>
      </c>
      <c r="P166" s="1"/>
      <c r="Q166" s="1">
        <f t="shared" ca="1" si="158"/>
        <v>4.0603861074034011</v>
      </c>
      <c r="R166" s="1">
        <f t="shared" ca="1" si="159"/>
        <v>991</v>
      </c>
      <c r="S166" s="1"/>
      <c r="T166" s="1">
        <f t="shared" ca="1" si="160"/>
        <v>3.7924555873649367E-2</v>
      </c>
      <c r="U166" s="1">
        <f t="shared" ca="1" si="161"/>
        <v>306</v>
      </c>
      <c r="V166" s="1">
        <f t="shared" ca="1" si="162"/>
        <v>2</v>
      </c>
      <c r="W166" s="1"/>
      <c r="X166" s="1">
        <f t="shared" ca="1" si="163"/>
        <v>6.76368422579485</v>
      </c>
      <c r="Y166" s="1">
        <f t="shared" ca="1" si="164"/>
        <v>0.59555442800464731</v>
      </c>
      <c r="Z166" s="1">
        <f t="shared" ca="1" si="165"/>
        <v>1512</v>
      </c>
      <c r="AB166" s="1">
        <f t="shared" ca="1" si="166"/>
        <v>0.43567193493426354</v>
      </c>
      <c r="AC166" s="1">
        <f t="shared" ca="1" si="167"/>
        <v>950</v>
      </c>
      <c r="AD166" s="1">
        <f t="shared" ca="1" si="168"/>
        <v>5.3998902833448277E-3</v>
      </c>
      <c r="AE166" s="1"/>
      <c r="AF166" s="1">
        <f t="shared" ca="1" si="169"/>
        <v>0.15970304873088628</v>
      </c>
      <c r="AG166" s="1">
        <f t="shared" ca="1" si="170"/>
        <v>310</v>
      </c>
      <c r="AH166" s="1">
        <f t="shared" ca="1" si="171"/>
        <v>4.9261478421424119E-3</v>
      </c>
      <c r="AJ166" s="1">
        <f t="shared" ca="1" si="172"/>
        <v>0.1886984503801149</v>
      </c>
      <c r="AK166" s="1">
        <f t="shared" ca="1" si="173"/>
        <v>8.693051146372038E-3</v>
      </c>
      <c r="AL166" s="1"/>
      <c r="AM166" s="1">
        <f t="shared" ca="1" si="174"/>
        <v>0.13801256980578108</v>
      </c>
      <c r="AN166" s="1">
        <f t="shared" ca="1" si="175"/>
        <v>74</v>
      </c>
      <c r="AO166" s="1">
        <f t="shared" ca="1" si="176"/>
        <v>-1</v>
      </c>
      <c r="AQ166" s="1">
        <f t="shared" ca="1" si="177"/>
        <v>55</v>
      </c>
      <c r="AR166" s="1">
        <f t="shared" ca="1" si="178"/>
        <v>4</v>
      </c>
      <c r="AS166" s="1">
        <f t="shared" ca="1" si="179"/>
        <v>9</v>
      </c>
      <c r="AU166" s="1">
        <f t="shared" ca="1" si="180"/>
        <v>200</v>
      </c>
      <c r="AV166" s="1">
        <f t="shared" ca="1" si="181"/>
        <v>5</v>
      </c>
      <c r="AW166" s="1">
        <f t="shared" ca="1" si="182"/>
        <v>4.7667360392793977E-2</v>
      </c>
      <c r="AY166" s="1">
        <f t="shared" ca="1" si="183"/>
        <v>1.9017377912688342</v>
      </c>
      <c r="AZ166" s="1">
        <f t="shared" ca="1" si="184"/>
        <v>466</v>
      </c>
      <c r="BA166" s="1">
        <f t="shared" ca="1" si="185"/>
        <v>8.4232833425818934E-5</v>
      </c>
      <c r="BG166" s="1">
        <f t="shared" ca="1" si="186"/>
        <v>0.9546969538819412</v>
      </c>
      <c r="BH166" s="1">
        <f t="shared" ca="1" si="187"/>
        <v>0.80233240442050757</v>
      </c>
      <c r="BI166" s="1">
        <f t="shared" ca="1" si="188"/>
        <v>930</v>
      </c>
      <c r="BV166" s="1">
        <f t="shared" ca="1" si="189"/>
        <v>0.93209858051761807</v>
      </c>
      <c r="BW166" s="1">
        <f t="shared" ca="1" si="190"/>
        <v>615</v>
      </c>
      <c r="BX166" s="1">
        <f t="shared" ca="1" si="191"/>
        <v>5.8970171854522231E-3</v>
      </c>
      <c r="BY166" s="1">
        <f t="shared" ca="1" si="192"/>
        <v>6.8588672100833761E-2</v>
      </c>
      <c r="BZ166" s="1">
        <f t="shared" ca="1" si="193"/>
        <v>0.86260832822837208</v>
      </c>
      <c r="CB166" s="1">
        <f t="shared" ca="1" si="194"/>
        <v>310</v>
      </c>
      <c r="CC166" s="1">
        <f t="shared" ca="1" si="195"/>
        <v>14</v>
      </c>
      <c r="CD166" s="1">
        <f t="shared" ca="1" si="196"/>
        <v>0.16748625442349208</v>
      </c>
      <c r="CE166" s="1">
        <f t="shared" ca="1" si="218"/>
        <v>0.66991789330963791</v>
      </c>
      <c r="CF166" s="1">
        <f t="shared" ca="1" si="218"/>
        <v>0.50462721810743172</v>
      </c>
      <c r="CH166" s="3">
        <f t="shared" ca="1" si="198"/>
        <v>0.38452944922343424</v>
      </c>
      <c r="CI166" s="3">
        <f t="shared" ca="1" si="199"/>
        <v>0.97326569948500763</v>
      </c>
      <c r="CJ166" s="3">
        <f t="shared" ca="1" si="200"/>
        <v>785</v>
      </c>
      <c r="CK166" s="3">
        <f t="shared" ca="1" si="201"/>
        <v>3.9762481565284984E-3</v>
      </c>
      <c r="CL166" s="3">
        <f t="shared" ca="1" si="202"/>
        <v>0</v>
      </c>
      <c r="CM166" s="3"/>
      <c r="CN166" s="1">
        <f t="shared" ca="1" si="203"/>
        <v>11.839784616985538</v>
      </c>
      <c r="CO166" s="1">
        <f t="shared" ca="1" si="204"/>
        <v>0.35185836591040209</v>
      </c>
      <c r="CP166" s="1">
        <f t="shared" ca="1" si="205"/>
        <v>5</v>
      </c>
      <c r="CV166" s="1">
        <f t="shared" ca="1" si="206"/>
        <v>9.7504657828011023</v>
      </c>
      <c r="CW166" s="1">
        <f t="shared" ca="1" si="207"/>
        <v>605</v>
      </c>
      <c r="CX166" s="1">
        <f t="shared" ca="1" si="208"/>
        <v>9.9667000451515997E-3</v>
      </c>
      <c r="DH166" s="1">
        <f t="shared" ca="1" si="209"/>
        <v>355</v>
      </c>
      <c r="DI166" s="1">
        <f t="shared" ca="1" si="210"/>
        <v>0.81185246200298811</v>
      </c>
      <c r="DJ166" s="1">
        <f t="shared" ca="1" si="211"/>
        <v>15</v>
      </c>
      <c r="DL166" s="1">
        <f t="shared" ca="1" si="212"/>
        <v>8.1022404207335488E-2</v>
      </c>
      <c r="DM166" s="1">
        <f t="shared" ca="1" si="213"/>
        <v>124</v>
      </c>
      <c r="DN166" s="1">
        <f t="shared" ca="1" si="214"/>
        <v>9</v>
      </c>
      <c r="DW166" s="1">
        <f t="shared" ca="1" si="215"/>
        <v>359</v>
      </c>
      <c r="DX166" s="1">
        <f t="shared" ca="1" si="216"/>
        <v>14</v>
      </c>
      <c r="DY166" s="1">
        <f t="shared" ca="1" si="217"/>
        <v>19</v>
      </c>
    </row>
    <row r="167" spans="2:129" x14ac:dyDescent="0.25">
      <c r="B167">
        <f t="shared" ca="1" si="147"/>
        <v>443</v>
      </c>
      <c r="C167">
        <f t="shared" ca="1" si="148"/>
        <v>47</v>
      </c>
      <c r="D167">
        <f t="shared" ca="1" si="149"/>
        <v>0.21494520907870288</v>
      </c>
      <c r="F167" s="1">
        <f t="shared" ca="1" si="150"/>
        <v>33</v>
      </c>
      <c r="G167" s="1">
        <f t="shared" ca="1" si="151"/>
        <v>21</v>
      </c>
      <c r="H167" s="1">
        <f t="shared" ca="1" si="152"/>
        <v>10</v>
      </c>
      <c r="I167" s="1"/>
      <c r="J167" s="1">
        <f t="shared" ca="1" si="153"/>
        <v>6</v>
      </c>
      <c r="K167" s="1">
        <f t="shared" ca="1" si="154"/>
        <v>2.3372874586690306</v>
      </c>
      <c r="L167" s="1">
        <f t="shared" ca="1" si="155"/>
        <v>4</v>
      </c>
      <c r="M167" s="1"/>
      <c r="N167" s="1">
        <f t="shared" ca="1" si="156"/>
        <v>800</v>
      </c>
      <c r="O167" s="1">
        <f t="shared" ca="1" si="157"/>
        <v>21</v>
      </c>
      <c r="P167" s="1"/>
      <c r="Q167" s="1">
        <f t="shared" ca="1" si="158"/>
        <v>0.58107430187648601</v>
      </c>
      <c r="R167" s="1">
        <f t="shared" ca="1" si="159"/>
        <v>1062</v>
      </c>
      <c r="S167" s="1"/>
      <c r="T167" s="1">
        <f t="shared" ca="1" si="160"/>
        <v>4.2402628723740628E-2</v>
      </c>
      <c r="U167" s="1">
        <f t="shared" ca="1" si="161"/>
        <v>255</v>
      </c>
      <c r="V167" s="1">
        <f t="shared" ca="1" si="162"/>
        <v>14</v>
      </c>
      <c r="W167" s="1"/>
      <c r="X167" s="1">
        <f t="shared" ca="1" si="163"/>
        <v>4.1518472109794882</v>
      </c>
      <c r="Y167" s="1">
        <f t="shared" ca="1" si="164"/>
        <v>3.3252332160631934E-2</v>
      </c>
      <c r="Z167" s="1">
        <f t="shared" ca="1" si="165"/>
        <v>190</v>
      </c>
      <c r="AB167" s="1">
        <f t="shared" ca="1" si="166"/>
        <v>0.15652931757924143</v>
      </c>
      <c r="AC167" s="1">
        <f t="shared" ca="1" si="167"/>
        <v>198</v>
      </c>
      <c r="AD167" s="1">
        <f t="shared" ca="1" si="168"/>
        <v>6.5457692835119629E-3</v>
      </c>
      <c r="AE167" s="1"/>
      <c r="AF167" s="1">
        <f t="shared" ca="1" si="169"/>
        <v>0.3376175459865155</v>
      </c>
      <c r="AG167" s="1">
        <f t="shared" ca="1" si="170"/>
        <v>659</v>
      </c>
      <c r="AH167" s="1">
        <f t="shared" ca="1" si="171"/>
        <v>7.6624106915746939E-3</v>
      </c>
      <c r="AJ167" s="1">
        <f t="shared" ca="1" si="172"/>
        <v>0.31740739012421126</v>
      </c>
      <c r="AK167" s="1">
        <f t="shared" ca="1" si="173"/>
        <v>8.331946632204823E-3</v>
      </c>
      <c r="AL167" s="1"/>
      <c r="AM167" s="1">
        <f t="shared" ca="1" si="174"/>
        <v>8.0030652775576763E-2</v>
      </c>
      <c r="AN167" s="1">
        <f t="shared" ca="1" si="175"/>
        <v>51</v>
      </c>
      <c r="AO167" s="1">
        <f t="shared" ca="1" si="176"/>
        <v>13</v>
      </c>
      <c r="AQ167" s="1">
        <f t="shared" ca="1" si="177"/>
        <v>154</v>
      </c>
      <c r="AR167" s="1">
        <f t="shared" ca="1" si="178"/>
        <v>4</v>
      </c>
      <c r="AS167" s="1">
        <f t="shared" ca="1" si="179"/>
        <v>56</v>
      </c>
      <c r="AU167" s="1">
        <f t="shared" ca="1" si="180"/>
        <v>84</v>
      </c>
      <c r="AV167" s="1">
        <f t="shared" ca="1" si="181"/>
        <v>8</v>
      </c>
      <c r="AW167" s="1">
        <f t="shared" ca="1" si="182"/>
        <v>0.10113071839011753</v>
      </c>
      <c r="AY167" s="1">
        <f t="shared" ca="1" si="183"/>
        <v>1.7345804112703163</v>
      </c>
      <c r="AZ167" s="1">
        <f t="shared" ca="1" si="184"/>
        <v>463</v>
      </c>
      <c r="BA167" s="1">
        <f t="shared" ca="1" si="185"/>
        <v>9.6285469511502757E-4</v>
      </c>
      <c r="BG167" s="1">
        <f t="shared" ca="1" si="186"/>
        <v>0.57530416158529363</v>
      </c>
      <c r="BH167" s="1">
        <f t="shared" ca="1" si="187"/>
        <v>0.93023121553146237</v>
      </c>
      <c r="BI167" s="1">
        <f t="shared" ca="1" si="188"/>
        <v>325</v>
      </c>
      <c r="BV167" s="1">
        <f t="shared" ca="1" si="189"/>
        <v>4.7507590728146407E-2</v>
      </c>
      <c r="BW167" s="1">
        <f t="shared" ca="1" si="190"/>
        <v>744</v>
      </c>
      <c r="BX167" s="1">
        <f t="shared" ca="1" si="191"/>
        <v>5.5134117738083535E-3</v>
      </c>
      <c r="BY167" s="1">
        <f t="shared" ca="1" si="192"/>
        <v>8.1203709666253704E-2</v>
      </c>
      <c r="BZ167" s="1">
        <f t="shared" ca="1" si="193"/>
        <v>0.13810679651781399</v>
      </c>
      <c r="CB167" s="1">
        <f t="shared" ca="1" si="194"/>
        <v>363</v>
      </c>
      <c r="CC167" s="1">
        <f t="shared" ca="1" si="195"/>
        <v>12</v>
      </c>
      <c r="CD167" s="1">
        <f t="shared" ca="1" si="196"/>
        <v>1.0488472992067614E-2</v>
      </c>
      <c r="CE167" s="1">
        <f t="shared" ca="1" si="218"/>
        <v>0.75646132758832185</v>
      </c>
      <c r="CF167" s="1">
        <f t="shared" ca="1" si="218"/>
        <v>0.68436268008581014</v>
      </c>
      <c r="CH167" s="3">
        <f t="shared" ca="1" si="198"/>
        <v>0.36740224480573863</v>
      </c>
      <c r="CI167" s="3">
        <f t="shared" ca="1" si="199"/>
        <v>0.34435061584287996</v>
      </c>
      <c r="CJ167" s="3">
        <f t="shared" ca="1" si="200"/>
        <v>694</v>
      </c>
      <c r="CK167" s="3">
        <f t="shared" ca="1" si="201"/>
        <v>1.1652322154177565E-3</v>
      </c>
      <c r="CL167" s="3">
        <f t="shared" ca="1" si="202"/>
        <v>1</v>
      </c>
      <c r="CM167" s="3"/>
      <c r="CN167" s="1">
        <f t="shared" ca="1" si="203"/>
        <v>9.5214435604459879</v>
      </c>
      <c r="CO167" s="1">
        <f t="shared" ca="1" si="204"/>
        <v>0.2457739723522987</v>
      </c>
      <c r="CP167" s="1">
        <f t="shared" ca="1" si="205"/>
        <v>2</v>
      </c>
      <c r="CV167" s="1">
        <f t="shared" ca="1" si="206"/>
        <v>9.4108865956048255</v>
      </c>
      <c r="CW167" s="1">
        <f t="shared" ca="1" si="207"/>
        <v>1049</v>
      </c>
      <c r="CX167" s="1">
        <f t="shared" ca="1" si="208"/>
        <v>1.5966787526901793E-3</v>
      </c>
      <c r="DH167" s="1">
        <f t="shared" ca="1" si="209"/>
        <v>633</v>
      </c>
      <c r="DI167" s="1">
        <f t="shared" ca="1" si="210"/>
        <v>0.99002130353771656</v>
      </c>
      <c r="DJ167" s="1">
        <f t="shared" ca="1" si="211"/>
        <v>10</v>
      </c>
      <c r="DL167" s="1">
        <f t="shared" ca="1" si="212"/>
        <v>0.18585466489838529</v>
      </c>
      <c r="DM167" s="1">
        <f t="shared" ca="1" si="213"/>
        <v>73</v>
      </c>
      <c r="DN167" s="1">
        <f t="shared" ca="1" si="214"/>
        <v>6</v>
      </c>
      <c r="DW167" s="1">
        <f t="shared" ca="1" si="215"/>
        <v>443</v>
      </c>
      <c r="DX167" s="1">
        <f t="shared" ca="1" si="216"/>
        <v>11</v>
      </c>
      <c r="DY167" s="1">
        <f t="shared" ca="1" si="217"/>
        <v>17</v>
      </c>
    </row>
    <row r="168" spans="2:129" x14ac:dyDescent="0.25">
      <c r="B168">
        <f t="shared" ca="1" si="147"/>
        <v>843</v>
      </c>
      <c r="C168">
        <f t="shared" ca="1" si="148"/>
        <v>29</v>
      </c>
      <c r="D168">
        <f t="shared" ca="1" si="149"/>
        <v>0.12517267059612297</v>
      </c>
      <c r="F168" s="1">
        <f t="shared" ca="1" si="150"/>
        <v>2</v>
      </c>
      <c r="G168" s="1">
        <f t="shared" ca="1" si="151"/>
        <v>28</v>
      </c>
      <c r="H168" s="1">
        <f t="shared" ca="1" si="152"/>
        <v>11</v>
      </c>
      <c r="I168" s="1"/>
      <c r="J168" s="1">
        <f t="shared" ca="1" si="153"/>
        <v>38</v>
      </c>
      <c r="K168" s="1">
        <f t="shared" ca="1" si="154"/>
        <v>2.467478891444248</v>
      </c>
      <c r="L168" s="1">
        <f t="shared" ca="1" si="155"/>
        <v>29</v>
      </c>
      <c r="M168" s="1"/>
      <c r="N168" s="1">
        <f t="shared" ca="1" si="156"/>
        <v>854</v>
      </c>
      <c r="O168" s="1">
        <f t="shared" ca="1" si="157"/>
        <v>29</v>
      </c>
      <c r="P168" s="1"/>
      <c r="Q168" s="1">
        <f t="shared" ca="1" si="158"/>
        <v>4.9528122722646035</v>
      </c>
      <c r="R168" s="1">
        <f t="shared" ca="1" si="159"/>
        <v>1106</v>
      </c>
      <c r="S168" s="1"/>
      <c r="T168" s="1">
        <f t="shared" ca="1" si="160"/>
        <v>0.11546872211158356</v>
      </c>
      <c r="U168" s="1">
        <f t="shared" ca="1" si="161"/>
        <v>342</v>
      </c>
      <c r="V168" s="1">
        <f t="shared" ca="1" si="162"/>
        <v>42</v>
      </c>
      <c r="W168" s="1"/>
      <c r="X168" s="1">
        <f t="shared" ca="1" si="163"/>
        <v>4.2765984393551264</v>
      </c>
      <c r="Y168" s="1">
        <f t="shared" ca="1" si="164"/>
        <v>0.64581942236459366</v>
      </c>
      <c r="Z168" s="1">
        <f t="shared" ca="1" si="165"/>
        <v>916</v>
      </c>
      <c r="AB168" s="1">
        <f t="shared" ca="1" si="166"/>
        <v>0.32494738941504209</v>
      </c>
      <c r="AC168" s="1">
        <f t="shared" ca="1" si="167"/>
        <v>773</v>
      </c>
      <c r="AD168" s="1">
        <f t="shared" ca="1" si="168"/>
        <v>7.0357237121836079E-3</v>
      </c>
      <c r="AE168" s="1"/>
      <c r="AF168" s="1">
        <f t="shared" ca="1" si="169"/>
        <v>0.60488784119862304</v>
      </c>
      <c r="AG168" s="1">
        <f t="shared" ca="1" si="170"/>
        <v>948</v>
      </c>
      <c r="AH168" s="1">
        <f t="shared" ca="1" si="171"/>
        <v>1.4283344852381744E-3</v>
      </c>
      <c r="AJ168" s="1">
        <f t="shared" ca="1" si="172"/>
        <v>0.79648540673549506</v>
      </c>
      <c r="AK168" s="1">
        <f t="shared" ca="1" si="173"/>
        <v>1.536888327437364E-3</v>
      </c>
      <c r="AL168" s="1"/>
      <c r="AM168" s="1">
        <f t="shared" ca="1" si="174"/>
        <v>4.3701258688265743E-2</v>
      </c>
      <c r="AN168" s="1">
        <f t="shared" ca="1" si="175"/>
        <v>33</v>
      </c>
      <c r="AO168" s="1">
        <f t="shared" ca="1" si="176"/>
        <v>14</v>
      </c>
      <c r="AQ168" s="1">
        <f t="shared" ca="1" si="177"/>
        <v>146</v>
      </c>
      <c r="AR168" s="1">
        <f t="shared" ca="1" si="178"/>
        <v>9</v>
      </c>
      <c r="AS168" s="1">
        <f t="shared" ca="1" si="179"/>
        <v>68</v>
      </c>
      <c r="AU168" s="1">
        <f t="shared" ca="1" si="180"/>
        <v>196</v>
      </c>
      <c r="AV168" s="1">
        <f t="shared" ca="1" si="181"/>
        <v>5</v>
      </c>
      <c r="AW168" s="1">
        <f t="shared" ca="1" si="182"/>
        <v>0.10433989716254906</v>
      </c>
      <c r="AY168" s="1">
        <f t="shared" ca="1" si="183"/>
        <v>1.4054622569707904</v>
      </c>
      <c r="AZ168" s="1">
        <f t="shared" ca="1" si="184"/>
        <v>151</v>
      </c>
      <c r="BA168" s="1">
        <f t="shared" ca="1" si="185"/>
        <v>4.5633369001431745E-4</v>
      </c>
      <c r="BG168" s="1">
        <f t="shared" ca="1" si="186"/>
        <v>0.79195439345739504</v>
      </c>
      <c r="BH168" s="1">
        <f t="shared" ca="1" si="187"/>
        <v>0.44558752192514361</v>
      </c>
      <c r="BI168" s="1">
        <f t="shared" ca="1" si="188"/>
        <v>105</v>
      </c>
      <c r="BV168" s="1">
        <f t="shared" ca="1" si="189"/>
        <v>0.77109855469249811</v>
      </c>
      <c r="BW168" s="1">
        <f t="shared" ca="1" si="190"/>
        <v>660</v>
      </c>
      <c r="BX168" s="1">
        <f t="shared" ca="1" si="191"/>
        <v>9.3181689326521117E-3</v>
      </c>
      <c r="BY168" s="1">
        <f t="shared" ca="1" si="192"/>
        <v>7.5206476006635173E-2</v>
      </c>
      <c r="BZ168" s="1">
        <f t="shared" ca="1" si="193"/>
        <v>0.78735680447355072</v>
      </c>
      <c r="CB168" s="1">
        <f t="shared" ca="1" si="194"/>
        <v>97</v>
      </c>
      <c r="CC168" s="1">
        <f t="shared" ca="1" si="195"/>
        <v>12</v>
      </c>
      <c r="CD168" s="1">
        <f t="shared" ca="1" si="196"/>
        <v>0.29862083675204221</v>
      </c>
      <c r="CE168" s="1">
        <f t="shared" ca="1" si="218"/>
        <v>0.89881998628420323</v>
      </c>
      <c r="CF168" s="1">
        <f t="shared" ca="1" si="218"/>
        <v>0.63610129517693592</v>
      </c>
      <c r="CH168" s="3">
        <f t="shared" ca="1" si="198"/>
        <v>0.20217850350382341</v>
      </c>
      <c r="CI168" s="3">
        <f t="shared" ca="1" si="199"/>
        <v>0.71774428404003743</v>
      </c>
      <c r="CJ168" s="3">
        <f t="shared" ca="1" si="200"/>
        <v>151</v>
      </c>
      <c r="CK168" s="3">
        <f t="shared" ca="1" si="201"/>
        <v>2.4114786283576102E-3</v>
      </c>
      <c r="CL168" s="3">
        <f t="shared" ca="1" si="202"/>
        <v>1</v>
      </c>
      <c r="CM168" s="3"/>
      <c r="CN168" s="1">
        <f t="shared" ca="1" si="203"/>
        <v>1.7227328905095012</v>
      </c>
      <c r="CO168" s="1">
        <f t="shared" ca="1" si="204"/>
        <v>0.41885577275646579</v>
      </c>
      <c r="CP168" s="1">
        <f t="shared" ca="1" si="205"/>
        <v>2</v>
      </c>
      <c r="CV168" s="1">
        <f t="shared" ca="1" si="206"/>
        <v>0.9864771080286775</v>
      </c>
      <c r="CW168" s="1">
        <f t="shared" ca="1" si="207"/>
        <v>950</v>
      </c>
      <c r="CX168" s="1">
        <f t="shared" ca="1" si="208"/>
        <v>9.7561020858554957E-4</v>
      </c>
      <c r="DH168" s="1">
        <f t="shared" ca="1" si="209"/>
        <v>478</v>
      </c>
      <c r="DI168" s="1">
        <f t="shared" ca="1" si="210"/>
        <v>0.13517719888592253</v>
      </c>
      <c r="DJ168" s="1">
        <f t="shared" ca="1" si="211"/>
        <v>14</v>
      </c>
      <c r="DL168" s="1">
        <f t="shared" ca="1" si="212"/>
        <v>0.1131662217179339</v>
      </c>
      <c r="DM168" s="1">
        <f t="shared" ca="1" si="213"/>
        <v>273</v>
      </c>
      <c r="DN168" s="1">
        <f t="shared" ca="1" si="214"/>
        <v>6</v>
      </c>
      <c r="DW168" s="1">
        <f t="shared" ca="1" si="215"/>
        <v>476</v>
      </c>
      <c r="DX168" s="1">
        <f t="shared" ca="1" si="216"/>
        <v>16</v>
      </c>
      <c r="DY168" s="1">
        <f t="shared" ca="1" si="217"/>
        <v>10</v>
      </c>
    </row>
    <row r="169" spans="2:129" x14ac:dyDescent="0.25">
      <c r="B169">
        <f t="shared" ca="1" si="147"/>
        <v>661</v>
      </c>
      <c r="C169">
        <f t="shared" ca="1" si="148"/>
        <v>13</v>
      </c>
      <c r="D169">
        <f t="shared" ca="1" si="149"/>
        <v>0.16682092243891783</v>
      </c>
      <c r="F169" s="1">
        <f t="shared" ca="1" si="150"/>
        <v>47</v>
      </c>
      <c r="G169" s="1">
        <f t="shared" ca="1" si="151"/>
        <v>22</v>
      </c>
      <c r="H169" s="1">
        <f t="shared" ca="1" si="152"/>
        <v>6</v>
      </c>
      <c r="I169" s="1"/>
      <c r="J169" s="1">
        <f t="shared" ca="1" si="153"/>
        <v>22</v>
      </c>
      <c r="K169" s="1">
        <f t="shared" ca="1" si="154"/>
        <v>1.6413391230765177</v>
      </c>
      <c r="L169" s="1">
        <f t="shared" ca="1" si="155"/>
        <v>25</v>
      </c>
      <c r="M169" s="1"/>
      <c r="N169" s="1">
        <f t="shared" ca="1" si="156"/>
        <v>734</v>
      </c>
      <c r="O169" s="1">
        <f t="shared" ca="1" si="157"/>
        <v>35</v>
      </c>
      <c r="P169" s="1"/>
      <c r="Q169" s="1">
        <f t="shared" ca="1" si="158"/>
        <v>1.8448256309629683</v>
      </c>
      <c r="R169" s="1">
        <f t="shared" ca="1" si="159"/>
        <v>541</v>
      </c>
      <c r="S169" s="1"/>
      <c r="T169" s="1">
        <f t="shared" ca="1" si="160"/>
        <v>0.17477015736882545</v>
      </c>
      <c r="U169" s="1">
        <f t="shared" ca="1" si="161"/>
        <v>102</v>
      </c>
      <c r="V169" s="1">
        <f t="shared" ca="1" si="162"/>
        <v>18</v>
      </c>
      <c r="W169" s="1"/>
      <c r="X169" s="1">
        <f t="shared" ca="1" si="163"/>
        <v>0.1122756937826264</v>
      </c>
      <c r="Y169" s="1">
        <f t="shared" ca="1" si="164"/>
        <v>0.33962463043160168</v>
      </c>
      <c r="Z169" s="1">
        <f t="shared" ca="1" si="165"/>
        <v>1410</v>
      </c>
      <c r="AB169" s="1">
        <f t="shared" ca="1" si="166"/>
        <v>0.39448949766989988</v>
      </c>
      <c r="AC169" s="1">
        <f t="shared" ca="1" si="167"/>
        <v>532</v>
      </c>
      <c r="AD169" s="1">
        <f t="shared" ca="1" si="168"/>
        <v>1.1688822353280851E-3</v>
      </c>
      <c r="AE169" s="1"/>
      <c r="AF169" s="1">
        <f t="shared" ca="1" si="169"/>
        <v>0.3361266780903327</v>
      </c>
      <c r="AG169" s="1">
        <f t="shared" ca="1" si="170"/>
        <v>869</v>
      </c>
      <c r="AH169" s="1">
        <f t="shared" ca="1" si="171"/>
        <v>7.6042431007818743E-3</v>
      </c>
      <c r="AJ169" s="1">
        <f t="shared" ca="1" si="172"/>
        <v>0.51399270340061942</v>
      </c>
      <c r="AK169" s="1">
        <f t="shared" ca="1" si="173"/>
        <v>9.4745654346350559E-4</v>
      </c>
      <c r="AL169" s="1"/>
      <c r="AM169" s="1">
        <f t="shared" ca="1" si="174"/>
        <v>0.17735373531828225</v>
      </c>
      <c r="AN169" s="1">
        <f t="shared" ca="1" si="175"/>
        <v>39</v>
      </c>
      <c r="AO169" s="1">
        <f t="shared" ca="1" si="176"/>
        <v>7</v>
      </c>
      <c r="AQ169" s="1">
        <f t="shared" ca="1" si="177"/>
        <v>140</v>
      </c>
      <c r="AR169" s="1">
        <f t="shared" ca="1" si="178"/>
        <v>7</v>
      </c>
      <c r="AS169" s="1">
        <f t="shared" ca="1" si="179"/>
        <v>32</v>
      </c>
      <c r="AU169" s="1">
        <f t="shared" ca="1" si="180"/>
        <v>362</v>
      </c>
      <c r="AV169" s="1">
        <f t="shared" ca="1" si="181"/>
        <v>4</v>
      </c>
      <c r="AW169" s="1">
        <f t="shared" ca="1" si="182"/>
        <v>0.1611486167094888</v>
      </c>
      <c r="AY169" s="1">
        <f t="shared" ca="1" si="183"/>
        <v>1.3545024256198221</v>
      </c>
      <c r="AZ169" s="1">
        <f t="shared" ca="1" si="184"/>
        <v>138</v>
      </c>
      <c r="BA169" s="1">
        <f t="shared" ca="1" si="185"/>
        <v>2.1463748444330326E-3</v>
      </c>
      <c r="BG169" s="1">
        <f t="shared" ca="1" si="186"/>
        <v>0.85960275501771188</v>
      </c>
      <c r="BH169" s="1">
        <f t="shared" ca="1" si="187"/>
        <v>0.27328055372653404</v>
      </c>
      <c r="BI169" s="1">
        <f t="shared" ca="1" si="188"/>
        <v>185</v>
      </c>
      <c r="BV169" s="1">
        <f t="shared" ca="1" si="189"/>
        <v>0.21742402139907285</v>
      </c>
      <c r="BW169" s="1">
        <f t="shared" ca="1" si="190"/>
        <v>922</v>
      </c>
      <c r="BX169" s="1">
        <f t="shared" ca="1" si="191"/>
        <v>8.4591329685188999E-3</v>
      </c>
      <c r="BY169" s="1">
        <f t="shared" ca="1" si="192"/>
        <v>7.9452229896159313E-2</v>
      </c>
      <c r="BZ169" s="1">
        <f t="shared" ca="1" si="193"/>
        <v>0.95619928925851971</v>
      </c>
      <c r="CB169" s="1">
        <f t="shared" ca="1" si="194"/>
        <v>333</v>
      </c>
      <c r="CC169" s="1">
        <f t="shared" ca="1" si="195"/>
        <v>5</v>
      </c>
      <c r="CD169" s="1">
        <f t="shared" ca="1" si="196"/>
        <v>0.25376700245496892</v>
      </c>
      <c r="CE169" s="1">
        <f t="shared" ca="1" si="218"/>
        <v>0.85371278694597019</v>
      </c>
      <c r="CF169" s="1">
        <f t="shared" ca="1" si="218"/>
        <v>0.55649216121890754</v>
      </c>
      <c r="CH169" s="3">
        <f t="shared" ca="1" si="198"/>
        <v>0.57084990879691377</v>
      </c>
      <c r="CI169" s="3">
        <f t="shared" ca="1" si="199"/>
        <v>0.92558694791680818</v>
      </c>
      <c r="CJ169" s="3">
        <f t="shared" ca="1" si="200"/>
        <v>137</v>
      </c>
      <c r="CK169" s="3">
        <f t="shared" ca="1" si="201"/>
        <v>8.6042122313605886E-3</v>
      </c>
      <c r="CL169" s="3">
        <f t="shared" ca="1" si="202"/>
        <v>1</v>
      </c>
      <c r="CM169" s="3"/>
      <c r="CN169" s="1">
        <f t="shared" ca="1" si="203"/>
        <v>9.9261575080931888</v>
      </c>
      <c r="CO169" s="1">
        <f t="shared" ca="1" si="204"/>
        <v>0.23700676492635581</v>
      </c>
      <c r="CP169" s="1">
        <f t="shared" ca="1" si="205"/>
        <v>4</v>
      </c>
      <c r="CV169" s="1">
        <f t="shared" ca="1" si="206"/>
        <v>9.3062131477065968</v>
      </c>
      <c r="CW169" s="1">
        <f t="shared" ca="1" si="207"/>
        <v>1352</v>
      </c>
      <c r="CX169" s="1">
        <f t="shared" ca="1" si="208"/>
        <v>5.5773284120501582E-3</v>
      </c>
      <c r="DH169" s="1">
        <f t="shared" ca="1" si="209"/>
        <v>288</v>
      </c>
      <c r="DI169" s="1">
        <f t="shared" ca="1" si="210"/>
        <v>0.77048030705628667</v>
      </c>
      <c r="DJ169" s="1">
        <f t="shared" ca="1" si="211"/>
        <v>10</v>
      </c>
      <c r="DL169" s="1">
        <f t="shared" ca="1" si="212"/>
        <v>8.124396662099069E-2</v>
      </c>
      <c r="DM169" s="1">
        <f t="shared" ca="1" si="213"/>
        <v>239</v>
      </c>
      <c r="DN169" s="1">
        <f t="shared" ca="1" si="214"/>
        <v>5</v>
      </c>
      <c r="DW169" s="1">
        <f t="shared" ca="1" si="215"/>
        <v>229</v>
      </c>
      <c r="DX169" s="1">
        <f t="shared" ca="1" si="216"/>
        <v>20</v>
      </c>
      <c r="DY169" s="1">
        <f t="shared" ca="1" si="217"/>
        <v>12</v>
      </c>
    </row>
    <row r="170" spans="2:129" x14ac:dyDescent="0.25">
      <c r="B170">
        <f t="shared" ca="1" si="147"/>
        <v>940</v>
      </c>
      <c r="C170">
        <f t="shared" ca="1" si="148"/>
        <v>24</v>
      </c>
      <c r="D170">
        <f t="shared" ca="1" si="149"/>
        <v>0.12086374229582102</v>
      </c>
      <c r="F170" s="1">
        <f t="shared" ca="1" si="150"/>
        <v>26</v>
      </c>
      <c r="G170" s="1">
        <f t="shared" ca="1" si="151"/>
        <v>6</v>
      </c>
      <c r="H170" s="1">
        <f t="shared" ca="1" si="152"/>
        <v>9</v>
      </c>
      <c r="I170" s="1"/>
      <c r="J170" s="1">
        <f t="shared" ca="1" si="153"/>
        <v>31</v>
      </c>
      <c r="K170" s="1">
        <f t="shared" ca="1" si="154"/>
        <v>1.3123411812663313</v>
      </c>
      <c r="L170" s="1">
        <f t="shared" ca="1" si="155"/>
        <v>21</v>
      </c>
      <c r="M170" s="1"/>
      <c r="N170" s="1">
        <f t="shared" ca="1" si="156"/>
        <v>420</v>
      </c>
      <c r="O170" s="1">
        <f t="shared" ca="1" si="157"/>
        <v>8</v>
      </c>
      <c r="P170" s="1"/>
      <c r="Q170" s="1">
        <f t="shared" ca="1" si="158"/>
        <v>1.3975792366810831</v>
      </c>
      <c r="R170" s="1">
        <f t="shared" ca="1" si="159"/>
        <v>319</v>
      </c>
      <c r="S170" s="1"/>
      <c r="T170" s="1">
        <f t="shared" ca="1" si="160"/>
        <v>5.4259055880223062E-2</v>
      </c>
      <c r="U170" s="1">
        <f t="shared" ca="1" si="161"/>
        <v>374</v>
      </c>
      <c r="V170" s="1">
        <f t="shared" ca="1" si="162"/>
        <v>17</v>
      </c>
      <c r="W170" s="1"/>
      <c r="X170" s="1">
        <f t="shared" ca="1" si="163"/>
        <v>0.62726211189758674</v>
      </c>
      <c r="Y170" s="1">
        <f t="shared" ca="1" si="164"/>
        <v>0.35612698592664976</v>
      </c>
      <c r="Z170" s="1">
        <f t="shared" ca="1" si="165"/>
        <v>661</v>
      </c>
      <c r="AB170" s="1">
        <f t="shared" ca="1" si="166"/>
        <v>3.9682526978738211E-2</v>
      </c>
      <c r="AC170" s="1">
        <f t="shared" ca="1" si="167"/>
        <v>837</v>
      </c>
      <c r="AD170" s="1">
        <f t="shared" ca="1" si="168"/>
        <v>6.4623609752374406E-3</v>
      </c>
      <c r="AE170" s="1"/>
      <c r="AF170" s="1">
        <f t="shared" ca="1" si="169"/>
        <v>0.21742199921952238</v>
      </c>
      <c r="AG170" s="1">
        <f t="shared" ca="1" si="170"/>
        <v>962</v>
      </c>
      <c r="AH170" s="1">
        <f t="shared" ca="1" si="171"/>
        <v>1.6990618442586716E-3</v>
      </c>
      <c r="AJ170" s="1">
        <f t="shared" ca="1" si="172"/>
        <v>4.7619423881292811E-2</v>
      </c>
      <c r="AK170" s="1">
        <f t="shared" ca="1" si="173"/>
        <v>7.7171825840002201E-3</v>
      </c>
      <c r="AL170" s="1"/>
      <c r="AM170" s="1">
        <f t="shared" ca="1" si="174"/>
        <v>8.9069457986731201E-2</v>
      </c>
      <c r="AN170" s="1">
        <f t="shared" ca="1" si="175"/>
        <v>49</v>
      </c>
      <c r="AO170" s="1">
        <f t="shared" ca="1" si="176"/>
        <v>17</v>
      </c>
      <c r="AQ170" s="1">
        <f t="shared" ca="1" si="177"/>
        <v>28</v>
      </c>
      <c r="AR170" s="1">
        <f t="shared" ca="1" si="178"/>
        <v>5</v>
      </c>
      <c r="AS170" s="1">
        <f t="shared" ca="1" si="179"/>
        <v>61</v>
      </c>
      <c r="AU170" s="1">
        <f t="shared" ca="1" si="180"/>
        <v>277</v>
      </c>
      <c r="AV170" s="1">
        <f t="shared" ca="1" si="181"/>
        <v>4</v>
      </c>
      <c r="AW170" s="1">
        <f t="shared" ca="1" si="182"/>
        <v>0.10172096225716749</v>
      </c>
      <c r="AY170" s="1">
        <f t="shared" ca="1" si="183"/>
        <v>1.546316479545558</v>
      </c>
      <c r="AZ170" s="1">
        <f t="shared" ca="1" si="184"/>
        <v>445</v>
      </c>
      <c r="BA170" s="1">
        <f t="shared" ca="1" si="185"/>
        <v>4.2208604751348315E-3</v>
      </c>
      <c r="BG170" s="1">
        <f t="shared" ca="1" si="186"/>
        <v>0.83941081126315387</v>
      </c>
      <c r="BH170" s="1">
        <f t="shared" ca="1" si="187"/>
        <v>0.68930511965716379</v>
      </c>
      <c r="BI170" s="1">
        <f t="shared" ca="1" si="188"/>
        <v>626</v>
      </c>
      <c r="BV170" s="1">
        <f t="shared" ca="1" si="189"/>
        <v>0.95048220232505853</v>
      </c>
      <c r="BW170" s="1">
        <f t="shared" ca="1" si="190"/>
        <v>494</v>
      </c>
      <c r="BX170" s="1">
        <f t="shared" ca="1" si="191"/>
        <v>3.0313389543744937E-3</v>
      </c>
      <c r="BY170" s="1">
        <f t="shared" ca="1" si="192"/>
        <v>4.1909759802062414E-2</v>
      </c>
      <c r="BZ170" s="1">
        <f t="shared" ca="1" si="193"/>
        <v>0.41315832962769095</v>
      </c>
      <c r="CB170" s="1">
        <f t="shared" ca="1" si="194"/>
        <v>215</v>
      </c>
      <c r="CC170" s="1">
        <f t="shared" ca="1" si="195"/>
        <v>8</v>
      </c>
      <c r="CD170" s="1">
        <f t="shared" ca="1" si="196"/>
        <v>0.26233531354970224</v>
      </c>
      <c r="CE170" s="1">
        <f t="shared" ca="1" si="218"/>
        <v>0.60288957095118367</v>
      </c>
      <c r="CF170" s="1">
        <f t="shared" ca="1" si="218"/>
        <v>0.50229098920910786</v>
      </c>
      <c r="CH170" s="3">
        <f t="shared" ca="1" si="198"/>
        <v>0.80373414765678786</v>
      </c>
      <c r="CI170" s="3">
        <f t="shared" ca="1" si="199"/>
        <v>0.36817124329810819</v>
      </c>
      <c r="CJ170" s="3">
        <f t="shared" ca="1" si="200"/>
        <v>1486</v>
      </c>
      <c r="CK170" s="3">
        <f t="shared" ca="1" si="201"/>
        <v>1.0649539902442462E-3</v>
      </c>
      <c r="CL170" s="3">
        <f t="shared" ca="1" si="202"/>
        <v>1</v>
      </c>
      <c r="CM170" s="3"/>
      <c r="CN170" s="1">
        <f t="shared" ca="1" si="203"/>
        <v>19.979576750407166</v>
      </c>
      <c r="CO170" s="1">
        <f t="shared" ca="1" si="204"/>
        <v>1.0686518062966704E-2</v>
      </c>
      <c r="CP170" s="1">
        <f t="shared" ca="1" si="205"/>
        <v>4</v>
      </c>
      <c r="CV170" s="1">
        <f t="shared" ca="1" si="206"/>
        <v>8.1165650518895216</v>
      </c>
      <c r="CW170" s="1">
        <f t="shared" ca="1" si="207"/>
        <v>1595</v>
      </c>
      <c r="CX170" s="1">
        <f t="shared" ca="1" si="208"/>
        <v>5.3116923161121822E-3</v>
      </c>
      <c r="DH170" s="1">
        <f t="shared" ca="1" si="209"/>
        <v>790</v>
      </c>
      <c r="DI170" s="1">
        <f t="shared" ca="1" si="210"/>
        <v>0.4913563535305927</v>
      </c>
      <c r="DJ170" s="1">
        <f t="shared" ca="1" si="211"/>
        <v>10</v>
      </c>
      <c r="DL170" s="1">
        <f t="shared" ca="1" si="212"/>
        <v>4.1167081023082301E-2</v>
      </c>
      <c r="DM170" s="1">
        <f t="shared" ca="1" si="213"/>
        <v>243</v>
      </c>
      <c r="DN170" s="1">
        <f t="shared" ca="1" si="214"/>
        <v>2</v>
      </c>
      <c r="DW170" s="1">
        <f t="shared" ca="1" si="215"/>
        <v>209</v>
      </c>
      <c r="DX170" s="1">
        <f t="shared" ca="1" si="216"/>
        <v>6</v>
      </c>
      <c r="DY170" s="1">
        <f t="shared" ca="1" si="217"/>
        <v>8</v>
      </c>
    </row>
    <row r="171" spans="2:129" x14ac:dyDescent="0.25">
      <c r="B171">
        <f t="shared" ca="1" si="147"/>
        <v>241</v>
      </c>
      <c r="C171">
        <f t="shared" ca="1" si="148"/>
        <v>2</v>
      </c>
      <c r="D171">
        <f t="shared" ca="1" si="149"/>
        <v>3.8566544223911904E-2</v>
      </c>
      <c r="F171" s="1">
        <f t="shared" ca="1" si="150"/>
        <v>18</v>
      </c>
      <c r="G171" s="1">
        <f t="shared" ca="1" si="151"/>
        <v>22</v>
      </c>
      <c r="H171" s="1">
        <f t="shared" ca="1" si="152"/>
        <v>14</v>
      </c>
      <c r="I171" s="1"/>
      <c r="J171" s="1">
        <f t="shared" ca="1" si="153"/>
        <v>27</v>
      </c>
      <c r="K171" s="1">
        <f t="shared" ca="1" si="154"/>
        <v>1.9913935603575714</v>
      </c>
      <c r="L171" s="1">
        <f t="shared" ca="1" si="155"/>
        <v>2</v>
      </c>
      <c r="M171" s="1"/>
      <c r="N171" s="1">
        <f t="shared" ca="1" si="156"/>
        <v>430</v>
      </c>
      <c r="O171" s="1">
        <f t="shared" ca="1" si="157"/>
        <v>27</v>
      </c>
      <c r="P171" s="1"/>
      <c r="Q171" s="1">
        <f t="shared" ca="1" si="158"/>
        <v>4.5194868886667257</v>
      </c>
      <c r="R171" s="1">
        <f t="shared" ca="1" si="159"/>
        <v>429</v>
      </c>
      <c r="S171" s="1"/>
      <c r="T171" s="1">
        <f t="shared" ca="1" si="160"/>
        <v>0.16818372465294287</v>
      </c>
      <c r="U171" s="1">
        <f t="shared" ca="1" si="161"/>
        <v>127</v>
      </c>
      <c r="V171" s="1">
        <f t="shared" ca="1" si="162"/>
        <v>23</v>
      </c>
      <c r="W171" s="1"/>
      <c r="X171" s="1">
        <f t="shared" ca="1" si="163"/>
        <v>0.30302707170686016</v>
      </c>
      <c r="Y171" s="1">
        <f t="shared" ca="1" si="164"/>
        <v>0.97798343766843354</v>
      </c>
      <c r="Z171" s="1">
        <f t="shared" ca="1" si="165"/>
        <v>1727</v>
      </c>
      <c r="AB171" s="1">
        <f t="shared" ca="1" si="166"/>
        <v>0.19639796885134131</v>
      </c>
      <c r="AC171" s="1">
        <f t="shared" ca="1" si="167"/>
        <v>664</v>
      </c>
      <c r="AD171" s="1">
        <f t="shared" ca="1" si="168"/>
        <v>5.8984938475462202E-3</v>
      </c>
      <c r="AE171" s="1"/>
      <c r="AF171" s="1">
        <f t="shared" ca="1" si="169"/>
        <v>0.47368438662543777</v>
      </c>
      <c r="AG171" s="1">
        <f t="shared" ca="1" si="170"/>
        <v>446</v>
      </c>
      <c r="AH171" s="1">
        <f t="shared" ca="1" si="171"/>
        <v>7.5976620104489341E-3</v>
      </c>
      <c r="AJ171" s="1">
        <f t="shared" ca="1" si="172"/>
        <v>0.50573490633062435</v>
      </c>
      <c r="AK171" s="1">
        <f t="shared" ca="1" si="173"/>
        <v>6.5938179081199474E-3</v>
      </c>
      <c r="AL171" s="1"/>
      <c r="AM171" s="1">
        <f t="shared" ca="1" si="174"/>
        <v>9.3920970354334207E-2</v>
      </c>
      <c r="AN171" s="1">
        <f t="shared" ca="1" si="175"/>
        <v>63</v>
      </c>
      <c r="AO171" s="1">
        <f t="shared" ca="1" si="176"/>
        <v>18</v>
      </c>
      <c r="AQ171" s="1">
        <f t="shared" ca="1" si="177"/>
        <v>124</v>
      </c>
      <c r="AR171" s="1">
        <f t="shared" ca="1" si="178"/>
        <v>6</v>
      </c>
      <c r="AS171" s="1">
        <f t="shared" ca="1" si="179"/>
        <v>18</v>
      </c>
      <c r="AU171" s="1">
        <f t="shared" ca="1" si="180"/>
        <v>260</v>
      </c>
      <c r="AV171" s="1">
        <f t="shared" ca="1" si="181"/>
        <v>4</v>
      </c>
      <c r="AW171" s="1">
        <f t="shared" ca="1" si="182"/>
        <v>0.14424897746265888</v>
      </c>
      <c r="AY171" s="1">
        <f t="shared" ca="1" si="183"/>
        <v>1.2014784106467695</v>
      </c>
      <c r="AZ171" s="1">
        <f t="shared" ca="1" si="184"/>
        <v>381</v>
      </c>
      <c r="BA171" s="1">
        <f t="shared" ca="1" si="185"/>
        <v>9.7401744055626068E-3</v>
      </c>
      <c r="BG171" s="1">
        <f t="shared" ca="1" si="186"/>
        <v>0.409400951318938</v>
      </c>
      <c r="BH171" s="1">
        <f t="shared" ca="1" si="187"/>
        <v>0.87505868547723198</v>
      </c>
      <c r="BI171" s="1">
        <f t="shared" ca="1" si="188"/>
        <v>153</v>
      </c>
      <c r="BV171" s="1">
        <f t="shared" ca="1" si="189"/>
        <v>9.980656749661819E-2</v>
      </c>
      <c r="BW171" s="1">
        <f t="shared" ca="1" si="190"/>
        <v>803</v>
      </c>
      <c r="BX171" s="1">
        <f t="shared" ca="1" si="191"/>
        <v>2.7816827235079304E-3</v>
      </c>
      <c r="BY171" s="1">
        <f t="shared" ca="1" si="192"/>
        <v>3.1918059754521381E-2</v>
      </c>
      <c r="BZ171" s="1">
        <f t="shared" ca="1" si="193"/>
        <v>0.86232966628921603</v>
      </c>
      <c r="CB171" s="1">
        <f t="shared" ca="1" si="194"/>
        <v>475</v>
      </c>
      <c r="CC171" s="1">
        <f t="shared" ca="1" si="195"/>
        <v>12</v>
      </c>
      <c r="CD171" s="1">
        <f t="shared" ca="1" si="196"/>
        <v>0.26029770060953611</v>
      </c>
      <c r="CE171" s="1">
        <f t="shared" ca="1" si="218"/>
        <v>0.55132157888683198</v>
      </c>
      <c r="CF171" s="1">
        <f t="shared" ca="1" si="218"/>
        <v>0.91941167098940391</v>
      </c>
      <c r="CH171" s="3">
        <f t="shared" ca="1" si="198"/>
        <v>0.91052721289371708</v>
      </c>
      <c r="CI171" s="3">
        <f t="shared" ca="1" si="199"/>
        <v>0.30511476056157794</v>
      </c>
      <c r="CJ171" s="3">
        <f t="shared" ca="1" si="200"/>
        <v>157</v>
      </c>
      <c r="CK171" s="3">
        <f t="shared" ca="1" si="201"/>
        <v>8.8827602176153875E-3</v>
      </c>
      <c r="CL171" s="3">
        <f t="shared" ca="1" si="202"/>
        <v>0</v>
      </c>
      <c r="CM171" s="3"/>
      <c r="CN171" s="1">
        <f t="shared" ca="1" si="203"/>
        <v>16.303570401932419</v>
      </c>
      <c r="CO171" s="1">
        <f t="shared" ca="1" si="204"/>
        <v>9.4078403780002567E-2</v>
      </c>
      <c r="CP171" s="1">
        <f t="shared" ca="1" si="205"/>
        <v>1</v>
      </c>
      <c r="CV171" s="1">
        <f t="shared" ca="1" si="206"/>
        <v>0.53159630237734323</v>
      </c>
      <c r="CW171" s="1">
        <f t="shared" ca="1" si="207"/>
        <v>1716</v>
      </c>
      <c r="CX171" s="1">
        <f t="shared" ca="1" si="208"/>
        <v>8.1887772726414471E-3</v>
      </c>
      <c r="DH171" s="1">
        <f t="shared" ca="1" si="209"/>
        <v>435</v>
      </c>
      <c r="DI171" s="1">
        <f t="shared" ca="1" si="210"/>
        <v>5.5382517242570206E-2</v>
      </c>
      <c r="DJ171" s="1">
        <f t="shared" ca="1" si="211"/>
        <v>10</v>
      </c>
      <c r="DL171" s="1">
        <f t="shared" ca="1" si="212"/>
        <v>9.9021116814969681E-2</v>
      </c>
      <c r="DM171" s="1">
        <f t="shared" ca="1" si="213"/>
        <v>217</v>
      </c>
      <c r="DN171" s="1">
        <f t="shared" ca="1" si="214"/>
        <v>3</v>
      </c>
      <c r="DW171" s="1">
        <f t="shared" ca="1" si="215"/>
        <v>444</v>
      </c>
      <c r="DX171" s="1">
        <f t="shared" ca="1" si="216"/>
        <v>4</v>
      </c>
      <c r="DY171" s="1">
        <f t="shared" ca="1" si="217"/>
        <v>19</v>
      </c>
    </row>
    <row r="172" spans="2:129" x14ac:dyDescent="0.25">
      <c r="B172">
        <f t="shared" ca="1" si="147"/>
        <v>121</v>
      </c>
      <c r="C172">
        <f t="shared" ca="1" si="148"/>
        <v>27</v>
      </c>
      <c r="D172">
        <f t="shared" ca="1" si="149"/>
        <v>0.21664250630331897</v>
      </c>
      <c r="F172" s="1">
        <f t="shared" ca="1" si="150"/>
        <v>50</v>
      </c>
      <c r="G172" s="1">
        <f t="shared" ca="1" si="151"/>
        <v>22</v>
      </c>
      <c r="H172" s="1">
        <f t="shared" ca="1" si="152"/>
        <v>7</v>
      </c>
      <c r="I172" s="1"/>
      <c r="J172" s="1">
        <f t="shared" ca="1" si="153"/>
        <v>35</v>
      </c>
      <c r="K172" s="1">
        <f t="shared" ca="1" si="154"/>
        <v>2.6422255574490161</v>
      </c>
      <c r="L172" s="1">
        <f t="shared" ca="1" si="155"/>
        <v>34</v>
      </c>
      <c r="M172" s="1"/>
      <c r="N172" s="1">
        <f t="shared" ca="1" si="156"/>
        <v>479</v>
      </c>
      <c r="O172" s="1">
        <f t="shared" ca="1" si="157"/>
        <v>45</v>
      </c>
      <c r="P172" s="1"/>
      <c r="Q172" s="1">
        <f t="shared" ca="1" si="158"/>
        <v>2.2754125854185778</v>
      </c>
      <c r="R172" s="1">
        <f t="shared" ca="1" si="159"/>
        <v>685</v>
      </c>
      <c r="S172" s="1"/>
      <c r="T172" s="1">
        <f t="shared" ca="1" si="160"/>
        <v>0.12685995883096129</v>
      </c>
      <c r="U172" s="1">
        <f t="shared" ca="1" si="161"/>
        <v>255</v>
      </c>
      <c r="V172" s="1">
        <f t="shared" ca="1" si="162"/>
        <v>15</v>
      </c>
      <c r="W172" s="1"/>
      <c r="X172" s="1">
        <f t="shared" ca="1" si="163"/>
        <v>8.3417101659927848</v>
      </c>
      <c r="Y172" s="1">
        <f t="shared" ca="1" si="164"/>
        <v>1.8810981277911809E-2</v>
      </c>
      <c r="Z172" s="1">
        <f t="shared" ca="1" si="165"/>
        <v>1914</v>
      </c>
      <c r="AB172" s="1">
        <f t="shared" ca="1" si="166"/>
        <v>0.6729935612635447</v>
      </c>
      <c r="AC172" s="1">
        <f t="shared" ca="1" si="167"/>
        <v>831</v>
      </c>
      <c r="AD172" s="1">
        <f t="shared" ca="1" si="168"/>
        <v>1.4990786827517957E-3</v>
      </c>
      <c r="AE172" s="1"/>
      <c r="AF172" s="1">
        <f t="shared" ca="1" si="169"/>
        <v>0.85778784927672813</v>
      </c>
      <c r="AG172" s="1">
        <f t="shared" ca="1" si="170"/>
        <v>606</v>
      </c>
      <c r="AH172" s="1">
        <f t="shared" ca="1" si="171"/>
        <v>8.6221792071894086E-3</v>
      </c>
      <c r="AJ172" s="1">
        <f t="shared" ca="1" si="172"/>
        <v>3.5917397543826501E-2</v>
      </c>
      <c r="AK172" s="1">
        <f t="shared" ca="1" si="173"/>
        <v>2.22745459456925E-3</v>
      </c>
      <c r="AL172" s="1"/>
      <c r="AM172" s="1">
        <f t="shared" ca="1" si="174"/>
        <v>0.14043506392048036</v>
      </c>
      <c r="AN172" s="1">
        <f t="shared" ca="1" si="175"/>
        <v>73</v>
      </c>
      <c r="AO172" s="1">
        <f t="shared" ca="1" si="176"/>
        <v>0</v>
      </c>
      <c r="AQ172" s="1">
        <f t="shared" ca="1" si="177"/>
        <v>10</v>
      </c>
      <c r="AR172" s="1">
        <f t="shared" ca="1" si="178"/>
        <v>3</v>
      </c>
      <c r="AS172" s="1">
        <f t="shared" ca="1" si="179"/>
        <v>78</v>
      </c>
      <c r="AU172" s="1">
        <f t="shared" ca="1" si="180"/>
        <v>330</v>
      </c>
      <c r="AV172" s="1">
        <f t="shared" ca="1" si="181"/>
        <v>7</v>
      </c>
      <c r="AW172" s="1">
        <f t="shared" ca="1" si="182"/>
        <v>3.5278842493071443E-2</v>
      </c>
      <c r="AY172" s="1">
        <f t="shared" ca="1" si="183"/>
        <v>1.1119243375210401</v>
      </c>
      <c r="AZ172" s="1">
        <f t="shared" ca="1" si="184"/>
        <v>344</v>
      </c>
      <c r="BA172" s="1">
        <f t="shared" ca="1" si="185"/>
        <v>9.8219490368864591E-3</v>
      </c>
      <c r="BG172" s="1">
        <f t="shared" ca="1" si="186"/>
        <v>0.94377220231540804</v>
      </c>
      <c r="BH172" s="1">
        <f t="shared" ca="1" si="187"/>
        <v>0.88212620226239857</v>
      </c>
      <c r="BI172" s="1">
        <f t="shared" ca="1" si="188"/>
        <v>368</v>
      </c>
      <c r="BV172" s="1">
        <f t="shared" ca="1" si="189"/>
        <v>5.6429927310646742E-2</v>
      </c>
      <c r="BW172" s="1">
        <f t="shared" ca="1" si="190"/>
        <v>468</v>
      </c>
      <c r="BX172" s="1">
        <f t="shared" ca="1" si="191"/>
        <v>7.3902010301962725E-3</v>
      </c>
      <c r="BY172" s="1">
        <f t="shared" ca="1" si="192"/>
        <v>1.5371131847787106E-2</v>
      </c>
      <c r="BZ172" s="1">
        <f t="shared" ca="1" si="193"/>
        <v>0.57042268395461071</v>
      </c>
      <c r="CB172" s="1">
        <f t="shared" ca="1" si="194"/>
        <v>118</v>
      </c>
      <c r="CC172" s="1">
        <f t="shared" ca="1" si="195"/>
        <v>4</v>
      </c>
      <c r="CD172" s="1">
        <f t="shared" ca="1" si="196"/>
        <v>0.12464779736679273</v>
      </c>
      <c r="CE172" s="1">
        <f t="shared" ca="1" si="218"/>
        <v>0.79382649735009436</v>
      </c>
      <c r="CF172" s="1">
        <f t="shared" ca="1" si="218"/>
        <v>0.88843462341738877</v>
      </c>
      <c r="CH172" s="3">
        <f t="shared" ca="1" si="198"/>
        <v>1.8630741254934052E-2</v>
      </c>
      <c r="CI172" s="3">
        <f t="shared" ca="1" si="199"/>
        <v>0.8965396836744115</v>
      </c>
      <c r="CJ172" s="3">
        <f t="shared" ca="1" si="200"/>
        <v>1685</v>
      </c>
      <c r="CK172" s="3">
        <f t="shared" ca="1" si="201"/>
        <v>8.470142035727705E-4</v>
      </c>
      <c r="CL172" s="3">
        <f t="shared" ca="1" si="202"/>
        <v>0</v>
      </c>
      <c r="CM172" s="3"/>
      <c r="CN172" s="1">
        <f t="shared" ca="1" si="203"/>
        <v>12.871335476875199</v>
      </c>
      <c r="CO172" s="1">
        <f t="shared" ca="1" si="204"/>
        <v>0.43889838205528897</v>
      </c>
      <c r="CP172" s="1">
        <f t="shared" ca="1" si="205"/>
        <v>4</v>
      </c>
      <c r="CV172" s="1">
        <f t="shared" ca="1" si="206"/>
        <v>8.441807150830634</v>
      </c>
      <c r="CW172" s="1">
        <f t="shared" ca="1" si="207"/>
        <v>1035</v>
      </c>
      <c r="CX172" s="1">
        <f t="shared" ca="1" si="208"/>
        <v>6.1604684226576273E-3</v>
      </c>
      <c r="DH172" s="1">
        <f t="shared" ca="1" si="209"/>
        <v>35</v>
      </c>
      <c r="DI172" s="1">
        <f t="shared" ca="1" si="210"/>
        <v>0.91256671597444861</v>
      </c>
      <c r="DJ172" s="1">
        <f t="shared" ca="1" si="211"/>
        <v>20</v>
      </c>
      <c r="DL172" s="1">
        <f t="shared" ca="1" si="212"/>
        <v>0.14899817581081629</v>
      </c>
      <c r="DM172" s="1">
        <f t="shared" ca="1" si="213"/>
        <v>190</v>
      </c>
      <c r="DN172" s="1">
        <f t="shared" ca="1" si="214"/>
        <v>8</v>
      </c>
      <c r="DW172" s="1">
        <f t="shared" ca="1" si="215"/>
        <v>449</v>
      </c>
      <c r="DX172" s="1">
        <f t="shared" ca="1" si="216"/>
        <v>15</v>
      </c>
      <c r="DY172" s="1">
        <f t="shared" ca="1" si="217"/>
        <v>2</v>
      </c>
    </row>
    <row r="173" spans="2:129" x14ac:dyDescent="0.25">
      <c r="B173">
        <f t="shared" ca="1" si="147"/>
        <v>354</v>
      </c>
      <c r="C173">
        <f t="shared" ca="1" si="148"/>
        <v>38</v>
      </c>
      <c r="D173">
        <f t="shared" ca="1" si="149"/>
        <v>6.9087460035922657E-2</v>
      </c>
      <c r="F173" s="1">
        <f t="shared" ca="1" si="150"/>
        <v>45</v>
      </c>
      <c r="G173" s="1">
        <f t="shared" ca="1" si="151"/>
        <v>12</v>
      </c>
      <c r="H173" s="1">
        <f t="shared" ca="1" si="152"/>
        <v>10</v>
      </c>
      <c r="I173" s="1"/>
      <c r="J173" s="1">
        <f t="shared" ca="1" si="153"/>
        <v>29</v>
      </c>
      <c r="K173" s="1">
        <f t="shared" ca="1" si="154"/>
        <v>2.3270394460521109</v>
      </c>
      <c r="L173" s="1">
        <f t="shared" ca="1" si="155"/>
        <v>24</v>
      </c>
      <c r="M173" s="1"/>
      <c r="N173" s="1">
        <f t="shared" ca="1" si="156"/>
        <v>707</v>
      </c>
      <c r="O173" s="1">
        <f t="shared" ca="1" si="157"/>
        <v>31</v>
      </c>
      <c r="P173" s="1"/>
      <c r="Q173" s="1">
        <f t="shared" ca="1" si="158"/>
        <v>4.3650200579396099</v>
      </c>
      <c r="R173" s="1">
        <f t="shared" ca="1" si="159"/>
        <v>687</v>
      </c>
      <c r="S173" s="1"/>
      <c r="T173" s="1">
        <f t="shared" ca="1" si="160"/>
        <v>8.7588672447717564E-2</v>
      </c>
      <c r="U173" s="1">
        <f t="shared" ca="1" si="161"/>
        <v>227</v>
      </c>
      <c r="V173" s="1">
        <f t="shared" ca="1" si="162"/>
        <v>8</v>
      </c>
      <c r="W173" s="1"/>
      <c r="X173" s="1">
        <f t="shared" ca="1" si="163"/>
        <v>5.6963189559629868</v>
      </c>
      <c r="Y173" s="1">
        <f t="shared" ca="1" si="164"/>
        <v>0.51115296818896339</v>
      </c>
      <c r="Z173" s="1">
        <f t="shared" ca="1" si="165"/>
        <v>1402</v>
      </c>
      <c r="AB173" s="1">
        <f t="shared" ca="1" si="166"/>
        <v>0.9970558169069188</v>
      </c>
      <c r="AC173" s="1">
        <f t="shared" ca="1" si="167"/>
        <v>888</v>
      </c>
      <c r="AD173" s="1">
        <f t="shared" ca="1" si="168"/>
        <v>2.8668129413639393E-3</v>
      </c>
      <c r="AE173" s="1"/>
      <c r="AF173" s="1">
        <f t="shared" ca="1" si="169"/>
        <v>0.24324188692680934</v>
      </c>
      <c r="AG173" s="1">
        <f t="shared" ca="1" si="170"/>
        <v>357</v>
      </c>
      <c r="AH173" s="1">
        <f t="shared" ca="1" si="171"/>
        <v>6.6801375563446241E-3</v>
      </c>
      <c r="AJ173" s="1">
        <f t="shared" ca="1" si="172"/>
        <v>0.2866966413079981</v>
      </c>
      <c r="AK173" s="1">
        <f t="shared" ca="1" si="173"/>
        <v>9.3382968254147381E-4</v>
      </c>
      <c r="AL173" s="1"/>
      <c r="AM173" s="1">
        <f t="shared" ca="1" si="174"/>
        <v>0.18526977049816779</v>
      </c>
      <c r="AN173" s="1">
        <f t="shared" ca="1" si="175"/>
        <v>43</v>
      </c>
      <c r="AO173" s="1">
        <f t="shared" ca="1" si="176"/>
        <v>-1</v>
      </c>
      <c r="AQ173" s="1">
        <f t="shared" ca="1" si="177"/>
        <v>145</v>
      </c>
      <c r="AR173" s="1">
        <f t="shared" ca="1" si="178"/>
        <v>0</v>
      </c>
      <c r="AS173" s="1">
        <f t="shared" ca="1" si="179"/>
        <v>52</v>
      </c>
      <c r="AU173" s="1">
        <f t="shared" ca="1" si="180"/>
        <v>62</v>
      </c>
      <c r="AV173" s="1">
        <f t="shared" ca="1" si="181"/>
        <v>6</v>
      </c>
      <c r="AW173" s="1">
        <f t="shared" ca="1" si="182"/>
        <v>8.7044211940451977E-2</v>
      </c>
      <c r="AY173" s="1">
        <f t="shared" ca="1" si="183"/>
        <v>1.5363835188768582</v>
      </c>
      <c r="AZ173" s="1">
        <f t="shared" ca="1" si="184"/>
        <v>204</v>
      </c>
      <c r="BA173" s="1">
        <f t="shared" ca="1" si="185"/>
        <v>6.7520036235016265E-3</v>
      </c>
      <c r="BG173" s="1">
        <f t="shared" ca="1" si="186"/>
        <v>0.61686348564161853</v>
      </c>
      <c r="BH173" s="1">
        <f t="shared" ca="1" si="187"/>
        <v>0.45034054345580066</v>
      </c>
      <c r="BI173" s="1">
        <f t="shared" ca="1" si="188"/>
        <v>225</v>
      </c>
      <c r="BV173" s="1">
        <f t="shared" ca="1" si="189"/>
        <v>0.20218385721836349</v>
      </c>
      <c r="BW173" s="1">
        <f t="shared" ca="1" si="190"/>
        <v>509</v>
      </c>
      <c r="BX173" s="1">
        <f t="shared" ca="1" si="191"/>
        <v>2.8682245342979448E-3</v>
      </c>
      <c r="BY173" s="1">
        <f t="shared" ca="1" si="192"/>
        <v>1.0871916929514966E-2</v>
      </c>
      <c r="BZ173" s="1">
        <f t="shared" ca="1" si="193"/>
        <v>0.63709569210120942</v>
      </c>
      <c r="CB173" s="1">
        <f t="shared" ca="1" si="194"/>
        <v>500</v>
      </c>
      <c r="CC173" s="1">
        <f t="shared" ca="1" si="195"/>
        <v>8</v>
      </c>
      <c r="CD173" s="1">
        <f t="shared" ca="1" si="196"/>
        <v>3.2698730082521839E-2</v>
      </c>
      <c r="CE173" s="1">
        <f t="shared" ca="1" si="218"/>
        <v>0.78739769417875238</v>
      </c>
      <c r="CF173" s="1">
        <f t="shared" ca="1" si="218"/>
        <v>0.75050530771064627</v>
      </c>
      <c r="CH173" s="3">
        <f t="shared" ca="1" si="198"/>
        <v>0.99496067739909377</v>
      </c>
      <c r="CI173" s="3">
        <f t="shared" ca="1" si="199"/>
        <v>0.743301126472101</v>
      </c>
      <c r="CJ173" s="3">
        <f t="shared" ca="1" si="200"/>
        <v>780</v>
      </c>
      <c r="CK173" s="3">
        <f t="shared" ca="1" si="201"/>
        <v>2.9376620077677176E-3</v>
      </c>
      <c r="CL173" s="3">
        <f t="shared" ca="1" si="202"/>
        <v>1</v>
      </c>
      <c r="CM173" s="3"/>
      <c r="CN173" s="1">
        <f t="shared" ca="1" si="203"/>
        <v>16.256454127947503</v>
      </c>
      <c r="CO173" s="1">
        <f t="shared" ca="1" si="204"/>
        <v>0.18350972441278399</v>
      </c>
      <c r="CP173" s="1">
        <f t="shared" ca="1" si="205"/>
        <v>2</v>
      </c>
      <c r="CV173" s="1">
        <f t="shared" ca="1" si="206"/>
        <v>0.88109549362991202</v>
      </c>
      <c r="CW173" s="1">
        <f t="shared" ca="1" si="207"/>
        <v>1796</v>
      </c>
      <c r="CX173" s="1">
        <f t="shared" ca="1" si="208"/>
        <v>6.8388252490928876E-3</v>
      </c>
      <c r="DH173" s="1">
        <f t="shared" ca="1" si="209"/>
        <v>353</v>
      </c>
      <c r="DI173" s="1">
        <f t="shared" ca="1" si="210"/>
        <v>0.28986132849455154</v>
      </c>
      <c r="DJ173" s="1">
        <f t="shared" ca="1" si="211"/>
        <v>17</v>
      </c>
      <c r="DL173" s="1">
        <f t="shared" ca="1" si="212"/>
        <v>0.16235529825151424</v>
      </c>
      <c r="DM173" s="1">
        <f t="shared" ca="1" si="213"/>
        <v>83</v>
      </c>
      <c r="DN173" s="1">
        <f t="shared" ca="1" si="214"/>
        <v>10</v>
      </c>
      <c r="DW173" s="1">
        <f t="shared" ca="1" si="215"/>
        <v>499</v>
      </c>
      <c r="DX173" s="1">
        <f t="shared" ca="1" si="216"/>
        <v>6</v>
      </c>
      <c r="DY173" s="1">
        <f t="shared" ca="1" si="217"/>
        <v>13</v>
      </c>
    </row>
    <row r="174" spans="2:129" x14ac:dyDescent="0.25">
      <c r="B174">
        <f t="shared" ca="1" si="147"/>
        <v>505</v>
      </c>
      <c r="C174">
        <f t="shared" ca="1" si="148"/>
        <v>25</v>
      </c>
      <c r="D174">
        <f t="shared" ca="1" si="149"/>
        <v>2.2157001069063383E-2</v>
      </c>
      <c r="F174" s="1">
        <f t="shared" ca="1" si="150"/>
        <v>39</v>
      </c>
      <c r="G174" s="1">
        <f t="shared" ca="1" si="151"/>
        <v>15</v>
      </c>
      <c r="H174" s="1">
        <f t="shared" ca="1" si="152"/>
        <v>10</v>
      </c>
      <c r="I174" s="1"/>
      <c r="J174" s="1">
        <f t="shared" ca="1" si="153"/>
        <v>32</v>
      </c>
      <c r="K174" s="1">
        <f t="shared" ca="1" si="154"/>
        <v>1.2145955080674598</v>
      </c>
      <c r="L174" s="1">
        <f t="shared" ca="1" si="155"/>
        <v>31</v>
      </c>
      <c r="M174" s="1"/>
      <c r="N174" s="1">
        <f t="shared" ca="1" si="156"/>
        <v>217</v>
      </c>
      <c r="O174" s="1">
        <f t="shared" ca="1" si="157"/>
        <v>21</v>
      </c>
      <c r="P174" s="1"/>
      <c r="Q174" s="1">
        <f t="shared" ca="1" si="158"/>
        <v>4.4196969605064833</v>
      </c>
      <c r="R174" s="1">
        <f t="shared" ca="1" si="159"/>
        <v>454</v>
      </c>
      <c r="S174" s="1"/>
      <c r="T174" s="1">
        <f t="shared" ca="1" si="160"/>
        <v>0.19226314553553478</v>
      </c>
      <c r="U174" s="1">
        <f t="shared" ca="1" si="161"/>
        <v>339</v>
      </c>
      <c r="V174" s="1">
        <f t="shared" ca="1" si="162"/>
        <v>29</v>
      </c>
      <c r="W174" s="1"/>
      <c r="X174" s="1">
        <f t="shared" ca="1" si="163"/>
        <v>7.2105266525027805</v>
      </c>
      <c r="Y174" s="1">
        <f t="shared" ca="1" si="164"/>
        <v>0.29703418180959745</v>
      </c>
      <c r="Z174" s="1">
        <f t="shared" ca="1" si="165"/>
        <v>384</v>
      </c>
      <c r="AB174" s="1">
        <f t="shared" ca="1" si="166"/>
        <v>0.22367796117759897</v>
      </c>
      <c r="AC174" s="1">
        <f t="shared" ca="1" si="167"/>
        <v>138</v>
      </c>
      <c r="AD174" s="1">
        <f t="shared" ca="1" si="168"/>
        <v>3.0077854867704055E-3</v>
      </c>
      <c r="AE174" s="1"/>
      <c r="AF174" s="1">
        <f t="shared" ca="1" si="169"/>
        <v>0.25015691319623734</v>
      </c>
      <c r="AG174" s="1">
        <f t="shared" ca="1" si="170"/>
        <v>865</v>
      </c>
      <c r="AH174" s="1">
        <f t="shared" ca="1" si="171"/>
        <v>2.388814896889802E-3</v>
      </c>
      <c r="AJ174" s="1">
        <f t="shared" ca="1" si="172"/>
        <v>0.45057734951710293</v>
      </c>
      <c r="AK174" s="1">
        <f t="shared" ca="1" si="173"/>
        <v>2.1644514082443324E-3</v>
      </c>
      <c r="AL174" s="1"/>
      <c r="AM174" s="1">
        <f t="shared" ca="1" si="174"/>
        <v>0.148764928400931</v>
      </c>
      <c r="AN174" s="1">
        <f t="shared" ca="1" si="175"/>
        <v>70</v>
      </c>
      <c r="AO174" s="1">
        <f t="shared" ca="1" si="176"/>
        <v>4</v>
      </c>
      <c r="AQ174" s="1">
        <f t="shared" ca="1" si="177"/>
        <v>133</v>
      </c>
      <c r="AR174" s="1">
        <f t="shared" ca="1" si="178"/>
        <v>10</v>
      </c>
      <c r="AS174" s="1">
        <f t="shared" ca="1" si="179"/>
        <v>24</v>
      </c>
      <c r="AU174" s="1">
        <f t="shared" ca="1" si="180"/>
        <v>188</v>
      </c>
      <c r="AV174" s="1">
        <f t="shared" ca="1" si="181"/>
        <v>9</v>
      </c>
      <c r="AW174" s="1">
        <f t="shared" ca="1" si="182"/>
        <v>1.1888986674820537E-2</v>
      </c>
      <c r="AY174" s="1">
        <f t="shared" ca="1" si="183"/>
        <v>1.6135496075296971</v>
      </c>
      <c r="AZ174" s="1">
        <f t="shared" ca="1" si="184"/>
        <v>317</v>
      </c>
      <c r="BA174" s="1">
        <f t="shared" ca="1" si="185"/>
        <v>1.1007748582945996E-3</v>
      </c>
      <c r="BG174" s="1">
        <f t="shared" ca="1" si="186"/>
        <v>0.15425619482945679</v>
      </c>
      <c r="BH174" s="1">
        <f t="shared" ca="1" si="187"/>
        <v>0.50455516626435482</v>
      </c>
      <c r="BI174" s="1">
        <f t="shared" ca="1" si="188"/>
        <v>772</v>
      </c>
      <c r="BV174" s="1">
        <f t="shared" ca="1" si="189"/>
        <v>4.9228481896263838E-2</v>
      </c>
      <c r="BW174" s="1">
        <f t="shared" ca="1" si="190"/>
        <v>119</v>
      </c>
      <c r="BX174" s="1">
        <f t="shared" ca="1" si="191"/>
        <v>4.2093621453552178E-3</v>
      </c>
      <c r="BY174" s="1">
        <f t="shared" ca="1" si="192"/>
        <v>7.4173099465611708E-2</v>
      </c>
      <c r="BZ174" s="1">
        <f t="shared" ca="1" si="193"/>
        <v>0.77267555899393392</v>
      </c>
      <c r="CB174" s="1">
        <f t="shared" ca="1" si="194"/>
        <v>93</v>
      </c>
      <c r="CC174" s="1">
        <f t="shared" ca="1" si="195"/>
        <v>15</v>
      </c>
      <c r="CD174" s="1">
        <f t="shared" ca="1" si="196"/>
        <v>0.15578419517209352</v>
      </c>
      <c r="CE174" s="1">
        <f t="shared" ca="1" si="218"/>
        <v>0.81749333143833836</v>
      </c>
      <c r="CF174" s="1">
        <f t="shared" ca="1" si="218"/>
        <v>0.84874217532936491</v>
      </c>
      <c r="CH174" s="3">
        <f t="shared" ca="1" si="198"/>
        <v>0.97755274547727489</v>
      </c>
      <c r="CI174" s="3">
        <f t="shared" ca="1" si="199"/>
        <v>0.80030596624139283</v>
      </c>
      <c r="CJ174" s="3">
        <f t="shared" ca="1" si="200"/>
        <v>1085</v>
      </c>
      <c r="CK174" s="3">
        <f t="shared" ca="1" si="201"/>
        <v>8.5816294359316609E-3</v>
      </c>
      <c r="CL174" s="3">
        <f t="shared" ca="1" si="202"/>
        <v>0</v>
      </c>
      <c r="CM174" s="3"/>
      <c r="CN174" s="1">
        <f t="shared" ca="1" si="203"/>
        <v>11.308647574252984</v>
      </c>
      <c r="CO174" s="1">
        <f t="shared" ca="1" si="204"/>
        <v>0.11884172082471293</v>
      </c>
      <c r="CP174" s="1">
        <f t="shared" ca="1" si="205"/>
        <v>2</v>
      </c>
      <c r="CV174" s="1">
        <f t="shared" ca="1" si="206"/>
        <v>1.2910214552810777</v>
      </c>
      <c r="CW174" s="1">
        <f t="shared" ca="1" si="207"/>
        <v>530</v>
      </c>
      <c r="CX174" s="1">
        <f t="shared" ca="1" si="208"/>
        <v>2.2347036003272937E-3</v>
      </c>
      <c r="DH174" s="1">
        <f t="shared" ca="1" si="209"/>
        <v>108</v>
      </c>
      <c r="DI174" s="1">
        <f t="shared" ca="1" si="210"/>
        <v>0.5044668103497727</v>
      </c>
      <c r="DJ174" s="1">
        <f t="shared" ca="1" si="211"/>
        <v>12</v>
      </c>
      <c r="DL174" s="1">
        <f t="shared" ca="1" si="212"/>
        <v>0.15965873141254136</v>
      </c>
      <c r="DM174" s="1">
        <f t="shared" ca="1" si="213"/>
        <v>109</v>
      </c>
      <c r="DN174" s="1">
        <f t="shared" ca="1" si="214"/>
        <v>5</v>
      </c>
      <c r="DW174" s="1">
        <f t="shared" ca="1" si="215"/>
        <v>276</v>
      </c>
      <c r="DX174" s="1">
        <f t="shared" ca="1" si="216"/>
        <v>12</v>
      </c>
      <c r="DY174" s="1">
        <f t="shared" ca="1" si="217"/>
        <v>19</v>
      </c>
    </row>
    <row r="175" spans="2:129" x14ac:dyDescent="0.25">
      <c r="B175">
        <f t="shared" ca="1" si="147"/>
        <v>814</v>
      </c>
      <c r="C175">
        <f t="shared" ca="1" si="148"/>
        <v>11</v>
      </c>
      <c r="D175">
        <f t="shared" ca="1" si="149"/>
        <v>0.22569505504882095</v>
      </c>
      <c r="F175" s="1">
        <f t="shared" ca="1" si="150"/>
        <v>24</v>
      </c>
      <c r="G175" s="1">
        <f t="shared" ca="1" si="151"/>
        <v>17</v>
      </c>
      <c r="H175" s="1">
        <f t="shared" ca="1" si="152"/>
        <v>12</v>
      </c>
      <c r="I175" s="1"/>
      <c r="J175" s="1">
        <f t="shared" ca="1" si="153"/>
        <v>8</v>
      </c>
      <c r="K175" s="1">
        <f t="shared" ca="1" si="154"/>
        <v>1.0132776471609115</v>
      </c>
      <c r="L175" s="1">
        <f t="shared" ca="1" si="155"/>
        <v>17</v>
      </c>
      <c r="M175" s="1"/>
      <c r="N175" s="1">
        <f t="shared" ca="1" si="156"/>
        <v>319</v>
      </c>
      <c r="O175" s="1">
        <f t="shared" ca="1" si="157"/>
        <v>15</v>
      </c>
      <c r="P175" s="1"/>
      <c r="Q175" s="1">
        <f t="shared" ca="1" si="158"/>
        <v>2.4847106421862017</v>
      </c>
      <c r="R175" s="1">
        <f t="shared" ca="1" si="159"/>
        <v>920</v>
      </c>
      <c r="S175" s="1"/>
      <c r="T175" s="1">
        <f t="shared" ca="1" si="160"/>
        <v>3.7618533370850749E-2</v>
      </c>
      <c r="U175" s="1">
        <f t="shared" ca="1" si="161"/>
        <v>274</v>
      </c>
      <c r="V175" s="1">
        <f t="shared" ca="1" si="162"/>
        <v>41</v>
      </c>
      <c r="W175" s="1"/>
      <c r="X175" s="1">
        <f t="shared" ca="1" si="163"/>
        <v>1.2142532429870065</v>
      </c>
      <c r="Y175" s="1">
        <f t="shared" ca="1" si="164"/>
        <v>0.34245259855123561</v>
      </c>
      <c r="Z175" s="1">
        <f t="shared" ca="1" si="165"/>
        <v>1527</v>
      </c>
      <c r="AB175" s="1">
        <f t="shared" ca="1" si="166"/>
        <v>0.24291239293161773</v>
      </c>
      <c r="AC175" s="1">
        <f t="shared" ca="1" si="167"/>
        <v>230</v>
      </c>
      <c r="AD175" s="1">
        <f t="shared" ca="1" si="168"/>
        <v>9.377237913018999E-3</v>
      </c>
      <c r="AE175" s="1"/>
      <c r="AF175" s="1">
        <f t="shared" ca="1" si="169"/>
        <v>0.81686851434492436</v>
      </c>
      <c r="AG175" s="1">
        <f t="shared" ca="1" si="170"/>
        <v>599</v>
      </c>
      <c r="AH175" s="1">
        <f t="shared" ca="1" si="171"/>
        <v>4.4615961207623359E-3</v>
      </c>
      <c r="AJ175" s="1">
        <f t="shared" ca="1" si="172"/>
        <v>0.77469678227207672</v>
      </c>
      <c r="AK175" s="1">
        <f t="shared" ca="1" si="173"/>
        <v>7.5926765604622049E-3</v>
      </c>
      <c r="AL175" s="1"/>
      <c r="AM175" s="1">
        <f t="shared" ca="1" si="174"/>
        <v>3.6019179581462571E-2</v>
      </c>
      <c r="AN175" s="1">
        <f t="shared" ca="1" si="175"/>
        <v>66</v>
      </c>
      <c r="AO175" s="1">
        <f t="shared" ca="1" si="176"/>
        <v>16</v>
      </c>
      <c r="AQ175" s="1">
        <f t="shared" ca="1" si="177"/>
        <v>101</v>
      </c>
      <c r="AR175" s="1">
        <f t="shared" ca="1" si="178"/>
        <v>7</v>
      </c>
      <c r="AS175" s="1">
        <f t="shared" ca="1" si="179"/>
        <v>43</v>
      </c>
      <c r="AU175" s="1">
        <f t="shared" ca="1" si="180"/>
        <v>246</v>
      </c>
      <c r="AV175" s="1">
        <f t="shared" ca="1" si="181"/>
        <v>4</v>
      </c>
      <c r="AW175" s="1">
        <f t="shared" ca="1" si="182"/>
        <v>0.17229050740529994</v>
      </c>
      <c r="AY175" s="1">
        <f t="shared" ca="1" si="183"/>
        <v>1.1882808217711638</v>
      </c>
      <c r="AZ175" s="1">
        <f t="shared" ca="1" si="184"/>
        <v>406</v>
      </c>
      <c r="BA175" s="1">
        <f t="shared" ca="1" si="185"/>
        <v>4.0364222051655352E-3</v>
      </c>
      <c r="BG175" s="1">
        <f t="shared" ca="1" si="186"/>
        <v>0.52935330991237761</v>
      </c>
      <c r="BH175" s="1">
        <f t="shared" ca="1" si="187"/>
        <v>0.6657440829358019</v>
      </c>
      <c r="BI175" s="1">
        <f t="shared" ca="1" si="188"/>
        <v>678</v>
      </c>
      <c r="BV175" s="1">
        <f t="shared" ca="1" si="189"/>
        <v>0.91483520226196891</v>
      </c>
      <c r="BW175" s="1">
        <f t="shared" ca="1" si="190"/>
        <v>118</v>
      </c>
      <c r="BX175" s="1">
        <f t="shared" ca="1" si="191"/>
        <v>1.0523385685944056E-3</v>
      </c>
      <c r="BY175" s="1">
        <f t="shared" ca="1" si="192"/>
        <v>8.1582968694454347E-2</v>
      </c>
      <c r="BZ175" s="1">
        <f t="shared" ca="1" si="193"/>
        <v>0.61240409722200873</v>
      </c>
      <c r="CB175" s="1">
        <f t="shared" ca="1" si="194"/>
        <v>380</v>
      </c>
      <c r="CC175" s="1">
        <f t="shared" ca="1" si="195"/>
        <v>12</v>
      </c>
      <c r="CD175" s="1">
        <f t="shared" ca="1" si="196"/>
        <v>0.26560532389093078</v>
      </c>
      <c r="CE175" s="1">
        <f t="shared" ca="1" si="218"/>
        <v>0.88495913162742723</v>
      </c>
      <c r="CF175" s="1">
        <f t="shared" ca="1" si="218"/>
        <v>0.89321088150655936</v>
      </c>
      <c r="CH175" s="3">
        <f t="shared" ca="1" si="198"/>
        <v>0.45612500619766599</v>
      </c>
      <c r="CI175" s="3">
        <f t="shared" ca="1" si="199"/>
        <v>6.4701557165529958E-2</v>
      </c>
      <c r="CJ175" s="3">
        <f t="shared" ca="1" si="200"/>
        <v>1086</v>
      </c>
      <c r="CK175" s="3">
        <f t="shared" ca="1" si="201"/>
        <v>7.55140926435636E-3</v>
      </c>
      <c r="CL175" s="3">
        <f t="shared" ca="1" si="202"/>
        <v>0</v>
      </c>
      <c r="CM175" s="3"/>
      <c r="CN175" s="1">
        <f t="shared" ca="1" si="203"/>
        <v>4.5440920255168482</v>
      </c>
      <c r="CO175" s="1">
        <f t="shared" ca="1" si="204"/>
        <v>0.32425044600232933</v>
      </c>
      <c r="CP175" s="1">
        <f t="shared" ca="1" si="205"/>
        <v>2</v>
      </c>
      <c r="CV175" s="1">
        <f t="shared" ca="1" si="206"/>
        <v>4.2200658344898718</v>
      </c>
      <c r="CW175" s="1">
        <f t="shared" ca="1" si="207"/>
        <v>210</v>
      </c>
      <c r="CX175" s="1">
        <f t="shared" ca="1" si="208"/>
        <v>3.3489685385067664E-3</v>
      </c>
      <c r="DH175" s="1">
        <f t="shared" ca="1" si="209"/>
        <v>58</v>
      </c>
      <c r="DI175" s="1">
        <f t="shared" ca="1" si="210"/>
        <v>0.58548662774038562</v>
      </c>
      <c r="DJ175" s="1">
        <f t="shared" ca="1" si="211"/>
        <v>29</v>
      </c>
      <c r="DL175" s="1">
        <f t="shared" ca="1" si="212"/>
        <v>7.9274525115097499E-2</v>
      </c>
      <c r="DM175" s="1">
        <f t="shared" ca="1" si="213"/>
        <v>113</v>
      </c>
      <c r="DN175" s="1">
        <f t="shared" ca="1" si="214"/>
        <v>1</v>
      </c>
      <c r="DW175" s="1">
        <f t="shared" ca="1" si="215"/>
        <v>255</v>
      </c>
      <c r="DX175" s="1">
        <f t="shared" ca="1" si="216"/>
        <v>20</v>
      </c>
      <c r="DY175" s="1">
        <f t="shared" ca="1" si="217"/>
        <v>13</v>
      </c>
    </row>
    <row r="176" spans="2:129" x14ac:dyDescent="0.25">
      <c r="B176">
        <f t="shared" ca="1" si="147"/>
        <v>295</v>
      </c>
      <c r="C176">
        <f t="shared" ca="1" si="148"/>
        <v>33</v>
      </c>
      <c r="D176">
        <f t="shared" ca="1" si="149"/>
        <v>7.7687929962811972E-2</v>
      </c>
      <c r="F176" s="1">
        <f t="shared" ca="1" si="150"/>
        <v>20</v>
      </c>
      <c r="G176" s="1">
        <f t="shared" ca="1" si="151"/>
        <v>7</v>
      </c>
      <c r="H176" s="1">
        <f t="shared" ca="1" si="152"/>
        <v>15</v>
      </c>
      <c r="I176" s="1"/>
      <c r="J176" s="1">
        <f t="shared" ca="1" si="153"/>
        <v>20</v>
      </c>
      <c r="K176" s="1">
        <f t="shared" ca="1" si="154"/>
        <v>1.9916841376199261</v>
      </c>
      <c r="L176" s="1">
        <f t="shared" ca="1" si="155"/>
        <v>26</v>
      </c>
      <c r="M176" s="1"/>
      <c r="N176" s="1">
        <f t="shared" ca="1" si="156"/>
        <v>46</v>
      </c>
      <c r="O176" s="1">
        <f t="shared" ca="1" si="157"/>
        <v>23</v>
      </c>
      <c r="P176" s="1"/>
      <c r="Q176" s="1">
        <f t="shared" ca="1" si="158"/>
        <v>4.2765327318168698</v>
      </c>
      <c r="R176" s="1">
        <f t="shared" ca="1" si="159"/>
        <v>441</v>
      </c>
      <c r="S176" s="1"/>
      <c r="T176" s="1">
        <f t="shared" ca="1" si="160"/>
        <v>3.0648414181323795E-2</v>
      </c>
      <c r="U176" s="1">
        <f t="shared" ca="1" si="161"/>
        <v>273</v>
      </c>
      <c r="V176" s="1">
        <f t="shared" ca="1" si="162"/>
        <v>31</v>
      </c>
      <c r="W176" s="1"/>
      <c r="X176" s="1">
        <f t="shared" ca="1" si="163"/>
        <v>1.8877280053831209</v>
      </c>
      <c r="Y176" s="1">
        <f t="shared" ca="1" si="164"/>
        <v>0.67249593312334066</v>
      </c>
      <c r="Z176" s="1">
        <f t="shared" ca="1" si="165"/>
        <v>1063</v>
      </c>
      <c r="AB176" s="1">
        <f t="shared" ca="1" si="166"/>
        <v>0.28464577546325948</v>
      </c>
      <c r="AC176" s="1">
        <f t="shared" ca="1" si="167"/>
        <v>993</v>
      </c>
      <c r="AD176" s="1">
        <f t="shared" ca="1" si="168"/>
        <v>4.6193325824117025E-3</v>
      </c>
      <c r="AE176" s="1"/>
      <c r="AF176" s="1">
        <f t="shared" ca="1" si="169"/>
        <v>0.75754320169597855</v>
      </c>
      <c r="AG176" s="1">
        <f t="shared" ca="1" si="170"/>
        <v>609</v>
      </c>
      <c r="AH176" s="1">
        <f t="shared" ca="1" si="171"/>
        <v>6.2479311865266621E-3</v>
      </c>
      <c r="AJ176" s="1">
        <f t="shared" ca="1" si="172"/>
        <v>0.80808337438679645</v>
      </c>
      <c r="AK176" s="1">
        <f t="shared" ca="1" si="173"/>
        <v>7.1005775261318155E-3</v>
      </c>
      <c r="AL176" s="1"/>
      <c r="AM176" s="1">
        <f t="shared" ca="1" si="174"/>
        <v>0.10267806765844689</v>
      </c>
      <c r="AN176" s="1">
        <f t="shared" ca="1" si="175"/>
        <v>69</v>
      </c>
      <c r="AO176" s="1">
        <f t="shared" ca="1" si="176"/>
        <v>8</v>
      </c>
      <c r="AQ176" s="1">
        <f t="shared" ca="1" si="177"/>
        <v>111</v>
      </c>
      <c r="AR176" s="1">
        <f t="shared" ca="1" si="178"/>
        <v>10</v>
      </c>
      <c r="AS176" s="1">
        <f t="shared" ca="1" si="179"/>
        <v>76</v>
      </c>
      <c r="AU176" s="1">
        <f t="shared" ca="1" si="180"/>
        <v>222</v>
      </c>
      <c r="AV176" s="1">
        <f t="shared" ca="1" si="181"/>
        <v>2</v>
      </c>
      <c r="AW176" s="1">
        <f t="shared" ca="1" si="182"/>
        <v>0.18471865825242736</v>
      </c>
      <c r="AY176" s="1">
        <f t="shared" ca="1" si="183"/>
        <v>1.8398103500242038</v>
      </c>
      <c r="AZ176" s="1">
        <f t="shared" ca="1" si="184"/>
        <v>144</v>
      </c>
      <c r="BA176" s="1">
        <f t="shared" ca="1" si="185"/>
        <v>2.1736957612943741E-3</v>
      </c>
      <c r="BG176" s="1">
        <f t="shared" ca="1" si="186"/>
        <v>0.49198071324068149</v>
      </c>
      <c r="BH176" s="1">
        <f t="shared" ca="1" si="187"/>
        <v>0.27130725913396436</v>
      </c>
      <c r="BI176" s="1">
        <f t="shared" ca="1" si="188"/>
        <v>984</v>
      </c>
      <c r="BV176" s="1">
        <f t="shared" ca="1" si="189"/>
        <v>0.56423046087708928</v>
      </c>
      <c r="BW176" s="1">
        <f t="shared" ca="1" si="190"/>
        <v>654</v>
      </c>
      <c r="BX176" s="1">
        <f t="shared" ca="1" si="191"/>
        <v>3.6326443327176338E-3</v>
      </c>
      <c r="BY176" s="1">
        <f t="shared" ca="1" si="192"/>
        <v>8.0291034163196245E-2</v>
      </c>
      <c r="BZ176" s="1">
        <f t="shared" ca="1" si="193"/>
        <v>0.73623104610712464</v>
      </c>
      <c r="CB176" s="1">
        <f t="shared" ca="1" si="194"/>
        <v>445</v>
      </c>
      <c r="CC176" s="1">
        <f t="shared" ca="1" si="195"/>
        <v>10</v>
      </c>
      <c r="CD176" s="1">
        <f t="shared" ca="1" si="196"/>
        <v>0.23794996597717402</v>
      </c>
      <c r="CE176" s="1">
        <f t="shared" ca="1" si="218"/>
        <v>0.56816352350790167</v>
      </c>
      <c r="CF176" s="1">
        <f t="shared" ca="1" si="218"/>
        <v>0.8060872998225781</v>
      </c>
      <c r="CH176" s="3">
        <f t="shared" ca="1" si="198"/>
        <v>0.74199803379579454</v>
      </c>
      <c r="CI176" s="3">
        <f t="shared" ca="1" si="199"/>
        <v>0.25529318931792933</v>
      </c>
      <c r="CJ176" s="3">
        <f t="shared" ca="1" si="200"/>
        <v>1100</v>
      </c>
      <c r="CK176" s="3">
        <f t="shared" ca="1" si="201"/>
        <v>6.1558302233229584E-3</v>
      </c>
      <c r="CL176" s="3">
        <f t="shared" ca="1" si="202"/>
        <v>1</v>
      </c>
      <c r="CM176" s="3"/>
      <c r="CN176" s="1">
        <f t="shared" ca="1" si="203"/>
        <v>9.516506184561953</v>
      </c>
      <c r="CO176" s="1">
        <f t="shared" ca="1" si="204"/>
        <v>0.1933031311928389</v>
      </c>
      <c r="CP176" s="1">
        <f t="shared" ca="1" si="205"/>
        <v>2</v>
      </c>
      <c r="CV176" s="1">
        <f t="shared" ca="1" si="206"/>
        <v>5.9906632734256675</v>
      </c>
      <c r="CW176" s="1">
        <f t="shared" ca="1" si="207"/>
        <v>1059</v>
      </c>
      <c r="CX176" s="1">
        <f t="shared" ca="1" si="208"/>
        <v>6.6290462063055633E-3</v>
      </c>
      <c r="DH176" s="1">
        <f t="shared" ca="1" si="209"/>
        <v>651</v>
      </c>
      <c r="DI176" s="1">
        <f t="shared" ca="1" si="210"/>
        <v>0.38196277808669576</v>
      </c>
      <c r="DJ176" s="1">
        <f t="shared" ca="1" si="211"/>
        <v>8</v>
      </c>
      <c r="DL176" s="1">
        <f t="shared" ca="1" si="212"/>
        <v>4.0848017793338208E-2</v>
      </c>
      <c r="DM176" s="1">
        <f t="shared" ca="1" si="213"/>
        <v>280</v>
      </c>
      <c r="DN176" s="1">
        <f t="shared" ca="1" si="214"/>
        <v>4</v>
      </c>
      <c r="DW176" s="1">
        <f t="shared" ca="1" si="215"/>
        <v>217</v>
      </c>
      <c r="DX176" s="1">
        <f t="shared" ca="1" si="216"/>
        <v>19</v>
      </c>
      <c r="DY176" s="1">
        <f t="shared" ca="1" si="217"/>
        <v>9</v>
      </c>
    </row>
    <row r="177" spans="2:129" x14ac:dyDescent="0.25">
      <c r="B177">
        <f t="shared" ca="1" si="147"/>
        <v>519</v>
      </c>
      <c r="C177">
        <f t="shared" ca="1" si="148"/>
        <v>30</v>
      </c>
      <c r="D177">
        <f t="shared" ca="1" si="149"/>
        <v>0.13658185584015006</v>
      </c>
      <c r="F177" s="1">
        <f t="shared" ca="1" si="150"/>
        <v>10</v>
      </c>
      <c r="G177" s="1">
        <f t="shared" ca="1" si="151"/>
        <v>17</v>
      </c>
      <c r="H177" s="1">
        <f t="shared" ca="1" si="152"/>
        <v>7</v>
      </c>
      <c r="I177" s="1"/>
      <c r="J177" s="1">
        <f t="shared" ca="1" si="153"/>
        <v>35</v>
      </c>
      <c r="K177" s="1">
        <f t="shared" ca="1" si="154"/>
        <v>2.5884550443226502</v>
      </c>
      <c r="L177" s="1">
        <f t="shared" ca="1" si="155"/>
        <v>2</v>
      </c>
      <c r="M177" s="1"/>
      <c r="N177" s="1">
        <f t="shared" ca="1" si="156"/>
        <v>63</v>
      </c>
      <c r="O177" s="1">
        <f t="shared" ca="1" si="157"/>
        <v>23</v>
      </c>
      <c r="P177" s="1"/>
      <c r="Q177" s="1">
        <f t="shared" ca="1" si="158"/>
        <v>4.615380173578262</v>
      </c>
      <c r="R177" s="1">
        <f t="shared" ca="1" si="159"/>
        <v>850</v>
      </c>
      <c r="S177" s="1"/>
      <c r="T177" s="1">
        <f t="shared" ca="1" si="160"/>
        <v>8.9446452036282612E-2</v>
      </c>
      <c r="U177" s="1">
        <f t="shared" ca="1" si="161"/>
        <v>161</v>
      </c>
      <c r="V177" s="1">
        <f t="shared" ca="1" si="162"/>
        <v>28</v>
      </c>
      <c r="W177" s="1"/>
      <c r="X177" s="1">
        <f t="shared" ca="1" si="163"/>
        <v>0.7894150762948432</v>
      </c>
      <c r="Y177" s="1">
        <f t="shared" ca="1" si="164"/>
        <v>0.54170805697684721</v>
      </c>
      <c r="Z177" s="1">
        <f t="shared" ca="1" si="165"/>
        <v>932</v>
      </c>
      <c r="AB177" s="1">
        <f t="shared" ca="1" si="166"/>
        <v>0.49099222270441673</v>
      </c>
      <c r="AC177" s="1">
        <f t="shared" ca="1" si="167"/>
        <v>969</v>
      </c>
      <c r="AD177" s="1">
        <f t="shared" ca="1" si="168"/>
        <v>1.8346065346306613E-3</v>
      </c>
      <c r="AE177" s="1"/>
      <c r="AF177" s="1">
        <f t="shared" ca="1" si="169"/>
        <v>0.88825496830519879</v>
      </c>
      <c r="AG177" s="1">
        <f t="shared" ca="1" si="170"/>
        <v>754</v>
      </c>
      <c r="AH177" s="1">
        <f t="shared" ca="1" si="171"/>
        <v>8.2467802617478079E-3</v>
      </c>
      <c r="AJ177" s="1">
        <f t="shared" ca="1" si="172"/>
        <v>0.64345614633650594</v>
      </c>
      <c r="AK177" s="1">
        <f t="shared" ca="1" si="173"/>
        <v>8.2629375694362513E-3</v>
      </c>
      <c r="AL177" s="1"/>
      <c r="AM177" s="1">
        <f t="shared" ca="1" si="174"/>
        <v>0.11761509596273592</v>
      </c>
      <c r="AN177" s="1">
        <f t="shared" ca="1" si="175"/>
        <v>51</v>
      </c>
      <c r="AO177" s="1">
        <f t="shared" ca="1" si="176"/>
        <v>-1</v>
      </c>
      <c r="AQ177" s="1">
        <f t="shared" ca="1" si="177"/>
        <v>72</v>
      </c>
      <c r="AR177" s="1">
        <f t="shared" ca="1" si="178"/>
        <v>9</v>
      </c>
      <c r="AS177" s="1">
        <f t="shared" ca="1" si="179"/>
        <v>77</v>
      </c>
      <c r="AU177" s="1">
        <f t="shared" ca="1" si="180"/>
        <v>356</v>
      </c>
      <c r="AV177" s="1">
        <f t="shared" ca="1" si="181"/>
        <v>4</v>
      </c>
      <c r="AW177" s="1">
        <f t="shared" ca="1" si="182"/>
        <v>1.4840375046673633E-2</v>
      </c>
      <c r="AY177" s="1">
        <f t="shared" ca="1" si="183"/>
        <v>1.2668559816244467</v>
      </c>
      <c r="AZ177" s="1">
        <f t="shared" ca="1" si="184"/>
        <v>387</v>
      </c>
      <c r="BA177" s="1">
        <f t="shared" ca="1" si="185"/>
        <v>7.2432192978357283E-4</v>
      </c>
      <c r="BG177" s="1">
        <f t="shared" ca="1" si="186"/>
        <v>0.22806619848914622</v>
      </c>
      <c r="BH177" s="1">
        <f t="shared" ca="1" si="187"/>
        <v>0.99428581359243839</v>
      </c>
      <c r="BI177" s="1">
        <f t="shared" ca="1" si="188"/>
        <v>134</v>
      </c>
      <c r="BV177" s="1">
        <f t="shared" ca="1" si="189"/>
        <v>0.46297090160824966</v>
      </c>
      <c r="BW177" s="1">
        <f t="shared" ca="1" si="190"/>
        <v>100</v>
      </c>
      <c r="BX177" s="1">
        <f t="shared" ca="1" si="191"/>
        <v>4.4861585917641928E-3</v>
      </c>
      <c r="BY177" s="1">
        <f t="shared" ca="1" si="192"/>
        <v>4.0199165650899996E-2</v>
      </c>
      <c r="BZ177" s="1">
        <f t="shared" ca="1" si="193"/>
        <v>0.55242027365695157</v>
      </c>
      <c r="CB177" s="1">
        <f t="shared" ca="1" si="194"/>
        <v>174</v>
      </c>
      <c r="CC177" s="1">
        <f t="shared" ca="1" si="195"/>
        <v>7</v>
      </c>
      <c r="CD177" s="1">
        <f t="shared" ca="1" si="196"/>
        <v>9.6883630854905825E-2</v>
      </c>
      <c r="CE177" s="1">
        <f t="shared" ca="1" si="218"/>
        <v>0.73970239948392391</v>
      </c>
      <c r="CF177" s="1">
        <f t="shared" ca="1" si="218"/>
        <v>0.99047563962287688</v>
      </c>
      <c r="CH177" s="3">
        <f t="shared" ca="1" si="198"/>
        <v>0.43240019437977151</v>
      </c>
      <c r="CI177" s="3">
        <f t="shared" ca="1" si="199"/>
        <v>0.48391408089636323</v>
      </c>
      <c r="CJ177" s="3">
        <f t="shared" ca="1" si="200"/>
        <v>1184</v>
      </c>
      <c r="CK177" s="3">
        <f t="shared" ca="1" si="201"/>
        <v>5.1480234411150601E-3</v>
      </c>
      <c r="CL177" s="3">
        <f t="shared" ca="1" si="202"/>
        <v>1</v>
      </c>
      <c r="CM177" s="3"/>
      <c r="CN177" s="1">
        <f t="shared" ca="1" si="203"/>
        <v>9.0864767077118707</v>
      </c>
      <c r="CO177" s="1">
        <f t="shared" ca="1" si="204"/>
        <v>9.2955344170381218E-2</v>
      </c>
      <c r="CP177" s="1">
        <f t="shared" ca="1" si="205"/>
        <v>3</v>
      </c>
      <c r="CV177" s="1">
        <f t="shared" ca="1" si="206"/>
        <v>8.4429482479572044</v>
      </c>
      <c r="CW177" s="1">
        <f t="shared" ca="1" si="207"/>
        <v>1542</v>
      </c>
      <c r="CX177" s="1">
        <f t="shared" ca="1" si="208"/>
        <v>9.8411416707349583E-3</v>
      </c>
      <c r="DH177" s="1">
        <f t="shared" ca="1" si="209"/>
        <v>493</v>
      </c>
      <c r="DI177" s="1">
        <f t="shared" ca="1" si="210"/>
        <v>0.22179540418641508</v>
      </c>
      <c r="DJ177" s="1">
        <f t="shared" ca="1" si="211"/>
        <v>29</v>
      </c>
      <c r="DL177" s="1">
        <f t="shared" ca="1" si="212"/>
        <v>7.4302354857538153E-2</v>
      </c>
      <c r="DM177" s="1">
        <f t="shared" ca="1" si="213"/>
        <v>118</v>
      </c>
      <c r="DN177" s="1">
        <f t="shared" ca="1" si="214"/>
        <v>10</v>
      </c>
      <c r="DW177" s="1">
        <f t="shared" ca="1" si="215"/>
        <v>271</v>
      </c>
      <c r="DX177" s="1">
        <f t="shared" ca="1" si="216"/>
        <v>17</v>
      </c>
      <c r="DY177" s="1">
        <f t="shared" ca="1" si="217"/>
        <v>11</v>
      </c>
    </row>
    <row r="178" spans="2:129" x14ac:dyDescent="0.25">
      <c r="B178">
        <f t="shared" ca="1" si="147"/>
        <v>269</v>
      </c>
      <c r="C178">
        <f t="shared" ca="1" si="148"/>
        <v>12</v>
      </c>
      <c r="D178">
        <f t="shared" ca="1" si="149"/>
        <v>0.18748831593826215</v>
      </c>
      <c r="F178" s="1">
        <f t="shared" ca="1" si="150"/>
        <v>28</v>
      </c>
      <c r="G178" s="1">
        <f t="shared" ca="1" si="151"/>
        <v>2</v>
      </c>
      <c r="H178" s="1">
        <f t="shared" ca="1" si="152"/>
        <v>2</v>
      </c>
      <c r="I178" s="1"/>
      <c r="J178" s="1">
        <f t="shared" ca="1" si="153"/>
        <v>31</v>
      </c>
      <c r="K178" s="1">
        <f t="shared" ca="1" si="154"/>
        <v>1.0310341339611098</v>
      </c>
      <c r="L178" s="1">
        <f t="shared" ca="1" si="155"/>
        <v>7</v>
      </c>
      <c r="M178" s="1"/>
      <c r="N178" s="1">
        <f t="shared" ca="1" si="156"/>
        <v>869</v>
      </c>
      <c r="O178" s="1">
        <f t="shared" ca="1" si="157"/>
        <v>20</v>
      </c>
      <c r="P178" s="1"/>
      <c r="Q178" s="1">
        <f t="shared" ca="1" si="158"/>
        <v>0.10360434270120937</v>
      </c>
      <c r="R178" s="1">
        <f t="shared" ca="1" si="159"/>
        <v>628</v>
      </c>
      <c r="S178" s="1"/>
      <c r="T178" s="1">
        <f t="shared" ca="1" si="160"/>
        <v>0.12502885997859758</v>
      </c>
      <c r="U178" s="1">
        <f t="shared" ca="1" si="161"/>
        <v>114</v>
      </c>
      <c r="V178" s="1">
        <f t="shared" ca="1" si="162"/>
        <v>43</v>
      </c>
      <c r="W178" s="1"/>
      <c r="X178" s="1">
        <f t="shared" ca="1" si="163"/>
        <v>5.4579049871585159</v>
      </c>
      <c r="Y178" s="1">
        <f t="shared" ca="1" si="164"/>
        <v>0.66981567766388361</v>
      </c>
      <c r="Z178" s="1">
        <f t="shared" ca="1" si="165"/>
        <v>776</v>
      </c>
      <c r="AB178" s="1">
        <f t="shared" ca="1" si="166"/>
        <v>0.51649251999843326</v>
      </c>
      <c r="AC178" s="1">
        <f t="shared" ca="1" si="167"/>
        <v>913</v>
      </c>
      <c r="AD178" s="1">
        <f t="shared" ca="1" si="168"/>
        <v>4.2368958070928327E-3</v>
      </c>
      <c r="AE178" s="1"/>
      <c r="AF178" s="1">
        <f t="shared" ca="1" si="169"/>
        <v>0.39544340430657365</v>
      </c>
      <c r="AG178" s="1">
        <f t="shared" ca="1" si="170"/>
        <v>495</v>
      </c>
      <c r="AH178" s="1">
        <f t="shared" ca="1" si="171"/>
        <v>9.1731157152181598E-3</v>
      </c>
      <c r="AJ178" s="1">
        <f t="shared" ca="1" si="172"/>
        <v>0.91181719732292632</v>
      </c>
      <c r="AK178" s="1">
        <f t="shared" ca="1" si="173"/>
        <v>1.6461765970211908E-3</v>
      </c>
      <c r="AL178" s="1"/>
      <c r="AM178" s="1">
        <f t="shared" ca="1" si="174"/>
        <v>6.2775572040141545E-2</v>
      </c>
      <c r="AN178" s="1">
        <f t="shared" ca="1" si="175"/>
        <v>36</v>
      </c>
      <c r="AO178" s="1">
        <f t="shared" ca="1" si="176"/>
        <v>18</v>
      </c>
      <c r="AQ178" s="1">
        <f t="shared" ca="1" si="177"/>
        <v>109</v>
      </c>
      <c r="AR178" s="1">
        <f t="shared" ca="1" si="178"/>
        <v>10</v>
      </c>
      <c r="AS178" s="1">
        <f t="shared" ca="1" si="179"/>
        <v>76</v>
      </c>
      <c r="AU178" s="1">
        <f t="shared" ca="1" si="180"/>
        <v>310</v>
      </c>
      <c r="AV178" s="1">
        <f t="shared" ca="1" si="181"/>
        <v>9</v>
      </c>
      <c r="AW178" s="1">
        <f t="shared" ca="1" si="182"/>
        <v>0.17829507258957464</v>
      </c>
      <c r="AY178" s="1">
        <f t="shared" ca="1" si="183"/>
        <v>1.4490766840762412</v>
      </c>
      <c r="AZ178" s="1">
        <f t="shared" ca="1" si="184"/>
        <v>470</v>
      </c>
      <c r="BA178" s="1">
        <f t="shared" ca="1" si="185"/>
        <v>7.0199604843059725E-3</v>
      </c>
      <c r="BG178" s="1">
        <f t="shared" ca="1" si="186"/>
        <v>0.71771713454131481</v>
      </c>
      <c r="BH178" s="1">
        <f t="shared" ca="1" si="187"/>
        <v>2.2770232388073963E-2</v>
      </c>
      <c r="BI178" s="1">
        <f t="shared" ca="1" si="188"/>
        <v>982</v>
      </c>
      <c r="BV178" s="1">
        <f t="shared" ca="1" si="189"/>
        <v>0.77529643002654758</v>
      </c>
      <c r="BW178" s="1">
        <f t="shared" ca="1" si="190"/>
        <v>689</v>
      </c>
      <c r="BX178" s="1">
        <f t="shared" ca="1" si="191"/>
        <v>1.3920202141622969E-3</v>
      </c>
      <c r="BY178" s="1">
        <f t="shared" ca="1" si="192"/>
        <v>8.9619776381097374E-2</v>
      </c>
      <c r="BZ178" s="1">
        <f t="shared" ca="1" si="193"/>
        <v>0.7031003005252171</v>
      </c>
      <c r="CB178" s="1">
        <f t="shared" ca="1" si="194"/>
        <v>242</v>
      </c>
      <c r="CC178" s="1">
        <f t="shared" ca="1" si="195"/>
        <v>8</v>
      </c>
      <c r="CD178" s="1">
        <f t="shared" ca="1" si="196"/>
        <v>0.25144728345074341</v>
      </c>
      <c r="CE178" s="1">
        <f t="shared" ca="1" si="218"/>
        <v>0.64123565975334218</v>
      </c>
      <c r="CF178" s="1">
        <f t="shared" ca="1" si="218"/>
        <v>0.93899593922354652</v>
      </c>
      <c r="CH178" s="3">
        <f t="shared" ca="1" si="198"/>
        <v>6.1948864333377485E-2</v>
      </c>
      <c r="CI178" s="3">
        <f t="shared" ca="1" si="199"/>
        <v>0.32817464474159697</v>
      </c>
      <c r="CJ178" s="3">
        <f t="shared" ca="1" si="200"/>
        <v>1738</v>
      </c>
      <c r="CK178" s="3">
        <f t="shared" ca="1" si="201"/>
        <v>9.431316636809137E-3</v>
      </c>
      <c r="CL178" s="3">
        <f t="shared" ca="1" si="202"/>
        <v>0</v>
      </c>
      <c r="CM178" s="3"/>
      <c r="CN178" s="1">
        <f t="shared" ca="1" si="203"/>
        <v>11.707877927918849</v>
      </c>
      <c r="CO178" s="1">
        <f t="shared" ca="1" si="204"/>
        <v>1.561779267767386E-2</v>
      </c>
      <c r="CP178" s="1">
        <f t="shared" ca="1" si="205"/>
        <v>1</v>
      </c>
      <c r="CV178" s="1">
        <f t="shared" ca="1" si="206"/>
        <v>1.2911310638875595</v>
      </c>
      <c r="CW178" s="1">
        <f t="shared" ca="1" si="207"/>
        <v>476</v>
      </c>
      <c r="CX178" s="1">
        <f t="shared" ca="1" si="208"/>
        <v>6.3842892472572663E-3</v>
      </c>
      <c r="DH178" s="1">
        <f t="shared" ca="1" si="209"/>
        <v>762</v>
      </c>
      <c r="DI178" s="1">
        <f t="shared" ca="1" si="210"/>
        <v>0.74727799993771205</v>
      </c>
      <c r="DJ178" s="1">
        <f t="shared" ca="1" si="211"/>
        <v>11</v>
      </c>
      <c r="DL178" s="1">
        <f t="shared" ca="1" si="212"/>
        <v>0.13473757310477177</v>
      </c>
      <c r="DM178" s="1">
        <f t="shared" ca="1" si="213"/>
        <v>294</v>
      </c>
      <c r="DN178" s="1">
        <f t="shared" ca="1" si="214"/>
        <v>9</v>
      </c>
      <c r="DW178" s="1">
        <f t="shared" ca="1" si="215"/>
        <v>217</v>
      </c>
      <c r="DX178" s="1">
        <f t="shared" ca="1" si="216"/>
        <v>11</v>
      </c>
      <c r="DY178" s="1">
        <f t="shared" ca="1" si="217"/>
        <v>11</v>
      </c>
    </row>
    <row r="179" spans="2:129" x14ac:dyDescent="0.25">
      <c r="B179">
        <f t="shared" ca="1" si="147"/>
        <v>887</v>
      </c>
      <c r="C179">
        <f t="shared" ca="1" si="148"/>
        <v>43</v>
      </c>
      <c r="D179">
        <f t="shared" ca="1" si="149"/>
        <v>0.1839194349487478</v>
      </c>
      <c r="F179" s="1">
        <f t="shared" ca="1" si="150"/>
        <v>30</v>
      </c>
      <c r="G179" s="1">
        <f t="shared" ca="1" si="151"/>
        <v>24</v>
      </c>
      <c r="H179" s="1">
        <f t="shared" ca="1" si="152"/>
        <v>13</v>
      </c>
      <c r="I179" s="1"/>
      <c r="J179" s="1">
        <f t="shared" ca="1" si="153"/>
        <v>8</v>
      </c>
      <c r="K179" s="1">
        <f t="shared" ca="1" si="154"/>
        <v>2.2910458400719751</v>
      </c>
      <c r="L179" s="1">
        <f t="shared" ca="1" si="155"/>
        <v>14</v>
      </c>
      <c r="M179" s="1"/>
      <c r="N179" s="1">
        <f t="shared" ca="1" si="156"/>
        <v>819</v>
      </c>
      <c r="O179" s="1">
        <f t="shared" ca="1" si="157"/>
        <v>43</v>
      </c>
      <c r="P179" s="1"/>
      <c r="Q179" s="1">
        <f t="shared" ca="1" si="158"/>
        <v>2.684718359067098</v>
      </c>
      <c r="R179" s="1">
        <f t="shared" ca="1" si="159"/>
        <v>970</v>
      </c>
      <c r="S179" s="1"/>
      <c r="T179" s="1">
        <f t="shared" ca="1" si="160"/>
        <v>9.7476160558293848E-2</v>
      </c>
      <c r="U179" s="1">
        <f t="shared" ca="1" si="161"/>
        <v>324</v>
      </c>
      <c r="V179" s="1">
        <f t="shared" ca="1" si="162"/>
        <v>15</v>
      </c>
      <c r="W179" s="1"/>
      <c r="X179" s="1">
        <f t="shared" ca="1" si="163"/>
        <v>6.0669753036337379</v>
      </c>
      <c r="Y179" s="1">
        <f t="shared" ca="1" si="164"/>
        <v>0.67641089259376819</v>
      </c>
      <c r="Z179" s="1">
        <f t="shared" ca="1" si="165"/>
        <v>380</v>
      </c>
      <c r="AB179" s="1">
        <f t="shared" ca="1" si="166"/>
        <v>0.54773364048757189</v>
      </c>
      <c r="AC179" s="1">
        <f t="shared" ca="1" si="167"/>
        <v>293</v>
      </c>
      <c r="AD179" s="1">
        <f t="shared" ca="1" si="168"/>
        <v>7.4773827866873093E-3</v>
      </c>
      <c r="AE179" s="1"/>
      <c r="AF179" s="1">
        <f t="shared" ca="1" si="169"/>
        <v>0.39965111006016707</v>
      </c>
      <c r="AG179" s="1">
        <f t="shared" ca="1" si="170"/>
        <v>934</v>
      </c>
      <c r="AH179" s="1">
        <f t="shared" ca="1" si="171"/>
        <v>7.9913507056426462E-3</v>
      </c>
      <c r="AJ179" s="1">
        <f t="shared" ca="1" si="172"/>
        <v>0.5590608104459176</v>
      </c>
      <c r="AK179" s="1">
        <f t="shared" ca="1" si="173"/>
        <v>3.2261799632124781E-3</v>
      </c>
      <c r="AL179" s="1"/>
      <c r="AM179" s="1">
        <f t="shared" ca="1" si="174"/>
        <v>1.2427972160906601E-2</v>
      </c>
      <c r="AN179" s="1">
        <f t="shared" ca="1" si="175"/>
        <v>58</v>
      </c>
      <c r="AO179" s="1">
        <f t="shared" ca="1" si="176"/>
        <v>2</v>
      </c>
      <c r="AQ179" s="1">
        <f t="shared" ca="1" si="177"/>
        <v>84</v>
      </c>
      <c r="AR179" s="1">
        <f t="shared" ca="1" si="178"/>
        <v>6</v>
      </c>
      <c r="AS179" s="1">
        <f t="shared" ca="1" si="179"/>
        <v>69</v>
      </c>
      <c r="AU179" s="1">
        <f t="shared" ca="1" si="180"/>
        <v>255</v>
      </c>
      <c r="AV179" s="1">
        <f t="shared" ca="1" si="181"/>
        <v>4</v>
      </c>
      <c r="AW179" s="1">
        <f t="shared" ca="1" si="182"/>
        <v>0.17685282325528501</v>
      </c>
      <c r="AY179" s="1">
        <f t="shared" ca="1" si="183"/>
        <v>1.6858782694978531</v>
      </c>
      <c r="AZ179" s="1">
        <f t="shared" ca="1" si="184"/>
        <v>457</v>
      </c>
      <c r="BA179" s="1">
        <f t="shared" ca="1" si="185"/>
        <v>8.7093729018969477E-3</v>
      </c>
      <c r="BG179" s="1">
        <f t="shared" ca="1" si="186"/>
        <v>0.51586982129214032</v>
      </c>
      <c r="BH179" s="1">
        <f t="shared" ca="1" si="187"/>
        <v>0.42654989132064569</v>
      </c>
      <c r="BI179" s="1">
        <f t="shared" ca="1" si="188"/>
        <v>882</v>
      </c>
      <c r="BV179" s="1">
        <f t="shared" ca="1" si="189"/>
        <v>0.58463454086225775</v>
      </c>
      <c r="BW179" s="1">
        <f t="shared" ca="1" si="190"/>
        <v>128</v>
      </c>
      <c r="BX179" s="1">
        <f t="shared" ca="1" si="191"/>
        <v>7.7653561713928918E-4</v>
      </c>
      <c r="BY179" s="1">
        <f t="shared" ca="1" si="192"/>
        <v>5.607314789574272E-2</v>
      </c>
      <c r="BZ179" s="1">
        <f t="shared" ca="1" si="193"/>
        <v>0.78098656756984042</v>
      </c>
      <c r="CB179" s="1">
        <f t="shared" ca="1" si="194"/>
        <v>104</v>
      </c>
      <c r="CC179" s="1">
        <f t="shared" ca="1" si="195"/>
        <v>10</v>
      </c>
      <c r="CD179" s="1">
        <f t="shared" ca="1" si="196"/>
        <v>0.23901423950177803</v>
      </c>
      <c r="CE179" s="1">
        <f t="shared" ca="1" si="218"/>
        <v>0.75551910402133604</v>
      </c>
      <c r="CF179" s="1">
        <f t="shared" ca="1" si="218"/>
        <v>0.75024231903809069</v>
      </c>
      <c r="CH179" s="3">
        <f t="shared" ca="1" si="198"/>
        <v>0.20708547826386525</v>
      </c>
      <c r="CI179" s="3">
        <f t="shared" ca="1" si="199"/>
        <v>0.97664473916509431</v>
      </c>
      <c r="CJ179" s="3">
        <f t="shared" ca="1" si="200"/>
        <v>1593</v>
      </c>
      <c r="CK179" s="3">
        <f t="shared" ca="1" si="201"/>
        <v>6.0450953582900785E-6</v>
      </c>
      <c r="CL179" s="3">
        <f t="shared" ca="1" si="202"/>
        <v>1</v>
      </c>
      <c r="CM179" s="3"/>
      <c r="CN179" s="1">
        <f t="shared" ca="1" si="203"/>
        <v>6.7883838165570047</v>
      </c>
      <c r="CO179" s="1">
        <f t="shared" ca="1" si="204"/>
        <v>0.32556332849684305</v>
      </c>
      <c r="CP179" s="1">
        <f t="shared" ca="1" si="205"/>
        <v>5</v>
      </c>
      <c r="CV179" s="1">
        <f t="shared" ca="1" si="206"/>
        <v>7.9484021031196948</v>
      </c>
      <c r="CW179" s="1">
        <f t="shared" ca="1" si="207"/>
        <v>639</v>
      </c>
      <c r="CX179" s="1">
        <f t="shared" ca="1" si="208"/>
        <v>8.9266712820580251E-3</v>
      </c>
      <c r="DH179" s="1">
        <f t="shared" ca="1" si="209"/>
        <v>521</v>
      </c>
      <c r="DI179" s="1">
        <f t="shared" ca="1" si="210"/>
        <v>0.76609100229174787</v>
      </c>
      <c r="DJ179" s="1">
        <f t="shared" ca="1" si="211"/>
        <v>11</v>
      </c>
      <c r="DL179" s="1">
        <f t="shared" ca="1" si="212"/>
        <v>4.2358948242918033E-2</v>
      </c>
      <c r="DM179" s="1">
        <f t="shared" ca="1" si="213"/>
        <v>101</v>
      </c>
      <c r="DN179" s="1">
        <f t="shared" ca="1" si="214"/>
        <v>3</v>
      </c>
      <c r="DW179" s="1">
        <f t="shared" ca="1" si="215"/>
        <v>334</v>
      </c>
      <c r="DX179" s="1">
        <f t="shared" ca="1" si="216"/>
        <v>3</v>
      </c>
      <c r="DY179" s="1">
        <f t="shared" ca="1" si="217"/>
        <v>3</v>
      </c>
    </row>
    <row r="180" spans="2:129" x14ac:dyDescent="0.25">
      <c r="B180">
        <f t="shared" ca="1" si="147"/>
        <v>436</v>
      </c>
      <c r="C180">
        <f t="shared" ca="1" si="148"/>
        <v>27</v>
      </c>
      <c r="D180">
        <f t="shared" ca="1" si="149"/>
        <v>0.24449444113663882</v>
      </c>
      <c r="F180" s="1">
        <f t="shared" ca="1" si="150"/>
        <v>25</v>
      </c>
      <c r="G180" s="1">
        <f t="shared" ca="1" si="151"/>
        <v>6</v>
      </c>
      <c r="H180" s="1">
        <f t="shared" ca="1" si="152"/>
        <v>9</v>
      </c>
      <c r="I180" s="1"/>
      <c r="J180" s="1">
        <f t="shared" ca="1" si="153"/>
        <v>28</v>
      </c>
      <c r="K180" s="1">
        <f t="shared" ca="1" si="154"/>
        <v>1.2990331991018262</v>
      </c>
      <c r="L180" s="1">
        <f t="shared" ca="1" si="155"/>
        <v>8</v>
      </c>
      <c r="M180" s="1"/>
      <c r="N180" s="1">
        <f t="shared" ca="1" si="156"/>
        <v>44</v>
      </c>
      <c r="O180" s="1">
        <f t="shared" ca="1" si="157"/>
        <v>32</v>
      </c>
      <c r="P180" s="1"/>
      <c r="Q180" s="1">
        <f t="shared" ca="1" si="158"/>
        <v>4.9829148585495293</v>
      </c>
      <c r="R180" s="1">
        <f t="shared" ca="1" si="159"/>
        <v>972</v>
      </c>
      <c r="S180" s="1"/>
      <c r="T180" s="1">
        <f t="shared" ca="1" si="160"/>
        <v>0.11334813405772591</v>
      </c>
      <c r="U180" s="1">
        <f t="shared" ca="1" si="161"/>
        <v>158</v>
      </c>
      <c r="V180" s="1">
        <f t="shared" ca="1" si="162"/>
        <v>12</v>
      </c>
      <c r="W180" s="1"/>
      <c r="X180" s="1">
        <f t="shared" ca="1" si="163"/>
        <v>2.9154535052760564</v>
      </c>
      <c r="Y180" s="1">
        <f t="shared" ca="1" si="164"/>
        <v>0.48302673749807018</v>
      </c>
      <c r="Z180" s="1">
        <f t="shared" ca="1" si="165"/>
        <v>1379</v>
      </c>
      <c r="AB180" s="1">
        <f t="shared" ca="1" si="166"/>
        <v>3.1530660673222251E-2</v>
      </c>
      <c r="AC180" s="1">
        <f t="shared" ca="1" si="167"/>
        <v>294</v>
      </c>
      <c r="AD180" s="1">
        <f t="shared" ca="1" si="168"/>
        <v>3.020391856246096E-3</v>
      </c>
      <c r="AE180" s="1"/>
      <c r="AF180" s="1">
        <f t="shared" ca="1" si="169"/>
        <v>0.28537139946803675</v>
      </c>
      <c r="AG180" s="1">
        <f t="shared" ca="1" si="170"/>
        <v>327</v>
      </c>
      <c r="AH180" s="1">
        <f t="shared" ca="1" si="171"/>
        <v>5.7551610087420929E-3</v>
      </c>
      <c r="AJ180" s="1">
        <f t="shared" ca="1" si="172"/>
        <v>0.39945217948146161</v>
      </c>
      <c r="AK180" s="1">
        <f t="shared" ca="1" si="173"/>
        <v>5.2135133123912035E-3</v>
      </c>
      <c r="AL180" s="1"/>
      <c r="AM180" s="1">
        <f t="shared" ca="1" si="174"/>
        <v>0.15384090499948452</v>
      </c>
      <c r="AN180" s="1">
        <f t="shared" ca="1" si="175"/>
        <v>33</v>
      </c>
      <c r="AO180" s="1">
        <f t="shared" ca="1" si="176"/>
        <v>20</v>
      </c>
      <c r="AQ180" s="1">
        <f t="shared" ca="1" si="177"/>
        <v>142</v>
      </c>
      <c r="AR180" s="1">
        <f t="shared" ca="1" si="178"/>
        <v>1</v>
      </c>
      <c r="AS180" s="1">
        <f t="shared" ca="1" si="179"/>
        <v>68</v>
      </c>
      <c r="AU180" s="1">
        <f t="shared" ca="1" si="180"/>
        <v>261</v>
      </c>
      <c r="AV180" s="1">
        <f t="shared" ca="1" si="181"/>
        <v>6</v>
      </c>
      <c r="AW180" s="1">
        <f t="shared" ca="1" si="182"/>
        <v>3.857830706957395E-2</v>
      </c>
      <c r="AY180" s="1">
        <f t="shared" ca="1" si="183"/>
        <v>1.9745484043697443</v>
      </c>
      <c r="AZ180" s="1">
        <f t="shared" ca="1" si="184"/>
        <v>431</v>
      </c>
      <c r="BA180" s="1">
        <f t="shared" ca="1" si="185"/>
        <v>4.8584144623239883E-3</v>
      </c>
      <c r="BG180" s="1">
        <f t="shared" ca="1" si="186"/>
        <v>0.77841849021215592</v>
      </c>
      <c r="BH180" s="1">
        <f t="shared" ca="1" si="187"/>
        <v>0.29691094501143334</v>
      </c>
      <c r="BI180" s="1">
        <f t="shared" ca="1" si="188"/>
        <v>713</v>
      </c>
      <c r="BV180" s="1">
        <f t="shared" ca="1" si="189"/>
        <v>0.98221140465957146</v>
      </c>
      <c r="BW180" s="1">
        <f t="shared" ca="1" si="190"/>
        <v>814</v>
      </c>
      <c r="BX180" s="1">
        <f t="shared" ca="1" si="191"/>
        <v>9.8420348807732477E-4</v>
      </c>
      <c r="BY180" s="1">
        <f t="shared" ca="1" si="192"/>
        <v>6.0119028815840005E-2</v>
      </c>
      <c r="BZ180" s="1">
        <f t="shared" ca="1" si="193"/>
        <v>0.16326772515130705</v>
      </c>
      <c r="CB180" s="1">
        <f t="shared" ca="1" si="194"/>
        <v>120</v>
      </c>
      <c r="CC180" s="1">
        <f t="shared" ca="1" si="195"/>
        <v>15</v>
      </c>
      <c r="CD180" s="1">
        <f t="shared" ca="1" si="196"/>
        <v>6.4049394170837437E-2</v>
      </c>
      <c r="CE180" s="1">
        <f t="shared" ca="1" si="218"/>
        <v>0.94637385780478511</v>
      </c>
      <c r="CF180" s="1">
        <f t="shared" ca="1" si="218"/>
        <v>0.69705098917243369</v>
      </c>
      <c r="CH180" s="3">
        <f t="shared" ca="1" si="198"/>
        <v>0.58116196740850701</v>
      </c>
      <c r="CI180" s="3">
        <f t="shared" ca="1" si="199"/>
        <v>0.55257343626924471</v>
      </c>
      <c r="CJ180" s="3">
        <f t="shared" ca="1" si="200"/>
        <v>595</v>
      </c>
      <c r="CK180" s="3">
        <f t="shared" ca="1" si="201"/>
        <v>1.3718308241700322E-3</v>
      </c>
      <c r="CL180" s="3">
        <f t="shared" ca="1" si="202"/>
        <v>0</v>
      </c>
      <c r="CM180" s="3"/>
      <c r="CN180" s="1">
        <f t="shared" ca="1" si="203"/>
        <v>5.8563536807320755</v>
      </c>
      <c r="CO180" s="1">
        <f t="shared" ca="1" si="204"/>
        <v>0.29120215671258354</v>
      </c>
      <c r="CP180" s="1">
        <f t="shared" ca="1" si="205"/>
        <v>2</v>
      </c>
      <c r="CV180" s="1">
        <f t="shared" ca="1" si="206"/>
        <v>4.5683460069071806</v>
      </c>
      <c r="CW180" s="1">
        <f t="shared" ca="1" si="207"/>
        <v>1861</v>
      </c>
      <c r="CX180" s="1">
        <f t="shared" ca="1" si="208"/>
        <v>7.0846390637488692E-3</v>
      </c>
      <c r="DH180" s="1">
        <f t="shared" ca="1" si="209"/>
        <v>96</v>
      </c>
      <c r="DI180" s="1">
        <f t="shared" ca="1" si="210"/>
        <v>8.1326780702389509E-2</v>
      </c>
      <c r="DJ180" s="1">
        <f t="shared" ca="1" si="211"/>
        <v>9</v>
      </c>
      <c r="DL180" s="1">
        <f t="shared" ca="1" si="212"/>
        <v>0.17280874793397949</v>
      </c>
      <c r="DM180" s="1">
        <f t="shared" ca="1" si="213"/>
        <v>129</v>
      </c>
      <c r="DN180" s="1">
        <f t="shared" ca="1" si="214"/>
        <v>6</v>
      </c>
      <c r="DW180" s="1">
        <f t="shared" ca="1" si="215"/>
        <v>342</v>
      </c>
      <c r="DX180" s="1">
        <f t="shared" ca="1" si="216"/>
        <v>4</v>
      </c>
      <c r="DY180" s="1">
        <f t="shared" ca="1" si="217"/>
        <v>3</v>
      </c>
    </row>
    <row r="181" spans="2:129" x14ac:dyDescent="0.25">
      <c r="B181">
        <f t="shared" ca="1" si="147"/>
        <v>944</v>
      </c>
      <c r="C181">
        <f t="shared" ca="1" si="148"/>
        <v>35</v>
      </c>
      <c r="D181">
        <f t="shared" ca="1" si="149"/>
        <v>0.20426651044870173</v>
      </c>
      <c r="F181" s="1">
        <f t="shared" ca="1" si="150"/>
        <v>36</v>
      </c>
      <c r="G181" s="1">
        <f t="shared" ca="1" si="151"/>
        <v>26</v>
      </c>
      <c r="H181" s="1">
        <f t="shared" ca="1" si="152"/>
        <v>9</v>
      </c>
      <c r="I181" s="1"/>
      <c r="J181" s="1">
        <f t="shared" ca="1" si="153"/>
        <v>5</v>
      </c>
      <c r="K181" s="1">
        <f t="shared" ca="1" si="154"/>
        <v>2.2455585434838676</v>
      </c>
      <c r="L181" s="1">
        <f t="shared" ca="1" si="155"/>
        <v>13</v>
      </c>
      <c r="M181" s="1"/>
      <c r="N181" s="1">
        <f t="shared" ca="1" si="156"/>
        <v>87</v>
      </c>
      <c r="O181" s="1">
        <f t="shared" ca="1" si="157"/>
        <v>40</v>
      </c>
      <c r="P181" s="1"/>
      <c r="Q181" s="1">
        <f t="shared" ca="1" si="158"/>
        <v>1.4559618060186565</v>
      </c>
      <c r="R181" s="1">
        <f t="shared" ca="1" si="159"/>
        <v>809</v>
      </c>
      <c r="S181" s="1"/>
      <c r="T181" s="1">
        <f t="shared" ca="1" si="160"/>
        <v>0.17781208851840108</v>
      </c>
      <c r="U181" s="1">
        <f t="shared" ca="1" si="161"/>
        <v>52</v>
      </c>
      <c r="V181" s="1">
        <f t="shared" ca="1" si="162"/>
        <v>22</v>
      </c>
      <c r="W181" s="1"/>
      <c r="X181" s="1">
        <f t="shared" ca="1" si="163"/>
        <v>2.6294829999837641</v>
      </c>
      <c r="Y181" s="1">
        <f t="shared" ca="1" si="164"/>
        <v>0.66928931509682443</v>
      </c>
      <c r="Z181" s="1">
        <f t="shared" ca="1" si="165"/>
        <v>246</v>
      </c>
      <c r="AB181" s="1">
        <f t="shared" ca="1" si="166"/>
        <v>0.17888983503282224</v>
      </c>
      <c r="AC181" s="1">
        <f t="shared" ca="1" si="167"/>
        <v>922</v>
      </c>
      <c r="AD181" s="1">
        <f t="shared" ca="1" si="168"/>
        <v>3.4347198255623864E-3</v>
      </c>
      <c r="AE181" s="1"/>
      <c r="AF181" s="1">
        <f t="shared" ca="1" si="169"/>
        <v>0.15915844576316671</v>
      </c>
      <c r="AG181" s="1">
        <f t="shared" ca="1" si="170"/>
        <v>207</v>
      </c>
      <c r="AH181" s="1">
        <f t="shared" ca="1" si="171"/>
        <v>9.394961418281781E-3</v>
      </c>
      <c r="AJ181" s="1">
        <f t="shared" ca="1" si="172"/>
        <v>0.88633116574630122</v>
      </c>
      <c r="AK181" s="1">
        <f t="shared" ca="1" si="173"/>
        <v>9.0714505813839757E-3</v>
      </c>
      <c r="AL181" s="1"/>
      <c r="AM181" s="1">
        <f t="shared" ca="1" si="174"/>
        <v>5.7136839331341858E-2</v>
      </c>
      <c r="AN181" s="1">
        <f t="shared" ca="1" si="175"/>
        <v>68</v>
      </c>
      <c r="AO181" s="1">
        <f t="shared" ca="1" si="176"/>
        <v>15</v>
      </c>
      <c r="AQ181" s="1">
        <f t="shared" ca="1" si="177"/>
        <v>110</v>
      </c>
      <c r="AR181" s="1">
        <f t="shared" ca="1" si="178"/>
        <v>1</v>
      </c>
      <c r="AS181" s="1">
        <f t="shared" ca="1" si="179"/>
        <v>26</v>
      </c>
      <c r="AU181" s="1">
        <f t="shared" ca="1" si="180"/>
        <v>305</v>
      </c>
      <c r="AV181" s="1">
        <f t="shared" ca="1" si="181"/>
        <v>7</v>
      </c>
      <c r="AW181" s="1">
        <f t="shared" ca="1" si="182"/>
        <v>0.14389850159979786</v>
      </c>
      <c r="AY181" s="1">
        <f t="shared" ca="1" si="183"/>
        <v>1.4670827154611954</v>
      </c>
      <c r="AZ181" s="1">
        <f t="shared" ca="1" si="184"/>
        <v>401</v>
      </c>
      <c r="BA181" s="1">
        <f t="shared" ca="1" si="185"/>
        <v>8.9211324316310989E-3</v>
      </c>
      <c r="BG181" s="1">
        <f t="shared" ca="1" si="186"/>
        <v>9.1715552961057614E-2</v>
      </c>
      <c r="BH181" s="1">
        <f t="shared" ca="1" si="187"/>
        <v>0.66797082323933232</v>
      </c>
      <c r="BI181" s="1">
        <f t="shared" ca="1" si="188"/>
        <v>294</v>
      </c>
      <c r="BV181" s="1">
        <f t="shared" ca="1" si="189"/>
        <v>0.19195325580256165</v>
      </c>
      <c r="BW181" s="1">
        <f t="shared" ca="1" si="190"/>
        <v>716</v>
      </c>
      <c r="BX181" s="1">
        <f t="shared" ca="1" si="191"/>
        <v>2.0758235939269056E-3</v>
      </c>
      <c r="BY181" s="1">
        <f t="shared" ca="1" si="192"/>
        <v>8.2998326321972349E-2</v>
      </c>
      <c r="BZ181" s="1">
        <f t="shared" ca="1" si="193"/>
        <v>0.63584827255052456</v>
      </c>
      <c r="CB181" s="1">
        <f t="shared" ca="1" si="194"/>
        <v>209</v>
      </c>
      <c r="CC181" s="1">
        <f t="shared" ca="1" si="195"/>
        <v>6</v>
      </c>
      <c r="CD181" s="1">
        <f t="shared" ca="1" si="196"/>
        <v>0.14481060341270244</v>
      </c>
      <c r="CE181" s="1">
        <f t="shared" ca="1" si="218"/>
        <v>0.78452426399798969</v>
      </c>
      <c r="CF181" s="1">
        <f t="shared" ca="1" si="218"/>
        <v>0.68191146575760753</v>
      </c>
      <c r="CH181" s="3">
        <f t="shared" ca="1" si="198"/>
        <v>7.7489768608318355E-2</v>
      </c>
      <c r="CI181" s="3">
        <f t="shared" ca="1" si="199"/>
        <v>0.63816989516966938</v>
      </c>
      <c r="CJ181" s="3">
        <f t="shared" ca="1" si="200"/>
        <v>839</v>
      </c>
      <c r="CK181" s="3">
        <f t="shared" ca="1" si="201"/>
        <v>6.8471139014423515E-3</v>
      </c>
      <c r="CL181" s="3">
        <f t="shared" ca="1" si="202"/>
        <v>1</v>
      </c>
      <c r="CM181" s="3"/>
      <c r="CN181" s="1">
        <f t="shared" ca="1" si="203"/>
        <v>11.713982696237228</v>
      </c>
      <c r="CO181" s="1">
        <f t="shared" ca="1" si="204"/>
        <v>0.49770702842205777</v>
      </c>
      <c r="CP181" s="1">
        <f t="shared" ca="1" si="205"/>
        <v>3</v>
      </c>
      <c r="CV181" s="1">
        <f t="shared" ca="1" si="206"/>
        <v>9.4022148060647712</v>
      </c>
      <c r="CW181" s="1">
        <f t="shared" ca="1" si="207"/>
        <v>1323</v>
      </c>
      <c r="CX181" s="1">
        <f t="shared" ca="1" si="208"/>
        <v>8.3135989296777481E-3</v>
      </c>
      <c r="DH181" s="1">
        <f t="shared" ca="1" si="209"/>
        <v>447</v>
      </c>
      <c r="DI181" s="1">
        <f t="shared" ca="1" si="210"/>
        <v>0.60949101907347714</v>
      </c>
      <c r="DJ181" s="1">
        <f t="shared" ca="1" si="211"/>
        <v>21</v>
      </c>
      <c r="DL181" s="1">
        <f t="shared" ca="1" si="212"/>
        <v>1.3815769887386888E-2</v>
      </c>
      <c r="DM181" s="1">
        <f t="shared" ca="1" si="213"/>
        <v>178</v>
      </c>
      <c r="DN181" s="1">
        <f t="shared" ca="1" si="214"/>
        <v>10</v>
      </c>
      <c r="DW181" s="1">
        <f t="shared" ca="1" si="215"/>
        <v>436</v>
      </c>
      <c r="DX181" s="1">
        <f t="shared" ca="1" si="216"/>
        <v>8</v>
      </c>
      <c r="DY181" s="1">
        <f t="shared" ca="1" si="217"/>
        <v>14</v>
      </c>
    </row>
    <row r="182" spans="2:129" x14ac:dyDescent="0.25">
      <c r="B182">
        <f t="shared" ca="1" si="147"/>
        <v>486</v>
      </c>
      <c r="C182">
        <f t="shared" ca="1" si="148"/>
        <v>10</v>
      </c>
      <c r="D182">
        <f t="shared" ca="1" si="149"/>
        <v>0.26740880227929581</v>
      </c>
      <c r="F182" s="1">
        <f t="shared" ca="1" si="150"/>
        <v>46</v>
      </c>
      <c r="G182" s="1">
        <f t="shared" ca="1" si="151"/>
        <v>24</v>
      </c>
      <c r="H182" s="1">
        <f t="shared" ca="1" si="152"/>
        <v>14</v>
      </c>
      <c r="I182" s="1"/>
      <c r="J182" s="1">
        <f t="shared" ca="1" si="153"/>
        <v>18</v>
      </c>
      <c r="K182" s="1">
        <f t="shared" ca="1" si="154"/>
        <v>2.6154099460273281</v>
      </c>
      <c r="L182" s="1">
        <f t="shared" ca="1" si="155"/>
        <v>18</v>
      </c>
      <c r="M182" s="1"/>
      <c r="N182" s="1">
        <f t="shared" ca="1" si="156"/>
        <v>713</v>
      </c>
      <c r="O182" s="1">
        <f t="shared" ca="1" si="157"/>
        <v>42</v>
      </c>
      <c r="P182" s="1"/>
      <c r="Q182" s="1">
        <f t="shared" ca="1" si="158"/>
        <v>1.2647496038352184</v>
      </c>
      <c r="R182" s="1">
        <f t="shared" ca="1" si="159"/>
        <v>464</v>
      </c>
      <c r="S182" s="1"/>
      <c r="T182" s="1">
        <f t="shared" ca="1" si="160"/>
        <v>4.6956405585337015E-2</v>
      </c>
      <c r="U182" s="1">
        <f t="shared" ca="1" si="161"/>
        <v>410</v>
      </c>
      <c r="V182" s="1">
        <f t="shared" ca="1" si="162"/>
        <v>8</v>
      </c>
      <c r="W182" s="1"/>
      <c r="X182" s="1">
        <f t="shared" ca="1" si="163"/>
        <v>8.7735925281279634</v>
      </c>
      <c r="Y182" s="1">
        <f t="shared" ca="1" si="164"/>
        <v>0.94506712296309459</v>
      </c>
      <c r="Z182" s="1">
        <f t="shared" ca="1" si="165"/>
        <v>1440</v>
      </c>
      <c r="AB182" s="1">
        <f t="shared" ca="1" si="166"/>
        <v>0.21587283796120349</v>
      </c>
      <c r="AC182" s="1">
        <f t="shared" ca="1" si="167"/>
        <v>426</v>
      </c>
      <c r="AD182" s="1">
        <f t="shared" ca="1" si="168"/>
        <v>1.5379065731353559E-3</v>
      </c>
      <c r="AE182" s="1"/>
      <c r="AF182" s="1">
        <f t="shared" ca="1" si="169"/>
        <v>0.72976081160874884</v>
      </c>
      <c r="AG182" s="1">
        <f t="shared" ca="1" si="170"/>
        <v>379</v>
      </c>
      <c r="AH182" s="1">
        <f t="shared" ca="1" si="171"/>
        <v>6.3608014985344465E-3</v>
      </c>
      <c r="AJ182" s="1">
        <f t="shared" ca="1" si="172"/>
        <v>0.80031089858660842</v>
      </c>
      <c r="AK182" s="1">
        <f t="shared" ca="1" si="173"/>
        <v>3.7716087321318487E-3</v>
      </c>
      <c r="AL182" s="1"/>
      <c r="AM182" s="1">
        <f t="shared" ca="1" si="174"/>
        <v>0.13548286937866272</v>
      </c>
      <c r="AN182" s="1">
        <f t="shared" ca="1" si="175"/>
        <v>78</v>
      </c>
      <c r="AO182" s="1">
        <f t="shared" ca="1" si="176"/>
        <v>5</v>
      </c>
      <c r="AQ182" s="1">
        <f t="shared" ca="1" si="177"/>
        <v>55</v>
      </c>
      <c r="AR182" s="1">
        <f t="shared" ca="1" si="178"/>
        <v>0</v>
      </c>
      <c r="AS182" s="1">
        <f t="shared" ca="1" si="179"/>
        <v>18</v>
      </c>
      <c r="AU182" s="1">
        <f t="shared" ca="1" si="180"/>
        <v>206</v>
      </c>
      <c r="AV182" s="1">
        <f t="shared" ca="1" si="181"/>
        <v>3</v>
      </c>
      <c r="AW182" s="1">
        <f t="shared" ca="1" si="182"/>
        <v>6.6789794808809894E-2</v>
      </c>
      <c r="AY182" s="1">
        <f t="shared" ca="1" si="183"/>
        <v>1.483579155724229</v>
      </c>
      <c r="AZ182" s="1">
        <f t="shared" ca="1" si="184"/>
        <v>153</v>
      </c>
      <c r="BA182" s="1">
        <f t="shared" ca="1" si="185"/>
        <v>6.4221319759204211E-3</v>
      </c>
      <c r="BG182" s="1">
        <f t="shared" ca="1" si="186"/>
        <v>0.60404046455739524</v>
      </c>
      <c r="BH182" s="1">
        <f t="shared" ca="1" si="187"/>
        <v>0.19092821200060484</v>
      </c>
      <c r="BI182" s="1">
        <f t="shared" ca="1" si="188"/>
        <v>432</v>
      </c>
      <c r="BV182" s="1">
        <f t="shared" ca="1" si="189"/>
        <v>0.77360062719823308</v>
      </c>
      <c r="BW182" s="1">
        <f t="shared" ca="1" si="190"/>
        <v>590</v>
      </c>
      <c r="BX182" s="1">
        <f t="shared" ca="1" si="191"/>
        <v>4.8283671152806618E-3</v>
      </c>
      <c r="BY182" s="1">
        <f t="shared" ca="1" si="192"/>
        <v>2.8112659828033973E-2</v>
      </c>
      <c r="BZ182" s="1">
        <f t="shared" ca="1" si="193"/>
        <v>0.59511398678649363</v>
      </c>
      <c r="CB182" s="1">
        <f t="shared" ca="1" si="194"/>
        <v>313</v>
      </c>
      <c r="CC182" s="1">
        <f t="shared" ca="1" si="195"/>
        <v>13</v>
      </c>
      <c r="CD182" s="1">
        <f t="shared" ca="1" si="196"/>
        <v>3.8269669377217083E-2</v>
      </c>
      <c r="CE182" s="1">
        <f t="shared" ca="1" si="218"/>
        <v>0.97390391241997354</v>
      </c>
      <c r="CF182" s="1">
        <f t="shared" ca="1" si="218"/>
        <v>0.51314886138383486</v>
      </c>
      <c r="CH182" s="3">
        <f t="shared" ca="1" si="198"/>
        <v>0.18336840025094228</v>
      </c>
      <c r="CI182" s="3">
        <f t="shared" ca="1" si="199"/>
        <v>0.32073000291836501</v>
      </c>
      <c r="CJ182" s="3">
        <f t="shared" ca="1" si="200"/>
        <v>681</v>
      </c>
      <c r="CK182" s="3">
        <f t="shared" ca="1" si="201"/>
        <v>3.3772469093145325E-3</v>
      </c>
      <c r="CL182" s="3">
        <f t="shared" ca="1" si="202"/>
        <v>0</v>
      </c>
      <c r="CM182" s="3"/>
      <c r="CN182" s="1">
        <f t="shared" ca="1" si="203"/>
        <v>19.289274137111438</v>
      </c>
      <c r="CO182" s="1">
        <f t="shared" ca="1" si="204"/>
        <v>0.20288958645379776</v>
      </c>
      <c r="CP182" s="1">
        <f t="shared" ca="1" si="205"/>
        <v>5</v>
      </c>
      <c r="CV182" s="1">
        <f t="shared" ca="1" si="206"/>
        <v>6.6808447168944669</v>
      </c>
      <c r="CW182" s="1">
        <f t="shared" ca="1" si="207"/>
        <v>1666</v>
      </c>
      <c r="CX182" s="1">
        <f t="shared" ca="1" si="208"/>
        <v>8.3432779529935396E-3</v>
      </c>
      <c r="DH182" s="1">
        <f t="shared" ca="1" si="209"/>
        <v>511</v>
      </c>
      <c r="DI182" s="1">
        <f t="shared" ca="1" si="210"/>
        <v>0.85980371321434257</v>
      </c>
      <c r="DJ182" s="1">
        <f t="shared" ca="1" si="211"/>
        <v>5</v>
      </c>
      <c r="DL182" s="1">
        <f t="shared" ca="1" si="212"/>
        <v>0.14555349526221559</v>
      </c>
      <c r="DM182" s="1">
        <f t="shared" ca="1" si="213"/>
        <v>217</v>
      </c>
      <c r="DN182" s="1">
        <f t="shared" ca="1" si="214"/>
        <v>9</v>
      </c>
      <c r="DW182" s="1">
        <f t="shared" ca="1" si="215"/>
        <v>312</v>
      </c>
      <c r="DX182" s="1">
        <f t="shared" ca="1" si="216"/>
        <v>13</v>
      </c>
      <c r="DY182" s="1">
        <f t="shared" ca="1" si="217"/>
        <v>15</v>
      </c>
    </row>
    <row r="183" spans="2:129" x14ac:dyDescent="0.25">
      <c r="B183">
        <f t="shared" ca="1" si="147"/>
        <v>965</v>
      </c>
      <c r="C183">
        <f t="shared" ca="1" si="148"/>
        <v>36</v>
      </c>
      <c r="D183">
        <f t="shared" ca="1" si="149"/>
        <v>0.12791803815927888</v>
      </c>
      <c r="F183" s="1">
        <f t="shared" ca="1" si="150"/>
        <v>33</v>
      </c>
      <c r="G183" s="1">
        <f t="shared" ca="1" si="151"/>
        <v>6</v>
      </c>
      <c r="H183" s="1">
        <f t="shared" ca="1" si="152"/>
        <v>13</v>
      </c>
      <c r="I183" s="1"/>
      <c r="J183" s="1">
        <f t="shared" ca="1" si="153"/>
        <v>5</v>
      </c>
      <c r="K183" s="1">
        <f t="shared" ca="1" si="154"/>
        <v>1.4116244870692216</v>
      </c>
      <c r="L183" s="1">
        <f t="shared" ca="1" si="155"/>
        <v>21</v>
      </c>
      <c r="M183" s="1"/>
      <c r="N183" s="1">
        <f t="shared" ca="1" si="156"/>
        <v>185</v>
      </c>
      <c r="O183" s="1">
        <f t="shared" ca="1" si="157"/>
        <v>3</v>
      </c>
      <c r="P183" s="1"/>
      <c r="Q183" s="1">
        <f t="shared" ca="1" si="158"/>
        <v>2.8947384821326274</v>
      </c>
      <c r="R183" s="1">
        <f t="shared" ca="1" si="159"/>
        <v>818</v>
      </c>
      <c r="S183" s="1"/>
      <c r="T183" s="1">
        <f t="shared" ca="1" si="160"/>
        <v>0.16898997013384992</v>
      </c>
      <c r="U183" s="1">
        <f t="shared" ca="1" si="161"/>
        <v>113</v>
      </c>
      <c r="V183" s="1">
        <f t="shared" ca="1" si="162"/>
        <v>16</v>
      </c>
      <c r="W183" s="1"/>
      <c r="X183" s="1">
        <f t="shared" ca="1" si="163"/>
        <v>2.5922633021458301</v>
      </c>
      <c r="Y183" s="1">
        <f t="shared" ca="1" si="164"/>
        <v>0.44917396680035226</v>
      </c>
      <c r="Z183" s="1">
        <f t="shared" ca="1" si="165"/>
        <v>256</v>
      </c>
      <c r="AB183" s="1">
        <f t="shared" ca="1" si="166"/>
        <v>0.38615536194760497</v>
      </c>
      <c r="AC183" s="1">
        <f t="shared" ca="1" si="167"/>
        <v>639</v>
      </c>
      <c r="AD183" s="1">
        <f t="shared" ca="1" si="168"/>
        <v>5.1198905673592119E-3</v>
      </c>
      <c r="AE183" s="1"/>
      <c r="AF183" s="1">
        <f t="shared" ca="1" si="169"/>
        <v>0.31935984683020202</v>
      </c>
      <c r="AG183" s="1">
        <f t="shared" ca="1" si="170"/>
        <v>283</v>
      </c>
      <c r="AH183" s="1">
        <f t="shared" ca="1" si="171"/>
        <v>4.0230798966561241E-3</v>
      </c>
      <c r="AJ183" s="1">
        <f t="shared" ca="1" si="172"/>
        <v>0.48149045774970156</v>
      </c>
      <c r="AK183" s="1">
        <f t="shared" ca="1" si="173"/>
        <v>2.3639114599369594E-3</v>
      </c>
      <c r="AL183" s="1"/>
      <c r="AM183" s="1">
        <f t="shared" ca="1" si="174"/>
        <v>0.19287998324983055</v>
      </c>
      <c r="AN183" s="1">
        <f t="shared" ca="1" si="175"/>
        <v>13</v>
      </c>
      <c r="AO183" s="1">
        <f t="shared" ca="1" si="176"/>
        <v>10</v>
      </c>
      <c r="AQ183" s="1">
        <f t="shared" ca="1" si="177"/>
        <v>131</v>
      </c>
      <c r="AR183" s="1">
        <f t="shared" ca="1" si="178"/>
        <v>2</v>
      </c>
      <c r="AS183" s="1">
        <f t="shared" ca="1" si="179"/>
        <v>8</v>
      </c>
      <c r="AU183" s="1">
        <f t="shared" ca="1" si="180"/>
        <v>125</v>
      </c>
      <c r="AV183" s="1">
        <f t="shared" ca="1" si="181"/>
        <v>7</v>
      </c>
      <c r="AW183" s="1">
        <f t="shared" ca="1" si="182"/>
        <v>0.15725257662639816</v>
      </c>
      <c r="AY183" s="1">
        <f t="shared" ca="1" si="183"/>
        <v>1.7030415409610535</v>
      </c>
      <c r="AZ183" s="1">
        <f t="shared" ca="1" si="184"/>
        <v>453</v>
      </c>
      <c r="BA183" s="1">
        <f t="shared" ca="1" si="185"/>
        <v>8.3319567709742321E-3</v>
      </c>
      <c r="BG183" s="1">
        <f t="shared" ca="1" si="186"/>
        <v>0.91549856327408852</v>
      </c>
      <c r="BH183" s="1">
        <f t="shared" ca="1" si="187"/>
        <v>0.28455043182535822</v>
      </c>
      <c r="BI183" s="1">
        <f t="shared" ca="1" si="188"/>
        <v>653</v>
      </c>
      <c r="BV183" s="1">
        <f t="shared" ca="1" si="189"/>
        <v>6.7913407598619094E-2</v>
      </c>
      <c r="BW183" s="1">
        <f t="shared" ca="1" si="190"/>
        <v>680</v>
      </c>
      <c r="BX183" s="1">
        <f t="shared" ca="1" si="191"/>
        <v>1.0043181014202124E-3</v>
      </c>
      <c r="BY183" s="1">
        <f t="shared" ca="1" si="192"/>
        <v>8.8964036408197805E-2</v>
      </c>
      <c r="BZ183" s="1">
        <f t="shared" ca="1" si="193"/>
        <v>0.39875093084096103</v>
      </c>
      <c r="CB183" s="1">
        <f t="shared" ca="1" si="194"/>
        <v>306</v>
      </c>
      <c r="CC183" s="1">
        <f t="shared" ca="1" si="195"/>
        <v>7</v>
      </c>
      <c r="CD183" s="1">
        <f t="shared" ca="1" si="196"/>
        <v>0.13321793074622434</v>
      </c>
      <c r="CE183" s="1">
        <f t="shared" ca="1" si="218"/>
        <v>0.83939675718881479</v>
      </c>
      <c r="CF183" s="1">
        <f t="shared" ca="1" si="218"/>
        <v>0.97265055177311388</v>
      </c>
      <c r="CH183" s="3">
        <f t="shared" ca="1" si="198"/>
        <v>0.53430929134391314</v>
      </c>
      <c r="CI183" s="3">
        <f t="shared" ca="1" si="199"/>
        <v>0.69201852681624088</v>
      </c>
      <c r="CJ183" s="3">
        <f t="shared" ca="1" si="200"/>
        <v>410</v>
      </c>
      <c r="CK183" s="3">
        <f t="shared" ca="1" si="201"/>
        <v>5.1053719047232599E-3</v>
      </c>
      <c r="CL183" s="3">
        <f t="shared" ca="1" si="202"/>
        <v>1</v>
      </c>
      <c r="CM183" s="3"/>
      <c r="CN183" s="1">
        <f t="shared" ca="1" si="203"/>
        <v>0.19533615980111538</v>
      </c>
      <c r="CO183" s="1">
        <f t="shared" ca="1" si="204"/>
        <v>7.3416480565229772E-2</v>
      </c>
      <c r="CP183" s="1">
        <f t="shared" ca="1" si="205"/>
        <v>3</v>
      </c>
      <c r="CV183" s="1">
        <f t="shared" ca="1" si="206"/>
        <v>3.5848515515181463</v>
      </c>
      <c r="CW183" s="1">
        <f t="shared" ca="1" si="207"/>
        <v>696</v>
      </c>
      <c r="CX183" s="1">
        <f t="shared" ca="1" si="208"/>
        <v>7.9497417041814438E-3</v>
      </c>
      <c r="DH183" s="1">
        <f t="shared" ca="1" si="209"/>
        <v>21</v>
      </c>
      <c r="DI183" s="1">
        <f t="shared" ca="1" si="210"/>
        <v>4.7646558779342159E-2</v>
      </c>
      <c r="DJ183" s="1">
        <f t="shared" ca="1" si="211"/>
        <v>14</v>
      </c>
      <c r="DL183" s="1">
        <f t="shared" ca="1" si="212"/>
        <v>0.16551991448524328</v>
      </c>
      <c r="DM183" s="1">
        <f t="shared" ca="1" si="213"/>
        <v>272</v>
      </c>
      <c r="DN183" s="1">
        <f t="shared" ca="1" si="214"/>
        <v>4</v>
      </c>
      <c r="DW183" s="1">
        <f t="shared" ca="1" si="215"/>
        <v>485</v>
      </c>
      <c r="DX183" s="1">
        <f t="shared" ca="1" si="216"/>
        <v>12</v>
      </c>
      <c r="DY183" s="1">
        <f t="shared" ca="1" si="217"/>
        <v>5</v>
      </c>
    </row>
    <row r="184" spans="2:129" x14ac:dyDescent="0.25">
      <c r="B184">
        <f t="shared" ca="1" si="147"/>
        <v>800</v>
      </c>
      <c r="C184">
        <f t="shared" ca="1" si="148"/>
        <v>15</v>
      </c>
      <c r="D184">
        <f t="shared" ca="1" si="149"/>
        <v>0.28950048470615231</v>
      </c>
      <c r="F184" s="1">
        <f t="shared" ca="1" si="150"/>
        <v>6</v>
      </c>
      <c r="G184" s="1">
        <f t="shared" ca="1" si="151"/>
        <v>30</v>
      </c>
      <c r="H184" s="1">
        <f t="shared" ca="1" si="152"/>
        <v>1</v>
      </c>
      <c r="I184" s="1"/>
      <c r="J184" s="1">
        <f t="shared" ca="1" si="153"/>
        <v>9</v>
      </c>
      <c r="K184" s="1">
        <f t="shared" ca="1" si="154"/>
        <v>1.8711229966402185</v>
      </c>
      <c r="L184" s="1">
        <f t="shared" ca="1" si="155"/>
        <v>34</v>
      </c>
      <c r="M184" s="1"/>
      <c r="N184" s="1">
        <f t="shared" ca="1" si="156"/>
        <v>102</v>
      </c>
      <c r="O184" s="1">
        <f t="shared" ca="1" si="157"/>
        <v>16</v>
      </c>
      <c r="P184" s="1"/>
      <c r="Q184" s="1">
        <f t="shared" ca="1" si="158"/>
        <v>3.7267536182790941</v>
      </c>
      <c r="R184" s="1">
        <f t="shared" ca="1" si="159"/>
        <v>583</v>
      </c>
      <c r="S184" s="1"/>
      <c r="T184" s="1">
        <f t="shared" ca="1" si="160"/>
        <v>8.7752890379327569E-2</v>
      </c>
      <c r="U184" s="1">
        <f t="shared" ca="1" si="161"/>
        <v>321</v>
      </c>
      <c r="V184" s="1">
        <f t="shared" ca="1" si="162"/>
        <v>48</v>
      </c>
      <c r="W184" s="1"/>
      <c r="X184" s="1">
        <f t="shared" ca="1" si="163"/>
        <v>9.5996215693186411</v>
      </c>
      <c r="Y184" s="1">
        <f t="shared" ca="1" si="164"/>
        <v>0.4540683701517117</v>
      </c>
      <c r="Z184" s="1">
        <f t="shared" ca="1" si="165"/>
        <v>113</v>
      </c>
      <c r="AB184" s="1">
        <f t="shared" ca="1" si="166"/>
        <v>0.94912394412622769</v>
      </c>
      <c r="AC184" s="1">
        <f t="shared" ca="1" si="167"/>
        <v>587</v>
      </c>
      <c r="AD184" s="1">
        <f t="shared" ca="1" si="168"/>
        <v>3.1989294408476788E-3</v>
      </c>
      <c r="AE184" s="1"/>
      <c r="AF184" s="1">
        <f t="shared" ca="1" si="169"/>
        <v>0.86334457414016597</v>
      </c>
      <c r="AG184" s="1">
        <f t="shared" ca="1" si="170"/>
        <v>466</v>
      </c>
      <c r="AH184" s="1">
        <f t="shared" ca="1" si="171"/>
        <v>3.0147795680305401E-3</v>
      </c>
      <c r="AJ184" s="1">
        <f t="shared" ca="1" si="172"/>
        <v>0.14762260276431072</v>
      </c>
      <c r="AK184" s="1">
        <f t="shared" ca="1" si="173"/>
        <v>3.4102291122525903E-3</v>
      </c>
      <c r="AL184" s="1"/>
      <c r="AM184" s="1">
        <f t="shared" ca="1" si="174"/>
        <v>1.98341897292879E-2</v>
      </c>
      <c r="AN184" s="1">
        <f t="shared" ca="1" si="175"/>
        <v>57</v>
      </c>
      <c r="AO184" s="1">
        <f t="shared" ca="1" si="176"/>
        <v>18</v>
      </c>
      <c r="AQ184" s="1">
        <f t="shared" ca="1" si="177"/>
        <v>59</v>
      </c>
      <c r="AR184" s="1">
        <f t="shared" ca="1" si="178"/>
        <v>2</v>
      </c>
      <c r="AS184" s="1">
        <f t="shared" ca="1" si="179"/>
        <v>49</v>
      </c>
      <c r="AU184" s="1">
        <f t="shared" ca="1" si="180"/>
        <v>324</v>
      </c>
      <c r="AV184" s="1">
        <f t="shared" ca="1" si="181"/>
        <v>7</v>
      </c>
      <c r="AW184" s="1">
        <f t="shared" ca="1" si="182"/>
        <v>0.16536982377344631</v>
      </c>
      <c r="AY184" s="1">
        <f t="shared" ca="1" si="183"/>
        <v>1.8847793464172486</v>
      </c>
      <c r="AZ184" s="1">
        <f t="shared" ca="1" si="184"/>
        <v>382</v>
      </c>
      <c r="BA184" s="1">
        <f t="shared" ca="1" si="185"/>
        <v>1.6756232125558314E-3</v>
      </c>
      <c r="BG184" s="1">
        <f t="shared" ca="1" si="186"/>
        <v>0.61366012195725828</v>
      </c>
      <c r="BH184" s="1">
        <f t="shared" ca="1" si="187"/>
        <v>0.1602099770816956</v>
      </c>
      <c r="BI184" s="1">
        <f t="shared" ca="1" si="188"/>
        <v>817</v>
      </c>
      <c r="BV184" s="1">
        <f t="shared" ca="1" si="189"/>
        <v>0.72826861750751393</v>
      </c>
      <c r="BW184" s="1">
        <f t="shared" ca="1" si="190"/>
        <v>213</v>
      </c>
      <c r="BX184" s="1">
        <f t="shared" ca="1" si="191"/>
        <v>2.8374462313080309E-3</v>
      </c>
      <c r="BY184" s="1">
        <f t="shared" ca="1" si="192"/>
        <v>7.4942438689884613E-3</v>
      </c>
      <c r="BZ184" s="1">
        <f t="shared" ca="1" si="193"/>
        <v>0.23772934116167577</v>
      </c>
      <c r="CB184" s="1">
        <f t="shared" ca="1" si="194"/>
        <v>240</v>
      </c>
      <c r="CC184" s="1">
        <f t="shared" ca="1" si="195"/>
        <v>14</v>
      </c>
      <c r="CD184" s="1">
        <f t="shared" ca="1" si="196"/>
        <v>6.2166010615264312E-2</v>
      </c>
      <c r="CE184" s="1">
        <f t="shared" ca="1" si="218"/>
        <v>0.90168634205328835</v>
      </c>
      <c r="CF184" s="1">
        <f t="shared" ca="1" si="218"/>
        <v>0.68703881164640213</v>
      </c>
      <c r="CH184" s="3">
        <f t="shared" ca="1" si="198"/>
        <v>8.5492244715080046E-2</v>
      </c>
      <c r="CI184" s="3">
        <f t="shared" ca="1" si="199"/>
        <v>0.42008270376975582</v>
      </c>
      <c r="CJ184" s="3">
        <f t="shared" ca="1" si="200"/>
        <v>1658</v>
      </c>
      <c r="CK184" s="3">
        <f t="shared" ca="1" si="201"/>
        <v>5.4818083443484928E-3</v>
      </c>
      <c r="CL184" s="3">
        <f t="shared" ca="1" si="202"/>
        <v>1</v>
      </c>
      <c r="CM184" s="3"/>
      <c r="CN184" s="1">
        <f t="shared" ca="1" si="203"/>
        <v>16.493995193132527</v>
      </c>
      <c r="CO184" s="1">
        <f t="shared" ca="1" si="204"/>
        <v>0.46281011335468392</v>
      </c>
      <c r="CP184" s="1">
        <f t="shared" ca="1" si="205"/>
        <v>2</v>
      </c>
      <c r="CV184" s="1">
        <f t="shared" ca="1" si="206"/>
        <v>5.6005768671471516</v>
      </c>
      <c r="CW184" s="1">
        <f t="shared" ca="1" si="207"/>
        <v>1744</v>
      </c>
      <c r="CX184" s="1">
        <f t="shared" ca="1" si="208"/>
        <v>1.3289363946362622E-3</v>
      </c>
      <c r="DH184" s="1">
        <f t="shared" ca="1" si="209"/>
        <v>232</v>
      </c>
      <c r="DI184" s="1">
        <f t="shared" ca="1" si="210"/>
        <v>0.70030355690842006</v>
      </c>
      <c r="DJ184" s="1">
        <f t="shared" ca="1" si="211"/>
        <v>5</v>
      </c>
      <c r="DL184" s="1">
        <f t="shared" ca="1" si="212"/>
        <v>0.19117263371798998</v>
      </c>
      <c r="DM184" s="1">
        <f t="shared" ca="1" si="213"/>
        <v>288</v>
      </c>
      <c r="DN184" s="1">
        <f t="shared" ca="1" si="214"/>
        <v>3</v>
      </c>
      <c r="DW184" s="1">
        <f t="shared" ca="1" si="215"/>
        <v>431</v>
      </c>
      <c r="DX184" s="1">
        <f t="shared" ca="1" si="216"/>
        <v>18</v>
      </c>
      <c r="DY184" s="1">
        <f t="shared" ca="1" si="217"/>
        <v>14</v>
      </c>
    </row>
    <row r="185" spans="2:129" x14ac:dyDescent="0.25">
      <c r="B185">
        <f t="shared" ca="1" si="147"/>
        <v>256</v>
      </c>
      <c r="C185">
        <f t="shared" ca="1" si="148"/>
        <v>40</v>
      </c>
      <c r="D185">
        <f t="shared" ca="1" si="149"/>
        <v>0.27847365057427936</v>
      </c>
      <c r="F185" s="1">
        <f t="shared" ca="1" si="150"/>
        <v>11</v>
      </c>
      <c r="G185" s="1">
        <f t="shared" ca="1" si="151"/>
        <v>11</v>
      </c>
      <c r="H185" s="1">
        <f t="shared" ca="1" si="152"/>
        <v>8</v>
      </c>
      <c r="I185" s="1"/>
      <c r="J185" s="1">
        <f t="shared" ca="1" si="153"/>
        <v>9</v>
      </c>
      <c r="K185" s="1">
        <f t="shared" ca="1" si="154"/>
        <v>2.1614431249562385</v>
      </c>
      <c r="L185" s="1">
        <f t="shared" ca="1" si="155"/>
        <v>17</v>
      </c>
      <c r="M185" s="1"/>
      <c r="N185" s="1">
        <f t="shared" ca="1" si="156"/>
        <v>635</v>
      </c>
      <c r="O185" s="1">
        <f t="shared" ca="1" si="157"/>
        <v>14</v>
      </c>
      <c r="P185" s="1"/>
      <c r="Q185" s="1">
        <f t="shared" ca="1" si="158"/>
        <v>1.5362994403774877</v>
      </c>
      <c r="R185" s="1">
        <f t="shared" ca="1" si="159"/>
        <v>523</v>
      </c>
      <c r="S185" s="1"/>
      <c r="T185" s="1">
        <f t="shared" ca="1" si="160"/>
        <v>0.11420135895406641</v>
      </c>
      <c r="U185" s="1">
        <f t="shared" ca="1" si="161"/>
        <v>414</v>
      </c>
      <c r="V185" s="1">
        <f t="shared" ca="1" si="162"/>
        <v>44</v>
      </c>
      <c r="W185" s="1"/>
      <c r="X185" s="1">
        <f t="shared" ca="1" si="163"/>
        <v>3.6777059039417761</v>
      </c>
      <c r="Y185" s="1">
        <f t="shared" ca="1" si="164"/>
        <v>0.65554344749978422</v>
      </c>
      <c r="Z185" s="1">
        <f t="shared" ca="1" si="165"/>
        <v>1695</v>
      </c>
      <c r="AB185" s="1">
        <f t="shared" ca="1" si="166"/>
        <v>0.65637140702266217</v>
      </c>
      <c r="AC185" s="1">
        <f t="shared" ca="1" si="167"/>
        <v>328</v>
      </c>
      <c r="AD185" s="1">
        <f t="shared" ca="1" si="168"/>
        <v>3.764955420151895E-3</v>
      </c>
      <c r="AE185" s="1"/>
      <c r="AF185" s="1">
        <f t="shared" ca="1" si="169"/>
        <v>0.8627412174997745</v>
      </c>
      <c r="AG185" s="1">
        <f t="shared" ca="1" si="170"/>
        <v>580</v>
      </c>
      <c r="AH185" s="1">
        <f t="shared" ca="1" si="171"/>
        <v>7.1410976598232879E-3</v>
      </c>
      <c r="AJ185" s="1">
        <f t="shared" ca="1" si="172"/>
        <v>0.87337705276194044</v>
      </c>
      <c r="AK185" s="1">
        <f t="shared" ca="1" si="173"/>
        <v>6.2704386010110696E-3</v>
      </c>
      <c r="AL185" s="1"/>
      <c r="AM185" s="1">
        <f t="shared" ca="1" si="174"/>
        <v>3.3098120189113109E-2</v>
      </c>
      <c r="AN185" s="1">
        <f t="shared" ca="1" si="175"/>
        <v>62</v>
      </c>
      <c r="AO185" s="1">
        <f t="shared" ca="1" si="176"/>
        <v>10</v>
      </c>
      <c r="AQ185" s="1">
        <f t="shared" ca="1" si="177"/>
        <v>171</v>
      </c>
      <c r="AR185" s="1">
        <f t="shared" ca="1" si="178"/>
        <v>2</v>
      </c>
      <c r="AS185" s="1">
        <f t="shared" ca="1" si="179"/>
        <v>99</v>
      </c>
      <c r="AU185" s="1">
        <f t="shared" ca="1" si="180"/>
        <v>84</v>
      </c>
      <c r="AV185" s="1">
        <f t="shared" ca="1" si="181"/>
        <v>10</v>
      </c>
      <c r="AW185" s="1">
        <f t="shared" ca="1" si="182"/>
        <v>0.16074904549580998</v>
      </c>
      <c r="AY185" s="1">
        <f t="shared" ca="1" si="183"/>
        <v>1.7528127192009357</v>
      </c>
      <c r="AZ185" s="1">
        <f t="shared" ca="1" si="184"/>
        <v>407</v>
      </c>
      <c r="BA185" s="1">
        <f t="shared" ca="1" si="185"/>
        <v>5.9686633980120685E-3</v>
      </c>
      <c r="BG185" s="1">
        <f t="shared" ca="1" si="186"/>
        <v>0.25940108780518928</v>
      </c>
      <c r="BH185" s="1">
        <f t="shared" ca="1" si="187"/>
        <v>0.62779732689172807</v>
      </c>
      <c r="BI185" s="1">
        <f t="shared" ca="1" si="188"/>
        <v>859</v>
      </c>
      <c r="BV185" s="1">
        <f t="shared" ca="1" si="189"/>
        <v>0.80005426951430592</v>
      </c>
      <c r="BW185" s="1">
        <f t="shared" ca="1" si="190"/>
        <v>568</v>
      </c>
      <c r="BX185" s="1">
        <f t="shared" ca="1" si="191"/>
        <v>6.4545150739473405E-3</v>
      </c>
      <c r="BY185" s="1">
        <f t="shared" ca="1" si="192"/>
        <v>7.1658036731508015E-2</v>
      </c>
      <c r="BZ185" s="1">
        <f t="shared" ca="1" si="193"/>
        <v>0.55871895397283733</v>
      </c>
      <c r="CB185" s="1">
        <f t="shared" ca="1" si="194"/>
        <v>264</v>
      </c>
      <c r="CC185" s="1">
        <f t="shared" ca="1" si="195"/>
        <v>12</v>
      </c>
      <c r="CD185" s="1">
        <f t="shared" ca="1" si="196"/>
        <v>0.23249932411354432</v>
      </c>
      <c r="CE185" s="1">
        <f t="shared" ca="1" si="218"/>
        <v>0.71422178201189335</v>
      </c>
      <c r="CF185" s="1">
        <f t="shared" ca="1" si="218"/>
        <v>0.59658742370263618</v>
      </c>
      <c r="CH185" s="3">
        <f t="shared" ca="1" si="198"/>
        <v>0.24842451561017315</v>
      </c>
      <c r="CI185" s="3">
        <f t="shared" ca="1" si="199"/>
        <v>0.67336194662901483</v>
      </c>
      <c r="CJ185" s="3">
        <f t="shared" ca="1" si="200"/>
        <v>1403</v>
      </c>
      <c r="CK185" s="3">
        <f t="shared" ca="1" si="201"/>
        <v>3.2983861789519092E-3</v>
      </c>
      <c r="CL185" s="3">
        <f t="shared" ca="1" si="202"/>
        <v>0</v>
      </c>
      <c r="CM185" s="3"/>
      <c r="CN185" s="1">
        <f t="shared" ca="1" si="203"/>
        <v>15.841462623274589</v>
      </c>
      <c r="CO185" s="1">
        <f t="shared" ca="1" si="204"/>
        <v>0.18428031914875009</v>
      </c>
      <c r="CP185" s="1">
        <f t="shared" ca="1" si="205"/>
        <v>5</v>
      </c>
      <c r="CV185" s="1">
        <f t="shared" ca="1" si="206"/>
        <v>4.4060275160422595</v>
      </c>
      <c r="CW185" s="1">
        <f t="shared" ca="1" si="207"/>
        <v>1681</v>
      </c>
      <c r="CX185" s="1">
        <f t="shared" ca="1" si="208"/>
        <v>7.5948014977841464E-3</v>
      </c>
      <c r="DH185" s="1">
        <f t="shared" ca="1" si="209"/>
        <v>781</v>
      </c>
      <c r="DI185" s="1">
        <f t="shared" ca="1" si="210"/>
        <v>0.31835893837341611</v>
      </c>
      <c r="DJ185" s="1">
        <f t="shared" ca="1" si="211"/>
        <v>28</v>
      </c>
      <c r="DL185" s="1">
        <f t="shared" ca="1" si="212"/>
        <v>0.18249822450844802</v>
      </c>
      <c r="DM185" s="1">
        <f t="shared" ca="1" si="213"/>
        <v>186</v>
      </c>
      <c r="DN185" s="1">
        <f t="shared" ca="1" si="214"/>
        <v>2</v>
      </c>
      <c r="DW185" s="1">
        <f t="shared" ca="1" si="215"/>
        <v>170</v>
      </c>
      <c r="DX185" s="1">
        <f t="shared" ca="1" si="216"/>
        <v>7</v>
      </c>
      <c r="DY185" s="1">
        <f t="shared" ca="1" si="217"/>
        <v>7</v>
      </c>
    </row>
    <row r="186" spans="2:129" x14ac:dyDescent="0.25">
      <c r="B186">
        <f t="shared" ca="1" si="147"/>
        <v>455</v>
      </c>
      <c r="C186">
        <f t="shared" ca="1" si="148"/>
        <v>39</v>
      </c>
      <c r="D186">
        <f t="shared" ca="1" si="149"/>
        <v>6.8521347236254679E-2</v>
      </c>
      <c r="F186" s="1">
        <f t="shared" ca="1" si="150"/>
        <v>20</v>
      </c>
      <c r="G186" s="1">
        <f t="shared" ca="1" si="151"/>
        <v>28</v>
      </c>
      <c r="H186" s="1">
        <f t="shared" ca="1" si="152"/>
        <v>9</v>
      </c>
      <c r="I186" s="1"/>
      <c r="J186" s="1">
        <f t="shared" ca="1" si="153"/>
        <v>4</v>
      </c>
      <c r="K186" s="1">
        <f t="shared" ca="1" si="154"/>
        <v>2.4606709294455698</v>
      </c>
      <c r="L186" s="1">
        <f t="shared" ca="1" si="155"/>
        <v>14</v>
      </c>
      <c r="M186" s="1"/>
      <c r="N186" s="1">
        <f t="shared" ca="1" si="156"/>
        <v>645</v>
      </c>
      <c r="O186" s="1">
        <f t="shared" ca="1" si="157"/>
        <v>20</v>
      </c>
      <c r="P186" s="1"/>
      <c r="Q186" s="1">
        <f t="shared" ca="1" si="158"/>
        <v>1.2884847263405206</v>
      </c>
      <c r="R186" s="1">
        <f t="shared" ca="1" si="159"/>
        <v>606</v>
      </c>
      <c r="S186" s="1"/>
      <c r="T186" s="1">
        <f t="shared" ca="1" si="160"/>
        <v>4.8420790838337106E-2</v>
      </c>
      <c r="U186" s="1">
        <f t="shared" ca="1" si="161"/>
        <v>51</v>
      </c>
      <c r="V186" s="1">
        <f t="shared" ca="1" si="162"/>
        <v>5</v>
      </c>
      <c r="W186" s="1"/>
      <c r="X186" s="1">
        <f t="shared" ca="1" si="163"/>
        <v>7.3404549096593179</v>
      </c>
      <c r="Y186" s="1">
        <f t="shared" ca="1" si="164"/>
        <v>0.16290893445308011</v>
      </c>
      <c r="Z186" s="1">
        <f t="shared" ca="1" si="165"/>
        <v>739</v>
      </c>
      <c r="AB186" s="1">
        <f t="shared" ca="1" si="166"/>
        <v>0.17686672556655003</v>
      </c>
      <c r="AC186" s="1">
        <f t="shared" ca="1" si="167"/>
        <v>966</v>
      </c>
      <c r="AD186" s="1">
        <f t="shared" ca="1" si="168"/>
        <v>2.0962921123450157E-3</v>
      </c>
      <c r="AE186" s="1"/>
      <c r="AF186" s="1">
        <f t="shared" ca="1" si="169"/>
        <v>0.87904852703152947</v>
      </c>
      <c r="AG186" s="1">
        <f t="shared" ca="1" si="170"/>
        <v>590</v>
      </c>
      <c r="AH186" s="1">
        <f t="shared" ca="1" si="171"/>
        <v>4.4746923407340006E-3</v>
      </c>
      <c r="AJ186" s="1">
        <f t="shared" ca="1" si="172"/>
        <v>0.39866943447616743</v>
      </c>
      <c r="AK186" s="1">
        <f t="shared" ca="1" si="173"/>
        <v>6.3932360982705812E-4</v>
      </c>
      <c r="AL186" s="1"/>
      <c r="AM186" s="1">
        <f t="shared" ca="1" si="174"/>
        <v>0.17015760329584997</v>
      </c>
      <c r="AN186" s="1">
        <f t="shared" ca="1" si="175"/>
        <v>44</v>
      </c>
      <c r="AO186" s="1">
        <f t="shared" ca="1" si="176"/>
        <v>4</v>
      </c>
      <c r="AQ186" s="1">
        <f t="shared" ca="1" si="177"/>
        <v>49</v>
      </c>
      <c r="AR186" s="1">
        <f t="shared" ca="1" si="178"/>
        <v>2</v>
      </c>
      <c r="AS186" s="1">
        <f t="shared" ca="1" si="179"/>
        <v>3</v>
      </c>
      <c r="AU186" s="1">
        <f t="shared" ca="1" si="180"/>
        <v>326</v>
      </c>
      <c r="AV186" s="1">
        <f t="shared" ca="1" si="181"/>
        <v>8</v>
      </c>
      <c r="AW186" s="1">
        <f t="shared" ca="1" si="182"/>
        <v>0.19273993642541198</v>
      </c>
      <c r="AY186" s="1">
        <f t="shared" ca="1" si="183"/>
        <v>1.3933976877247365</v>
      </c>
      <c r="AZ186" s="1">
        <f t="shared" ca="1" si="184"/>
        <v>395</v>
      </c>
      <c r="BA186" s="1">
        <f t="shared" ca="1" si="185"/>
        <v>7.4888047188102751E-3</v>
      </c>
      <c r="BG186" s="1">
        <f t="shared" ca="1" si="186"/>
        <v>0.15542407244401635</v>
      </c>
      <c r="BH186" s="1">
        <f t="shared" ca="1" si="187"/>
        <v>0.88390768308332635</v>
      </c>
      <c r="BI186" s="1">
        <f t="shared" ca="1" si="188"/>
        <v>737</v>
      </c>
      <c r="BV186" s="1">
        <f t="shared" ca="1" si="189"/>
        <v>0.2086288705621385</v>
      </c>
      <c r="BW186" s="1">
        <f t="shared" ca="1" si="190"/>
        <v>851</v>
      </c>
      <c r="BX186" s="1">
        <f t="shared" ca="1" si="191"/>
        <v>8.9865840255801254E-3</v>
      </c>
      <c r="BY186" s="1">
        <f t="shared" ca="1" si="192"/>
        <v>2.7120237091286723E-2</v>
      </c>
      <c r="BZ186" s="1">
        <f t="shared" ca="1" si="193"/>
        <v>0.46964345627938642</v>
      </c>
      <c r="CB186" s="1">
        <f t="shared" ca="1" si="194"/>
        <v>375</v>
      </c>
      <c r="CC186" s="1">
        <f t="shared" ca="1" si="195"/>
        <v>4</v>
      </c>
      <c r="CD186" s="1">
        <f t="shared" ca="1" si="196"/>
        <v>0.1832594732725025</v>
      </c>
      <c r="CE186" s="1">
        <f t="shared" ca="1" si="218"/>
        <v>0.66818993067310928</v>
      </c>
      <c r="CF186" s="1">
        <f t="shared" ca="1" si="218"/>
        <v>0.78755127851521456</v>
      </c>
      <c r="CH186" s="3">
        <f t="shared" ca="1" si="198"/>
        <v>0.52354706495996794</v>
      </c>
      <c r="CI186" s="3">
        <f t="shared" ca="1" si="199"/>
        <v>0.74124290748651556</v>
      </c>
      <c r="CJ186" s="3">
        <f t="shared" ca="1" si="200"/>
        <v>1289</v>
      </c>
      <c r="CK186" s="3">
        <f t="shared" ca="1" si="201"/>
        <v>4.5916496884132714E-3</v>
      </c>
      <c r="CL186" s="3">
        <f t="shared" ca="1" si="202"/>
        <v>1</v>
      </c>
      <c r="CM186" s="3"/>
      <c r="CN186" s="1">
        <f t="shared" ca="1" si="203"/>
        <v>3.9799903807786898</v>
      </c>
      <c r="CO186" s="1">
        <f t="shared" ca="1" si="204"/>
        <v>0.19446285993119591</v>
      </c>
      <c r="CP186" s="1">
        <f t="shared" ca="1" si="205"/>
        <v>5</v>
      </c>
      <c r="CV186" s="1">
        <f t="shared" ca="1" si="206"/>
        <v>4.1645994136232227</v>
      </c>
      <c r="CW186" s="1">
        <f t="shared" ca="1" si="207"/>
        <v>1331</v>
      </c>
      <c r="CX186" s="1">
        <f t="shared" ca="1" si="208"/>
        <v>8.6440291247613064E-3</v>
      </c>
      <c r="DH186" s="1">
        <f t="shared" ca="1" si="209"/>
        <v>806</v>
      </c>
      <c r="DI186" s="1">
        <f t="shared" ca="1" si="210"/>
        <v>0.36965082906466529</v>
      </c>
      <c r="DJ186" s="1">
        <f t="shared" ca="1" si="211"/>
        <v>11</v>
      </c>
      <c r="DL186" s="1">
        <f t="shared" ca="1" si="212"/>
        <v>7.357568792200242E-2</v>
      </c>
      <c r="DM186" s="1">
        <f t="shared" ca="1" si="213"/>
        <v>257</v>
      </c>
      <c r="DN186" s="1">
        <f t="shared" ca="1" si="214"/>
        <v>6</v>
      </c>
      <c r="DW186" s="1">
        <f t="shared" ca="1" si="215"/>
        <v>211</v>
      </c>
      <c r="DX186" s="1">
        <f t="shared" ca="1" si="216"/>
        <v>7</v>
      </c>
      <c r="DY186" s="1">
        <f t="shared" ca="1" si="217"/>
        <v>11</v>
      </c>
    </row>
    <row r="187" spans="2:129" x14ac:dyDescent="0.25">
      <c r="B187">
        <f t="shared" ca="1" si="147"/>
        <v>800</v>
      </c>
      <c r="C187">
        <f t="shared" ca="1" si="148"/>
        <v>22</v>
      </c>
      <c r="D187">
        <f t="shared" ca="1" si="149"/>
        <v>6.1794491233883524E-2</v>
      </c>
      <c r="F187" s="1">
        <f t="shared" ca="1" si="150"/>
        <v>33</v>
      </c>
      <c r="G187" s="1">
        <f t="shared" ca="1" si="151"/>
        <v>29</v>
      </c>
      <c r="H187" s="1">
        <f t="shared" ca="1" si="152"/>
        <v>3</v>
      </c>
      <c r="I187" s="1"/>
      <c r="J187" s="1">
        <f t="shared" ca="1" si="153"/>
        <v>21</v>
      </c>
      <c r="K187" s="1">
        <f t="shared" ca="1" si="154"/>
        <v>2.986172035937277</v>
      </c>
      <c r="L187" s="1">
        <f t="shared" ca="1" si="155"/>
        <v>8</v>
      </c>
      <c r="M187" s="1"/>
      <c r="N187" s="1">
        <f t="shared" ca="1" si="156"/>
        <v>727</v>
      </c>
      <c r="O187" s="1">
        <f t="shared" ca="1" si="157"/>
        <v>17</v>
      </c>
      <c r="P187" s="1"/>
      <c r="Q187" s="1">
        <f t="shared" ca="1" si="158"/>
        <v>2.3640225017692895</v>
      </c>
      <c r="R187" s="1">
        <f t="shared" ca="1" si="159"/>
        <v>1008</v>
      </c>
      <c r="S187" s="1"/>
      <c r="T187" s="1">
        <f t="shared" ca="1" si="160"/>
        <v>0.16607475301513533</v>
      </c>
      <c r="U187" s="1">
        <f t="shared" ca="1" si="161"/>
        <v>367</v>
      </c>
      <c r="V187" s="1">
        <f t="shared" ca="1" si="162"/>
        <v>6</v>
      </c>
      <c r="W187" s="1"/>
      <c r="X187" s="1">
        <f t="shared" ca="1" si="163"/>
        <v>2.0945719283803186</v>
      </c>
      <c r="Y187" s="1">
        <f t="shared" ca="1" si="164"/>
        <v>0.54482364294560381</v>
      </c>
      <c r="Z187" s="1">
        <f t="shared" ca="1" si="165"/>
        <v>384</v>
      </c>
      <c r="AB187" s="1">
        <f t="shared" ca="1" si="166"/>
        <v>0.21624449457847664</v>
      </c>
      <c r="AC187" s="1">
        <f t="shared" ca="1" si="167"/>
        <v>981</v>
      </c>
      <c r="AD187" s="1">
        <f t="shared" ca="1" si="168"/>
        <v>2.4776670022745788E-3</v>
      </c>
      <c r="AE187" s="1"/>
      <c r="AF187" s="1">
        <f t="shared" ca="1" si="169"/>
        <v>0.74053661898510903</v>
      </c>
      <c r="AG187" s="1">
        <f t="shared" ca="1" si="170"/>
        <v>990</v>
      </c>
      <c r="AH187" s="1">
        <f t="shared" ca="1" si="171"/>
        <v>4.7123608230998752E-3</v>
      </c>
      <c r="AJ187" s="1">
        <f t="shared" ca="1" si="172"/>
        <v>0.23602148889292718</v>
      </c>
      <c r="AK187" s="1">
        <f t="shared" ca="1" si="173"/>
        <v>4.7970097984270377E-3</v>
      </c>
      <c r="AL187" s="1"/>
      <c r="AM187" s="1">
        <f t="shared" ca="1" si="174"/>
        <v>1.9059443059856095E-2</v>
      </c>
      <c r="AN187" s="1">
        <f t="shared" ca="1" si="175"/>
        <v>51</v>
      </c>
      <c r="AO187" s="1">
        <f t="shared" ca="1" si="176"/>
        <v>4</v>
      </c>
      <c r="AQ187" s="1">
        <f t="shared" ca="1" si="177"/>
        <v>174</v>
      </c>
      <c r="AR187" s="1">
        <f t="shared" ca="1" si="178"/>
        <v>2</v>
      </c>
      <c r="AS187" s="1">
        <f t="shared" ca="1" si="179"/>
        <v>39</v>
      </c>
      <c r="AU187" s="1">
        <f t="shared" ca="1" si="180"/>
        <v>201</v>
      </c>
      <c r="AV187" s="1">
        <f t="shared" ca="1" si="181"/>
        <v>3</v>
      </c>
      <c r="AW187" s="1">
        <f t="shared" ca="1" si="182"/>
        <v>1.9134167772648331E-2</v>
      </c>
      <c r="AY187" s="1">
        <f t="shared" ca="1" si="183"/>
        <v>1.9748613984597574</v>
      </c>
      <c r="AZ187" s="1">
        <f t="shared" ca="1" si="184"/>
        <v>415</v>
      </c>
      <c r="BA187" s="1">
        <f t="shared" ca="1" si="185"/>
        <v>8.2550220901267315E-3</v>
      </c>
      <c r="BG187" s="1">
        <f t="shared" ca="1" si="186"/>
        <v>0.8548654407964672</v>
      </c>
      <c r="BH187" s="1">
        <f t="shared" ca="1" si="187"/>
        <v>0.89657160897839439</v>
      </c>
      <c r="BI187" s="1">
        <f t="shared" ca="1" si="188"/>
        <v>796</v>
      </c>
      <c r="BV187" s="1">
        <f t="shared" ca="1" si="189"/>
        <v>0.19694970748010956</v>
      </c>
      <c r="BW187" s="1">
        <f t="shared" ca="1" si="190"/>
        <v>162</v>
      </c>
      <c r="BX187" s="1">
        <f t="shared" ca="1" si="191"/>
        <v>2.8057708997094406E-3</v>
      </c>
      <c r="BY187" s="1">
        <f t="shared" ca="1" si="192"/>
        <v>1.7565343857619462E-2</v>
      </c>
      <c r="BZ187" s="1">
        <f t="shared" ca="1" si="193"/>
        <v>0.18907230637737549</v>
      </c>
      <c r="CB187" s="1">
        <f t="shared" ca="1" si="194"/>
        <v>302</v>
      </c>
      <c r="CC187" s="1">
        <f t="shared" ca="1" si="195"/>
        <v>5</v>
      </c>
      <c r="CD187" s="1">
        <f t="shared" ca="1" si="196"/>
        <v>0.22457595678265185</v>
      </c>
      <c r="CE187" s="1">
        <f t="shared" ca="1" si="218"/>
        <v>0.83492716700019587</v>
      </c>
      <c r="CF187" s="1">
        <f t="shared" ca="1" si="218"/>
        <v>0.91689778702652958</v>
      </c>
      <c r="CH187" s="3">
        <f t="shared" ca="1" si="198"/>
        <v>0.11085811546609492</v>
      </c>
      <c r="CI187" s="3">
        <f t="shared" ca="1" si="199"/>
        <v>0.52367642522485913</v>
      </c>
      <c r="CJ187" s="3">
        <f t="shared" ca="1" si="200"/>
        <v>377</v>
      </c>
      <c r="CK187" s="3">
        <f t="shared" ca="1" si="201"/>
        <v>6.2744068056332794E-3</v>
      </c>
      <c r="CL187" s="3">
        <f t="shared" ca="1" si="202"/>
        <v>1</v>
      </c>
      <c r="CM187" s="3"/>
      <c r="CN187" s="1">
        <f t="shared" ca="1" si="203"/>
        <v>0.26442998142490926</v>
      </c>
      <c r="CO187" s="1">
        <f t="shared" ca="1" si="204"/>
        <v>0.46215792432878133</v>
      </c>
      <c r="CP187" s="1">
        <f t="shared" ca="1" si="205"/>
        <v>1</v>
      </c>
      <c r="CV187" s="1">
        <f t="shared" ca="1" si="206"/>
        <v>9.4398459664374634</v>
      </c>
      <c r="CW187" s="1">
        <f t="shared" ca="1" si="207"/>
        <v>1471</v>
      </c>
      <c r="CX187" s="1">
        <f t="shared" ca="1" si="208"/>
        <v>5.2518147778429199E-3</v>
      </c>
      <c r="DH187" s="1">
        <f t="shared" ca="1" si="209"/>
        <v>690</v>
      </c>
      <c r="DI187" s="1">
        <f t="shared" ca="1" si="210"/>
        <v>0.87197759083227322</v>
      </c>
      <c r="DJ187" s="1">
        <f t="shared" ca="1" si="211"/>
        <v>24</v>
      </c>
      <c r="DL187" s="1">
        <f t="shared" ca="1" si="212"/>
        <v>1.7301347702388635E-2</v>
      </c>
      <c r="DM187" s="1">
        <f t="shared" ca="1" si="213"/>
        <v>180</v>
      </c>
      <c r="DN187" s="1">
        <f t="shared" ca="1" si="214"/>
        <v>3</v>
      </c>
      <c r="DW187" s="1">
        <f t="shared" ca="1" si="215"/>
        <v>343</v>
      </c>
      <c r="DX187" s="1">
        <f t="shared" ca="1" si="216"/>
        <v>15</v>
      </c>
      <c r="DY187" s="1">
        <f t="shared" ca="1" si="217"/>
        <v>6</v>
      </c>
    </row>
    <row r="188" spans="2:129" x14ac:dyDescent="0.25">
      <c r="B188">
        <f t="shared" ca="1" si="147"/>
        <v>261</v>
      </c>
      <c r="C188">
        <f t="shared" ca="1" si="148"/>
        <v>38</v>
      </c>
      <c r="D188">
        <f t="shared" ca="1" si="149"/>
        <v>6.6575211929595687E-2</v>
      </c>
      <c r="F188" s="1">
        <f t="shared" ca="1" si="150"/>
        <v>27</v>
      </c>
      <c r="G188" s="1">
        <f t="shared" ca="1" si="151"/>
        <v>11</v>
      </c>
      <c r="H188" s="1">
        <f t="shared" ca="1" si="152"/>
        <v>4</v>
      </c>
      <c r="I188" s="1"/>
      <c r="J188" s="1">
        <f t="shared" ca="1" si="153"/>
        <v>16</v>
      </c>
      <c r="K188" s="1">
        <f t="shared" ca="1" si="154"/>
        <v>2.1379521219113862</v>
      </c>
      <c r="L188" s="1">
        <f t="shared" ca="1" si="155"/>
        <v>32</v>
      </c>
      <c r="M188" s="1"/>
      <c r="N188" s="1">
        <f t="shared" ca="1" si="156"/>
        <v>743</v>
      </c>
      <c r="O188" s="1">
        <f t="shared" ca="1" si="157"/>
        <v>48</v>
      </c>
      <c r="P188" s="1"/>
      <c r="Q188" s="1">
        <f t="shared" ca="1" si="158"/>
        <v>1.4645319836761759</v>
      </c>
      <c r="R188" s="1">
        <f t="shared" ca="1" si="159"/>
        <v>400</v>
      </c>
      <c r="S188" s="1"/>
      <c r="T188" s="1">
        <f t="shared" ca="1" si="160"/>
        <v>0.17281315728911481</v>
      </c>
      <c r="U188" s="1">
        <f t="shared" ca="1" si="161"/>
        <v>185</v>
      </c>
      <c r="V188" s="1">
        <f t="shared" ca="1" si="162"/>
        <v>29</v>
      </c>
      <c r="W188" s="1"/>
      <c r="X188" s="1">
        <f t="shared" ca="1" si="163"/>
        <v>2.0167918498393327</v>
      </c>
      <c r="Y188" s="1">
        <f t="shared" ca="1" si="164"/>
        <v>0.30419542898366242</v>
      </c>
      <c r="Z188" s="1">
        <f t="shared" ca="1" si="165"/>
        <v>803</v>
      </c>
      <c r="AB188" s="1">
        <f t="shared" ca="1" si="166"/>
        <v>0.85837765808461519</v>
      </c>
      <c r="AC188" s="1">
        <f t="shared" ca="1" si="167"/>
        <v>995</v>
      </c>
      <c r="AD188" s="1">
        <f t="shared" ca="1" si="168"/>
        <v>2.8451008135090619E-3</v>
      </c>
      <c r="AE188" s="1"/>
      <c r="AF188" s="1">
        <f t="shared" ca="1" si="169"/>
        <v>0.54560306523638269</v>
      </c>
      <c r="AG188" s="1">
        <f t="shared" ca="1" si="170"/>
        <v>856</v>
      </c>
      <c r="AH188" s="1">
        <f t="shared" ca="1" si="171"/>
        <v>5.231606520464167E-4</v>
      </c>
      <c r="AJ188" s="1">
        <f t="shared" ca="1" si="172"/>
        <v>0.45330148470397269</v>
      </c>
      <c r="AK188" s="1">
        <f t="shared" ca="1" si="173"/>
        <v>1.3538176317053703E-3</v>
      </c>
      <c r="AL188" s="1"/>
      <c r="AM188" s="1">
        <f t="shared" ca="1" si="174"/>
        <v>8.8414363176694544E-2</v>
      </c>
      <c r="AN188" s="1">
        <f t="shared" ca="1" si="175"/>
        <v>54</v>
      </c>
      <c r="AO188" s="1">
        <f t="shared" ca="1" si="176"/>
        <v>13</v>
      </c>
      <c r="AQ188" s="1">
        <f t="shared" ca="1" si="177"/>
        <v>177</v>
      </c>
      <c r="AR188" s="1">
        <f t="shared" ca="1" si="178"/>
        <v>7</v>
      </c>
      <c r="AS188" s="1">
        <f t="shared" ca="1" si="179"/>
        <v>21</v>
      </c>
      <c r="AU188" s="1">
        <f t="shared" ca="1" si="180"/>
        <v>240</v>
      </c>
      <c r="AV188" s="1">
        <f t="shared" ca="1" si="181"/>
        <v>2</v>
      </c>
      <c r="AW188" s="1">
        <f t="shared" ca="1" si="182"/>
        <v>5.3892602090979805E-2</v>
      </c>
      <c r="AY188" s="1">
        <f t="shared" ca="1" si="183"/>
        <v>1.4735989680427157</v>
      </c>
      <c r="AZ188" s="1">
        <f t="shared" ca="1" si="184"/>
        <v>82</v>
      </c>
      <c r="BA188" s="1">
        <f t="shared" ca="1" si="185"/>
        <v>8.9264473915707226E-3</v>
      </c>
      <c r="BG188" s="1">
        <f t="shared" ca="1" si="186"/>
        <v>0.38649201650465598</v>
      </c>
      <c r="BH188" s="1">
        <f t="shared" ca="1" si="187"/>
        <v>0.43425423845943545</v>
      </c>
      <c r="BI188" s="1">
        <f t="shared" ca="1" si="188"/>
        <v>567</v>
      </c>
      <c r="BV188" s="1">
        <f t="shared" ca="1" si="189"/>
        <v>3.9013263038608567E-2</v>
      </c>
      <c r="BW188" s="1">
        <f t="shared" ca="1" si="190"/>
        <v>436</v>
      </c>
      <c r="BX188" s="1">
        <f t="shared" ca="1" si="191"/>
        <v>8.6458149063285035E-3</v>
      </c>
      <c r="BY188" s="1">
        <f t="shared" ca="1" si="192"/>
        <v>2.6576563406801117E-3</v>
      </c>
      <c r="BZ188" s="1">
        <f t="shared" ca="1" si="193"/>
        <v>0.47417842208297667</v>
      </c>
      <c r="CB188" s="1">
        <f t="shared" ca="1" si="194"/>
        <v>141</v>
      </c>
      <c r="CC188" s="1">
        <f t="shared" ca="1" si="195"/>
        <v>15</v>
      </c>
      <c r="CD188" s="1">
        <f t="shared" ca="1" si="196"/>
        <v>0.17558906513672501</v>
      </c>
      <c r="CE188" s="1">
        <f t="shared" ca="1" si="218"/>
        <v>0.78723269268118379</v>
      </c>
      <c r="CF188" s="1">
        <f t="shared" ca="1" si="218"/>
        <v>0.55334975530560015</v>
      </c>
      <c r="CH188" s="3">
        <f t="shared" ca="1" si="198"/>
        <v>0.58475191980046237</v>
      </c>
      <c r="CI188" s="3">
        <f t="shared" ca="1" si="199"/>
        <v>5.7074657407452753E-2</v>
      </c>
      <c r="CJ188" s="3">
        <f t="shared" ca="1" si="200"/>
        <v>796</v>
      </c>
      <c r="CK188" s="3">
        <f t="shared" ca="1" si="201"/>
        <v>4.7492278900571373E-3</v>
      </c>
      <c r="CL188" s="3">
        <f t="shared" ca="1" si="202"/>
        <v>1</v>
      </c>
      <c r="CM188" s="3"/>
      <c r="CN188" s="1">
        <f t="shared" ca="1" si="203"/>
        <v>18.918249223989605</v>
      </c>
      <c r="CO188" s="1">
        <f t="shared" ca="1" si="204"/>
        <v>0.46359284252491151</v>
      </c>
      <c r="CP188" s="1">
        <f t="shared" ca="1" si="205"/>
        <v>5</v>
      </c>
      <c r="CV188" s="1">
        <f t="shared" ca="1" si="206"/>
        <v>4.5851861424765925</v>
      </c>
      <c r="CW188" s="1">
        <f t="shared" ca="1" si="207"/>
        <v>1307</v>
      </c>
      <c r="CX188" s="1">
        <f t="shared" ca="1" si="208"/>
        <v>9.9248710419564522E-3</v>
      </c>
      <c r="DH188" s="1">
        <f t="shared" ca="1" si="209"/>
        <v>16</v>
      </c>
      <c r="DI188" s="1">
        <f t="shared" ca="1" si="210"/>
        <v>0.43729264796792944</v>
      </c>
      <c r="DJ188" s="1">
        <f t="shared" ca="1" si="211"/>
        <v>10</v>
      </c>
      <c r="DL188" s="1">
        <f t="shared" ca="1" si="212"/>
        <v>0.12090776757006001</v>
      </c>
      <c r="DM188" s="1">
        <f t="shared" ca="1" si="213"/>
        <v>239</v>
      </c>
      <c r="DN188" s="1">
        <f t="shared" ca="1" si="214"/>
        <v>1</v>
      </c>
      <c r="DW188" s="1">
        <f t="shared" ca="1" si="215"/>
        <v>369</v>
      </c>
      <c r="DX188" s="1">
        <f t="shared" ca="1" si="216"/>
        <v>4</v>
      </c>
      <c r="DY188" s="1">
        <f t="shared" ca="1" si="217"/>
        <v>5</v>
      </c>
    </row>
    <row r="189" spans="2:129" x14ac:dyDescent="0.25">
      <c r="B189">
        <f t="shared" ca="1" si="147"/>
        <v>490</v>
      </c>
      <c r="C189">
        <f t="shared" ca="1" si="148"/>
        <v>47</v>
      </c>
      <c r="D189">
        <f t="shared" ca="1" si="149"/>
        <v>0.22752470204455635</v>
      </c>
      <c r="F189" s="1">
        <f t="shared" ca="1" si="150"/>
        <v>37</v>
      </c>
      <c r="G189" s="1">
        <f t="shared" ca="1" si="151"/>
        <v>14</v>
      </c>
      <c r="H189" s="1">
        <f t="shared" ca="1" si="152"/>
        <v>2</v>
      </c>
      <c r="I189" s="1"/>
      <c r="J189" s="1">
        <f t="shared" ca="1" si="153"/>
        <v>10</v>
      </c>
      <c r="K189" s="1">
        <f t="shared" ca="1" si="154"/>
        <v>2.4590912783287551</v>
      </c>
      <c r="L189" s="1">
        <f t="shared" ca="1" si="155"/>
        <v>29</v>
      </c>
      <c r="M189" s="1"/>
      <c r="N189" s="1">
        <f t="shared" ca="1" si="156"/>
        <v>167</v>
      </c>
      <c r="O189" s="1">
        <f t="shared" ca="1" si="157"/>
        <v>12</v>
      </c>
      <c r="P189" s="1"/>
      <c r="Q189" s="1">
        <f t="shared" ca="1" si="158"/>
        <v>1.314203875614457</v>
      </c>
      <c r="R189" s="1">
        <f t="shared" ca="1" si="159"/>
        <v>664</v>
      </c>
      <c r="S189" s="1"/>
      <c r="T189" s="1">
        <f t="shared" ca="1" si="160"/>
        <v>2.5804490330063427E-2</v>
      </c>
      <c r="U189" s="1">
        <f t="shared" ca="1" si="161"/>
        <v>399</v>
      </c>
      <c r="V189" s="1">
        <f t="shared" ca="1" si="162"/>
        <v>20</v>
      </c>
      <c r="W189" s="1"/>
      <c r="X189" s="1">
        <f t="shared" ca="1" si="163"/>
        <v>6.1284737333808934</v>
      </c>
      <c r="Y189" s="1">
        <f t="shared" ca="1" si="164"/>
        <v>0.42949243565533379</v>
      </c>
      <c r="Z189" s="1">
        <f t="shared" ca="1" si="165"/>
        <v>1385</v>
      </c>
      <c r="AB189" s="1">
        <f t="shared" ca="1" si="166"/>
        <v>3.3566534217809606E-2</v>
      </c>
      <c r="AC189" s="1">
        <f t="shared" ca="1" si="167"/>
        <v>248</v>
      </c>
      <c r="AD189" s="1">
        <f t="shared" ca="1" si="168"/>
        <v>9.3217980093020965E-3</v>
      </c>
      <c r="AE189" s="1"/>
      <c r="AF189" s="1">
        <f t="shared" ca="1" si="169"/>
        <v>0.66649649147277601</v>
      </c>
      <c r="AG189" s="1">
        <f t="shared" ca="1" si="170"/>
        <v>788</v>
      </c>
      <c r="AH189" s="1">
        <f t="shared" ca="1" si="171"/>
        <v>8.2531505025488314E-3</v>
      </c>
      <c r="AJ189" s="1">
        <f t="shared" ca="1" si="172"/>
        <v>0.36363655249276117</v>
      </c>
      <c r="AK189" s="1">
        <f t="shared" ca="1" si="173"/>
        <v>2.4302821047573002E-3</v>
      </c>
      <c r="AL189" s="1"/>
      <c r="AM189" s="1">
        <f t="shared" ca="1" si="174"/>
        <v>9.7982313204870886E-2</v>
      </c>
      <c r="AN189" s="1">
        <f t="shared" ca="1" si="175"/>
        <v>70</v>
      </c>
      <c r="AO189" s="1">
        <f t="shared" ca="1" si="176"/>
        <v>5</v>
      </c>
      <c r="AQ189" s="1">
        <f t="shared" ca="1" si="177"/>
        <v>85</v>
      </c>
      <c r="AR189" s="1">
        <f t="shared" ca="1" si="178"/>
        <v>3</v>
      </c>
      <c r="AS189" s="1">
        <f t="shared" ca="1" si="179"/>
        <v>46</v>
      </c>
      <c r="AU189" s="1">
        <f t="shared" ca="1" si="180"/>
        <v>244</v>
      </c>
      <c r="AV189" s="1">
        <f t="shared" ca="1" si="181"/>
        <v>4</v>
      </c>
      <c r="AW189" s="1">
        <f t="shared" ca="1" si="182"/>
        <v>7.0146232978341563E-2</v>
      </c>
      <c r="AY189" s="1">
        <f t="shared" ca="1" si="183"/>
        <v>1.2066712319219848</v>
      </c>
      <c r="AZ189" s="1">
        <f t="shared" ca="1" si="184"/>
        <v>454</v>
      </c>
      <c r="BA189" s="1">
        <f t="shared" ca="1" si="185"/>
        <v>8.443458549386466E-3</v>
      </c>
      <c r="BG189" s="1">
        <f t="shared" ca="1" si="186"/>
        <v>0.51252182049525086</v>
      </c>
      <c r="BH189" s="1">
        <f t="shared" ca="1" si="187"/>
        <v>0.82130367015693051</v>
      </c>
      <c r="BI189" s="1">
        <f t="shared" ca="1" si="188"/>
        <v>570</v>
      </c>
      <c r="BV189" s="1">
        <f t="shared" ca="1" si="189"/>
        <v>9.8976271173624175E-2</v>
      </c>
      <c r="BW189" s="1">
        <f t="shared" ca="1" si="190"/>
        <v>830</v>
      </c>
      <c r="BX189" s="1">
        <f t="shared" ca="1" si="191"/>
        <v>7.6909908826782152E-3</v>
      </c>
      <c r="BY189" s="1">
        <f t="shared" ca="1" si="192"/>
        <v>2.7459577043279421E-2</v>
      </c>
      <c r="BZ189" s="1">
        <f t="shared" ca="1" si="193"/>
        <v>0.43957431669405977</v>
      </c>
      <c r="CB189" s="1">
        <f t="shared" ca="1" si="194"/>
        <v>176</v>
      </c>
      <c r="CC189" s="1">
        <f t="shared" ca="1" si="195"/>
        <v>3</v>
      </c>
      <c r="CD189" s="1">
        <f t="shared" ca="1" si="196"/>
        <v>5.8267272062648548E-2</v>
      </c>
      <c r="CE189" s="1">
        <f t="shared" ca="1" si="218"/>
        <v>0.76729335248037722</v>
      </c>
      <c r="CF189" s="1">
        <f t="shared" ca="1" si="218"/>
        <v>0.64830949732436927</v>
      </c>
      <c r="CH189" s="3">
        <f t="shared" ca="1" si="198"/>
        <v>0.91035847162778927</v>
      </c>
      <c r="CI189" s="3">
        <f t="shared" ca="1" si="199"/>
        <v>0.17981425750889823</v>
      </c>
      <c r="CJ189" s="3">
        <f t="shared" ca="1" si="200"/>
        <v>878</v>
      </c>
      <c r="CK189" s="3">
        <f t="shared" ca="1" si="201"/>
        <v>1.1116055529932097E-4</v>
      </c>
      <c r="CL189" s="3">
        <f t="shared" ca="1" si="202"/>
        <v>0</v>
      </c>
      <c r="CM189" s="3"/>
      <c r="CN189" s="1">
        <f t="shared" ca="1" si="203"/>
        <v>19.631461060450867</v>
      </c>
      <c r="CO189" s="1">
        <f t="shared" ca="1" si="204"/>
        <v>0.38004344433053355</v>
      </c>
      <c r="CP189" s="1">
        <f t="shared" ca="1" si="205"/>
        <v>3</v>
      </c>
      <c r="CV189" s="1">
        <f t="shared" ca="1" si="206"/>
        <v>9.4992701890257791</v>
      </c>
      <c r="CW189" s="1">
        <f t="shared" ca="1" si="207"/>
        <v>238</v>
      </c>
      <c r="CX189" s="1">
        <f t="shared" ca="1" si="208"/>
        <v>2.6166362567877632E-3</v>
      </c>
      <c r="DH189" s="1">
        <f t="shared" ca="1" si="209"/>
        <v>270</v>
      </c>
      <c r="DI189" s="1">
        <f t="shared" ca="1" si="210"/>
        <v>0.52819447788234941</v>
      </c>
      <c r="DJ189" s="1">
        <f t="shared" ca="1" si="211"/>
        <v>30</v>
      </c>
      <c r="DL189" s="1">
        <f t="shared" ca="1" si="212"/>
        <v>4.8151851983958681E-2</v>
      </c>
      <c r="DM189" s="1">
        <f t="shared" ca="1" si="213"/>
        <v>261</v>
      </c>
      <c r="DN189" s="1">
        <f t="shared" ca="1" si="214"/>
        <v>4</v>
      </c>
      <c r="DW189" s="1">
        <f t="shared" ca="1" si="215"/>
        <v>479</v>
      </c>
      <c r="DX189" s="1">
        <f t="shared" ca="1" si="216"/>
        <v>16</v>
      </c>
      <c r="DY189" s="1">
        <f t="shared" ca="1" si="217"/>
        <v>13</v>
      </c>
    </row>
    <row r="190" spans="2:129" x14ac:dyDescent="0.25">
      <c r="B190">
        <f t="shared" ca="1" si="147"/>
        <v>808</v>
      </c>
      <c r="C190">
        <f t="shared" ca="1" si="148"/>
        <v>49</v>
      </c>
      <c r="D190">
        <f t="shared" ca="1" si="149"/>
        <v>0.17050524158836861</v>
      </c>
      <c r="F190" s="1">
        <f t="shared" ca="1" si="150"/>
        <v>30</v>
      </c>
      <c r="G190" s="1">
        <f t="shared" ca="1" si="151"/>
        <v>26</v>
      </c>
      <c r="H190" s="1">
        <f t="shared" ca="1" si="152"/>
        <v>7</v>
      </c>
      <c r="I190" s="1"/>
      <c r="J190" s="1">
        <f t="shared" ca="1" si="153"/>
        <v>17</v>
      </c>
      <c r="K190" s="1">
        <f t="shared" ca="1" si="154"/>
        <v>2.1795782881131469</v>
      </c>
      <c r="L190" s="1">
        <f t="shared" ca="1" si="155"/>
        <v>4</v>
      </c>
      <c r="M190" s="1"/>
      <c r="N190" s="1">
        <f t="shared" ca="1" si="156"/>
        <v>892</v>
      </c>
      <c r="O190" s="1">
        <f t="shared" ca="1" si="157"/>
        <v>10</v>
      </c>
      <c r="P190" s="1"/>
      <c r="Q190" s="1">
        <f t="shared" ca="1" si="158"/>
        <v>3.428197035936023</v>
      </c>
      <c r="R190" s="1">
        <f t="shared" ca="1" si="159"/>
        <v>597</v>
      </c>
      <c r="S190" s="1"/>
      <c r="T190" s="1">
        <f t="shared" ca="1" si="160"/>
        <v>0.11619542551105616</v>
      </c>
      <c r="U190" s="1">
        <f t="shared" ca="1" si="161"/>
        <v>360</v>
      </c>
      <c r="V190" s="1">
        <f t="shared" ca="1" si="162"/>
        <v>46</v>
      </c>
      <c r="W190" s="1"/>
      <c r="X190" s="1">
        <f t="shared" ca="1" si="163"/>
        <v>1.1389082807375877</v>
      </c>
      <c r="Y190" s="1">
        <f t="shared" ca="1" si="164"/>
        <v>0.43040257751128264</v>
      </c>
      <c r="Z190" s="1">
        <f t="shared" ca="1" si="165"/>
        <v>1943</v>
      </c>
      <c r="AB190" s="1">
        <f t="shared" ca="1" si="166"/>
        <v>0.6764805410863709</v>
      </c>
      <c r="AC190" s="1">
        <f t="shared" ca="1" si="167"/>
        <v>470</v>
      </c>
      <c r="AD190" s="1">
        <f t="shared" ca="1" si="168"/>
        <v>5.4080846633476299E-3</v>
      </c>
      <c r="AE190" s="1"/>
      <c r="AF190" s="1">
        <f t="shared" ca="1" si="169"/>
        <v>0.35426145555208421</v>
      </c>
      <c r="AG190" s="1">
        <f t="shared" ca="1" si="170"/>
        <v>805</v>
      </c>
      <c r="AH190" s="1">
        <f t="shared" ca="1" si="171"/>
        <v>5.4100553587250917E-3</v>
      </c>
      <c r="AJ190" s="1">
        <f t="shared" ca="1" si="172"/>
        <v>5.8611484381779433E-2</v>
      </c>
      <c r="AK190" s="1">
        <f t="shared" ca="1" si="173"/>
        <v>4.4077274664721987E-3</v>
      </c>
      <c r="AL190" s="1"/>
      <c r="AM190" s="1">
        <f t="shared" ca="1" si="174"/>
        <v>0.15361794230377052</v>
      </c>
      <c r="AN190" s="1">
        <f t="shared" ca="1" si="175"/>
        <v>52</v>
      </c>
      <c r="AO190" s="1">
        <f t="shared" ca="1" si="176"/>
        <v>17</v>
      </c>
      <c r="AQ190" s="1">
        <f t="shared" ca="1" si="177"/>
        <v>121</v>
      </c>
      <c r="AR190" s="1">
        <f t="shared" ca="1" si="178"/>
        <v>4</v>
      </c>
      <c r="AS190" s="1">
        <f t="shared" ca="1" si="179"/>
        <v>6</v>
      </c>
      <c r="AU190" s="1">
        <f t="shared" ca="1" si="180"/>
        <v>306</v>
      </c>
      <c r="AV190" s="1">
        <f t="shared" ca="1" si="181"/>
        <v>8</v>
      </c>
      <c r="AW190" s="1">
        <f t="shared" ca="1" si="182"/>
        <v>7.8539226878884219E-2</v>
      </c>
      <c r="AY190" s="1">
        <f t="shared" ca="1" si="183"/>
        <v>1.335683725912103</v>
      </c>
      <c r="AZ190" s="1">
        <f t="shared" ca="1" si="184"/>
        <v>212</v>
      </c>
      <c r="BA190" s="1">
        <f t="shared" ca="1" si="185"/>
        <v>5.4854344660029723E-3</v>
      </c>
      <c r="BG190" s="1">
        <f t="shared" ca="1" si="186"/>
        <v>0.29423719223856271</v>
      </c>
      <c r="BH190" s="1">
        <f t="shared" ca="1" si="187"/>
        <v>0.61066061676518313</v>
      </c>
      <c r="BI190" s="1">
        <f t="shared" ca="1" si="188"/>
        <v>764</v>
      </c>
      <c r="BV190" s="1">
        <f t="shared" ca="1" si="189"/>
        <v>0.97881385066998139</v>
      </c>
      <c r="BW190" s="1">
        <f t="shared" ca="1" si="190"/>
        <v>538</v>
      </c>
      <c r="BX190" s="1">
        <f t="shared" ca="1" si="191"/>
        <v>8.4292234319759893E-3</v>
      </c>
      <c r="BY190" s="1">
        <f t="shared" ca="1" si="192"/>
        <v>8.5653632671300814E-3</v>
      </c>
      <c r="BZ190" s="1">
        <f t="shared" ca="1" si="193"/>
        <v>0.75310217085186226</v>
      </c>
      <c r="CB190" s="1">
        <f t="shared" ca="1" si="194"/>
        <v>484</v>
      </c>
      <c r="CC190" s="1">
        <f t="shared" ca="1" si="195"/>
        <v>12</v>
      </c>
      <c r="CD190" s="1">
        <f t="shared" ca="1" si="196"/>
        <v>0.15658247466598021</v>
      </c>
      <c r="CE190" s="1">
        <f t="shared" ca="1" si="218"/>
        <v>0.60417874451699505</v>
      </c>
      <c r="CF190" s="1">
        <f t="shared" ca="1" si="218"/>
        <v>0.5623812443159133</v>
      </c>
      <c r="CH190" s="3">
        <f t="shared" ca="1" si="198"/>
        <v>6.5604526679859332E-2</v>
      </c>
      <c r="CI190" s="3">
        <f t="shared" ca="1" si="199"/>
        <v>0.80572866820503508</v>
      </c>
      <c r="CJ190" s="3">
        <f t="shared" ca="1" si="200"/>
        <v>347</v>
      </c>
      <c r="CK190" s="3">
        <f t="shared" ca="1" si="201"/>
        <v>1.8715945304874607E-3</v>
      </c>
      <c r="CL190" s="3">
        <f t="shared" ca="1" si="202"/>
        <v>0</v>
      </c>
      <c r="CM190" s="3"/>
      <c r="CN190" s="1">
        <f t="shared" ca="1" si="203"/>
        <v>13.75466900092694</v>
      </c>
      <c r="CO190" s="1">
        <f t="shared" ca="1" si="204"/>
        <v>4.1980184482751856E-2</v>
      </c>
      <c r="CP190" s="1">
        <f t="shared" ca="1" si="205"/>
        <v>5</v>
      </c>
      <c r="CV190" s="1">
        <f t="shared" ca="1" si="206"/>
        <v>6.2644338620247195</v>
      </c>
      <c r="CW190" s="1">
        <f t="shared" ca="1" si="207"/>
        <v>426</v>
      </c>
      <c r="CX190" s="1">
        <f t="shared" ca="1" si="208"/>
        <v>2.3794382077011581E-3</v>
      </c>
      <c r="DH190" s="1">
        <f t="shared" ca="1" si="209"/>
        <v>817</v>
      </c>
      <c r="DI190" s="1">
        <f t="shared" ca="1" si="210"/>
        <v>0.71152281905779657</v>
      </c>
      <c r="DJ190" s="1">
        <f t="shared" ca="1" si="211"/>
        <v>10</v>
      </c>
      <c r="DL190" s="1">
        <f t="shared" ca="1" si="212"/>
        <v>0.19421992033718855</v>
      </c>
      <c r="DM190" s="1">
        <f t="shared" ca="1" si="213"/>
        <v>107</v>
      </c>
      <c r="DN190" s="1">
        <f t="shared" ca="1" si="214"/>
        <v>7</v>
      </c>
      <c r="DW190" s="1">
        <f t="shared" ca="1" si="215"/>
        <v>257</v>
      </c>
      <c r="DX190" s="1">
        <f t="shared" ca="1" si="216"/>
        <v>7</v>
      </c>
      <c r="DY190" s="1">
        <f t="shared" ca="1" si="217"/>
        <v>17</v>
      </c>
    </row>
    <row r="191" spans="2:129" x14ac:dyDescent="0.25">
      <c r="B191">
        <f t="shared" ca="1" si="147"/>
        <v>152</v>
      </c>
      <c r="C191">
        <f t="shared" ca="1" si="148"/>
        <v>45</v>
      </c>
      <c r="D191">
        <f t="shared" ca="1" si="149"/>
        <v>0.14382642783303132</v>
      </c>
      <c r="F191" s="1">
        <f t="shared" ca="1" si="150"/>
        <v>25</v>
      </c>
      <c r="G191" s="1">
        <f t="shared" ca="1" si="151"/>
        <v>13</v>
      </c>
      <c r="H191" s="1">
        <f t="shared" ca="1" si="152"/>
        <v>7</v>
      </c>
      <c r="I191" s="1"/>
      <c r="J191" s="1">
        <f t="shared" ca="1" si="153"/>
        <v>5</v>
      </c>
      <c r="K191" s="1">
        <f t="shared" ca="1" si="154"/>
        <v>1.1278459987651037</v>
      </c>
      <c r="L191" s="1">
        <f t="shared" ca="1" si="155"/>
        <v>30</v>
      </c>
      <c r="M191" s="1"/>
      <c r="N191" s="1">
        <f t="shared" ca="1" si="156"/>
        <v>896</v>
      </c>
      <c r="O191" s="1">
        <f t="shared" ca="1" si="157"/>
        <v>14</v>
      </c>
      <c r="P191" s="1"/>
      <c r="Q191" s="1">
        <f t="shared" ca="1" si="158"/>
        <v>0.47635624576341268</v>
      </c>
      <c r="R191" s="1">
        <f t="shared" ca="1" si="159"/>
        <v>359</v>
      </c>
      <c r="S191" s="1"/>
      <c r="T191" s="1">
        <f t="shared" ca="1" si="160"/>
        <v>5.9548137979835554E-2</v>
      </c>
      <c r="U191" s="1">
        <f t="shared" ca="1" si="161"/>
        <v>67</v>
      </c>
      <c r="V191" s="1">
        <f t="shared" ca="1" si="162"/>
        <v>21</v>
      </c>
      <c r="W191" s="1"/>
      <c r="X191" s="1">
        <f t="shared" ca="1" si="163"/>
        <v>4.1922798086154964</v>
      </c>
      <c r="Y191" s="1">
        <f t="shared" ca="1" si="164"/>
        <v>0.32105097706757618</v>
      </c>
      <c r="Z191" s="1">
        <f t="shared" ca="1" si="165"/>
        <v>304</v>
      </c>
      <c r="AB191" s="1">
        <f t="shared" ca="1" si="166"/>
        <v>0.6499381007826468</v>
      </c>
      <c r="AC191" s="1">
        <f t="shared" ca="1" si="167"/>
        <v>556</v>
      </c>
      <c r="AD191" s="1">
        <f t="shared" ca="1" si="168"/>
        <v>7.4358404988561022E-3</v>
      </c>
      <c r="AE191" s="1"/>
      <c r="AF191" s="1">
        <f t="shared" ca="1" si="169"/>
        <v>0.44803344677629597</v>
      </c>
      <c r="AG191" s="1">
        <f t="shared" ca="1" si="170"/>
        <v>812</v>
      </c>
      <c r="AH191" s="1">
        <f t="shared" ca="1" si="171"/>
        <v>7.9620344284366245E-3</v>
      </c>
      <c r="AJ191" s="1">
        <f t="shared" ca="1" si="172"/>
        <v>0.7280308298520104</v>
      </c>
      <c r="AK191" s="1">
        <f t="shared" ca="1" si="173"/>
        <v>5.0602506075082968E-3</v>
      </c>
      <c r="AL191" s="1"/>
      <c r="AM191" s="1">
        <f t="shared" ca="1" si="174"/>
        <v>0.15947334405845132</v>
      </c>
      <c r="AN191" s="1">
        <f t="shared" ca="1" si="175"/>
        <v>33</v>
      </c>
      <c r="AO191" s="1">
        <f t="shared" ca="1" si="176"/>
        <v>4</v>
      </c>
      <c r="AQ191" s="1">
        <f t="shared" ca="1" si="177"/>
        <v>60</v>
      </c>
      <c r="AR191" s="1">
        <f t="shared" ca="1" si="178"/>
        <v>2</v>
      </c>
      <c r="AS191" s="1">
        <f t="shared" ca="1" si="179"/>
        <v>57</v>
      </c>
      <c r="AU191" s="1">
        <f t="shared" ca="1" si="180"/>
        <v>66</v>
      </c>
      <c r="AV191" s="1">
        <f t="shared" ca="1" si="181"/>
        <v>9</v>
      </c>
      <c r="AW191" s="1">
        <f t="shared" ca="1" si="182"/>
        <v>0.19489538818455809</v>
      </c>
      <c r="AY191" s="1">
        <f t="shared" ca="1" si="183"/>
        <v>1.491005601861078</v>
      </c>
      <c r="AZ191" s="1">
        <f t="shared" ca="1" si="184"/>
        <v>303</v>
      </c>
      <c r="BA191" s="1">
        <f t="shared" ca="1" si="185"/>
        <v>8.9209656872569123E-3</v>
      </c>
      <c r="BG191" s="1">
        <f t="shared" ca="1" si="186"/>
        <v>0.86954504215658146</v>
      </c>
      <c r="BH191" s="1">
        <f t="shared" ca="1" si="187"/>
        <v>0.30794754647413181</v>
      </c>
      <c r="BI191" s="1">
        <f t="shared" ca="1" si="188"/>
        <v>112</v>
      </c>
      <c r="BV191" s="1">
        <f t="shared" ca="1" si="189"/>
        <v>0.4772282145629127</v>
      </c>
      <c r="BW191" s="1">
        <f t="shared" ca="1" si="190"/>
        <v>619</v>
      </c>
      <c r="BX191" s="1">
        <f t="shared" ca="1" si="191"/>
        <v>8.486163039258799E-3</v>
      </c>
      <c r="BY191" s="1">
        <f t="shared" ca="1" si="192"/>
        <v>9.6448969065778434E-2</v>
      </c>
      <c r="BZ191" s="1">
        <f t="shared" ca="1" si="193"/>
        <v>0.74549102559115432</v>
      </c>
      <c r="CB191" s="1">
        <f t="shared" ca="1" si="194"/>
        <v>52</v>
      </c>
      <c r="CC191" s="1">
        <f t="shared" ca="1" si="195"/>
        <v>9</v>
      </c>
      <c r="CD191" s="1">
        <f t="shared" ca="1" si="196"/>
        <v>0.2880677578552826</v>
      </c>
      <c r="CE191" s="1">
        <f t="shared" ca="1" si="218"/>
        <v>0.61857741558777057</v>
      </c>
      <c r="CF191" s="1">
        <f t="shared" ca="1" si="218"/>
        <v>0.84838923946838063</v>
      </c>
      <c r="CH191" s="3">
        <f t="shared" ca="1" si="198"/>
        <v>0.23942153262445542</v>
      </c>
      <c r="CI191" s="3">
        <f t="shared" ca="1" si="199"/>
        <v>0.28271643639772576</v>
      </c>
      <c r="CJ191" s="3">
        <f t="shared" ca="1" si="200"/>
        <v>262</v>
      </c>
      <c r="CK191" s="3">
        <f t="shared" ca="1" si="201"/>
        <v>2.2036918601676986E-3</v>
      </c>
      <c r="CL191" s="3">
        <f t="shared" ca="1" si="202"/>
        <v>1</v>
      </c>
      <c r="CM191" s="3"/>
      <c r="CN191" s="1">
        <f t="shared" ca="1" si="203"/>
        <v>2.5945224602037706</v>
      </c>
      <c r="CO191" s="1">
        <f t="shared" ca="1" si="204"/>
        <v>0.45588077124943976</v>
      </c>
      <c r="CP191" s="1">
        <f t="shared" ca="1" si="205"/>
        <v>4</v>
      </c>
      <c r="CV191" s="1">
        <f t="shared" ca="1" si="206"/>
        <v>1.7837985240980543</v>
      </c>
      <c r="CW191" s="1">
        <f t="shared" ca="1" si="207"/>
        <v>1731</v>
      </c>
      <c r="CX191" s="1">
        <f t="shared" ca="1" si="208"/>
        <v>1.5170159325257578E-3</v>
      </c>
      <c r="DH191" s="1">
        <f t="shared" ca="1" si="209"/>
        <v>297</v>
      </c>
      <c r="DI191" s="1">
        <f t="shared" ca="1" si="210"/>
        <v>0.66414716855050693</v>
      </c>
      <c r="DJ191" s="1">
        <f t="shared" ca="1" si="211"/>
        <v>3</v>
      </c>
      <c r="DL191" s="1">
        <f t="shared" ca="1" si="212"/>
        <v>0.16228462436862157</v>
      </c>
      <c r="DM191" s="1">
        <f t="shared" ca="1" si="213"/>
        <v>161</v>
      </c>
      <c r="DN191" s="1">
        <f t="shared" ca="1" si="214"/>
        <v>2</v>
      </c>
      <c r="DW191" s="1">
        <f t="shared" ca="1" si="215"/>
        <v>173</v>
      </c>
      <c r="DX191" s="1">
        <f t="shared" ca="1" si="216"/>
        <v>18</v>
      </c>
      <c r="DY191" s="1">
        <f t="shared" ca="1" si="217"/>
        <v>13</v>
      </c>
    </row>
    <row r="192" spans="2:129" x14ac:dyDescent="0.25">
      <c r="B192">
        <f t="shared" ca="1" si="147"/>
        <v>307</v>
      </c>
      <c r="C192">
        <f t="shared" ca="1" si="148"/>
        <v>39</v>
      </c>
      <c r="D192">
        <f t="shared" ca="1" si="149"/>
        <v>0.24869689209929194</v>
      </c>
      <c r="F192" s="1">
        <f t="shared" ca="1" si="150"/>
        <v>48</v>
      </c>
      <c r="G192" s="1">
        <f t="shared" ca="1" si="151"/>
        <v>10</v>
      </c>
      <c r="H192" s="1">
        <f t="shared" ca="1" si="152"/>
        <v>6</v>
      </c>
      <c r="I192" s="1"/>
      <c r="J192" s="1">
        <f t="shared" ca="1" si="153"/>
        <v>28</v>
      </c>
      <c r="K192" s="1">
        <f t="shared" ca="1" si="154"/>
        <v>2.4508062186241411</v>
      </c>
      <c r="L192" s="1">
        <f t="shared" ca="1" si="155"/>
        <v>4</v>
      </c>
      <c r="M192" s="1"/>
      <c r="N192" s="1">
        <f t="shared" ca="1" si="156"/>
        <v>63</v>
      </c>
      <c r="O192" s="1">
        <f t="shared" ca="1" si="157"/>
        <v>16</v>
      </c>
      <c r="P192" s="1"/>
      <c r="Q192" s="1">
        <f t="shared" ca="1" si="158"/>
        <v>3.3319928539005921</v>
      </c>
      <c r="R192" s="1">
        <f t="shared" ca="1" si="159"/>
        <v>428</v>
      </c>
      <c r="S192" s="1"/>
      <c r="T192" s="1">
        <f t="shared" ca="1" si="160"/>
        <v>2.1280083234610055E-2</v>
      </c>
      <c r="U192" s="1">
        <f t="shared" ca="1" si="161"/>
        <v>249</v>
      </c>
      <c r="V192" s="1">
        <f t="shared" ca="1" si="162"/>
        <v>4</v>
      </c>
      <c r="W192" s="1"/>
      <c r="X192" s="1">
        <f t="shared" ca="1" si="163"/>
        <v>4.0747349997051332</v>
      </c>
      <c r="Y192" s="1">
        <f t="shared" ca="1" si="164"/>
        <v>0.64812021382976093</v>
      </c>
      <c r="Z192" s="1">
        <f t="shared" ca="1" si="165"/>
        <v>1168</v>
      </c>
      <c r="AB192" s="1">
        <f t="shared" ca="1" si="166"/>
        <v>0.2893912078575015</v>
      </c>
      <c r="AC192" s="1">
        <f t="shared" ca="1" si="167"/>
        <v>804</v>
      </c>
      <c r="AD192" s="1">
        <f t="shared" ca="1" si="168"/>
        <v>8.9207898927957975E-3</v>
      </c>
      <c r="AE192" s="1"/>
      <c r="AF192" s="1">
        <f t="shared" ca="1" si="169"/>
        <v>0.1431134393964725</v>
      </c>
      <c r="AG192" s="1">
        <f t="shared" ca="1" si="170"/>
        <v>760</v>
      </c>
      <c r="AH192" s="1">
        <f t="shared" ca="1" si="171"/>
        <v>6.6693029927848632E-3</v>
      </c>
      <c r="AJ192" s="1">
        <f t="shared" ca="1" si="172"/>
        <v>0.905129579992205</v>
      </c>
      <c r="AK192" s="1">
        <f t="shared" ca="1" si="173"/>
        <v>8.5315868602840236E-3</v>
      </c>
      <c r="AL192" s="1"/>
      <c r="AM192" s="1">
        <f t="shared" ca="1" si="174"/>
        <v>5.4845001086432386E-2</v>
      </c>
      <c r="AN192" s="1">
        <f t="shared" ca="1" si="175"/>
        <v>24</v>
      </c>
      <c r="AO192" s="1">
        <f t="shared" ca="1" si="176"/>
        <v>20</v>
      </c>
      <c r="AQ192" s="1">
        <f t="shared" ca="1" si="177"/>
        <v>48</v>
      </c>
      <c r="AR192" s="1">
        <f t="shared" ca="1" si="178"/>
        <v>10</v>
      </c>
      <c r="AS192" s="1">
        <f t="shared" ca="1" si="179"/>
        <v>83</v>
      </c>
      <c r="AU192" s="1">
        <f t="shared" ca="1" si="180"/>
        <v>308</v>
      </c>
      <c r="AV192" s="1">
        <f t="shared" ca="1" si="181"/>
        <v>3</v>
      </c>
      <c r="AW192" s="1">
        <f t="shared" ca="1" si="182"/>
        <v>0.18181710447107946</v>
      </c>
      <c r="AY192" s="1">
        <f t="shared" ca="1" si="183"/>
        <v>1.501182471625955</v>
      </c>
      <c r="AZ192" s="1">
        <f t="shared" ca="1" si="184"/>
        <v>418</v>
      </c>
      <c r="BA192" s="1">
        <f t="shared" ca="1" si="185"/>
        <v>6.4903794962649711E-4</v>
      </c>
      <c r="BG192" s="1">
        <f t="shared" ca="1" si="186"/>
        <v>0.62582642421642409</v>
      </c>
      <c r="BH192" s="1">
        <f t="shared" ca="1" si="187"/>
        <v>0.52435235826014293</v>
      </c>
      <c r="BI192" s="1">
        <f t="shared" ca="1" si="188"/>
        <v>168</v>
      </c>
      <c r="BV192" s="1">
        <f t="shared" ca="1" si="189"/>
        <v>0.72485351548821542</v>
      </c>
      <c r="BW192" s="1">
        <f t="shared" ca="1" si="190"/>
        <v>408</v>
      </c>
      <c r="BX192" s="1">
        <f t="shared" ca="1" si="191"/>
        <v>2.5931279068060124E-3</v>
      </c>
      <c r="BY192" s="1">
        <f t="shared" ca="1" si="192"/>
        <v>9.1263011241398947E-2</v>
      </c>
      <c r="BZ192" s="1">
        <f t="shared" ca="1" si="193"/>
        <v>0.74826685963044626</v>
      </c>
      <c r="CB192" s="1">
        <f t="shared" ca="1" si="194"/>
        <v>226</v>
      </c>
      <c r="CC192" s="1">
        <f t="shared" ca="1" si="195"/>
        <v>14</v>
      </c>
      <c r="CD192" s="1">
        <f t="shared" ca="1" si="196"/>
        <v>0.1304076655259874</v>
      </c>
      <c r="CE192" s="1">
        <f t="shared" ca="1" si="218"/>
        <v>0.87255941550124638</v>
      </c>
      <c r="CF192" s="1">
        <f t="shared" ca="1" si="218"/>
        <v>0.58574896382532593</v>
      </c>
      <c r="CH192" s="3">
        <f t="shared" ca="1" si="198"/>
        <v>0.43232678199735991</v>
      </c>
      <c r="CI192" s="3">
        <f t="shared" ca="1" si="199"/>
        <v>0.6649025484647817</v>
      </c>
      <c r="CJ192" s="3">
        <f t="shared" ca="1" si="200"/>
        <v>1768</v>
      </c>
      <c r="CK192" s="3">
        <f t="shared" ca="1" si="201"/>
        <v>6.6453440214123295E-3</v>
      </c>
      <c r="CL192" s="3">
        <f t="shared" ca="1" si="202"/>
        <v>0</v>
      </c>
      <c r="CM192" s="3"/>
      <c r="CN192" s="1">
        <f t="shared" ca="1" si="203"/>
        <v>12.74422072868316</v>
      </c>
      <c r="CO192" s="1">
        <f t="shared" ca="1" si="204"/>
        <v>0.17878160221278361</v>
      </c>
      <c r="CP192" s="1">
        <f t="shared" ca="1" si="205"/>
        <v>3</v>
      </c>
      <c r="CV192" s="1">
        <f t="shared" ca="1" si="206"/>
        <v>8.9177431183360412</v>
      </c>
      <c r="CW192" s="1">
        <f t="shared" ca="1" si="207"/>
        <v>222</v>
      </c>
      <c r="CX192" s="1">
        <f t="shared" ca="1" si="208"/>
        <v>6.2277660518777166E-3</v>
      </c>
      <c r="DH192" s="1">
        <f t="shared" ca="1" si="209"/>
        <v>646</v>
      </c>
      <c r="DI192" s="1">
        <f t="shared" ca="1" si="210"/>
        <v>0.95153389912754271</v>
      </c>
      <c r="DJ192" s="1">
        <f t="shared" ca="1" si="211"/>
        <v>27</v>
      </c>
      <c r="DL192" s="1">
        <f t="shared" ca="1" si="212"/>
        <v>6.671789578983936E-2</v>
      </c>
      <c r="DM192" s="1">
        <f t="shared" ca="1" si="213"/>
        <v>227</v>
      </c>
      <c r="DN192" s="1">
        <f t="shared" ca="1" si="214"/>
        <v>6</v>
      </c>
      <c r="DW192" s="1">
        <f t="shared" ca="1" si="215"/>
        <v>204</v>
      </c>
      <c r="DX192" s="1">
        <f t="shared" ca="1" si="216"/>
        <v>15</v>
      </c>
      <c r="DY192" s="1">
        <f t="shared" ca="1" si="217"/>
        <v>18</v>
      </c>
    </row>
    <row r="193" spans="2:129" x14ac:dyDescent="0.25">
      <c r="B193">
        <f t="shared" ca="1" si="147"/>
        <v>733</v>
      </c>
      <c r="C193">
        <f t="shared" ca="1" si="148"/>
        <v>31</v>
      </c>
      <c r="D193">
        <f t="shared" ca="1" si="149"/>
        <v>1.477201464692119E-2</v>
      </c>
      <c r="F193" s="1">
        <f t="shared" ca="1" si="150"/>
        <v>7</v>
      </c>
      <c r="G193" s="1">
        <f t="shared" ca="1" si="151"/>
        <v>18</v>
      </c>
      <c r="H193" s="1">
        <f t="shared" ca="1" si="152"/>
        <v>2</v>
      </c>
      <c r="I193" s="1"/>
      <c r="J193" s="1">
        <f t="shared" ca="1" si="153"/>
        <v>33</v>
      </c>
      <c r="K193" s="1">
        <f t="shared" ca="1" si="154"/>
        <v>1.0624170553512027</v>
      </c>
      <c r="L193" s="1">
        <f t="shared" ca="1" si="155"/>
        <v>7</v>
      </c>
      <c r="M193" s="1"/>
      <c r="N193" s="1">
        <f t="shared" ca="1" si="156"/>
        <v>265</v>
      </c>
      <c r="O193" s="1">
        <f t="shared" ca="1" si="157"/>
        <v>12</v>
      </c>
      <c r="P193" s="1"/>
      <c r="Q193" s="1">
        <f t="shared" ca="1" si="158"/>
        <v>1.2018532729393068</v>
      </c>
      <c r="R193" s="1">
        <f t="shared" ca="1" si="159"/>
        <v>1135</v>
      </c>
      <c r="S193" s="1"/>
      <c r="T193" s="1">
        <f t="shared" ca="1" si="160"/>
        <v>0.10925425916126488</v>
      </c>
      <c r="U193" s="1">
        <f t="shared" ca="1" si="161"/>
        <v>224</v>
      </c>
      <c r="V193" s="1">
        <f t="shared" ca="1" si="162"/>
        <v>27</v>
      </c>
      <c r="W193" s="1"/>
      <c r="X193" s="1">
        <f t="shared" ca="1" si="163"/>
        <v>1.6054233126181912</v>
      </c>
      <c r="Y193" s="1">
        <f t="shared" ca="1" si="164"/>
        <v>0.6541899483222543</v>
      </c>
      <c r="Z193" s="1">
        <f t="shared" ca="1" si="165"/>
        <v>197</v>
      </c>
      <c r="AB193" s="1">
        <f t="shared" ca="1" si="166"/>
        <v>0.52343682388057278</v>
      </c>
      <c r="AC193" s="1">
        <f t="shared" ca="1" si="167"/>
        <v>375</v>
      </c>
      <c r="AD193" s="1">
        <f t="shared" ca="1" si="168"/>
        <v>3.5018934463284285E-3</v>
      </c>
      <c r="AE193" s="1"/>
      <c r="AF193" s="1">
        <f t="shared" ca="1" si="169"/>
        <v>0.55371469242961979</v>
      </c>
      <c r="AG193" s="1">
        <f t="shared" ca="1" si="170"/>
        <v>301</v>
      </c>
      <c r="AH193" s="1">
        <f t="shared" ca="1" si="171"/>
        <v>7.0137199538551648E-3</v>
      </c>
      <c r="AJ193" s="1">
        <f t="shared" ca="1" si="172"/>
        <v>0.37654320131023411</v>
      </c>
      <c r="AK193" s="1">
        <f t="shared" ca="1" si="173"/>
        <v>3.2268293956769422E-3</v>
      </c>
      <c r="AL193" s="1"/>
      <c r="AM193" s="1">
        <f t="shared" ca="1" si="174"/>
        <v>0.1713021755426766</v>
      </c>
      <c r="AN193" s="1">
        <f t="shared" ca="1" si="175"/>
        <v>33</v>
      </c>
      <c r="AO193" s="1">
        <f t="shared" ca="1" si="176"/>
        <v>4</v>
      </c>
      <c r="AQ193" s="1">
        <f t="shared" ca="1" si="177"/>
        <v>146</v>
      </c>
      <c r="AR193" s="1">
        <f t="shared" ca="1" si="178"/>
        <v>1</v>
      </c>
      <c r="AS193" s="1">
        <f t="shared" ca="1" si="179"/>
        <v>43</v>
      </c>
      <c r="AU193" s="1">
        <f t="shared" ca="1" si="180"/>
        <v>76</v>
      </c>
      <c r="AV193" s="1">
        <f t="shared" ca="1" si="181"/>
        <v>10</v>
      </c>
      <c r="AW193" s="1">
        <f t="shared" ca="1" si="182"/>
        <v>7.8978195543479152E-2</v>
      </c>
      <c r="AY193" s="1">
        <f t="shared" ca="1" si="183"/>
        <v>1.2380138983095141</v>
      </c>
      <c r="AZ193" s="1">
        <f t="shared" ca="1" si="184"/>
        <v>356</v>
      </c>
      <c r="BA193" s="1">
        <f t="shared" ca="1" si="185"/>
        <v>6.1384884929202718E-5</v>
      </c>
      <c r="BG193" s="1">
        <f t="shared" ca="1" si="186"/>
        <v>0.65022225090974295</v>
      </c>
      <c r="BH193" s="1">
        <f t="shared" ca="1" si="187"/>
        <v>0.39929498698027888</v>
      </c>
      <c r="BI193" s="1">
        <f t="shared" ca="1" si="188"/>
        <v>746</v>
      </c>
      <c r="BV193" s="1">
        <f t="shared" ca="1" si="189"/>
        <v>0.50814029057040921</v>
      </c>
      <c r="BW193" s="1">
        <f t="shared" ca="1" si="190"/>
        <v>868</v>
      </c>
      <c r="BX193" s="1">
        <f t="shared" ca="1" si="191"/>
        <v>5.1587945794470767E-3</v>
      </c>
      <c r="BY193" s="1">
        <f t="shared" ca="1" si="192"/>
        <v>1.7252551029587133E-2</v>
      </c>
      <c r="BZ193" s="1">
        <f t="shared" ca="1" si="193"/>
        <v>0.54463471228235349</v>
      </c>
      <c r="CB193" s="1">
        <f t="shared" ca="1" si="194"/>
        <v>86</v>
      </c>
      <c r="CC193" s="1">
        <f t="shared" ca="1" si="195"/>
        <v>3</v>
      </c>
      <c r="CD193" s="1">
        <f t="shared" ca="1" si="196"/>
        <v>6.9439784007380378E-2</v>
      </c>
      <c r="CE193" s="1">
        <f t="shared" ca="1" si="218"/>
        <v>0.74295187971562426</v>
      </c>
      <c r="CF193" s="1">
        <f t="shared" ca="1" si="218"/>
        <v>0.59797453476360662</v>
      </c>
      <c r="CH193" s="3">
        <f t="shared" ca="1" si="198"/>
        <v>0.67059076964800823</v>
      </c>
      <c r="CI193" s="3">
        <f t="shared" ca="1" si="199"/>
        <v>0.93366260716545735</v>
      </c>
      <c r="CJ193" s="3">
        <f t="shared" ca="1" si="200"/>
        <v>896</v>
      </c>
      <c r="CK193" s="3">
        <f t="shared" ca="1" si="201"/>
        <v>3.404963994051578E-3</v>
      </c>
      <c r="CL193" s="3">
        <f t="shared" ca="1" si="202"/>
        <v>1</v>
      </c>
      <c r="CM193" s="3"/>
      <c r="CN193" s="1">
        <f t="shared" ca="1" si="203"/>
        <v>4.1560266786349143</v>
      </c>
      <c r="CO193" s="1">
        <f t="shared" ca="1" si="204"/>
        <v>0.25871564597264252</v>
      </c>
      <c r="CP193" s="1">
        <f t="shared" ca="1" si="205"/>
        <v>3</v>
      </c>
      <c r="CV193" s="1">
        <f t="shared" ca="1" si="206"/>
        <v>7.1111206568432834</v>
      </c>
      <c r="CW193" s="1">
        <f t="shared" ca="1" si="207"/>
        <v>618</v>
      </c>
      <c r="CX193" s="1">
        <f t="shared" ca="1" si="208"/>
        <v>7.2165040562671406E-3</v>
      </c>
      <c r="DH193" s="1">
        <f t="shared" ca="1" si="209"/>
        <v>699</v>
      </c>
      <c r="DI193" s="1">
        <f t="shared" ca="1" si="210"/>
        <v>0.42329056140696925</v>
      </c>
      <c r="DJ193" s="1">
        <f t="shared" ca="1" si="211"/>
        <v>14</v>
      </c>
      <c r="DL193" s="1">
        <f t="shared" ca="1" si="212"/>
        <v>0.11084376510538697</v>
      </c>
      <c r="DM193" s="1">
        <f t="shared" ca="1" si="213"/>
        <v>187</v>
      </c>
      <c r="DN193" s="1">
        <f t="shared" ca="1" si="214"/>
        <v>2</v>
      </c>
      <c r="DW193" s="1">
        <f t="shared" ca="1" si="215"/>
        <v>392</v>
      </c>
      <c r="DX193" s="1">
        <f t="shared" ca="1" si="216"/>
        <v>13</v>
      </c>
      <c r="DY193" s="1">
        <f t="shared" ca="1" si="217"/>
        <v>6</v>
      </c>
    </row>
    <row r="194" spans="2:129" x14ac:dyDescent="0.25">
      <c r="B194">
        <f t="shared" ca="1" si="147"/>
        <v>646</v>
      </c>
      <c r="C194">
        <f t="shared" ca="1" si="148"/>
        <v>36</v>
      </c>
      <c r="D194">
        <f t="shared" ca="1" si="149"/>
        <v>0.22340615978309228</v>
      </c>
      <c r="F194" s="1">
        <f t="shared" ca="1" si="150"/>
        <v>39</v>
      </c>
      <c r="G194" s="1">
        <f t="shared" ca="1" si="151"/>
        <v>14</v>
      </c>
      <c r="H194" s="1">
        <f t="shared" ca="1" si="152"/>
        <v>1</v>
      </c>
      <c r="I194" s="1"/>
      <c r="J194" s="1">
        <f t="shared" ca="1" si="153"/>
        <v>38</v>
      </c>
      <c r="K194" s="1">
        <f t="shared" ca="1" si="154"/>
        <v>1.3573784485225144</v>
      </c>
      <c r="L194" s="1">
        <f t="shared" ca="1" si="155"/>
        <v>22</v>
      </c>
      <c r="M194" s="1"/>
      <c r="N194" s="1">
        <f t="shared" ca="1" si="156"/>
        <v>267</v>
      </c>
      <c r="O194" s="1">
        <f t="shared" ca="1" si="157"/>
        <v>20</v>
      </c>
      <c r="P194" s="1"/>
      <c r="Q194" s="1">
        <f t="shared" ca="1" si="158"/>
        <v>1.9177557569458374</v>
      </c>
      <c r="R194" s="1">
        <f t="shared" ca="1" si="159"/>
        <v>698</v>
      </c>
      <c r="S194" s="1"/>
      <c r="T194" s="1">
        <f t="shared" ca="1" si="160"/>
        <v>0.12946509787882099</v>
      </c>
      <c r="U194" s="1">
        <f t="shared" ca="1" si="161"/>
        <v>213</v>
      </c>
      <c r="V194" s="1">
        <f t="shared" ca="1" si="162"/>
        <v>14</v>
      </c>
      <c r="W194" s="1"/>
      <c r="X194" s="1">
        <f t="shared" ca="1" si="163"/>
        <v>3.8027225615543183</v>
      </c>
      <c r="Y194" s="1">
        <f t="shared" ca="1" si="164"/>
        <v>0.34041099280050757</v>
      </c>
      <c r="Z194" s="1">
        <f t="shared" ca="1" si="165"/>
        <v>1014</v>
      </c>
      <c r="AB194" s="1">
        <f t="shared" ca="1" si="166"/>
        <v>0.95312306055280083</v>
      </c>
      <c r="AC194" s="1">
        <f t="shared" ca="1" si="167"/>
        <v>194</v>
      </c>
      <c r="AD194" s="1">
        <f t="shared" ca="1" si="168"/>
        <v>7.4998216924351815E-3</v>
      </c>
      <c r="AE194" s="1"/>
      <c r="AF194" s="1">
        <f t="shared" ca="1" si="169"/>
        <v>0.614501348498527</v>
      </c>
      <c r="AG194" s="1">
        <f t="shared" ca="1" si="170"/>
        <v>578</v>
      </c>
      <c r="AH194" s="1">
        <f t="shared" ca="1" si="171"/>
        <v>1.9757797765766819E-3</v>
      </c>
      <c r="AJ194" s="1">
        <f t="shared" ca="1" si="172"/>
        <v>0.64537343332576647</v>
      </c>
      <c r="AK194" s="1">
        <f t="shared" ca="1" si="173"/>
        <v>6.2567963283177803E-3</v>
      </c>
      <c r="AL194" s="1"/>
      <c r="AM194" s="1">
        <f t="shared" ca="1" si="174"/>
        <v>0.16539408483745643</v>
      </c>
      <c r="AN194" s="1">
        <f t="shared" ca="1" si="175"/>
        <v>34</v>
      </c>
      <c r="AO194" s="1">
        <f t="shared" ca="1" si="176"/>
        <v>6</v>
      </c>
      <c r="AQ194" s="1">
        <f t="shared" ca="1" si="177"/>
        <v>180</v>
      </c>
      <c r="AR194" s="1">
        <f t="shared" ca="1" si="178"/>
        <v>5</v>
      </c>
      <c r="AS194" s="1">
        <f t="shared" ca="1" si="179"/>
        <v>10</v>
      </c>
      <c r="AU194" s="1">
        <f t="shared" ca="1" si="180"/>
        <v>150</v>
      </c>
      <c r="AV194" s="1">
        <f t="shared" ca="1" si="181"/>
        <v>7</v>
      </c>
      <c r="AW194" s="1">
        <f t="shared" ca="1" si="182"/>
        <v>0.143210320916422</v>
      </c>
      <c r="AY194" s="1">
        <f t="shared" ca="1" si="183"/>
        <v>1.2173584935563972</v>
      </c>
      <c r="AZ194" s="1">
        <f t="shared" ca="1" si="184"/>
        <v>108</v>
      </c>
      <c r="BA194" s="1">
        <f t="shared" ca="1" si="185"/>
        <v>6.42970349713296E-3</v>
      </c>
      <c r="BG194" s="1">
        <f t="shared" ca="1" si="186"/>
        <v>0.9197202079715564</v>
      </c>
      <c r="BH194" s="1">
        <f t="shared" ca="1" si="187"/>
        <v>0.9107713251592866</v>
      </c>
      <c r="BI194" s="1">
        <f t="shared" ca="1" si="188"/>
        <v>205</v>
      </c>
      <c r="BV194" s="1">
        <f t="shared" ca="1" si="189"/>
        <v>0.42287670857249543</v>
      </c>
      <c r="BW194" s="1">
        <f t="shared" ca="1" si="190"/>
        <v>988</v>
      </c>
      <c r="BX194" s="1">
        <f t="shared" ca="1" si="191"/>
        <v>7.2008774273824372E-3</v>
      </c>
      <c r="BY194" s="1">
        <f t="shared" ca="1" si="192"/>
        <v>6.712874429039084E-2</v>
      </c>
      <c r="BZ194" s="1">
        <f t="shared" ca="1" si="193"/>
        <v>0.68751345376775619</v>
      </c>
      <c r="CB194" s="1">
        <f t="shared" ca="1" si="194"/>
        <v>159</v>
      </c>
      <c r="CC194" s="1">
        <f t="shared" ca="1" si="195"/>
        <v>11</v>
      </c>
      <c r="CD194" s="1">
        <f t="shared" ca="1" si="196"/>
        <v>1.9147853217242092E-2</v>
      </c>
      <c r="CE194" s="1">
        <f t="shared" ca="1" si="218"/>
        <v>0.99197222394709228</v>
      </c>
      <c r="CF194" s="1">
        <f t="shared" ca="1" si="218"/>
        <v>0.57882589988251498</v>
      </c>
      <c r="CH194" s="3">
        <f t="shared" ca="1" si="198"/>
        <v>0.7379901966458412</v>
      </c>
      <c r="CI194" s="3">
        <f t="shared" ca="1" si="199"/>
        <v>0.94716184371302803</v>
      </c>
      <c r="CJ194" s="3">
        <f t="shared" ca="1" si="200"/>
        <v>410</v>
      </c>
      <c r="CK194" s="3">
        <f t="shared" ca="1" si="201"/>
        <v>8.4494730694081761E-3</v>
      </c>
      <c r="CL194" s="3">
        <f t="shared" ca="1" si="202"/>
        <v>0</v>
      </c>
      <c r="CM194" s="3"/>
      <c r="CN194" s="1">
        <f t="shared" ca="1" si="203"/>
        <v>7.3483917151626343</v>
      </c>
      <c r="CO194" s="1">
        <f t="shared" ca="1" si="204"/>
        <v>0.28070242655057859</v>
      </c>
      <c r="CP194" s="1">
        <f t="shared" ca="1" si="205"/>
        <v>5</v>
      </c>
      <c r="CV194" s="1">
        <f t="shared" ca="1" si="206"/>
        <v>3.8829821471632511</v>
      </c>
      <c r="CW194" s="1">
        <f t="shared" ca="1" si="207"/>
        <v>240</v>
      </c>
      <c r="CX194" s="1">
        <f t="shared" ca="1" si="208"/>
        <v>2.2090240407985091E-3</v>
      </c>
      <c r="DH194" s="1">
        <f t="shared" ca="1" si="209"/>
        <v>216</v>
      </c>
      <c r="DI194" s="1">
        <f t="shared" ca="1" si="210"/>
        <v>0.66118022900013051</v>
      </c>
      <c r="DJ194" s="1">
        <f t="shared" ca="1" si="211"/>
        <v>20</v>
      </c>
      <c r="DL194" s="1">
        <f t="shared" ca="1" si="212"/>
        <v>9.9583800744601936E-2</v>
      </c>
      <c r="DM194" s="1">
        <f t="shared" ca="1" si="213"/>
        <v>78</v>
      </c>
      <c r="DN194" s="1">
        <f t="shared" ca="1" si="214"/>
        <v>3</v>
      </c>
      <c r="DW194" s="1">
        <f t="shared" ca="1" si="215"/>
        <v>259</v>
      </c>
      <c r="DX194" s="1">
        <f t="shared" ca="1" si="216"/>
        <v>5</v>
      </c>
      <c r="DY194" s="1">
        <f t="shared" ca="1" si="217"/>
        <v>7</v>
      </c>
    </row>
    <row r="195" spans="2:129" x14ac:dyDescent="0.25">
      <c r="B195">
        <f t="shared" ca="1" si="147"/>
        <v>544</v>
      </c>
      <c r="C195">
        <f t="shared" ca="1" si="148"/>
        <v>39</v>
      </c>
      <c r="D195">
        <f t="shared" ca="1" si="149"/>
        <v>0.16715595344877496</v>
      </c>
      <c r="F195" s="1">
        <f t="shared" ca="1" si="150"/>
        <v>35</v>
      </c>
      <c r="G195" s="1">
        <f t="shared" ca="1" si="151"/>
        <v>30</v>
      </c>
      <c r="H195" s="1">
        <f t="shared" ca="1" si="152"/>
        <v>14</v>
      </c>
      <c r="I195" s="1"/>
      <c r="J195" s="1">
        <f t="shared" ca="1" si="153"/>
        <v>26</v>
      </c>
      <c r="K195" s="1">
        <f t="shared" ca="1" si="154"/>
        <v>1.8116985400335608</v>
      </c>
      <c r="L195" s="1">
        <f t="shared" ca="1" si="155"/>
        <v>23</v>
      </c>
      <c r="M195" s="1"/>
      <c r="N195" s="1">
        <f t="shared" ca="1" si="156"/>
        <v>962</v>
      </c>
      <c r="O195" s="1">
        <f t="shared" ca="1" si="157"/>
        <v>41</v>
      </c>
      <c r="P195" s="1"/>
      <c r="Q195" s="1">
        <f t="shared" ca="1" si="158"/>
        <v>3.9391299801479103</v>
      </c>
      <c r="R195" s="1">
        <f t="shared" ca="1" si="159"/>
        <v>902</v>
      </c>
      <c r="S195" s="1"/>
      <c r="T195" s="1">
        <f t="shared" ca="1" si="160"/>
        <v>4.4602119433782471E-2</v>
      </c>
      <c r="U195" s="1">
        <f t="shared" ca="1" si="161"/>
        <v>394</v>
      </c>
      <c r="V195" s="1">
        <f t="shared" ca="1" si="162"/>
        <v>18</v>
      </c>
      <c r="W195" s="1"/>
      <c r="X195" s="1">
        <f t="shared" ca="1" si="163"/>
        <v>7.5023595957122531</v>
      </c>
      <c r="Y195" s="1">
        <f t="shared" ca="1" si="164"/>
        <v>1.9711573547771706E-2</v>
      </c>
      <c r="Z195" s="1">
        <f t="shared" ca="1" si="165"/>
        <v>830</v>
      </c>
      <c r="AB195" s="1">
        <f t="shared" ca="1" si="166"/>
        <v>0.88297570629275712</v>
      </c>
      <c r="AC195" s="1">
        <f t="shared" ca="1" si="167"/>
        <v>605</v>
      </c>
      <c r="AD195" s="1">
        <f t="shared" ca="1" si="168"/>
        <v>2.1921270787685857E-3</v>
      </c>
      <c r="AE195" s="1"/>
      <c r="AF195" s="1">
        <f t="shared" ca="1" si="169"/>
        <v>0.36423582760375384</v>
      </c>
      <c r="AG195" s="1">
        <f t="shared" ca="1" si="170"/>
        <v>178</v>
      </c>
      <c r="AH195" s="1">
        <f t="shared" ca="1" si="171"/>
        <v>4.5481371907396774E-3</v>
      </c>
      <c r="AJ195" s="1">
        <f t="shared" ca="1" si="172"/>
        <v>0.63684697171453941</v>
      </c>
      <c r="AK195" s="1">
        <f t="shared" ca="1" si="173"/>
        <v>1.0669854101330169E-3</v>
      </c>
      <c r="AL195" s="1"/>
      <c r="AM195" s="1">
        <f t="shared" ca="1" si="174"/>
        <v>0.17495430711868104</v>
      </c>
      <c r="AN195" s="1">
        <f t="shared" ca="1" si="175"/>
        <v>20</v>
      </c>
      <c r="AO195" s="1">
        <f t="shared" ca="1" si="176"/>
        <v>1</v>
      </c>
      <c r="AQ195" s="1">
        <f t="shared" ca="1" si="177"/>
        <v>84</v>
      </c>
      <c r="AR195" s="1">
        <f t="shared" ca="1" si="178"/>
        <v>6</v>
      </c>
      <c r="AS195" s="1">
        <f t="shared" ca="1" si="179"/>
        <v>21</v>
      </c>
      <c r="AU195" s="1">
        <f t="shared" ca="1" si="180"/>
        <v>295</v>
      </c>
      <c r="AV195" s="1">
        <f t="shared" ca="1" si="181"/>
        <v>7</v>
      </c>
      <c r="AW195" s="1">
        <f t="shared" ca="1" si="182"/>
        <v>0.18555750227890294</v>
      </c>
      <c r="AY195" s="1">
        <f t="shared" ca="1" si="183"/>
        <v>1.7895819537994471</v>
      </c>
      <c r="AZ195" s="1">
        <f t="shared" ca="1" si="184"/>
        <v>232</v>
      </c>
      <c r="BA195" s="1">
        <f t="shared" ca="1" si="185"/>
        <v>9.4209386789427946E-3</v>
      </c>
      <c r="BG195" s="1">
        <f t="shared" ca="1" si="186"/>
        <v>0.12598896580144273</v>
      </c>
      <c r="BH195" s="1">
        <f t="shared" ca="1" si="187"/>
        <v>0.45275909417859928</v>
      </c>
      <c r="BI195" s="1">
        <f t="shared" ca="1" si="188"/>
        <v>460</v>
      </c>
      <c r="BV195" s="1">
        <f t="shared" ca="1" si="189"/>
        <v>0.74386142547329293</v>
      </c>
      <c r="BW195" s="1">
        <f t="shared" ca="1" si="190"/>
        <v>570</v>
      </c>
      <c r="BX195" s="1">
        <f t="shared" ca="1" si="191"/>
        <v>7.9401361906953245E-3</v>
      </c>
      <c r="BY195" s="1">
        <f t="shared" ca="1" si="192"/>
        <v>9.1880942774897376E-2</v>
      </c>
      <c r="BZ195" s="1">
        <f t="shared" ca="1" si="193"/>
        <v>0.81658826059090317</v>
      </c>
      <c r="CB195" s="1">
        <f t="shared" ca="1" si="194"/>
        <v>353</v>
      </c>
      <c r="CC195" s="1">
        <f t="shared" ca="1" si="195"/>
        <v>10</v>
      </c>
      <c r="CD195" s="1">
        <f t="shared" ca="1" si="196"/>
        <v>0.23611923263548798</v>
      </c>
      <c r="CE195" s="1">
        <f t="shared" ca="1" si="218"/>
        <v>0.67566851317784615</v>
      </c>
      <c r="CF195" s="1">
        <f t="shared" ca="1" si="218"/>
        <v>0.95423795838825098</v>
      </c>
      <c r="CH195" s="3">
        <f t="shared" ca="1" si="198"/>
        <v>0.25012354836901107</v>
      </c>
      <c r="CI195" s="3">
        <f t="shared" ca="1" si="199"/>
        <v>0.33883836281804303</v>
      </c>
      <c r="CJ195" s="3">
        <f t="shared" ca="1" si="200"/>
        <v>884</v>
      </c>
      <c r="CK195" s="3">
        <f t="shared" ca="1" si="201"/>
        <v>6.2448828374561116E-3</v>
      </c>
      <c r="CL195" s="3">
        <f t="shared" ca="1" si="202"/>
        <v>0</v>
      </c>
      <c r="CM195" s="3"/>
      <c r="CN195" s="1">
        <f t="shared" ca="1" si="203"/>
        <v>7.4417223656599969</v>
      </c>
      <c r="CO195" s="1">
        <f t="shared" ca="1" si="204"/>
        <v>0.44071067669167063</v>
      </c>
      <c r="CP195" s="1">
        <f t="shared" ca="1" si="205"/>
        <v>2</v>
      </c>
      <c r="CV195" s="1">
        <f t="shared" ca="1" si="206"/>
        <v>2.7507288981613995</v>
      </c>
      <c r="CW195" s="1">
        <f t="shared" ca="1" si="207"/>
        <v>560</v>
      </c>
      <c r="CX195" s="1">
        <f t="shared" ca="1" si="208"/>
        <v>9.3310873590925405E-3</v>
      </c>
      <c r="DH195" s="1">
        <f t="shared" ca="1" si="209"/>
        <v>370</v>
      </c>
      <c r="DI195" s="1">
        <f t="shared" ca="1" si="210"/>
        <v>0.83267868196086603</v>
      </c>
      <c r="DJ195" s="1">
        <f t="shared" ca="1" si="211"/>
        <v>23</v>
      </c>
      <c r="DL195" s="1">
        <f t="shared" ca="1" si="212"/>
        <v>5.6460392985436932E-2</v>
      </c>
      <c r="DM195" s="1">
        <f t="shared" ca="1" si="213"/>
        <v>99</v>
      </c>
      <c r="DN195" s="1">
        <f t="shared" ca="1" si="214"/>
        <v>7</v>
      </c>
      <c r="DW195" s="1">
        <f t="shared" ca="1" si="215"/>
        <v>140</v>
      </c>
      <c r="DX195" s="1">
        <f t="shared" ca="1" si="216"/>
        <v>13</v>
      </c>
      <c r="DY195" s="1">
        <f t="shared" ca="1" si="217"/>
        <v>7</v>
      </c>
    </row>
    <row r="196" spans="2:129" x14ac:dyDescent="0.25">
      <c r="B196">
        <f t="shared" ref="B196:B202" ca="1" si="219">RANDBETWEEN(15,1000)</f>
        <v>424</v>
      </c>
      <c r="C196">
        <f t="shared" ref="C196:C202" ca="1" si="220">RANDBETWEEN(2,52)</f>
        <v>2</v>
      </c>
      <c r="D196">
        <f t="shared" ref="D196:D202" ca="1" si="221">RAND()*(0.3-0.01)+0.01</f>
        <v>4.1321029974615328E-2</v>
      </c>
      <c r="F196" s="1">
        <f t="shared" ref="F196:F202" ca="1" si="222">RANDBETWEEN(2,52)</f>
        <v>4</v>
      </c>
      <c r="G196" s="1">
        <f t="shared" ref="G196:G202" ca="1" si="223">RANDBETWEEN(2,30)</f>
        <v>21</v>
      </c>
      <c r="H196" s="1">
        <f t="shared" ref="H196:H202" ca="1" si="224">RANDBETWEEN(1,15)</f>
        <v>4</v>
      </c>
      <c r="I196" s="1"/>
      <c r="J196" s="1">
        <f t="shared" ref="J196:J202" ca="1" si="225">RANDBETWEEN(1,39)</f>
        <v>2</v>
      </c>
      <c r="K196" s="1">
        <f t="shared" ref="K196:K202" ca="1" si="226">RAND()*(3-1)+1</f>
        <v>1.3288541234016091</v>
      </c>
      <c r="L196" s="1">
        <f t="shared" ref="L196:L202" ca="1" si="227">RANDBETWEEN(2,35)</f>
        <v>35</v>
      </c>
      <c r="M196" s="1"/>
      <c r="N196" s="1">
        <f t="shared" ref="N196:N202" ca="1" si="228">RANDBETWEEN(15,1000)</f>
        <v>317</v>
      </c>
      <c r="O196" s="1">
        <f t="shared" ref="O196:O202" ca="1" si="229">RANDBETWEEN(2,52)</f>
        <v>2</v>
      </c>
      <c r="P196" s="1"/>
      <c r="Q196" s="1">
        <f t="shared" ref="Q196:Q202" ca="1" si="230">RAND()*(5-0.01)+0.01</f>
        <v>2.0065083569932787</v>
      </c>
      <c r="R196" s="1">
        <f t="shared" ref="R196:R202" ca="1" si="231">RANDBETWEEN(200,1200)</f>
        <v>279</v>
      </c>
      <c r="S196" s="1"/>
      <c r="T196" s="1">
        <f t="shared" ref="T196:T202" ca="1" si="232">RAND()*(0.2-0.01)+0.01</f>
        <v>4.144816196381803E-2</v>
      </c>
      <c r="U196" s="1">
        <f t="shared" ref="U196:U202" ca="1" si="233">RANDBETWEEN(50,450)</f>
        <v>244</v>
      </c>
      <c r="V196" s="1">
        <f t="shared" ref="V196:V202" ca="1" si="234">RANDBETWEEN(2,52)</f>
        <v>41</v>
      </c>
      <c r="W196" s="1"/>
      <c r="X196" s="1">
        <f t="shared" ref="X196:X202" ca="1" si="235">RAND()*(10-0.01)+0.01</f>
        <v>4.9684765802619051</v>
      </c>
      <c r="Y196" s="1">
        <f t="shared" ref="Y196:Y202" ca="1" si="236">RAND()*(1-0.0001)+0.0001</f>
        <v>0.71598356419889908</v>
      </c>
      <c r="Z196" s="1">
        <f t="shared" ref="Z196:Z202" ca="1" si="237">RANDBETWEEN(100,2000)</f>
        <v>1446</v>
      </c>
      <c r="AB196" s="1">
        <f t="shared" ref="AB196:AB202" ca="1" si="238">RAND()*(1-0.0001)+0.0001</f>
        <v>0.63160401382056275</v>
      </c>
      <c r="AC196" s="1">
        <f t="shared" ref="AC196:AC202" ca="1" si="239">RANDBETWEEN(100,1000)</f>
        <v>231</v>
      </c>
      <c r="AD196" s="1">
        <f t="shared" ref="AD196:AD202" ca="1" si="240">RAND()*(0.01-0.00001)+0.00001</f>
        <v>2.3190663728283891E-3</v>
      </c>
      <c r="AE196" s="1"/>
      <c r="AF196" s="1">
        <f t="shared" ref="AF196:AF202" ca="1" si="241">RAND()*(0.9-0.1)+0.1</f>
        <v>0.22964924220146798</v>
      </c>
      <c r="AG196" s="1">
        <f t="shared" ref="AG196:AG202" ca="1" si="242">RANDBETWEEN(100,1000)</f>
        <v>993</v>
      </c>
      <c r="AH196" s="1">
        <f t="shared" ref="AH196:AH202" ca="1" si="243">RAND()*(0.01-0.00001)+0.00001</f>
        <v>5.3173559990890868E-3</v>
      </c>
      <c r="AJ196" s="1">
        <f t="shared" ref="AJ196:AJ202" ca="1" si="244">RAND()*(1-0)+0</f>
        <v>0.24082468419818515</v>
      </c>
      <c r="AK196" s="1">
        <f t="shared" ref="AK196:AK202" ca="1" si="245">RAND()*(0.01-0.00001)+0.00001</f>
        <v>8.3218297210269562E-3</v>
      </c>
      <c r="AL196" s="1"/>
      <c r="AM196" s="1">
        <f t="shared" ref="AM196:AM202" ca="1" si="246">RAND()*(0.2-0.005)+0.005</f>
        <v>0.10125645783101858</v>
      </c>
      <c r="AN196" s="1">
        <f t="shared" ref="AN196:AN202" ca="1" si="247">RANDBETWEEN(10,80)</f>
        <v>27</v>
      </c>
      <c r="AO196" s="1">
        <f t="shared" ref="AO196:AO202" ca="1" si="248">RANDBETWEEN(-1,20)</f>
        <v>10</v>
      </c>
      <c r="AQ196" s="1">
        <f t="shared" ref="AQ196:AQ202" ca="1" si="249">RANDBETWEEN(10,200)</f>
        <v>189</v>
      </c>
      <c r="AR196" s="1">
        <f t="shared" ref="AR196:AR202" ca="1" si="250">RANDBETWEEN(0,10)</f>
        <v>0</v>
      </c>
      <c r="AS196" s="1">
        <f t="shared" ref="AS196:AS202" ca="1" si="251">RANDBETWEEN(1,100)</f>
        <v>97</v>
      </c>
      <c r="AU196" s="1">
        <f t="shared" ref="AU196:AU202" ca="1" si="252">RANDBETWEEN(50,400)</f>
        <v>371</v>
      </c>
      <c r="AV196" s="1">
        <f t="shared" ref="AV196:AV202" ca="1" si="253">RANDBETWEEN(2,10)</f>
        <v>9</v>
      </c>
      <c r="AW196" s="1">
        <f t="shared" ref="AW196:AW202" ca="1" si="254">RAND()*(0.2-0.01)+0.01</f>
        <v>0.12215247009133377</v>
      </c>
      <c r="AY196" s="1">
        <f t="shared" ref="AY196:AY202" ca="1" si="255">RAND()*(2-1.1)+1.1</f>
        <v>1.1722884668220706</v>
      </c>
      <c r="AZ196" s="1">
        <f t="shared" ref="AZ196:AZ202" ca="1" si="256">RANDBETWEEN(50,500)</f>
        <v>72</v>
      </c>
      <c r="BA196" s="1">
        <f t="shared" ref="BA196:BA202" ca="1" si="257">RAND()*(0.01-0.00001)+0.00001</f>
        <v>6.9879116893539631E-3</v>
      </c>
      <c r="BG196" s="1">
        <f t="shared" ref="BG196:BG202" ca="1" si="258">RAND()*(1-0.0001)+0.0001</f>
        <v>0.62390584487336642</v>
      </c>
      <c r="BH196" s="1">
        <f t="shared" ref="BH196:BH202" ca="1" si="259">RAND()*(1-0)+0</f>
        <v>0.33393938979672944</v>
      </c>
      <c r="BI196" s="1">
        <f t="shared" ref="BI196:BI202" ca="1" si="260">RANDBETWEEN(100,1000)</f>
        <v>577</v>
      </c>
      <c r="BV196" s="1">
        <f t="shared" ref="BV196:BV202" ca="1" si="261">RAND()*(1-0.0001)+0.0001</f>
        <v>0.95498675771525454</v>
      </c>
      <c r="BW196" s="1">
        <f t="shared" ref="BW196:BW202" ca="1" si="262">RANDBETWEEN(100,1000)</f>
        <v>354</v>
      </c>
      <c r="BX196" s="1">
        <f t="shared" ref="BX196:BX202" ca="1" si="263">RAND()*(0.01-0.00001)+0.00001</f>
        <v>2.9240967068956099E-3</v>
      </c>
      <c r="BY196" s="1">
        <f t="shared" ref="BY196:BY202" ca="1" si="264">RAND()*(0.1-0.0001)+0.0001</f>
        <v>3.8160671866734878E-2</v>
      </c>
      <c r="BZ196" s="1">
        <f t="shared" ref="BZ196:BZ202" ca="1" si="265">RAND()*(1-0)+0</f>
        <v>0.2759130167862599</v>
      </c>
      <c r="CB196" s="1">
        <f t="shared" ref="CB196:CB202" ca="1" si="266">RANDBETWEEN(50,500)</f>
        <v>174</v>
      </c>
      <c r="CC196" s="1">
        <f t="shared" ref="CC196:CC202" ca="1" si="267">RANDBETWEEN(3,15)</f>
        <v>13</v>
      </c>
      <c r="CD196" s="1">
        <f t="shared" ref="CD196:CD202" ca="1" si="268">RAND()*(0.3-0.01)+0.01</f>
        <v>0.2813605617731515</v>
      </c>
      <c r="CE196" s="1">
        <f t="shared" ca="1" si="218"/>
        <v>0.92514218697953188</v>
      </c>
      <c r="CF196" s="1">
        <f t="shared" ca="1" si="218"/>
        <v>0.79129345383084337</v>
      </c>
      <c r="CH196" s="3">
        <f t="shared" ref="CH196:CH202" ca="1" si="269">RAND()*(1-0.0001)+0.0001</f>
        <v>0.5037647434356034</v>
      </c>
      <c r="CI196" s="3">
        <f t="shared" ref="CI196:CI202" ca="1" si="270">RAND()*(0.99-0.01)+0.01</f>
        <v>0.41513970845054754</v>
      </c>
      <c r="CJ196" s="3">
        <f t="shared" ref="CJ196:CJ202" ca="1" si="271">RANDBETWEEN(100,2000)</f>
        <v>941</v>
      </c>
      <c r="CK196" s="3">
        <f t="shared" ref="CK196:CK202" ca="1" si="272">RAND()*(0.01-0.000001)+0.000001</f>
        <v>1.6658430671215184E-3</v>
      </c>
      <c r="CL196" s="3">
        <f t="shared" ref="CL196:CL202" ca="1" si="273">RANDBETWEEN(0,1)</f>
        <v>1</v>
      </c>
      <c r="CM196" s="3"/>
      <c r="CN196" s="1">
        <f t="shared" ref="CN196:CN202" ca="1" si="274">RAND()*(20-0.1)+0.1</f>
        <v>6.6850486312025472</v>
      </c>
      <c r="CO196" s="1">
        <f t="shared" ref="CO196:CO202" ca="1" si="275">RAND()*(0.5-0.001)+0.001</f>
        <v>0.41946015395025027</v>
      </c>
      <c r="CP196" s="1">
        <f t="shared" ref="CP196:CP202" ca="1" si="276">RANDBETWEEN(1,5)</f>
        <v>4</v>
      </c>
      <c r="CV196" s="1">
        <f t="shared" ref="CV196:CV202" ca="1" si="277">RAND()*(10-0.0001)+0.0001</f>
        <v>5.4109150300208739</v>
      </c>
      <c r="CW196" s="1">
        <f t="shared" ref="CW196:CW202" ca="1" si="278">RANDBETWEEN(100,2000)</f>
        <v>240</v>
      </c>
      <c r="CX196" s="1">
        <f t="shared" ref="CX196:CX202" ca="1" si="279">RAND()*(0.01-0.000001)+0.000001</f>
        <v>4.4687799517860206E-3</v>
      </c>
      <c r="DH196" s="1">
        <f t="shared" ref="DH196:DH202" ca="1" si="280">RANDBETWEEN(10,900)</f>
        <v>496</v>
      </c>
      <c r="DI196" s="1">
        <f t="shared" ref="DI196:DI202" ca="1" si="281">RAND()*(1-0.001)+0.001</f>
        <v>0.23475326828253867</v>
      </c>
      <c r="DJ196" s="1">
        <f t="shared" ref="DJ196:DJ202" ca="1" si="282">RANDBETWEEN(1,30)</f>
        <v>12</v>
      </c>
      <c r="DL196" s="1">
        <f t="shared" ref="DL196:DL202" ca="1" si="283">RAND()*(0.2-0.01)+0.01</f>
        <v>0.17890388089115436</v>
      </c>
      <c r="DM196" s="1">
        <f t="shared" ref="DM196:DM202" ca="1" si="284">RANDBETWEEN(50,300)</f>
        <v>257</v>
      </c>
      <c r="DN196" s="1">
        <f t="shared" ref="DN196:DN202" ca="1" si="285">RANDBETWEEN(1,10)</f>
        <v>10</v>
      </c>
      <c r="DW196" s="1">
        <f t="shared" ref="DW196:DW202" ca="1" si="286">RANDBETWEEN(50,500)</f>
        <v>227</v>
      </c>
      <c r="DX196" s="1">
        <f t="shared" ref="DX196:DX202" ca="1" si="287">RANDBETWEEN(3,20)</f>
        <v>11</v>
      </c>
      <c r="DY196" s="1">
        <f t="shared" ref="DY196:DY202" ca="1" si="288">RANDBETWEEN(2,20)</f>
        <v>17</v>
      </c>
    </row>
    <row r="197" spans="2:129" x14ac:dyDescent="0.25">
      <c r="B197">
        <f t="shared" ca="1" si="219"/>
        <v>380</v>
      </c>
      <c r="C197">
        <f t="shared" ca="1" si="220"/>
        <v>6</v>
      </c>
      <c r="D197">
        <f t="shared" ca="1" si="221"/>
        <v>0.27430530131765751</v>
      </c>
      <c r="F197" s="1">
        <f t="shared" ca="1" si="222"/>
        <v>45</v>
      </c>
      <c r="G197" s="1">
        <f t="shared" ca="1" si="223"/>
        <v>13</v>
      </c>
      <c r="H197" s="1">
        <f t="shared" ca="1" si="224"/>
        <v>9</v>
      </c>
      <c r="I197" s="1"/>
      <c r="J197" s="1">
        <f t="shared" ca="1" si="225"/>
        <v>8</v>
      </c>
      <c r="K197" s="1">
        <f t="shared" ca="1" si="226"/>
        <v>2.6442162000573988</v>
      </c>
      <c r="L197" s="1">
        <f t="shared" ca="1" si="227"/>
        <v>35</v>
      </c>
      <c r="M197" s="1"/>
      <c r="N197" s="1">
        <f t="shared" ca="1" si="228"/>
        <v>278</v>
      </c>
      <c r="O197" s="1">
        <f t="shared" ca="1" si="229"/>
        <v>15</v>
      </c>
      <c r="P197" s="1"/>
      <c r="Q197" s="1">
        <f t="shared" ca="1" si="230"/>
        <v>3.9518256936787979</v>
      </c>
      <c r="R197" s="1">
        <f t="shared" ca="1" si="231"/>
        <v>810</v>
      </c>
      <c r="S197" s="1"/>
      <c r="T197" s="1">
        <f t="shared" ca="1" si="232"/>
        <v>0.10406227642132888</v>
      </c>
      <c r="U197" s="1">
        <f t="shared" ca="1" si="233"/>
        <v>159</v>
      </c>
      <c r="V197" s="1">
        <f t="shared" ca="1" si="234"/>
        <v>5</v>
      </c>
      <c r="W197" s="1"/>
      <c r="X197" s="1">
        <f t="shared" ca="1" si="235"/>
        <v>9.6132579130763904</v>
      </c>
      <c r="Y197" s="1">
        <f t="shared" ca="1" si="236"/>
        <v>0.79981114097724171</v>
      </c>
      <c r="Z197" s="1">
        <f t="shared" ca="1" si="237"/>
        <v>1875</v>
      </c>
      <c r="AB197" s="1">
        <f t="shared" ca="1" si="238"/>
        <v>0.79987968722809288</v>
      </c>
      <c r="AC197" s="1">
        <f t="shared" ca="1" si="239"/>
        <v>208</v>
      </c>
      <c r="AD197" s="1">
        <f t="shared" ca="1" si="240"/>
        <v>4.3467657113212422E-3</v>
      </c>
      <c r="AE197" s="1"/>
      <c r="AF197" s="1">
        <f t="shared" ca="1" si="241"/>
        <v>0.79158683205985614</v>
      </c>
      <c r="AG197" s="1">
        <f t="shared" ca="1" si="242"/>
        <v>967</v>
      </c>
      <c r="AH197" s="1">
        <f t="shared" ca="1" si="243"/>
        <v>9.4587253532347534E-3</v>
      </c>
      <c r="AJ197" s="1">
        <f t="shared" ca="1" si="244"/>
        <v>4.9311831365782655E-2</v>
      </c>
      <c r="AK197" s="1">
        <f t="shared" ca="1" si="245"/>
        <v>5.6595672058377339E-3</v>
      </c>
      <c r="AL197" s="1"/>
      <c r="AM197" s="1">
        <f t="shared" ca="1" si="246"/>
        <v>4.522003477239344E-2</v>
      </c>
      <c r="AN197" s="1">
        <f t="shared" ca="1" si="247"/>
        <v>34</v>
      </c>
      <c r="AO197" s="1">
        <f t="shared" ca="1" si="248"/>
        <v>14</v>
      </c>
      <c r="AQ197" s="1">
        <f t="shared" ca="1" si="249"/>
        <v>130</v>
      </c>
      <c r="AR197" s="1">
        <f t="shared" ca="1" si="250"/>
        <v>5</v>
      </c>
      <c r="AS197" s="1">
        <f t="shared" ca="1" si="251"/>
        <v>86</v>
      </c>
      <c r="AU197" s="1">
        <f t="shared" ca="1" si="252"/>
        <v>335</v>
      </c>
      <c r="AV197" s="1">
        <f t="shared" ca="1" si="253"/>
        <v>7</v>
      </c>
      <c r="AW197" s="1">
        <f t="shared" ca="1" si="254"/>
        <v>0.14307368494759637</v>
      </c>
      <c r="AY197" s="1">
        <f t="shared" ca="1" si="255"/>
        <v>1.5939567676794519</v>
      </c>
      <c r="AZ197" s="1">
        <f t="shared" ca="1" si="256"/>
        <v>365</v>
      </c>
      <c r="BA197" s="1">
        <f t="shared" ca="1" si="257"/>
        <v>1.221109070253392E-3</v>
      </c>
      <c r="BG197" s="1">
        <f t="shared" ca="1" si="258"/>
        <v>0.91752616430473644</v>
      </c>
      <c r="BH197" s="1">
        <f t="shared" ca="1" si="259"/>
        <v>0.44865469579704598</v>
      </c>
      <c r="BI197" s="1">
        <f t="shared" ca="1" si="260"/>
        <v>325</v>
      </c>
      <c r="BV197" s="1">
        <f t="shared" ca="1" si="261"/>
        <v>0.14239540586006505</v>
      </c>
      <c r="BW197" s="1">
        <f t="shared" ca="1" si="262"/>
        <v>657</v>
      </c>
      <c r="BX197" s="1">
        <f t="shared" ca="1" si="263"/>
        <v>5.7885838246512361E-3</v>
      </c>
      <c r="BY197" s="1">
        <f t="shared" ca="1" si="264"/>
        <v>6.47359348440954E-2</v>
      </c>
      <c r="BZ197" s="1">
        <f t="shared" ca="1" si="265"/>
        <v>0.50897634618532106</v>
      </c>
      <c r="CB197" s="1">
        <f t="shared" ca="1" si="266"/>
        <v>415</v>
      </c>
      <c r="CC197" s="1">
        <f t="shared" ca="1" si="267"/>
        <v>13</v>
      </c>
      <c r="CD197" s="1">
        <f t="shared" ca="1" si="268"/>
        <v>0.17876517347958723</v>
      </c>
      <c r="CE197" s="1">
        <f t="shared" ca="1" si="218"/>
        <v>0.61747164900453666</v>
      </c>
      <c r="CF197" s="1">
        <f t="shared" ca="1" si="218"/>
        <v>0.56489334401882463</v>
      </c>
      <c r="CH197" s="3">
        <f t="shared" ca="1" si="269"/>
        <v>0.72304859888632345</v>
      </c>
      <c r="CI197" s="3">
        <f t="shared" ca="1" si="270"/>
        <v>0.37025443851625062</v>
      </c>
      <c r="CJ197" s="3">
        <f t="shared" ca="1" si="271"/>
        <v>1847</v>
      </c>
      <c r="CK197" s="3">
        <f t="shared" ca="1" si="272"/>
        <v>4.3091121363581708E-3</v>
      </c>
      <c r="CL197" s="3">
        <f t="shared" ca="1" si="273"/>
        <v>1</v>
      </c>
      <c r="CM197" s="3"/>
      <c r="CN197" s="1">
        <f t="shared" ca="1" si="274"/>
        <v>4.2421947482881706</v>
      </c>
      <c r="CO197" s="1">
        <f t="shared" ca="1" si="275"/>
        <v>0.12987908763095415</v>
      </c>
      <c r="CP197" s="1">
        <f t="shared" ca="1" si="276"/>
        <v>3</v>
      </c>
      <c r="CV197" s="1">
        <f t="shared" ca="1" si="277"/>
        <v>6.7365217456070159</v>
      </c>
      <c r="CW197" s="1">
        <f t="shared" ca="1" si="278"/>
        <v>376</v>
      </c>
      <c r="CX197" s="1">
        <f t="shared" ca="1" si="279"/>
        <v>9.703737641415593E-3</v>
      </c>
      <c r="DH197" s="1">
        <f t="shared" ca="1" si="280"/>
        <v>113</v>
      </c>
      <c r="DI197" s="1">
        <f t="shared" ca="1" si="281"/>
        <v>0.33305201595253719</v>
      </c>
      <c r="DJ197" s="1">
        <f t="shared" ca="1" si="282"/>
        <v>11</v>
      </c>
      <c r="DL197" s="1">
        <f t="shared" ca="1" si="283"/>
        <v>0.13884465575280239</v>
      </c>
      <c r="DM197" s="1">
        <f t="shared" ca="1" si="284"/>
        <v>100</v>
      </c>
      <c r="DN197" s="1">
        <f t="shared" ca="1" si="285"/>
        <v>5</v>
      </c>
      <c r="DW197" s="1">
        <f t="shared" ca="1" si="286"/>
        <v>297</v>
      </c>
      <c r="DX197" s="1">
        <f t="shared" ca="1" si="287"/>
        <v>17</v>
      </c>
      <c r="DY197" s="1">
        <f t="shared" ca="1" si="288"/>
        <v>7</v>
      </c>
    </row>
    <row r="198" spans="2:129" x14ac:dyDescent="0.25">
      <c r="B198">
        <f t="shared" ca="1" si="219"/>
        <v>554</v>
      </c>
      <c r="C198">
        <f t="shared" ca="1" si="220"/>
        <v>4</v>
      </c>
      <c r="D198">
        <f t="shared" ca="1" si="221"/>
        <v>0.2422045436138712</v>
      </c>
      <c r="F198" s="1">
        <f t="shared" ca="1" si="222"/>
        <v>11</v>
      </c>
      <c r="G198" s="1">
        <f t="shared" ca="1" si="223"/>
        <v>15</v>
      </c>
      <c r="H198" s="1">
        <f t="shared" ca="1" si="224"/>
        <v>15</v>
      </c>
      <c r="I198" s="1"/>
      <c r="J198" s="1">
        <f t="shared" ca="1" si="225"/>
        <v>34</v>
      </c>
      <c r="K198" s="1">
        <f t="shared" ca="1" si="226"/>
        <v>1.0711027560182338</v>
      </c>
      <c r="L198" s="1">
        <f t="shared" ca="1" si="227"/>
        <v>33</v>
      </c>
      <c r="M198" s="1"/>
      <c r="N198" s="1">
        <f t="shared" ca="1" si="228"/>
        <v>557</v>
      </c>
      <c r="O198" s="1">
        <f t="shared" ca="1" si="229"/>
        <v>47</v>
      </c>
      <c r="P198" s="1"/>
      <c r="Q198" s="1">
        <f t="shared" ca="1" si="230"/>
        <v>1.0725271683025892</v>
      </c>
      <c r="R198" s="1">
        <f t="shared" ca="1" si="231"/>
        <v>864</v>
      </c>
      <c r="S198" s="1"/>
      <c r="T198" s="1">
        <f t="shared" ca="1" si="232"/>
        <v>9.070185650581207E-2</v>
      </c>
      <c r="U198" s="1">
        <f t="shared" ca="1" si="233"/>
        <v>317</v>
      </c>
      <c r="V198" s="1">
        <f t="shared" ca="1" si="234"/>
        <v>13</v>
      </c>
      <c r="W198" s="1"/>
      <c r="X198" s="1">
        <f t="shared" ca="1" si="235"/>
        <v>1.0273318311197799</v>
      </c>
      <c r="Y198" s="1">
        <f t="shared" ca="1" si="236"/>
        <v>0.70456779003820413</v>
      </c>
      <c r="Z198" s="1">
        <f t="shared" ca="1" si="237"/>
        <v>453</v>
      </c>
      <c r="AB198" s="1">
        <f t="shared" ca="1" si="238"/>
        <v>0.81934611794299439</v>
      </c>
      <c r="AC198" s="1">
        <f t="shared" ca="1" si="239"/>
        <v>338</v>
      </c>
      <c r="AD198" s="1">
        <f t="shared" ca="1" si="240"/>
        <v>3.0518584619279869E-3</v>
      </c>
      <c r="AE198" s="1"/>
      <c r="AF198" s="1">
        <f t="shared" ca="1" si="241"/>
        <v>0.66233009617619898</v>
      </c>
      <c r="AG198" s="1">
        <f t="shared" ca="1" si="242"/>
        <v>427</v>
      </c>
      <c r="AH198" s="1">
        <f t="shared" ca="1" si="243"/>
        <v>3.6328097063659994E-3</v>
      </c>
      <c r="AJ198" s="1">
        <f t="shared" ca="1" si="244"/>
        <v>0.21794013364562759</v>
      </c>
      <c r="AK198" s="1">
        <f t="shared" ca="1" si="245"/>
        <v>8.2097113184457851E-3</v>
      </c>
      <c r="AL198" s="1"/>
      <c r="AM198" s="1">
        <f t="shared" ca="1" si="246"/>
        <v>2.7828192376212264E-2</v>
      </c>
      <c r="AN198" s="1">
        <f t="shared" ca="1" si="247"/>
        <v>57</v>
      </c>
      <c r="AO198" s="1">
        <f t="shared" ca="1" si="248"/>
        <v>2</v>
      </c>
      <c r="AQ198" s="1">
        <f t="shared" ca="1" si="249"/>
        <v>195</v>
      </c>
      <c r="AR198" s="1">
        <f t="shared" ca="1" si="250"/>
        <v>1</v>
      </c>
      <c r="AS198" s="1">
        <f t="shared" ca="1" si="251"/>
        <v>56</v>
      </c>
      <c r="AU198" s="1">
        <f t="shared" ca="1" si="252"/>
        <v>136</v>
      </c>
      <c r="AV198" s="1">
        <f t="shared" ca="1" si="253"/>
        <v>8</v>
      </c>
      <c r="AW198" s="1">
        <f t="shared" ca="1" si="254"/>
        <v>0.16839132809629154</v>
      </c>
      <c r="AY198" s="1">
        <f t="shared" ca="1" si="255"/>
        <v>1.3318988282958548</v>
      </c>
      <c r="AZ198" s="1">
        <f t="shared" ca="1" si="256"/>
        <v>191</v>
      </c>
      <c r="BA198" s="1">
        <f t="shared" ca="1" si="257"/>
        <v>7.7850013782480745E-4</v>
      </c>
      <c r="BG198" s="1">
        <f t="shared" ca="1" si="258"/>
        <v>0.48201241019420465</v>
      </c>
      <c r="BH198" s="1">
        <f t="shared" ca="1" si="259"/>
        <v>3.1467419570205379E-2</v>
      </c>
      <c r="BI198" s="1">
        <f t="shared" ca="1" si="260"/>
        <v>142</v>
      </c>
      <c r="BV198" s="1">
        <f t="shared" ca="1" si="261"/>
        <v>0.23579996865189573</v>
      </c>
      <c r="BW198" s="1">
        <f t="shared" ca="1" si="262"/>
        <v>147</v>
      </c>
      <c r="BX198" s="1">
        <f t="shared" ca="1" si="263"/>
        <v>3.4884777521815265E-3</v>
      </c>
      <c r="BY198" s="1">
        <f t="shared" ca="1" si="264"/>
        <v>6.5772854087116639E-2</v>
      </c>
      <c r="BZ198" s="1">
        <f t="shared" ca="1" si="265"/>
        <v>0.59821846435137538</v>
      </c>
      <c r="CB198" s="1">
        <f t="shared" ca="1" si="266"/>
        <v>420</v>
      </c>
      <c r="CC198" s="1">
        <f t="shared" ca="1" si="267"/>
        <v>9</v>
      </c>
      <c r="CD198" s="1">
        <f t="shared" ca="1" si="268"/>
        <v>0.23113445652804784</v>
      </c>
      <c r="CE198" s="1">
        <f t="shared" ca="1" si="218"/>
        <v>0.73442209618692722</v>
      </c>
      <c r="CF198" s="1">
        <f t="shared" ca="1" si="218"/>
        <v>0.56285688451088345</v>
      </c>
      <c r="CH198" s="3">
        <f t="shared" ca="1" si="269"/>
        <v>0.38079885647012596</v>
      </c>
      <c r="CI198" s="3">
        <f t="shared" ca="1" si="270"/>
        <v>0.50326054835966838</v>
      </c>
      <c r="CJ198" s="3">
        <f t="shared" ca="1" si="271"/>
        <v>600</v>
      </c>
      <c r="CK198" s="3">
        <f t="shared" ca="1" si="272"/>
        <v>7.6758518193194838E-3</v>
      </c>
      <c r="CL198" s="3">
        <f t="shared" ca="1" si="273"/>
        <v>0</v>
      </c>
      <c r="CM198" s="3"/>
      <c r="CN198" s="1">
        <f t="shared" ca="1" si="274"/>
        <v>7.7982153409612325</v>
      </c>
      <c r="CO198" s="1">
        <f t="shared" ca="1" si="275"/>
        <v>0.26534264732609092</v>
      </c>
      <c r="CP198" s="1">
        <f t="shared" ca="1" si="276"/>
        <v>5</v>
      </c>
      <c r="CV198" s="1">
        <f t="shared" ca="1" si="277"/>
        <v>1.5991405865405892</v>
      </c>
      <c r="CW198" s="1">
        <f t="shared" ca="1" si="278"/>
        <v>938</v>
      </c>
      <c r="CX198" s="1">
        <f t="shared" ca="1" si="279"/>
        <v>8.7285252704302069E-3</v>
      </c>
      <c r="DH198" s="1">
        <f t="shared" ca="1" si="280"/>
        <v>684</v>
      </c>
      <c r="DI198" s="1">
        <f t="shared" ca="1" si="281"/>
        <v>0.97866185729341848</v>
      </c>
      <c r="DJ198" s="1">
        <f t="shared" ca="1" si="282"/>
        <v>11</v>
      </c>
      <c r="DL198" s="1">
        <f t="shared" ca="1" si="283"/>
        <v>1.5196771042131118E-2</v>
      </c>
      <c r="DM198" s="1">
        <f t="shared" ca="1" si="284"/>
        <v>264</v>
      </c>
      <c r="DN198" s="1">
        <f t="shared" ca="1" si="285"/>
        <v>7</v>
      </c>
      <c r="DW198" s="1">
        <f t="shared" ca="1" si="286"/>
        <v>55</v>
      </c>
      <c r="DX198" s="1">
        <f t="shared" ca="1" si="287"/>
        <v>13</v>
      </c>
      <c r="DY198" s="1">
        <f t="shared" ca="1" si="288"/>
        <v>5</v>
      </c>
    </row>
    <row r="199" spans="2:129" x14ac:dyDescent="0.25">
      <c r="B199">
        <f t="shared" ca="1" si="219"/>
        <v>134</v>
      </c>
      <c r="C199">
        <f t="shared" ca="1" si="220"/>
        <v>5</v>
      </c>
      <c r="D199">
        <f t="shared" ca="1" si="221"/>
        <v>0.12431734289425875</v>
      </c>
      <c r="F199" s="1">
        <f t="shared" ca="1" si="222"/>
        <v>21</v>
      </c>
      <c r="G199" s="1">
        <f t="shared" ca="1" si="223"/>
        <v>27</v>
      </c>
      <c r="H199" s="1">
        <f t="shared" ca="1" si="224"/>
        <v>15</v>
      </c>
      <c r="I199" s="1"/>
      <c r="J199" s="1">
        <f t="shared" ca="1" si="225"/>
        <v>35</v>
      </c>
      <c r="K199" s="1">
        <f t="shared" ca="1" si="226"/>
        <v>2.6219640163250437</v>
      </c>
      <c r="L199" s="1">
        <f t="shared" ca="1" si="227"/>
        <v>35</v>
      </c>
      <c r="M199" s="1"/>
      <c r="N199" s="1">
        <f t="shared" ca="1" si="228"/>
        <v>912</v>
      </c>
      <c r="O199" s="1">
        <f t="shared" ca="1" si="229"/>
        <v>47</v>
      </c>
      <c r="P199" s="1"/>
      <c r="Q199" s="1">
        <f t="shared" ca="1" si="230"/>
        <v>2.742856281499884</v>
      </c>
      <c r="R199" s="1">
        <f t="shared" ca="1" si="231"/>
        <v>1071</v>
      </c>
      <c r="S199" s="1"/>
      <c r="T199" s="1">
        <f t="shared" ca="1" si="232"/>
        <v>0.10616839275496052</v>
      </c>
      <c r="U199" s="1">
        <f t="shared" ca="1" si="233"/>
        <v>165</v>
      </c>
      <c r="V199" s="1">
        <f t="shared" ca="1" si="234"/>
        <v>28</v>
      </c>
      <c r="W199" s="1"/>
      <c r="X199" s="1">
        <f t="shared" ca="1" si="235"/>
        <v>7.026974669266477</v>
      </c>
      <c r="Y199" s="1">
        <f t="shared" ca="1" si="236"/>
        <v>0.43727586499777671</v>
      </c>
      <c r="Z199" s="1">
        <f t="shared" ca="1" si="237"/>
        <v>367</v>
      </c>
      <c r="AB199" s="1">
        <f t="shared" ca="1" si="238"/>
        <v>0.84495598247445802</v>
      </c>
      <c r="AC199" s="1">
        <f t="shared" ca="1" si="239"/>
        <v>340</v>
      </c>
      <c r="AD199" s="1">
        <f t="shared" ca="1" si="240"/>
        <v>3.5575003501866153E-3</v>
      </c>
      <c r="AE199" s="1"/>
      <c r="AF199" s="1">
        <f t="shared" ca="1" si="241"/>
        <v>0.89880613456069958</v>
      </c>
      <c r="AG199" s="1">
        <f t="shared" ca="1" si="242"/>
        <v>301</v>
      </c>
      <c r="AH199" s="1">
        <f t="shared" ca="1" si="243"/>
        <v>8.1435068047750851E-3</v>
      </c>
      <c r="AJ199" s="1">
        <f t="shared" ca="1" si="244"/>
        <v>0.44976244606034166</v>
      </c>
      <c r="AK199" s="1">
        <f t="shared" ca="1" si="245"/>
        <v>8.3035007566175448E-3</v>
      </c>
      <c r="AL199" s="1"/>
      <c r="AM199" s="1">
        <f t="shared" ca="1" si="246"/>
        <v>7.424592647879126E-2</v>
      </c>
      <c r="AN199" s="1">
        <f t="shared" ca="1" si="247"/>
        <v>61</v>
      </c>
      <c r="AO199" s="1">
        <f t="shared" ca="1" si="248"/>
        <v>10</v>
      </c>
      <c r="AQ199" s="1">
        <f t="shared" ca="1" si="249"/>
        <v>167</v>
      </c>
      <c r="AR199" s="1">
        <f t="shared" ca="1" si="250"/>
        <v>4</v>
      </c>
      <c r="AS199" s="1">
        <f t="shared" ca="1" si="251"/>
        <v>71</v>
      </c>
      <c r="AU199" s="1">
        <f t="shared" ca="1" si="252"/>
        <v>70</v>
      </c>
      <c r="AV199" s="1">
        <f t="shared" ca="1" si="253"/>
        <v>9</v>
      </c>
      <c r="AW199" s="1">
        <f t="shared" ca="1" si="254"/>
        <v>0.13646281539395538</v>
      </c>
      <c r="AY199" s="1">
        <f t="shared" ca="1" si="255"/>
        <v>1.5382025092264051</v>
      </c>
      <c r="AZ199" s="1">
        <f t="shared" ca="1" si="256"/>
        <v>469</v>
      </c>
      <c r="BA199" s="1">
        <f t="shared" ca="1" si="257"/>
        <v>3.8665003602421644E-3</v>
      </c>
      <c r="BG199" s="1">
        <f t="shared" ca="1" si="258"/>
        <v>0.25894776646201395</v>
      </c>
      <c r="BH199" s="1">
        <f t="shared" ca="1" si="259"/>
        <v>0.85167327842814222</v>
      </c>
      <c r="BI199" s="1">
        <f t="shared" ca="1" si="260"/>
        <v>500</v>
      </c>
      <c r="BV199" s="1">
        <f t="shared" ca="1" si="261"/>
        <v>0.26239991823037129</v>
      </c>
      <c r="BW199" s="1">
        <f t="shared" ca="1" si="262"/>
        <v>154</v>
      </c>
      <c r="BX199" s="1">
        <f t="shared" ca="1" si="263"/>
        <v>9.6924382472979489E-3</v>
      </c>
      <c r="BY199" s="1">
        <f t="shared" ca="1" si="264"/>
        <v>5.12930106282357E-2</v>
      </c>
      <c r="BZ199" s="1">
        <f t="shared" ca="1" si="265"/>
        <v>7.5436766969155911E-2</v>
      </c>
      <c r="CB199" s="1">
        <f t="shared" ca="1" si="266"/>
        <v>445</v>
      </c>
      <c r="CC199" s="1">
        <f t="shared" ca="1" si="267"/>
        <v>9</v>
      </c>
      <c r="CD199" s="1">
        <f t="shared" ca="1" si="268"/>
        <v>0.14616306471327786</v>
      </c>
      <c r="CE199" s="1">
        <f t="shared" ca="1" si="218"/>
        <v>0.65660778668348185</v>
      </c>
      <c r="CF199" s="1">
        <f t="shared" ca="1" si="218"/>
        <v>0.98932477500590199</v>
      </c>
      <c r="CH199" s="3">
        <f t="shared" ca="1" si="269"/>
        <v>0.85962446868761988</v>
      </c>
      <c r="CI199" s="3">
        <f t="shared" ca="1" si="270"/>
        <v>0.68771219447487009</v>
      </c>
      <c r="CJ199" s="3">
        <f t="shared" ca="1" si="271"/>
        <v>704</v>
      </c>
      <c r="CK199" s="3">
        <f t="shared" ca="1" si="272"/>
        <v>8.0811367739392886E-3</v>
      </c>
      <c r="CL199" s="3">
        <f t="shared" ca="1" si="273"/>
        <v>1</v>
      </c>
      <c r="CM199" s="3"/>
      <c r="CN199" s="1">
        <f t="shared" ca="1" si="274"/>
        <v>18.262080582786147</v>
      </c>
      <c r="CO199" s="1">
        <f t="shared" ca="1" si="275"/>
        <v>0.44462009841904537</v>
      </c>
      <c r="CP199" s="1">
        <f t="shared" ca="1" si="276"/>
        <v>4</v>
      </c>
      <c r="CV199" s="1">
        <f t="shared" ca="1" si="277"/>
        <v>8.7547579883450801</v>
      </c>
      <c r="CW199" s="1">
        <f t="shared" ca="1" si="278"/>
        <v>320</v>
      </c>
      <c r="CX199" s="1">
        <f t="shared" ca="1" si="279"/>
        <v>9.9749402757656428E-3</v>
      </c>
      <c r="DH199" s="1">
        <f t="shared" ca="1" si="280"/>
        <v>659</v>
      </c>
      <c r="DI199" s="1">
        <f t="shared" ca="1" si="281"/>
        <v>0.21336858030578634</v>
      </c>
      <c r="DJ199" s="1">
        <f t="shared" ca="1" si="282"/>
        <v>13</v>
      </c>
      <c r="DL199" s="1">
        <f t="shared" ca="1" si="283"/>
        <v>6.7215116516762333E-2</v>
      </c>
      <c r="DM199" s="1">
        <f t="shared" ca="1" si="284"/>
        <v>139</v>
      </c>
      <c r="DN199" s="1">
        <f t="shared" ca="1" si="285"/>
        <v>1</v>
      </c>
      <c r="DW199" s="1">
        <f t="shared" ca="1" si="286"/>
        <v>113</v>
      </c>
      <c r="DX199" s="1">
        <f t="shared" ca="1" si="287"/>
        <v>9</v>
      </c>
      <c r="DY199" s="1">
        <f t="shared" ca="1" si="288"/>
        <v>18</v>
      </c>
    </row>
    <row r="200" spans="2:129" x14ac:dyDescent="0.25">
      <c r="B200">
        <f t="shared" ca="1" si="219"/>
        <v>582</v>
      </c>
      <c r="C200">
        <f t="shared" ca="1" si="220"/>
        <v>24</v>
      </c>
      <c r="D200">
        <f t="shared" ca="1" si="221"/>
        <v>0.17748768844057042</v>
      </c>
      <c r="F200" s="1">
        <f t="shared" ca="1" si="222"/>
        <v>38</v>
      </c>
      <c r="G200" s="1">
        <f t="shared" ca="1" si="223"/>
        <v>28</v>
      </c>
      <c r="H200" s="1">
        <f t="shared" ca="1" si="224"/>
        <v>5</v>
      </c>
      <c r="I200" s="1"/>
      <c r="J200" s="1">
        <f t="shared" ca="1" si="225"/>
        <v>38</v>
      </c>
      <c r="K200" s="1">
        <f t="shared" ca="1" si="226"/>
        <v>1.1254524387682392</v>
      </c>
      <c r="L200" s="1">
        <f t="shared" ca="1" si="227"/>
        <v>25</v>
      </c>
      <c r="M200" s="1"/>
      <c r="N200" s="1">
        <f t="shared" ca="1" si="228"/>
        <v>143</v>
      </c>
      <c r="O200" s="1">
        <f t="shared" ca="1" si="229"/>
        <v>20</v>
      </c>
      <c r="P200" s="1"/>
      <c r="Q200" s="1">
        <f t="shared" ca="1" si="230"/>
        <v>3.0022227035005056</v>
      </c>
      <c r="R200" s="1">
        <f t="shared" ca="1" si="231"/>
        <v>423</v>
      </c>
      <c r="S200" s="1"/>
      <c r="T200" s="1">
        <f t="shared" ca="1" si="232"/>
        <v>7.256814956963123E-2</v>
      </c>
      <c r="U200" s="1">
        <f t="shared" ca="1" si="233"/>
        <v>446</v>
      </c>
      <c r="V200" s="1">
        <f t="shared" ca="1" si="234"/>
        <v>7</v>
      </c>
      <c r="W200" s="1"/>
      <c r="X200" s="1">
        <f t="shared" ca="1" si="235"/>
        <v>0.11734615120526597</v>
      </c>
      <c r="Y200" s="1">
        <f t="shared" ca="1" si="236"/>
        <v>0.16153446353579182</v>
      </c>
      <c r="Z200" s="1">
        <f t="shared" ca="1" si="237"/>
        <v>1198</v>
      </c>
      <c r="AB200" s="1">
        <f t="shared" ca="1" si="238"/>
        <v>0.55198926126889569</v>
      </c>
      <c r="AC200" s="1">
        <f t="shared" ca="1" si="239"/>
        <v>597</v>
      </c>
      <c r="AD200" s="1">
        <f t="shared" ca="1" si="240"/>
        <v>8.5971192624315837E-3</v>
      </c>
      <c r="AE200" s="1"/>
      <c r="AF200" s="1">
        <f t="shared" ca="1" si="241"/>
        <v>0.79580198800406809</v>
      </c>
      <c r="AG200" s="1">
        <f t="shared" ca="1" si="242"/>
        <v>782</v>
      </c>
      <c r="AH200" s="1">
        <f t="shared" ca="1" si="243"/>
        <v>6.1845961013139053E-4</v>
      </c>
      <c r="AJ200" s="1">
        <f t="shared" ca="1" si="244"/>
        <v>0.9521731704515719</v>
      </c>
      <c r="AK200" s="1">
        <f t="shared" ca="1" si="245"/>
        <v>1.3878374520831873E-3</v>
      </c>
      <c r="AL200" s="1"/>
      <c r="AM200" s="1">
        <f t="shared" ca="1" si="246"/>
        <v>4.0991710399279964E-2</v>
      </c>
      <c r="AN200" s="1">
        <f t="shared" ca="1" si="247"/>
        <v>43</v>
      </c>
      <c r="AO200" s="1">
        <f t="shared" ca="1" si="248"/>
        <v>0</v>
      </c>
      <c r="AQ200" s="1">
        <f t="shared" ca="1" si="249"/>
        <v>76</v>
      </c>
      <c r="AR200" s="1">
        <f t="shared" ca="1" si="250"/>
        <v>1</v>
      </c>
      <c r="AS200" s="1">
        <f t="shared" ca="1" si="251"/>
        <v>43</v>
      </c>
      <c r="AU200" s="1">
        <f t="shared" ca="1" si="252"/>
        <v>86</v>
      </c>
      <c r="AV200" s="1">
        <f t="shared" ca="1" si="253"/>
        <v>8</v>
      </c>
      <c r="AW200" s="1">
        <f t="shared" ca="1" si="254"/>
        <v>0.16590438437008828</v>
      </c>
      <c r="AY200" s="1">
        <f t="shared" ca="1" si="255"/>
        <v>1.2466141312822869</v>
      </c>
      <c r="AZ200" s="1">
        <f t="shared" ca="1" si="256"/>
        <v>307</v>
      </c>
      <c r="BA200" s="1">
        <f t="shared" ca="1" si="257"/>
        <v>6.7351056034619548E-3</v>
      </c>
      <c r="BG200" s="1">
        <f t="shared" ca="1" si="258"/>
        <v>0.98158434295227392</v>
      </c>
      <c r="BH200" s="1">
        <f t="shared" ca="1" si="259"/>
        <v>0.22981275722785977</v>
      </c>
      <c r="BI200" s="1">
        <f t="shared" ca="1" si="260"/>
        <v>195</v>
      </c>
      <c r="BV200" s="1">
        <f t="shared" ca="1" si="261"/>
        <v>5.0363587616063327E-2</v>
      </c>
      <c r="BW200" s="1">
        <f t="shared" ca="1" si="262"/>
        <v>991</v>
      </c>
      <c r="BX200" s="1">
        <f t="shared" ca="1" si="263"/>
        <v>4.5859700006642516E-3</v>
      </c>
      <c r="BY200" s="1">
        <f t="shared" ca="1" si="264"/>
        <v>8.517518329348446E-2</v>
      </c>
      <c r="BZ200" s="1">
        <f t="shared" ca="1" si="265"/>
        <v>0.57810982985453652</v>
      </c>
      <c r="CB200" s="1">
        <f t="shared" ca="1" si="266"/>
        <v>165</v>
      </c>
      <c r="CC200" s="1">
        <f t="shared" ca="1" si="267"/>
        <v>4</v>
      </c>
      <c r="CD200" s="1">
        <f t="shared" ca="1" si="268"/>
        <v>1.4597318048119435E-2</v>
      </c>
      <c r="CE200" s="1">
        <f t="shared" ca="1" si="218"/>
        <v>0.98006535078381041</v>
      </c>
      <c r="CF200" s="1">
        <f t="shared" ca="1" si="218"/>
        <v>0.67440913085146414</v>
      </c>
      <c r="CH200" s="3">
        <f t="shared" ca="1" si="269"/>
        <v>0.3008426546011253</v>
      </c>
      <c r="CI200" s="3">
        <f t="shared" ca="1" si="270"/>
        <v>0.67538043223755928</v>
      </c>
      <c r="CJ200" s="3">
        <f t="shared" ca="1" si="271"/>
        <v>1549</v>
      </c>
      <c r="CK200" s="3">
        <f t="shared" ca="1" si="272"/>
        <v>2.0220502280646219E-3</v>
      </c>
      <c r="CL200" s="3">
        <f t="shared" ca="1" si="273"/>
        <v>0</v>
      </c>
      <c r="CM200" s="3"/>
      <c r="CN200" s="1">
        <f t="shared" ca="1" si="274"/>
        <v>5.9297914270977801</v>
      </c>
      <c r="CO200" s="1">
        <f t="shared" ca="1" si="275"/>
        <v>0.24430428524555706</v>
      </c>
      <c r="CP200" s="1">
        <f t="shared" ca="1" si="276"/>
        <v>5</v>
      </c>
      <c r="CV200" s="1">
        <f t="shared" ca="1" si="277"/>
        <v>3.6818926718132108</v>
      </c>
      <c r="CW200" s="1">
        <f t="shared" ca="1" si="278"/>
        <v>785</v>
      </c>
      <c r="CX200" s="1">
        <f t="shared" ca="1" si="279"/>
        <v>8.280353901362978E-3</v>
      </c>
      <c r="DH200" s="1">
        <f t="shared" ca="1" si="280"/>
        <v>182</v>
      </c>
      <c r="DI200" s="1">
        <f t="shared" ca="1" si="281"/>
        <v>0.19348819819916335</v>
      </c>
      <c r="DJ200" s="1">
        <f t="shared" ca="1" si="282"/>
        <v>18</v>
      </c>
      <c r="DL200" s="1">
        <f t="shared" ca="1" si="283"/>
        <v>0.13596207403370186</v>
      </c>
      <c r="DM200" s="1">
        <f t="shared" ca="1" si="284"/>
        <v>167</v>
      </c>
      <c r="DN200" s="1">
        <f t="shared" ca="1" si="285"/>
        <v>8</v>
      </c>
      <c r="DW200" s="1">
        <f t="shared" ca="1" si="286"/>
        <v>314</v>
      </c>
      <c r="DX200" s="1">
        <f t="shared" ca="1" si="287"/>
        <v>11</v>
      </c>
      <c r="DY200" s="1">
        <f t="shared" ca="1" si="288"/>
        <v>3</v>
      </c>
    </row>
    <row r="201" spans="2:129" x14ac:dyDescent="0.25">
      <c r="B201">
        <f t="shared" ca="1" si="219"/>
        <v>921</v>
      </c>
      <c r="C201">
        <f t="shared" ca="1" si="220"/>
        <v>50</v>
      </c>
      <c r="D201">
        <f t="shared" ca="1" si="221"/>
        <v>0.29959788280603944</v>
      </c>
      <c r="F201" s="1">
        <f t="shared" ca="1" si="222"/>
        <v>2</v>
      </c>
      <c r="G201" s="1">
        <f t="shared" ca="1" si="223"/>
        <v>7</v>
      </c>
      <c r="H201" s="1">
        <f t="shared" ca="1" si="224"/>
        <v>8</v>
      </c>
      <c r="I201" s="1"/>
      <c r="J201" s="1">
        <f t="shared" ca="1" si="225"/>
        <v>14</v>
      </c>
      <c r="K201" s="1">
        <f t="shared" ca="1" si="226"/>
        <v>2.0604142306335085</v>
      </c>
      <c r="L201" s="1">
        <f t="shared" ca="1" si="227"/>
        <v>15</v>
      </c>
      <c r="M201" s="1"/>
      <c r="N201" s="1">
        <f t="shared" ca="1" si="228"/>
        <v>415</v>
      </c>
      <c r="O201" s="1">
        <f t="shared" ca="1" si="229"/>
        <v>44</v>
      </c>
      <c r="P201" s="1"/>
      <c r="Q201" s="1">
        <f t="shared" ca="1" si="230"/>
        <v>3.877559558092849</v>
      </c>
      <c r="R201" s="1">
        <f t="shared" ca="1" si="231"/>
        <v>257</v>
      </c>
      <c r="S201" s="1"/>
      <c r="T201" s="1">
        <f t="shared" ca="1" si="232"/>
        <v>0.13574670555981919</v>
      </c>
      <c r="U201" s="1">
        <f t="shared" ca="1" si="233"/>
        <v>200</v>
      </c>
      <c r="V201" s="1">
        <f t="shared" ca="1" si="234"/>
        <v>36</v>
      </c>
      <c r="W201" s="1"/>
      <c r="X201" s="1">
        <f t="shared" ca="1" si="235"/>
        <v>7.8900193324316197</v>
      </c>
      <c r="Y201" s="1">
        <f t="shared" ca="1" si="236"/>
        <v>0.42754211746965803</v>
      </c>
      <c r="Z201" s="1">
        <f t="shared" ca="1" si="237"/>
        <v>636</v>
      </c>
      <c r="AB201" s="1">
        <f t="shared" ca="1" si="238"/>
        <v>0.14283449986039848</v>
      </c>
      <c r="AC201" s="1">
        <f t="shared" ca="1" si="239"/>
        <v>783</v>
      </c>
      <c r="AD201" s="1">
        <f t="shared" ca="1" si="240"/>
        <v>3.9733536600327617E-3</v>
      </c>
      <c r="AE201" s="1"/>
      <c r="AF201" s="1">
        <f t="shared" ca="1" si="241"/>
        <v>0.15023491135671219</v>
      </c>
      <c r="AG201" s="1">
        <f t="shared" ca="1" si="242"/>
        <v>685</v>
      </c>
      <c r="AH201" s="1">
        <f t="shared" ca="1" si="243"/>
        <v>2.9445009571131974E-3</v>
      </c>
      <c r="AJ201" s="1">
        <f t="shared" ca="1" si="244"/>
        <v>9.3219904052549429E-3</v>
      </c>
      <c r="AK201" s="1">
        <f t="shared" ca="1" si="245"/>
        <v>8.641751897910584E-3</v>
      </c>
      <c r="AL201" s="1"/>
      <c r="AM201" s="1">
        <f t="shared" ca="1" si="246"/>
        <v>0.10084803955504261</v>
      </c>
      <c r="AN201" s="1">
        <f t="shared" ca="1" si="247"/>
        <v>55</v>
      </c>
      <c r="AO201" s="1">
        <f t="shared" ca="1" si="248"/>
        <v>20</v>
      </c>
      <c r="AQ201" s="1">
        <f t="shared" ca="1" si="249"/>
        <v>111</v>
      </c>
      <c r="AR201" s="1">
        <f t="shared" ca="1" si="250"/>
        <v>0</v>
      </c>
      <c r="AS201" s="1">
        <f t="shared" ca="1" si="251"/>
        <v>87</v>
      </c>
      <c r="AU201" s="1">
        <f t="shared" ca="1" si="252"/>
        <v>285</v>
      </c>
      <c r="AV201" s="1">
        <f t="shared" ca="1" si="253"/>
        <v>3</v>
      </c>
      <c r="AW201" s="1">
        <f t="shared" ca="1" si="254"/>
        <v>7.4771888902364941E-2</v>
      </c>
      <c r="AY201" s="1">
        <f t="shared" ca="1" si="255"/>
        <v>1.9289281325038092</v>
      </c>
      <c r="AZ201" s="1">
        <f t="shared" ca="1" si="256"/>
        <v>486</v>
      </c>
      <c r="BA201" s="1">
        <f t="shared" ca="1" si="257"/>
        <v>9.0667838171774595E-3</v>
      </c>
      <c r="BG201" s="1">
        <f t="shared" ca="1" si="258"/>
        <v>0.92533300461547563</v>
      </c>
      <c r="BH201" s="1">
        <f t="shared" ca="1" si="259"/>
        <v>0.75831827172408228</v>
      </c>
      <c r="BI201" s="1">
        <f t="shared" ca="1" si="260"/>
        <v>457</v>
      </c>
      <c r="BV201" s="1">
        <f t="shared" ca="1" si="261"/>
        <v>0.36855379781811537</v>
      </c>
      <c r="BW201" s="1">
        <f t="shared" ca="1" si="262"/>
        <v>338</v>
      </c>
      <c r="BX201" s="1">
        <f t="shared" ca="1" si="263"/>
        <v>4.1395388818100112E-3</v>
      </c>
      <c r="BY201" s="1">
        <f t="shared" ca="1" si="264"/>
        <v>3.3531366691398619E-2</v>
      </c>
      <c r="BZ201" s="1">
        <f t="shared" ca="1" si="265"/>
        <v>0.82906598325800529</v>
      </c>
      <c r="CB201" s="1">
        <f t="shared" ca="1" si="266"/>
        <v>151</v>
      </c>
      <c r="CC201" s="1">
        <f t="shared" ca="1" si="267"/>
        <v>13</v>
      </c>
      <c r="CD201" s="1">
        <f t="shared" ca="1" si="268"/>
        <v>0.20981014917480265</v>
      </c>
      <c r="CE201" s="1">
        <f t="shared" ca="1" si="218"/>
        <v>0.94240777360794026</v>
      </c>
      <c r="CF201" s="1">
        <f t="shared" ca="1" si="218"/>
        <v>0.77761052675353104</v>
      </c>
      <c r="CH201" s="3">
        <f t="shared" ca="1" si="269"/>
        <v>0.34968191011309097</v>
      </c>
      <c r="CI201" s="3">
        <f t="shared" ca="1" si="270"/>
        <v>0.38417878230897956</v>
      </c>
      <c r="CJ201" s="3">
        <f t="shared" ca="1" si="271"/>
        <v>1766</v>
      </c>
      <c r="CK201" s="3">
        <f t="shared" ca="1" si="272"/>
        <v>7.9346529660573335E-3</v>
      </c>
      <c r="CL201" s="3">
        <f t="shared" ca="1" si="273"/>
        <v>0</v>
      </c>
      <c r="CM201" s="3"/>
      <c r="CN201" s="1">
        <f t="shared" ca="1" si="274"/>
        <v>13.076041490120327</v>
      </c>
      <c r="CO201" s="1">
        <f t="shared" ca="1" si="275"/>
        <v>0.39118752420355379</v>
      </c>
      <c r="CP201" s="1">
        <f t="shared" ca="1" si="276"/>
        <v>1</v>
      </c>
      <c r="CV201" s="1">
        <f t="shared" ca="1" si="277"/>
        <v>4.224243378825121</v>
      </c>
      <c r="CW201" s="1">
        <f t="shared" ca="1" si="278"/>
        <v>626</v>
      </c>
      <c r="CX201" s="1">
        <f t="shared" ca="1" si="279"/>
        <v>3.9390317998931574E-4</v>
      </c>
      <c r="DH201" s="1">
        <f t="shared" ca="1" si="280"/>
        <v>495</v>
      </c>
      <c r="DI201" s="1">
        <f t="shared" ca="1" si="281"/>
        <v>0.23342614608111134</v>
      </c>
      <c r="DJ201" s="1">
        <f t="shared" ca="1" si="282"/>
        <v>28</v>
      </c>
      <c r="DL201" s="1">
        <f t="shared" ca="1" si="283"/>
        <v>4.6370339481425618E-2</v>
      </c>
      <c r="DM201" s="1">
        <f t="shared" ca="1" si="284"/>
        <v>188</v>
      </c>
      <c r="DN201" s="1">
        <f t="shared" ca="1" si="285"/>
        <v>5</v>
      </c>
      <c r="DW201" s="1">
        <f t="shared" ca="1" si="286"/>
        <v>381</v>
      </c>
      <c r="DX201" s="1">
        <f t="shared" ca="1" si="287"/>
        <v>16</v>
      </c>
      <c r="DY201" s="1">
        <f t="shared" ca="1" si="288"/>
        <v>17</v>
      </c>
    </row>
    <row r="202" spans="2:129" x14ac:dyDescent="0.25">
      <c r="B202">
        <f t="shared" ca="1" si="219"/>
        <v>502</v>
      </c>
      <c r="C202">
        <f t="shared" ca="1" si="220"/>
        <v>14</v>
      </c>
      <c r="D202">
        <f t="shared" ca="1" si="221"/>
        <v>0.24513583563425581</v>
      </c>
      <c r="F202" s="1">
        <f t="shared" ca="1" si="222"/>
        <v>20</v>
      </c>
      <c r="G202" s="1">
        <f t="shared" ca="1" si="223"/>
        <v>6</v>
      </c>
      <c r="H202" s="1">
        <f t="shared" ca="1" si="224"/>
        <v>14</v>
      </c>
      <c r="I202" s="1"/>
      <c r="J202" s="1">
        <f t="shared" ca="1" si="225"/>
        <v>28</v>
      </c>
      <c r="K202" s="1">
        <f t="shared" ca="1" si="226"/>
        <v>2.942867790425979</v>
      </c>
      <c r="L202" s="1">
        <f t="shared" ca="1" si="227"/>
        <v>13</v>
      </c>
      <c r="M202" s="1"/>
      <c r="N202" s="1">
        <f t="shared" ca="1" si="228"/>
        <v>831</v>
      </c>
      <c r="O202" s="1">
        <f t="shared" ca="1" si="229"/>
        <v>46</v>
      </c>
      <c r="P202" s="1"/>
      <c r="Q202" s="1">
        <f t="shared" ca="1" si="230"/>
        <v>0.92448199204169534</v>
      </c>
      <c r="R202" s="1">
        <f t="shared" ca="1" si="231"/>
        <v>839</v>
      </c>
      <c r="S202" s="1"/>
      <c r="T202" s="1">
        <f t="shared" ca="1" si="232"/>
        <v>0.10442087155697556</v>
      </c>
      <c r="U202" s="1">
        <f t="shared" ca="1" si="233"/>
        <v>177</v>
      </c>
      <c r="V202" s="1">
        <f t="shared" ca="1" si="234"/>
        <v>19</v>
      </c>
      <c r="W202" s="1"/>
      <c r="X202" s="1">
        <f t="shared" ca="1" si="235"/>
        <v>7.1343627452535197</v>
      </c>
      <c r="Y202" s="1">
        <f t="shared" ca="1" si="236"/>
        <v>5.5648775887786495E-2</v>
      </c>
      <c r="Z202" s="1">
        <f t="shared" ca="1" si="237"/>
        <v>832</v>
      </c>
      <c r="AB202" s="1">
        <f t="shared" ca="1" si="238"/>
        <v>0.90337383802739835</v>
      </c>
      <c r="AC202" s="1">
        <f t="shared" ca="1" si="239"/>
        <v>461</v>
      </c>
      <c r="AD202" s="1">
        <f t="shared" ca="1" si="240"/>
        <v>3.4252486339726353E-3</v>
      </c>
      <c r="AE202" s="1"/>
      <c r="AF202" s="1">
        <f t="shared" ca="1" si="241"/>
        <v>0.32222829705324696</v>
      </c>
      <c r="AG202" s="1">
        <f t="shared" ca="1" si="242"/>
        <v>591</v>
      </c>
      <c r="AH202" s="1">
        <f t="shared" ca="1" si="243"/>
        <v>7.4180600070894703E-3</v>
      </c>
      <c r="AJ202" s="1">
        <f t="shared" ca="1" si="244"/>
        <v>0.434795934419691</v>
      </c>
      <c r="AK202" s="1">
        <f t="shared" ca="1" si="245"/>
        <v>3.9640449405767119E-3</v>
      </c>
      <c r="AL202" s="1"/>
      <c r="AM202" s="1">
        <f t="shared" ca="1" si="246"/>
        <v>5.2425780256621549E-2</v>
      </c>
      <c r="AN202" s="1">
        <f t="shared" ca="1" si="247"/>
        <v>48</v>
      </c>
      <c r="AO202" s="1">
        <f t="shared" ca="1" si="248"/>
        <v>16</v>
      </c>
      <c r="AQ202" s="1">
        <f t="shared" ca="1" si="249"/>
        <v>69</v>
      </c>
      <c r="AR202" s="1">
        <f t="shared" ca="1" si="250"/>
        <v>4</v>
      </c>
      <c r="AS202" s="1">
        <f t="shared" ca="1" si="251"/>
        <v>93</v>
      </c>
      <c r="AU202" s="1">
        <f t="shared" ca="1" si="252"/>
        <v>251</v>
      </c>
      <c r="AV202" s="1">
        <f t="shared" ca="1" si="253"/>
        <v>2</v>
      </c>
      <c r="AW202" s="1">
        <f t="shared" ca="1" si="254"/>
        <v>8.6676029899924109E-2</v>
      </c>
      <c r="AY202" s="1">
        <f t="shared" ca="1" si="255"/>
        <v>1.3957280013869411</v>
      </c>
      <c r="AZ202" s="1">
        <f t="shared" ca="1" si="256"/>
        <v>260</v>
      </c>
      <c r="BA202" s="1">
        <f t="shared" ca="1" si="257"/>
        <v>3.8787863044658327E-3</v>
      </c>
      <c r="BG202" s="1">
        <f t="shared" ca="1" si="258"/>
        <v>0.52187730073837313</v>
      </c>
      <c r="BH202" s="1">
        <f t="shared" ca="1" si="259"/>
        <v>0.65513841576262044</v>
      </c>
      <c r="BI202" s="1">
        <f t="shared" ca="1" si="260"/>
        <v>658</v>
      </c>
      <c r="BV202" s="1">
        <f t="shared" ca="1" si="261"/>
        <v>0.3986357119631897</v>
      </c>
      <c r="BW202" s="1">
        <f t="shared" ca="1" si="262"/>
        <v>757</v>
      </c>
      <c r="BX202" s="1">
        <f t="shared" ca="1" si="263"/>
        <v>1.3761046639016732E-3</v>
      </c>
      <c r="BY202" s="1">
        <f t="shared" ca="1" si="264"/>
        <v>1.3603813277889203E-3</v>
      </c>
      <c r="BZ202" s="1">
        <f t="shared" ca="1" si="265"/>
        <v>0.98759242582108442</v>
      </c>
      <c r="CB202" s="1">
        <f t="shared" ca="1" si="266"/>
        <v>50</v>
      </c>
      <c r="CC202" s="1">
        <f t="shared" ca="1" si="267"/>
        <v>9</v>
      </c>
      <c r="CD202" s="1">
        <f t="shared" ca="1" si="268"/>
        <v>1.0770039883149196E-2</v>
      </c>
      <c r="CE202" s="1">
        <f t="shared" ca="1" si="218"/>
        <v>0.56656327839223364</v>
      </c>
      <c r="CF202" s="1">
        <f t="shared" ca="1" si="218"/>
        <v>0.56150659260720226</v>
      </c>
      <c r="CH202" s="3">
        <f t="shared" ca="1" si="269"/>
        <v>0.94026565489785552</v>
      </c>
      <c r="CI202" s="3">
        <f t="shared" ca="1" si="270"/>
        <v>0.62538926141020057</v>
      </c>
      <c r="CJ202" s="3">
        <f t="shared" ca="1" si="271"/>
        <v>204</v>
      </c>
      <c r="CK202" s="3">
        <f t="shared" ca="1" si="272"/>
        <v>1.8289597263155904E-3</v>
      </c>
      <c r="CL202" s="3">
        <f t="shared" ca="1" si="273"/>
        <v>1</v>
      </c>
      <c r="CM202" s="3"/>
      <c r="CN202" s="1">
        <f t="shared" ca="1" si="274"/>
        <v>11.453733383278086</v>
      </c>
      <c r="CO202" s="1">
        <f t="shared" ca="1" si="275"/>
        <v>0.46982142375529923</v>
      </c>
      <c r="CP202" s="1">
        <f t="shared" ca="1" si="276"/>
        <v>2</v>
      </c>
      <c r="CV202" s="1">
        <f t="shared" ca="1" si="277"/>
        <v>0.79559066164376646</v>
      </c>
      <c r="CW202" s="1">
        <f t="shared" ca="1" si="278"/>
        <v>366</v>
      </c>
      <c r="CX202" s="1">
        <f t="shared" ca="1" si="279"/>
        <v>2.5704584126721086E-3</v>
      </c>
      <c r="DH202" s="1">
        <f t="shared" ca="1" si="280"/>
        <v>763</v>
      </c>
      <c r="DI202" s="1">
        <f t="shared" ca="1" si="281"/>
        <v>8.0365649041038253E-2</v>
      </c>
      <c r="DJ202" s="1">
        <f t="shared" ca="1" si="282"/>
        <v>7</v>
      </c>
      <c r="DL202" s="1">
        <f t="shared" ca="1" si="283"/>
        <v>8.5317329173315762E-2</v>
      </c>
      <c r="DM202" s="1">
        <f t="shared" ca="1" si="284"/>
        <v>168</v>
      </c>
      <c r="DN202" s="1">
        <f t="shared" ca="1" si="285"/>
        <v>7</v>
      </c>
      <c r="DW202" s="1">
        <f t="shared" ca="1" si="286"/>
        <v>256</v>
      </c>
      <c r="DX202" s="1">
        <f t="shared" ca="1" si="287"/>
        <v>20</v>
      </c>
      <c r="DY202" s="1">
        <f t="shared" ca="1" si="288"/>
        <v>5</v>
      </c>
    </row>
  </sheetData>
  <mergeCells count="31">
    <mergeCell ref="DW1:DY1"/>
    <mergeCell ref="AJ1:AK1"/>
    <mergeCell ref="AB1:AD1"/>
    <mergeCell ref="AF1:AH1"/>
    <mergeCell ref="AY1:BA1"/>
    <mergeCell ref="BC1:BE1"/>
    <mergeCell ref="T1:V1"/>
    <mergeCell ref="X1:Z1"/>
    <mergeCell ref="B1:D1"/>
    <mergeCell ref="F1:H1"/>
    <mergeCell ref="J1:L1"/>
    <mergeCell ref="N1:O1"/>
    <mergeCell ref="Q1:R1"/>
    <mergeCell ref="AM1:AO1"/>
    <mergeCell ref="BV1:BZ1"/>
    <mergeCell ref="BO1:BP1"/>
    <mergeCell ref="BR1:BT1"/>
    <mergeCell ref="BG1:BI1"/>
    <mergeCell ref="BK1:BM1"/>
    <mergeCell ref="DS1:DU1"/>
    <mergeCell ref="DL1:DN1"/>
    <mergeCell ref="CB1:CF1"/>
    <mergeCell ref="AU1:AW1"/>
    <mergeCell ref="AQ1:AS1"/>
    <mergeCell ref="CR1:CT1"/>
    <mergeCell ref="CV1:CX1"/>
    <mergeCell ref="CN1:CP1"/>
    <mergeCell ref="CH1:CL1"/>
    <mergeCell ref="DH1:DJ1"/>
    <mergeCell ref="DD1:DF1"/>
    <mergeCell ref="CZ1:DB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Moradian</dc:creator>
  <cp:lastModifiedBy>Sam Moradian</cp:lastModifiedBy>
  <dcterms:created xsi:type="dcterms:W3CDTF">2015-06-05T18:17:20Z</dcterms:created>
  <dcterms:modified xsi:type="dcterms:W3CDTF">2026-07-25T08:35:29Z</dcterms:modified>
</cp:coreProperties>
</file>