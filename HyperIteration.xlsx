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Sam\Desktop\ML\"/>
    </mc:Choice>
  </mc:AlternateContent>
  <xr:revisionPtr revIDLastSave="0" documentId="13_ncr:1_{9EEDC167-85DD-41D9-8358-745A45F567B7}" xr6:coauthVersionLast="47" xr6:coauthVersionMax="47" xr10:uidLastSave="{00000000-0000-0000-0000-000000000000}"/>
  <bookViews>
    <workbookView xWindow="-120" yWindow="-120" windowWidth="19440" windowHeight="115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W4" i="1" l="1"/>
  <c r="DX4" i="1"/>
  <c r="DY4" i="1"/>
  <c r="DW5" i="1"/>
  <c r="DX5" i="1"/>
  <c r="DY5" i="1"/>
  <c r="DW6" i="1"/>
  <c r="DX6" i="1"/>
  <c r="DY6" i="1"/>
  <c r="DW7" i="1"/>
  <c r="DX7" i="1"/>
  <c r="DY7" i="1"/>
  <c r="DW8" i="1"/>
  <c r="DX8" i="1"/>
  <c r="DY8" i="1"/>
  <c r="DW9" i="1"/>
  <c r="DX9" i="1"/>
  <c r="DY9" i="1"/>
  <c r="DW10" i="1"/>
  <c r="DX10" i="1"/>
  <c r="DY10" i="1"/>
  <c r="DW11" i="1"/>
  <c r="DX11" i="1"/>
  <c r="DY11" i="1"/>
  <c r="DW12" i="1"/>
  <c r="DX12" i="1"/>
  <c r="DY12" i="1"/>
  <c r="DW13" i="1"/>
  <c r="DX13" i="1"/>
  <c r="DY13" i="1"/>
  <c r="DW14" i="1"/>
  <c r="DX14" i="1"/>
  <c r="DY14" i="1"/>
  <c r="DW15" i="1"/>
  <c r="DX15" i="1"/>
  <c r="DY15" i="1"/>
  <c r="DW16" i="1"/>
  <c r="DX16" i="1"/>
  <c r="DY16" i="1"/>
  <c r="DW17" i="1"/>
  <c r="DX17" i="1"/>
  <c r="DY17" i="1"/>
  <c r="DW18" i="1"/>
  <c r="DX18" i="1"/>
  <c r="DY18" i="1"/>
  <c r="DW19" i="1"/>
  <c r="DX19" i="1"/>
  <c r="DY19" i="1"/>
  <c r="DW20" i="1"/>
  <c r="DX20" i="1"/>
  <c r="DY20" i="1"/>
  <c r="DW21" i="1"/>
  <c r="DX21" i="1"/>
  <c r="DY21" i="1"/>
  <c r="DW22" i="1"/>
  <c r="DX22" i="1"/>
  <c r="DY22" i="1"/>
  <c r="DW23" i="1"/>
  <c r="DX23" i="1"/>
  <c r="DY23" i="1"/>
  <c r="DW24" i="1"/>
  <c r="DX24" i="1"/>
  <c r="DY24" i="1"/>
  <c r="DW25" i="1"/>
  <c r="DX25" i="1"/>
  <c r="DY25" i="1"/>
  <c r="DW26" i="1"/>
  <c r="DX26" i="1"/>
  <c r="DY26" i="1"/>
  <c r="DW27" i="1"/>
  <c r="DX27" i="1"/>
  <c r="DY27" i="1"/>
  <c r="DW28" i="1"/>
  <c r="DX28" i="1"/>
  <c r="DY28" i="1"/>
  <c r="DW29" i="1"/>
  <c r="DX29" i="1"/>
  <c r="DY29" i="1"/>
  <c r="DW30" i="1"/>
  <c r="DX30" i="1"/>
  <c r="DY30" i="1"/>
  <c r="DW31" i="1"/>
  <c r="DX31" i="1"/>
  <c r="DY31" i="1"/>
  <c r="DW32" i="1"/>
  <c r="DX32" i="1"/>
  <c r="DY32" i="1"/>
  <c r="DW33" i="1"/>
  <c r="DX33" i="1"/>
  <c r="DY33" i="1"/>
  <c r="DW34" i="1"/>
  <c r="DX34" i="1"/>
  <c r="DY34" i="1"/>
  <c r="DW35" i="1"/>
  <c r="DX35" i="1"/>
  <c r="DY35" i="1"/>
  <c r="DW36" i="1"/>
  <c r="DX36" i="1"/>
  <c r="DY36" i="1"/>
  <c r="DW37" i="1"/>
  <c r="DX37" i="1"/>
  <c r="DY37" i="1"/>
  <c r="DW38" i="1"/>
  <c r="DX38" i="1"/>
  <c r="DY38" i="1"/>
  <c r="DW39" i="1"/>
  <c r="DX39" i="1"/>
  <c r="DY39" i="1"/>
  <c r="DW40" i="1"/>
  <c r="DX40" i="1"/>
  <c r="DY40" i="1"/>
  <c r="DW41" i="1"/>
  <c r="DX41" i="1"/>
  <c r="DY41" i="1"/>
  <c r="DW42" i="1"/>
  <c r="DX42" i="1"/>
  <c r="DY42" i="1"/>
  <c r="DW43" i="1"/>
  <c r="DX43" i="1"/>
  <c r="DY43" i="1"/>
  <c r="DW44" i="1"/>
  <c r="DX44" i="1"/>
  <c r="DY44" i="1"/>
  <c r="DW45" i="1"/>
  <c r="DX45" i="1"/>
  <c r="DY45" i="1"/>
  <c r="DW46" i="1"/>
  <c r="DX46" i="1"/>
  <c r="DY46" i="1"/>
  <c r="DW47" i="1"/>
  <c r="DX47" i="1"/>
  <c r="DY47" i="1"/>
  <c r="DW48" i="1"/>
  <c r="DX48" i="1"/>
  <c r="DY48" i="1"/>
  <c r="DW49" i="1"/>
  <c r="DX49" i="1"/>
  <c r="DY49" i="1"/>
  <c r="DW50" i="1"/>
  <c r="DX50" i="1"/>
  <c r="DY50" i="1"/>
  <c r="DW51" i="1"/>
  <c r="DX51" i="1"/>
  <c r="DY51" i="1"/>
  <c r="DW52" i="1"/>
  <c r="DX52" i="1"/>
  <c r="DY52" i="1"/>
  <c r="DW53" i="1"/>
  <c r="DX53" i="1"/>
  <c r="DY53" i="1"/>
  <c r="DW54" i="1"/>
  <c r="DX54" i="1"/>
  <c r="DY54" i="1"/>
  <c r="DW55" i="1"/>
  <c r="DX55" i="1"/>
  <c r="DY55" i="1"/>
  <c r="DW56" i="1"/>
  <c r="DX56" i="1"/>
  <c r="DY56" i="1"/>
  <c r="DW57" i="1"/>
  <c r="DX57" i="1"/>
  <c r="DY57" i="1"/>
  <c r="DW58" i="1"/>
  <c r="DX58" i="1"/>
  <c r="DY58" i="1"/>
  <c r="DW59" i="1"/>
  <c r="DX59" i="1"/>
  <c r="DY59" i="1"/>
  <c r="DW60" i="1"/>
  <c r="DX60" i="1"/>
  <c r="DY60" i="1"/>
  <c r="DW61" i="1"/>
  <c r="DX61" i="1"/>
  <c r="DY61" i="1"/>
  <c r="DW62" i="1"/>
  <c r="DX62" i="1"/>
  <c r="DY62" i="1"/>
  <c r="DW63" i="1"/>
  <c r="DX63" i="1"/>
  <c r="DY63" i="1"/>
  <c r="DW64" i="1"/>
  <c r="DX64" i="1"/>
  <c r="DY64" i="1"/>
  <c r="DW65" i="1"/>
  <c r="DX65" i="1"/>
  <c r="DY65" i="1"/>
  <c r="DW66" i="1"/>
  <c r="DX66" i="1"/>
  <c r="DY66" i="1"/>
  <c r="DW67" i="1"/>
  <c r="DX67" i="1"/>
  <c r="DY67" i="1"/>
  <c r="DW68" i="1"/>
  <c r="DX68" i="1"/>
  <c r="DY68" i="1"/>
  <c r="DW69" i="1"/>
  <c r="DX69" i="1"/>
  <c r="DY69" i="1"/>
  <c r="DW70" i="1"/>
  <c r="DX70" i="1"/>
  <c r="DY70" i="1"/>
  <c r="DW71" i="1"/>
  <c r="DX71" i="1"/>
  <c r="DY71" i="1"/>
  <c r="DW72" i="1"/>
  <c r="DX72" i="1"/>
  <c r="DY72" i="1"/>
  <c r="DW73" i="1"/>
  <c r="DX73" i="1"/>
  <c r="DY73" i="1"/>
  <c r="DW74" i="1"/>
  <c r="DX74" i="1"/>
  <c r="DY74" i="1"/>
  <c r="DW75" i="1"/>
  <c r="DX75" i="1"/>
  <c r="DY75" i="1"/>
  <c r="DW76" i="1"/>
  <c r="DX76" i="1"/>
  <c r="DY76" i="1"/>
  <c r="DW77" i="1"/>
  <c r="DX77" i="1"/>
  <c r="DY77" i="1"/>
  <c r="DW78" i="1"/>
  <c r="DX78" i="1"/>
  <c r="DY78" i="1"/>
  <c r="DW79" i="1"/>
  <c r="DX79" i="1"/>
  <c r="DY79" i="1"/>
  <c r="DW80" i="1"/>
  <c r="DX80" i="1"/>
  <c r="DY80" i="1"/>
  <c r="DW81" i="1"/>
  <c r="DX81" i="1"/>
  <c r="DY81" i="1"/>
  <c r="DW82" i="1"/>
  <c r="DX82" i="1"/>
  <c r="DY82" i="1"/>
  <c r="DW83" i="1"/>
  <c r="DX83" i="1"/>
  <c r="DY83" i="1"/>
  <c r="DW84" i="1"/>
  <c r="DX84" i="1"/>
  <c r="DY84" i="1"/>
  <c r="DW85" i="1"/>
  <c r="DX85" i="1"/>
  <c r="DY85" i="1"/>
  <c r="DW86" i="1"/>
  <c r="DX86" i="1"/>
  <c r="DY86" i="1"/>
  <c r="DW87" i="1"/>
  <c r="DX87" i="1"/>
  <c r="DY87" i="1"/>
  <c r="DW88" i="1"/>
  <c r="DX88" i="1"/>
  <c r="DY88" i="1"/>
  <c r="DW89" i="1"/>
  <c r="DX89" i="1"/>
  <c r="DY89" i="1"/>
  <c r="DW90" i="1"/>
  <c r="DX90" i="1"/>
  <c r="DY90" i="1"/>
  <c r="DW91" i="1"/>
  <c r="DX91" i="1"/>
  <c r="DY91" i="1"/>
  <c r="DW92" i="1"/>
  <c r="DX92" i="1"/>
  <c r="DY92" i="1"/>
  <c r="DW93" i="1"/>
  <c r="DX93" i="1"/>
  <c r="DY93" i="1"/>
  <c r="DW94" i="1"/>
  <c r="DX94" i="1"/>
  <c r="DY94" i="1"/>
  <c r="DW95" i="1"/>
  <c r="DX95" i="1"/>
  <c r="DY95" i="1"/>
  <c r="DW96" i="1"/>
  <c r="DX96" i="1"/>
  <c r="DY96" i="1"/>
  <c r="DW97" i="1"/>
  <c r="DX97" i="1"/>
  <c r="DY97" i="1"/>
  <c r="DW98" i="1"/>
  <c r="DX98" i="1"/>
  <c r="DY98" i="1"/>
  <c r="DW99" i="1"/>
  <c r="DX99" i="1"/>
  <c r="DY99" i="1"/>
  <c r="DW100" i="1"/>
  <c r="DX100" i="1"/>
  <c r="DY100" i="1"/>
  <c r="DW101" i="1"/>
  <c r="DX101" i="1"/>
  <c r="DY101" i="1"/>
  <c r="DW102" i="1"/>
  <c r="DX102" i="1"/>
  <c r="DY102" i="1"/>
  <c r="DW103" i="1"/>
  <c r="DX103" i="1"/>
  <c r="DY103" i="1"/>
  <c r="DW104" i="1"/>
  <c r="DX104" i="1"/>
  <c r="DY104" i="1"/>
  <c r="DW105" i="1"/>
  <c r="DX105" i="1"/>
  <c r="DY105" i="1"/>
  <c r="DW106" i="1"/>
  <c r="DX106" i="1"/>
  <c r="DY106" i="1"/>
  <c r="DW107" i="1"/>
  <c r="DX107" i="1"/>
  <c r="DY107" i="1"/>
  <c r="DW108" i="1"/>
  <c r="DX108" i="1"/>
  <c r="DY108" i="1"/>
  <c r="DW109" i="1"/>
  <c r="DX109" i="1"/>
  <c r="DY109" i="1"/>
  <c r="DW110" i="1"/>
  <c r="DX110" i="1"/>
  <c r="DY110" i="1"/>
  <c r="DW111" i="1"/>
  <c r="DX111" i="1"/>
  <c r="DY111" i="1"/>
  <c r="DW112" i="1"/>
  <c r="DX112" i="1"/>
  <c r="DY112" i="1"/>
  <c r="DW113" i="1"/>
  <c r="DX113" i="1"/>
  <c r="DY113" i="1"/>
  <c r="DW114" i="1"/>
  <c r="DX114" i="1"/>
  <c r="DY114" i="1"/>
  <c r="DW115" i="1"/>
  <c r="DX115" i="1"/>
  <c r="DY115" i="1"/>
  <c r="DW116" i="1"/>
  <c r="DX116" i="1"/>
  <c r="DY116" i="1"/>
  <c r="DW117" i="1"/>
  <c r="DX117" i="1"/>
  <c r="DY117" i="1"/>
  <c r="DW118" i="1"/>
  <c r="DX118" i="1"/>
  <c r="DY118" i="1"/>
  <c r="DW119" i="1"/>
  <c r="DX119" i="1"/>
  <c r="DY119" i="1"/>
  <c r="DW120" i="1"/>
  <c r="DX120" i="1"/>
  <c r="DY120" i="1"/>
  <c r="DW121" i="1"/>
  <c r="DX121" i="1"/>
  <c r="DY121" i="1"/>
  <c r="DW122" i="1"/>
  <c r="DX122" i="1"/>
  <c r="DY122" i="1"/>
  <c r="DW123" i="1"/>
  <c r="DX123" i="1"/>
  <c r="DY123" i="1"/>
  <c r="DW124" i="1"/>
  <c r="DX124" i="1"/>
  <c r="DY124" i="1"/>
  <c r="DW125" i="1"/>
  <c r="DX125" i="1"/>
  <c r="DY125" i="1"/>
  <c r="DW126" i="1"/>
  <c r="DX126" i="1"/>
  <c r="DY126" i="1"/>
  <c r="DW127" i="1"/>
  <c r="DX127" i="1"/>
  <c r="DY127" i="1"/>
  <c r="DW128" i="1"/>
  <c r="DX128" i="1"/>
  <c r="DY128" i="1"/>
  <c r="DW129" i="1"/>
  <c r="DX129" i="1"/>
  <c r="DY129" i="1"/>
  <c r="DW130" i="1"/>
  <c r="DX130" i="1"/>
  <c r="DY130" i="1"/>
  <c r="DW131" i="1"/>
  <c r="DX131" i="1"/>
  <c r="DY131" i="1"/>
  <c r="DW132" i="1"/>
  <c r="DX132" i="1"/>
  <c r="DY132" i="1"/>
  <c r="DW133" i="1"/>
  <c r="DX133" i="1"/>
  <c r="DY133" i="1"/>
  <c r="DW134" i="1"/>
  <c r="DX134" i="1"/>
  <c r="DY134" i="1"/>
  <c r="DW135" i="1"/>
  <c r="DX135" i="1"/>
  <c r="DY135" i="1"/>
  <c r="DW136" i="1"/>
  <c r="DX136" i="1"/>
  <c r="DY136" i="1"/>
  <c r="DW137" i="1"/>
  <c r="DX137" i="1"/>
  <c r="DY137" i="1"/>
  <c r="DW138" i="1"/>
  <c r="DX138" i="1"/>
  <c r="DY138" i="1"/>
  <c r="DW139" i="1"/>
  <c r="DX139" i="1"/>
  <c r="DY139" i="1"/>
  <c r="DW140" i="1"/>
  <c r="DX140" i="1"/>
  <c r="DY140" i="1"/>
  <c r="DW141" i="1"/>
  <c r="DX141" i="1"/>
  <c r="DY141" i="1"/>
  <c r="DW142" i="1"/>
  <c r="DX142" i="1"/>
  <c r="DY142" i="1"/>
  <c r="DW143" i="1"/>
  <c r="DX143" i="1"/>
  <c r="DY143" i="1"/>
  <c r="DW144" i="1"/>
  <c r="DX144" i="1"/>
  <c r="DY144" i="1"/>
  <c r="DW145" i="1"/>
  <c r="DX145" i="1"/>
  <c r="DY145" i="1"/>
  <c r="DW146" i="1"/>
  <c r="DX146" i="1"/>
  <c r="DY146" i="1"/>
  <c r="DW147" i="1"/>
  <c r="DX147" i="1"/>
  <c r="DY147" i="1"/>
  <c r="DW148" i="1"/>
  <c r="DX148" i="1"/>
  <c r="DY148" i="1"/>
  <c r="DW149" i="1"/>
  <c r="DX149" i="1"/>
  <c r="DY149" i="1"/>
  <c r="DW150" i="1"/>
  <c r="DX150" i="1"/>
  <c r="DY150" i="1"/>
  <c r="DW151" i="1"/>
  <c r="DX151" i="1"/>
  <c r="DY151" i="1"/>
  <c r="DW152" i="1"/>
  <c r="DX152" i="1"/>
  <c r="DY152" i="1"/>
  <c r="DW153" i="1"/>
  <c r="DX153" i="1"/>
  <c r="DY153" i="1"/>
  <c r="DW154" i="1"/>
  <c r="DX154" i="1"/>
  <c r="DY154" i="1"/>
  <c r="DW155" i="1"/>
  <c r="DX155" i="1"/>
  <c r="DY155" i="1"/>
  <c r="DW156" i="1"/>
  <c r="DX156" i="1"/>
  <c r="DY156" i="1"/>
  <c r="DW157" i="1"/>
  <c r="DX157" i="1"/>
  <c r="DY157" i="1"/>
  <c r="DW158" i="1"/>
  <c r="DX158" i="1"/>
  <c r="DY158" i="1"/>
  <c r="DW159" i="1"/>
  <c r="DX159" i="1"/>
  <c r="DY159" i="1"/>
  <c r="DW160" i="1"/>
  <c r="DX160" i="1"/>
  <c r="DY160" i="1"/>
  <c r="DW161" i="1"/>
  <c r="DX161" i="1"/>
  <c r="DY161" i="1"/>
  <c r="DW162" i="1"/>
  <c r="DX162" i="1"/>
  <c r="DY162" i="1"/>
  <c r="DW163" i="1"/>
  <c r="DX163" i="1"/>
  <c r="DY163" i="1"/>
  <c r="DW164" i="1"/>
  <c r="DX164" i="1"/>
  <c r="DY164" i="1"/>
  <c r="DW165" i="1"/>
  <c r="DX165" i="1"/>
  <c r="DY165" i="1"/>
  <c r="DW166" i="1"/>
  <c r="DX166" i="1"/>
  <c r="DY166" i="1"/>
  <c r="DW167" i="1"/>
  <c r="DX167" i="1"/>
  <c r="DY167" i="1"/>
  <c r="DW168" i="1"/>
  <c r="DX168" i="1"/>
  <c r="DY168" i="1"/>
  <c r="DW169" i="1"/>
  <c r="DX169" i="1"/>
  <c r="DY169" i="1"/>
  <c r="DW170" i="1"/>
  <c r="DX170" i="1"/>
  <c r="DY170" i="1"/>
  <c r="DW171" i="1"/>
  <c r="DX171" i="1"/>
  <c r="DY171" i="1"/>
  <c r="DW172" i="1"/>
  <c r="DX172" i="1"/>
  <c r="DY172" i="1"/>
  <c r="DW173" i="1"/>
  <c r="DX173" i="1"/>
  <c r="DY173" i="1"/>
  <c r="DW174" i="1"/>
  <c r="DX174" i="1"/>
  <c r="DY174" i="1"/>
  <c r="DW175" i="1"/>
  <c r="DX175" i="1"/>
  <c r="DY175" i="1"/>
  <c r="DW176" i="1"/>
  <c r="DX176" i="1"/>
  <c r="DY176" i="1"/>
  <c r="DW177" i="1"/>
  <c r="DX177" i="1"/>
  <c r="DY177" i="1"/>
  <c r="DW178" i="1"/>
  <c r="DX178" i="1"/>
  <c r="DY178" i="1"/>
  <c r="DW179" i="1"/>
  <c r="DX179" i="1"/>
  <c r="DY179" i="1"/>
  <c r="DW180" i="1"/>
  <c r="DX180" i="1"/>
  <c r="DY180" i="1"/>
  <c r="DW181" i="1"/>
  <c r="DX181" i="1"/>
  <c r="DY181" i="1"/>
  <c r="DW182" i="1"/>
  <c r="DX182" i="1"/>
  <c r="DY182" i="1"/>
  <c r="DW183" i="1"/>
  <c r="DX183" i="1"/>
  <c r="DY183" i="1"/>
  <c r="DW184" i="1"/>
  <c r="DX184" i="1"/>
  <c r="DY184" i="1"/>
  <c r="DW185" i="1"/>
  <c r="DX185" i="1"/>
  <c r="DY185" i="1"/>
  <c r="DW186" i="1"/>
  <c r="DX186" i="1"/>
  <c r="DY186" i="1"/>
  <c r="DW187" i="1"/>
  <c r="DX187" i="1"/>
  <c r="DY187" i="1"/>
  <c r="DW188" i="1"/>
  <c r="DX188" i="1"/>
  <c r="DY188" i="1"/>
  <c r="DW189" i="1"/>
  <c r="DX189" i="1"/>
  <c r="DY189" i="1"/>
  <c r="DW190" i="1"/>
  <c r="DX190" i="1"/>
  <c r="DY190" i="1"/>
  <c r="DW191" i="1"/>
  <c r="DX191" i="1"/>
  <c r="DY191" i="1"/>
  <c r="DW192" i="1"/>
  <c r="DX192" i="1"/>
  <c r="DY192" i="1"/>
  <c r="DW193" i="1"/>
  <c r="DX193" i="1"/>
  <c r="DY193" i="1"/>
  <c r="DW194" i="1"/>
  <c r="DX194" i="1"/>
  <c r="DY194" i="1"/>
  <c r="DW195" i="1"/>
  <c r="DX195" i="1"/>
  <c r="DY195" i="1"/>
  <c r="DW196" i="1"/>
  <c r="DX196" i="1"/>
  <c r="DY196" i="1"/>
  <c r="DW197" i="1"/>
  <c r="DX197" i="1"/>
  <c r="DY197" i="1"/>
  <c r="DW198" i="1"/>
  <c r="DX198" i="1"/>
  <c r="DY198" i="1"/>
  <c r="DW199" i="1"/>
  <c r="DX199" i="1"/>
  <c r="DY199" i="1"/>
  <c r="DW200" i="1"/>
  <c r="DX200" i="1"/>
  <c r="DY200" i="1"/>
  <c r="DW201" i="1"/>
  <c r="DX201" i="1"/>
  <c r="DY201" i="1"/>
  <c r="DW202" i="1"/>
  <c r="DX202" i="1"/>
  <c r="DY202" i="1"/>
  <c r="DW3" i="1"/>
  <c r="DX3" i="1"/>
  <c r="DY3" i="1"/>
  <c r="DS4" i="1"/>
  <c r="DT4" i="1"/>
  <c r="DU4" i="1"/>
  <c r="DS5" i="1"/>
  <c r="DT5" i="1"/>
  <c r="DU5" i="1"/>
  <c r="DS6" i="1"/>
  <c r="DT6" i="1"/>
  <c r="DU6" i="1"/>
  <c r="DS7" i="1"/>
  <c r="DT7" i="1"/>
  <c r="DU7" i="1"/>
  <c r="DU3" i="1"/>
  <c r="DT3" i="1"/>
  <c r="DS3" i="1"/>
  <c r="CV10" i="1"/>
  <c r="CW10" i="1"/>
  <c r="CX10" i="1"/>
  <c r="CV11" i="1"/>
  <c r="CW11" i="1"/>
  <c r="CX11" i="1"/>
  <c r="CV12" i="1"/>
  <c r="CW12" i="1"/>
  <c r="CX12" i="1"/>
  <c r="CV13" i="1"/>
  <c r="CW13" i="1"/>
  <c r="CX13" i="1"/>
  <c r="CV14" i="1"/>
  <c r="CW14" i="1"/>
  <c r="CX14" i="1"/>
  <c r="CV15" i="1"/>
  <c r="CW15" i="1"/>
  <c r="CX15" i="1"/>
  <c r="CV16" i="1"/>
  <c r="CW16" i="1"/>
  <c r="CX16" i="1"/>
  <c r="CV17" i="1"/>
  <c r="CW17" i="1"/>
  <c r="CX17" i="1"/>
  <c r="CV18" i="1"/>
  <c r="CW18" i="1"/>
  <c r="CX18" i="1"/>
  <c r="CV19" i="1"/>
  <c r="CW19" i="1"/>
  <c r="CX19" i="1"/>
  <c r="CV20" i="1"/>
  <c r="CW20" i="1"/>
  <c r="CX20" i="1"/>
  <c r="CV21" i="1"/>
  <c r="CW21" i="1"/>
  <c r="CX21" i="1"/>
  <c r="CV22" i="1"/>
  <c r="CW22" i="1"/>
  <c r="CX22" i="1"/>
  <c r="CV23" i="1"/>
  <c r="CW23" i="1"/>
  <c r="CX23" i="1"/>
  <c r="CV24" i="1"/>
  <c r="CW24" i="1"/>
  <c r="CX24" i="1"/>
  <c r="CV25" i="1"/>
  <c r="CW25" i="1"/>
  <c r="CX25" i="1"/>
  <c r="CV26" i="1"/>
  <c r="CW26" i="1"/>
  <c r="CX26" i="1"/>
  <c r="CV27" i="1"/>
  <c r="CW27" i="1"/>
  <c r="CX27" i="1"/>
  <c r="CV28" i="1"/>
  <c r="CW28" i="1"/>
  <c r="CX28" i="1"/>
  <c r="CV29" i="1"/>
  <c r="CW29" i="1"/>
  <c r="CX29" i="1"/>
  <c r="CV30" i="1"/>
  <c r="CW30" i="1"/>
  <c r="CX30" i="1"/>
  <c r="CV31" i="1"/>
  <c r="CW31" i="1"/>
  <c r="CX31" i="1"/>
  <c r="CV32" i="1"/>
  <c r="CW32" i="1"/>
  <c r="CX32" i="1"/>
  <c r="CV33" i="1"/>
  <c r="CW33" i="1"/>
  <c r="CX33" i="1"/>
  <c r="CV34" i="1"/>
  <c r="CW34" i="1"/>
  <c r="CX34" i="1"/>
  <c r="CV35" i="1"/>
  <c r="CW35" i="1"/>
  <c r="CX35" i="1"/>
  <c r="CV36" i="1"/>
  <c r="CW36" i="1"/>
  <c r="CX36" i="1"/>
  <c r="CV37" i="1"/>
  <c r="CW37" i="1"/>
  <c r="CX37" i="1"/>
  <c r="CV38" i="1"/>
  <c r="CW38" i="1"/>
  <c r="CX38" i="1"/>
  <c r="CV39" i="1"/>
  <c r="CW39" i="1"/>
  <c r="CX39" i="1"/>
  <c r="CV40" i="1"/>
  <c r="CW40" i="1"/>
  <c r="CX40" i="1"/>
  <c r="CV41" i="1"/>
  <c r="CW41" i="1"/>
  <c r="CX41" i="1"/>
  <c r="CV42" i="1"/>
  <c r="CW42" i="1"/>
  <c r="CX42" i="1"/>
  <c r="CV43" i="1"/>
  <c r="CW43" i="1"/>
  <c r="CX43" i="1"/>
  <c r="CV44" i="1"/>
  <c r="CW44" i="1"/>
  <c r="CX44" i="1"/>
  <c r="CV45" i="1"/>
  <c r="CW45" i="1"/>
  <c r="CX45" i="1"/>
  <c r="CV46" i="1"/>
  <c r="CW46" i="1"/>
  <c r="CX46" i="1"/>
  <c r="CV47" i="1"/>
  <c r="CW47" i="1"/>
  <c r="CX47" i="1"/>
  <c r="CV48" i="1"/>
  <c r="CW48" i="1"/>
  <c r="CX48" i="1"/>
  <c r="CV49" i="1"/>
  <c r="CW49" i="1"/>
  <c r="CX49" i="1"/>
  <c r="CV50" i="1"/>
  <c r="CW50" i="1"/>
  <c r="CX50" i="1"/>
  <c r="CV51" i="1"/>
  <c r="CW51" i="1"/>
  <c r="CX51" i="1"/>
  <c r="CV52" i="1"/>
  <c r="CW52" i="1"/>
  <c r="CX52" i="1"/>
  <c r="CV53" i="1"/>
  <c r="CW53" i="1"/>
  <c r="CX53" i="1"/>
  <c r="CV54" i="1"/>
  <c r="CW54" i="1"/>
  <c r="CX54" i="1"/>
  <c r="CV55" i="1"/>
  <c r="CW55" i="1"/>
  <c r="CX55" i="1"/>
  <c r="CV56" i="1"/>
  <c r="CW56" i="1"/>
  <c r="CX56" i="1"/>
  <c r="CV57" i="1"/>
  <c r="CW57" i="1"/>
  <c r="CX57" i="1"/>
  <c r="CV58" i="1"/>
  <c r="CW58" i="1"/>
  <c r="CX58" i="1"/>
  <c r="CV59" i="1"/>
  <c r="CW59" i="1"/>
  <c r="CX59" i="1"/>
  <c r="CV60" i="1"/>
  <c r="CW60" i="1"/>
  <c r="CX60" i="1"/>
  <c r="CV61" i="1"/>
  <c r="CW61" i="1"/>
  <c r="CX61" i="1"/>
  <c r="CV62" i="1"/>
  <c r="CW62" i="1"/>
  <c r="CX62" i="1"/>
  <c r="CV63" i="1"/>
  <c r="CW63" i="1"/>
  <c r="CX63" i="1"/>
  <c r="CV64" i="1"/>
  <c r="CW64" i="1"/>
  <c r="CX64" i="1"/>
  <c r="CV65" i="1"/>
  <c r="CW65" i="1"/>
  <c r="CX65" i="1"/>
  <c r="CV66" i="1"/>
  <c r="CW66" i="1"/>
  <c r="CX66" i="1"/>
  <c r="CV67" i="1"/>
  <c r="CW67" i="1"/>
  <c r="CX67" i="1"/>
  <c r="CV68" i="1"/>
  <c r="CW68" i="1"/>
  <c r="CX68" i="1"/>
  <c r="CV69" i="1"/>
  <c r="CW69" i="1"/>
  <c r="CX69" i="1"/>
  <c r="CV70" i="1"/>
  <c r="CW70" i="1"/>
  <c r="CX70" i="1"/>
  <c r="CV71" i="1"/>
  <c r="CW71" i="1"/>
  <c r="CX71" i="1"/>
  <c r="CV72" i="1"/>
  <c r="CW72" i="1"/>
  <c r="CX72" i="1"/>
  <c r="CV73" i="1"/>
  <c r="CW73" i="1"/>
  <c r="CX73" i="1"/>
  <c r="CV74" i="1"/>
  <c r="CW74" i="1"/>
  <c r="CX74" i="1"/>
  <c r="CV75" i="1"/>
  <c r="CW75" i="1"/>
  <c r="CX75" i="1"/>
  <c r="CV76" i="1"/>
  <c r="CW76" i="1"/>
  <c r="CX76" i="1"/>
  <c r="CV77" i="1"/>
  <c r="CW77" i="1"/>
  <c r="CX77" i="1"/>
  <c r="CV78" i="1"/>
  <c r="CW78" i="1"/>
  <c r="CX78" i="1"/>
  <c r="CV79" i="1"/>
  <c r="CW79" i="1"/>
  <c r="CX79" i="1"/>
  <c r="CV80" i="1"/>
  <c r="CW80" i="1"/>
  <c r="CX80" i="1"/>
  <c r="CV81" i="1"/>
  <c r="CW81" i="1"/>
  <c r="CX81" i="1"/>
  <c r="CV82" i="1"/>
  <c r="CW82" i="1"/>
  <c r="CX82" i="1"/>
  <c r="CV83" i="1"/>
  <c r="CW83" i="1"/>
  <c r="CX83" i="1"/>
  <c r="CV84" i="1"/>
  <c r="CW84" i="1"/>
  <c r="CX84" i="1"/>
  <c r="CV85" i="1"/>
  <c r="CW85" i="1"/>
  <c r="CX85" i="1"/>
  <c r="CV86" i="1"/>
  <c r="CW86" i="1"/>
  <c r="CX86" i="1"/>
  <c r="CV87" i="1"/>
  <c r="CW87" i="1"/>
  <c r="CX87" i="1"/>
  <c r="CV88" i="1"/>
  <c r="CW88" i="1"/>
  <c r="CX88" i="1"/>
  <c r="CV89" i="1"/>
  <c r="CW89" i="1"/>
  <c r="CX89" i="1"/>
  <c r="CV90" i="1"/>
  <c r="CW90" i="1"/>
  <c r="CX90" i="1"/>
  <c r="CV91" i="1"/>
  <c r="CW91" i="1"/>
  <c r="CX91" i="1"/>
  <c r="CV92" i="1"/>
  <c r="CW92" i="1"/>
  <c r="CX92" i="1"/>
  <c r="CV93" i="1"/>
  <c r="CW93" i="1"/>
  <c r="CX93" i="1"/>
  <c r="CV94" i="1"/>
  <c r="CW94" i="1"/>
  <c r="CX94" i="1"/>
  <c r="CV95" i="1"/>
  <c r="CW95" i="1"/>
  <c r="CX95" i="1"/>
  <c r="CV96" i="1"/>
  <c r="CW96" i="1"/>
  <c r="CX96" i="1"/>
  <c r="CV97" i="1"/>
  <c r="CW97" i="1"/>
  <c r="CX97" i="1"/>
  <c r="CV98" i="1"/>
  <c r="CW98" i="1"/>
  <c r="CX98" i="1"/>
  <c r="CV99" i="1"/>
  <c r="CW99" i="1"/>
  <c r="CX99" i="1"/>
  <c r="CV100" i="1"/>
  <c r="CW100" i="1"/>
  <c r="CX100" i="1"/>
  <c r="CV101" i="1"/>
  <c r="CW101" i="1"/>
  <c r="CX101" i="1"/>
  <c r="CV102" i="1"/>
  <c r="CW102" i="1"/>
  <c r="CX102" i="1"/>
  <c r="CV103" i="1"/>
  <c r="CW103" i="1"/>
  <c r="CX103" i="1"/>
  <c r="CV104" i="1"/>
  <c r="CW104" i="1"/>
  <c r="CX104" i="1"/>
  <c r="CV105" i="1"/>
  <c r="CW105" i="1"/>
  <c r="CX105" i="1"/>
  <c r="CV106" i="1"/>
  <c r="CW106" i="1"/>
  <c r="CX106" i="1"/>
  <c r="CV107" i="1"/>
  <c r="CW107" i="1"/>
  <c r="CX107" i="1"/>
  <c r="CV108" i="1"/>
  <c r="CW108" i="1"/>
  <c r="CX108" i="1"/>
  <c r="CV109" i="1"/>
  <c r="CW109" i="1"/>
  <c r="CX109" i="1"/>
  <c r="CV110" i="1"/>
  <c r="CW110" i="1"/>
  <c r="CX110" i="1"/>
  <c r="CV111" i="1"/>
  <c r="CW111" i="1"/>
  <c r="CX111" i="1"/>
  <c r="CV112" i="1"/>
  <c r="CW112" i="1"/>
  <c r="CX112" i="1"/>
  <c r="CV113" i="1"/>
  <c r="CW113" i="1"/>
  <c r="CX113" i="1"/>
  <c r="CV114" i="1"/>
  <c r="CW114" i="1"/>
  <c r="CX114" i="1"/>
  <c r="CV115" i="1"/>
  <c r="CW115" i="1"/>
  <c r="CX115" i="1"/>
  <c r="CV116" i="1"/>
  <c r="CW116" i="1"/>
  <c r="CX116" i="1"/>
  <c r="CV117" i="1"/>
  <c r="CW117" i="1"/>
  <c r="CX117" i="1"/>
  <c r="CV118" i="1"/>
  <c r="CW118" i="1"/>
  <c r="CX118" i="1"/>
  <c r="CV119" i="1"/>
  <c r="CW119" i="1"/>
  <c r="CX119" i="1"/>
  <c r="CV120" i="1"/>
  <c r="CW120" i="1"/>
  <c r="CX120" i="1"/>
  <c r="CV121" i="1"/>
  <c r="CW121" i="1"/>
  <c r="CX121" i="1"/>
  <c r="CV122" i="1"/>
  <c r="CW122" i="1"/>
  <c r="CX122" i="1"/>
  <c r="CV123" i="1"/>
  <c r="CW123" i="1"/>
  <c r="CX123" i="1"/>
  <c r="CV124" i="1"/>
  <c r="CW124" i="1"/>
  <c r="CX124" i="1"/>
  <c r="CV125" i="1"/>
  <c r="CW125" i="1"/>
  <c r="CX125" i="1"/>
  <c r="CV126" i="1"/>
  <c r="CW126" i="1"/>
  <c r="CX126" i="1"/>
  <c r="CV127" i="1"/>
  <c r="CW127" i="1"/>
  <c r="CX127" i="1"/>
  <c r="CV128" i="1"/>
  <c r="CW128" i="1"/>
  <c r="CX128" i="1"/>
  <c r="CV129" i="1"/>
  <c r="CW129" i="1"/>
  <c r="CX129" i="1"/>
  <c r="CV130" i="1"/>
  <c r="CW130" i="1"/>
  <c r="CX130" i="1"/>
  <c r="CV131" i="1"/>
  <c r="CW131" i="1"/>
  <c r="CX131" i="1"/>
  <c r="CV132" i="1"/>
  <c r="CW132" i="1"/>
  <c r="CX132" i="1"/>
  <c r="CV133" i="1"/>
  <c r="CW133" i="1"/>
  <c r="CX133" i="1"/>
  <c r="CV134" i="1"/>
  <c r="CW134" i="1"/>
  <c r="CX134" i="1"/>
  <c r="CV135" i="1"/>
  <c r="CW135" i="1"/>
  <c r="CX135" i="1"/>
  <c r="CV136" i="1"/>
  <c r="CW136" i="1"/>
  <c r="CX136" i="1"/>
  <c r="CV137" i="1"/>
  <c r="CW137" i="1"/>
  <c r="CX137" i="1"/>
  <c r="CV138" i="1"/>
  <c r="CW138" i="1"/>
  <c r="CX138" i="1"/>
  <c r="CV139" i="1"/>
  <c r="CW139" i="1"/>
  <c r="CX139" i="1"/>
  <c r="CV140" i="1"/>
  <c r="CW140" i="1"/>
  <c r="CX140" i="1"/>
  <c r="CV141" i="1"/>
  <c r="CW141" i="1"/>
  <c r="CX141" i="1"/>
  <c r="CV142" i="1"/>
  <c r="CW142" i="1"/>
  <c r="CX142" i="1"/>
  <c r="CV143" i="1"/>
  <c r="CW143" i="1"/>
  <c r="CX143" i="1"/>
  <c r="CV144" i="1"/>
  <c r="CW144" i="1"/>
  <c r="CX144" i="1"/>
  <c r="CV145" i="1"/>
  <c r="CW145" i="1"/>
  <c r="CX145" i="1"/>
  <c r="CV146" i="1"/>
  <c r="CW146" i="1"/>
  <c r="CX146" i="1"/>
  <c r="CV147" i="1"/>
  <c r="CW147" i="1"/>
  <c r="CX147" i="1"/>
  <c r="CV148" i="1"/>
  <c r="CW148" i="1"/>
  <c r="CX148" i="1"/>
  <c r="CV149" i="1"/>
  <c r="CW149" i="1"/>
  <c r="CX149" i="1"/>
  <c r="CV150" i="1"/>
  <c r="CW150" i="1"/>
  <c r="CX150" i="1"/>
  <c r="CV151" i="1"/>
  <c r="CW151" i="1"/>
  <c r="CX151" i="1"/>
  <c r="CV152" i="1"/>
  <c r="CW152" i="1"/>
  <c r="CX152" i="1"/>
  <c r="CV153" i="1"/>
  <c r="CW153" i="1"/>
  <c r="CX153" i="1"/>
  <c r="CV154" i="1"/>
  <c r="CW154" i="1"/>
  <c r="CX154" i="1"/>
  <c r="CV155" i="1"/>
  <c r="CW155" i="1"/>
  <c r="CX155" i="1"/>
  <c r="CV156" i="1"/>
  <c r="CW156" i="1"/>
  <c r="CX156" i="1"/>
  <c r="CV157" i="1"/>
  <c r="CW157" i="1"/>
  <c r="CX157" i="1"/>
  <c r="CV158" i="1"/>
  <c r="CW158" i="1"/>
  <c r="CX158" i="1"/>
  <c r="CV159" i="1"/>
  <c r="CW159" i="1"/>
  <c r="CX159" i="1"/>
  <c r="CV160" i="1"/>
  <c r="CW160" i="1"/>
  <c r="CX160" i="1"/>
  <c r="CV161" i="1"/>
  <c r="CW161" i="1"/>
  <c r="CX161" i="1"/>
  <c r="CV162" i="1"/>
  <c r="CW162" i="1"/>
  <c r="CX162" i="1"/>
  <c r="CV163" i="1"/>
  <c r="CW163" i="1"/>
  <c r="CX163" i="1"/>
  <c r="CV164" i="1"/>
  <c r="CW164" i="1"/>
  <c r="CX164" i="1"/>
  <c r="CV165" i="1"/>
  <c r="CW165" i="1"/>
  <c r="CX165" i="1"/>
  <c r="CV166" i="1"/>
  <c r="CW166" i="1"/>
  <c r="CX166" i="1"/>
  <c r="CV167" i="1"/>
  <c r="CW167" i="1"/>
  <c r="CX167" i="1"/>
  <c r="CV168" i="1"/>
  <c r="CW168" i="1"/>
  <c r="CX168" i="1"/>
  <c r="CV169" i="1"/>
  <c r="CW169" i="1"/>
  <c r="CX169" i="1"/>
  <c r="CV170" i="1"/>
  <c r="CW170" i="1"/>
  <c r="CX170" i="1"/>
  <c r="CV171" i="1"/>
  <c r="CW171" i="1"/>
  <c r="CX171" i="1"/>
  <c r="CV172" i="1"/>
  <c r="CW172" i="1"/>
  <c r="CX172" i="1"/>
  <c r="CV173" i="1"/>
  <c r="CW173" i="1"/>
  <c r="CX173" i="1"/>
  <c r="CV174" i="1"/>
  <c r="CW174" i="1"/>
  <c r="CX174" i="1"/>
  <c r="CV175" i="1"/>
  <c r="CW175" i="1"/>
  <c r="CX175" i="1"/>
  <c r="CV176" i="1"/>
  <c r="CW176" i="1"/>
  <c r="CX176" i="1"/>
  <c r="CV177" i="1"/>
  <c r="CW177" i="1"/>
  <c r="CX177" i="1"/>
  <c r="CV178" i="1"/>
  <c r="CW178" i="1"/>
  <c r="CX178" i="1"/>
  <c r="CV179" i="1"/>
  <c r="CW179" i="1"/>
  <c r="CX179" i="1"/>
  <c r="CV180" i="1"/>
  <c r="CW180" i="1"/>
  <c r="CX180" i="1"/>
  <c r="CV181" i="1"/>
  <c r="CW181" i="1"/>
  <c r="CX181" i="1"/>
  <c r="CV182" i="1"/>
  <c r="CW182" i="1"/>
  <c r="CX182" i="1"/>
  <c r="CV183" i="1"/>
  <c r="CW183" i="1"/>
  <c r="CX183" i="1"/>
  <c r="CV184" i="1"/>
  <c r="CW184" i="1"/>
  <c r="CX184" i="1"/>
  <c r="CV185" i="1"/>
  <c r="CW185" i="1"/>
  <c r="CX185" i="1"/>
  <c r="CV186" i="1"/>
  <c r="CW186" i="1"/>
  <c r="CX186" i="1"/>
  <c r="CV187" i="1"/>
  <c r="CW187" i="1"/>
  <c r="CX187" i="1"/>
  <c r="CV188" i="1"/>
  <c r="CW188" i="1"/>
  <c r="CX188" i="1"/>
  <c r="CV189" i="1"/>
  <c r="CW189" i="1"/>
  <c r="CX189" i="1"/>
  <c r="CV190" i="1"/>
  <c r="CW190" i="1"/>
  <c r="CX190" i="1"/>
  <c r="CV191" i="1"/>
  <c r="CW191" i="1"/>
  <c r="CX191" i="1"/>
  <c r="CV192" i="1"/>
  <c r="CW192" i="1"/>
  <c r="CX192" i="1"/>
  <c r="CV193" i="1"/>
  <c r="CW193" i="1"/>
  <c r="CX193" i="1"/>
  <c r="CV194" i="1"/>
  <c r="CW194" i="1"/>
  <c r="CX194" i="1"/>
  <c r="CV195" i="1"/>
  <c r="CW195" i="1"/>
  <c r="CX195" i="1"/>
  <c r="CV196" i="1"/>
  <c r="CW196" i="1"/>
  <c r="CX196" i="1"/>
  <c r="CV197" i="1"/>
  <c r="CW197" i="1"/>
  <c r="CX197" i="1"/>
  <c r="CV198" i="1"/>
  <c r="CW198" i="1"/>
  <c r="CX198" i="1"/>
  <c r="CV199" i="1"/>
  <c r="CW199" i="1"/>
  <c r="CX199" i="1"/>
  <c r="CV200" i="1"/>
  <c r="CW200" i="1"/>
  <c r="CX200" i="1"/>
  <c r="CV201" i="1"/>
  <c r="CW201" i="1"/>
  <c r="CX201" i="1"/>
  <c r="CV202" i="1"/>
  <c r="CW202" i="1"/>
  <c r="CX202" i="1"/>
  <c r="CV4" i="1"/>
  <c r="CW4" i="1"/>
  <c r="CX4" i="1"/>
  <c r="CV5" i="1"/>
  <c r="CW5" i="1"/>
  <c r="CX5" i="1"/>
  <c r="CV6" i="1"/>
  <c r="CW6" i="1"/>
  <c r="CX6" i="1"/>
  <c r="CV7" i="1"/>
  <c r="CW7" i="1"/>
  <c r="CX7" i="1"/>
  <c r="CV8" i="1"/>
  <c r="CW8" i="1"/>
  <c r="CX8" i="1"/>
  <c r="CV9" i="1"/>
  <c r="CW9" i="1"/>
  <c r="CX9" i="1"/>
  <c r="BG4" i="1"/>
  <c r="BH4" i="1"/>
  <c r="BI4" i="1"/>
  <c r="BG5" i="1"/>
  <c r="BH5" i="1"/>
  <c r="BI5" i="1"/>
  <c r="BG6" i="1"/>
  <c r="BH6" i="1"/>
  <c r="BI6" i="1"/>
  <c r="BG7" i="1"/>
  <c r="BH7" i="1"/>
  <c r="BI7" i="1"/>
  <c r="BG8" i="1"/>
  <c r="BH8" i="1"/>
  <c r="BI8" i="1"/>
  <c r="BG9" i="1"/>
  <c r="BH9" i="1"/>
  <c r="BI9" i="1"/>
  <c r="BG10" i="1"/>
  <c r="BH10" i="1"/>
  <c r="BI10" i="1"/>
  <c r="BG11" i="1"/>
  <c r="BH11" i="1"/>
  <c r="BI11" i="1"/>
  <c r="BG12" i="1"/>
  <c r="BH12" i="1"/>
  <c r="BI12" i="1"/>
  <c r="BG13" i="1"/>
  <c r="BH13" i="1"/>
  <c r="BI13" i="1"/>
  <c r="BG14" i="1"/>
  <c r="BH14" i="1"/>
  <c r="BI14" i="1"/>
  <c r="BG15" i="1"/>
  <c r="BH15" i="1"/>
  <c r="BI15" i="1"/>
  <c r="BG16" i="1"/>
  <c r="BH16" i="1"/>
  <c r="BI16" i="1"/>
  <c r="BG17" i="1"/>
  <c r="BH17" i="1"/>
  <c r="BI17" i="1"/>
  <c r="BG18" i="1"/>
  <c r="BH18" i="1"/>
  <c r="BI18" i="1"/>
  <c r="BG19" i="1"/>
  <c r="BH19" i="1"/>
  <c r="BI19" i="1"/>
  <c r="BG20" i="1"/>
  <c r="BH20" i="1"/>
  <c r="BI20" i="1"/>
  <c r="BG21" i="1"/>
  <c r="BH21" i="1"/>
  <c r="BI21" i="1"/>
  <c r="BG22" i="1"/>
  <c r="BH22" i="1"/>
  <c r="BI22" i="1"/>
  <c r="BG23" i="1"/>
  <c r="BH23" i="1"/>
  <c r="BI23" i="1"/>
  <c r="BG24" i="1"/>
  <c r="BH24" i="1"/>
  <c r="BI24" i="1"/>
  <c r="BG25" i="1"/>
  <c r="BH25" i="1"/>
  <c r="BI25" i="1"/>
  <c r="BG26" i="1"/>
  <c r="BH26" i="1"/>
  <c r="BI26" i="1"/>
  <c r="BG27" i="1"/>
  <c r="BH27" i="1"/>
  <c r="BI27" i="1"/>
  <c r="BG28" i="1"/>
  <c r="BH28" i="1"/>
  <c r="BI28" i="1"/>
  <c r="BG29" i="1"/>
  <c r="BH29" i="1"/>
  <c r="BI29" i="1"/>
  <c r="BG30" i="1"/>
  <c r="BH30" i="1"/>
  <c r="BI30" i="1"/>
  <c r="BG31" i="1"/>
  <c r="BH31" i="1"/>
  <c r="BI31" i="1"/>
  <c r="BG32" i="1"/>
  <c r="BH32" i="1"/>
  <c r="BI32" i="1"/>
  <c r="BG33" i="1"/>
  <c r="BH33" i="1"/>
  <c r="BI33" i="1"/>
  <c r="BG34" i="1"/>
  <c r="BH34" i="1"/>
  <c r="BI34" i="1"/>
  <c r="BG35" i="1"/>
  <c r="BH35" i="1"/>
  <c r="BI35" i="1"/>
  <c r="BG36" i="1"/>
  <c r="BH36" i="1"/>
  <c r="BI36" i="1"/>
  <c r="BG37" i="1"/>
  <c r="BH37" i="1"/>
  <c r="BI37" i="1"/>
  <c r="BG38" i="1"/>
  <c r="BH38" i="1"/>
  <c r="BI38" i="1"/>
  <c r="BG39" i="1"/>
  <c r="BH39" i="1"/>
  <c r="BI39" i="1"/>
  <c r="BG40" i="1"/>
  <c r="BH40" i="1"/>
  <c r="BI40" i="1"/>
  <c r="BG41" i="1"/>
  <c r="BH41" i="1"/>
  <c r="BI41" i="1"/>
  <c r="BG42" i="1"/>
  <c r="BH42" i="1"/>
  <c r="BI42" i="1"/>
  <c r="BG43" i="1"/>
  <c r="BH43" i="1"/>
  <c r="BI43" i="1"/>
  <c r="BG44" i="1"/>
  <c r="BH44" i="1"/>
  <c r="BI44" i="1"/>
  <c r="BG45" i="1"/>
  <c r="BH45" i="1"/>
  <c r="BI45" i="1"/>
  <c r="BG46" i="1"/>
  <c r="BH46" i="1"/>
  <c r="BI46" i="1"/>
  <c r="BG47" i="1"/>
  <c r="BH47" i="1"/>
  <c r="BI47" i="1"/>
  <c r="BG48" i="1"/>
  <c r="BH48" i="1"/>
  <c r="BI48" i="1"/>
  <c r="BG49" i="1"/>
  <c r="BH49" i="1"/>
  <c r="BI49" i="1"/>
  <c r="BG50" i="1"/>
  <c r="BH50" i="1"/>
  <c r="BI50" i="1"/>
  <c r="BG51" i="1"/>
  <c r="BH51" i="1"/>
  <c r="BI51" i="1"/>
  <c r="BG52" i="1"/>
  <c r="BH52" i="1"/>
  <c r="BI52" i="1"/>
  <c r="BG53" i="1"/>
  <c r="BH53" i="1"/>
  <c r="BI53" i="1"/>
  <c r="BG54" i="1"/>
  <c r="BH54" i="1"/>
  <c r="BI54" i="1"/>
  <c r="BG55" i="1"/>
  <c r="BH55" i="1"/>
  <c r="BI55" i="1"/>
  <c r="BG56" i="1"/>
  <c r="BH56" i="1"/>
  <c r="BI56" i="1"/>
  <c r="BG57" i="1"/>
  <c r="BH57" i="1"/>
  <c r="BI57" i="1"/>
  <c r="BG58" i="1"/>
  <c r="BH58" i="1"/>
  <c r="BI58" i="1"/>
  <c r="BG59" i="1"/>
  <c r="BH59" i="1"/>
  <c r="BI59" i="1"/>
  <c r="BG60" i="1"/>
  <c r="BH60" i="1"/>
  <c r="BI60" i="1"/>
  <c r="BG61" i="1"/>
  <c r="BH61" i="1"/>
  <c r="BI61" i="1"/>
  <c r="BG62" i="1"/>
  <c r="BH62" i="1"/>
  <c r="BI62" i="1"/>
  <c r="BG63" i="1"/>
  <c r="BH63" i="1"/>
  <c r="BI63" i="1"/>
  <c r="BG64" i="1"/>
  <c r="BH64" i="1"/>
  <c r="BI64" i="1"/>
  <c r="BG65" i="1"/>
  <c r="BH65" i="1"/>
  <c r="BI65" i="1"/>
  <c r="BG66" i="1"/>
  <c r="BH66" i="1"/>
  <c r="BI66" i="1"/>
  <c r="BG67" i="1"/>
  <c r="BH67" i="1"/>
  <c r="BI67" i="1"/>
  <c r="BG68" i="1"/>
  <c r="BH68" i="1"/>
  <c r="BI68" i="1"/>
  <c r="BG69" i="1"/>
  <c r="BH69" i="1"/>
  <c r="BI69" i="1"/>
  <c r="BG70" i="1"/>
  <c r="BH70" i="1"/>
  <c r="BI70" i="1"/>
  <c r="BG71" i="1"/>
  <c r="BH71" i="1"/>
  <c r="BI71" i="1"/>
  <c r="BG72" i="1"/>
  <c r="BH72" i="1"/>
  <c r="BI72" i="1"/>
  <c r="BG73" i="1"/>
  <c r="BH73" i="1"/>
  <c r="BI73" i="1"/>
  <c r="BG74" i="1"/>
  <c r="BH74" i="1"/>
  <c r="BI74" i="1"/>
  <c r="BG75" i="1"/>
  <c r="BH75" i="1"/>
  <c r="BI75" i="1"/>
  <c r="BG76" i="1"/>
  <c r="BH76" i="1"/>
  <c r="BI76" i="1"/>
  <c r="BG77" i="1"/>
  <c r="BH77" i="1"/>
  <c r="BI77" i="1"/>
  <c r="BG78" i="1"/>
  <c r="BH78" i="1"/>
  <c r="BI78" i="1"/>
  <c r="BG79" i="1"/>
  <c r="BH79" i="1"/>
  <c r="BI79" i="1"/>
  <c r="BG80" i="1"/>
  <c r="BH80" i="1"/>
  <c r="BI80" i="1"/>
  <c r="BG81" i="1"/>
  <c r="BH81" i="1"/>
  <c r="BI81" i="1"/>
  <c r="BG82" i="1"/>
  <c r="BH82" i="1"/>
  <c r="BI82" i="1"/>
  <c r="BG83" i="1"/>
  <c r="BH83" i="1"/>
  <c r="BI83" i="1"/>
  <c r="BG84" i="1"/>
  <c r="BH84" i="1"/>
  <c r="BI84" i="1"/>
  <c r="BG85" i="1"/>
  <c r="BH85" i="1"/>
  <c r="BI85" i="1"/>
  <c r="BG86" i="1"/>
  <c r="BH86" i="1"/>
  <c r="BI86" i="1"/>
  <c r="BG87" i="1"/>
  <c r="BH87" i="1"/>
  <c r="BI87" i="1"/>
  <c r="BG88" i="1"/>
  <c r="BH88" i="1"/>
  <c r="BI88" i="1"/>
  <c r="BG89" i="1"/>
  <c r="BH89" i="1"/>
  <c r="BI89" i="1"/>
  <c r="BG90" i="1"/>
  <c r="BH90" i="1"/>
  <c r="BI90" i="1"/>
  <c r="BG91" i="1"/>
  <c r="BH91" i="1"/>
  <c r="BI91" i="1"/>
  <c r="BG92" i="1"/>
  <c r="BH92" i="1"/>
  <c r="BI92" i="1"/>
  <c r="BG93" i="1"/>
  <c r="BH93" i="1"/>
  <c r="BI93" i="1"/>
  <c r="BG94" i="1"/>
  <c r="BH94" i="1"/>
  <c r="BI94" i="1"/>
  <c r="BG95" i="1"/>
  <c r="BH95" i="1"/>
  <c r="BI95" i="1"/>
  <c r="BG96" i="1"/>
  <c r="BH96" i="1"/>
  <c r="BI96" i="1"/>
  <c r="BG97" i="1"/>
  <c r="BH97" i="1"/>
  <c r="BI97" i="1"/>
  <c r="BG98" i="1"/>
  <c r="BH98" i="1"/>
  <c r="BI98" i="1"/>
  <c r="BG99" i="1"/>
  <c r="BH99" i="1"/>
  <c r="BI99" i="1"/>
  <c r="BG100" i="1"/>
  <c r="BH100" i="1"/>
  <c r="BI100" i="1"/>
  <c r="BG101" i="1"/>
  <c r="BH101" i="1"/>
  <c r="BI101" i="1"/>
  <c r="BG102" i="1"/>
  <c r="BH102" i="1"/>
  <c r="BI102" i="1"/>
  <c r="BG103" i="1"/>
  <c r="BH103" i="1"/>
  <c r="BI103" i="1"/>
  <c r="BG104" i="1"/>
  <c r="BH104" i="1"/>
  <c r="BI104" i="1"/>
  <c r="BG105" i="1"/>
  <c r="BH105" i="1"/>
  <c r="BI105" i="1"/>
  <c r="BG106" i="1"/>
  <c r="BH106" i="1"/>
  <c r="BI106" i="1"/>
  <c r="BG107" i="1"/>
  <c r="BH107" i="1"/>
  <c r="BI107" i="1"/>
  <c r="BG108" i="1"/>
  <c r="BH108" i="1"/>
  <c r="BI108" i="1"/>
  <c r="BG109" i="1"/>
  <c r="BH109" i="1"/>
  <c r="BI109" i="1"/>
  <c r="BG110" i="1"/>
  <c r="BH110" i="1"/>
  <c r="BI110" i="1"/>
  <c r="BG111" i="1"/>
  <c r="BH111" i="1"/>
  <c r="BI111" i="1"/>
  <c r="BG112" i="1"/>
  <c r="BH112" i="1"/>
  <c r="BI112" i="1"/>
  <c r="BG113" i="1"/>
  <c r="BH113" i="1"/>
  <c r="BI113" i="1"/>
  <c r="BG114" i="1"/>
  <c r="BH114" i="1"/>
  <c r="BI114" i="1"/>
  <c r="BG115" i="1"/>
  <c r="BH115" i="1"/>
  <c r="BI115" i="1"/>
  <c r="BG116" i="1"/>
  <c r="BH116" i="1"/>
  <c r="BI116" i="1"/>
  <c r="BG117" i="1"/>
  <c r="BH117" i="1"/>
  <c r="BI117" i="1"/>
  <c r="BG118" i="1"/>
  <c r="BH118" i="1"/>
  <c r="BI118" i="1"/>
  <c r="BG119" i="1"/>
  <c r="BH119" i="1"/>
  <c r="BI119" i="1"/>
  <c r="BG120" i="1"/>
  <c r="BH120" i="1"/>
  <c r="BI120" i="1"/>
  <c r="BG121" i="1"/>
  <c r="BH121" i="1"/>
  <c r="BI121" i="1"/>
  <c r="BG122" i="1"/>
  <c r="BH122" i="1"/>
  <c r="BI122" i="1"/>
  <c r="BG123" i="1"/>
  <c r="BH123" i="1"/>
  <c r="BI123" i="1"/>
  <c r="BG124" i="1"/>
  <c r="BH124" i="1"/>
  <c r="BI124" i="1"/>
  <c r="BG125" i="1"/>
  <c r="BH125" i="1"/>
  <c r="BI125" i="1"/>
  <c r="BG126" i="1"/>
  <c r="BH126" i="1"/>
  <c r="BI126" i="1"/>
  <c r="BG127" i="1"/>
  <c r="BH127" i="1"/>
  <c r="BI127" i="1"/>
  <c r="BG128" i="1"/>
  <c r="BH128" i="1"/>
  <c r="BI128" i="1"/>
  <c r="BG129" i="1"/>
  <c r="BH129" i="1"/>
  <c r="BI129" i="1"/>
  <c r="BG130" i="1"/>
  <c r="BH130" i="1"/>
  <c r="BI130" i="1"/>
  <c r="BG131" i="1"/>
  <c r="BH131" i="1"/>
  <c r="BI131" i="1"/>
  <c r="BG132" i="1"/>
  <c r="BH132" i="1"/>
  <c r="BI132" i="1"/>
  <c r="BG133" i="1"/>
  <c r="BH133" i="1"/>
  <c r="BI133" i="1"/>
  <c r="BG134" i="1"/>
  <c r="BH134" i="1"/>
  <c r="BI134" i="1"/>
  <c r="BG135" i="1"/>
  <c r="BH135" i="1"/>
  <c r="BI135" i="1"/>
  <c r="BG136" i="1"/>
  <c r="BH136" i="1"/>
  <c r="BI136" i="1"/>
  <c r="BG137" i="1"/>
  <c r="BH137" i="1"/>
  <c r="BI137" i="1"/>
  <c r="BG138" i="1"/>
  <c r="BH138" i="1"/>
  <c r="BI138" i="1"/>
  <c r="BG139" i="1"/>
  <c r="BH139" i="1"/>
  <c r="BI139" i="1"/>
  <c r="BG140" i="1"/>
  <c r="BH140" i="1"/>
  <c r="BI140" i="1"/>
  <c r="BG141" i="1"/>
  <c r="BH141" i="1"/>
  <c r="BI141" i="1"/>
  <c r="BG142" i="1"/>
  <c r="BH142" i="1"/>
  <c r="BI142" i="1"/>
  <c r="BG143" i="1"/>
  <c r="BH143" i="1"/>
  <c r="BI143" i="1"/>
  <c r="BG144" i="1"/>
  <c r="BH144" i="1"/>
  <c r="BI144" i="1"/>
  <c r="BG145" i="1"/>
  <c r="BH145" i="1"/>
  <c r="BI145" i="1"/>
  <c r="BG146" i="1"/>
  <c r="BH146" i="1"/>
  <c r="BI146" i="1"/>
  <c r="BG147" i="1"/>
  <c r="BH147" i="1"/>
  <c r="BI147" i="1"/>
  <c r="BG148" i="1"/>
  <c r="BH148" i="1"/>
  <c r="BI148" i="1"/>
  <c r="BG149" i="1"/>
  <c r="BH149" i="1"/>
  <c r="BI149" i="1"/>
  <c r="BG150" i="1"/>
  <c r="BH150" i="1"/>
  <c r="BI150" i="1"/>
  <c r="BG151" i="1"/>
  <c r="BH151" i="1"/>
  <c r="BI151" i="1"/>
  <c r="BG152" i="1"/>
  <c r="BH152" i="1"/>
  <c r="BI152" i="1"/>
  <c r="BG153" i="1"/>
  <c r="BH153" i="1"/>
  <c r="BI153" i="1"/>
  <c r="BG154" i="1"/>
  <c r="BH154" i="1"/>
  <c r="BI154" i="1"/>
  <c r="BG155" i="1"/>
  <c r="BH155" i="1"/>
  <c r="BI155" i="1"/>
  <c r="BG156" i="1"/>
  <c r="BH156" i="1"/>
  <c r="BI156" i="1"/>
  <c r="BG157" i="1"/>
  <c r="BH157" i="1"/>
  <c r="BI157" i="1"/>
  <c r="BG158" i="1"/>
  <c r="BH158" i="1"/>
  <c r="BI158" i="1"/>
  <c r="BG159" i="1"/>
  <c r="BH159" i="1"/>
  <c r="BI159" i="1"/>
  <c r="BG160" i="1"/>
  <c r="BH160" i="1"/>
  <c r="BI160" i="1"/>
  <c r="BG161" i="1"/>
  <c r="BH161" i="1"/>
  <c r="BI161" i="1"/>
  <c r="BG162" i="1"/>
  <c r="BH162" i="1"/>
  <c r="BI162" i="1"/>
  <c r="BG163" i="1"/>
  <c r="BH163" i="1"/>
  <c r="BI163" i="1"/>
  <c r="BG164" i="1"/>
  <c r="BH164" i="1"/>
  <c r="BI164" i="1"/>
  <c r="BG165" i="1"/>
  <c r="BH165" i="1"/>
  <c r="BI165" i="1"/>
  <c r="BG166" i="1"/>
  <c r="BH166" i="1"/>
  <c r="BI166" i="1"/>
  <c r="BG167" i="1"/>
  <c r="BH167" i="1"/>
  <c r="BI167" i="1"/>
  <c r="BG168" i="1"/>
  <c r="BH168" i="1"/>
  <c r="BI168" i="1"/>
  <c r="BG169" i="1"/>
  <c r="BH169" i="1"/>
  <c r="BI169" i="1"/>
  <c r="BG170" i="1"/>
  <c r="BH170" i="1"/>
  <c r="BI170" i="1"/>
  <c r="BG171" i="1"/>
  <c r="BH171" i="1"/>
  <c r="BI171" i="1"/>
  <c r="BG172" i="1"/>
  <c r="BH172" i="1"/>
  <c r="BI172" i="1"/>
  <c r="BG173" i="1"/>
  <c r="BH173" i="1"/>
  <c r="BI173" i="1"/>
  <c r="BG174" i="1"/>
  <c r="BH174" i="1"/>
  <c r="BI174" i="1"/>
  <c r="BG175" i="1"/>
  <c r="BH175" i="1"/>
  <c r="BI175" i="1"/>
  <c r="BG176" i="1"/>
  <c r="BH176" i="1"/>
  <c r="BI176" i="1"/>
  <c r="BG177" i="1"/>
  <c r="BH177" i="1"/>
  <c r="BI177" i="1"/>
  <c r="BG178" i="1"/>
  <c r="BH178" i="1"/>
  <c r="BI178" i="1"/>
  <c r="BG179" i="1"/>
  <c r="BH179" i="1"/>
  <c r="BI179" i="1"/>
  <c r="BG180" i="1"/>
  <c r="BH180" i="1"/>
  <c r="BI180" i="1"/>
  <c r="BG181" i="1"/>
  <c r="BH181" i="1"/>
  <c r="BI181" i="1"/>
  <c r="BG182" i="1"/>
  <c r="BH182" i="1"/>
  <c r="BI182" i="1"/>
  <c r="BG183" i="1"/>
  <c r="BH183" i="1"/>
  <c r="BI183" i="1"/>
  <c r="BG184" i="1"/>
  <c r="BH184" i="1"/>
  <c r="BI184" i="1"/>
  <c r="BG185" i="1"/>
  <c r="BH185" i="1"/>
  <c r="BI185" i="1"/>
  <c r="BG186" i="1"/>
  <c r="BH186" i="1"/>
  <c r="BI186" i="1"/>
  <c r="BG187" i="1"/>
  <c r="BH187" i="1"/>
  <c r="BI187" i="1"/>
  <c r="BG188" i="1"/>
  <c r="BH188" i="1"/>
  <c r="BI188" i="1"/>
  <c r="BG189" i="1"/>
  <c r="BH189" i="1"/>
  <c r="BI189" i="1"/>
  <c r="BG190" i="1"/>
  <c r="BH190" i="1"/>
  <c r="BI190" i="1"/>
  <c r="BG191" i="1"/>
  <c r="BH191" i="1"/>
  <c r="BI191" i="1"/>
  <c r="BG192" i="1"/>
  <c r="BH192" i="1"/>
  <c r="BI192" i="1"/>
  <c r="BG193" i="1"/>
  <c r="BH193" i="1"/>
  <c r="BI193" i="1"/>
  <c r="BG194" i="1"/>
  <c r="BH194" i="1"/>
  <c r="BI194" i="1"/>
  <c r="BG195" i="1"/>
  <c r="BH195" i="1"/>
  <c r="BI195" i="1"/>
  <c r="BG196" i="1"/>
  <c r="BH196" i="1"/>
  <c r="BI196" i="1"/>
  <c r="BG197" i="1"/>
  <c r="BH197" i="1"/>
  <c r="BI197" i="1"/>
  <c r="BG198" i="1"/>
  <c r="BH198" i="1"/>
  <c r="BI198" i="1"/>
  <c r="BG199" i="1"/>
  <c r="BH199" i="1"/>
  <c r="BI199" i="1"/>
  <c r="BG200" i="1"/>
  <c r="BH200" i="1"/>
  <c r="BI200" i="1"/>
  <c r="BG201" i="1"/>
  <c r="BH201" i="1"/>
  <c r="BI201" i="1"/>
  <c r="BG202" i="1"/>
  <c r="BH202" i="1"/>
  <c r="BI202" i="1"/>
  <c r="DL4" i="1"/>
  <c r="DM4" i="1"/>
  <c r="DN4" i="1"/>
  <c r="DL5" i="1"/>
  <c r="DM5" i="1"/>
  <c r="DN5" i="1"/>
  <c r="DL6" i="1"/>
  <c r="DM6" i="1"/>
  <c r="DN6" i="1"/>
  <c r="DL7" i="1"/>
  <c r="DM7" i="1"/>
  <c r="DN7" i="1"/>
  <c r="DL8" i="1"/>
  <c r="DM8" i="1"/>
  <c r="DN8" i="1"/>
  <c r="DL9" i="1"/>
  <c r="DM9" i="1"/>
  <c r="DN9" i="1"/>
  <c r="DL10" i="1"/>
  <c r="DM10" i="1"/>
  <c r="DN10" i="1"/>
  <c r="DL11" i="1"/>
  <c r="DM11" i="1"/>
  <c r="DN11" i="1"/>
  <c r="DL12" i="1"/>
  <c r="DM12" i="1"/>
  <c r="DN12" i="1"/>
  <c r="DL13" i="1"/>
  <c r="DM13" i="1"/>
  <c r="DN13" i="1"/>
  <c r="DL14" i="1"/>
  <c r="DM14" i="1"/>
  <c r="DN14" i="1"/>
  <c r="DL15" i="1"/>
  <c r="DM15" i="1"/>
  <c r="DN15" i="1"/>
  <c r="DL16" i="1"/>
  <c r="DM16" i="1"/>
  <c r="DN16" i="1"/>
  <c r="DL17" i="1"/>
  <c r="DM17" i="1"/>
  <c r="DN17" i="1"/>
  <c r="DL18" i="1"/>
  <c r="DM18" i="1"/>
  <c r="DN18" i="1"/>
  <c r="DL19" i="1"/>
  <c r="DM19" i="1"/>
  <c r="DN19" i="1"/>
  <c r="DL20" i="1"/>
  <c r="DM20" i="1"/>
  <c r="DN20" i="1"/>
  <c r="DL21" i="1"/>
  <c r="DM21" i="1"/>
  <c r="DN21" i="1"/>
  <c r="DL22" i="1"/>
  <c r="DM22" i="1"/>
  <c r="DN22" i="1"/>
  <c r="DL23" i="1"/>
  <c r="DM23" i="1"/>
  <c r="DN23" i="1"/>
  <c r="DL24" i="1"/>
  <c r="DM24" i="1"/>
  <c r="DN24" i="1"/>
  <c r="DL25" i="1"/>
  <c r="DM25" i="1"/>
  <c r="DN25" i="1"/>
  <c r="DL26" i="1"/>
  <c r="DM26" i="1"/>
  <c r="DN26" i="1"/>
  <c r="DL27" i="1"/>
  <c r="DM27" i="1"/>
  <c r="DN27" i="1"/>
  <c r="DL28" i="1"/>
  <c r="DM28" i="1"/>
  <c r="DN28" i="1"/>
  <c r="DL29" i="1"/>
  <c r="DM29" i="1"/>
  <c r="DN29" i="1"/>
  <c r="DL30" i="1"/>
  <c r="DM30" i="1"/>
  <c r="DN30" i="1"/>
  <c r="DL31" i="1"/>
  <c r="DM31" i="1"/>
  <c r="DN31" i="1"/>
  <c r="DL32" i="1"/>
  <c r="DM32" i="1"/>
  <c r="DN32" i="1"/>
  <c r="DL33" i="1"/>
  <c r="DM33" i="1"/>
  <c r="DN33" i="1"/>
  <c r="DL34" i="1"/>
  <c r="DM34" i="1"/>
  <c r="DN34" i="1"/>
  <c r="DL35" i="1"/>
  <c r="DM35" i="1"/>
  <c r="DN35" i="1"/>
  <c r="DL36" i="1"/>
  <c r="DM36" i="1"/>
  <c r="DN36" i="1"/>
  <c r="DL37" i="1"/>
  <c r="DM37" i="1"/>
  <c r="DN37" i="1"/>
  <c r="DL38" i="1"/>
  <c r="DM38" i="1"/>
  <c r="DN38" i="1"/>
  <c r="DL39" i="1"/>
  <c r="DM39" i="1"/>
  <c r="DN39" i="1"/>
  <c r="DL40" i="1"/>
  <c r="DM40" i="1"/>
  <c r="DN40" i="1"/>
  <c r="DL41" i="1"/>
  <c r="DM41" i="1"/>
  <c r="DN41" i="1"/>
  <c r="DL42" i="1"/>
  <c r="DM42" i="1"/>
  <c r="DN42" i="1"/>
  <c r="DL43" i="1"/>
  <c r="DM43" i="1"/>
  <c r="DN43" i="1"/>
  <c r="DL44" i="1"/>
  <c r="DM44" i="1"/>
  <c r="DN44" i="1"/>
  <c r="DL45" i="1"/>
  <c r="DM45" i="1"/>
  <c r="DN45" i="1"/>
  <c r="DL46" i="1"/>
  <c r="DM46" i="1"/>
  <c r="DN46" i="1"/>
  <c r="DL47" i="1"/>
  <c r="DM47" i="1"/>
  <c r="DN47" i="1"/>
  <c r="DL48" i="1"/>
  <c r="DM48" i="1"/>
  <c r="DN48" i="1"/>
  <c r="DL49" i="1"/>
  <c r="DM49" i="1"/>
  <c r="DN49" i="1"/>
  <c r="DL50" i="1"/>
  <c r="DM50" i="1"/>
  <c r="DN50" i="1"/>
  <c r="DL51" i="1"/>
  <c r="DM51" i="1"/>
  <c r="DN51" i="1"/>
  <c r="DL52" i="1"/>
  <c r="DM52" i="1"/>
  <c r="DN52" i="1"/>
  <c r="DL53" i="1"/>
  <c r="DM53" i="1"/>
  <c r="DN53" i="1"/>
  <c r="DL54" i="1"/>
  <c r="DM54" i="1"/>
  <c r="DN54" i="1"/>
  <c r="DL55" i="1"/>
  <c r="DM55" i="1"/>
  <c r="DN55" i="1"/>
  <c r="DL56" i="1"/>
  <c r="DM56" i="1"/>
  <c r="DN56" i="1"/>
  <c r="DL57" i="1"/>
  <c r="DM57" i="1"/>
  <c r="DN57" i="1"/>
  <c r="DL58" i="1"/>
  <c r="DM58" i="1"/>
  <c r="DN58" i="1"/>
  <c r="DL59" i="1"/>
  <c r="DM59" i="1"/>
  <c r="DN59" i="1"/>
  <c r="DL60" i="1"/>
  <c r="DM60" i="1"/>
  <c r="DN60" i="1"/>
  <c r="DL61" i="1"/>
  <c r="DM61" i="1"/>
  <c r="DN61" i="1"/>
  <c r="DL62" i="1"/>
  <c r="DM62" i="1"/>
  <c r="DN62" i="1"/>
  <c r="DL63" i="1"/>
  <c r="DM63" i="1"/>
  <c r="DN63" i="1"/>
  <c r="DL64" i="1"/>
  <c r="DM64" i="1"/>
  <c r="DN64" i="1"/>
  <c r="DL65" i="1"/>
  <c r="DM65" i="1"/>
  <c r="DN65" i="1"/>
  <c r="DL66" i="1"/>
  <c r="DM66" i="1"/>
  <c r="DN66" i="1"/>
  <c r="DL67" i="1"/>
  <c r="DM67" i="1"/>
  <c r="DN67" i="1"/>
  <c r="DL68" i="1"/>
  <c r="DM68" i="1"/>
  <c r="DN68" i="1"/>
  <c r="DL69" i="1"/>
  <c r="DM69" i="1"/>
  <c r="DN69" i="1"/>
  <c r="DL70" i="1"/>
  <c r="DM70" i="1"/>
  <c r="DN70" i="1"/>
  <c r="DL71" i="1"/>
  <c r="DM71" i="1"/>
  <c r="DN71" i="1"/>
  <c r="DL72" i="1"/>
  <c r="DM72" i="1"/>
  <c r="DN72" i="1"/>
  <c r="DL73" i="1"/>
  <c r="DM73" i="1"/>
  <c r="DN73" i="1"/>
  <c r="DL74" i="1"/>
  <c r="DM74" i="1"/>
  <c r="DN74" i="1"/>
  <c r="DL75" i="1"/>
  <c r="DM75" i="1"/>
  <c r="DN75" i="1"/>
  <c r="DL76" i="1"/>
  <c r="DM76" i="1"/>
  <c r="DN76" i="1"/>
  <c r="DL77" i="1"/>
  <c r="DM77" i="1"/>
  <c r="DN77" i="1"/>
  <c r="DL78" i="1"/>
  <c r="DM78" i="1"/>
  <c r="DN78" i="1"/>
  <c r="DL79" i="1"/>
  <c r="DM79" i="1"/>
  <c r="DN79" i="1"/>
  <c r="DL80" i="1"/>
  <c r="DM80" i="1"/>
  <c r="DN80" i="1"/>
  <c r="DL81" i="1"/>
  <c r="DM81" i="1"/>
  <c r="DN81" i="1"/>
  <c r="DL82" i="1"/>
  <c r="DM82" i="1"/>
  <c r="DN82" i="1"/>
  <c r="DL83" i="1"/>
  <c r="DM83" i="1"/>
  <c r="DN83" i="1"/>
  <c r="DL84" i="1"/>
  <c r="DM84" i="1"/>
  <c r="DN84" i="1"/>
  <c r="DL85" i="1"/>
  <c r="DM85" i="1"/>
  <c r="DN85" i="1"/>
  <c r="DL86" i="1"/>
  <c r="DM86" i="1"/>
  <c r="DN86" i="1"/>
  <c r="DL87" i="1"/>
  <c r="DM87" i="1"/>
  <c r="DN87" i="1"/>
  <c r="DL88" i="1"/>
  <c r="DM88" i="1"/>
  <c r="DN88" i="1"/>
  <c r="DL89" i="1"/>
  <c r="DM89" i="1"/>
  <c r="DN89" i="1"/>
  <c r="DL90" i="1"/>
  <c r="DM90" i="1"/>
  <c r="DN90" i="1"/>
  <c r="DL91" i="1"/>
  <c r="DM91" i="1"/>
  <c r="DN91" i="1"/>
  <c r="DL92" i="1"/>
  <c r="DM92" i="1"/>
  <c r="DN92" i="1"/>
  <c r="DL93" i="1"/>
  <c r="DM93" i="1"/>
  <c r="DN93" i="1"/>
  <c r="DL94" i="1"/>
  <c r="DM94" i="1"/>
  <c r="DN94" i="1"/>
  <c r="DL95" i="1"/>
  <c r="DM95" i="1"/>
  <c r="DN95" i="1"/>
  <c r="DL96" i="1"/>
  <c r="DM96" i="1"/>
  <c r="DN96" i="1"/>
  <c r="DL97" i="1"/>
  <c r="DM97" i="1"/>
  <c r="DN97" i="1"/>
  <c r="DL98" i="1"/>
  <c r="DM98" i="1"/>
  <c r="DN98" i="1"/>
  <c r="DL99" i="1"/>
  <c r="DM99" i="1"/>
  <c r="DN99" i="1"/>
  <c r="DL100" i="1"/>
  <c r="DM100" i="1"/>
  <c r="DN100" i="1"/>
  <c r="DL101" i="1"/>
  <c r="DM101" i="1"/>
  <c r="DN101" i="1"/>
  <c r="DL102" i="1"/>
  <c r="DM102" i="1"/>
  <c r="DN102" i="1"/>
  <c r="DL103" i="1"/>
  <c r="DM103" i="1"/>
  <c r="DN103" i="1"/>
  <c r="DL104" i="1"/>
  <c r="DM104" i="1"/>
  <c r="DN104" i="1"/>
  <c r="DL105" i="1"/>
  <c r="DM105" i="1"/>
  <c r="DN105" i="1"/>
  <c r="DL106" i="1"/>
  <c r="DM106" i="1"/>
  <c r="DN106" i="1"/>
  <c r="DL107" i="1"/>
  <c r="DM107" i="1"/>
  <c r="DN107" i="1"/>
  <c r="DL108" i="1"/>
  <c r="DM108" i="1"/>
  <c r="DN108" i="1"/>
  <c r="DL109" i="1"/>
  <c r="DM109" i="1"/>
  <c r="DN109" i="1"/>
  <c r="DL110" i="1"/>
  <c r="DM110" i="1"/>
  <c r="DN110" i="1"/>
  <c r="DL111" i="1"/>
  <c r="DM111" i="1"/>
  <c r="DN111" i="1"/>
  <c r="DL112" i="1"/>
  <c r="DM112" i="1"/>
  <c r="DN112" i="1"/>
  <c r="DL113" i="1"/>
  <c r="DM113" i="1"/>
  <c r="DN113" i="1"/>
  <c r="DL114" i="1"/>
  <c r="DM114" i="1"/>
  <c r="DN114" i="1"/>
  <c r="DL115" i="1"/>
  <c r="DM115" i="1"/>
  <c r="DN115" i="1"/>
  <c r="DL116" i="1"/>
  <c r="DM116" i="1"/>
  <c r="DN116" i="1"/>
  <c r="DL117" i="1"/>
  <c r="DM117" i="1"/>
  <c r="DN117" i="1"/>
  <c r="DL118" i="1"/>
  <c r="DM118" i="1"/>
  <c r="DN118" i="1"/>
  <c r="DL119" i="1"/>
  <c r="DM119" i="1"/>
  <c r="DN119" i="1"/>
  <c r="DL120" i="1"/>
  <c r="DM120" i="1"/>
  <c r="DN120" i="1"/>
  <c r="DL121" i="1"/>
  <c r="DM121" i="1"/>
  <c r="DN121" i="1"/>
  <c r="DL122" i="1"/>
  <c r="DM122" i="1"/>
  <c r="DN122" i="1"/>
  <c r="DL123" i="1"/>
  <c r="DM123" i="1"/>
  <c r="DN123" i="1"/>
  <c r="DL124" i="1"/>
  <c r="DM124" i="1"/>
  <c r="DN124" i="1"/>
  <c r="DL125" i="1"/>
  <c r="DM125" i="1"/>
  <c r="DN125" i="1"/>
  <c r="DL126" i="1"/>
  <c r="DM126" i="1"/>
  <c r="DN126" i="1"/>
  <c r="DL127" i="1"/>
  <c r="DM127" i="1"/>
  <c r="DN127" i="1"/>
  <c r="DL128" i="1"/>
  <c r="DM128" i="1"/>
  <c r="DN128" i="1"/>
  <c r="DL129" i="1"/>
  <c r="DM129" i="1"/>
  <c r="DN129" i="1"/>
  <c r="DL130" i="1"/>
  <c r="DM130" i="1"/>
  <c r="DN130" i="1"/>
  <c r="DL131" i="1"/>
  <c r="DM131" i="1"/>
  <c r="DN131" i="1"/>
  <c r="DL132" i="1"/>
  <c r="DM132" i="1"/>
  <c r="DN132" i="1"/>
  <c r="DL133" i="1"/>
  <c r="DM133" i="1"/>
  <c r="DN133" i="1"/>
  <c r="DL134" i="1"/>
  <c r="DM134" i="1"/>
  <c r="DN134" i="1"/>
  <c r="DL135" i="1"/>
  <c r="DM135" i="1"/>
  <c r="DN135" i="1"/>
  <c r="DL136" i="1"/>
  <c r="DM136" i="1"/>
  <c r="DN136" i="1"/>
  <c r="DL137" i="1"/>
  <c r="DM137" i="1"/>
  <c r="DN137" i="1"/>
  <c r="DL138" i="1"/>
  <c r="DM138" i="1"/>
  <c r="DN138" i="1"/>
  <c r="DL139" i="1"/>
  <c r="DM139" i="1"/>
  <c r="DN139" i="1"/>
  <c r="DL140" i="1"/>
  <c r="DM140" i="1"/>
  <c r="DN140" i="1"/>
  <c r="DL141" i="1"/>
  <c r="DM141" i="1"/>
  <c r="DN141" i="1"/>
  <c r="DL142" i="1"/>
  <c r="DM142" i="1"/>
  <c r="DN142" i="1"/>
  <c r="DL143" i="1"/>
  <c r="DM143" i="1"/>
  <c r="DN143" i="1"/>
  <c r="DL144" i="1"/>
  <c r="DM144" i="1"/>
  <c r="DN144" i="1"/>
  <c r="DL145" i="1"/>
  <c r="DM145" i="1"/>
  <c r="DN145" i="1"/>
  <c r="DL146" i="1"/>
  <c r="DM146" i="1"/>
  <c r="DN146" i="1"/>
  <c r="DL147" i="1"/>
  <c r="DM147" i="1"/>
  <c r="DN147" i="1"/>
  <c r="DL148" i="1"/>
  <c r="DM148" i="1"/>
  <c r="DN148" i="1"/>
  <c r="DL149" i="1"/>
  <c r="DM149" i="1"/>
  <c r="DN149" i="1"/>
  <c r="DL150" i="1"/>
  <c r="DM150" i="1"/>
  <c r="DN150" i="1"/>
  <c r="DL151" i="1"/>
  <c r="DM151" i="1"/>
  <c r="DN151" i="1"/>
  <c r="DL152" i="1"/>
  <c r="DM152" i="1"/>
  <c r="DN152" i="1"/>
  <c r="DL153" i="1"/>
  <c r="DM153" i="1"/>
  <c r="DN153" i="1"/>
  <c r="DL154" i="1"/>
  <c r="DM154" i="1"/>
  <c r="DN154" i="1"/>
  <c r="DL155" i="1"/>
  <c r="DM155" i="1"/>
  <c r="DN155" i="1"/>
  <c r="DL156" i="1"/>
  <c r="DM156" i="1"/>
  <c r="DN156" i="1"/>
  <c r="DL157" i="1"/>
  <c r="DM157" i="1"/>
  <c r="DN157" i="1"/>
  <c r="DL158" i="1"/>
  <c r="DM158" i="1"/>
  <c r="DN158" i="1"/>
  <c r="DL159" i="1"/>
  <c r="DM159" i="1"/>
  <c r="DN159" i="1"/>
  <c r="DL160" i="1"/>
  <c r="DM160" i="1"/>
  <c r="DN160" i="1"/>
  <c r="DL161" i="1"/>
  <c r="DM161" i="1"/>
  <c r="DN161" i="1"/>
  <c r="DL162" i="1"/>
  <c r="DM162" i="1"/>
  <c r="DN162" i="1"/>
  <c r="DL163" i="1"/>
  <c r="DM163" i="1"/>
  <c r="DN163" i="1"/>
  <c r="DL164" i="1"/>
  <c r="DM164" i="1"/>
  <c r="DN164" i="1"/>
  <c r="DL165" i="1"/>
  <c r="DM165" i="1"/>
  <c r="DN165" i="1"/>
  <c r="DL166" i="1"/>
  <c r="DM166" i="1"/>
  <c r="DN166" i="1"/>
  <c r="DL167" i="1"/>
  <c r="DM167" i="1"/>
  <c r="DN167" i="1"/>
  <c r="DL168" i="1"/>
  <c r="DM168" i="1"/>
  <c r="DN168" i="1"/>
  <c r="DL169" i="1"/>
  <c r="DM169" i="1"/>
  <c r="DN169" i="1"/>
  <c r="DL170" i="1"/>
  <c r="DM170" i="1"/>
  <c r="DN170" i="1"/>
  <c r="DL171" i="1"/>
  <c r="DM171" i="1"/>
  <c r="DN171" i="1"/>
  <c r="DL172" i="1"/>
  <c r="DM172" i="1"/>
  <c r="DN172" i="1"/>
  <c r="DL173" i="1"/>
  <c r="DM173" i="1"/>
  <c r="DN173" i="1"/>
  <c r="DL174" i="1"/>
  <c r="DM174" i="1"/>
  <c r="DN174" i="1"/>
  <c r="DL175" i="1"/>
  <c r="DM175" i="1"/>
  <c r="DN175" i="1"/>
  <c r="DL176" i="1"/>
  <c r="DM176" i="1"/>
  <c r="DN176" i="1"/>
  <c r="DL177" i="1"/>
  <c r="DM177" i="1"/>
  <c r="DN177" i="1"/>
  <c r="DL178" i="1"/>
  <c r="DM178" i="1"/>
  <c r="DN178" i="1"/>
  <c r="DL179" i="1"/>
  <c r="DM179" i="1"/>
  <c r="DN179" i="1"/>
  <c r="DL180" i="1"/>
  <c r="DM180" i="1"/>
  <c r="DN180" i="1"/>
  <c r="DL181" i="1"/>
  <c r="DM181" i="1"/>
  <c r="DN181" i="1"/>
  <c r="DL182" i="1"/>
  <c r="DM182" i="1"/>
  <c r="DN182" i="1"/>
  <c r="DL183" i="1"/>
  <c r="DM183" i="1"/>
  <c r="DN183" i="1"/>
  <c r="DL184" i="1"/>
  <c r="DM184" i="1"/>
  <c r="DN184" i="1"/>
  <c r="DL185" i="1"/>
  <c r="DM185" i="1"/>
  <c r="DN185" i="1"/>
  <c r="DL186" i="1"/>
  <c r="DM186" i="1"/>
  <c r="DN186" i="1"/>
  <c r="DL187" i="1"/>
  <c r="DM187" i="1"/>
  <c r="DN187" i="1"/>
  <c r="DL188" i="1"/>
  <c r="DM188" i="1"/>
  <c r="DN188" i="1"/>
  <c r="DL189" i="1"/>
  <c r="DM189" i="1"/>
  <c r="DN189" i="1"/>
  <c r="DL190" i="1"/>
  <c r="DM190" i="1"/>
  <c r="DN190" i="1"/>
  <c r="DL191" i="1"/>
  <c r="DM191" i="1"/>
  <c r="DN191" i="1"/>
  <c r="DL192" i="1"/>
  <c r="DM192" i="1"/>
  <c r="DN192" i="1"/>
  <c r="DL193" i="1"/>
  <c r="DM193" i="1"/>
  <c r="DN193" i="1"/>
  <c r="DL194" i="1"/>
  <c r="DM194" i="1"/>
  <c r="DN194" i="1"/>
  <c r="DL195" i="1"/>
  <c r="DM195" i="1"/>
  <c r="DN195" i="1"/>
  <c r="DL196" i="1"/>
  <c r="DM196" i="1"/>
  <c r="DN196" i="1"/>
  <c r="DL197" i="1"/>
  <c r="DM197" i="1"/>
  <c r="DN197" i="1"/>
  <c r="DL198" i="1"/>
  <c r="DM198" i="1"/>
  <c r="DN198" i="1"/>
  <c r="DL199" i="1"/>
  <c r="DM199" i="1"/>
  <c r="DN199" i="1"/>
  <c r="DL200" i="1"/>
  <c r="DM200" i="1"/>
  <c r="DN200" i="1"/>
  <c r="DL201" i="1"/>
  <c r="DM201" i="1"/>
  <c r="DN201" i="1"/>
  <c r="DL202" i="1"/>
  <c r="DM202" i="1"/>
  <c r="DN202" i="1"/>
  <c r="DL3" i="1"/>
  <c r="DM3" i="1"/>
  <c r="DN3" i="1"/>
  <c r="DJ4" i="1"/>
  <c r="DJ5" i="1"/>
  <c r="DJ6" i="1"/>
  <c r="DJ7" i="1"/>
  <c r="DJ8" i="1"/>
  <c r="DJ9" i="1"/>
  <c r="DJ10" i="1"/>
  <c r="DJ11" i="1"/>
  <c r="DJ12" i="1"/>
  <c r="DJ13" i="1"/>
  <c r="DJ14" i="1"/>
  <c r="DJ15" i="1"/>
  <c r="DJ16" i="1"/>
  <c r="DJ17" i="1"/>
  <c r="DJ18" i="1"/>
  <c r="DJ19" i="1"/>
  <c r="DJ20" i="1"/>
  <c r="DJ21" i="1"/>
  <c r="DJ22" i="1"/>
  <c r="DJ23" i="1"/>
  <c r="DJ24" i="1"/>
  <c r="DJ25" i="1"/>
  <c r="DJ26" i="1"/>
  <c r="DJ27" i="1"/>
  <c r="DJ28" i="1"/>
  <c r="DJ29" i="1"/>
  <c r="DJ30" i="1"/>
  <c r="DJ31" i="1"/>
  <c r="DJ32" i="1"/>
  <c r="DJ33" i="1"/>
  <c r="DJ34" i="1"/>
  <c r="DJ35" i="1"/>
  <c r="DJ36" i="1"/>
  <c r="DJ37" i="1"/>
  <c r="DJ38" i="1"/>
  <c r="DJ39" i="1"/>
  <c r="DJ40" i="1"/>
  <c r="DJ41" i="1"/>
  <c r="DJ42" i="1"/>
  <c r="DJ43" i="1"/>
  <c r="DJ44" i="1"/>
  <c r="DJ45" i="1"/>
  <c r="DJ46" i="1"/>
  <c r="DJ47" i="1"/>
  <c r="DJ48" i="1"/>
  <c r="DJ49" i="1"/>
  <c r="DJ50" i="1"/>
  <c r="DJ51" i="1"/>
  <c r="DJ52" i="1"/>
  <c r="DJ53" i="1"/>
  <c r="DJ54" i="1"/>
  <c r="DJ55" i="1"/>
  <c r="DJ56" i="1"/>
  <c r="DJ57" i="1"/>
  <c r="DJ58" i="1"/>
  <c r="DJ59" i="1"/>
  <c r="DJ60" i="1"/>
  <c r="DJ61" i="1"/>
  <c r="DJ62" i="1"/>
  <c r="DJ63" i="1"/>
  <c r="DJ64" i="1"/>
  <c r="DJ65" i="1"/>
  <c r="DJ66" i="1"/>
  <c r="DJ67" i="1"/>
  <c r="DJ68" i="1"/>
  <c r="DJ69" i="1"/>
  <c r="DJ70" i="1"/>
  <c r="DJ71" i="1"/>
  <c r="DJ72" i="1"/>
  <c r="DJ73" i="1"/>
  <c r="DJ74" i="1"/>
  <c r="DJ75" i="1"/>
  <c r="DJ76" i="1"/>
  <c r="DJ77" i="1"/>
  <c r="DJ78" i="1"/>
  <c r="DJ79" i="1"/>
  <c r="DJ80" i="1"/>
  <c r="DJ81" i="1"/>
  <c r="DJ82" i="1"/>
  <c r="DJ83" i="1"/>
  <c r="DJ84" i="1"/>
  <c r="DJ85" i="1"/>
  <c r="DJ86" i="1"/>
  <c r="DJ87" i="1"/>
  <c r="DJ88" i="1"/>
  <c r="DJ89" i="1"/>
  <c r="DJ90" i="1"/>
  <c r="DJ91" i="1"/>
  <c r="DJ92" i="1"/>
  <c r="DJ93" i="1"/>
  <c r="DJ94" i="1"/>
  <c r="DJ95" i="1"/>
  <c r="DJ96" i="1"/>
  <c r="DJ97" i="1"/>
  <c r="DJ98" i="1"/>
  <c r="DJ99" i="1"/>
  <c r="DJ100" i="1"/>
  <c r="DJ101" i="1"/>
  <c r="DJ102" i="1"/>
  <c r="DJ103" i="1"/>
  <c r="DJ104" i="1"/>
  <c r="DJ105" i="1"/>
  <c r="DJ106" i="1"/>
  <c r="DJ107" i="1"/>
  <c r="DJ108" i="1"/>
  <c r="DJ109" i="1"/>
  <c r="DJ110" i="1"/>
  <c r="DJ111" i="1"/>
  <c r="DJ112" i="1"/>
  <c r="DJ113" i="1"/>
  <c r="DJ114" i="1"/>
  <c r="DJ115" i="1"/>
  <c r="DJ116" i="1"/>
  <c r="DJ117" i="1"/>
  <c r="DJ118" i="1"/>
  <c r="DJ119" i="1"/>
  <c r="DJ120" i="1"/>
  <c r="DJ121" i="1"/>
  <c r="DJ122" i="1"/>
  <c r="DJ123" i="1"/>
  <c r="DJ124" i="1"/>
  <c r="DJ125" i="1"/>
  <c r="DJ126" i="1"/>
  <c r="DJ127" i="1"/>
  <c r="DJ128" i="1"/>
  <c r="DJ129" i="1"/>
  <c r="DJ130" i="1"/>
  <c r="DJ131" i="1"/>
  <c r="DJ132" i="1"/>
  <c r="DJ133" i="1"/>
  <c r="DJ134" i="1"/>
  <c r="DJ135" i="1"/>
  <c r="DJ136" i="1"/>
  <c r="DJ137" i="1"/>
  <c r="DJ138" i="1"/>
  <c r="DJ139" i="1"/>
  <c r="DJ140" i="1"/>
  <c r="DJ141" i="1"/>
  <c r="DJ142" i="1"/>
  <c r="DJ143" i="1"/>
  <c r="DJ144" i="1"/>
  <c r="DJ145" i="1"/>
  <c r="DJ146" i="1"/>
  <c r="DJ147" i="1"/>
  <c r="DJ148" i="1"/>
  <c r="DJ149" i="1"/>
  <c r="DJ150" i="1"/>
  <c r="DJ151" i="1"/>
  <c r="DJ152" i="1"/>
  <c r="DJ153" i="1"/>
  <c r="DJ154" i="1"/>
  <c r="DJ155" i="1"/>
  <c r="DJ156" i="1"/>
  <c r="DJ157" i="1"/>
  <c r="DJ158" i="1"/>
  <c r="DJ159" i="1"/>
  <c r="DJ160" i="1"/>
  <c r="DJ161" i="1"/>
  <c r="DJ162" i="1"/>
  <c r="DJ163" i="1"/>
  <c r="DJ164" i="1"/>
  <c r="DJ165" i="1"/>
  <c r="DJ166" i="1"/>
  <c r="DJ167" i="1"/>
  <c r="DJ168" i="1"/>
  <c r="DJ169" i="1"/>
  <c r="DJ170" i="1"/>
  <c r="DJ171" i="1"/>
  <c r="DJ172" i="1"/>
  <c r="DJ173" i="1"/>
  <c r="DJ174" i="1"/>
  <c r="DJ175" i="1"/>
  <c r="DJ176" i="1"/>
  <c r="DJ177" i="1"/>
  <c r="DJ178" i="1"/>
  <c r="DJ179" i="1"/>
  <c r="DJ180" i="1"/>
  <c r="DJ181" i="1"/>
  <c r="DJ182" i="1"/>
  <c r="DJ183" i="1"/>
  <c r="DJ184" i="1"/>
  <c r="DJ185" i="1"/>
  <c r="DJ186" i="1"/>
  <c r="DJ187" i="1"/>
  <c r="DJ188" i="1"/>
  <c r="DJ189" i="1"/>
  <c r="DJ190" i="1"/>
  <c r="DJ191" i="1"/>
  <c r="DJ192" i="1"/>
  <c r="DJ193" i="1"/>
  <c r="DJ194" i="1"/>
  <c r="DJ195" i="1"/>
  <c r="DJ196" i="1"/>
  <c r="DJ197" i="1"/>
  <c r="DJ198" i="1"/>
  <c r="DJ199" i="1"/>
  <c r="DJ200" i="1"/>
  <c r="DJ201" i="1"/>
  <c r="DJ202" i="1"/>
  <c r="DH4" i="1"/>
  <c r="DH5" i="1"/>
  <c r="DH6" i="1"/>
  <c r="DH7" i="1"/>
  <c r="DH8" i="1"/>
  <c r="DH9" i="1"/>
  <c r="DH10" i="1"/>
  <c r="DH11" i="1"/>
  <c r="DH12" i="1"/>
  <c r="DH13" i="1"/>
  <c r="DH14" i="1"/>
  <c r="DH15" i="1"/>
  <c r="DH16" i="1"/>
  <c r="DH17" i="1"/>
  <c r="DH18" i="1"/>
  <c r="DH19" i="1"/>
  <c r="DH20" i="1"/>
  <c r="DH21" i="1"/>
  <c r="DH22" i="1"/>
  <c r="DH23" i="1"/>
  <c r="DH24" i="1"/>
  <c r="DH25" i="1"/>
  <c r="DH26" i="1"/>
  <c r="DH27" i="1"/>
  <c r="DH28" i="1"/>
  <c r="DH29" i="1"/>
  <c r="DH30" i="1"/>
  <c r="DH31" i="1"/>
  <c r="DH32" i="1"/>
  <c r="DH33" i="1"/>
  <c r="DH34" i="1"/>
  <c r="DH35" i="1"/>
  <c r="DH36" i="1"/>
  <c r="DH37" i="1"/>
  <c r="DH38" i="1"/>
  <c r="DH39" i="1"/>
  <c r="DH40" i="1"/>
  <c r="DH41" i="1"/>
  <c r="DH42" i="1"/>
  <c r="DH43" i="1"/>
  <c r="DH44" i="1"/>
  <c r="DH45" i="1"/>
  <c r="DH46" i="1"/>
  <c r="DH47" i="1"/>
  <c r="DH48" i="1"/>
  <c r="DH49" i="1"/>
  <c r="DH50" i="1"/>
  <c r="DH51" i="1"/>
  <c r="DH52" i="1"/>
  <c r="DH53" i="1"/>
  <c r="DH54" i="1"/>
  <c r="DH55" i="1"/>
  <c r="DH56" i="1"/>
  <c r="DH57" i="1"/>
  <c r="DH58" i="1"/>
  <c r="DH59" i="1"/>
  <c r="DH60" i="1"/>
  <c r="DH61" i="1"/>
  <c r="DH62" i="1"/>
  <c r="DH63" i="1"/>
  <c r="DH64" i="1"/>
  <c r="DH65" i="1"/>
  <c r="DH66" i="1"/>
  <c r="DH67" i="1"/>
  <c r="DH68" i="1"/>
  <c r="DH69" i="1"/>
  <c r="DH70" i="1"/>
  <c r="DH71" i="1"/>
  <c r="DH72" i="1"/>
  <c r="DH73" i="1"/>
  <c r="DH74" i="1"/>
  <c r="DH75" i="1"/>
  <c r="DH76" i="1"/>
  <c r="DH77" i="1"/>
  <c r="DH78" i="1"/>
  <c r="DH79" i="1"/>
  <c r="DH80" i="1"/>
  <c r="DH81" i="1"/>
  <c r="DH82" i="1"/>
  <c r="DH83" i="1"/>
  <c r="DH84" i="1"/>
  <c r="DH85" i="1"/>
  <c r="DH86" i="1"/>
  <c r="DH87" i="1"/>
  <c r="DH88" i="1"/>
  <c r="DH89" i="1"/>
  <c r="DH90" i="1"/>
  <c r="DH91" i="1"/>
  <c r="DH92" i="1"/>
  <c r="DH93" i="1"/>
  <c r="DH94" i="1"/>
  <c r="DH95" i="1"/>
  <c r="DH96" i="1"/>
  <c r="DH97" i="1"/>
  <c r="DH98" i="1"/>
  <c r="DH99" i="1"/>
  <c r="DH100" i="1"/>
  <c r="DH101" i="1"/>
  <c r="DH102" i="1"/>
  <c r="DH103" i="1"/>
  <c r="DH104" i="1"/>
  <c r="DH105" i="1"/>
  <c r="DH106" i="1"/>
  <c r="DH107" i="1"/>
  <c r="DH108" i="1"/>
  <c r="DH109" i="1"/>
  <c r="DH110" i="1"/>
  <c r="DH111" i="1"/>
  <c r="DH112" i="1"/>
  <c r="DH113" i="1"/>
  <c r="DH114" i="1"/>
  <c r="DH115" i="1"/>
  <c r="DH116" i="1"/>
  <c r="DH117" i="1"/>
  <c r="DH118" i="1"/>
  <c r="DH119" i="1"/>
  <c r="DH120" i="1"/>
  <c r="DH121" i="1"/>
  <c r="DH122" i="1"/>
  <c r="DH123" i="1"/>
  <c r="DH124" i="1"/>
  <c r="DH125" i="1"/>
  <c r="DH126" i="1"/>
  <c r="DH127" i="1"/>
  <c r="DH128" i="1"/>
  <c r="DH129" i="1"/>
  <c r="DH130" i="1"/>
  <c r="DH131" i="1"/>
  <c r="DH132" i="1"/>
  <c r="DH133" i="1"/>
  <c r="DH134" i="1"/>
  <c r="DH135" i="1"/>
  <c r="DH136" i="1"/>
  <c r="DH137" i="1"/>
  <c r="DH138" i="1"/>
  <c r="DH139" i="1"/>
  <c r="DH140" i="1"/>
  <c r="DH141" i="1"/>
  <c r="DH142" i="1"/>
  <c r="DH143" i="1"/>
  <c r="DH144" i="1"/>
  <c r="DH145" i="1"/>
  <c r="DH146" i="1"/>
  <c r="DH147" i="1"/>
  <c r="DH148" i="1"/>
  <c r="DH149" i="1"/>
  <c r="DH150" i="1"/>
  <c r="DH151" i="1"/>
  <c r="DH152" i="1"/>
  <c r="DH153" i="1"/>
  <c r="DH154" i="1"/>
  <c r="DH155" i="1"/>
  <c r="DH156" i="1"/>
  <c r="DH157" i="1"/>
  <c r="DH158" i="1"/>
  <c r="DH159" i="1"/>
  <c r="DH160" i="1"/>
  <c r="DH161" i="1"/>
  <c r="DH162" i="1"/>
  <c r="DH163" i="1"/>
  <c r="DH164" i="1"/>
  <c r="DH165" i="1"/>
  <c r="DH166" i="1"/>
  <c r="DH167" i="1"/>
  <c r="DH168" i="1"/>
  <c r="DH169" i="1"/>
  <c r="DH170" i="1"/>
  <c r="DH171" i="1"/>
  <c r="DH172" i="1"/>
  <c r="DH173" i="1"/>
  <c r="DH174" i="1"/>
  <c r="DH175" i="1"/>
  <c r="DH176" i="1"/>
  <c r="DH177" i="1"/>
  <c r="DH178" i="1"/>
  <c r="DH179" i="1"/>
  <c r="DH180" i="1"/>
  <c r="DH181" i="1"/>
  <c r="DH182" i="1"/>
  <c r="DH183" i="1"/>
  <c r="DH184" i="1"/>
  <c r="DH185" i="1"/>
  <c r="DH186" i="1"/>
  <c r="DH187" i="1"/>
  <c r="DH188" i="1"/>
  <c r="DH189" i="1"/>
  <c r="DH190" i="1"/>
  <c r="DH191" i="1"/>
  <c r="DH192" i="1"/>
  <c r="DH193" i="1"/>
  <c r="DH194" i="1"/>
  <c r="DH195" i="1"/>
  <c r="DH196" i="1"/>
  <c r="DH197" i="1"/>
  <c r="DH198" i="1"/>
  <c r="DH199" i="1"/>
  <c r="DH200" i="1"/>
  <c r="DH201" i="1"/>
  <c r="DH202" i="1"/>
  <c r="DH3" i="1"/>
  <c r="DJ3" i="1"/>
  <c r="DI4" i="1"/>
  <c r="DI5" i="1"/>
  <c r="DI6" i="1"/>
  <c r="DI7" i="1"/>
  <c r="DI8" i="1"/>
  <c r="DI9" i="1"/>
  <c r="DI10" i="1"/>
  <c r="DI11" i="1"/>
  <c r="DI12" i="1"/>
  <c r="DI13" i="1"/>
  <c r="DI14" i="1"/>
  <c r="DI15" i="1"/>
  <c r="DI16" i="1"/>
  <c r="DI17" i="1"/>
  <c r="DI18" i="1"/>
  <c r="DI19" i="1"/>
  <c r="DI20" i="1"/>
  <c r="DI21" i="1"/>
  <c r="DI22" i="1"/>
  <c r="DI23" i="1"/>
  <c r="DI24" i="1"/>
  <c r="DI25" i="1"/>
  <c r="DI26" i="1"/>
  <c r="DI27" i="1"/>
  <c r="DI28" i="1"/>
  <c r="DI29" i="1"/>
  <c r="DI30" i="1"/>
  <c r="DI31" i="1"/>
  <c r="DI32" i="1"/>
  <c r="DI33" i="1"/>
  <c r="DI34" i="1"/>
  <c r="DI35" i="1"/>
  <c r="DI36" i="1"/>
  <c r="DI37" i="1"/>
  <c r="DI38" i="1"/>
  <c r="DI39" i="1"/>
  <c r="DI40" i="1"/>
  <c r="DI41" i="1"/>
  <c r="DI42" i="1"/>
  <c r="DI43" i="1"/>
  <c r="DI44" i="1"/>
  <c r="DI45" i="1"/>
  <c r="DI46" i="1"/>
  <c r="DI47" i="1"/>
  <c r="DI48" i="1"/>
  <c r="DI49" i="1"/>
  <c r="DI50" i="1"/>
  <c r="DI51" i="1"/>
  <c r="DI52" i="1"/>
  <c r="DI53" i="1"/>
  <c r="DI54" i="1"/>
  <c r="DI55" i="1"/>
  <c r="DI56" i="1"/>
  <c r="DI57" i="1"/>
  <c r="DI58" i="1"/>
  <c r="DI59" i="1"/>
  <c r="DI60" i="1"/>
  <c r="DI61" i="1"/>
  <c r="DI62" i="1"/>
  <c r="DI63" i="1"/>
  <c r="DI64" i="1"/>
  <c r="DI65" i="1"/>
  <c r="DI66" i="1"/>
  <c r="DI67" i="1"/>
  <c r="DI68" i="1"/>
  <c r="DI69" i="1"/>
  <c r="DI70" i="1"/>
  <c r="DI71" i="1"/>
  <c r="DI72" i="1"/>
  <c r="DI73" i="1"/>
  <c r="DI74" i="1"/>
  <c r="DI75" i="1"/>
  <c r="DI76" i="1"/>
  <c r="DI77" i="1"/>
  <c r="DI78" i="1"/>
  <c r="DI79" i="1"/>
  <c r="DI80" i="1"/>
  <c r="DI81" i="1"/>
  <c r="DI82" i="1"/>
  <c r="DI83" i="1"/>
  <c r="DI84" i="1"/>
  <c r="DI85" i="1"/>
  <c r="DI86" i="1"/>
  <c r="DI87" i="1"/>
  <c r="DI88" i="1"/>
  <c r="DI89" i="1"/>
  <c r="DI90" i="1"/>
  <c r="DI91" i="1"/>
  <c r="DI92" i="1"/>
  <c r="DI93" i="1"/>
  <c r="DI94" i="1"/>
  <c r="DI95" i="1"/>
  <c r="DI96" i="1"/>
  <c r="DI97" i="1"/>
  <c r="DI98" i="1"/>
  <c r="DI99" i="1"/>
  <c r="DI100" i="1"/>
  <c r="DI101" i="1"/>
  <c r="DI102" i="1"/>
  <c r="DI103" i="1"/>
  <c r="DI104" i="1"/>
  <c r="DI105" i="1"/>
  <c r="DI106" i="1"/>
  <c r="DI107" i="1"/>
  <c r="DI108" i="1"/>
  <c r="DI109" i="1"/>
  <c r="DI110" i="1"/>
  <c r="DI111" i="1"/>
  <c r="DI112" i="1"/>
  <c r="DI113" i="1"/>
  <c r="DI114" i="1"/>
  <c r="DI115" i="1"/>
  <c r="DI116" i="1"/>
  <c r="DI117" i="1"/>
  <c r="DI118" i="1"/>
  <c r="DI119" i="1"/>
  <c r="DI120" i="1"/>
  <c r="DI121" i="1"/>
  <c r="DI122" i="1"/>
  <c r="DI123" i="1"/>
  <c r="DI124" i="1"/>
  <c r="DI125" i="1"/>
  <c r="DI126" i="1"/>
  <c r="DI127" i="1"/>
  <c r="DI128" i="1"/>
  <c r="DI129" i="1"/>
  <c r="DI130" i="1"/>
  <c r="DI131" i="1"/>
  <c r="DI132" i="1"/>
  <c r="DI133" i="1"/>
  <c r="DI134" i="1"/>
  <c r="DI135" i="1"/>
  <c r="DI136" i="1"/>
  <c r="DI137" i="1"/>
  <c r="DI138" i="1"/>
  <c r="DI139" i="1"/>
  <c r="DI140" i="1"/>
  <c r="DI141" i="1"/>
  <c r="DI142" i="1"/>
  <c r="DI143" i="1"/>
  <c r="DI144" i="1"/>
  <c r="DI145" i="1"/>
  <c r="DI146" i="1"/>
  <c r="DI147" i="1"/>
  <c r="DI148" i="1"/>
  <c r="DI149" i="1"/>
  <c r="DI150" i="1"/>
  <c r="DI151" i="1"/>
  <c r="DI152" i="1"/>
  <c r="DI153" i="1"/>
  <c r="DI154" i="1"/>
  <c r="DI155" i="1"/>
  <c r="DI156" i="1"/>
  <c r="DI157" i="1"/>
  <c r="DI158" i="1"/>
  <c r="DI159" i="1"/>
  <c r="DI160" i="1"/>
  <c r="DI161" i="1"/>
  <c r="DI162" i="1"/>
  <c r="DI163" i="1"/>
  <c r="DI164" i="1"/>
  <c r="DI165" i="1"/>
  <c r="DI166" i="1"/>
  <c r="DI167" i="1"/>
  <c r="DI168" i="1"/>
  <c r="DI169" i="1"/>
  <c r="DI170" i="1"/>
  <c r="DI171" i="1"/>
  <c r="DI172" i="1"/>
  <c r="DI173" i="1"/>
  <c r="DI174" i="1"/>
  <c r="DI175" i="1"/>
  <c r="DI176" i="1"/>
  <c r="DI177" i="1"/>
  <c r="DI178" i="1"/>
  <c r="DI179" i="1"/>
  <c r="DI180" i="1"/>
  <c r="DI181" i="1"/>
  <c r="DI182" i="1"/>
  <c r="DI183" i="1"/>
  <c r="DI184" i="1"/>
  <c r="DI185" i="1"/>
  <c r="DI186" i="1"/>
  <c r="DI187" i="1"/>
  <c r="DI188" i="1"/>
  <c r="DI189" i="1"/>
  <c r="DI190" i="1"/>
  <c r="DI191" i="1"/>
  <c r="DI192" i="1"/>
  <c r="DI193" i="1"/>
  <c r="DI194" i="1"/>
  <c r="DI195" i="1"/>
  <c r="DI196" i="1"/>
  <c r="DI197" i="1"/>
  <c r="DI198" i="1"/>
  <c r="DI199" i="1"/>
  <c r="DI200" i="1"/>
  <c r="DI201" i="1"/>
  <c r="DI202" i="1"/>
  <c r="DI3" i="1"/>
  <c r="DD3" i="1"/>
  <c r="DE3" i="1"/>
  <c r="DF3" i="1"/>
  <c r="CZ3" i="1"/>
  <c r="DA3" i="1"/>
  <c r="DB3" i="1"/>
  <c r="CV3" i="1"/>
  <c r="CW3" i="1"/>
  <c r="CX3" i="1"/>
  <c r="CS3" i="1"/>
  <c r="CT3" i="1"/>
  <c r="CN4" i="1"/>
  <c r="CO4" i="1"/>
  <c r="CP4" i="1"/>
  <c r="CN5" i="1"/>
  <c r="CO5" i="1"/>
  <c r="CP5" i="1"/>
  <c r="CN6" i="1"/>
  <c r="CO6" i="1"/>
  <c r="CP6" i="1"/>
  <c r="CN7" i="1"/>
  <c r="CO7" i="1"/>
  <c r="CP7" i="1"/>
  <c r="CN8" i="1"/>
  <c r="CO8" i="1"/>
  <c r="CP8" i="1"/>
  <c r="CN9" i="1"/>
  <c r="CO9" i="1"/>
  <c r="CP9" i="1"/>
  <c r="CN10" i="1"/>
  <c r="CO10" i="1"/>
  <c r="CP10" i="1"/>
  <c r="CN11" i="1"/>
  <c r="CO11" i="1"/>
  <c r="CP11" i="1"/>
  <c r="CN12" i="1"/>
  <c r="CO12" i="1"/>
  <c r="CP12" i="1"/>
  <c r="CN13" i="1"/>
  <c r="CO13" i="1"/>
  <c r="CP13" i="1"/>
  <c r="CN14" i="1"/>
  <c r="CO14" i="1"/>
  <c r="CP14" i="1"/>
  <c r="CN15" i="1"/>
  <c r="CO15" i="1"/>
  <c r="CP15" i="1"/>
  <c r="CN16" i="1"/>
  <c r="CO16" i="1"/>
  <c r="CP16" i="1"/>
  <c r="CN17" i="1"/>
  <c r="CO17" i="1"/>
  <c r="CP17" i="1"/>
  <c r="CN18" i="1"/>
  <c r="CO18" i="1"/>
  <c r="CP18" i="1"/>
  <c r="CN19" i="1"/>
  <c r="CO19" i="1"/>
  <c r="CP19" i="1"/>
  <c r="CN20" i="1"/>
  <c r="CO20" i="1"/>
  <c r="CP20" i="1"/>
  <c r="CN21" i="1"/>
  <c r="CO21" i="1"/>
  <c r="CP21" i="1"/>
  <c r="CN22" i="1"/>
  <c r="CO22" i="1"/>
  <c r="CP22" i="1"/>
  <c r="CN23" i="1"/>
  <c r="CO23" i="1"/>
  <c r="CP23" i="1"/>
  <c r="CN24" i="1"/>
  <c r="CO24" i="1"/>
  <c r="CP24" i="1"/>
  <c r="CN25" i="1"/>
  <c r="CO25" i="1"/>
  <c r="CP25" i="1"/>
  <c r="CN26" i="1"/>
  <c r="CO26" i="1"/>
  <c r="CP26" i="1"/>
  <c r="CN27" i="1"/>
  <c r="CO27" i="1"/>
  <c r="CP27" i="1"/>
  <c r="CN28" i="1"/>
  <c r="CO28" i="1"/>
  <c r="CP28" i="1"/>
  <c r="CN29" i="1"/>
  <c r="CO29" i="1"/>
  <c r="CP29" i="1"/>
  <c r="CN30" i="1"/>
  <c r="CO30" i="1"/>
  <c r="CP30" i="1"/>
  <c r="CN31" i="1"/>
  <c r="CO31" i="1"/>
  <c r="CP31" i="1"/>
  <c r="CN32" i="1"/>
  <c r="CO32" i="1"/>
  <c r="CP32" i="1"/>
  <c r="CN33" i="1"/>
  <c r="CO33" i="1"/>
  <c r="CP33" i="1"/>
  <c r="CN34" i="1"/>
  <c r="CO34" i="1"/>
  <c r="CP34" i="1"/>
  <c r="CN35" i="1"/>
  <c r="CO35" i="1"/>
  <c r="CP35" i="1"/>
  <c r="CN36" i="1"/>
  <c r="CO36" i="1"/>
  <c r="CP36" i="1"/>
  <c r="CN37" i="1"/>
  <c r="CO37" i="1"/>
  <c r="CP37" i="1"/>
  <c r="CN38" i="1"/>
  <c r="CO38" i="1"/>
  <c r="CP38" i="1"/>
  <c r="CN39" i="1"/>
  <c r="CO39" i="1"/>
  <c r="CP39" i="1"/>
  <c r="CN40" i="1"/>
  <c r="CO40" i="1"/>
  <c r="CP40" i="1"/>
  <c r="CN41" i="1"/>
  <c r="CO41" i="1"/>
  <c r="CP41" i="1"/>
  <c r="CN42" i="1"/>
  <c r="CO42" i="1"/>
  <c r="CP42" i="1"/>
  <c r="CN43" i="1"/>
  <c r="CO43" i="1"/>
  <c r="CP43" i="1"/>
  <c r="CN44" i="1"/>
  <c r="CO44" i="1"/>
  <c r="CP44" i="1"/>
  <c r="CN45" i="1"/>
  <c r="CO45" i="1"/>
  <c r="CP45" i="1"/>
  <c r="CN46" i="1"/>
  <c r="CO46" i="1"/>
  <c r="CP46" i="1"/>
  <c r="CN47" i="1"/>
  <c r="CO47" i="1"/>
  <c r="CP47" i="1"/>
  <c r="CN48" i="1"/>
  <c r="CO48" i="1"/>
  <c r="CP48" i="1"/>
  <c r="CN49" i="1"/>
  <c r="CO49" i="1"/>
  <c r="CP49" i="1"/>
  <c r="CN50" i="1"/>
  <c r="CO50" i="1"/>
  <c r="CP50" i="1"/>
  <c r="CN51" i="1"/>
  <c r="CO51" i="1"/>
  <c r="CP51" i="1"/>
  <c r="CN52" i="1"/>
  <c r="CO52" i="1"/>
  <c r="CP52" i="1"/>
  <c r="CN53" i="1"/>
  <c r="CO53" i="1"/>
  <c r="CP53" i="1"/>
  <c r="CN54" i="1"/>
  <c r="CO54" i="1"/>
  <c r="CP54" i="1"/>
  <c r="CN55" i="1"/>
  <c r="CO55" i="1"/>
  <c r="CP55" i="1"/>
  <c r="CN56" i="1"/>
  <c r="CO56" i="1"/>
  <c r="CP56" i="1"/>
  <c r="CN57" i="1"/>
  <c r="CO57" i="1"/>
  <c r="CP57" i="1"/>
  <c r="CN58" i="1"/>
  <c r="CO58" i="1"/>
  <c r="CP58" i="1"/>
  <c r="CN59" i="1"/>
  <c r="CO59" i="1"/>
  <c r="CP59" i="1"/>
  <c r="CN60" i="1"/>
  <c r="CO60" i="1"/>
  <c r="CP60" i="1"/>
  <c r="CN61" i="1"/>
  <c r="CO61" i="1"/>
  <c r="CP61" i="1"/>
  <c r="CN62" i="1"/>
  <c r="CO62" i="1"/>
  <c r="CP62" i="1"/>
  <c r="CN63" i="1"/>
  <c r="CO63" i="1"/>
  <c r="CP63" i="1"/>
  <c r="CN64" i="1"/>
  <c r="CO64" i="1"/>
  <c r="CP64" i="1"/>
  <c r="CN65" i="1"/>
  <c r="CO65" i="1"/>
  <c r="CP65" i="1"/>
  <c r="CN66" i="1"/>
  <c r="CO66" i="1"/>
  <c r="CP66" i="1"/>
  <c r="CN67" i="1"/>
  <c r="CO67" i="1"/>
  <c r="CP67" i="1"/>
  <c r="CN68" i="1"/>
  <c r="CO68" i="1"/>
  <c r="CP68" i="1"/>
  <c r="CN69" i="1"/>
  <c r="CO69" i="1"/>
  <c r="CP69" i="1"/>
  <c r="CN70" i="1"/>
  <c r="CO70" i="1"/>
  <c r="CP70" i="1"/>
  <c r="CN71" i="1"/>
  <c r="CO71" i="1"/>
  <c r="CP71" i="1"/>
  <c r="CN72" i="1"/>
  <c r="CO72" i="1"/>
  <c r="CP72" i="1"/>
  <c r="CN73" i="1"/>
  <c r="CO73" i="1"/>
  <c r="CP73" i="1"/>
  <c r="CN74" i="1"/>
  <c r="CO74" i="1"/>
  <c r="CP74" i="1"/>
  <c r="CN75" i="1"/>
  <c r="CO75" i="1"/>
  <c r="CP75" i="1"/>
  <c r="CN76" i="1"/>
  <c r="CO76" i="1"/>
  <c r="CP76" i="1"/>
  <c r="CN77" i="1"/>
  <c r="CO77" i="1"/>
  <c r="CP77" i="1"/>
  <c r="CN78" i="1"/>
  <c r="CO78" i="1"/>
  <c r="CP78" i="1"/>
  <c r="CN79" i="1"/>
  <c r="CO79" i="1"/>
  <c r="CP79" i="1"/>
  <c r="CN80" i="1"/>
  <c r="CO80" i="1"/>
  <c r="CP80" i="1"/>
  <c r="CN81" i="1"/>
  <c r="CO81" i="1"/>
  <c r="CP81" i="1"/>
  <c r="CN82" i="1"/>
  <c r="CO82" i="1"/>
  <c r="CP82" i="1"/>
  <c r="CN83" i="1"/>
  <c r="CO83" i="1"/>
  <c r="CP83" i="1"/>
  <c r="CN84" i="1"/>
  <c r="CO84" i="1"/>
  <c r="CP84" i="1"/>
  <c r="CN85" i="1"/>
  <c r="CO85" i="1"/>
  <c r="CP85" i="1"/>
  <c r="CN86" i="1"/>
  <c r="CO86" i="1"/>
  <c r="CP86" i="1"/>
  <c r="CN87" i="1"/>
  <c r="CO87" i="1"/>
  <c r="CP87" i="1"/>
  <c r="CN88" i="1"/>
  <c r="CO88" i="1"/>
  <c r="CP88" i="1"/>
  <c r="CN89" i="1"/>
  <c r="CO89" i="1"/>
  <c r="CP89" i="1"/>
  <c r="CN90" i="1"/>
  <c r="CO90" i="1"/>
  <c r="CP90" i="1"/>
  <c r="CN91" i="1"/>
  <c r="CO91" i="1"/>
  <c r="CP91" i="1"/>
  <c r="CN92" i="1"/>
  <c r="CO92" i="1"/>
  <c r="CP92" i="1"/>
  <c r="CN93" i="1"/>
  <c r="CO93" i="1"/>
  <c r="CP93" i="1"/>
  <c r="CN94" i="1"/>
  <c r="CO94" i="1"/>
  <c r="CP94" i="1"/>
  <c r="CN95" i="1"/>
  <c r="CO95" i="1"/>
  <c r="CP95" i="1"/>
  <c r="CN96" i="1"/>
  <c r="CO96" i="1"/>
  <c r="CP96" i="1"/>
  <c r="CN97" i="1"/>
  <c r="CO97" i="1"/>
  <c r="CP97" i="1"/>
  <c r="CN98" i="1"/>
  <c r="CO98" i="1"/>
  <c r="CP98" i="1"/>
  <c r="CN99" i="1"/>
  <c r="CO99" i="1"/>
  <c r="CP99" i="1"/>
  <c r="CN100" i="1"/>
  <c r="CO100" i="1"/>
  <c r="CP100" i="1"/>
  <c r="CN101" i="1"/>
  <c r="CO101" i="1"/>
  <c r="CP101" i="1"/>
  <c r="CN102" i="1"/>
  <c r="CO102" i="1"/>
  <c r="CP102" i="1"/>
  <c r="CN103" i="1"/>
  <c r="CO103" i="1"/>
  <c r="CP103" i="1"/>
  <c r="CN104" i="1"/>
  <c r="CO104" i="1"/>
  <c r="CP104" i="1"/>
  <c r="CN105" i="1"/>
  <c r="CO105" i="1"/>
  <c r="CP105" i="1"/>
  <c r="CN106" i="1"/>
  <c r="CO106" i="1"/>
  <c r="CP106" i="1"/>
  <c r="CN107" i="1"/>
  <c r="CO107" i="1"/>
  <c r="CP107" i="1"/>
  <c r="CN108" i="1"/>
  <c r="CO108" i="1"/>
  <c r="CP108" i="1"/>
  <c r="CN109" i="1"/>
  <c r="CO109" i="1"/>
  <c r="CP109" i="1"/>
  <c r="CN110" i="1"/>
  <c r="CO110" i="1"/>
  <c r="CP110" i="1"/>
  <c r="CN111" i="1"/>
  <c r="CO111" i="1"/>
  <c r="CP111" i="1"/>
  <c r="CN112" i="1"/>
  <c r="CO112" i="1"/>
  <c r="CP112" i="1"/>
  <c r="CN113" i="1"/>
  <c r="CO113" i="1"/>
  <c r="CP113" i="1"/>
  <c r="CN114" i="1"/>
  <c r="CO114" i="1"/>
  <c r="CP114" i="1"/>
  <c r="CN115" i="1"/>
  <c r="CO115" i="1"/>
  <c r="CP115" i="1"/>
  <c r="CN116" i="1"/>
  <c r="CO116" i="1"/>
  <c r="CP116" i="1"/>
  <c r="CN117" i="1"/>
  <c r="CO117" i="1"/>
  <c r="CP117" i="1"/>
  <c r="CN118" i="1"/>
  <c r="CO118" i="1"/>
  <c r="CP118" i="1"/>
  <c r="CN119" i="1"/>
  <c r="CO119" i="1"/>
  <c r="CP119" i="1"/>
  <c r="CN120" i="1"/>
  <c r="CO120" i="1"/>
  <c r="CP120" i="1"/>
  <c r="CN121" i="1"/>
  <c r="CO121" i="1"/>
  <c r="CP121" i="1"/>
  <c r="CN122" i="1"/>
  <c r="CO122" i="1"/>
  <c r="CP122" i="1"/>
  <c r="CN123" i="1"/>
  <c r="CO123" i="1"/>
  <c r="CP123" i="1"/>
  <c r="CN124" i="1"/>
  <c r="CO124" i="1"/>
  <c r="CP124" i="1"/>
  <c r="CN125" i="1"/>
  <c r="CO125" i="1"/>
  <c r="CP125" i="1"/>
  <c r="CN126" i="1"/>
  <c r="CO126" i="1"/>
  <c r="CP126" i="1"/>
  <c r="CN127" i="1"/>
  <c r="CO127" i="1"/>
  <c r="CP127" i="1"/>
  <c r="CN128" i="1"/>
  <c r="CO128" i="1"/>
  <c r="CP128" i="1"/>
  <c r="CN129" i="1"/>
  <c r="CO129" i="1"/>
  <c r="CP129" i="1"/>
  <c r="CN130" i="1"/>
  <c r="CO130" i="1"/>
  <c r="CP130" i="1"/>
  <c r="CN131" i="1"/>
  <c r="CO131" i="1"/>
  <c r="CP131" i="1"/>
  <c r="CN132" i="1"/>
  <c r="CO132" i="1"/>
  <c r="CP132" i="1"/>
  <c r="CN133" i="1"/>
  <c r="CO133" i="1"/>
  <c r="CP133" i="1"/>
  <c r="CN134" i="1"/>
  <c r="CO134" i="1"/>
  <c r="CP134" i="1"/>
  <c r="CN135" i="1"/>
  <c r="CO135" i="1"/>
  <c r="CP135" i="1"/>
  <c r="CN136" i="1"/>
  <c r="CO136" i="1"/>
  <c r="CP136" i="1"/>
  <c r="CN137" i="1"/>
  <c r="CO137" i="1"/>
  <c r="CP137" i="1"/>
  <c r="CN138" i="1"/>
  <c r="CO138" i="1"/>
  <c r="CP138" i="1"/>
  <c r="CN139" i="1"/>
  <c r="CO139" i="1"/>
  <c r="CP139" i="1"/>
  <c r="CN140" i="1"/>
  <c r="CO140" i="1"/>
  <c r="CP140" i="1"/>
  <c r="CN141" i="1"/>
  <c r="CO141" i="1"/>
  <c r="CP141" i="1"/>
  <c r="CN142" i="1"/>
  <c r="CO142" i="1"/>
  <c r="CP142" i="1"/>
  <c r="CN143" i="1"/>
  <c r="CO143" i="1"/>
  <c r="CP143" i="1"/>
  <c r="CN144" i="1"/>
  <c r="CO144" i="1"/>
  <c r="CP144" i="1"/>
  <c r="CN145" i="1"/>
  <c r="CO145" i="1"/>
  <c r="CP145" i="1"/>
  <c r="CN146" i="1"/>
  <c r="CO146" i="1"/>
  <c r="CP146" i="1"/>
  <c r="CN147" i="1"/>
  <c r="CO147" i="1"/>
  <c r="CP147" i="1"/>
  <c r="CN148" i="1"/>
  <c r="CO148" i="1"/>
  <c r="CP148" i="1"/>
  <c r="CN149" i="1"/>
  <c r="CO149" i="1"/>
  <c r="CP149" i="1"/>
  <c r="CN150" i="1"/>
  <c r="CO150" i="1"/>
  <c r="CP150" i="1"/>
  <c r="CN151" i="1"/>
  <c r="CO151" i="1"/>
  <c r="CP151" i="1"/>
  <c r="CN152" i="1"/>
  <c r="CO152" i="1"/>
  <c r="CP152" i="1"/>
  <c r="CN153" i="1"/>
  <c r="CO153" i="1"/>
  <c r="CP153" i="1"/>
  <c r="CN154" i="1"/>
  <c r="CO154" i="1"/>
  <c r="CP154" i="1"/>
  <c r="CN155" i="1"/>
  <c r="CO155" i="1"/>
  <c r="CP155" i="1"/>
  <c r="CN156" i="1"/>
  <c r="CO156" i="1"/>
  <c r="CP156" i="1"/>
  <c r="CN157" i="1"/>
  <c r="CO157" i="1"/>
  <c r="CP157" i="1"/>
  <c r="CN158" i="1"/>
  <c r="CO158" i="1"/>
  <c r="CP158" i="1"/>
  <c r="CN159" i="1"/>
  <c r="CO159" i="1"/>
  <c r="CP159" i="1"/>
  <c r="CN160" i="1"/>
  <c r="CO160" i="1"/>
  <c r="CP160" i="1"/>
  <c r="CN161" i="1"/>
  <c r="CO161" i="1"/>
  <c r="CP161" i="1"/>
  <c r="CN162" i="1"/>
  <c r="CO162" i="1"/>
  <c r="CP162" i="1"/>
  <c r="CN163" i="1"/>
  <c r="CO163" i="1"/>
  <c r="CP163" i="1"/>
  <c r="CN164" i="1"/>
  <c r="CO164" i="1"/>
  <c r="CP164" i="1"/>
  <c r="CN165" i="1"/>
  <c r="CO165" i="1"/>
  <c r="CP165" i="1"/>
  <c r="CN166" i="1"/>
  <c r="CO166" i="1"/>
  <c r="CP166" i="1"/>
  <c r="CN167" i="1"/>
  <c r="CO167" i="1"/>
  <c r="CP167" i="1"/>
  <c r="CN168" i="1"/>
  <c r="CO168" i="1"/>
  <c r="CP168" i="1"/>
  <c r="CN169" i="1"/>
  <c r="CO169" i="1"/>
  <c r="CP169" i="1"/>
  <c r="CN170" i="1"/>
  <c r="CO170" i="1"/>
  <c r="CP170" i="1"/>
  <c r="CN171" i="1"/>
  <c r="CO171" i="1"/>
  <c r="CP171" i="1"/>
  <c r="CN172" i="1"/>
  <c r="CO172" i="1"/>
  <c r="CP172" i="1"/>
  <c r="CN173" i="1"/>
  <c r="CO173" i="1"/>
  <c r="CP173" i="1"/>
  <c r="CN174" i="1"/>
  <c r="CO174" i="1"/>
  <c r="CP174" i="1"/>
  <c r="CN175" i="1"/>
  <c r="CO175" i="1"/>
  <c r="CP175" i="1"/>
  <c r="CN176" i="1"/>
  <c r="CO176" i="1"/>
  <c r="CP176" i="1"/>
  <c r="CN177" i="1"/>
  <c r="CO177" i="1"/>
  <c r="CP177" i="1"/>
  <c r="CN178" i="1"/>
  <c r="CO178" i="1"/>
  <c r="CP178" i="1"/>
  <c r="CN179" i="1"/>
  <c r="CO179" i="1"/>
  <c r="CP179" i="1"/>
  <c r="CN180" i="1"/>
  <c r="CO180" i="1"/>
  <c r="CP180" i="1"/>
  <c r="CN181" i="1"/>
  <c r="CO181" i="1"/>
  <c r="CP181" i="1"/>
  <c r="CN182" i="1"/>
  <c r="CO182" i="1"/>
  <c r="CP182" i="1"/>
  <c r="CN183" i="1"/>
  <c r="CO183" i="1"/>
  <c r="CP183" i="1"/>
  <c r="CN184" i="1"/>
  <c r="CO184" i="1"/>
  <c r="CP184" i="1"/>
  <c r="CN185" i="1"/>
  <c r="CO185" i="1"/>
  <c r="CP185" i="1"/>
  <c r="CN186" i="1"/>
  <c r="CO186" i="1"/>
  <c r="CP186" i="1"/>
  <c r="CN187" i="1"/>
  <c r="CO187" i="1"/>
  <c r="CP187" i="1"/>
  <c r="CN188" i="1"/>
  <c r="CO188" i="1"/>
  <c r="CP188" i="1"/>
  <c r="CN189" i="1"/>
  <c r="CO189" i="1"/>
  <c r="CP189" i="1"/>
  <c r="CN190" i="1"/>
  <c r="CO190" i="1"/>
  <c r="CP190" i="1"/>
  <c r="CN191" i="1"/>
  <c r="CO191" i="1"/>
  <c r="CP191" i="1"/>
  <c r="CN192" i="1"/>
  <c r="CO192" i="1"/>
  <c r="CP192" i="1"/>
  <c r="CN193" i="1"/>
  <c r="CO193" i="1"/>
  <c r="CP193" i="1"/>
  <c r="CN194" i="1"/>
  <c r="CO194" i="1"/>
  <c r="CP194" i="1"/>
  <c r="CN195" i="1"/>
  <c r="CO195" i="1"/>
  <c r="CP195" i="1"/>
  <c r="CN196" i="1"/>
  <c r="CO196" i="1"/>
  <c r="CP196" i="1"/>
  <c r="CN197" i="1"/>
  <c r="CO197" i="1"/>
  <c r="CP197" i="1"/>
  <c r="CN198" i="1"/>
  <c r="CO198" i="1"/>
  <c r="CP198" i="1"/>
  <c r="CN199" i="1"/>
  <c r="CO199" i="1"/>
  <c r="CP199" i="1"/>
  <c r="CN200" i="1"/>
  <c r="CO200" i="1"/>
  <c r="CP200" i="1"/>
  <c r="CN201" i="1"/>
  <c r="CO201" i="1"/>
  <c r="CP201" i="1"/>
  <c r="CN202" i="1"/>
  <c r="CO202" i="1"/>
  <c r="CP202" i="1"/>
  <c r="CN3" i="1"/>
  <c r="CO3" i="1"/>
  <c r="CP3" i="1"/>
  <c r="CH4" i="1"/>
  <c r="CI4" i="1"/>
  <c r="CJ4" i="1"/>
  <c r="CK4" i="1"/>
  <c r="CL4" i="1"/>
  <c r="CH5" i="1"/>
  <c r="CI5" i="1"/>
  <c r="CJ5" i="1"/>
  <c r="CK5" i="1"/>
  <c r="CL5" i="1"/>
  <c r="CH6" i="1"/>
  <c r="CI6" i="1"/>
  <c r="CJ6" i="1"/>
  <c r="CK6" i="1"/>
  <c r="CL6" i="1"/>
  <c r="CH7" i="1"/>
  <c r="CI7" i="1"/>
  <c r="CJ7" i="1"/>
  <c r="CK7" i="1"/>
  <c r="CL7" i="1"/>
  <c r="CH8" i="1"/>
  <c r="CI8" i="1"/>
  <c r="CJ8" i="1"/>
  <c r="CK8" i="1"/>
  <c r="CL8" i="1"/>
  <c r="CH9" i="1"/>
  <c r="CI9" i="1"/>
  <c r="CJ9" i="1"/>
  <c r="CK9" i="1"/>
  <c r="CL9" i="1"/>
  <c r="CH10" i="1"/>
  <c r="CI10" i="1"/>
  <c r="CJ10" i="1"/>
  <c r="CK10" i="1"/>
  <c r="CL10" i="1"/>
  <c r="CH11" i="1"/>
  <c r="CI11" i="1"/>
  <c r="CJ11" i="1"/>
  <c r="CK11" i="1"/>
  <c r="CL11" i="1"/>
  <c r="CH12" i="1"/>
  <c r="CI12" i="1"/>
  <c r="CJ12" i="1"/>
  <c r="CK12" i="1"/>
  <c r="CL12" i="1"/>
  <c r="CH13" i="1"/>
  <c r="CI13" i="1"/>
  <c r="CJ13" i="1"/>
  <c r="CK13" i="1"/>
  <c r="CL13" i="1"/>
  <c r="CH14" i="1"/>
  <c r="CI14" i="1"/>
  <c r="CJ14" i="1"/>
  <c r="CK14" i="1"/>
  <c r="CL14" i="1"/>
  <c r="CH15" i="1"/>
  <c r="CI15" i="1"/>
  <c r="CJ15" i="1"/>
  <c r="CK15" i="1"/>
  <c r="CL15" i="1"/>
  <c r="CH16" i="1"/>
  <c r="CI16" i="1"/>
  <c r="CJ16" i="1"/>
  <c r="CK16" i="1"/>
  <c r="CL16" i="1"/>
  <c r="CH17" i="1"/>
  <c r="CI17" i="1"/>
  <c r="CJ17" i="1"/>
  <c r="CK17" i="1"/>
  <c r="CL17" i="1"/>
  <c r="CH18" i="1"/>
  <c r="CI18" i="1"/>
  <c r="CJ18" i="1"/>
  <c r="CK18" i="1"/>
  <c r="CL18" i="1"/>
  <c r="CH19" i="1"/>
  <c r="CI19" i="1"/>
  <c r="CJ19" i="1"/>
  <c r="CK19" i="1"/>
  <c r="CL19" i="1"/>
  <c r="CH20" i="1"/>
  <c r="CI20" i="1"/>
  <c r="CJ20" i="1"/>
  <c r="CK20" i="1"/>
  <c r="CL20" i="1"/>
  <c r="CH21" i="1"/>
  <c r="CI21" i="1"/>
  <c r="CJ21" i="1"/>
  <c r="CK21" i="1"/>
  <c r="CL21" i="1"/>
  <c r="CH22" i="1"/>
  <c r="CI22" i="1"/>
  <c r="CJ22" i="1"/>
  <c r="CK22" i="1"/>
  <c r="CL22" i="1"/>
  <c r="CH23" i="1"/>
  <c r="CI23" i="1"/>
  <c r="CJ23" i="1"/>
  <c r="CK23" i="1"/>
  <c r="CL23" i="1"/>
  <c r="CH24" i="1"/>
  <c r="CI24" i="1"/>
  <c r="CJ24" i="1"/>
  <c r="CK24" i="1"/>
  <c r="CL24" i="1"/>
  <c r="CH25" i="1"/>
  <c r="CI25" i="1"/>
  <c r="CJ25" i="1"/>
  <c r="CK25" i="1"/>
  <c r="CL25" i="1"/>
  <c r="CH26" i="1"/>
  <c r="CI26" i="1"/>
  <c r="CJ26" i="1"/>
  <c r="CK26" i="1"/>
  <c r="CL26" i="1"/>
  <c r="CH27" i="1"/>
  <c r="CI27" i="1"/>
  <c r="CJ27" i="1"/>
  <c r="CK27" i="1"/>
  <c r="CL27" i="1"/>
  <c r="CH28" i="1"/>
  <c r="CI28" i="1"/>
  <c r="CJ28" i="1"/>
  <c r="CK28" i="1"/>
  <c r="CL28" i="1"/>
  <c r="CH29" i="1"/>
  <c r="CI29" i="1"/>
  <c r="CJ29" i="1"/>
  <c r="CK29" i="1"/>
  <c r="CL29" i="1"/>
  <c r="CH30" i="1"/>
  <c r="CI30" i="1"/>
  <c r="CJ30" i="1"/>
  <c r="CK30" i="1"/>
  <c r="CL30" i="1"/>
  <c r="CH31" i="1"/>
  <c r="CI31" i="1"/>
  <c r="CJ31" i="1"/>
  <c r="CK31" i="1"/>
  <c r="CL31" i="1"/>
  <c r="CH32" i="1"/>
  <c r="CI32" i="1"/>
  <c r="CJ32" i="1"/>
  <c r="CK32" i="1"/>
  <c r="CL32" i="1"/>
  <c r="CH33" i="1"/>
  <c r="CI33" i="1"/>
  <c r="CJ33" i="1"/>
  <c r="CK33" i="1"/>
  <c r="CL33" i="1"/>
  <c r="CH34" i="1"/>
  <c r="CI34" i="1"/>
  <c r="CJ34" i="1"/>
  <c r="CK34" i="1"/>
  <c r="CL34" i="1"/>
  <c r="CH35" i="1"/>
  <c r="CI35" i="1"/>
  <c r="CJ35" i="1"/>
  <c r="CK35" i="1"/>
  <c r="CL35" i="1"/>
  <c r="CH36" i="1"/>
  <c r="CI36" i="1"/>
  <c r="CJ36" i="1"/>
  <c r="CK36" i="1"/>
  <c r="CL36" i="1"/>
  <c r="CH37" i="1"/>
  <c r="CI37" i="1"/>
  <c r="CJ37" i="1"/>
  <c r="CK37" i="1"/>
  <c r="CL37" i="1"/>
  <c r="CH38" i="1"/>
  <c r="CI38" i="1"/>
  <c r="CJ38" i="1"/>
  <c r="CK38" i="1"/>
  <c r="CL38" i="1"/>
  <c r="CH39" i="1"/>
  <c r="CI39" i="1"/>
  <c r="CJ39" i="1"/>
  <c r="CK39" i="1"/>
  <c r="CL39" i="1"/>
  <c r="CH40" i="1"/>
  <c r="CI40" i="1"/>
  <c r="CJ40" i="1"/>
  <c r="CK40" i="1"/>
  <c r="CL40" i="1"/>
  <c r="CH41" i="1"/>
  <c r="CI41" i="1"/>
  <c r="CJ41" i="1"/>
  <c r="CK41" i="1"/>
  <c r="CL41" i="1"/>
  <c r="CH42" i="1"/>
  <c r="CI42" i="1"/>
  <c r="CJ42" i="1"/>
  <c r="CK42" i="1"/>
  <c r="CL42" i="1"/>
  <c r="CH43" i="1"/>
  <c r="CI43" i="1"/>
  <c r="CJ43" i="1"/>
  <c r="CK43" i="1"/>
  <c r="CL43" i="1"/>
  <c r="CH44" i="1"/>
  <c r="CI44" i="1"/>
  <c r="CJ44" i="1"/>
  <c r="CK44" i="1"/>
  <c r="CL44" i="1"/>
  <c r="CH45" i="1"/>
  <c r="CI45" i="1"/>
  <c r="CJ45" i="1"/>
  <c r="CK45" i="1"/>
  <c r="CL45" i="1"/>
  <c r="CH46" i="1"/>
  <c r="CI46" i="1"/>
  <c r="CJ46" i="1"/>
  <c r="CK46" i="1"/>
  <c r="CL46" i="1"/>
  <c r="CH47" i="1"/>
  <c r="CI47" i="1"/>
  <c r="CJ47" i="1"/>
  <c r="CK47" i="1"/>
  <c r="CL47" i="1"/>
  <c r="CH48" i="1"/>
  <c r="CI48" i="1"/>
  <c r="CJ48" i="1"/>
  <c r="CK48" i="1"/>
  <c r="CL48" i="1"/>
  <c r="CH49" i="1"/>
  <c r="CI49" i="1"/>
  <c r="CJ49" i="1"/>
  <c r="CK49" i="1"/>
  <c r="CL49" i="1"/>
  <c r="CH50" i="1"/>
  <c r="CI50" i="1"/>
  <c r="CJ50" i="1"/>
  <c r="CK50" i="1"/>
  <c r="CL50" i="1"/>
  <c r="CH51" i="1"/>
  <c r="CI51" i="1"/>
  <c r="CJ51" i="1"/>
  <c r="CK51" i="1"/>
  <c r="CL51" i="1"/>
  <c r="CH52" i="1"/>
  <c r="CI52" i="1"/>
  <c r="CJ52" i="1"/>
  <c r="CK52" i="1"/>
  <c r="CL52" i="1"/>
  <c r="CH53" i="1"/>
  <c r="CI53" i="1"/>
  <c r="CJ53" i="1"/>
  <c r="CK53" i="1"/>
  <c r="CL53" i="1"/>
  <c r="CH54" i="1"/>
  <c r="CI54" i="1"/>
  <c r="CJ54" i="1"/>
  <c r="CK54" i="1"/>
  <c r="CL54" i="1"/>
  <c r="CH55" i="1"/>
  <c r="CI55" i="1"/>
  <c r="CJ55" i="1"/>
  <c r="CK55" i="1"/>
  <c r="CL55" i="1"/>
  <c r="CH56" i="1"/>
  <c r="CI56" i="1"/>
  <c r="CJ56" i="1"/>
  <c r="CK56" i="1"/>
  <c r="CL56" i="1"/>
  <c r="CH57" i="1"/>
  <c r="CI57" i="1"/>
  <c r="CJ57" i="1"/>
  <c r="CK57" i="1"/>
  <c r="CL57" i="1"/>
  <c r="CH58" i="1"/>
  <c r="CI58" i="1"/>
  <c r="CJ58" i="1"/>
  <c r="CK58" i="1"/>
  <c r="CL58" i="1"/>
  <c r="CH59" i="1"/>
  <c r="CI59" i="1"/>
  <c r="CJ59" i="1"/>
  <c r="CK59" i="1"/>
  <c r="CL59" i="1"/>
  <c r="CH60" i="1"/>
  <c r="CI60" i="1"/>
  <c r="CJ60" i="1"/>
  <c r="CK60" i="1"/>
  <c r="CL60" i="1"/>
  <c r="CH61" i="1"/>
  <c r="CI61" i="1"/>
  <c r="CJ61" i="1"/>
  <c r="CK61" i="1"/>
  <c r="CL61" i="1"/>
  <c r="CH62" i="1"/>
  <c r="CI62" i="1"/>
  <c r="CJ62" i="1"/>
  <c r="CK62" i="1"/>
  <c r="CL62" i="1"/>
  <c r="CH63" i="1"/>
  <c r="CI63" i="1"/>
  <c r="CJ63" i="1"/>
  <c r="CK63" i="1"/>
  <c r="CL63" i="1"/>
  <c r="CH64" i="1"/>
  <c r="CI64" i="1"/>
  <c r="CJ64" i="1"/>
  <c r="CK64" i="1"/>
  <c r="CL64" i="1"/>
  <c r="CH65" i="1"/>
  <c r="CI65" i="1"/>
  <c r="CJ65" i="1"/>
  <c r="CK65" i="1"/>
  <c r="CL65" i="1"/>
  <c r="CH66" i="1"/>
  <c r="CI66" i="1"/>
  <c r="CJ66" i="1"/>
  <c r="CK66" i="1"/>
  <c r="CL66" i="1"/>
  <c r="CH67" i="1"/>
  <c r="CI67" i="1"/>
  <c r="CJ67" i="1"/>
  <c r="CK67" i="1"/>
  <c r="CL67" i="1"/>
  <c r="CH68" i="1"/>
  <c r="CI68" i="1"/>
  <c r="CJ68" i="1"/>
  <c r="CK68" i="1"/>
  <c r="CL68" i="1"/>
  <c r="CH69" i="1"/>
  <c r="CI69" i="1"/>
  <c r="CJ69" i="1"/>
  <c r="CK69" i="1"/>
  <c r="CL69" i="1"/>
  <c r="CH70" i="1"/>
  <c r="CI70" i="1"/>
  <c r="CJ70" i="1"/>
  <c r="CK70" i="1"/>
  <c r="CL70" i="1"/>
  <c r="CH71" i="1"/>
  <c r="CI71" i="1"/>
  <c r="CJ71" i="1"/>
  <c r="CK71" i="1"/>
  <c r="CL71" i="1"/>
  <c r="CH72" i="1"/>
  <c r="CI72" i="1"/>
  <c r="CJ72" i="1"/>
  <c r="CK72" i="1"/>
  <c r="CL72" i="1"/>
  <c r="CH73" i="1"/>
  <c r="CI73" i="1"/>
  <c r="CJ73" i="1"/>
  <c r="CK73" i="1"/>
  <c r="CL73" i="1"/>
  <c r="CH74" i="1"/>
  <c r="CI74" i="1"/>
  <c r="CJ74" i="1"/>
  <c r="CK74" i="1"/>
  <c r="CL74" i="1"/>
  <c r="CH75" i="1"/>
  <c r="CI75" i="1"/>
  <c r="CJ75" i="1"/>
  <c r="CK75" i="1"/>
  <c r="CL75" i="1"/>
  <c r="CH76" i="1"/>
  <c r="CI76" i="1"/>
  <c r="CJ76" i="1"/>
  <c r="CK76" i="1"/>
  <c r="CL76" i="1"/>
  <c r="CH77" i="1"/>
  <c r="CI77" i="1"/>
  <c r="CJ77" i="1"/>
  <c r="CK77" i="1"/>
  <c r="CL77" i="1"/>
  <c r="CH78" i="1"/>
  <c r="CI78" i="1"/>
  <c r="CJ78" i="1"/>
  <c r="CK78" i="1"/>
  <c r="CL78" i="1"/>
  <c r="CH79" i="1"/>
  <c r="CI79" i="1"/>
  <c r="CJ79" i="1"/>
  <c r="CK79" i="1"/>
  <c r="CL79" i="1"/>
  <c r="CH80" i="1"/>
  <c r="CI80" i="1"/>
  <c r="CJ80" i="1"/>
  <c r="CK80" i="1"/>
  <c r="CL80" i="1"/>
  <c r="CH81" i="1"/>
  <c r="CI81" i="1"/>
  <c r="CJ81" i="1"/>
  <c r="CK81" i="1"/>
  <c r="CL81" i="1"/>
  <c r="CH82" i="1"/>
  <c r="CI82" i="1"/>
  <c r="CJ82" i="1"/>
  <c r="CK82" i="1"/>
  <c r="CL82" i="1"/>
  <c r="CH83" i="1"/>
  <c r="CI83" i="1"/>
  <c r="CJ83" i="1"/>
  <c r="CK83" i="1"/>
  <c r="CL83" i="1"/>
  <c r="CH84" i="1"/>
  <c r="CI84" i="1"/>
  <c r="CJ84" i="1"/>
  <c r="CK84" i="1"/>
  <c r="CL84" i="1"/>
  <c r="CH85" i="1"/>
  <c r="CI85" i="1"/>
  <c r="CJ85" i="1"/>
  <c r="CK85" i="1"/>
  <c r="CL85" i="1"/>
  <c r="CH86" i="1"/>
  <c r="CI86" i="1"/>
  <c r="CJ86" i="1"/>
  <c r="CK86" i="1"/>
  <c r="CL86" i="1"/>
  <c r="CH87" i="1"/>
  <c r="CI87" i="1"/>
  <c r="CJ87" i="1"/>
  <c r="CK87" i="1"/>
  <c r="CL87" i="1"/>
  <c r="CH88" i="1"/>
  <c r="CI88" i="1"/>
  <c r="CJ88" i="1"/>
  <c r="CK88" i="1"/>
  <c r="CL88" i="1"/>
  <c r="CH89" i="1"/>
  <c r="CI89" i="1"/>
  <c r="CJ89" i="1"/>
  <c r="CK89" i="1"/>
  <c r="CL89" i="1"/>
  <c r="CH90" i="1"/>
  <c r="CI90" i="1"/>
  <c r="CJ90" i="1"/>
  <c r="CK90" i="1"/>
  <c r="CL90" i="1"/>
  <c r="CH91" i="1"/>
  <c r="CI91" i="1"/>
  <c r="CJ91" i="1"/>
  <c r="CK91" i="1"/>
  <c r="CL91" i="1"/>
  <c r="CH92" i="1"/>
  <c r="CI92" i="1"/>
  <c r="CJ92" i="1"/>
  <c r="CK92" i="1"/>
  <c r="CL92" i="1"/>
  <c r="CH93" i="1"/>
  <c r="CI93" i="1"/>
  <c r="CJ93" i="1"/>
  <c r="CK93" i="1"/>
  <c r="CL93" i="1"/>
  <c r="CH94" i="1"/>
  <c r="CI94" i="1"/>
  <c r="CJ94" i="1"/>
  <c r="CK94" i="1"/>
  <c r="CL94" i="1"/>
  <c r="CH95" i="1"/>
  <c r="CI95" i="1"/>
  <c r="CJ95" i="1"/>
  <c r="CK95" i="1"/>
  <c r="CL95" i="1"/>
  <c r="CH96" i="1"/>
  <c r="CI96" i="1"/>
  <c r="CJ96" i="1"/>
  <c r="CK96" i="1"/>
  <c r="CL96" i="1"/>
  <c r="CH97" i="1"/>
  <c r="CI97" i="1"/>
  <c r="CJ97" i="1"/>
  <c r="CK97" i="1"/>
  <c r="CL97" i="1"/>
  <c r="CH98" i="1"/>
  <c r="CI98" i="1"/>
  <c r="CJ98" i="1"/>
  <c r="CK98" i="1"/>
  <c r="CL98" i="1"/>
  <c r="CH99" i="1"/>
  <c r="CI99" i="1"/>
  <c r="CJ99" i="1"/>
  <c r="CK99" i="1"/>
  <c r="CL99" i="1"/>
  <c r="CH100" i="1"/>
  <c r="CI100" i="1"/>
  <c r="CJ100" i="1"/>
  <c r="CK100" i="1"/>
  <c r="CL100" i="1"/>
  <c r="CH101" i="1"/>
  <c r="CI101" i="1"/>
  <c r="CJ101" i="1"/>
  <c r="CK101" i="1"/>
  <c r="CL101" i="1"/>
  <c r="CH102" i="1"/>
  <c r="CI102" i="1"/>
  <c r="CJ102" i="1"/>
  <c r="CK102" i="1"/>
  <c r="CL102" i="1"/>
  <c r="CH103" i="1"/>
  <c r="CI103" i="1"/>
  <c r="CJ103" i="1"/>
  <c r="CK103" i="1"/>
  <c r="CL103" i="1"/>
  <c r="CH104" i="1"/>
  <c r="CI104" i="1"/>
  <c r="CJ104" i="1"/>
  <c r="CK104" i="1"/>
  <c r="CL104" i="1"/>
  <c r="CH105" i="1"/>
  <c r="CI105" i="1"/>
  <c r="CJ105" i="1"/>
  <c r="CK105" i="1"/>
  <c r="CL105" i="1"/>
  <c r="CH106" i="1"/>
  <c r="CI106" i="1"/>
  <c r="CJ106" i="1"/>
  <c r="CK106" i="1"/>
  <c r="CL106" i="1"/>
  <c r="CH107" i="1"/>
  <c r="CI107" i="1"/>
  <c r="CJ107" i="1"/>
  <c r="CK107" i="1"/>
  <c r="CL107" i="1"/>
  <c r="CH108" i="1"/>
  <c r="CI108" i="1"/>
  <c r="CJ108" i="1"/>
  <c r="CK108" i="1"/>
  <c r="CL108" i="1"/>
  <c r="CH109" i="1"/>
  <c r="CI109" i="1"/>
  <c r="CJ109" i="1"/>
  <c r="CK109" i="1"/>
  <c r="CL109" i="1"/>
  <c r="CH110" i="1"/>
  <c r="CI110" i="1"/>
  <c r="CJ110" i="1"/>
  <c r="CK110" i="1"/>
  <c r="CL110" i="1"/>
  <c r="CH111" i="1"/>
  <c r="CI111" i="1"/>
  <c r="CJ111" i="1"/>
  <c r="CK111" i="1"/>
  <c r="CL111" i="1"/>
  <c r="CH112" i="1"/>
  <c r="CI112" i="1"/>
  <c r="CJ112" i="1"/>
  <c r="CK112" i="1"/>
  <c r="CL112" i="1"/>
  <c r="CH113" i="1"/>
  <c r="CI113" i="1"/>
  <c r="CJ113" i="1"/>
  <c r="CK113" i="1"/>
  <c r="CL113" i="1"/>
  <c r="CH114" i="1"/>
  <c r="CI114" i="1"/>
  <c r="CJ114" i="1"/>
  <c r="CK114" i="1"/>
  <c r="CL114" i="1"/>
  <c r="CH115" i="1"/>
  <c r="CI115" i="1"/>
  <c r="CJ115" i="1"/>
  <c r="CK115" i="1"/>
  <c r="CL115" i="1"/>
  <c r="CH116" i="1"/>
  <c r="CI116" i="1"/>
  <c r="CJ116" i="1"/>
  <c r="CK116" i="1"/>
  <c r="CL116" i="1"/>
  <c r="CH117" i="1"/>
  <c r="CI117" i="1"/>
  <c r="CJ117" i="1"/>
  <c r="CK117" i="1"/>
  <c r="CL117" i="1"/>
  <c r="CH118" i="1"/>
  <c r="CI118" i="1"/>
  <c r="CJ118" i="1"/>
  <c r="CK118" i="1"/>
  <c r="CL118" i="1"/>
  <c r="CH119" i="1"/>
  <c r="CI119" i="1"/>
  <c r="CJ119" i="1"/>
  <c r="CK119" i="1"/>
  <c r="CL119" i="1"/>
  <c r="CH120" i="1"/>
  <c r="CI120" i="1"/>
  <c r="CJ120" i="1"/>
  <c r="CK120" i="1"/>
  <c r="CL120" i="1"/>
  <c r="CH121" i="1"/>
  <c r="CI121" i="1"/>
  <c r="CJ121" i="1"/>
  <c r="CK121" i="1"/>
  <c r="CL121" i="1"/>
  <c r="CH122" i="1"/>
  <c r="CI122" i="1"/>
  <c r="CJ122" i="1"/>
  <c r="CK122" i="1"/>
  <c r="CL122" i="1"/>
  <c r="CH123" i="1"/>
  <c r="CI123" i="1"/>
  <c r="CJ123" i="1"/>
  <c r="CK123" i="1"/>
  <c r="CL123" i="1"/>
  <c r="CH124" i="1"/>
  <c r="CI124" i="1"/>
  <c r="CJ124" i="1"/>
  <c r="CK124" i="1"/>
  <c r="CL124" i="1"/>
  <c r="CH125" i="1"/>
  <c r="CI125" i="1"/>
  <c r="CJ125" i="1"/>
  <c r="CK125" i="1"/>
  <c r="CL125" i="1"/>
  <c r="CH126" i="1"/>
  <c r="CI126" i="1"/>
  <c r="CJ126" i="1"/>
  <c r="CK126" i="1"/>
  <c r="CL126" i="1"/>
  <c r="CH127" i="1"/>
  <c r="CI127" i="1"/>
  <c r="CJ127" i="1"/>
  <c r="CK127" i="1"/>
  <c r="CL127" i="1"/>
  <c r="CH128" i="1"/>
  <c r="CI128" i="1"/>
  <c r="CJ128" i="1"/>
  <c r="CK128" i="1"/>
  <c r="CL128" i="1"/>
  <c r="CH129" i="1"/>
  <c r="CI129" i="1"/>
  <c r="CJ129" i="1"/>
  <c r="CK129" i="1"/>
  <c r="CL129" i="1"/>
  <c r="CH130" i="1"/>
  <c r="CI130" i="1"/>
  <c r="CJ130" i="1"/>
  <c r="CK130" i="1"/>
  <c r="CL130" i="1"/>
  <c r="CH131" i="1"/>
  <c r="CI131" i="1"/>
  <c r="CJ131" i="1"/>
  <c r="CK131" i="1"/>
  <c r="CL131" i="1"/>
  <c r="CH132" i="1"/>
  <c r="CI132" i="1"/>
  <c r="CJ132" i="1"/>
  <c r="CK132" i="1"/>
  <c r="CL132" i="1"/>
  <c r="CH133" i="1"/>
  <c r="CI133" i="1"/>
  <c r="CJ133" i="1"/>
  <c r="CK133" i="1"/>
  <c r="CL133" i="1"/>
  <c r="CH134" i="1"/>
  <c r="CI134" i="1"/>
  <c r="CJ134" i="1"/>
  <c r="CK134" i="1"/>
  <c r="CL134" i="1"/>
  <c r="CH135" i="1"/>
  <c r="CI135" i="1"/>
  <c r="CJ135" i="1"/>
  <c r="CK135" i="1"/>
  <c r="CL135" i="1"/>
  <c r="CH136" i="1"/>
  <c r="CI136" i="1"/>
  <c r="CJ136" i="1"/>
  <c r="CK136" i="1"/>
  <c r="CL136" i="1"/>
  <c r="CH137" i="1"/>
  <c r="CI137" i="1"/>
  <c r="CJ137" i="1"/>
  <c r="CK137" i="1"/>
  <c r="CL137" i="1"/>
  <c r="CH138" i="1"/>
  <c r="CI138" i="1"/>
  <c r="CJ138" i="1"/>
  <c r="CK138" i="1"/>
  <c r="CL138" i="1"/>
  <c r="CH139" i="1"/>
  <c r="CI139" i="1"/>
  <c r="CJ139" i="1"/>
  <c r="CK139" i="1"/>
  <c r="CL139" i="1"/>
  <c r="CH140" i="1"/>
  <c r="CI140" i="1"/>
  <c r="CJ140" i="1"/>
  <c r="CK140" i="1"/>
  <c r="CL140" i="1"/>
  <c r="CH141" i="1"/>
  <c r="CI141" i="1"/>
  <c r="CJ141" i="1"/>
  <c r="CK141" i="1"/>
  <c r="CL141" i="1"/>
  <c r="CH142" i="1"/>
  <c r="CI142" i="1"/>
  <c r="CJ142" i="1"/>
  <c r="CK142" i="1"/>
  <c r="CL142" i="1"/>
  <c r="CH143" i="1"/>
  <c r="CI143" i="1"/>
  <c r="CJ143" i="1"/>
  <c r="CK143" i="1"/>
  <c r="CL143" i="1"/>
  <c r="CH144" i="1"/>
  <c r="CI144" i="1"/>
  <c r="CJ144" i="1"/>
  <c r="CK144" i="1"/>
  <c r="CL144" i="1"/>
  <c r="CH145" i="1"/>
  <c r="CI145" i="1"/>
  <c r="CJ145" i="1"/>
  <c r="CK145" i="1"/>
  <c r="CL145" i="1"/>
  <c r="CH146" i="1"/>
  <c r="CI146" i="1"/>
  <c r="CJ146" i="1"/>
  <c r="CK146" i="1"/>
  <c r="CL146" i="1"/>
  <c r="CH147" i="1"/>
  <c r="CI147" i="1"/>
  <c r="CJ147" i="1"/>
  <c r="CK147" i="1"/>
  <c r="CL147" i="1"/>
  <c r="CH148" i="1"/>
  <c r="CI148" i="1"/>
  <c r="CJ148" i="1"/>
  <c r="CK148" i="1"/>
  <c r="CL148" i="1"/>
  <c r="CH149" i="1"/>
  <c r="CI149" i="1"/>
  <c r="CJ149" i="1"/>
  <c r="CK149" i="1"/>
  <c r="CL149" i="1"/>
  <c r="CH150" i="1"/>
  <c r="CI150" i="1"/>
  <c r="CJ150" i="1"/>
  <c r="CK150" i="1"/>
  <c r="CL150" i="1"/>
  <c r="CH151" i="1"/>
  <c r="CI151" i="1"/>
  <c r="CJ151" i="1"/>
  <c r="CK151" i="1"/>
  <c r="CL151" i="1"/>
  <c r="CH152" i="1"/>
  <c r="CI152" i="1"/>
  <c r="CJ152" i="1"/>
  <c r="CK152" i="1"/>
  <c r="CL152" i="1"/>
  <c r="CH153" i="1"/>
  <c r="CI153" i="1"/>
  <c r="CJ153" i="1"/>
  <c r="CK153" i="1"/>
  <c r="CL153" i="1"/>
  <c r="CH154" i="1"/>
  <c r="CI154" i="1"/>
  <c r="CJ154" i="1"/>
  <c r="CK154" i="1"/>
  <c r="CL154" i="1"/>
  <c r="CH155" i="1"/>
  <c r="CI155" i="1"/>
  <c r="CJ155" i="1"/>
  <c r="CK155" i="1"/>
  <c r="CL155" i="1"/>
  <c r="CH156" i="1"/>
  <c r="CI156" i="1"/>
  <c r="CJ156" i="1"/>
  <c r="CK156" i="1"/>
  <c r="CL156" i="1"/>
  <c r="CH157" i="1"/>
  <c r="CI157" i="1"/>
  <c r="CJ157" i="1"/>
  <c r="CK157" i="1"/>
  <c r="CL157" i="1"/>
  <c r="CH158" i="1"/>
  <c r="CI158" i="1"/>
  <c r="CJ158" i="1"/>
  <c r="CK158" i="1"/>
  <c r="CL158" i="1"/>
  <c r="CH159" i="1"/>
  <c r="CI159" i="1"/>
  <c r="CJ159" i="1"/>
  <c r="CK159" i="1"/>
  <c r="CL159" i="1"/>
  <c r="CH160" i="1"/>
  <c r="CI160" i="1"/>
  <c r="CJ160" i="1"/>
  <c r="CK160" i="1"/>
  <c r="CL160" i="1"/>
  <c r="CH161" i="1"/>
  <c r="CI161" i="1"/>
  <c r="CJ161" i="1"/>
  <c r="CK161" i="1"/>
  <c r="CL161" i="1"/>
  <c r="CH162" i="1"/>
  <c r="CI162" i="1"/>
  <c r="CJ162" i="1"/>
  <c r="CK162" i="1"/>
  <c r="CL162" i="1"/>
  <c r="CH163" i="1"/>
  <c r="CI163" i="1"/>
  <c r="CJ163" i="1"/>
  <c r="CK163" i="1"/>
  <c r="CL163" i="1"/>
  <c r="CH164" i="1"/>
  <c r="CI164" i="1"/>
  <c r="CJ164" i="1"/>
  <c r="CK164" i="1"/>
  <c r="CL164" i="1"/>
  <c r="CH165" i="1"/>
  <c r="CI165" i="1"/>
  <c r="CJ165" i="1"/>
  <c r="CK165" i="1"/>
  <c r="CL165" i="1"/>
  <c r="CH166" i="1"/>
  <c r="CI166" i="1"/>
  <c r="CJ166" i="1"/>
  <c r="CK166" i="1"/>
  <c r="CL166" i="1"/>
  <c r="CH167" i="1"/>
  <c r="CI167" i="1"/>
  <c r="CJ167" i="1"/>
  <c r="CK167" i="1"/>
  <c r="CL167" i="1"/>
  <c r="CH168" i="1"/>
  <c r="CI168" i="1"/>
  <c r="CJ168" i="1"/>
  <c r="CK168" i="1"/>
  <c r="CL168" i="1"/>
  <c r="CH169" i="1"/>
  <c r="CI169" i="1"/>
  <c r="CJ169" i="1"/>
  <c r="CK169" i="1"/>
  <c r="CL169" i="1"/>
  <c r="CH170" i="1"/>
  <c r="CI170" i="1"/>
  <c r="CJ170" i="1"/>
  <c r="CK170" i="1"/>
  <c r="CL170" i="1"/>
  <c r="CH171" i="1"/>
  <c r="CI171" i="1"/>
  <c r="CJ171" i="1"/>
  <c r="CK171" i="1"/>
  <c r="CL171" i="1"/>
  <c r="CH172" i="1"/>
  <c r="CI172" i="1"/>
  <c r="CJ172" i="1"/>
  <c r="CK172" i="1"/>
  <c r="CL172" i="1"/>
  <c r="CH173" i="1"/>
  <c r="CI173" i="1"/>
  <c r="CJ173" i="1"/>
  <c r="CK173" i="1"/>
  <c r="CL173" i="1"/>
  <c r="CH174" i="1"/>
  <c r="CI174" i="1"/>
  <c r="CJ174" i="1"/>
  <c r="CK174" i="1"/>
  <c r="CL174" i="1"/>
  <c r="CH175" i="1"/>
  <c r="CI175" i="1"/>
  <c r="CJ175" i="1"/>
  <c r="CK175" i="1"/>
  <c r="CL175" i="1"/>
  <c r="CH176" i="1"/>
  <c r="CI176" i="1"/>
  <c r="CJ176" i="1"/>
  <c r="CK176" i="1"/>
  <c r="CL176" i="1"/>
  <c r="CH177" i="1"/>
  <c r="CI177" i="1"/>
  <c r="CJ177" i="1"/>
  <c r="CK177" i="1"/>
  <c r="CL177" i="1"/>
  <c r="CH178" i="1"/>
  <c r="CI178" i="1"/>
  <c r="CJ178" i="1"/>
  <c r="CK178" i="1"/>
  <c r="CL178" i="1"/>
  <c r="CH179" i="1"/>
  <c r="CI179" i="1"/>
  <c r="CJ179" i="1"/>
  <c r="CK179" i="1"/>
  <c r="CL179" i="1"/>
  <c r="CH180" i="1"/>
  <c r="CI180" i="1"/>
  <c r="CJ180" i="1"/>
  <c r="CK180" i="1"/>
  <c r="CL180" i="1"/>
  <c r="CH181" i="1"/>
  <c r="CI181" i="1"/>
  <c r="CJ181" i="1"/>
  <c r="CK181" i="1"/>
  <c r="CL181" i="1"/>
  <c r="CH182" i="1"/>
  <c r="CI182" i="1"/>
  <c r="CJ182" i="1"/>
  <c r="CK182" i="1"/>
  <c r="CL182" i="1"/>
  <c r="CH183" i="1"/>
  <c r="CI183" i="1"/>
  <c r="CJ183" i="1"/>
  <c r="CK183" i="1"/>
  <c r="CL183" i="1"/>
  <c r="CH184" i="1"/>
  <c r="CI184" i="1"/>
  <c r="CJ184" i="1"/>
  <c r="CK184" i="1"/>
  <c r="CL184" i="1"/>
  <c r="CH185" i="1"/>
  <c r="CI185" i="1"/>
  <c r="CJ185" i="1"/>
  <c r="CK185" i="1"/>
  <c r="CL185" i="1"/>
  <c r="CH186" i="1"/>
  <c r="CI186" i="1"/>
  <c r="CJ186" i="1"/>
  <c r="CK186" i="1"/>
  <c r="CL186" i="1"/>
  <c r="CH187" i="1"/>
  <c r="CI187" i="1"/>
  <c r="CJ187" i="1"/>
  <c r="CK187" i="1"/>
  <c r="CL187" i="1"/>
  <c r="CH188" i="1"/>
  <c r="CI188" i="1"/>
  <c r="CJ188" i="1"/>
  <c r="CK188" i="1"/>
  <c r="CL188" i="1"/>
  <c r="CH189" i="1"/>
  <c r="CI189" i="1"/>
  <c r="CJ189" i="1"/>
  <c r="CK189" i="1"/>
  <c r="CL189" i="1"/>
  <c r="CH190" i="1"/>
  <c r="CI190" i="1"/>
  <c r="CJ190" i="1"/>
  <c r="CK190" i="1"/>
  <c r="CL190" i="1"/>
  <c r="CH191" i="1"/>
  <c r="CI191" i="1"/>
  <c r="CJ191" i="1"/>
  <c r="CK191" i="1"/>
  <c r="CL191" i="1"/>
  <c r="CH192" i="1"/>
  <c r="CI192" i="1"/>
  <c r="CJ192" i="1"/>
  <c r="CK192" i="1"/>
  <c r="CL192" i="1"/>
  <c r="CH193" i="1"/>
  <c r="CI193" i="1"/>
  <c r="CJ193" i="1"/>
  <c r="CK193" i="1"/>
  <c r="CL193" i="1"/>
  <c r="CH194" i="1"/>
  <c r="CI194" i="1"/>
  <c r="CJ194" i="1"/>
  <c r="CK194" i="1"/>
  <c r="CL194" i="1"/>
  <c r="CH195" i="1"/>
  <c r="CI195" i="1"/>
  <c r="CJ195" i="1"/>
  <c r="CK195" i="1"/>
  <c r="CL195" i="1"/>
  <c r="CH196" i="1"/>
  <c r="CI196" i="1"/>
  <c r="CJ196" i="1"/>
  <c r="CK196" i="1"/>
  <c r="CL196" i="1"/>
  <c r="CH197" i="1"/>
  <c r="CI197" i="1"/>
  <c r="CJ197" i="1"/>
  <c r="CK197" i="1"/>
  <c r="CL197" i="1"/>
  <c r="CH198" i="1"/>
  <c r="CI198" i="1"/>
  <c r="CJ198" i="1"/>
  <c r="CK198" i="1"/>
  <c r="CL198" i="1"/>
  <c r="CH199" i="1"/>
  <c r="CI199" i="1"/>
  <c r="CJ199" i="1"/>
  <c r="CK199" i="1"/>
  <c r="CL199" i="1"/>
  <c r="CH200" i="1"/>
  <c r="CI200" i="1"/>
  <c r="CJ200" i="1"/>
  <c r="CK200" i="1"/>
  <c r="CL200" i="1"/>
  <c r="CH201" i="1"/>
  <c r="CI201" i="1"/>
  <c r="CJ201" i="1"/>
  <c r="CK201" i="1"/>
  <c r="CL201" i="1"/>
  <c r="CH202" i="1"/>
  <c r="CI202" i="1"/>
  <c r="CJ202" i="1"/>
  <c r="CK202" i="1"/>
  <c r="CL202" i="1"/>
  <c r="CH3" i="1"/>
  <c r="CI3" i="1"/>
  <c r="CJ3" i="1"/>
  <c r="CK3" i="1"/>
  <c r="CL3" i="1"/>
  <c r="CB4" i="1"/>
  <c r="CC4" i="1"/>
  <c r="CD4" i="1"/>
  <c r="CE4" i="1"/>
  <c r="CF4" i="1"/>
  <c r="CB5" i="1"/>
  <c r="CC5" i="1"/>
  <c r="CD5" i="1"/>
  <c r="CE5" i="1"/>
  <c r="CF5" i="1"/>
  <c r="CB6" i="1"/>
  <c r="CC6" i="1"/>
  <c r="CD6" i="1"/>
  <c r="CE6" i="1"/>
  <c r="CF6" i="1"/>
  <c r="CB7" i="1"/>
  <c r="CC7" i="1"/>
  <c r="CD7" i="1"/>
  <c r="CE7" i="1"/>
  <c r="CF7" i="1"/>
  <c r="CB8" i="1"/>
  <c r="CC8" i="1"/>
  <c r="CD8" i="1"/>
  <c r="CE8" i="1"/>
  <c r="CF8" i="1"/>
  <c r="CB9" i="1"/>
  <c r="CC9" i="1"/>
  <c r="CD9" i="1"/>
  <c r="CE9" i="1"/>
  <c r="CF9" i="1"/>
  <c r="CB10" i="1"/>
  <c r="CC10" i="1"/>
  <c r="CD10" i="1"/>
  <c r="CE10" i="1"/>
  <c r="CF10" i="1"/>
  <c r="CB11" i="1"/>
  <c r="CC11" i="1"/>
  <c r="CD11" i="1"/>
  <c r="CE11" i="1"/>
  <c r="CF11" i="1"/>
  <c r="CB12" i="1"/>
  <c r="CC12" i="1"/>
  <c r="CD12" i="1"/>
  <c r="CE12" i="1"/>
  <c r="CF12" i="1"/>
  <c r="CB13" i="1"/>
  <c r="CC13" i="1"/>
  <c r="CD13" i="1"/>
  <c r="CE13" i="1"/>
  <c r="CF13" i="1"/>
  <c r="CB14" i="1"/>
  <c r="CC14" i="1"/>
  <c r="CD14" i="1"/>
  <c r="CE14" i="1"/>
  <c r="CF14" i="1"/>
  <c r="CB15" i="1"/>
  <c r="CC15" i="1"/>
  <c r="CD15" i="1"/>
  <c r="CE15" i="1"/>
  <c r="CF15" i="1"/>
  <c r="CB16" i="1"/>
  <c r="CC16" i="1"/>
  <c r="CD16" i="1"/>
  <c r="CE16" i="1"/>
  <c r="CF16" i="1"/>
  <c r="CB17" i="1"/>
  <c r="CC17" i="1"/>
  <c r="CD17" i="1"/>
  <c r="CE17" i="1"/>
  <c r="CF17" i="1"/>
  <c r="CB18" i="1"/>
  <c r="CC18" i="1"/>
  <c r="CD18" i="1"/>
  <c r="CE18" i="1"/>
  <c r="CF18" i="1"/>
  <c r="CB19" i="1"/>
  <c r="CC19" i="1"/>
  <c r="CD19" i="1"/>
  <c r="CE19" i="1"/>
  <c r="CF19" i="1"/>
  <c r="CB20" i="1"/>
  <c r="CC20" i="1"/>
  <c r="CD20" i="1"/>
  <c r="CE20" i="1"/>
  <c r="CF20" i="1"/>
  <c r="CB21" i="1"/>
  <c r="CC21" i="1"/>
  <c r="CD21" i="1"/>
  <c r="CE21" i="1"/>
  <c r="CF21" i="1"/>
  <c r="CB22" i="1"/>
  <c r="CC22" i="1"/>
  <c r="CD22" i="1"/>
  <c r="CE22" i="1"/>
  <c r="CF22" i="1"/>
  <c r="CB23" i="1"/>
  <c r="CC23" i="1"/>
  <c r="CD23" i="1"/>
  <c r="CE23" i="1"/>
  <c r="CF23" i="1"/>
  <c r="CB24" i="1"/>
  <c r="CC24" i="1"/>
  <c r="CD24" i="1"/>
  <c r="CE24" i="1"/>
  <c r="CF24" i="1"/>
  <c r="CB25" i="1"/>
  <c r="CC25" i="1"/>
  <c r="CD25" i="1"/>
  <c r="CE25" i="1"/>
  <c r="CF25" i="1"/>
  <c r="CB26" i="1"/>
  <c r="CC26" i="1"/>
  <c r="CD26" i="1"/>
  <c r="CE26" i="1"/>
  <c r="CF26" i="1"/>
  <c r="CB27" i="1"/>
  <c r="CC27" i="1"/>
  <c r="CD27" i="1"/>
  <c r="CE27" i="1"/>
  <c r="CF27" i="1"/>
  <c r="CB28" i="1"/>
  <c r="CC28" i="1"/>
  <c r="CD28" i="1"/>
  <c r="CE28" i="1"/>
  <c r="CF28" i="1"/>
  <c r="CB29" i="1"/>
  <c r="CC29" i="1"/>
  <c r="CD29" i="1"/>
  <c r="CE29" i="1"/>
  <c r="CF29" i="1"/>
  <c r="CB30" i="1"/>
  <c r="CC30" i="1"/>
  <c r="CD30" i="1"/>
  <c r="CE30" i="1"/>
  <c r="CF30" i="1"/>
  <c r="CB31" i="1"/>
  <c r="CC31" i="1"/>
  <c r="CD31" i="1"/>
  <c r="CE31" i="1"/>
  <c r="CF31" i="1"/>
  <c r="CB32" i="1"/>
  <c r="CC32" i="1"/>
  <c r="CD32" i="1"/>
  <c r="CE32" i="1"/>
  <c r="CF32" i="1"/>
  <c r="CB33" i="1"/>
  <c r="CC33" i="1"/>
  <c r="CD33" i="1"/>
  <c r="CE33" i="1"/>
  <c r="CF33" i="1"/>
  <c r="CB34" i="1"/>
  <c r="CC34" i="1"/>
  <c r="CD34" i="1"/>
  <c r="CE34" i="1"/>
  <c r="CF34" i="1"/>
  <c r="CB35" i="1"/>
  <c r="CC35" i="1"/>
  <c r="CD35" i="1"/>
  <c r="CE35" i="1"/>
  <c r="CF35" i="1"/>
  <c r="CB36" i="1"/>
  <c r="CC36" i="1"/>
  <c r="CD36" i="1"/>
  <c r="CE36" i="1"/>
  <c r="CF36" i="1"/>
  <c r="CB37" i="1"/>
  <c r="CC37" i="1"/>
  <c r="CD37" i="1"/>
  <c r="CE37" i="1"/>
  <c r="CF37" i="1"/>
  <c r="CB38" i="1"/>
  <c r="CC38" i="1"/>
  <c r="CD38" i="1"/>
  <c r="CE38" i="1"/>
  <c r="CF38" i="1"/>
  <c r="CB39" i="1"/>
  <c r="CC39" i="1"/>
  <c r="CD39" i="1"/>
  <c r="CE39" i="1"/>
  <c r="CF39" i="1"/>
  <c r="CB40" i="1"/>
  <c r="CC40" i="1"/>
  <c r="CD40" i="1"/>
  <c r="CE40" i="1"/>
  <c r="CF40" i="1"/>
  <c r="CB41" i="1"/>
  <c r="CC41" i="1"/>
  <c r="CD41" i="1"/>
  <c r="CE41" i="1"/>
  <c r="CF41" i="1"/>
  <c r="CB42" i="1"/>
  <c r="CC42" i="1"/>
  <c r="CD42" i="1"/>
  <c r="CE42" i="1"/>
  <c r="CF42" i="1"/>
  <c r="CB43" i="1"/>
  <c r="CC43" i="1"/>
  <c r="CD43" i="1"/>
  <c r="CE43" i="1"/>
  <c r="CF43" i="1"/>
  <c r="CB44" i="1"/>
  <c r="CC44" i="1"/>
  <c r="CD44" i="1"/>
  <c r="CE44" i="1"/>
  <c r="CF44" i="1"/>
  <c r="CB45" i="1"/>
  <c r="CC45" i="1"/>
  <c r="CD45" i="1"/>
  <c r="CE45" i="1"/>
  <c r="CF45" i="1"/>
  <c r="CB46" i="1"/>
  <c r="CC46" i="1"/>
  <c r="CD46" i="1"/>
  <c r="CE46" i="1"/>
  <c r="CF46" i="1"/>
  <c r="CB47" i="1"/>
  <c r="CC47" i="1"/>
  <c r="CD47" i="1"/>
  <c r="CE47" i="1"/>
  <c r="CF47" i="1"/>
  <c r="CB48" i="1"/>
  <c r="CC48" i="1"/>
  <c r="CD48" i="1"/>
  <c r="CE48" i="1"/>
  <c r="CF48" i="1"/>
  <c r="CB49" i="1"/>
  <c r="CC49" i="1"/>
  <c r="CD49" i="1"/>
  <c r="CE49" i="1"/>
  <c r="CF49" i="1"/>
  <c r="CB50" i="1"/>
  <c r="CC50" i="1"/>
  <c r="CD50" i="1"/>
  <c r="CE50" i="1"/>
  <c r="CF50" i="1"/>
  <c r="CB51" i="1"/>
  <c r="CC51" i="1"/>
  <c r="CD51" i="1"/>
  <c r="CE51" i="1"/>
  <c r="CF51" i="1"/>
  <c r="CB52" i="1"/>
  <c r="CC52" i="1"/>
  <c r="CD52" i="1"/>
  <c r="CE52" i="1"/>
  <c r="CF52" i="1"/>
  <c r="CB53" i="1"/>
  <c r="CC53" i="1"/>
  <c r="CD53" i="1"/>
  <c r="CE53" i="1"/>
  <c r="CF53" i="1"/>
  <c r="CB54" i="1"/>
  <c r="CC54" i="1"/>
  <c r="CD54" i="1"/>
  <c r="CE54" i="1"/>
  <c r="CF54" i="1"/>
  <c r="CB55" i="1"/>
  <c r="CC55" i="1"/>
  <c r="CD55" i="1"/>
  <c r="CE55" i="1"/>
  <c r="CF55" i="1"/>
  <c r="CB56" i="1"/>
  <c r="CC56" i="1"/>
  <c r="CD56" i="1"/>
  <c r="CE56" i="1"/>
  <c r="CF56" i="1"/>
  <c r="CB57" i="1"/>
  <c r="CC57" i="1"/>
  <c r="CD57" i="1"/>
  <c r="CE57" i="1"/>
  <c r="CF57" i="1"/>
  <c r="CB58" i="1"/>
  <c r="CC58" i="1"/>
  <c r="CD58" i="1"/>
  <c r="CE58" i="1"/>
  <c r="CF58" i="1"/>
  <c r="CB59" i="1"/>
  <c r="CC59" i="1"/>
  <c r="CD59" i="1"/>
  <c r="CE59" i="1"/>
  <c r="CF59" i="1"/>
  <c r="CB60" i="1"/>
  <c r="CC60" i="1"/>
  <c r="CD60" i="1"/>
  <c r="CE60" i="1"/>
  <c r="CF60" i="1"/>
  <c r="CB61" i="1"/>
  <c r="CC61" i="1"/>
  <c r="CD61" i="1"/>
  <c r="CE61" i="1"/>
  <c r="CF61" i="1"/>
  <c r="CB62" i="1"/>
  <c r="CC62" i="1"/>
  <c r="CD62" i="1"/>
  <c r="CE62" i="1"/>
  <c r="CF62" i="1"/>
  <c r="CB63" i="1"/>
  <c r="CC63" i="1"/>
  <c r="CD63" i="1"/>
  <c r="CE63" i="1"/>
  <c r="CF63" i="1"/>
  <c r="CB64" i="1"/>
  <c r="CC64" i="1"/>
  <c r="CD64" i="1"/>
  <c r="CE64" i="1"/>
  <c r="CF64" i="1"/>
  <c r="CB65" i="1"/>
  <c r="CC65" i="1"/>
  <c r="CD65" i="1"/>
  <c r="CE65" i="1"/>
  <c r="CF65" i="1"/>
  <c r="CB66" i="1"/>
  <c r="CC66" i="1"/>
  <c r="CD66" i="1"/>
  <c r="CE66" i="1"/>
  <c r="CF66" i="1"/>
  <c r="CB67" i="1"/>
  <c r="CC67" i="1"/>
  <c r="CD67" i="1"/>
  <c r="CE67" i="1"/>
  <c r="CF67" i="1"/>
  <c r="CB68" i="1"/>
  <c r="CC68" i="1"/>
  <c r="CD68" i="1"/>
  <c r="CE68" i="1"/>
  <c r="CF68" i="1"/>
  <c r="CB69" i="1"/>
  <c r="CC69" i="1"/>
  <c r="CD69" i="1"/>
  <c r="CE69" i="1"/>
  <c r="CF69" i="1"/>
  <c r="CB70" i="1"/>
  <c r="CC70" i="1"/>
  <c r="CD70" i="1"/>
  <c r="CE70" i="1"/>
  <c r="CF70" i="1"/>
  <c r="CB71" i="1"/>
  <c r="CC71" i="1"/>
  <c r="CD71" i="1"/>
  <c r="CE71" i="1"/>
  <c r="CF71" i="1"/>
  <c r="CB72" i="1"/>
  <c r="CC72" i="1"/>
  <c r="CD72" i="1"/>
  <c r="CE72" i="1"/>
  <c r="CF72" i="1"/>
  <c r="CB73" i="1"/>
  <c r="CC73" i="1"/>
  <c r="CD73" i="1"/>
  <c r="CE73" i="1"/>
  <c r="CF73" i="1"/>
  <c r="CB74" i="1"/>
  <c r="CC74" i="1"/>
  <c r="CD74" i="1"/>
  <c r="CE74" i="1"/>
  <c r="CF74" i="1"/>
  <c r="CB75" i="1"/>
  <c r="CC75" i="1"/>
  <c r="CD75" i="1"/>
  <c r="CE75" i="1"/>
  <c r="CF75" i="1"/>
  <c r="CB76" i="1"/>
  <c r="CC76" i="1"/>
  <c r="CD76" i="1"/>
  <c r="CE76" i="1"/>
  <c r="CF76" i="1"/>
  <c r="CB77" i="1"/>
  <c r="CC77" i="1"/>
  <c r="CD77" i="1"/>
  <c r="CE77" i="1"/>
  <c r="CF77" i="1"/>
  <c r="CB78" i="1"/>
  <c r="CC78" i="1"/>
  <c r="CD78" i="1"/>
  <c r="CE78" i="1"/>
  <c r="CF78" i="1"/>
  <c r="CB79" i="1"/>
  <c r="CC79" i="1"/>
  <c r="CD79" i="1"/>
  <c r="CE79" i="1"/>
  <c r="CF79" i="1"/>
  <c r="CB80" i="1"/>
  <c r="CC80" i="1"/>
  <c r="CD80" i="1"/>
  <c r="CE80" i="1"/>
  <c r="CF80" i="1"/>
  <c r="CB81" i="1"/>
  <c r="CC81" i="1"/>
  <c r="CD81" i="1"/>
  <c r="CE81" i="1"/>
  <c r="CF81" i="1"/>
  <c r="CB82" i="1"/>
  <c r="CC82" i="1"/>
  <c r="CD82" i="1"/>
  <c r="CE82" i="1"/>
  <c r="CF82" i="1"/>
  <c r="CB83" i="1"/>
  <c r="CC83" i="1"/>
  <c r="CD83" i="1"/>
  <c r="CE83" i="1"/>
  <c r="CF83" i="1"/>
  <c r="CB84" i="1"/>
  <c r="CC84" i="1"/>
  <c r="CD84" i="1"/>
  <c r="CE84" i="1"/>
  <c r="CF84" i="1"/>
  <c r="CB85" i="1"/>
  <c r="CC85" i="1"/>
  <c r="CD85" i="1"/>
  <c r="CE85" i="1"/>
  <c r="CF85" i="1"/>
  <c r="CB86" i="1"/>
  <c r="CC86" i="1"/>
  <c r="CD86" i="1"/>
  <c r="CE86" i="1"/>
  <c r="CF86" i="1"/>
  <c r="CB87" i="1"/>
  <c r="CC87" i="1"/>
  <c r="CD87" i="1"/>
  <c r="CE87" i="1"/>
  <c r="CF87" i="1"/>
  <c r="CB88" i="1"/>
  <c r="CC88" i="1"/>
  <c r="CD88" i="1"/>
  <c r="CE88" i="1"/>
  <c r="CF88" i="1"/>
  <c r="CB89" i="1"/>
  <c r="CC89" i="1"/>
  <c r="CD89" i="1"/>
  <c r="CE89" i="1"/>
  <c r="CF89" i="1"/>
  <c r="CB90" i="1"/>
  <c r="CC90" i="1"/>
  <c r="CD90" i="1"/>
  <c r="CE90" i="1"/>
  <c r="CF90" i="1"/>
  <c r="CB91" i="1"/>
  <c r="CC91" i="1"/>
  <c r="CD91" i="1"/>
  <c r="CE91" i="1"/>
  <c r="CF91" i="1"/>
  <c r="CB92" i="1"/>
  <c r="CC92" i="1"/>
  <c r="CD92" i="1"/>
  <c r="CE92" i="1"/>
  <c r="CF92" i="1"/>
  <c r="CB93" i="1"/>
  <c r="CC93" i="1"/>
  <c r="CD93" i="1"/>
  <c r="CE93" i="1"/>
  <c r="CF93" i="1"/>
  <c r="CB94" i="1"/>
  <c r="CC94" i="1"/>
  <c r="CD94" i="1"/>
  <c r="CE94" i="1"/>
  <c r="CF94" i="1"/>
  <c r="CB95" i="1"/>
  <c r="CC95" i="1"/>
  <c r="CD95" i="1"/>
  <c r="CE95" i="1"/>
  <c r="CF95" i="1"/>
  <c r="CB96" i="1"/>
  <c r="CC96" i="1"/>
  <c r="CD96" i="1"/>
  <c r="CE96" i="1"/>
  <c r="CF96" i="1"/>
  <c r="CB97" i="1"/>
  <c r="CC97" i="1"/>
  <c r="CD97" i="1"/>
  <c r="CE97" i="1"/>
  <c r="CF97" i="1"/>
  <c r="CB98" i="1"/>
  <c r="CC98" i="1"/>
  <c r="CD98" i="1"/>
  <c r="CE98" i="1"/>
  <c r="CF98" i="1"/>
  <c r="CB99" i="1"/>
  <c r="CC99" i="1"/>
  <c r="CD99" i="1"/>
  <c r="CE99" i="1"/>
  <c r="CF99" i="1"/>
  <c r="CB100" i="1"/>
  <c r="CC100" i="1"/>
  <c r="CD100" i="1"/>
  <c r="CE100" i="1"/>
  <c r="CF100" i="1"/>
  <c r="CB101" i="1"/>
  <c r="CC101" i="1"/>
  <c r="CD101" i="1"/>
  <c r="CE101" i="1"/>
  <c r="CF101" i="1"/>
  <c r="CB102" i="1"/>
  <c r="CC102" i="1"/>
  <c r="CD102" i="1"/>
  <c r="CE102" i="1"/>
  <c r="CF102" i="1"/>
  <c r="CB103" i="1"/>
  <c r="CC103" i="1"/>
  <c r="CD103" i="1"/>
  <c r="CE103" i="1"/>
  <c r="CF103" i="1"/>
  <c r="CB104" i="1"/>
  <c r="CC104" i="1"/>
  <c r="CD104" i="1"/>
  <c r="CE104" i="1"/>
  <c r="CF104" i="1"/>
  <c r="CB105" i="1"/>
  <c r="CC105" i="1"/>
  <c r="CD105" i="1"/>
  <c r="CE105" i="1"/>
  <c r="CF105" i="1"/>
  <c r="CB106" i="1"/>
  <c r="CC106" i="1"/>
  <c r="CD106" i="1"/>
  <c r="CE106" i="1"/>
  <c r="CF106" i="1"/>
  <c r="CB107" i="1"/>
  <c r="CC107" i="1"/>
  <c r="CD107" i="1"/>
  <c r="CE107" i="1"/>
  <c r="CF107" i="1"/>
  <c r="CB108" i="1"/>
  <c r="CC108" i="1"/>
  <c r="CD108" i="1"/>
  <c r="CE108" i="1"/>
  <c r="CF108" i="1"/>
  <c r="CB109" i="1"/>
  <c r="CC109" i="1"/>
  <c r="CD109" i="1"/>
  <c r="CE109" i="1"/>
  <c r="CF109" i="1"/>
  <c r="CB110" i="1"/>
  <c r="CC110" i="1"/>
  <c r="CD110" i="1"/>
  <c r="CE110" i="1"/>
  <c r="CF110" i="1"/>
  <c r="CB111" i="1"/>
  <c r="CC111" i="1"/>
  <c r="CD111" i="1"/>
  <c r="CE111" i="1"/>
  <c r="CF111" i="1"/>
  <c r="CB112" i="1"/>
  <c r="CC112" i="1"/>
  <c r="CD112" i="1"/>
  <c r="CE112" i="1"/>
  <c r="CF112" i="1"/>
  <c r="CB113" i="1"/>
  <c r="CC113" i="1"/>
  <c r="CD113" i="1"/>
  <c r="CE113" i="1"/>
  <c r="CF113" i="1"/>
  <c r="CB114" i="1"/>
  <c r="CC114" i="1"/>
  <c r="CD114" i="1"/>
  <c r="CE114" i="1"/>
  <c r="CF114" i="1"/>
  <c r="CB115" i="1"/>
  <c r="CC115" i="1"/>
  <c r="CD115" i="1"/>
  <c r="CE115" i="1"/>
  <c r="CF115" i="1"/>
  <c r="CB116" i="1"/>
  <c r="CC116" i="1"/>
  <c r="CD116" i="1"/>
  <c r="CE116" i="1"/>
  <c r="CF116" i="1"/>
  <c r="CB117" i="1"/>
  <c r="CC117" i="1"/>
  <c r="CD117" i="1"/>
  <c r="CE117" i="1"/>
  <c r="CF117" i="1"/>
  <c r="CB118" i="1"/>
  <c r="CC118" i="1"/>
  <c r="CD118" i="1"/>
  <c r="CE118" i="1"/>
  <c r="CF118" i="1"/>
  <c r="CB119" i="1"/>
  <c r="CC119" i="1"/>
  <c r="CD119" i="1"/>
  <c r="CE119" i="1"/>
  <c r="CF119" i="1"/>
  <c r="CB120" i="1"/>
  <c r="CC120" i="1"/>
  <c r="CD120" i="1"/>
  <c r="CE120" i="1"/>
  <c r="CF120" i="1"/>
  <c r="CB121" i="1"/>
  <c r="CC121" i="1"/>
  <c r="CD121" i="1"/>
  <c r="CE121" i="1"/>
  <c r="CF121" i="1"/>
  <c r="CB122" i="1"/>
  <c r="CC122" i="1"/>
  <c r="CD122" i="1"/>
  <c r="CE122" i="1"/>
  <c r="CF122" i="1"/>
  <c r="CB123" i="1"/>
  <c r="CC123" i="1"/>
  <c r="CD123" i="1"/>
  <c r="CE123" i="1"/>
  <c r="CF123" i="1"/>
  <c r="CB124" i="1"/>
  <c r="CC124" i="1"/>
  <c r="CD124" i="1"/>
  <c r="CE124" i="1"/>
  <c r="CF124" i="1"/>
  <c r="CB125" i="1"/>
  <c r="CC125" i="1"/>
  <c r="CD125" i="1"/>
  <c r="CE125" i="1"/>
  <c r="CF125" i="1"/>
  <c r="CB126" i="1"/>
  <c r="CC126" i="1"/>
  <c r="CD126" i="1"/>
  <c r="CE126" i="1"/>
  <c r="CF126" i="1"/>
  <c r="CB127" i="1"/>
  <c r="CC127" i="1"/>
  <c r="CD127" i="1"/>
  <c r="CE127" i="1"/>
  <c r="CF127" i="1"/>
  <c r="CB128" i="1"/>
  <c r="CC128" i="1"/>
  <c r="CD128" i="1"/>
  <c r="CE128" i="1"/>
  <c r="CF128" i="1"/>
  <c r="CB129" i="1"/>
  <c r="CC129" i="1"/>
  <c r="CD129" i="1"/>
  <c r="CE129" i="1"/>
  <c r="CF129" i="1"/>
  <c r="CB130" i="1"/>
  <c r="CC130" i="1"/>
  <c r="CD130" i="1"/>
  <c r="CE130" i="1"/>
  <c r="CF130" i="1"/>
  <c r="CB131" i="1"/>
  <c r="CC131" i="1"/>
  <c r="CD131" i="1"/>
  <c r="CE131" i="1"/>
  <c r="CF131" i="1"/>
  <c r="CB132" i="1"/>
  <c r="CC132" i="1"/>
  <c r="CD132" i="1"/>
  <c r="CE132" i="1"/>
  <c r="CF132" i="1"/>
  <c r="CB133" i="1"/>
  <c r="CC133" i="1"/>
  <c r="CD133" i="1"/>
  <c r="CE133" i="1"/>
  <c r="CF133" i="1"/>
  <c r="CB134" i="1"/>
  <c r="CC134" i="1"/>
  <c r="CD134" i="1"/>
  <c r="CE134" i="1"/>
  <c r="CF134" i="1"/>
  <c r="CB135" i="1"/>
  <c r="CC135" i="1"/>
  <c r="CD135" i="1"/>
  <c r="CE135" i="1"/>
  <c r="CF135" i="1"/>
  <c r="CB136" i="1"/>
  <c r="CC136" i="1"/>
  <c r="CD136" i="1"/>
  <c r="CE136" i="1"/>
  <c r="CF136" i="1"/>
  <c r="CB137" i="1"/>
  <c r="CC137" i="1"/>
  <c r="CD137" i="1"/>
  <c r="CE137" i="1"/>
  <c r="CF137" i="1"/>
  <c r="CB138" i="1"/>
  <c r="CC138" i="1"/>
  <c r="CD138" i="1"/>
  <c r="CE138" i="1"/>
  <c r="CF138" i="1"/>
  <c r="CB139" i="1"/>
  <c r="CC139" i="1"/>
  <c r="CD139" i="1"/>
  <c r="CE139" i="1"/>
  <c r="CF139" i="1"/>
  <c r="CB140" i="1"/>
  <c r="CC140" i="1"/>
  <c r="CD140" i="1"/>
  <c r="CE140" i="1"/>
  <c r="CF140" i="1"/>
  <c r="CB141" i="1"/>
  <c r="CC141" i="1"/>
  <c r="CD141" i="1"/>
  <c r="CE141" i="1"/>
  <c r="CF141" i="1"/>
  <c r="CB142" i="1"/>
  <c r="CC142" i="1"/>
  <c r="CD142" i="1"/>
  <c r="CE142" i="1"/>
  <c r="CF142" i="1"/>
  <c r="CB143" i="1"/>
  <c r="CC143" i="1"/>
  <c r="CD143" i="1"/>
  <c r="CE143" i="1"/>
  <c r="CF143" i="1"/>
  <c r="CB144" i="1"/>
  <c r="CC144" i="1"/>
  <c r="CD144" i="1"/>
  <c r="CE144" i="1"/>
  <c r="CF144" i="1"/>
  <c r="CB145" i="1"/>
  <c r="CC145" i="1"/>
  <c r="CD145" i="1"/>
  <c r="CE145" i="1"/>
  <c r="CF145" i="1"/>
  <c r="CB146" i="1"/>
  <c r="CC146" i="1"/>
  <c r="CD146" i="1"/>
  <c r="CE146" i="1"/>
  <c r="CF146" i="1"/>
  <c r="CB147" i="1"/>
  <c r="CC147" i="1"/>
  <c r="CD147" i="1"/>
  <c r="CE147" i="1"/>
  <c r="CF147" i="1"/>
  <c r="CB148" i="1"/>
  <c r="CC148" i="1"/>
  <c r="CD148" i="1"/>
  <c r="CE148" i="1"/>
  <c r="CF148" i="1"/>
  <c r="CB149" i="1"/>
  <c r="CC149" i="1"/>
  <c r="CD149" i="1"/>
  <c r="CE149" i="1"/>
  <c r="CF149" i="1"/>
  <c r="CB150" i="1"/>
  <c r="CC150" i="1"/>
  <c r="CD150" i="1"/>
  <c r="CE150" i="1"/>
  <c r="CF150" i="1"/>
  <c r="CB151" i="1"/>
  <c r="CC151" i="1"/>
  <c r="CD151" i="1"/>
  <c r="CE151" i="1"/>
  <c r="CF151" i="1"/>
  <c r="CB152" i="1"/>
  <c r="CC152" i="1"/>
  <c r="CD152" i="1"/>
  <c r="CE152" i="1"/>
  <c r="CF152" i="1"/>
  <c r="CB153" i="1"/>
  <c r="CC153" i="1"/>
  <c r="CD153" i="1"/>
  <c r="CE153" i="1"/>
  <c r="CF153" i="1"/>
  <c r="CB154" i="1"/>
  <c r="CC154" i="1"/>
  <c r="CD154" i="1"/>
  <c r="CE154" i="1"/>
  <c r="CF154" i="1"/>
  <c r="CB155" i="1"/>
  <c r="CC155" i="1"/>
  <c r="CD155" i="1"/>
  <c r="CE155" i="1"/>
  <c r="CF155" i="1"/>
  <c r="CB156" i="1"/>
  <c r="CC156" i="1"/>
  <c r="CD156" i="1"/>
  <c r="CE156" i="1"/>
  <c r="CF156" i="1"/>
  <c r="CB157" i="1"/>
  <c r="CC157" i="1"/>
  <c r="CD157" i="1"/>
  <c r="CE157" i="1"/>
  <c r="CF157" i="1"/>
  <c r="CB158" i="1"/>
  <c r="CC158" i="1"/>
  <c r="CD158" i="1"/>
  <c r="CE158" i="1"/>
  <c r="CF158" i="1"/>
  <c r="CB159" i="1"/>
  <c r="CC159" i="1"/>
  <c r="CD159" i="1"/>
  <c r="CE159" i="1"/>
  <c r="CF159" i="1"/>
  <c r="CB160" i="1"/>
  <c r="CC160" i="1"/>
  <c r="CD160" i="1"/>
  <c r="CE160" i="1"/>
  <c r="CF160" i="1"/>
  <c r="CB161" i="1"/>
  <c r="CC161" i="1"/>
  <c r="CD161" i="1"/>
  <c r="CE161" i="1"/>
  <c r="CF161" i="1"/>
  <c r="CB162" i="1"/>
  <c r="CC162" i="1"/>
  <c r="CD162" i="1"/>
  <c r="CE162" i="1"/>
  <c r="CF162" i="1"/>
  <c r="CB163" i="1"/>
  <c r="CC163" i="1"/>
  <c r="CD163" i="1"/>
  <c r="CE163" i="1"/>
  <c r="CF163" i="1"/>
  <c r="CB164" i="1"/>
  <c r="CC164" i="1"/>
  <c r="CD164" i="1"/>
  <c r="CE164" i="1"/>
  <c r="CF164" i="1"/>
  <c r="CB165" i="1"/>
  <c r="CC165" i="1"/>
  <c r="CD165" i="1"/>
  <c r="CE165" i="1"/>
  <c r="CF165" i="1"/>
  <c r="CB166" i="1"/>
  <c r="CC166" i="1"/>
  <c r="CD166" i="1"/>
  <c r="CE166" i="1"/>
  <c r="CF166" i="1"/>
  <c r="CB167" i="1"/>
  <c r="CC167" i="1"/>
  <c r="CD167" i="1"/>
  <c r="CE167" i="1"/>
  <c r="CF167" i="1"/>
  <c r="CB168" i="1"/>
  <c r="CC168" i="1"/>
  <c r="CD168" i="1"/>
  <c r="CE168" i="1"/>
  <c r="CF168" i="1"/>
  <c r="CB169" i="1"/>
  <c r="CC169" i="1"/>
  <c r="CD169" i="1"/>
  <c r="CE169" i="1"/>
  <c r="CF169" i="1"/>
  <c r="CB170" i="1"/>
  <c r="CC170" i="1"/>
  <c r="CD170" i="1"/>
  <c r="CE170" i="1"/>
  <c r="CF170" i="1"/>
  <c r="CB171" i="1"/>
  <c r="CC171" i="1"/>
  <c r="CD171" i="1"/>
  <c r="CE171" i="1"/>
  <c r="CF171" i="1"/>
  <c r="CB172" i="1"/>
  <c r="CC172" i="1"/>
  <c r="CD172" i="1"/>
  <c r="CE172" i="1"/>
  <c r="CF172" i="1"/>
  <c r="CB173" i="1"/>
  <c r="CC173" i="1"/>
  <c r="CD173" i="1"/>
  <c r="CE173" i="1"/>
  <c r="CF173" i="1"/>
  <c r="CB174" i="1"/>
  <c r="CC174" i="1"/>
  <c r="CD174" i="1"/>
  <c r="CE174" i="1"/>
  <c r="CF174" i="1"/>
  <c r="CB175" i="1"/>
  <c r="CC175" i="1"/>
  <c r="CD175" i="1"/>
  <c r="CE175" i="1"/>
  <c r="CF175" i="1"/>
  <c r="CB176" i="1"/>
  <c r="CC176" i="1"/>
  <c r="CD176" i="1"/>
  <c r="CE176" i="1"/>
  <c r="CF176" i="1"/>
  <c r="CB177" i="1"/>
  <c r="CC177" i="1"/>
  <c r="CD177" i="1"/>
  <c r="CE177" i="1"/>
  <c r="CF177" i="1"/>
  <c r="CB178" i="1"/>
  <c r="CC178" i="1"/>
  <c r="CD178" i="1"/>
  <c r="CE178" i="1"/>
  <c r="CF178" i="1"/>
  <c r="CB179" i="1"/>
  <c r="CC179" i="1"/>
  <c r="CD179" i="1"/>
  <c r="CE179" i="1"/>
  <c r="CF179" i="1"/>
  <c r="CB180" i="1"/>
  <c r="CC180" i="1"/>
  <c r="CD180" i="1"/>
  <c r="CE180" i="1"/>
  <c r="CF180" i="1"/>
  <c r="CB181" i="1"/>
  <c r="CC181" i="1"/>
  <c r="CD181" i="1"/>
  <c r="CE181" i="1"/>
  <c r="CF181" i="1"/>
  <c r="CB182" i="1"/>
  <c r="CC182" i="1"/>
  <c r="CD182" i="1"/>
  <c r="CE182" i="1"/>
  <c r="CF182" i="1"/>
  <c r="CB183" i="1"/>
  <c r="CC183" i="1"/>
  <c r="CD183" i="1"/>
  <c r="CE183" i="1"/>
  <c r="CF183" i="1"/>
  <c r="CB184" i="1"/>
  <c r="CC184" i="1"/>
  <c r="CD184" i="1"/>
  <c r="CE184" i="1"/>
  <c r="CF184" i="1"/>
  <c r="CB185" i="1"/>
  <c r="CC185" i="1"/>
  <c r="CD185" i="1"/>
  <c r="CE185" i="1"/>
  <c r="CF185" i="1"/>
  <c r="CB186" i="1"/>
  <c r="CC186" i="1"/>
  <c r="CD186" i="1"/>
  <c r="CE186" i="1"/>
  <c r="CF186" i="1"/>
  <c r="CB187" i="1"/>
  <c r="CC187" i="1"/>
  <c r="CD187" i="1"/>
  <c r="CE187" i="1"/>
  <c r="CF187" i="1"/>
  <c r="CB188" i="1"/>
  <c r="CC188" i="1"/>
  <c r="CD188" i="1"/>
  <c r="CE188" i="1"/>
  <c r="CF188" i="1"/>
  <c r="CB189" i="1"/>
  <c r="CC189" i="1"/>
  <c r="CD189" i="1"/>
  <c r="CE189" i="1"/>
  <c r="CF189" i="1"/>
  <c r="CB190" i="1"/>
  <c r="CC190" i="1"/>
  <c r="CD190" i="1"/>
  <c r="CE190" i="1"/>
  <c r="CF190" i="1"/>
  <c r="CB191" i="1"/>
  <c r="CC191" i="1"/>
  <c r="CD191" i="1"/>
  <c r="CE191" i="1"/>
  <c r="CF191" i="1"/>
  <c r="CB192" i="1"/>
  <c r="CC192" i="1"/>
  <c r="CD192" i="1"/>
  <c r="CE192" i="1"/>
  <c r="CF192" i="1"/>
  <c r="CB193" i="1"/>
  <c r="CC193" i="1"/>
  <c r="CD193" i="1"/>
  <c r="CE193" i="1"/>
  <c r="CF193" i="1"/>
  <c r="CB194" i="1"/>
  <c r="CC194" i="1"/>
  <c r="CD194" i="1"/>
  <c r="CE194" i="1"/>
  <c r="CF194" i="1"/>
  <c r="CB195" i="1"/>
  <c r="CC195" i="1"/>
  <c r="CD195" i="1"/>
  <c r="CE195" i="1"/>
  <c r="CF195" i="1"/>
  <c r="CB196" i="1"/>
  <c r="CC196" i="1"/>
  <c r="CD196" i="1"/>
  <c r="CE196" i="1"/>
  <c r="CF196" i="1"/>
  <c r="CB197" i="1"/>
  <c r="CC197" i="1"/>
  <c r="CD197" i="1"/>
  <c r="CE197" i="1"/>
  <c r="CF197" i="1"/>
  <c r="CB198" i="1"/>
  <c r="CC198" i="1"/>
  <c r="CD198" i="1"/>
  <c r="CE198" i="1"/>
  <c r="CF198" i="1"/>
  <c r="CB199" i="1"/>
  <c r="CC199" i="1"/>
  <c r="CD199" i="1"/>
  <c r="CE199" i="1"/>
  <c r="CF199" i="1"/>
  <c r="CB200" i="1"/>
  <c r="CC200" i="1"/>
  <c r="CD200" i="1"/>
  <c r="CE200" i="1"/>
  <c r="CF200" i="1"/>
  <c r="CB201" i="1"/>
  <c r="CC201" i="1"/>
  <c r="CD201" i="1"/>
  <c r="CE201" i="1"/>
  <c r="CF201" i="1"/>
  <c r="CB202" i="1"/>
  <c r="CC202" i="1"/>
  <c r="CD202" i="1"/>
  <c r="CE202" i="1"/>
  <c r="CF202" i="1"/>
  <c r="CB3" i="1"/>
  <c r="CC3" i="1"/>
  <c r="CD3" i="1"/>
  <c r="CE3" i="1"/>
  <c r="CF3" i="1"/>
  <c r="BV4" i="1"/>
  <c r="BW4" i="1"/>
  <c r="BX4" i="1"/>
  <c r="BY4" i="1"/>
  <c r="BZ4" i="1"/>
  <c r="BV5" i="1"/>
  <c r="BW5" i="1"/>
  <c r="BX5" i="1"/>
  <c r="BY5" i="1"/>
  <c r="BZ5" i="1"/>
  <c r="BV6" i="1"/>
  <c r="BW6" i="1"/>
  <c r="BX6" i="1"/>
  <c r="BY6" i="1"/>
  <c r="BZ6" i="1"/>
  <c r="BV7" i="1"/>
  <c r="BW7" i="1"/>
  <c r="BX7" i="1"/>
  <c r="BY7" i="1"/>
  <c r="BZ7" i="1"/>
  <c r="BV8" i="1"/>
  <c r="BW8" i="1"/>
  <c r="BX8" i="1"/>
  <c r="BY8" i="1"/>
  <c r="BZ8" i="1"/>
  <c r="BV9" i="1"/>
  <c r="BW9" i="1"/>
  <c r="BX9" i="1"/>
  <c r="BY9" i="1"/>
  <c r="BZ9" i="1"/>
  <c r="BV10" i="1"/>
  <c r="BW10" i="1"/>
  <c r="BX10" i="1"/>
  <c r="BY10" i="1"/>
  <c r="BZ10" i="1"/>
  <c r="BV11" i="1"/>
  <c r="BW11" i="1"/>
  <c r="BX11" i="1"/>
  <c r="BY11" i="1"/>
  <c r="BZ11" i="1"/>
  <c r="BV12" i="1"/>
  <c r="BW12" i="1"/>
  <c r="BX12" i="1"/>
  <c r="BY12" i="1"/>
  <c r="BZ12" i="1"/>
  <c r="BV13" i="1"/>
  <c r="BW13" i="1"/>
  <c r="BX13" i="1"/>
  <c r="BY13" i="1"/>
  <c r="BZ13" i="1"/>
  <c r="BV14" i="1"/>
  <c r="BW14" i="1"/>
  <c r="BX14" i="1"/>
  <c r="BY14" i="1"/>
  <c r="BZ14" i="1"/>
  <c r="BV15" i="1"/>
  <c r="BW15" i="1"/>
  <c r="BX15" i="1"/>
  <c r="BY15" i="1"/>
  <c r="BZ15" i="1"/>
  <c r="BV16" i="1"/>
  <c r="BW16" i="1"/>
  <c r="BX16" i="1"/>
  <c r="BY16" i="1"/>
  <c r="BZ16" i="1"/>
  <c r="BV17" i="1"/>
  <c r="BW17" i="1"/>
  <c r="BX17" i="1"/>
  <c r="BY17" i="1"/>
  <c r="BZ17" i="1"/>
  <c r="BV18" i="1"/>
  <c r="BW18" i="1"/>
  <c r="BX18" i="1"/>
  <c r="BY18" i="1"/>
  <c r="BZ18" i="1"/>
  <c r="BV19" i="1"/>
  <c r="BW19" i="1"/>
  <c r="BX19" i="1"/>
  <c r="BY19" i="1"/>
  <c r="BZ19" i="1"/>
  <c r="BV20" i="1"/>
  <c r="BW20" i="1"/>
  <c r="BX20" i="1"/>
  <c r="BY20" i="1"/>
  <c r="BZ20" i="1"/>
  <c r="BV21" i="1"/>
  <c r="BW21" i="1"/>
  <c r="BX21" i="1"/>
  <c r="BY21" i="1"/>
  <c r="BZ21" i="1"/>
  <c r="BV22" i="1"/>
  <c r="BW22" i="1"/>
  <c r="BX22" i="1"/>
  <c r="BY22" i="1"/>
  <c r="BZ22" i="1"/>
  <c r="BV23" i="1"/>
  <c r="BW23" i="1"/>
  <c r="BX23" i="1"/>
  <c r="BY23" i="1"/>
  <c r="BZ23" i="1"/>
  <c r="BV24" i="1"/>
  <c r="BW24" i="1"/>
  <c r="BX24" i="1"/>
  <c r="BY24" i="1"/>
  <c r="BZ24" i="1"/>
  <c r="BV25" i="1"/>
  <c r="BW25" i="1"/>
  <c r="BX25" i="1"/>
  <c r="BY25" i="1"/>
  <c r="BZ25" i="1"/>
  <c r="BV26" i="1"/>
  <c r="BW26" i="1"/>
  <c r="BX26" i="1"/>
  <c r="BY26" i="1"/>
  <c r="BZ26" i="1"/>
  <c r="BV27" i="1"/>
  <c r="BW27" i="1"/>
  <c r="BX27" i="1"/>
  <c r="BY27" i="1"/>
  <c r="BZ27" i="1"/>
  <c r="BV28" i="1"/>
  <c r="BW28" i="1"/>
  <c r="BX28" i="1"/>
  <c r="BY28" i="1"/>
  <c r="BZ28" i="1"/>
  <c r="BV29" i="1"/>
  <c r="BW29" i="1"/>
  <c r="BX29" i="1"/>
  <c r="BY29" i="1"/>
  <c r="BZ29" i="1"/>
  <c r="BV30" i="1"/>
  <c r="BW30" i="1"/>
  <c r="BX30" i="1"/>
  <c r="BY30" i="1"/>
  <c r="BZ30" i="1"/>
  <c r="BV31" i="1"/>
  <c r="BW31" i="1"/>
  <c r="BX31" i="1"/>
  <c r="BY31" i="1"/>
  <c r="BZ31" i="1"/>
  <c r="BV32" i="1"/>
  <c r="BW32" i="1"/>
  <c r="BX32" i="1"/>
  <c r="BY32" i="1"/>
  <c r="BZ32" i="1"/>
  <c r="BV33" i="1"/>
  <c r="BW33" i="1"/>
  <c r="BX33" i="1"/>
  <c r="BY33" i="1"/>
  <c r="BZ33" i="1"/>
  <c r="BV34" i="1"/>
  <c r="BW34" i="1"/>
  <c r="BX34" i="1"/>
  <c r="BY34" i="1"/>
  <c r="BZ34" i="1"/>
  <c r="BV35" i="1"/>
  <c r="BW35" i="1"/>
  <c r="BX35" i="1"/>
  <c r="BY35" i="1"/>
  <c r="BZ35" i="1"/>
  <c r="BV36" i="1"/>
  <c r="BW36" i="1"/>
  <c r="BX36" i="1"/>
  <c r="BY36" i="1"/>
  <c r="BZ36" i="1"/>
  <c r="BV37" i="1"/>
  <c r="BW37" i="1"/>
  <c r="BX37" i="1"/>
  <c r="BY37" i="1"/>
  <c r="BZ37" i="1"/>
  <c r="BV38" i="1"/>
  <c r="BW38" i="1"/>
  <c r="BX38" i="1"/>
  <c r="BY38" i="1"/>
  <c r="BZ38" i="1"/>
  <c r="BV39" i="1"/>
  <c r="BW39" i="1"/>
  <c r="BX39" i="1"/>
  <c r="BY39" i="1"/>
  <c r="BZ39" i="1"/>
  <c r="BV40" i="1"/>
  <c r="BW40" i="1"/>
  <c r="BX40" i="1"/>
  <c r="BY40" i="1"/>
  <c r="BZ40" i="1"/>
  <c r="BV41" i="1"/>
  <c r="BW41" i="1"/>
  <c r="BX41" i="1"/>
  <c r="BY41" i="1"/>
  <c r="BZ41" i="1"/>
  <c r="BV42" i="1"/>
  <c r="BW42" i="1"/>
  <c r="BX42" i="1"/>
  <c r="BY42" i="1"/>
  <c r="BZ42" i="1"/>
  <c r="BV43" i="1"/>
  <c r="BW43" i="1"/>
  <c r="BX43" i="1"/>
  <c r="BY43" i="1"/>
  <c r="BZ43" i="1"/>
  <c r="BV44" i="1"/>
  <c r="BW44" i="1"/>
  <c r="BX44" i="1"/>
  <c r="BY44" i="1"/>
  <c r="BZ44" i="1"/>
  <c r="BV45" i="1"/>
  <c r="BW45" i="1"/>
  <c r="BX45" i="1"/>
  <c r="BY45" i="1"/>
  <c r="BZ45" i="1"/>
  <c r="BV46" i="1"/>
  <c r="BW46" i="1"/>
  <c r="BX46" i="1"/>
  <c r="BY46" i="1"/>
  <c r="BZ46" i="1"/>
  <c r="BV47" i="1"/>
  <c r="BW47" i="1"/>
  <c r="BX47" i="1"/>
  <c r="BY47" i="1"/>
  <c r="BZ47" i="1"/>
  <c r="BV48" i="1"/>
  <c r="BW48" i="1"/>
  <c r="BX48" i="1"/>
  <c r="BY48" i="1"/>
  <c r="BZ48" i="1"/>
  <c r="BV49" i="1"/>
  <c r="BW49" i="1"/>
  <c r="BX49" i="1"/>
  <c r="BY49" i="1"/>
  <c r="BZ49" i="1"/>
  <c r="BV50" i="1"/>
  <c r="BW50" i="1"/>
  <c r="BX50" i="1"/>
  <c r="BY50" i="1"/>
  <c r="BZ50" i="1"/>
  <c r="BV51" i="1"/>
  <c r="BW51" i="1"/>
  <c r="BX51" i="1"/>
  <c r="BY51" i="1"/>
  <c r="BZ51" i="1"/>
  <c r="BV52" i="1"/>
  <c r="BW52" i="1"/>
  <c r="BX52" i="1"/>
  <c r="BY52" i="1"/>
  <c r="BZ52" i="1"/>
  <c r="BV53" i="1"/>
  <c r="BW53" i="1"/>
  <c r="BX53" i="1"/>
  <c r="BY53" i="1"/>
  <c r="BZ53" i="1"/>
  <c r="BV54" i="1"/>
  <c r="BW54" i="1"/>
  <c r="BX54" i="1"/>
  <c r="BY54" i="1"/>
  <c r="BZ54" i="1"/>
  <c r="BV55" i="1"/>
  <c r="BW55" i="1"/>
  <c r="BX55" i="1"/>
  <c r="BY55" i="1"/>
  <c r="BZ55" i="1"/>
  <c r="BV56" i="1"/>
  <c r="BW56" i="1"/>
  <c r="BX56" i="1"/>
  <c r="BY56" i="1"/>
  <c r="BZ56" i="1"/>
  <c r="BV57" i="1"/>
  <c r="BW57" i="1"/>
  <c r="BX57" i="1"/>
  <c r="BY57" i="1"/>
  <c r="BZ57" i="1"/>
  <c r="BV58" i="1"/>
  <c r="BW58" i="1"/>
  <c r="BX58" i="1"/>
  <c r="BY58" i="1"/>
  <c r="BZ58" i="1"/>
  <c r="BV59" i="1"/>
  <c r="BW59" i="1"/>
  <c r="BX59" i="1"/>
  <c r="BY59" i="1"/>
  <c r="BZ59" i="1"/>
  <c r="BV60" i="1"/>
  <c r="BW60" i="1"/>
  <c r="BX60" i="1"/>
  <c r="BY60" i="1"/>
  <c r="BZ60" i="1"/>
  <c r="BV61" i="1"/>
  <c r="BW61" i="1"/>
  <c r="BX61" i="1"/>
  <c r="BY61" i="1"/>
  <c r="BZ61" i="1"/>
  <c r="BV62" i="1"/>
  <c r="BW62" i="1"/>
  <c r="BX62" i="1"/>
  <c r="BY62" i="1"/>
  <c r="BZ62" i="1"/>
  <c r="BV63" i="1"/>
  <c r="BW63" i="1"/>
  <c r="BX63" i="1"/>
  <c r="BY63" i="1"/>
  <c r="BZ63" i="1"/>
  <c r="BV64" i="1"/>
  <c r="BW64" i="1"/>
  <c r="BX64" i="1"/>
  <c r="BY64" i="1"/>
  <c r="BZ64" i="1"/>
  <c r="BV65" i="1"/>
  <c r="BW65" i="1"/>
  <c r="BX65" i="1"/>
  <c r="BY65" i="1"/>
  <c r="BZ65" i="1"/>
  <c r="BV66" i="1"/>
  <c r="BW66" i="1"/>
  <c r="BX66" i="1"/>
  <c r="BY66" i="1"/>
  <c r="BZ66" i="1"/>
  <c r="BV67" i="1"/>
  <c r="BW67" i="1"/>
  <c r="BX67" i="1"/>
  <c r="BY67" i="1"/>
  <c r="BZ67" i="1"/>
  <c r="BV68" i="1"/>
  <c r="BW68" i="1"/>
  <c r="BX68" i="1"/>
  <c r="BY68" i="1"/>
  <c r="BZ68" i="1"/>
  <c r="BV69" i="1"/>
  <c r="BW69" i="1"/>
  <c r="BX69" i="1"/>
  <c r="BY69" i="1"/>
  <c r="BZ69" i="1"/>
  <c r="BV70" i="1"/>
  <c r="BW70" i="1"/>
  <c r="BX70" i="1"/>
  <c r="BY70" i="1"/>
  <c r="BZ70" i="1"/>
  <c r="BV71" i="1"/>
  <c r="BW71" i="1"/>
  <c r="BX71" i="1"/>
  <c r="BY71" i="1"/>
  <c r="BZ71" i="1"/>
  <c r="BV72" i="1"/>
  <c r="BW72" i="1"/>
  <c r="BX72" i="1"/>
  <c r="BY72" i="1"/>
  <c r="BZ72" i="1"/>
  <c r="BV73" i="1"/>
  <c r="BW73" i="1"/>
  <c r="BX73" i="1"/>
  <c r="BY73" i="1"/>
  <c r="BZ73" i="1"/>
  <c r="BV74" i="1"/>
  <c r="BW74" i="1"/>
  <c r="BX74" i="1"/>
  <c r="BY74" i="1"/>
  <c r="BZ74" i="1"/>
  <c r="BV75" i="1"/>
  <c r="BW75" i="1"/>
  <c r="BX75" i="1"/>
  <c r="BY75" i="1"/>
  <c r="BZ75" i="1"/>
  <c r="BV76" i="1"/>
  <c r="BW76" i="1"/>
  <c r="BX76" i="1"/>
  <c r="BY76" i="1"/>
  <c r="BZ76" i="1"/>
  <c r="BV77" i="1"/>
  <c r="BW77" i="1"/>
  <c r="BX77" i="1"/>
  <c r="BY77" i="1"/>
  <c r="BZ77" i="1"/>
  <c r="BV78" i="1"/>
  <c r="BW78" i="1"/>
  <c r="BX78" i="1"/>
  <c r="BY78" i="1"/>
  <c r="BZ78" i="1"/>
  <c r="BV79" i="1"/>
  <c r="BW79" i="1"/>
  <c r="BX79" i="1"/>
  <c r="BY79" i="1"/>
  <c r="BZ79" i="1"/>
  <c r="BV80" i="1"/>
  <c r="BW80" i="1"/>
  <c r="BX80" i="1"/>
  <c r="BY80" i="1"/>
  <c r="BZ80" i="1"/>
  <c r="BV81" i="1"/>
  <c r="BW81" i="1"/>
  <c r="BX81" i="1"/>
  <c r="BY81" i="1"/>
  <c r="BZ81" i="1"/>
  <c r="BV82" i="1"/>
  <c r="BW82" i="1"/>
  <c r="BX82" i="1"/>
  <c r="BY82" i="1"/>
  <c r="BZ82" i="1"/>
  <c r="BV83" i="1"/>
  <c r="BW83" i="1"/>
  <c r="BX83" i="1"/>
  <c r="BY83" i="1"/>
  <c r="BZ83" i="1"/>
  <c r="BV84" i="1"/>
  <c r="BW84" i="1"/>
  <c r="BX84" i="1"/>
  <c r="BY84" i="1"/>
  <c r="BZ84" i="1"/>
  <c r="BV85" i="1"/>
  <c r="BW85" i="1"/>
  <c r="BX85" i="1"/>
  <c r="BY85" i="1"/>
  <c r="BZ85" i="1"/>
  <c r="BV86" i="1"/>
  <c r="BW86" i="1"/>
  <c r="BX86" i="1"/>
  <c r="BY86" i="1"/>
  <c r="BZ86" i="1"/>
  <c r="BV87" i="1"/>
  <c r="BW87" i="1"/>
  <c r="BX87" i="1"/>
  <c r="BY87" i="1"/>
  <c r="BZ87" i="1"/>
  <c r="BV88" i="1"/>
  <c r="BW88" i="1"/>
  <c r="BX88" i="1"/>
  <c r="BY88" i="1"/>
  <c r="BZ88" i="1"/>
  <c r="BV89" i="1"/>
  <c r="BW89" i="1"/>
  <c r="BX89" i="1"/>
  <c r="BY89" i="1"/>
  <c r="BZ89" i="1"/>
  <c r="BV90" i="1"/>
  <c r="BW90" i="1"/>
  <c r="BX90" i="1"/>
  <c r="BY90" i="1"/>
  <c r="BZ90" i="1"/>
  <c r="BV91" i="1"/>
  <c r="BW91" i="1"/>
  <c r="BX91" i="1"/>
  <c r="BY91" i="1"/>
  <c r="BZ91" i="1"/>
  <c r="BV92" i="1"/>
  <c r="BW92" i="1"/>
  <c r="BX92" i="1"/>
  <c r="BY92" i="1"/>
  <c r="BZ92" i="1"/>
  <c r="BV93" i="1"/>
  <c r="BW93" i="1"/>
  <c r="BX93" i="1"/>
  <c r="BY93" i="1"/>
  <c r="BZ93" i="1"/>
  <c r="BV94" i="1"/>
  <c r="BW94" i="1"/>
  <c r="BX94" i="1"/>
  <c r="BY94" i="1"/>
  <c r="BZ94" i="1"/>
  <c r="BV95" i="1"/>
  <c r="BW95" i="1"/>
  <c r="BX95" i="1"/>
  <c r="BY95" i="1"/>
  <c r="BZ95" i="1"/>
  <c r="BV96" i="1"/>
  <c r="BW96" i="1"/>
  <c r="BX96" i="1"/>
  <c r="BY96" i="1"/>
  <c r="BZ96" i="1"/>
  <c r="BV97" i="1"/>
  <c r="BW97" i="1"/>
  <c r="BX97" i="1"/>
  <c r="BY97" i="1"/>
  <c r="BZ97" i="1"/>
  <c r="BV98" i="1"/>
  <c r="BW98" i="1"/>
  <c r="BX98" i="1"/>
  <c r="BY98" i="1"/>
  <c r="BZ98" i="1"/>
  <c r="BV99" i="1"/>
  <c r="BW99" i="1"/>
  <c r="BX99" i="1"/>
  <c r="BY99" i="1"/>
  <c r="BZ99" i="1"/>
  <c r="BV100" i="1"/>
  <c r="BW100" i="1"/>
  <c r="BX100" i="1"/>
  <c r="BY100" i="1"/>
  <c r="BZ100" i="1"/>
  <c r="BV101" i="1"/>
  <c r="BW101" i="1"/>
  <c r="BX101" i="1"/>
  <c r="BY101" i="1"/>
  <c r="BZ101" i="1"/>
  <c r="BV102" i="1"/>
  <c r="BW102" i="1"/>
  <c r="BX102" i="1"/>
  <c r="BY102" i="1"/>
  <c r="BZ102" i="1"/>
  <c r="BV103" i="1"/>
  <c r="BW103" i="1"/>
  <c r="BX103" i="1"/>
  <c r="BY103" i="1"/>
  <c r="BZ103" i="1"/>
  <c r="BV104" i="1"/>
  <c r="BW104" i="1"/>
  <c r="BX104" i="1"/>
  <c r="BY104" i="1"/>
  <c r="BZ104" i="1"/>
  <c r="BV105" i="1"/>
  <c r="BW105" i="1"/>
  <c r="BX105" i="1"/>
  <c r="BY105" i="1"/>
  <c r="BZ105" i="1"/>
  <c r="BV106" i="1"/>
  <c r="BW106" i="1"/>
  <c r="BX106" i="1"/>
  <c r="BY106" i="1"/>
  <c r="BZ106" i="1"/>
  <c r="BV107" i="1"/>
  <c r="BW107" i="1"/>
  <c r="BX107" i="1"/>
  <c r="BY107" i="1"/>
  <c r="BZ107" i="1"/>
  <c r="BV108" i="1"/>
  <c r="BW108" i="1"/>
  <c r="BX108" i="1"/>
  <c r="BY108" i="1"/>
  <c r="BZ108" i="1"/>
  <c r="BV109" i="1"/>
  <c r="BW109" i="1"/>
  <c r="BX109" i="1"/>
  <c r="BY109" i="1"/>
  <c r="BZ109" i="1"/>
  <c r="BV110" i="1"/>
  <c r="BW110" i="1"/>
  <c r="BX110" i="1"/>
  <c r="BY110" i="1"/>
  <c r="BZ110" i="1"/>
  <c r="BV111" i="1"/>
  <c r="BW111" i="1"/>
  <c r="BX111" i="1"/>
  <c r="BY111" i="1"/>
  <c r="BZ111" i="1"/>
  <c r="BV112" i="1"/>
  <c r="BW112" i="1"/>
  <c r="BX112" i="1"/>
  <c r="BY112" i="1"/>
  <c r="BZ112" i="1"/>
  <c r="BV113" i="1"/>
  <c r="BW113" i="1"/>
  <c r="BX113" i="1"/>
  <c r="BY113" i="1"/>
  <c r="BZ113" i="1"/>
  <c r="BV114" i="1"/>
  <c r="BW114" i="1"/>
  <c r="BX114" i="1"/>
  <c r="BY114" i="1"/>
  <c r="BZ114" i="1"/>
  <c r="BV115" i="1"/>
  <c r="BW115" i="1"/>
  <c r="BX115" i="1"/>
  <c r="BY115" i="1"/>
  <c r="BZ115" i="1"/>
  <c r="BV116" i="1"/>
  <c r="BW116" i="1"/>
  <c r="BX116" i="1"/>
  <c r="BY116" i="1"/>
  <c r="BZ116" i="1"/>
  <c r="BV117" i="1"/>
  <c r="BW117" i="1"/>
  <c r="BX117" i="1"/>
  <c r="BY117" i="1"/>
  <c r="BZ117" i="1"/>
  <c r="BV118" i="1"/>
  <c r="BW118" i="1"/>
  <c r="BX118" i="1"/>
  <c r="BY118" i="1"/>
  <c r="BZ118" i="1"/>
  <c r="BV119" i="1"/>
  <c r="BW119" i="1"/>
  <c r="BX119" i="1"/>
  <c r="BY119" i="1"/>
  <c r="BZ119" i="1"/>
  <c r="BV120" i="1"/>
  <c r="BW120" i="1"/>
  <c r="BX120" i="1"/>
  <c r="BY120" i="1"/>
  <c r="BZ120" i="1"/>
  <c r="BV121" i="1"/>
  <c r="BW121" i="1"/>
  <c r="BX121" i="1"/>
  <c r="BY121" i="1"/>
  <c r="BZ121" i="1"/>
  <c r="BV122" i="1"/>
  <c r="BW122" i="1"/>
  <c r="BX122" i="1"/>
  <c r="BY122" i="1"/>
  <c r="BZ122" i="1"/>
  <c r="BV123" i="1"/>
  <c r="BW123" i="1"/>
  <c r="BX123" i="1"/>
  <c r="BY123" i="1"/>
  <c r="BZ123" i="1"/>
  <c r="BV124" i="1"/>
  <c r="BW124" i="1"/>
  <c r="BX124" i="1"/>
  <c r="BY124" i="1"/>
  <c r="BZ124" i="1"/>
  <c r="BV125" i="1"/>
  <c r="BW125" i="1"/>
  <c r="BX125" i="1"/>
  <c r="BY125" i="1"/>
  <c r="BZ125" i="1"/>
  <c r="BV126" i="1"/>
  <c r="BW126" i="1"/>
  <c r="BX126" i="1"/>
  <c r="BY126" i="1"/>
  <c r="BZ126" i="1"/>
  <c r="BV127" i="1"/>
  <c r="BW127" i="1"/>
  <c r="BX127" i="1"/>
  <c r="BY127" i="1"/>
  <c r="BZ127" i="1"/>
  <c r="BV128" i="1"/>
  <c r="BW128" i="1"/>
  <c r="BX128" i="1"/>
  <c r="BY128" i="1"/>
  <c r="BZ128" i="1"/>
  <c r="BV129" i="1"/>
  <c r="BW129" i="1"/>
  <c r="BX129" i="1"/>
  <c r="BY129" i="1"/>
  <c r="BZ129" i="1"/>
  <c r="BV130" i="1"/>
  <c r="BW130" i="1"/>
  <c r="BX130" i="1"/>
  <c r="BY130" i="1"/>
  <c r="BZ130" i="1"/>
  <c r="BV131" i="1"/>
  <c r="BW131" i="1"/>
  <c r="BX131" i="1"/>
  <c r="BY131" i="1"/>
  <c r="BZ131" i="1"/>
  <c r="BV132" i="1"/>
  <c r="BW132" i="1"/>
  <c r="BX132" i="1"/>
  <c r="BY132" i="1"/>
  <c r="BZ132" i="1"/>
  <c r="BV133" i="1"/>
  <c r="BW133" i="1"/>
  <c r="BX133" i="1"/>
  <c r="BY133" i="1"/>
  <c r="BZ133" i="1"/>
  <c r="BV134" i="1"/>
  <c r="BW134" i="1"/>
  <c r="BX134" i="1"/>
  <c r="BY134" i="1"/>
  <c r="BZ134" i="1"/>
  <c r="BV135" i="1"/>
  <c r="BW135" i="1"/>
  <c r="BX135" i="1"/>
  <c r="BY135" i="1"/>
  <c r="BZ135" i="1"/>
  <c r="BV136" i="1"/>
  <c r="BW136" i="1"/>
  <c r="BX136" i="1"/>
  <c r="BY136" i="1"/>
  <c r="BZ136" i="1"/>
  <c r="BV137" i="1"/>
  <c r="BW137" i="1"/>
  <c r="BX137" i="1"/>
  <c r="BY137" i="1"/>
  <c r="BZ137" i="1"/>
  <c r="BV138" i="1"/>
  <c r="BW138" i="1"/>
  <c r="BX138" i="1"/>
  <c r="BY138" i="1"/>
  <c r="BZ138" i="1"/>
  <c r="BV139" i="1"/>
  <c r="BW139" i="1"/>
  <c r="BX139" i="1"/>
  <c r="BY139" i="1"/>
  <c r="BZ139" i="1"/>
  <c r="BV140" i="1"/>
  <c r="BW140" i="1"/>
  <c r="BX140" i="1"/>
  <c r="BY140" i="1"/>
  <c r="BZ140" i="1"/>
  <c r="BV141" i="1"/>
  <c r="BW141" i="1"/>
  <c r="BX141" i="1"/>
  <c r="BY141" i="1"/>
  <c r="BZ141" i="1"/>
  <c r="BV142" i="1"/>
  <c r="BW142" i="1"/>
  <c r="BX142" i="1"/>
  <c r="BY142" i="1"/>
  <c r="BZ142" i="1"/>
  <c r="BV143" i="1"/>
  <c r="BW143" i="1"/>
  <c r="BX143" i="1"/>
  <c r="BY143" i="1"/>
  <c r="BZ143" i="1"/>
  <c r="BV144" i="1"/>
  <c r="BW144" i="1"/>
  <c r="BX144" i="1"/>
  <c r="BY144" i="1"/>
  <c r="BZ144" i="1"/>
  <c r="BV145" i="1"/>
  <c r="BW145" i="1"/>
  <c r="BX145" i="1"/>
  <c r="BY145" i="1"/>
  <c r="BZ145" i="1"/>
  <c r="BV146" i="1"/>
  <c r="BW146" i="1"/>
  <c r="BX146" i="1"/>
  <c r="BY146" i="1"/>
  <c r="BZ146" i="1"/>
  <c r="BV147" i="1"/>
  <c r="BW147" i="1"/>
  <c r="BX147" i="1"/>
  <c r="BY147" i="1"/>
  <c r="BZ147" i="1"/>
  <c r="BV148" i="1"/>
  <c r="BW148" i="1"/>
  <c r="BX148" i="1"/>
  <c r="BY148" i="1"/>
  <c r="BZ148" i="1"/>
  <c r="BV149" i="1"/>
  <c r="BW149" i="1"/>
  <c r="BX149" i="1"/>
  <c r="BY149" i="1"/>
  <c r="BZ149" i="1"/>
  <c r="BV150" i="1"/>
  <c r="BW150" i="1"/>
  <c r="BX150" i="1"/>
  <c r="BY150" i="1"/>
  <c r="BZ150" i="1"/>
  <c r="BV151" i="1"/>
  <c r="BW151" i="1"/>
  <c r="BX151" i="1"/>
  <c r="BY151" i="1"/>
  <c r="BZ151" i="1"/>
  <c r="BV152" i="1"/>
  <c r="BW152" i="1"/>
  <c r="BX152" i="1"/>
  <c r="BY152" i="1"/>
  <c r="BZ152" i="1"/>
  <c r="BV153" i="1"/>
  <c r="BW153" i="1"/>
  <c r="BX153" i="1"/>
  <c r="BY153" i="1"/>
  <c r="BZ153" i="1"/>
  <c r="BV154" i="1"/>
  <c r="BW154" i="1"/>
  <c r="BX154" i="1"/>
  <c r="BY154" i="1"/>
  <c r="BZ154" i="1"/>
  <c r="BV155" i="1"/>
  <c r="BW155" i="1"/>
  <c r="BX155" i="1"/>
  <c r="BY155" i="1"/>
  <c r="BZ155" i="1"/>
  <c r="BV156" i="1"/>
  <c r="BW156" i="1"/>
  <c r="BX156" i="1"/>
  <c r="BY156" i="1"/>
  <c r="BZ156" i="1"/>
  <c r="BV157" i="1"/>
  <c r="BW157" i="1"/>
  <c r="BX157" i="1"/>
  <c r="BY157" i="1"/>
  <c r="BZ157" i="1"/>
  <c r="BV158" i="1"/>
  <c r="BW158" i="1"/>
  <c r="BX158" i="1"/>
  <c r="BY158" i="1"/>
  <c r="BZ158" i="1"/>
  <c r="BV159" i="1"/>
  <c r="BW159" i="1"/>
  <c r="BX159" i="1"/>
  <c r="BY159" i="1"/>
  <c r="BZ159" i="1"/>
  <c r="BV160" i="1"/>
  <c r="BW160" i="1"/>
  <c r="BX160" i="1"/>
  <c r="BY160" i="1"/>
  <c r="BZ160" i="1"/>
  <c r="BV161" i="1"/>
  <c r="BW161" i="1"/>
  <c r="BX161" i="1"/>
  <c r="BY161" i="1"/>
  <c r="BZ161" i="1"/>
  <c r="BV162" i="1"/>
  <c r="BW162" i="1"/>
  <c r="BX162" i="1"/>
  <c r="BY162" i="1"/>
  <c r="BZ162" i="1"/>
  <c r="BV163" i="1"/>
  <c r="BW163" i="1"/>
  <c r="BX163" i="1"/>
  <c r="BY163" i="1"/>
  <c r="BZ163" i="1"/>
  <c r="BV164" i="1"/>
  <c r="BW164" i="1"/>
  <c r="BX164" i="1"/>
  <c r="BY164" i="1"/>
  <c r="BZ164" i="1"/>
  <c r="BV165" i="1"/>
  <c r="BW165" i="1"/>
  <c r="BX165" i="1"/>
  <c r="BY165" i="1"/>
  <c r="BZ165" i="1"/>
  <c r="BV166" i="1"/>
  <c r="BW166" i="1"/>
  <c r="BX166" i="1"/>
  <c r="BY166" i="1"/>
  <c r="BZ166" i="1"/>
  <c r="BV167" i="1"/>
  <c r="BW167" i="1"/>
  <c r="BX167" i="1"/>
  <c r="BY167" i="1"/>
  <c r="BZ167" i="1"/>
  <c r="BV168" i="1"/>
  <c r="BW168" i="1"/>
  <c r="BX168" i="1"/>
  <c r="BY168" i="1"/>
  <c r="BZ168" i="1"/>
  <c r="BV169" i="1"/>
  <c r="BW169" i="1"/>
  <c r="BX169" i="1"/>
  <c r="BY169" i="1"/>
  <c r="BZ169" i="1"/>
  <c r="BV170" i="1"/>
  <c r="BW170" i="1"/>
  <c r="BX170" i="1"/>
  <c r="BY170" i="1"/>
  <c r="BZ170" i="1"/>
  <c r="BV171" i="1"/>
  <c r="BW171" i="1"/>
  <c r="BX171" i="1"/>
  <c r="BY171" i="1"/>
  <c r="BZ171" i="1"/>
  <c r="BV172" i="1"/>
  <c r="BW172" i="1"/>
  <c r="BX172" i="1"/>
  <c r="BY172" i="1"/>
  <c r="BZ172" i="1"/>
  <c r="BV173" i="1"/>
  <c r="BW173" i="1"/>
  <c r="BX173" i="1"/>
  <c r="BY173" i="1"/>
  <c r="BZ173" i="1"/>
  <c r="BV174" i="1"/>
  <c r="BW174" i="1"/>
  <c r="BX174" i="1"/>
  <c r="BY174" i="1"/>
  <c r="BZ174" i="1"/>
  <c r="BV175" i="1"/>
  <c r="BW175" i="1"/>
  <c r="BX175" i="1"/>
  <c r="BY175" i="1"/>
  <c r="BZ175" i="1"/>
  <c r="BV176" i="1"/>
  <c r="BW176" i="1"/>
  <c r="BX176" i="1"/>
  <c r="BY176" i="1"/>
  <c r="BZ176" i="1"/>
  <c r="BV177" i="1"/>
  <c r="BW177" i="1"/>
  <c r="BX177" i="1"/>
  <c r="BY177" i="1"/>
  <c r="BZ177" i="1"/>
  <c r="BV178" i="1"/>
  <c r="BW178" i="1"/>
  <c r="BX178" i="1"/>
  <c r="BY178" i="1"/>
  <c r="BZ178" i="1"/>
  <c r="BV179" i="1"/>
  <c r="BW179" i="1"/>
  <c r="BX179" i="1"/>
  <c r="BY179" i="1"/>
  <c r="BZ179" i="1"/>
  <c r="BV180" i="1"/>
  <c r="BW180" i="1"/>
  <c r="BX180" i="1"/>
  <c r="BY180" i="1"/>
  <c r="BZ180" i="1"/>
  <c r="BV181" i="1"/>
  <c r="BW181" i="1"/>
  <c r="BX181" i="1"/>
  <c r="BY181" i="1"/>
  <c r="BZ181" i="1"/>
  <c r="BV182" i="1"/>
  <c r="BW182" i="1"/>
  <c r="BX182" i="1"/>
  <c r="BY182" i="1"/>
  <c r="BZ182" i="1"/>
  <c r="BV183" i="1"/>
  <c r="BW183" i="1"/>
  <c r="BX183" i="1"/>
  <c r="BY183" i="1"/>
  <c r="BZ183" i="1"/>
  <c r="BV184" i="1"/>
  <c r="BW184" i="1"/>
  <c r="BX184" i="1"/>
  <c r="BY184" i="1"/>
  <c r="BZ184" i="1"/>
  <c r="BV185" i="1"/>
  <c r="BW185" i="1"/>
  <c r="BX185" i="1"/>
  <c r="BY185" i="1"/>
  <c r="BZ185" i="1"/>
  <c r="BV186" i="1"/>
  <c r="BW186" i="1"/>
  <c r="BX186" i="1"/>
  <c r="BY186" i="1"/>
  <c r="BZ186" i="1"/>
  <c r="BV187" i="1"/>
  <c r="BW187" i="1"/>
  <c r="BX187" i="1"/>
  <c r="BY187" i="1"/>
  <c r="BZ187" i="1"/>
  <c r="BV188" i="1"/>
  <c r="BW188" i="1"/>
  <c r="BX188" i="1"/>
  <c r="BY188" i="1"/>
  <c r="BZ188" i="1"/>
  <c r="BV189" i="1"/>
  <c r="BW189" i="1"/>
  <c r="BX189" i="1"/>
  <c r="BY189" i="1"/>
  <c r="BZ189" i="1"/>
  <c r="BV190" i="1"/>
  <c r="BW190" i="1"/>
  <c r="BX190" i="1"/>
  <c r="BY190" i="1"/>
  <c r="BZ190" i="1"/>
  <c r="BV191" i="1"/>
  <c r="BW191" i="1"/>
  <c r="BX191" i="1"/>
  <c r="BY191" i="1"/>
  <c r="BZ191" i="1"/>
  <c r="BV192" i="1"/>
  <c r="BW192" i="1"/>
  <c r="BX192" i="1"/>
  <c r="BY192" i="1"/>
  <c r="BZ192" i="1"/>
  <c r="BV193" i="1"/>
  <c r="BW193" i="1"/>
  <c r="BX193" i="1"/>
  <c r="BY193" i="1"/>
  <c r="BZ193" i="1"/>
  <c r="BV194" i="1"/>
  <c r="BW194" i="1"/>
  <c r="BX194" i="1"/>
  <c r="BY194" i="1"/>
  <c r="BZ194" i="1"/>
  <c r="BV195" i="1"/>
  <c r="BW195" i="1"/>
  <c r="BX195" i="1"/>
  <c r="BY195" i="1"/>
  <c r="BZ195" i="1"/>
  <c r="BV196" i="1"/>
  <c r="BW196" i="1"/>
  <c r="BX196" i="1"/>
  <c r="BY196" i="1"/>
  <c r="BZ196" i="1"/>
  <c r="BV197" i="1"/>
  <c r="BW197" i="1"/>
  <c r="BX197" i="1"/>
  <c r="BY197" i="1"/>
  <c r="BZ197" i="1"/>
  <c r="BV198" i="1"/>
  <c r="BW198" i="1"/>
  <c r="BX198" i="1"/>
  <c r="BY198" i="1"/>
  <c r="BZ198" i="1"/>
  <c r="BV199" i="1"/>
  <c r="BW199" i="1"/>
  <c r="BX199" i="1"/>
  <c r="BY199" i="1"/>
  <c r="BZ199" i="1"/>
  <c r="BV200" i="1"/>
  <c r="BW200" i="1"/>
  <c r="BX200" i="1"/>
  <c r="BY200" i="1"/>
  <c r="BZ200" i="1"/>
  <c r="BV201" i="1"/>
  <c r="BW201" i="1"/>
  <c r="BX201" i="1"/>
  <c r="BY201" i="1"/>
  <c r="BZ201" i="1"/>
  <c r="BV202" i="1"/>
  <c r="BW202" i="1"/>
  <c r="BX202" i="1"/>
  <c r="BY202" i="1"/>
  <c r="BZ202" i="1"/>
  <c r="BV3" i="1"/>
  <c r="BW3" i="1"/>
  <c r="BX3" i="1"/>
  <c r="BY3" i="1"/>
  <c r="BZ3" i="1"/>
  <c r="BR3" i="1"/>
  <c r="BS3" i="1"/>
  <c r="BT3" i="1"/>
  <c r="BO3" i="1"/>
  <c r="BP3" i="1"/>
  <c r="BK3" i="1"/>
  <c r="BL3" i="1"/>
  <c r="BM3" i="1"/>
  <c r="BG3" i="1"/>
  <c r="BH3" i="1"/>
  <c r="BI3" i="1"/>
  <c r="BC3" i="1"/>
  <c r="BD3" i="1"/>
  <c r="BE3" i="1"/>
  <c r="AY4" i="1"/>
  <c r="AZ4" i="1"/>
  <c r="BA4" i="1"/>
  <c r="AY5" i="1"/>
  <c r="AZ5" i="1"/>
  <c r="BA5" i="1"/>
  <c r="AY6" i="1"/>
  <c r="AZ6" i="1"/>
  <c r="BA6" i="1"/>
  <c r="AY7" i="1"/>
  <c r="AZ7" i="1"/>
  <c r="BA7" i="1"/>
  <c r="AY8" i="1"/>
  <c r="AZ8" i="1"/>
  <c r="BA8" i="1"/>
  <c r="AY9" i="1"/>
  <c r="AZ9" i="1"/>
  <c r="BA9" i="1"/>
  <c r="AY10" i="1"/>
  <c r="AZ10" i="1"/>
  <c r="BA10" i="1"/>
  <c r="AY11" i="1"/>
  <c r="AZ11" i="1"/>
  <c r="BA11" i="1"/>
  <c r="AY12" i="1"/>
  <c r="AZ12" i="1"/>
  <c r="BA12" i="1"/>
  <c r="AY13" i="1"/>
  <c r="AZ13" i="1"/>
  <c r="BA13" i="1"/>
  <c r="AY14" i="1"/>
  <c r="AZ14" i="1"/>
  <c r="BA14" i="1"/>
  <c r="AY15" i="1"/>
  <c r="AZ15" i="1"/>
  <c r="BA15" i="1"/>
  <c r="AY16" i="1"/>
  <c r="AZ16" i="1"/>
  <c r="BA16" i="1"/>
  <c r="AY17" i="1"/>
  <c r="AZ17" i="1"/>
  <c r="BA17" i="1"/>
  <c r="AY18" i="1"/>
  <c r="AZ18" i="1"/>
  <c r="BA18" i="1"/>
  <c r="AY19" i="1"/>
  <c r="AZ19" i="1"/>
  <c r="BA19" i="1"/>
  <c r="AY20" i="1"/>
  <c r="AZ20" i="1"/>
  <c r="BA20" i="1"/>
  <c r="AY21" i="1"/>
  <c r="AZ21" i="1"/>
  <c r="BA21" i="1"/>
  <c r="AY22" i="1"/>
  <c r="AZ22" i="1"/>
  <c r="BA22" i="1"/>
  <c r="AY23" i="1"/>
  <c r="AZ23" i="1"/>
  <c r="BA23" i="1"/>
  <c r="AY24" i="1"/>
  <c r="AZ24" i="1"/>
  <c r="BA24" i="1"/>
  <c r="AY25" i="1"/>
  <c r="AZ25" i="1"/>
  <c r="BA25" i="1"/>
  <c r="AY26" i="1"/>
  <c r="AZ26" i="1"/>
  <c r="BA26" i="1"/>
  <c r="AY27" i="1"/>
  <c r="AZ27" i="1"/>
  <c r="BA27" i="1"/>
  <c r="AY28" i="1"/>
  <c r="AZ28" i="1"/>
  <c r="BA28" i="1"/>
  <c r="AY29" i="1"/>
  <c r="AZ29" i="1"/>
  <c r="BA29" i="1"/>
  <c r="AY30" i="1"/>
  <c r="AZ30" i="1"/>
  <c r="BA30" i="1"/>
  <c r="AY31" i="1"/>
  <c r="AZ31" i="1"/>
  <c r="BA31" i="1"/>
  <c r="AY32" i="1"/>
  <c r="AZ32" i="1"/>
  <c r="BA32" i="1"/>
  <c r="AY33" i="1"/>
  <c r="AZ33" i="1"/>
  <c r="BA33" i="1"/>
  <c r="AY34" i="1"/>
  <c r="AZ34" i="1"/>
  <c r="BA34" i="1"/>
  <c r="AY35" i="1"/>
  <c r="AZ35" i="1"/>
  <c r="BA35" i="1"/>
  <c r="AY36" i="1"/>
  <c r="AZ36" i="1"/>
  <c r="BA36" i="1"/>
  <c r="AY37" i="1"/>
  <c r="AZ37" i="1"/>
  <c r="BA37" i="1"/>
  <c r="AY38" i="1"/>
  <c r="AZ38" i="1"/>
  <c r="BA38" i="1"/>
  <c r="AY39" i="1"/>
  <c r="AZ39" i="1"/>
  <c r="BA39" i="1"/>
  <c r="AY40" i="1"/>
  <c r="AZ40" i="1"/>
  <c r="BA40" i="1"/>
  <c r="AY41" i="1"/>
  <c r="AZ41" i="1"/>
  <c r="BA41" i="1"/>
  <c r="AY42" i="1"/>
  <c r="AZ42" i="1"/>
  <c r="BA42" i="1"/>
  <c r="AY43" i="1"/>
  <c r="AZ43" i="1"/>
  <c r="BA43" i="1"/>
  <c r="AY44" i="1"/>
  <c r="AZ44" i="1"/>
  <c r="BA44" i="1"/>
  <c r="AY45" i="1"/>
  <c r="AZ45" i="1"/>
  <c r="BA45" i="1"/>
  <c r="AY46" i="1"/>
  <c r="AZ46" i="1"/>
  <c r="BA46" i="1"/>
  <c r="AY47" i="1"/>
  <c r="AZ47" i="1"/>
  <c r="BA47" i="1"/>
  <c r="AY48" i="1"/>
  <c r="AZ48" i="1"/>
  <c r="BA48" i="1"/>
  <c r="AY49" i="1"/>
  <c r="AZ49" i="1"/>
  <c r="BA49" i="1"/>
  <c r="AY50" i="1"/>
  <c r="AZ50" i="1"/>
  <c r="BA50" i="1"/>
  <c r="AY51" i="1"/>
  <c r="AZ51" i="1"/>
  <c r="BA51" i="1"/>
  <c r="AY52" i="1"/>
  <c r="AZ52" i="1"/>
  <c r="BA52" i="1"/>
  <c r="AY53" i="1"/>
  <c r="AZ53" i="1"/>
  <c r="BA53" i="1"/>
  <c r="AY54" i="1"/>
  <c r="AZ54" i="1"/>
  <c r="BA54" i="1"/>
  <c r="AY55" i="1"/>
  <c r="AZ55" i="1"/>
  <c r="BA55" i="1"/>
  <c r="AY56" i="1"/>
  <c r="AZ56" i="1"/>
  <c r="BA56" i="1"/>
  <c r="AY57" i="1"/>
  <c r="AZ57" i="1"/>
  <c r="BA57" i="1"/>
  <c r="AY58" i="1"/>
  <c r="AZ58" i="1"/>
  <c r="BA58" i="1"/>
  <c r="AY59" i="1"/>
  <c r="AZ59" i="1"/>
  <c r="BA59" i="1"/>
  <c r="AY60" i="1"/>
  <c r="AZ60" i="1"/>
  <c r="BA60" i="1"/>
  <c r="AY61" i="1"/>
  <c r="AZ61" i="1"/>
  <c r="BA61" i="1"/>
  <c r="AY62" i="1"/>
  <c r="AZ62" i="1"/>
  <c r="BA62" i="1"/>
  <c r="AY63" i="1"/>
  <c r="AZ63" i="1"/>
  <c r="BA63" i="1"/>
  <c r="AY64" i="1"/>
  <c r="AZ64" i="1"/>
  <c r="BA64" i="1"/>
  <c r="AY65" i="1"/>
  <c r="AZ65" i="1"/>
  <c r="BA65" i="1"/>
  <c r="AY66" i="1"/>
  <c r="AZ66" i="1"/>
  <c r="BA66" i="1"/>
  <c r="AY67" i="1"/>
  <c r="AZ67" i="1"/>
  <c r="BA67" i="1"/>
  <c r="AY68" i="1"/>
  <c r="AZ68" i="1"/>
  <c r="BA68" i="1"/>
  <c r="AY69" i="1"/>
  <c r="AZ69" i="1"/>
  <c r="BA69" i="1"/>
  <c r="AY70" i="1"/>
  <c r="AZ70" i="1"/>
  <c r="BA70" i="1"/>
  <c r="AY71" i="1"/>
  <c r="AZ71" i="1"/>
  <c r="BA71" i="1"/>
  <c r="AY72" i="1"/>
  <c r="AZ72" i="1"/>
  <c r="BA72" i="1"/>
  <c r="AY73" i="1"/>
  <c r="AZ73" i="1"/>
  <c r="BA73" i="1"/>
  <c r="AY74" i="1"/>
  <c r="AZ74" i="1"/>
  <c r="BA74" i="1"/>
  <c r="AY75" i="1"/>
  <c r="AZ75" i="1"/>
  <c r="BA75" i="1"/>
  <c r="AY76" i="1"/>
  <c r="AZ76" i="1"/>
  <c r="BA76" i="1"/>
  <c r="AY77" i="1"/>
  <c r="AZ77" i="1"/>
  <c r="BA77" i="1"/>
  <c r="AY78" i="1"/>
  <c r="AZ78" i="1"/>
  <c r="BA78" i="1"/>
  <c r="AY79" i="1"/>
  <c r="AZ79" i="1"/>
  <c r="BA79" i="1"/>
  <c r="AY80" i="1"/>
  <c r="AZ80" i="1"/>
  <c r="BA80" i="1"/>
  <c r="AY81" i="1"/>
  <c r="AZ81" i="1"/>
  <c r="BA81" i="1"/>
  <c r="AY82" i="1"/>
  <c r="AZ82" i="1"/>
  <c r="BA82" i="1"/>
  <c r="AY83" i="1"/>
  <c r="AZ83" i="1"/>
  <c r="BA83" i="1"/>
  <c r="AY84" i="1"/>
  <c r="AZ84" i="1"/>
  <c r="BA84" i="1"/>
  <c r="AY85" i="1"/>
  <c r="AZ85" i="1"/>
  <c r="BA85" i="1"/>
  <c r="AY86" i="1"/>
  <c r="AZ86" i="1"/>
  <c r="BA86" i="1"/>
  <c r="AY87" i="1"/>
  <c r="AZ87" i="1"/>
  <c r="BA87" i="1"/>
  <c r="AY88" i="1"/>
  <c r="AZ88" i="1"/>
  <c r="BA88" i="1"/>
  <c r="AY89" i="1"/>
  <c r="AZ89" i="1"/>
  <c r="BA89" i="1"/>
  <c r="AY90" i="1"/>
  <c r="AZ90" i="1"/>
  <c r="BA90" i="1"/>
  <c r="AY91" i="1"/>
  <c r="AZ91" i="1"/>
  <c r="BA91" i="1"/>
  <c r="AY92" i="1"/>
  <c r="AZ92" i="1"/>
  <c r="BA92" i="1"/>
  <c r="AY93" i="1"/>
  <c r="AZ93" i="1"/>
  <c r="BA93" i="1"/>
  <c r="AY94" i="1"/>
  <c r="AZ94" i="1"/>
  <c r="BA94" i="1"/>
  <c r="AY95" i="1"/>
  <c r="AZ95" i="1"/>
  <c r="BA95" i="1"/>
  <c r="AY96" i="1"/>
  <c r="AZ96" i="1"/>
  <c r="BA96" i="1"/>
  <c r="AY97" i="1"/>
  <c r="AZ97" i="1"/>
  <c r="BA97" i="1"/>
  <c r="AY98" i="1"/>
  <c r="AZ98" i="1"/>
  <c r="BA98" i="1"/>
  <c r="AY99" i="1"/>
  <c r="AZ99" i="1"/>
  <c r="BA99" i="1"/>
  <c r="AY100" i="1"/>
  <c r="AZ100" i="1"/>
  <c r="BA100" i="1"/>
  <c r="AY101" i="1"/>
  <c r="AZ101" i="1"/>
  <c r="BA101" i="1"/>
  <c r="AY102" i="1"/>
  <c r="AZ102" i="1"/>
  <c r="BA102" i="1"/>
  <c r="AY103" i="1"/>
  <c r="AZ103" i="1"/>
  <c r="BA103" i="1"/>
  <c r="AY104" i="1"/>
  <c r="AZ104" i="1"/>
  <c r="BA104" i="1"/>
  <c r="AY105" i="1"/>
  <c r="AZ105" i="1"/>
  <c r="BA105" i="1"/>
  <c r="AY106" i="1"/>
  <c r="AZ106" i="1"/>
  <c r="BA106" i="1"/>
  <c r="AY107" i="1"/>
  <c r="AZ107" i="1"/>
  <c r="BA107" i="1"/>
  <c r="AY108" i="1"/>
  <c r="AZ108" i="1"/>
  <c r="BA108" i="1"/>
  <c r="AY109" i="1"/>
  <c r="AZ109" i="1"/>
  <c r="BA109" i="1"/>
  <c r="AY110" i="1"/>
  <c r="AZ110" i="1"/>
  <c r="BA110" i="1"/>
  <c r="AY111" i="1"/>
  <c r="AZ111" i="1"/>
  <c r="BA111" i="1"/>
  <c r="AY112" i="1"/>
  <c r="AZ112" i="1"/>
  <c r="BA112" i="1"/>
  <c r="AY113" i="1"/>
  <c r="AZ113" i="1"/>
  <c r="BA113" i="1"/>
  <c r="AY114" i="1"/>
  <c r="AZ114" i="1"/>
  <c r="BA114" i="1"/>
  <c r="AY115" i="1"/>
  <c r="AZ115" i="1"/>
  <c r="BA115" i="1"/>
  <c r="AY116" i="1"/>
  <c r="AZ116" i="1"/>
  <c r="BA116" i="1"/>
  <c r="AY117" i="1"/>
  <c r="AZ117" i="1"/>
  <c r="BA117" i="1"/>
  <c r="AY118" i="1"/>
  <c r="AZ118" i="1"/>
  <c r="BA118" i="1"/>
  <c r="AY119" i="1"/>
  <c r="AZ119" i="1"/>
  <c r="BA119" i="1"/>
  <c r="AY120" i="1"/>
  <c r="AZ120" i="1"/>
  <c r="BA120" i="1"/>
  <c r="AY121" i="1"/>
  <c r="AZ121" i="1"/>
  <c r="BA121" i="1"/>
  <c r="AY122" i="1"/>
  <c r="AZ122" i="1"/>
  <c r="BA122" i="1"/>
  <c r="AY123" i="1"/>
  <c r="AZ123" i="1"/>
  <c r="BA123" i="1"/>
  <c r="AY124" i="1"/>
  <c r="AZ124" i="1"/>
  <c r="BA124" i="1"/>
  <c r="AY125" i="1"/>
  <c r="AZ125" i="1"/>
  <c r="BA125" i="1"/>
  <c r="AY126" i="1"/>
  <c r="AZ126" i="1"/>
  <c r="BA126" i="1"/>
  <c r="AY127" i="1"/>
  <c r="AZ127" i="1"/>
  <c r="BA127" i="1"/>
  <c r="AY128" i="1"/>
  <c r="AZ128" i="1"/>
  <c r="BA128" i="1"/>
  <c r="AY129" i="1"/>
  <c r="AZ129" i="1"/>
  <c r="BA129" i="1"/>
  <c r="AY130" i="1"/>
  <c r="AZ130" i="1"/>
  <c r="BA130" i="1"/>
  <c r="AY131" i="1"/>
  <c r="AZ131" i="1"/>
  <c r="BA131" i="1"/>
  <c r="AY132" i="1"/>
  <c r="AZ132" i="1"/>
  <c r="BA132" i="1"/>
  <c r="AY133" i="1"/>
  <c r="AZ133" i="1"/>
  <c r="BA133" i="1"/>
  <c r="AY134" i="1"/>
  <c r="AZ134" i="1"/>
  <c r="BA134" i="1"/>
  <c r="AY135" i="1"/>
  <c r="AZ135" i="1"/>
  <c r="BA135" i="1"/>
  <c r="AY136" i="1"/>
  <c r="AZ136" i="1"/>
  <c r="BA136" i="1"/>
  <c r="AY137" i="1"/>
  <c r="AZ137" i="1"/>
  <c r="BA137" i="1"/>
  <c r="AY138" i="1"/>
  <c r="AZ138" i="1"/>
  <c r="BA138" i="1"/>
  <c r="AY139" i="1"/>
  <c r="AZ139" i="1"/>
  <c r="BA139" i="1"/>
  <c r="AY140" i="1"/>
  <c r="AZ140" i="1"/>
  <c r="BA140" i="1"/>
  <c r="AY141" i="1"/>
  <c r="AZ141" i="1"/>
  <c r="BA141" i="1"/>
  <c r="AY142" i="1"/>
  <c r="AZ142" i="1"/>
  <c r="BA142" i="1"/>
  <c r="AY143" i="1"/>
  <c r="AZ143" i="1"/>
  <c r="BA143" i="1"/>
  <c r="AY144" i="1"/>
  <c r="AZ144" i="1"/>
  <c r="BA144" i="1"/>
  <c r="AY145" i="1"/>
  <c r="AZ145" i="1"/>
  <c r="BA145" i="1"/>
  <c r="AY146" i="1"/>
  <c r="AZ146" i="1"/>
  <c r="BA146" i="1"/>
  <c r="AY147" i="1"/>
  <c r="AZ147" i="1"/>
  <c r="BA147" i="1"/>
  <c r="AY148" i="1"/>
  <c r="AZ148" i="1"/>
  <c r="BA148" i="1"/>
  <c r="AY149" i="1"/>
  <c r="AZ149" i="1"/>
  <c r="BA149" i="1"/>
  <c r="AY150" i="1"/>
  <c r="AZ150" i="1"/>
  <c r="BA150" i="1"/>
  <c r="AY151" i="1"/>
  <c r="AZ151" i="1"/>
  <c r="BA151" i="1"/>
  <c r="AY152" i="1"/>
  <c r="AZ152" i="1"/>
  <c r="BA152" i="1"/>
  <c r="AY153" i="1"/>
  <c r="AZ153" i="1"/>
  <c r="BA153" i="1"/>
  <c r="AY154" i="1"/>
  <c r="AZ154" i="1"/>
  <c r="BA154" i="1"/>
  <c r="AY155" i="1"/>
  <c r="AZ155" i="1"/>
  <c r="BA155" i="1"/>
  <c r="AY156" i="1"/>
  <c r="AZ156" i="1"/>
  <c r="BA156" i="1"/>
  <c r="AY157" i="1"/>
  <c r="AZ157" i="1"/>
  <c r="BA157" i="1"/>
  <c r="AY158" i="1"/>
  <c r="AZ158" i="1"/>
  <c r="BA158" i="1"/>
  <c r="AY159" i="1"/>
  <c r="AZ159" i="1"/>
  <c r="BA159" i="1"/>
  <c r="AY160" i="1"/>
  <c r="AZ160" i="1"/>
  <c r="BA160" i="1"/>
  <c r="AY161" i="1"/>
  <c r="AZ161" i="1"/>
  <c r="BA161" i="1"/>
  <c r="AY162" i="1"/>
  <c r="AZ162" i="1"/>
  <c r="BA162" i="1"/>
  <c r="AY163" i="1"/>
  <c r="AZ163" i="1"/>
  <c r="BA163" i="1"/>
  <c r="AY164" i="1"/>
  <c r="AZ164" i="1"/>
  <c r="BA164" i="1"/>
  <c r="AY165" i="1"/>
  <c r="AZ165" i="1"/>
  <c r="BA165" i="1"/>
  <c r="AY166" i="1"/>
  <c r="AZ166" i="1"/>
  <c r="BA166" i="1"/>
  <c r="AY167" i="1"/>
  <c r="AZ167" i="1"/>
  <c r="BA167" i="1"/>
  <c r="AY168" i="1"/>
  <c r="AZ168" i="1"/>
  <c r="BA168" i="1"/>
  <c r="AY169" i="1"/>
  <c r="AZ169" i="1"/>
  <c r="BA169" i="1"/>
  <c r="AY170" i="1"/>
  <c r="AZ170" i="1"/>
  <c r="BA170" i="1"/>
  <c r="AY171" i="1"/>
  <c r="AZ171" i="1"/>
  <c r="BA171" i="1"/>
  <c r="AY172" i="1"/>
  <c r="AZ172" i="1"/>
  <c r="BA172" i="1"/>
  <c r="AY173" i="1"/>
  <c r="AZ173" i="1"/>
  <c r="BA173" i="1"/>
  <c r="AY174" i="1"/>
  <c r="AZ174" i="1"/>
  <c r="BA174" i="1"/>
  <c r="AY175" i="1"/>
  <c r="AZ175" i="1"/>
  <c r="BA175" i="1"/>
  <c r="AY176" i="1"/>
  <c r="AZ176" i="1"/>
  <c r="BA176" i="1"/>
  <c r="AY177" i="1"/>
  <c r="AZ177" i="1"/>
  <c r="BA177" i="1"/>
  <c r="AY178" i="1"/>
  <c r="AZ178" i="1"/>
  <c r="BA178" i="1"/>
  <c r="AY179" i="1"/>
  <c r="AZ179" i="1"/>
  <c r="BA179" i="1"/>
  <c r="AY180" i="1"/>
  <c r="AZ180" i="1"/>
  <c r="BA180" i="1"/>
  <c r="AY181" i="1"/>
  <c r="AZ181" i="1"/>
  <c r="BA181" i="1"/>
  <c r="AY182" i="1"/>
  <c r="AZ182" i="1"/>
  <c r="BA182" i="1"/>
  <c r="AY183" i="1"/>
  <c r="AZ183" i="1"/>
  <c r="BA183" i="1"/>
  <c r="AY184" i="1"/>
  <c r="AZ184" i="1"/>
  <c r="BA184" i="1"/>
  <c r="AY185" i="1"/>
  <c r="AZ185" i="1"/>
  <c r="BA185" i="1"/>
  <c r="AY186" i="1"/>
  <c r="AZ186" i="1"/>
  <c r="BA186" i="1"/>
  <c r="AY187" i="1"/>
  <c r="AZ187" i="1"/>
  <c r="BA187" i="1"/>
  <c r="AY188" i="1"/>
  <c r="AZ188" i="1"/>
  <c r="BA188" i="1"/>
  <c r="AY189" i="1"/>
  <c r="AZ189" i="1"/>
  <c r="BA189" i="1"/>
  <c r="AY190" i="1"/>
  <c r="AZ190" i="1"/>
  <c r="BA190" i="1"/>
  <c r="AY191" i="1"/>
  <c r="AZ191" i="1"/>
  <c r="BA191" i="1"/>
  <c r="AY192" i="1"/>
  <c r="AZ192" i="1"/>
  <c r="BA192" i="1"/>
  <c r="AY193" i="1"/>
  <c r="AZ193" i="1"/>
  <c r="BA193" i="1"/>
  <c r="AY194" i="1"/>
  <c r="AZ194" i="1"/>
  <c r="BA194" i="1"/>
  <c r="AY195" i="1"/>
  <c r="AZ195" i="1"/>
  <c r="BA195" i="1"/>
  <c r="AY196" i="1"/>
  <c r="AZ196" i="1"/>
  <c r="BA196" i="1"/>
  <c r="AY197" i="1"/>
  <c r="AZ197" i="1"/>
  <c r="BA197" i="1"/>
  <c r="AY198" i="1"/>
  <c r="AZ198" i="1"/>
  <c r="BA198" i="1"/>
  <c r="AY199" i="1"/>
  <c r="AZ199" i="1"/>
  <c r="BA199" i="1"/>
  <c r="AY200" i="1"/>
  <c r="AZ200" i="1"/>
  <c r="BA200" i="1"/>
  <c r="AY201" i="1"/>
  <c r="AZ201" i="1"/>
  <c r="BA201" i="1"/>
  <c r="AY202" i="1"/>
  <c r="AZ202" i="1"/>
  <c r="BA202" i="1"/>
  <c r="AY3" i="1"/>
  <c r="AZ3" i="1"/>
  <c r="BA3" i="1"/>
  <c r="AU4" i="1"/>
  <c r="AV4" i="1"/>
  <c r="AW4" i="1"/>
  <c r="AU5" i="1"/>
  <c r="AV5" i="1"/>
  <c r="AW5" i="1"/>
  <c r="AU6" i="1"/>
  <c r="AV6" i="1"/>
  <c r="AW6" i="1"/>
  <c r="AU7" i="1"/>
  <c r="AV7" i="1"/>
  <c r="AW7" i="1"/>
  <c r="AU8" i="1"/>
  <c r="AV8" i="1"/>
  <c r="AW8" i="1"/>
  <c r="AU9" i="1"/>
  <c r="AV9" i="1"/>
  <c r="AW9" i="1"/>
  <c r="AU10" i="1"/>
  <c r="AV10" i="1"/>
  <c r="AW10" i="1"/>
  <c r="AU11" i="1"/>
  <c r="AV11" i="1"/>
  <c r="AW11" i="1"/>
  <c r="AU12" i="1"/>
  <c r="AV12" i="1"/>
  <c r="AW12" i="1"/>
  <c r="AU13" i="1"/>
  <c r="AV13" i="1"/>
  <c r="AW13" i="1"/>
  <c r="AU14" i="1"/>
  <c r="AV14" i="1"/>
  <c r="AW14" i="1"/>
  <c r="AU15" i="1"/>
  <c r="AV15" i="1"/>
  <c r="AW15" i="1"/>
  <c r="AU16" i="1"/>
  <c r="AV16" i="1"/>
  <c r="AW16" i="1"/>
  <c r="AU17" i="1"/>
  <c r="AV17" i="1"/>
  <c r="AW17" i="1"/>
  <c r="AU18" i="1"/>
  <c r="AV18" i="1"/>
  <c r="AW18" i="1"/>
  <c r="AU19" i="1"/>
  <c r="AV19" i="1"/>
  <c r="AW19" i="1"/>
  <c r="AU20" i="1"/>
  <c r="AV20" i="1"/>
  <c r="AW20" i="1"/>
  <c r="AU21" i="1"/>
  <c r="AV21" i="1"/>
  <c r="AW21" i="1"/>
  <c r="AU22" i="1"/>
  <c r="AV22" i="1"/>
  <c r="AW22" i="1"/>
  <c r="AU23" i="1"/>
  <c r="AV23" i="1"/>
  <c r="AW23" i="1"/>
  <c r="AU24" i="1"/>
  <c r="AV24" i="1"/>
  <c r="AW24" i="1"/>
  <c r="AU25" i="1"/>
  <c r="AV25" i="1"/>
  <c r="AW25" i="1"/>
  <c r="AU26" i="1"/>
  <c r="AV26" i="1"/>
  <c r="AW26" i="1"/>
  <c r="AU27" i="1"/>
  <c r="AV27" i="1"/>
  <c r="AW27" i="1"/>
  <c r="AU28" i="1"/>
  <c r="AV28" i="1"/>
  <c r="AW28" i="1"/>
  <c r="AU29" i="1"/>
  <c r="AV29" i="1"/>
  <c r="AW29" i="1"/>
  <c r="AU30" i="1"/>
  <c r="AV30" i="1"/>
  <c r="AW30" i="1"/>
  <c r="AU31" i="1"/>
  <c r="AV31" i="1"/>
  <c r="AW31" i="1"/>
  <c r="AU32" i="1"/>
  <c r="AV32" i="1"/>
  <c r="AW32" i="1"/>
  <c r="AU33" i="1"/>
  <c r="AV33" i="1"/>
  <c r="AW33" i="1"/>
  <c r="AU34" i="1"/>
  <c r="AV34" i="1"/>
  <c r="AW34" i="1"/>
  <c r="AU35" i="1"/>
  <c r="AV35" i="1"/>
  <c r="AW35" i="1"/>
  <c r="AU36" i="1"/>
  <c r="AV36" i="1"/>
  <c r="AW36" i="1"/>
  <c r="AU37" i="1"/>
  <c r="AV37" i="1"/>
  <c r="AW37" i="1"/>
  <c r="AU38" i="1"/>
  <c r="AV38" i="1"/>
  <c r="AW38" i="1"/>
  <c r="AU39" i="1"/>
  <c r="AV39" i="1"/>
  <c r="AW39" i="1"/>
  <c r="AU40" i="1"/>
  <c r="AV40" i="1"/>
  <c r="AW40" i="1"/>
  <c r="AU41" i="1"/>
  <c r="AV41" i="1"/>
  <c r="AW41" i="1"/>
  <c r="AU42" i="1"/>
  <c r="AV42" i="1"/>
  <c r="AW42" i="1"/>
  <c r="AU43" i="1"/>
  <c r="AV43" i="1"/>
  <c r="AW43" i="1"/>
  <c r="AU44" i="1"/>
  <c r="AV44" i="1"/>
  <c r="AW44" i="1"/>
  <c r="AU45" i="1"/>
  <c r="AV45" i="1"/>
  <c r="AW45" i="1"/>
  <c r="AU46" i="1"/>
  <c r="AV46" i="1"/>
  <c r="AW46" i="1"/>
  <c r="AU47" i="1"/>
  <c r="AV47" i="1"/>
  <c r="AW47" i="1"/>
  <c r="AU48" i="1"/>
  <c r="AV48" i="1"/>
  <c r="AW48" i="1"/>
  <c r="AU49" i="1"/>
  <c r="AV49" i="1"/>
  <c r="AW49" i="1"/>
  <c r="AU50" i="1"/>
  <c r="AV50" i="1"/>
  <c r="AW50" i="1"/>
  <c r="AU51" i="1"/>
  <c r="AV51" i="1"/>
  <c r="AW51" i="1"/>
  <c r="AU52" i="1"/>
  <c r="AV52" i="1"/>
  <c r="AW52" i="1"/>
  <c r="AU53" i="1"/>
  <c r="AV53" i="1"/>
  <c r="AW53" i="1"/>
  <c r="AU54" i="1"/>
  <c r="AV54" i="1"/>
  <c r="AW54" i="1"/>
  <c r="AU55" i="1"/>
  <c r="AV55" i="1"/>
  <c r="AW55" i="1"/>
  <c r="AU56" i="1"/>
  <c r="AV56" i="1"/>
  <c r="AW56" i="1"/>
  <c r="AU57" i="1"/>
  <c r="AV57" i="1"/>
  <c r="AW57" i="1"/>
  <c r="AU58" i="1"/>
  <c r="AV58" i="1"/>
  <c r="AW58" i="1"/>
  <c r="AU59" i="1"/>
  <c r="AV59" i="1"/>
  <c r="AW59" i="1"/>
  <c r="AU60" i="1"/>
  <c r="AV60" i="1"/>
  <c r="AW60" i="1"/>
  <c r="AU61" i="1"/>
  <c r="AV61" i="1"/>
  <c r="AW61" i="1"/>
  <c r="AU62" i="1"/>
  <c r="AV62" i="1"/>
  <c r="AW62" i="1"/>
  <c r="AU63" i="1"/>
  <c r="AV63" i="1"/>
  <c r="AW63" i="1"/>
  <c r="AU64" i="1"/>
  <c r="AV64" i="1"/>
  <c r="AW64" i="1"/>
  <c r="AU65" i="1"/>
  <c r="AV65" i="1"/>
  <c r="AW65" i="1"/>
  <c r="AU66" i="1"/>
  <c r="AV66" i="1"/>
  <c r="AW66" i="1"/>
  <c r="AU67" i="1"/>
  <c r="AV67" i="1"/>
  <c r="AW67" i="1"/>
  <c r="AU68" i="1"/>
  <c r="AV68" i="1"/>
  <c r="AW68" i="1"/>
  <c r="AU69" i="1"/>
  <c r="AV69" i="1"/>
  <c r="AW69" i="1"/>
  <c r="AU70" i="1"/>
  <c r="AV70" i="1"/>
  <c r="AW70" i="1"/>
  <c r="AU71" i="1"/>
  <c r="AV71" i="1"/>
  <c r="AW71" i="1"/>
  <c r="AU72" i="1"/>
  <c r="AV72" i="1"/>
  <c r="AW72" i="1"/>
  <c r="AU73" i="1"/>
  <c r="AV73" i="1"/>
  <c r="AW73" i="1"/>
  <c r="AU74" i="1"/>
  <c r="AV74" i="1"/>
  <c r="AW74" i="1"/>
  <c r="AU75" i="1"/>
  <c r="AV75" i="1"/>
  <c r="AW75" i="1"/>
  <c r="AU76" i="1"/>
  <c r="AV76" i="1"/>
  <c r="AW76" i="1"/>
  <c r="AU77" i="1"/>
  <c r="AV77" i="1"/>
  <c r="AW77" i="1"/>
  <c r="AU78" i="1"/>
  <c r="AV78" i="1"/>
  <c r="AW78" i="1"/>
  <c r="AU79" i="1"/>
  <c r="AV79" i="1"/>
  <c r="AW79" i="1"/>
  <c r="AU80" i="1"/>
  <c r="AV80" i="1"/>
  <c r="AW80" i="1"/>
  <c r="AU81" i="1"/>
  <c r="AV81" i="1"/>
  <c r="AW81" i="1"/>
  <c r="AU82" i="1"/>
  <c r="AV82" i="1"/>
  <c r="AW82" i="1"/>
  <c r="AU83" i="1"/>
  <c r="AV83" i="1"/>
  <c r="AW83" i="1"/>
  <c r="AU84" i="1"/>
  <c r="AV84" i="1"/>
  <c r="AW84" i="1"/>
  <c r="AU85" i="1"/>
  <c r="AV85" i="1"/>
  <c r="AW85" i="1"/>
  <c r="AU86" i="1"/>
  <c r="AV86" i="1"/>
  <c r="AW86" i="1"/>
  <c r="AU87" i="1"/>
  <c r="AV87" i="1"/>
  <c r="AW87" i="1"/>
  <c r="AU88" i="1"/>
  <c r="AV88" i="1"/>
  <c r="AW88" i="1"/>
  <c r="AU89" i="1"/>
  <c r="AV89" i="1"/>
  <c r="AW89" i="1"/>
  <c r="AU90" i="1"/>
  <c r="AV90" i="1"/>
  <c r="AW90" i="1"/>
  <c r="AU91" i="1"/>
  <c r="AV91" i="1"/>
  <c r="AW91" i="1"/>
  <c r="AU92" i="1"/>
  <c r="AV92" i="1"/>
  <c r="AW92" i="1"/>
  <c r="AU93" i="1"/>
  <c r="AV93" i="1"/>
  <c r="AW93" i="1"/>
  <c r="AU94" i="1"/>
  <c r="AV94" i="1"/>
  <c r="AW94" i="1"/>
  <c r="AU95" i="1"/>
  <c r="AV95" i="1"/>
  <c r="AW95" i="1"/>
  <c r="AU96" i="1"/>
  <c r="AV96" i="1"/>
  <c r="AW96" i="1"/>
  <c r="AU97" i="1"/>
  <c r="AV97" i="1"/>
  <c r="AW97" i="1"/>
  <c r="AU98" i="1"/>
  <c r="AV98" i="1"/>
  <c r="AW98" i="1"/>
  <c r="AU99" i="1"/>
  <c r="AV99" i="1"/>
  <c r="AW99" i="1"/>
  <c r="AU100" i="1"/>
  <c r="AV100" i="1"/>
  <c r="AW100" i="1"/>
  <c r="AU101" i="1"/>
  <c r="AV101" i="1"/>
  <c r="AW101" i="1"/>
  <c r="AU102" i="1"/>
  <c r="AV102" i="1"/>
  <c r="AW102" i="1"/>
  <c r="AU103" i="1"/>
  <c r="AV103" i="1"/>
  <c r="AW103" i="1"/>
  <c r="AU104" i="1"/>
  <c r="AV104" i="1"/>
  <c r="AW104" i="1"/>
  <c r="AU105" i="1"/>
  <c r="AV105" i="1"/>
  <c r="AW105" i="1"/>
  <c r="AU106" i="1"/>
  <c r="AV106" i="1"/>
  <c r="AW106" i="1"/>
  <c r="AU107" i="1"/>
  <c r="AV107" i="1"/>
  <c r="AW107" i="1"/>
  <c r="AU108" i="1"/>
  <c r="AV108" i="1"/>
  <c r="AW108" i="1"/>
  <c r="AU109" i="1"/>
  <c r="AV109" i="1"/>
  <c r="AW109" i="1"/>
  <c r="AU110" i="1"/>
  <c r="AV110" i="1"/>
  <c r="AW110" i="1"/>
  <c r="AU111" i="1"/>
  <c r="AV111" i="1"/>
  <c r="AW111" i="1"/>
  <c r="AU112" i="1"/>
  <c r="AV112" i="1"/>
  <c r="AW112" i="1"/>
  <c r="AU113" i="1"/>
  <c r="AV113" i="1"/>
  <c r="AW113" i="1"/>
  <c r="AU114" i="1"/>
  <c r="AV114" i="1"/>
  <c r="AW114" i="1"/>
  <c r="AU115" i="1"/>
  <c r="AV115" i="1"/>
  <c r="AW115" i="1"/>
  <c r="AU116" i="1"/>
  <c r="AV116" i="1"/>
  <c r="AW116" i="1"/>
  <c r="AU117" i="1"/>
  <c r="AV117" i="1"/>
  <c r="AW117" i="1"/>
  <c r="AU118" i="1"/>
  <c r="AV118" i="1"/>
  <c r="AW118" i="1"/>
  <c r="AU119" i="1"/>
  <c r="AV119" i="1"/>
  <c r="AW119" i="1"/>
  <c r="AU120" i="1"/>
  <c r="AV120" i="1"/>
  <c r="AW120" i="1"/>
  <c r="AU121" i="1"/>
  <c r="AV121" i="1"/>
  <c r="AW121" i="1"/>
  <c r="AU122" i="1"/>
  <c r="AV122" i="1"/>
  <c r="AW122" i="1"/>
  <c r="AU123" i="1"/>
  <c r="AV123" i="1"/>
  <c r="AW123" i="1"/>
  <c r="AU124" i="1"/>
  <c r="AV124" i="1"/>
  <c r="AW124" i="1"/>
  <c r="AU125" i="1"/>
  <c r="AV125" i="1"/>
  <c r="AW125" i="1"/>
  <c r="AU126" i="1"/>
  <c r="AV126" i="1"/>
  <c r="AW126" i="1"/>
  <c r="AU127" i="1"/>
  <c r="AV127" i="1"/>
  <c r="AW127" i="1"/>
  <c r="AU128" i="1"/>
  <c r="AV128" i="1"/>
  <c r="AW128" i="1"/>
  <c r="AU129" i="1"/>
  <c r="AV129" i="1"/>
  <c r="AW129" i="1"/>
  <c r="AU130" i="1"/>
  <c r="AV130" i="1"/>
  <c r="AW130" i="1"/>
  <c r="AU131" i="1"/>
  <c r="AV131" i="1"/>
  <c r="AW131" i="1"/>
  <c r="AU132" i="1"/>
  <c r="AV132" i="1"/>
  <c r="AW132" i="1"/>
  <c r="AU133" i="1"/>
  <c r="AV133" i="1"/>
  <c r="AW133" i="1"/>
  <c r="AU134" i="1"/>
  <c r="AV134" i="1"/>
  <c r="AW134" i="1"/>
  <c r="AU135" i="1"/>
  <c r="AV135" i="1"/>
  <c r="AW135" i="1"/>
  <c r="AU136" i="1"/>
  <c r="AV136" i="1"/>
  <c r="AW136" i="1"/>
  <c r="AU137" i="1"/>
  <c r="AV137" i="1"/>
  <c r="AW137" i="1"/>
  <c r="AU138" i="1"/>
  <c r="AV138" i="1"/>
  <c r="AW138" i="1"/>
  <c r="AU139" i="1"/>
  <c r="AV139" i="1"/>
  <c r="AW139" i="1"/>
  <c r="AU140" i="1"/>
  <c r="AV140" i="1"/>
  <c r="AW140" i="1"/>
  <c r="AU141" i="1"/>
  <c r="AV141" i="1"/>
  <c r="AW141" i="1"/>
  <c r="AU142" i="1"/>
  <c r="AV142" i="1"/>
  <c r="AW142" i="1"/>
  <c r="AU143" i="1"/>
  <c r="AV143" i="1"/>
  <c r="AW143" i="1"/>
  <c r="AU144" i="1"/>
  <c r="AV144" i="1"/>
  <c r="AW144" i="1"/>
  <c r="AU145" i="1"/>
  <c r="AV145" i="1"/>
  <c r="AW145" i="1"/>
  <c r="AU146" i="1"/>
  <c r="AV146" i="1"/>
  <c r="AW146" i="1"/>
  <c r="AU147" i="1"/>
  <c r="AV147" i="1"/>
  <c r="AW147" i="1"/>
  <c r="AU148" i="1"/>
  <c r="AV148" i="1"/>
  <c r="AW148" i="1"/>
  <c r="AU149" i="1"/>
  <c r="AV149" i="1"/>
  <c r="AW149" i="1"/>
  <c r="AU150" i="1"/>
  <c r="AV150" i="1"/>
  <c r="AW150" i="1"/>
  <c r="AU151" i="1"/>
  <c r="AV151" i="1"/>
  <c r="AW151" i="1"/>
  <c r="AU152" i="1"/>
  <c r="AV152" i="1"/>
  <c r="AW152" i="1"/>
  <c r="AU153" i="1"/>
  <c r="AV153" i="1"/>
  <c r="AW153" i="1"/>
  <c r="AU154" i="1"/>
  <c r="AV154" i="1"/>
  <c r="AW154" i="1"/>
  <c r="AU155" i="1"/>
  <c r="AV155" i="1"/>
  <c r="AW155" i="1"/>
  <c r="AU156" i="1"/>
  <c r="AV156" i="1"/>
  <c r="AW156" i="1"/>
  <c r="AU157" i="1"/>
  <c r="AV157" i="1"/>
  <c r="AW157" i="1"/>
  <c r="AU158" i="1"/>
  <c r="AV158" i="1"/>
  <c r="AW158" i="1"/>
  <c r="AU159" i="1"/>
  <c r="AV159" i="1"/>
  <c r="AW159" i="1"/>
  <c r="AU160" i="1"/>
  <c r="AV160" i="1"/>
  <c r="AW160" i="1"/>
  <c r="AU161" i="1"/>
  <c r="AV161" i="1"/>
  <c r="AW161" i="1"/>
  <c r="AU162" i="1"/>
  <c r="AV162" i="1"/>
  <c r="AW162" i="1"/>
  <c r="AU163" i="1"/>
  <c r="AV163" i="1"/>
  <c r="AW163" i="1"/>
  <c r="AU164" i="1"/>
  <c r="AV164" i="1"/>
  <c r="AW164" i="1"/>
  <c r="AU165" i="1"/>
  <c r="AV165" i="1"/>
  <c r="AW165" i="1"/>
  <c r="AU166" i="1"/>
  <c r="AV166" i="1"/>
  <c r="AW166" i="1"/>
  <c r="AU167" i="1"/>
  <c r="AV167" i="1"/>
  <c r="AW167" i="1"/>
  <c r="AU168" i="1"/>
  <c r="AV168" i="1"/>
  <c r="AW168" i="1"/>
  <c r="AU169" i="1"/>
  <c r="AV169" i="1"/>
  <c r="AW169" i="1"/>
  <c r="AU170" i="1"/>
  <c r="AV170" i="1"/>
  <c r="AW170" i="1"/>
  <c r="AU171" i="1"/>
  <c r="AV171" i="1"/>
  <c r="AW171" i="1"/>
  <c r="AU172" i="1"/>
  <c r="AV172" i="1"/>
  <c r="AW172" i="1"/>
  <c r="AU173" i="1"/>
  <c r="AV173" i="1"/>
  <c r="AW173" i="1"/>
  <c r="AU174" i="1"/>
  <c r="AV174" i="1"/>
  <c r="AW174" i="1"/>
  <c r="AU175" i="1"/>
  <c r="AV175" i="1"/>
  <c r="AW175" i="1"/>
  <c r="AU176" i="1"/>
  <c r="AV176" i="1"/>
  <c r="AW176" i="1"/>
  <c r="AU177" i="1"/>
  <c r="AV177" i="1"/>
  <c r="AW177" i="1"/>
  <c r="AU178" i="1"/>
  <c r="AV178" i="1"/>
  <c r="AW178" i="1"/>
  <c r="AU179" i="1"/>
  <c r="AV179" i="1"/>
  <c r="AW179" i="1"/>
  <c r="AU180" i="1"/>
  <c r="AV180" i="1"/>
  <c r="AW180" i="1"/>
  <c r="AU181" i="1"/>
  <c r="AV181" i="1"/>
  <c r="AW181" i="1"/>
  <c r="AU182" i="1"/>
  <c r="AV182" i="1"/>
  <c r="AW182" i="1"/>
  <c r="AU183" i="1"/>
  <c r="AV183" i="1"/>
  <c r="AW183" i="1"/>
  <c r="AU184" i="1"/>
  <c r="AV184" i="1"/>
  <c r="AW184" i="1"/>
  <c r="AU185" i="1"/>
  <c r="AV185" i="1"/>
  <c r="AW185" i="1"/>
  <c r="AU186" i="1"/>
  <c r="AV186" i="1"/>
  <c r="AW186" i="1"/>
  <c r="AU187" i="1"/>
  <c r="AV187" i="1"/>
  <c r="AW187" i="1"/>
  <c r="AU188" i="1"/>
  <c r="AV188" i="1"/>
  <c r="AW188" i="1"/>
  <c r="AU189" i="1"/>
  <c r="AV189" i="1"/>
  <c r="AW189" i="1"/>
  <c r="AU190" i="1"/>
  <c r="AV190" i="1"/>
  <c r="AW190" i="1"/>
  <c r="AU191" i="1"/>
  <c r="AV191" i="1"/>
  <c r="AW191" i="1"/>
  <c r="AU192" i="1"/>
  <c r="AV192" i="1"/>
  <c r="AW192" i="1"/>
  <c r="AU193" i="1"/>
  <c r="AV193" i="1"/>
  <c r="AW193" i="1"/>
  <c r="AU194" i="1"/>
  <c r="AV194" i="1"/>
  <c r="AW194" i="1"/>
  <c r="AU195" i="1"/>
  <c r="AV195" i="1"/>
  <c r="AW195" i="1"/>
  <c r="AU196" i="1"/>
  <c r="AV196" i="1"/>
  <c r="AW196" i="1"/>
  <c r="AU197" i="1"/>
  <c r="AV197" i="1"/>
  <c r="AW197" i="1"/>
  <c r="AU198" i="1"/>
  <c r="AV198" i="1"/>
  <c r="AW198" i="1"/>
  <c r="AU199" i="1"/>
  <c r="AV199" i="1"/>
  <c r="AW199" i="1"/>
  <c r="AU200" i="1"/>
  <c r="AV200" i="1"/>
  <c r="AW200" i="1"/>
  <c r="AU201" i="1"/>
  <c r="AV201" i="1"/>
  <c r="AW201" i="1"/>
  <c r="AU202" i="1"/>
  <c r="AV202" i="1"/>
  <c r="AW202" i="1"/>
  <c r="AQ4" i="1"/>
  <c r="AR4" i="1"/>
  <c r="AS4" i="1"/>
  <c r="AQ5" i="1"/>
  <c r="AR5" i="1"/>
  <c r="AS5" i="1"/>
  <c r="AQ6" i="1"/>
  <c r="AR6" i="1"/>
  <c r="AS6" i="1"/>
  <c r="AQ7" i="1"/>
  <c r="AR7" i="1"/>
  <c r="AS7" i="1"/>
  <c r="AQ8" i="1"/>
  <c r="AR8" i="1"/>
  <c r="AS8" i="1"/>
  <c r="AQ9" i="1"/>
  <c r="AR9" i="1"/>
  <c r="AS9" i="1"/>
  <c r="AQ10" i="1"/>
  <c r="AR10" i="1"/>
  <c r="AS10" i="1"/>
  <c r="AQ11" i="1"/>
  <c r="AR11" i="1"/>
  <c r="AS11" i="1"/>
  <c r="AQ12" i="1"/>
  <c r="AR12" i="1"/>
  <c r="AS12" i="1"/>
  <c r="AQ13" i="1"/>
  <c r="AR13" i="1"/>
  <c r="AS13" i="1"/>
  <c r="AQ14" i="1"/>
  <c r="AR14" i="1"/>
  <c r="AS14" i="1"/>
  <c r="AQ15" i="1"/>
  <c r="AR15" i="1"/>
  <c r="AS15" i="1"/>
  <c r="AQ16" i="1"/>
  <c r="AR16" i="1"/>
  <c r="AS16" i="1"/>
  <c r="AQ17" i="1"/>
  <c r="AR17" i="1"/>
  <c r="AS17" i="1"/>
  <c r="AQ18" i="1"/>
  <c r="AR18" i="1"/>
  <c r="AS18" i="1"/>
  <c r="AQ19" i="1"/>
  <c r="AR19" i="1"/>
  <c r="AS19" i="1"/>
  <c r="AQ20" i="1"/>
  <c r="AR20" i="1"/>
  <c r="AS20" i="1"/>
  <c r="AQ21" i="1"/>
  <c r="AR21" i="1"/>
  <c r="AS21" i="1"/>
  <c r="AQ22" i="1"/>
  <c r="AR22" i="1"/>
  <c r="AS22" i="1"/>
  <c r="AQ23" i="1"/>
  <c r="AR23" i="1"/>
  <c r="AS23" i="1"/>
  <c r="AQ24" i="1"/>
  <c r="AR24" i="1"/>
  <c r="AS24" i="1"/>
  <c r="AQ25" i="1"/>
  <c r="AR25" i="1"/>
  <c r="AS25" i="1"/>
  <c r="AQ26" i="1"/>
  <c r="AR26" i="1"/>
  <c r="AS26" i="1"/>
  <c r="AQ27" i="1"/>
  <c r="AR27" i="1"/>
  <c r="AS27" i="1"/>
  <c r="AQ28" i="1"/>
  <c r="AR28" i="1"/>
  <c r="AS28" i="1"/>
  <c r="AQ29" i="1"/>
  <c r="AR29" i="1"/>
  <c r="AS29" i="1"/>
  <c r="AQ30" i="1"/>
  <c r="AR30" i="1"/>
  <c r="AS30" i="1"/>
  <c r="AQ31" i="1"/>
  <c r="AR31" i="1"/>
  <c r="AS31" i="1"/>
  <c r="AQ32" i="1"/>
  <c r="AR32" i="1"/>
  <c r="AS32" i="1"/>
  <c r="AQ33" i="1"/>
  <c r="AR33" i="1"/>
  <c r="AS33" i="1"/>
  <c r="AQ34" i="1"/>
  <c r="AR34" i="1"/>
  <c r="AS34" i="1"/>
  <c r="AQ35" i="1"/>
  <c r="AR35" i="1"/>
  <c r="AS35" i="1"/>
  <c r="AQ36" i="1"/>
  <c r="AR36" i="1"/>
  <c r="AS36" i="1"/>
  <c r="AQ37" i="1"/>
  <c r="AR37" i="1"/>
  <c r="AS37" i="1"/>
  <c r="AQ38" i="1"/>
  <c r="AR38" i="1"/>
  <c r="AS38" i="1"/>
  <c r="AQ39" i="1"/>
  <c r="AR39" i="1"/>
  <c r="AS39" i="1"/>
  <c r="AQ40" i="1"/>
  <c r="AR40" i="1"/>
  <c r="AS40" i="1"/>
  <c r="AQ41" i="1"/>
  <c r="AR41" i="1"/>
  <c r="AS41" i="1"/>
  <c r="AQ42" i="1"/>
  <c r="AR42" i="1"/>
  <c r="AS42" i="1"/>
  <c r="AQ43" i="1"/>
  <c r="AR43" i="1"/>
  <c r="AS43" i="1"/>
  <c r="AQ44" i="1"/>
  <c r="AR44" i="1"/>
  <c r="AS44" i="1"/>
  <c r="AQ45" i="1"/>
  <c r="AR45" i="1"/>
  <c r="AS45" i="1"/>
  <c r="AQ46" i="1"/>
  <c r="AR46" i="1"/>
  <c r="AS46" i="1"/>
  <c r="AQ47" i="1"/>
  <c r="AR47" i="1"/>
  <c r="AS47" i="1"/>
  <c r="AQ48" i="1"/>
  <c r="AR48" i="1"/>
  <c r="AS48" i="1"/>
  <c r="AQ49" i="1"/>
  <c r="AR49" i="1"/>
  <c r="AS49" i="1"/>
  <c r="AQ50" i="1"/>
  <c r="AR50" i="1"/>
  <c r="AS50" i="1"/>
  <c r="AQ51" i="1"/>
  <c r="AR51" i="1"/>
  <c r="AS51" i="1"/>
  <c r="AQ52" i="1"/>
  <c r="AR52" i="1"/>
  <c r="AS52" i="1"/>
  <c r="AQ53" i="1"/>
  <c r="AR53" i="1"/>
  <c r="AS53" i="1"/>
  <c r="AQ54" i="1"/>
  <c r="AR54" i="1"/>
  <c r="AS54" i="1"/>
  <c r="AQ55" i="1"/>
  <c r="AR55" i="1"/>
  <c r="AS55" i="1"/>
  <c r="AQ56" i="1"/>
  <c r="AR56" i="1"/>
  <c r="AS56" i="1"/>
  <c r="AQ57" i="1"/>
  <c r="AR57" i="1"/>
  <c r="AS57" i="1"/>
  <c r="AQ58" i="1"/>
  <c r="AR58" i="1"/>
  <c r="AS58" i="1"/>
  <c r="AQ59" i="1"/>
  <c r="AR59" i="1"/>
  <c r="AS59" i="1"/>
  <c r="AQ60" i="1"/>
  <c r="AR60" i="1"/>
  <c r="AS60" i="1"/>
  <c r="AQ61" i="1"/>
  <c r="AR61" i="1"/>
  <c r="AS61" i="1"/>
  <c r="AQ62" i="1"/>
  <c r="AR62" i="1"/>
  <c r="AS62" i="1"/>
  <c r="AQ63" i="1"/>
  <c r="AR63" i="1"/>
  <c r="AS63" i="1"/>
  <c r="AQ64" i="1"/>
  <c r="AR64" i="1"/>
  <c r="AS64" i="1"/>
  <c r="AQ65" i="1"/>
  <c r="AR65" i="1"/>
  <c r="AS65" i="1"/>
  <c r="AQ66" i="1"/>
  <c r="AR66" i="1"/>
  <c r="AS66" i="1"/>
  <c r="AQ67" i="1"/>
  <c r="AR67" i="1"/>
  <c r="AS67" i="1"/>
  <c r="AQ68" i="1"/>
  <c r="AR68" i="1"/>
  <c r="AS68" i="1"/>
  <c r="AQ69" i="1"/>
  <c r="AR69" i="1"/>
  <c r="AS69" i="1"/>
  <c r="AQ70" i="1"/>
  <c r="AR70" i="1"/>
  <c r="AS70" i="1"/>
  <c r="AQ71" i="1"/>
  <c r="AR71" i="1"/>
  <c r="AS71" i="1"/>
  <c r="AQ72" i="1"/>
  <c r="AR72" i="1"/>
  <c r="AS72" i="1"/>
  <c r="AQ73" i="1"/>
  <c r="AR73" i="1"/>
  <c r="AS73" i="1"/>
  <c r="AQ74" i="1"/>
  <c r="AR74" i="1"/>
  <c r="AS74" i="1"/>
  <c r="AQ75" i="1"/>
  <c r="AR75" i="1"/>
  <c r="AS75" i="1"/>
  <c r="AQ76" i="1"/>
  <c r="AR76" i="1"/>
  <c r="AS76" i="1"/>
  <c r="AQ77" i="1"/>
  <c r="AR77" i="1"/>
  <c r="AS77" i="1"/>
  <c r="AQ78" i="1"/>
  <c r="AR78" i="1"/>
  <c r="AS78" i="1"/>
  <c r="AQ79" i="1"/>
  <c r="AR79" i="1"/>
  <c r="AS79" i="1"/>
  <c r="AQ80" i="1"/>
  <c r="AR80" i="1"/>
  <c r="AS80" i="1"/>
  <c r="AQ81" i="1"/>
  <c r="AR81" i="1"/>
  <c r="AS81" i="1"/>
  <c r="AQ82" i="1"/>
  <c r="AR82" i="1"/>
  <c r="AS82" i="1"/>
  <c r="AQ83" i="1"/>
  <c r="AR83" i="1"/>
  <c r="AS83" i="1"/>
  <c r="AQ84" i="1"/>
  <c r="AR84" i="1"/>
  <c r="AS84" i="1"/>
  <c r="AQ85" i="1"/>
  <c r="AR85" i="1"/>
  <c r="AS85" i="1"/>
  <c r="AQ86" i="1"/>
  <c r="AR86" i="1"/>
  <c r="AS86" i="1"/>
  <c r="AQ87" i="1"/>
  <c r="AR87" i="1"/>
  <c r="AS87" i="1"/>
  <c r="AQ88" i="1"/>
  <c r="AR88" i="1"/>
  <c r="AS88" i="1"/>
  <c r="AQ89" i="1"/>
  <c r="AR89" i="1"/>
  <c r="AS89" i="1"/>
  <c r="AQ90" i="1"/>
  <c r="AR90" i="1"/>
  <c r="AS90" i="1"/>
  <c r="AQ91" i="1"/>
  <c r="AR91" i="1"/>
  <c r="AS91" i="1"/>
  <c r="AQ92" i="1"/>
  <c r="AR92" i="1"/>
  <c r="AS92" i="1"/>
  <c r="AQ93" i="1"/>
  <c r="AR93" i="1"/>
  <c r="AS93" i="1"/>
  <c r="AQ94" i="1"/>
  <c r="AR94" i="1"/>
  <c r="AS94" i="1"/>
  <c r="AQ95" i="1"/>
  <c r="AR95" i="1"/>
  <c r="AS95" i="1"/>
  <c r="AQ96" i="1"/>
  <c r="AR96" i="1"/>
  <c r="AS96" i="1"/>
  <c r="AQ97" i="1"/>
  <c r="AR97" i="1"/>
  <c r="AS97" i="1"/>
  <c r="AQ98" i="1"/>
  <c r="AR98" i="1"/>
  <c r="AS98" i="1"/>
  <c r="AQ99" i="1"/>
  <c r="AR99" i="1"/>
  <c r="AS99" i="1"/>
  <c r="AQ100" i="1"/>
  <c r="AR100" i="1"/>
  <c r="AS100" i="1"/>
  <c r="AQ101" i="1"/>
  <c r="AR101" i="1"/>
  <c r="AS101" i="1"/>
  <c r="AQ102" i="1"/>
  <c r="AR102" i="1"/>
  <c r="AS102" i="1"/>
  <c r="AQ103" i="1"/>
  <c r="AR103" i="1"/>
  <c r="AS103" i="1"/>
  <c r="AQ104" i="1"/>
  <c r="AR104" i="1"/>
  <c r="AS104" i="1"/>
  <c r="AQ105" i="1"/>
  <c r="AR105" i="1"/>
  <c r="AS105" i="1"/>
  <c r="AQ106" i="1"/>
  <c r="AR106" i="1"/>
  <c r="AS106" i="1"/>
  <c r="AQ107" i="1"/>
  <c r="AR107" i="1"/>
  <c r="AS107" i="1"/>
  <c r="AQ108" i="1"/>
  <c r="AR108" i="1"/>
  <c r="AS108" i="1"/>
  <c r="AQ109" i="1"/>
  <c r="AR109" i="1"/>
  <c r="AS109" i="1"/>
  <c r="AQ110" i="1"/>
  <c r="AR110" i="1"/>
  <c r="AS110" i="1"/>
  <c r="AQ111" i="1"/>
  <c r="AR111" i="1"/>
  <c r="AS111" i="1"/>
  <c r="AQ112" i="1"/>
  <c r="AR112" i="1"/>
  <c r="AS112" i="1"/>
  <c r="AQ113" i="1"/>
  <c r="AR113" i="1"/>
  <c r="AS113" i="1"/>
  <c r="AQ114" i="1"/>
  <c r="AR114" i="1"/>
  <c r="AS114" i="1"/>
  <c r="AQ115" i="1"/>
  <c r="AR115" i="1"/>
  <c r="AS115" i="1"/>
  <c r="AQ116" i="1"/>
  <c r="AR116" i="1"/>
  <c r="AS116" i="1"/>
  <c r="AQ117" i="1"/>
  <c r="AR117" i="1"/>
  <c r="AS117" i="1"/>
  <c r="AQ118" i="1"/>
  <c r="AR118" i="1"/>
  <c r="AS118" i="1"/>
  <c r="AQ119" i="1"/>
  <c r="AR119" i="1"/>
  <c r="AS119" i="1"/>
  <c r="AQ120" i="1"/>
  <c r="AR120" i="1"/>
  <c r="AS120" i="1"/>
  <c r="AQ121" i="1"/>
  <c r="AR121" i="1"/>
  <c r="AS121" i="1"/>
  <c r="AQ122" i="1"/>
  <c r="AR122" i="1"/>
  <c r="AS122" i="1"/>
  <c r="AQ123" i="1"/>
  <c r="AR123" i="1"/>
  <c r="AS123" i="1"/>
  <c r="AQ124" i="1"/>
  <c r="AR124" i="1"/>
  <c r="AS124" i="1"/>
  <c r="AQ125" i="1"/>
  <c r="AR125" i="1"/>
  <c r="AS125" i="1"/>
  <c r="AQ126" i="1"/>
  <c r="AR126" i="1"/>
  <c r="AS126" i="1"/>
  <c r="AQ127" i="1"/>
  <c r="AR127" i="1"/>
  <c r="AS127" i="1"/>
  <c r="AQ128" i="1"/>
  <c r="AR128" i="1"/>
  <c r="AS128" i="1"/>
  <c r="AQ129" i="1"/>
  <c r="AR129" i="1"/>
  <c r="AS129" i="1"/>
  <c r="AQ130" i="1"/>
  <c r="AR130" i="1"/>
  <c r="AS130" i="1"/>
  <c r="AQ131" i="1"/>
  <c r="AR131" i="1"/>
  <c r="AS131" i="1"/>
  <c r="AQ132" i="1"/>
  <c r="AR132" i="1"/>
  <c r="AS132" i="1"/>
  <c r="AQ133" i="1"/>
  <c r="AR133" i="1"/>
  <c r="AS133" i="1"/>
  <c r="AQ134" i="1"/>
  <c r="AR134" i="1"/>
  <c r="AS134" i="1"/>
  <c r="AQ135" i="1"/>
  <c r="AR135" i="1"/>
  <c r="AS135" i="1"/>
  <c r="AQ136" i="1"/>
  <c r="AR136" i="1"/>
  <c r="AS136" i="1"/>
  <c r="AQ137" i="1"/>
  <c r="AR137" i="1"/>
  <c r="AS137" i="1"/>
  <c r="AQ138" i="1"/>
  <c r="AR138" i="1"/>
  <c r="AS138" i="1"/>
  <c r="AQ139" i="1"/>
  <c r="AR139" i="1"/>
  <c r="AS139" i="1"/>
  <c r="AQ140" i="1"/>
  <c r="AR140" i="1"/>
  <c r="AS140" i="1"/>
  <c r="AQ141" i="1"/>
  <c r="AR141" i="1"/>
  <c r="AS141" i="1"/>
  <c r="AQ142" i="1"/>
  <c r="AR142" i="1"/>
  <c r="AS142" i="1"/>
  <c r="AQ143" i="1"/>
  <c r="AR143" i="1"/>
  <c r="AS143" i="1"/>
  <c r="AQ144" i="1"/>
  <c r="AR144" i="1"/>
  <c r="AS144" i="1"/>
  <c r="AQ145" i="1"/>
  <c r="AR145" i="1"/>
  <c r="AS145" i="1"/>
  <c r="AQ146" i="1"/>
  <c r="AR146" i="1"/>
  <c r="AS146" i="1"/>
  <c r="AQ147" i="1"/>
  <c r="AR147" i="1"/>
  <c r="AS147" i="1"/>
  <c r="AQ148" i="1"/>
  <c r="AR148" i="1"/>
  <c r="AS148" i="1"/>
  <c r="AQ149" i="1"/>
  <c r="AR149" i="1"/>
  <c r="AS149" i="1"/>
  <c r="AQ150" i="1"/>
  <c r="AR150" i="1"/>
  <c r="AS150" i="1"/>
  <c r="AQ151" i="1"/>
  <c r="AR151" i="1"/>
  <c r="AS151" i="1"/>
  <c r="AQ152" i="1"/>
  <c r="AR152" i="1"/>
  <c r="AS152" i="1"/>
  <c r="AQ153" i="1"/>
  <c r="AR153" i="1"/>
  <c r="AS153" i="1"/>
  <c r="AQ154" i="1"/>
  <c r="AR154" i="1"/>
  <c r="AS154" i="1"/>
  <c r="AQ155" i="1"/>
  <c r="AR155" i="1"/>
  <c r="AS155" i="1"/>
  <c r="AQ156" i="1"/>
  <c r="AR156" i="1"/>
  <c r="AS156" i="1"/>
  <c r="AQ157" i="1"/>
  <c r="AR157" i="1"/>
  <c r="AS157" i="1"/>
  <c r="AQ158" i="1"/>
  <c r="AR158" i="1"/>
  <c r="AS158" i="1"/>
  <c r="AQ159" i="1"/>
  <c r="AR159" i="1"/>
  <c r="AS159" i="1"/>
  <c r="AQ160" i="1"/>
  <c r="AR160" i="1"/>
  <c r="AS160" i="1"/>
  <c r="AQ161" i="1"/>
  <c r="AR161" i="1"/>
  <c r="AS161" i="1"/>
  <c r="AQ162" i="1"/>
  <c r="AR162" i="1"/>
  <c r="AS162" i="1"/>
  <c r="AQ163" i="1"/>
  <c r="AR163" i="1"/>
  <c r="AS163" i="1"/>
  <c r="AQ164" i="1"/>
  <c r="AR164" i="1"/>
  <c r="AS164" i="1"/>
  <c r="AQ165" i="1"/>
  <c r="AR165" i="1"/>
  <c r="AS165" i="1"/>
  <c r="AQ166" i="1"/>
  <c r="AR166" i="1"/>
  <c r="AS166" i="1"/>
  <c r="AQ167" i="1"/>
  <c r="AR167" i="1"/>
  <c r="AS167" i="1"/>
  <c r="AQ168" i="1"/>
  <c r="AR168" i="1"/>
  <c r="AS168" i="1"/>
  <c r="AQ169" i="1"/>
  <c r="AR169" i="1"/>
  <c r="AS169" i="1"/>
  <c r="AQ170" i="1"/>
  <c r="AR170" i="1"/>
  <c r="AS170" i="1"/>
  <c r="AQ171" i="1"/>
  <c r="AR171" i="1"/>
  <c r="AS171" i="1"/>
  <c r="AQ172" i="1"/>
  <c r="AR172" i="1"/>
  <c r="AS172" i="1"/>
  <c r="AQ173" i="1"/>
  <c r="AR173" i="1"/>
  <c r="AS173" i="1"/>
  <c r="AQ174" i="1"/>
  <c r="AR174" i="1"/>
  <c r="AS174" i="1"/>
  <c r="AQ175" i="1"/>
  <c r="AR175" i="1"/>
  <c r="AS175" i="1"/>
  <c r="AQ176" i="1"/>
  <c r="AR176" i="1"/>
  <c r="AS176" i="1"/>
  <c r="AQ177" i="1"/>
  <c r="AR177" i="1"/>
  <c r="AS177" i="1"/>
  <c r="AQ178" i="1"/>
  <c r="AR178" i="1"/>
  <c r="AS178" i="1"/>
  <c r="AQ179" i="1"/>
  <c r="AR179" i="1"/>
  <c r="AS179" i="1"/>
  <c r="AQ180" i="1"/>
  <c r="AR180" i="1"/>
  <c r="AS180" i="1"/>
  <c r="AQ181" i="1"/>
  <c r="AR181" i="1"/>
  <c r="AS181" i="1"/>
  <c r="AQ182" i="1"/>
  <c r="AR182" i="1"/>
  <c r="AS182" i="1"/>
  <c r="AQ183" i="1"/>
  <c r="AR183" i="1"/>
  <c r="AS183" i="1"/>
  <c r="AQ184" i="1"/>
  <c r="AR184" i="1"/>
  <c r="AS184" i="1"/>
  <c r="AQ185" i="1"/>
  <c r="AR185" i="1"/>
  <c r="AS185" i="1"/>
  <c r="AQ186" i="1"/>
  <c r="AR186" i="1"/>
  <c r="AS186" i="1"/>
  <c r="AQ187" i="1"/>
  <c r="AR187" i="1"/>
  <c r="AS187" i="1"/>
  <c r="AQ188" i="1"/>
  <c r="AR188" i="1"/>
  <c r="AS188" i="1"/>
  <c r="AQ189" i="1"/>
  <c r="AR189" i="1"/>
  <c r="AS189" i="1"/>
  <c r="AQ190" i="1"/>
  <c r="AR190" i="1"/>
  <c r="AS190" i="1"/>
  <c r="AQ191" i="1"/>
  <c r="AR191" i="1"/>
  <c r="AS191" i="1"/>
  <c r="AQ192" i="1"/>
  <c r="AR192" i="1"/>
  <c r="AS192" i="1"/>
  <c r="AQ193" i="1"/>
  <c r="AR193" i="1"/>
  <c r="AS193" i="1"/>
  <c r="AQ194" i="1"/>
  <c r="AR194" i="1"/>
  <c r="AS194" i="1"/>
  <c r="AQ195" i="1"/>
  <c r="AR195" i="1"/>
  <c r="AS195" i="1"/>
  <c r="AQ196" i="1"/>
  <c r="AR196" i="1"/>
  <c r="AS196" i="1"/>
  <c r="AQ197" i="1"/>
  <c r="AR197" i="1"/>
  <c r="AS197" i="1"/>
  <c r="AQ198" i="1"/>
  <c r="AR198" i="1"/>
  <c r="AS198" i="1"/>
  <c r="AQ199" i="1"/>
  <c r="AR199" i="1"/>
  <c r="AS199" i="1"/>
  <c r="AQ200" i="1"/>
  <c r="AR200" i="1"/>
  <c r="AS200" i="1"/>
  <c r="AQ201" i="1"/>
  <c r="AR201" i="1"/>
  <c r="AS201" i="1"/>
  <c r="AQ202" i="1"/>
  <c r="AR202" i="1"/>
  <c r="AS202" i="1"/>
  <c r="AU3" i="1"/>
  <c r="AV3" i="1"/>
  <c r="AW3" i="1"/>
  <c r="AQ3" i="1"/>
  <c r="AR3" i="1"/>
  <c r="AS3" i="1"/>
  <c r="AM4" i="1"/>
  <c r="AN4" i="1"/>
  <c r="AO4" i="1"/>
  <c r="AM5" i="1"/>
  <c r="AN5" i="1"/>
  <c r="AO5" i="1"/>
  <c r="AM6" i="1"/>
  <c r="AN6" i="1"/>
  <c r="AO6" i="1"/>
  <c r="AM7" i="1"/>
  <c r="AN7" i="1"/>
  <c r="AO7" i="1"/>
  <c r="AM8" i="1"/>
  <c r="AN8" i="1"/>
  <c r="AO8" i="1"/>
  <c r="AM9" i="1"/>
  <c r="AN9" i="1"/>
  <c r="AO9" i="1"/>
  <c r="AM10" i="1"/>
  <c r="AN10" i="1"/>
  <c r="AO10" i="1"/>
  <c r="AM11" i="1"/>
  <c r="AN11" i="1"/>
  <c r="AO11" i="1"/>
  <c r="AM12" i="1"/>
  <c r="AN12" i="1"/>
  <c r="AO12" i="1"/>
  <c r="AM13" i="1"/>
  <c r="AN13" i="1"/>
  <c r="AO13" i="1"/>
  <c r="AM14" i="1"/>
  <c r="AN14" i="1"/>
  <c r="AO14" i="1"/>
  <c r="AM15" i="1"/>
  <c r="AN15" i="1"/>
  <c r="AO15" i="1"/>
  <c r="AM16" i="1"/>
  <c r="AN16" i="1"/>
  <c r="AO16" i="1"/>
  <c r="AM17" i="1"/>
  <c r="AN17" i="1"/>
  <c r="AO17" i="1"/>
  <c r="AM18" i="1"/>
  <c r="AN18" i="1"/>
  <c r="AO18" i="1"/>
  <c r="AM19" i="1"/>
  <c r="AN19" i="1"/>
  <c r="AO19" i="1"/>
  <c r="AM20" i="1"/>
  <c r="AN20" i="1"/>
  <c r="AO20" i="1"/>
  <c r="AM21" i="1"/>
  <c r="AN21" i="1"/>
  <c r="AO21" i="1"/>
  <c r="AM22" i="1"/>
  <c r="AN22" i="1"/>
  <c r="AO22" i="1"/>
  <c r="AM23" i="1"/>
  <c r="AN23" i="1"/>
  <c r="AO23" i="1"/>
  <c r="AM24" i="1"/>
  <c r="AN24" i="1"/>
  <c r="AO24" i="1"/>
  <c r="AM25" i="1"/>
  <c r="AN25" i="1"/>
  <c r="AO25" i="1"/>
  <c r="AM26" i="1"/>
  <c r="AN26" i="1"/>
  <c r="AO26" i="1"/>
  <c r="AM27" i="1"/>
  <c r="AN27" i="1"/>
  <c r="AO27" i="1"/>
  <c r="AM28" i="1"/>
  <c r="AN28" i="1"/>
  <c r="AO28" i="1"/>
  <c r="AM29" i="1"/>
  <c r="AN29" i="1"/>
  <c r="AO29" i="1"/>
  <c r="AM30" i="1"/>
  <c r="AN30" i="1"/>
  <c r="AO30" i="1"/>
  <c r="AM31" i="1"/>
  <c r="AN31" i="1"/>
  <c r="AO31" i="1"/>
  <c r="AM32" i="1"/>
  <c r="AN32" i="1"/>
  <c r="AO32" i="1"/>
  <c r="AM33" i="1"/>
  <c r="AN33" i="1"/>
  <c r="AO33" i="1"/>
  <c r="AM34" i="1"/>
  <c r="AN34" i="1"/>
  <c r="AO34" i="1"/>
  <c r="AM35" i="1"/>
  <c r="AN35" i="1"/>
  <c r="AO35" i="1"/>
  <c r="AM36" i="1"/>
  <c r="AN36" i="1"/>
  <c r="AO36" i="1"/>
  <c r="AM37" i="1"/>
  <c r="AN37" i="1"/>
  <c r="AO37" i="1"/>
  <c r="AM38" i="1"/>
  <c r="AN38" i="1"/>
  <c r="AO38" i="1"/>
  <c r="AM39" i="1"/>
  <c r="AN39" i="1"/>
  <c r="AO39" i="1"/>
  <c r="AM40" i="1"/>
  <c r="AN40" i="1"/>
  <c r="AO40" i="1"/>
  <c r="AM41" i="1"/>
  <c r="AN41" i="1"/>
  <c r="AO41" i="1"/>
  <c r="AM42" i="1"/>
  <c r="AN42" i="1"/>
  <c r="AO42" i="1"/>
  <c r="AM43" i="1"/>
  <c r="AN43" i="1"/>
  <c r="AO43" i="1"/>
  <c r="AM44" i="1"/>
  <c r="AN44" i="1"/>
  <c r="AO44" i="1"/>
  <c r="AM45" i="1"/>
  <c r="AN45" i="1"/>
  <c r="AO45" i="1"/>
  <c r="AM46" i="1"/>
  <c r="AN46" i="1"/>
  <c r="AO46" i="1"/>
  <c r="AM47" i="1"/>
  <c r="AN47" i="1"/>
  <c r="AO47" i="1"/>
  <c r="AM48" i="1"/>
  <c r="AN48" i="1"/>
  <c r="AO48" i="1"/>
  <c r="AM49" i="1"/>
  <c r="AN49" i="1"/>
  <c r="AO49" i="1"/>
  <c r="AM50" i="1"/>
  <c r="AN50" i="1"/>
  <c r="AO50" i="1"/>
  <c r="AM51" i="1"/>
  <c r="AN51" i="1"/>
  <c r="AO51" i="1"/>
  <c r="AM52" i="1"/>
  <c r="AN52" i="1"/>
  <c r="AO52" i="1"/>
  <c r="AM53" i="1"/>
  <c r="AN53" i="1"/>
  <c r="AO53" i="1"/>
  <c r="AM54" i="1"/>
  <c r="AN54" i="1"/>
  <c r="AO54" i="1"/>
  <c r="AM55" i="1"/>
  <c r="AN55" i="1"/>
  <c r="AO55" i="1"/>
  <c r="AM56" i="1"/>
  <c r="AN56" i="1"/>
  <c r="AO56" i="1"/>
  <c r="AM57" i="1"/>
  <c r="AN57" i="1"/>
  <c r="AO57" i="1"/>
  <c r="AM58" i="1"/>
  <c r="AN58" i="1"/>
  <c r="AO58" i="1"/>
  <c r="AM59" i="1"/>
  <c r="AN59" i="1"/>
  <c r="AO59" i="1"/>
  <c r="AM60" i="1"/>
  <c r="AN60" i="1"/>
  <c r="AO60" i="1"/>
  <c r="AM61" i="1"/>
  <c r="AN61" i="1"/>
  <c r="AO61" i="1"/>
  <c r="AM62" i="1"/>
  <c r="AN62" i="1"/>
  <c r="AO62" i="1"/>
  <c r="AM63" i="1"/>
  <c r="AN63" i="1"/>
  <c r="AO63" i="1"/>
  <c r="AM64" i="1"/>
  <c r="AN64" i="1"/>
  <c r="AO64" i="1"/>
  <c r="AM65" i="1"/>
  <c r="AN65" i="1"/>
  <c r="AO65" i="1"/>
  <c r="AM66" i="1"/>
  <c r="AN66" i="1"/>
  <c r="AO66" i="1"/>
  <c r="AM67" i="1"/>
  <c r="AN67" i="1"/>
  <c r="AO67" i="1"/>
  <c r="AM68" i="1"/>
  <c r="AN68" i="1"/>
  <c r="AO68" i="1"/>
  <c r="AM69" i="1"/>
  <c r="AN69" i="1"/>
  <c r="AO69" i="1"/>
  <c r="AM70" i="1"/>
  <c r="AN70" i="1"/>
  <c r="AO70" i="1"/>
  <c r="AM71" i="1"/>
  <c r="AN71" i="1"/>
  <c r="AO71" i="1"/>
  <c r="AM72" i="1"/>
  <c r="AN72" i="1"/>
  <c r="AO72" i="1"/>
  <c r="AM73" i="1"/>
  <c r="AN73" i="1"/>
  <c r="AO73" i="1"/>
  <c r="AM74" i="1"/>
  <c r="AN74" i="1"/>
  <c r="AO74" i="1"/>
  <c r="AM75" i="1"/>
  <c r="AN75" i="1"/>
  <c r="AO75" i="1"/>
  <c r="AM76" i="1"/>
  <c r="AN76" i="1"/>
  <c r="AO76" i="1"/>
  <c r="AM77" i="1"/>
  <c r="AN77" i="1"/>
  <c r="AO77" i="1"/>
  <c r="AM78" i="1"/>
  <c r="AN78" i="1"/>
  <c r="AO78" i="1"/>
  <c r="AM79" i="1"/>
  <c r="AN79" i="1"/>
  <c r="AO79" i="1"/>
  <c r="AM80" i="1"/>
  <c r="AN80" i="1"/>
  <c r="AO80" i="1"/>
  <c r="AM81" i="1"/>
  <c r="AN81" i="1"/>
  <c r="AO81" i="1"/>
  <c r="AM82" i="1"/>
  <c r="AN82" i="1"/>
  <c r="AO82" i="1"/>
  <c r="AM83" i="1"/>
  <c r="AN83" i="1"/>
  <c r="AO83" i="1"/>
  <c r="AM84" i="1"/>
  <c r="AN84" i="1"/>
  <c r="AO84" i="1"/>
  <c r="AM85" i="1"/>
  <c r="AN85" i="1"/>
  <c r="AO85" i="1"/>
  <c r="AM86" i="1"/>
  <c r="AN86" i="1"/>
  <c r="AO86" i="1"/>
  <c r="AM87" i="1"/>
  <c r="AN87" i="1"/>
  <c r="AO87" i="1"/>
  <c r="AM88" i="1"/>
  <c r="AN88" i="1"/>
  <c r="AO88" i="1"/>
  <c r="AM89" i="1"/>
  <c r="AN89" i="1"/>
  <c r="AO89" i="1"/>
  <c r="AM90" i="1"/>
  <c r="AN90" i="1"/>
  <c r="AO90" i="1"/>
  <c r="AM91" i="1"/>
  <c r="AN91" i="1"/>
  <c r="AO91" i="1"/>
  <c r="AM92" i="1"/>
  <c r="AN92" i="1"/>
  <c r="AO92" i="1"/>
  <c r="AM93" i="1"/>
  <c r="AN93" i="1"/>
  <c r="AO93" i="1"/>
  <c r="AM94" i="1"/>
  <c r="AN94" i="1"/>
  <c r="AO94" i="1"/>
  <c r="AM95" i="1"/>
  <c r="AN95" i="1"/>
  <c r="AO95" i="1"/>
  <c r="AM96" i="1"/>
  <c r="AN96" i="1"/>
  <c r="AO96" i="1"/>
  <c r="AM97" i="1"/>
  <c r="AN97" i="1"/>
  <c r="AO97" i="1"/>
  <c r="AM98" i="1"/>
  <c r="AN98" i="1"/>
  <c r="AO98" i="1"/>
  <c r="AM99" i="1"/>
  <c r="AN99" i="1"/>
  <c r="AO99" i="1"/>
  <c r="AM100" i="1"/>
  <c r="AN100" i="1"/>
  <c r="AO100" i="1"/>
  <c r="AM101" i="1"/>
  <c r="AN101" i="1"/>
  <c r="AO101" i="1"/>
  <c r="AM102" i="1"/>
  <c r="AN102" i="1"/>
  <c r="AO102" i="1"/>
  <c r="AM103" i="1"/>
  <c r="AN103" i="1"/>
  <c r="AO103" i="1"/>
  <c r="AM104" i="1"/>
  <c r="AN104" i="1"/>
  <c r="AO104" i="1"/>
  <c r="AM105" i="1"/>
  <c r="AN105" i="1"/>
  <c r="AO105" i="1"/>
  <c r="AM106" i="1"/>
  <c r="AN106" i="1"/>
  <c r="AO106" i="1"/>
  <c r="AM107" i="1"/>
  <c r="AN107" i="1"/>
  <c r="AO107" i="1"/>
  <c r="AM108" i="1"/>
  <c r="AN108" i="1"/>
  <c r="AO108" i="1"/>
  <c r="AM109" i="1"/>
  <c r="AN109" i="1"/>
  <c r="AO109" i="1"/>
  <c r="AM110" i="1"/>
  <c r="AN110" i="1"/>
  <c r="AO110" i="1"/>
  <c r="AM111" i="1"/>
  <c r="AN111" i="1"/>
  <c r="AO111" i="1"/>
  <c r="AM112" i="1"/>
  <c r="AN112" i="1"/>
  <c r="AO112" i="1"/>
  <c r="AM113" i="1"/>
  <c r="AN113" i="1"/>
  <c r="AO113" i="1"/>
  <c r="AM114" i="1"/>
  <c r="AN114" i="1"/>
  <c r="AO114" i="1"/>
  <c r="AM115" i="1"/>
  <c r="AN115" i="1"/>
  <c r="AO115" i="1"/>
  <c r="AM116" i="1"/>
  <c r="AN116" i="1"/>
  <c r="AO116" i="1"/>
  <c r="AM117" i="1"/>
  <c r="AN117" i="1"/>
  <c r="AO117" i="1"/>
  <c r="AM118" i="1"/>
  <c r="AN118" i="1"/>
  <c r="AO118" i="1"/>
  <c r="AM119" i="1"/>
  <c r="AN119" i="1"/>
  <c r="AO119" i="1"/>
  <c r="AM120" i="1"/>
  <c r="AN120" i="1"/>
  <c r="AO120" i="1"/>
  <c r="AM121" i="1"/>
  <c r="AN121" i="1"/>
  <c r="AO121" i="1"/>
  <c r="AM122" i="1"/>
  <c r="AN122" i="1"/>
  <c r="AO122" i="1"/>
  <c r="AM123" i="1"/>
  <c r="AN123" i="1"/>
  <c r="AO123" i="1"/>
  <c r="AM124" i="1"/>
  <c r="AN124" i="1"/>
  <c r="AO124" i="1"/>
  <c r="AM125" i="1"/>
  <c r="AN125" i="1"/>
  <c r="AO125" i="1"/>
  <c r="AM126" i="1"/>
  <c r="AN126" i="1"/>
  <c r="AO126" i="1"/>
  <c r="AM127" i="1"/>
  <c r="AN127" i="1"/>
  <c r="AO127" i="1"/>
  <c r="AM128" i="1"/>
  <c r="AN128" i="1"/>
  <c r="AO128" i="1"/>
  <c r="AM129" i="1"/>
  <c r="AN129" i="1"/>
  <c r="AO129" i="1"/>
  <c r="AM130" i="1"/>
  <c r="AN130" i="1"/>
  <c r="AO130" i="1"/>
  <c r="AM131" i="1"/>
  <c r="AN131" i="1"/>
  <c r="AO131" i="1"/>
  <c r="AM132" i="1"/>
  <c r="AN132" i="1"/>
  <c r="AO132" i="1"/>
  <c r="AM133" i="1"/>
  <c r="AN133" i="1"/>
  <c r="AO133" i="1"/>
  <c r="AM134" i="1"/>
  <c r="AN134" i="1"/>
  <c r="AO134" i="1"/>
  <c r="AM135" i="1"/>
  <c r="AN135" i="1"/>
  <c r="AO135" i="1"/>
  <c r="AM136" i="1"/>
  <c r="AN136" i="1"/>
  <c r="AO136" i="1"/>
  <c r="AM137" i="1"/>
  <c r="AN137" i="1"/>
  <c r="AO137" i="1"/>
  <c r="AM138" i="1"/>
  <c r="AN138" i="1"/>
  <c r="AO138" i="1"/>
  <c r="AM139" i="1"/>
  <c r="AN139" i="1"/>
  <c r="AO139" i="1"/>
  <c r="AM140" i="1"/>
  <c r="AN140" i="1"/>
  <c r="AO140" i="1"/>
  <c r="AM141" i="1"/>
  <c r="AN141" i="1"/>
  <c r="AO141" i="1"/>
  <c r="AM142" i="1"/>
  <c r="AN142" i="1"/>
  <c r="AO142" i="1"/>
  <c r="AM143" i="1"/>
  <c r="AN143" i="1"/>
  <c r="AO143" i="1"/>
  <c r="AM144" i="1"/>
  <c r="AN144" i="1"/>
  <c r="AO144" i="1"/>
  <c r="AM145" i="1"/>
  <c r="AN145" i="1"/>
  <c r="AO145" i="1"/>
  <c r="AM146" i="1"/>
  <c r="AN146" i="1"/>
  <c r="AO146" i="1"/>
  <c r="AM147" i="1"/>
  <c r="AN147" i="1"/>
  <c r="AO147" i="1"/>
  <c r="AM148" i="1"/>
  <c r="AN148" i="1"/>
  <c r="AO148" i="1"/>
  <c r="AM149" i="1"/>
  <c r="AN149" i="1"/>
  <c r="AO149" i="1"/>
  <c r="AM150" i="1"/>
  <c r="AN150" i="1"/>
  <c r="AO150" i="1"/>
  <c r="AM151" i="1"/>
  <c r="AN151" i="1"/>
  <c r="AO151" i="1"/>
  <c r="AM152" i="1"/>
  <c r="AN152" i="1"/>
  <c r="AO152" i="1"/>
  <c r="AM153" i="1"/>
  <c r="AN153" i="1"/>
  <c r="AO153" i="1"/>
  <c r="AM154" i="1"/>
  <c r="AN154" i="1"/>
  <c r="AO154" i="1"/>
  <c r="AM155" i="1"/>
  <c r="AN155" i="1"/>
  <c r="AO155" i="1"/>
  <c r="AM156" i="1"/>
  <c r="AN156" i="1"/>
  <c r="AO156" i="1"/>
  <c r="AM157" i="1"/>
  <c r="AN157" i="1"/>
  <c r="AO157" i="1"/>
  <c r="AM158" i="1"/>
  <c r="AN158" i="1"/>
  <c r="AO158" i="1"/>
  <c r="AM159" i="1"/>
  <c r="AN159" i="1"/>
  <c r="AO159" i="1"/>
  <c r="AM160" i="1"/>
  <c r="AN160" i="1"/>
  <c r="AO160" i="1"/>
  <c r="AM161" i="1"/>
  <c r="AN161" i="1"/>
  <c r="AO161" i="1"/>
  <c r="AM162" i="1"/>
  <c r="AN162" i="1"/>
  <c r="AO162" i="1"/>
  <c r="AM163" i="1"/>
  <c r="AN163" i="1"/>
  <c r="AO163" i="1"/>
  <c r="AM164" i="1"/>
  <c r="AN164" i="1"/>
  <c r="AO164" i="1"/>
  <c r="AM165" i="1"/>
  <c r="AN165" i="1"/>
  <c r="AO165" i="1"/>
  <c r="AM166" i="1"/>
  <c r="AN166" i="1"/>
  <c r="AO166" i="1"/>
  <c r="AM167" i="1"/>
  <c r="AN167" i="1"/>
  <c r="AO167" i="1"/>
  <c r="AM168" i="1"/>
  <c r="AN168" i="1"/>
  <c r="AO168" i="1"/>
  <c r="AM169" i="1"/>
  <c r="AN169" i="1"/>
  <c r="AO169" i="1"/>
  <c r="AM170" i="1"/>
  <c r="AN170" i="1"/>
  <c r="AO170" i="1"/>
  <c r="AM171" i="1"/>
  <c r="AN171" i="1"/>
  <c r="AO171" i="1"/>
  <c r="AM172" i="1"/>
  <c r="AN172" i="1"/>
  <c r="AO172" i="1"/>
  <c r="AM173" i="1"/>
  <c r="AN173" i="1"/>
  <c r="AO173" i="1"/>
  <c r="AM174" i="1"/>
  <c r="AN174" i="1"/>
  <c r="AO174" i="1"/>
  <c r="AM175" i="1"/>
  <c r="AN175" i="1"/>
  <c r="AO175" i="1"/>
  <c r="AM176" i="1"/>
  <c r="AN176" i="1"/>
  <c r="AO176" i="1"/>
  <c r="AM177" i="1"/>
  <c r="AN177" i="1"/>
  <c r="AO177" i="1"/>
  <c r="AM178" i="1"/>
  <c r="AN178" i="1"/>
  <c r="AO178" i="1"/>
  <c r="AM179" i="1"/>
  <c r="AN179" i="1"/>
  <c r="AO179" i="1"/>
  <c r="AM180" i="1"/>
  <c r="AN180" i="1"/>
  <c r="AO180" i="1"/>
  <c r="AM181" i="1"/>
  <c r="AN181" i="1"/>
  <c r="AO181" i="1"/>
  <c r="AM182" i="1"/>
  <c r="AN182" i="1"/>
  <c r="AO182" i="1"/>
  <c r="AM183" i="1"/>
  <c r="AN183" i="1"/>
  <c r="AO183" i="1"/>
  <c r="AM184" i="1"/>
  <c r="AN184" i="1"/>
  <c r="AO184" i="1"/>
  <c r="AM185" i="1"/>
  <c r="AN185" i="1"/>
  <c r="AO185" i="1"/>
  <c r="AM186" i="1"/>
  <c r="AN186" i="1"/>
  <c r="AO186" i="1"/>
  <c r="AM187" i="1"/>
  <c r="AN187" i="1"/>
  <c r="AO187" i="1"/>
  <c r="AM188" i="1"/>
  <c r="AN188" i="1"/>
  <c r="AO188" i="1"/>
  <c r="AM189" i="1"/>
  <c r="AN189" i="1"/>
  <c r="AO189" i="1"/>
  <c r="AM190" i="1"/>
  <c r="AN190" i="1"/>
  <c r="AO190" i="1"/>
  <c r="AM191" i="1"/>
  <c r="AN191" i="1"/>
  <c r="AO191" i="1"/>
  <c r="AM192" i="1"/>
  <c r="AN192" i="1"/>
  <c r="AO192" i="1"/>
  <c r="AM193" i="1"/>
  <c r="AN193" i="1"/>
  <c r="AO193" i="1"/>
  <c r="AM194" i="1"/>
  <c r="AN194" i="1"/>
  <c r="AO194" i="1"/>
  <c r="AM195" i="1"/>
  <c r="AN195" i="1"/>
  <c r="AO195" i="1"/>
  <c r="AM196" i="1"/>
  <c r="AN196" i="1"/>
  <c r="AO196" i="1"/>
  <c r="AM197" i="1"/>
  <c r="AN197" i="1"/>
  <c r="AO197" i="1"/>
  <c r="AM198" i="1"/>
  <c r="AN198" i="1"/>
  <c r="AO198" i="1"/>
  <c r="AM199" i="1"/>
  <c r="AN199" i="1"/>
  <c r="AO199" i="1"/>
  <c r="AM200" i="1"/>
  <c r="AN200" i="1"/>
  <c r="AO200" i="1"/>
  <c r="AM201" i="1"/>
  <c r="AN201" i="1"/>
  <c r="AO201" i="1"/>
  <c r="AM202" i="1"/>
  <c r="AN202" i="1"/>
  <c r="AO202" i="1"/>
  <c r="AM3" i="1"/>
  <c r="AN3" i="1"/>
  <c r="AO3" i="1"/>
  <c r="AJ4" i="1"/>
  <c r="AK4" i="1"/>
  <c r="AJ5" i="1"/>
  <c r="AK5" i="1"/>
  <c r="AJ6" i="1"/>
  <c r="AK6" i="1"/>
  <c r="AJ7" i="1"/>
  <c r="AK7" i="1"/>
  <c r="AJ8" i="1"/>
  <c r="AK8" i="1"/>
  <c r="AJ9" i="1"/>
  <c r="AK9" i="1"/>
  <c r="AJ10" i="1"/>
  <c r="AK10" i="1"/>
  <c r="AJ11" i="1"/>
  <c r="AK11" i="1"/>
  <c r="AJ12" i="1"/>
  <c r="AK12" i="1"/>
  <c r="AJ13" i="1"/>
  <c r="AK13" i="1"/>
  <c r="AJ14" i="1"/>
  <c r="AK14" i="1"/>
  <c r="AJ15" i="1"/>
  <c r="AK15" i="1"/>
  <c r="AJ16" i="1"/>
  <c r="AK16" i="1"/>
  <c r="AJ17" i="1"/>
  <c r="AK17" i="1"/>
  <c r="AJ18" i="1"/>
  <c r="AK18" i="1"/>
  <c r="AJ19" i="1"/>
  <c r="AK19" i="1"/>
  <c r="AJ20" i="1"/>
  <c r="AK20" i="1"/>
  <c r="AJ21" i="1"/>
  <c r="AK21" i="1"/>
  <c r="AJ22" i="1"/>
  <c r="AK22" i="1"/>
  <c r="AJ23" i="1"/>
  <c r="AK23" i="1"/>
  <c r="AJ24" i="1"/>
  <c r="AK24" i="1"/>
  <c r="AJ25" i="1"/>
  <c r="AK25" i="1"/>
  <c r="AJ26" i="1"/>
  <c r="AK26" i="1"/>
  <c r="AJ27" i="1"/>
  <c r="AK27" i="1"/>
  <c r="AJ28" i="1"/>
  <c r="AK28" i="1"/>
  <c r="AJ29" i="1"/>
  <c r="AK29" i="1"/>
  <c r="AJ30" i="1"/>
  <c r="AK30" i="1"/>
  <c r="AJ31" i="1"/>
  <c r="AK31" i="1"/>
  <c r="AJ32" i="1"/>
  <c r="AK32" i="1"/>
  <c r="AJ33" i="1"/>
  <c r="AK33" i="1"/>
  <c r="AJ34" i="1"/>
  <c r="AK34" i="1"/>
  <c r="AJ35" i="1"/>
  <c r="AK35" i="1"/>
  <c r="AJ36" i="1"/>
  <c r="AK36" i="1"/>
  <c r="AJ37" i="1"/>
  <c r="AK37" i="1"/>
  <c r="AJ38" i="1"/>
  <c r="AK38" i="1"/>
  <c r="AJ39" i="1"/>
  <c r="AK39" i="1"/>
  <c r="AJ40" i="1"/>
  <c r="AK40" i="1"/>
  <c r="AJ41" i="1"/>
  <c r="AK41" i="1"/>
  <c r="AJ42" i="1"/>
  <c r="AK42" i="1"/>
  <c r="AJ43" i="1"/>
  <c r="AK43" i="1"/>
  <c r="AJ44" i="1"/>
  <c r="AK44" i="1"/>
  <c r="AJ45" i="1"/>
  <c r="AK45" i="1"/>
  <c r="AJ46" i="1"/>
  <c r="AK46" i="1"/>
  <c r="AJ47" i="1"/>
  <c r="AK47" i="1"/>
  <c r="AJ48" i="1"/>
  <c r="AK48" i="1"/>
  <c r="AJ49" i="1"/>
  <c r="AK49" i="1"/>
  <c r="AJ50" i="1"/>
  <c r="AK50" i="1"/>
  <c r="AJ51" i="1"/>
  <c r="AK51" i="1"/>
  <c r="AJ52" i="1"/>
  <c r="AK52" i="1"/>
  <c r="AJ53" i="1"/>
  <c r="AK53" i="1"/>
  <c r="AJ54" i="1"/>
  <c r="AK54" i="1"/>
  <c r="AJ55" i="1"/>
  <c r="AK55" i="1"/>
  <c r="AJ56" i="1"/>
  <c r="AK56" i="1"/>
  <c r="AJ57" i="1"/>
  <c r="AK57" i="1"/>
  <c r="AJ58" i="1"/>
  <c r="AK58" i="1"/>
  <c r="AJ59" i="1"/>
  <c r="AK59" i="1"/>
  <c r="AJ60" i="1"/>
  <c r="AK60" i="1"/>
  <c r="AJ61" i="1"/>
  <c r="AK61" i="1"/>
  <c r="AJ62" i="1"/>
  <c r="AK62" i="1"/>
  <c r="AJ63" i="1"/>
  <c r="AK63" i="1"/>
  <c r="AJ64" i="1"/>
  <c r="AK64" i="1"/>
  <c r="AJ65" i="1"/>
  <c r="AK65" i="1"/>
  <c r="AJ66" i="1"/>
  <c r="AK66" i="1"/>
  <c r="AJ67" i="1"/>
  <c r="AK67" i="1"/>
  <c r="AJ68" i="1"/>
  <c r="AK68" i="1"/>
  <c r="AJ69" i="1"/>
  <c r="AK69" i="1"/>
  <c r="AJ70" i="1"/>
  <c r="AK70" i="1"/>
  <c r="AJ71" i="1"/>
  <c r="AK71" i="1"/>
  <c r="AJ72" i="1"/>
  <c r="AK72" i="1"/>
  <c r="AJ73" i="1"/>
  <c r="AK73" i="1"/>
  <c r="AJ74" i="1"/>
  <c r="AK74" i="1"/>
  <c r="AJ75" i="1"/>
  <c r="AK75" i="1"/>
  <c r="AJ76" i="1"/>
  <c r="AK76" i="1"/>
  <c r="AJ77" i="1"/>
  <c r="AK77" i="1"/>
  <c r="AJ78" i="1"/>
  <c r="AK78" i="1"/>
  <c r="AJ79" i="1"/>
  <c r="AK79" i="1"/>
  <c r="AJ80" i="1"/>
  <c r="AK80" i="1"/>
  <c r="AJ81" i="1"/>
  <c r="AK81" i="1"/>
  <c r="AJ82" i="1"/>
  <c r="AK82" i="1"/>
  <c r="AJ83" i="1"/>
  <c r="AK83" i="1"/>
  <c r="AJ84" i="1"/>
  <c r="AK84" i="1"/>
  <c r="AJ85" i="1"/>
  <c r="AK85" i="1"/>
  <c r="AJ86" i="1"/>
  <c r="AK86" i="1"/>
  <c r="AJ87" i="1"/>
  <c r="AK87" i="1"/>
  <c r="AJ88" i="1"/>
  <c r="AK88" i="1"/>
  <c r="AJ89" i="1"/>
  <c r="AK89" i="1"/>
  <c r="AJ90" i="1"/>
  <c r="AK90" i="1"/>
  <c r="AJ91" i="1"/>
  <c r="AK91" i="1"/>
  <c r="AJ92" i="1"/>
  <c r="AK92" i="1"/>
  <c r="AJ93" i="1"/>
  <c r="AK93" i="1"/>
  <c r="AJ94" i="1"/>
  <c r="AK94" i="1"/>
  <c r="AJ95" i="1"/>
  <c r="AK95" i="1"/>
  <c r="AJ96" i="1"/>
  <c r="AK96" i="1"/>
  <c r="AJ97" i="1"/>
  <c r="AK97" i="1"/>
  <c r="AJ98" i="1"/>
  <c r="AK98" i="1"/>
  <c r="AJ99" i="1"/>
  <c r="AK99" i="1"/>
  <c r="AJ100" i="1"/>
  <c r="AK100" i="1"/>
  <c r="AJ101" i="1"/>
  <c r="AK101" i="1"/>
  <c r="AJ102" i="1"/>
  <c r="AK102" i="1"/>
  <c r="AJ103" i="1"/>
  <c r="AK103" i="1"/>
  <c r="AJ104" i="1"/>
  <c r="AK104" i="1"/>
  <c r="AJ105" i="1"/>
  <c r="AK105" i="1"/>
  <c r="AJ106" i="1"/>
  <c r="AK106" i="1"/>
  <c r="AJ107" i="1"/>
  <c r="AK107" i="1"/>
  <c r="AJ108" i="1"/>
  <c r="AK108" i="1"/>
  <c r="AJ109" i="1"/>
  <c r="AK109" i="1"/>
  <c r="AJ110" i="1"/>
  <c r="AK110" i="1"/>
  <c r="AJ111" i="1"/>
  <c r="AK111" i="1"/>
  <c r="AJ112" i="1"/>
  <c r="AK112" i="1"/>
  <c r="AJ113" i="1"/>
  <c r="AK113" i="1"/>
  <c r="AJ114" i="1"/>
  <c r="AK114" i="1"/>
  <c r="AJ115" i="1"/>
  <c r="AK115" i="1"/>
  <c r="AJ116" i="1"/>
  <c r="AK116" i="1"/>
  <c r="AJ117" i="1"/>
  <c r="AK117" i="1"/>
  <c r="AJ118" i="1"/>
  <c r="AK118" i="1"/>
  <c r="AJ119" i="1"/>
  <c r="AK119" i="1"/>
  <c r="AJ120" i="1"/>
  <c r="AK120" i="1"/>
  <c r="AJ121" i="1"/>
  <c r="AK121" i="1"/>
  <c r="AJ122" i="1"/>
  <c r="AK122" i="1"/>
  <c r="AJ123" i="1"/>
  <c r="AK123" i="1"/>
  <c r="AJ124" i="1"/>
  <c r="AK124" i="1"/>
  <c r="AJ125" i="1"/>
  <c r="AK125" i="1"/>
  <c r="AJ126" i="1"/>
  <c r="AK126" i="1"/>
  <c r="AJ127" i="1"/>
  <c r="AK127" i="1"/>
  <c r="AJ128" i="1"/>
  <c r="AK128" i="1"/>
  <c r="AJ129" i="1"/>
  <c r="AK129" i="1"/>
  <c r="AJ130" i="1"/>
  <c r="AK130" i="1"/>
  <c r="AJ131" i="1"/>
  <c r="AK131" i="1"/>
  <c r="AJ132" i="1"/>
  <c r="AK132" i="1"/>
  <c r="AJ133" i="1"/>
  <c r="AK133" i="1"/>
  <c r="AJ134" i="1"/>
  <c r="AK134" i="1"/>
  <c r="AJ135" i="1"/>
  <c r="AK135" i="1"/>
  <c r="AJ136" i="1"/>
  <c r="AK136" i="1"/>
  <c r="AJ137" i="1"/>
  <c r="AK137" i="1"/>
  <c r="AJ138" i="1"/>
  <c r="AK138" i="1"/>
  <c r="AJ139" i="1"/>
  <c r="AK139" i="1"/>
  <c r="AJ140" i="1"/>
  <c r="AK140" i="1"/>
  <c r="AJ141" i="1"/>
  <c r="AK141" i="1"/>
  <c r="AJ142" i="1"/>
  <c r="AK142" i="1"/>
  <c r="AJ143" i="1"/>
  <c r="AK143" i="1"/>
  <c r="AJ144" i="1"/>
  <c r="AK144" i="1"/>
  <c r="AJ145" i="1"/>
  <c r="AK145" i="1"/>
  <c r="AJ146" i="1"/>
  <c r="AK146" i="1"/>
  <c r="AJ147" i="1"/>
  <c r="AK147" i="1"/>
  <c r="AJ148" i="1"/>
  <c r="AK148" i="1"/>
  <c r="AJ149" i="1"/>
  <c r="AK149" i="1"/>
  <c r="AJ150" i="1"/>
  <c r="AK150" i="1"/>
  <c r="AJ151" i="1"/>
  <c r="AK151" i="1"/>
  <c r="AJ152" i="1"/>
  <c r="AK152" i="1"/>
  <c r="AJ153" i="1"/>
  <c r="AK153" i="1"/>
  <c r="AJ154" i="1"/>
  <c r="AK154" i="1"/>
  <c r="AJ155" i="1"/>
  <c r="AK155" i="1"/>
  <c r="AJ156" i="1"/>
  <c r="AK156" i="1"/>
  <c r="AJ157" i="1"/>
  <c r="AK157" i="1"/>
  <c r="AJ158" i="1"/>
  <c r="AK158" i="1"/>
  <c r="AJ159" i="1"/>
  <c r="AK159" i="1"/>
  <c r="AJ160" i="1"/>
  <c r="AK160" i="1"/>
  <c r="AJ161" i="1"/>
  <c r="AK161" i="1"/>
  <c r="AJ162" i="1"/>
  <c r="AK162" i="1"/>
  <c r="AJ163" i="1"/>
  <c r="AK163" i="1"/>
  <c r="AJ164" i="1"/>
  <c r="AK164" i="1"/>
  <c r="AJ165" i="1"/>
  <c r="AK165" i="1"/>
  <c r="AJ166" i="1"/>
  <c r="AK166" i="1"/>
  <c r="AJ167" i="1"/>
  <c r="AK167" i="1"/>
  <c r="AJ168" i="1"/>
  <c r="AK168" i="1"/>
  <c r="AJ169" i="1"/>
  <c r="AK169" i="1"/>
  <c r="AJ170" i="1"/>
  <c r="AK170" i="1"/>
  <c r="AJ171" i="1"/>
  <c r="AK171" i="1"/>
  <c r="AJ172" i="1"/>
  <c r="AK172" i="1"/>
  <c r="AJ173" i="1"/>
  <c r="AK173" i="1"/>
  <c r="AJ174" i="1"/>
  <c r="AK174" i="1"/>
  <c r="AJ175" i="1"/>
  <c r="AK175" i="1"/>
  <c r="AJ176" i="1"/>
  <c r="AK176" i="1"/>
  <c r="AJ177" i="1"/>
  <c r="AK177" i="1"/>
  <c r="AJ178" i="1"/>
  <c r="AK178" i="1"/>
  <c r="AJ179" i="1"/>
  <c r="AK179" i="1"/>
  <c r="AJ180" i="1"/>
  <c r="AK180" i="1"/>
  <c r="AJ181" i="1"/>
  <c r="AK181" i="1"/>
  <c r="AJ182" i="1"/>
  <c r="AK182" i="1"/>
  <c r="AJ183" i="1"/>
  <c r="AK183" i="1"/>
  <c r="AJ184" i="1"/>
  <c r="AK184" i="1"/>
  <c r="AJ185" i="1"/>
  <c r="AK185" i="1"/>
  <c r="AJ186" i="1"/>
  <c r="AK186" i="1"/>
  <c r="AJ187" i="1"/>
  <c r="AK187" i="1"/>
  <c r="AJ188" i="1"/>
  <c r="AK188" i="1"/>
  <c r="AJ189" i="1"/>
  <c r="AK189" i="1"/>
  <c r="AJ190" i="1"/>
  <c r="AK190" i="1"/>
  <c r="AJ191" i="1"/>
  <c r="AK191" i="1"/>
  <c r="AJ192" i="1"/>
  <c r="AK192" i="1"/>
  <c r="AJ193" i="1"/>
  <c r="AK193" i="1"/>
  <c r="AJ194" i="1"/>
  <c r="AK194" i="1"/>
  <c r="AJ195" i="1"/>
  <c r="AK195" i="1"/>
  <c r="AJ196" i="1"/>
  <c r="AK196" i="1"/>
  <c r="AJ197" i="1"/>
  <c r="AK197" i="1"/>
  <c r="AJ198" i="1"/>
  <c r="AK198" i="1"/>
  <c r="AJ199" i="1"/>
  <c r="AK199" i="1"/>
  <c r="AJ200" i="1"/>
  <c r="AK200" i="1"/>
  <c r="AJ201" i="1"/>
  <c r="AK201" i="1"/>
  <c r="AJ202" i="1"/>
  <c r="AK202" i="1"/>
  <c r="AJ3" i="1"/>
  <c r="AK3" i="1"/>
  <c r="AF4" i="1"/>
  <c r="AG4" i="1"/>
  <c r="AH4" i="1"/>
  <c r="AF5" i="1"/>
  <c r="AG5" i="1"/>
  <c r="AH5" i="1"/>
  <c r="AF6" i="1"/>
  <c r="AG6" i="1"/>
  <c r="AH6" i="1"/>
  <c r="AF7" i="1"/>
  <c r="AG7" i="1"/>
  <c r="AH7" i="1"/>
  <c r="AF8" i="1"/>
  <c r="AG8" i="1"/>
  <c r="AH8" i="1"/>
  <c r="AF9" i="1"/>
  <c r="AG9" i="1"/>
  <c r="AH9" i="1"/>
  <c r="AF10" i="1"/>
  <c r="AG10" i="1"/>
  <c r="AH10" i="1"/>
  <c r="AF11" i="1"/>
  <c r="AG11" i="1"/>
  <c r="AH11" i="1"/>
  <c r="AF12" i="1"/>
  <c r="AG12" i="1"/>
  <c r="AH12" i="1"/>
  <c r="AF13" i="1"/>
  <c r="AG13" i="1"/>
  <c r="AH13" i="1"/>
  <c r="AF14" i="1"/>
  <c r="AG14" i="1"/>
  <c r="AH14" i="1"/>
  <c r="AF15" i="1"/>
  <c r="AG15" i="1"/>
  <c r="AH15" i="1"/>
  <c r="AF16" i="1"/>
  <c r="AG16" i="1"/>
  <c r="AH16" i="1"/>
  <c r="AF17" i="1"/>
  <c r="AG17" i="1"/>
  <c r="AH17" i="1"/>
  <c r="AF18" i="1"/>
  <c r="AG18" i="1"/>
  <c r="AH18" i="1"/>
  <c r="AF19" i="1"/>
  <c r="AG19" i="1"/>
  <c r="AH19" i="1"/>
  <c r="AF20" i="1"/>
  <c r="AG20" i="1"/>
  <c r="AH20" i="1"/>
  <c r="AF21" i="1"/>
  <c r="AG21" i="1"/>
  <c r="AH21" i="1"/>
  <c r="AF22" i="1"/>
  <c r="AG22" i="1"/>
  <c r="AH22" i="1"/>
  <c r="AF23" i="1"/>
  <c r="AG23" i="1"/>
  <c r="AH23" i="1"/>
  <c r="AF24" i="1"/>
  <c r="AG24" i="1"/>
  <c r="AH24" i="1"/>
  <c r="AF25" i="1"/>
  <c r="AG25" i="1"/>
  <c r="AH25" i="1"/>
  <c r="AF26" i="1"/>
  <c r="AG26" i="1"/>
  <c r="AH26" i="1"/>
  <c r="AF27" i="1"/>
  <c r="AG27" i="1"/>
  <c r="AH27" i="1"/>
  <c r="AF28" i="1"/>
  <c r="AG28" i="1"/>
  <c r="AH28" i="1"/>
  <c r="AF29" i="1"/>
  <c r="AG29" i="1"/>
  <c r="AH29" i="1"/>
  <c r="AF30" i="1"/>
  <c r="AG30" i="1"/>
  <c r="AH30" i="1"/>
  <c r="AF31" i="1"/>
  <c r="AG31" i="1"/>
  <c r="AH31" i="1"/>
  <c r="AF32" i="1"/>
  <c r="AG32" i="1"/>
  <c r="AH32" i="1"/>
  <c r="AF33" i="1"/>
  <c r="AG33" i="1"/>
  <c r="AH33" i="1"/>
  <c r="AF34" i="1"/>
  <c r="AG34" i="1"/>
  <c r="AH34" i="1"/>
  <c r="AF35" i="1"/>
  <c r="AG35" i="1"/>
  <c r="AH35" i="1"/>
  <c r="AF36" i="1"/>
  <c r="AG36" i="1"/>
  <c r="AH36" i="1"/>
  <c r="AF37" i="1"/>
  <c r="AG37" i="1"/>
  <c r="AH37" i="1"/>
  <c r="AF38" i="1"/>
  <c r="AG38" i="1"/>
  <c r="AH38" i="1"/>
  <c r="AF39" i="1"/>
  <c r="AG39" i="1"/>
  <c r="AH39" i="1"/>
  <c r="AF40" i="1"/>
  <c r="AG40" i="1"/>
  <c r="AH40" i="1"/>
  <c r="AF41" i="1"/>
  <c r="AG41" i="1"/>
  <c r="AH41" i="1"/>
  <c r="AF42" i="1"/>
  <c r="AG42" i="1"/>
  <c r="AH42" i="1"/>
  <c r="AF43" i="1"/>
  <c r="AG43" i="1"/>
  <c r="AH43" i="1"/>
  <c r="AF44" i="1"/>
  <c r="AG44" i="1"/>
  <c r="AH44" i="1"/>
  <c r="AF45" i="1"/>
  <c r="AG45" i="1"/>
  <c r="AH45" i="1"/>
  <c r="AF46" i="1"/>
  <c r="AG46" i="1"/>
  <c r="AH46" i="1"/>
  <c r="AF47" i="1"/>
  <c r="AG47" i="1"/>
  <c r="AH47" i="1"/>
  <c r="AF48" i="1"/>
  <c r="AG48" i="1"/>
  <c r="AH48" i="1"/>
  <c r="AF49" i="1"/>
  <c r="AG49" i="1"/>
  <c r="AH49" i="1"/>
  <c r="AF50" i="1"/>
  <c r="AG50" i="1"/>
  <c r="AH50" i="1"/>
  <c r="AF51" i="1"/>
  <c r="AG51" i="1"/>
  <c r="AH51" i="1"/>
  <c r="AF52" i="1"/>
  <c r="AG52" i="1"/>
  <c r="AH52" i="1"/>
  <c r="AF53" i="1"/>
  <c r="AG53" i="1"/>
  <c r="AH53" i="1"/>
  <c r="AF54" i="1"/>
  <c r="AG54" i="1"/>
  <c r="AH54" i="1"/>
  <c r="AF55" i="1"/>
  <c r="AG55" i="1"/>
  <c r="AH55" i="1"/>
  <c r="AF56" i="1"/>
  <c r="AG56" i="1"/>
  <c r="AH56" i="1"/>
  <c r="AF57" i="1"/>
  <c r="AG57" i="1"/>
  <c r="AH57" i="1"/>
  <c r="AF58" i="1"/>
  <c r="AG58" i="1"/>
  <c r="AH58" i="1"/>
  <c r="AF59" i="1"/>
  <c r="AG59" i="1"/>
  <c r="AH59" i="1"/>
  <c r="AF60" i="1"/>
  <c r="AG60" i="1"/>
  <c r="AH60" i="1"/>
  <c r="AF61" i="1"/>
  <c r="AG61" i="1"/>
  <c r="AH61" i="1"/>
  <c r="AF62" i="1"/>
  <c r="AG62" i="1"/>
  <c r="AH62" i="1"/>
  <c r="AF63" i="1"/>
  <c r="AG63" i="1"/>
  <c r="AH63" i="1"/>
  <c r="AF64" i="1"/>
  <c r="AG64" i="1"/>
  <c r="AH64" i="1"/>
  <c r="AF65" i="1"/>
  <c r="AG65" i="1"/>
  <c r="AH65" i="1"/>
  <c r="AF66" i="1"/>
  <c r="AG66" i="1"/>
  <c r="AH66" i="1"/>
  <c r="AF67" i="1"/>
  <c r="AG67" i="1"/>
  <c r="AH67" i="1"/>
  <c r="AF68" i="1"/>
  <c r="AG68" i="1"/>
  <c r="AH68" i="1"/>
  <c r="AF69" i="1"/>
  <c r="AG69" i="1"/>
  <c r="AH69" i="1"/>
  <c r="AF70" i="1"/>
  <c r="AG70" i="1"/>
  <c r="AH70" i="1"/>
  <c r="AF71" i="1"/>
  <c r="AG71" i="1"/>
  <c r="AH71" i="1"/>
  <c r="AF72" i="1"/>
  <c r="AG72" i="1"/>
  <c r="AH72" i="1"/>
  <c r="AF73" i="1"/>
  <c r="AG73" i="1"/>
  <c r="AH73" i="1"/>
  <c r="AF74" i="1"/>
  <c r="AG74" i="1"/>
  <c r="AH74" i="1"/>
  <c r="AF75" i="1"/>
  <c r="AG75" i="1"/>
  <c r="AH75" i="1"/>
  <c r="AF76" i="1"/>
  <c r="AG76" i="1"/>
  <c r="AH76" i="1"/>
  <c r="AF77" i="1"/>
  <c r="AG77" i="1"/>
  <c r="AH77" i="1"/>
  <c r="AF78" i="1"/>
  <c r="AG78" i="1"/>
  <c r="AH78" i="1"/>
  <c r="AF79" i="1"/>
  <c r="AG79" i="1"/>
  <c r="AH79" i="1"/>
  <c r="AF80" i="1"/>
  <c r="AG80" i="1"/>
  <c r="AH80" i="1"/>
  <c r="AF81" i="1"/>
  <c r="AG81" i="1"/>
  <c r="AH81" i="1"/>
  <c r="AF82" i="1"/>
  <c r="AG82" i="1"/>
  <c r="AH82" i="1"/>
  <c r="AF83" i="1"/>
  <c r="AG83" i="1"/>
  <c r="AH83" i="1"/>
  <c r="AF84" i="1"/>
  <c r="AG84" i="1"/>
  <c r="AH84" i="1"/>
  <c r="AF85" i="1"/>
  <c r="AG85" i="1"/>
  <c r="AH85" i="1"/>
  <c r="AF86" i="1"/>
  <c r="AG86" i="1"/>
  <c r="AH86" i="1"/>
  <c r="AF87" i="1"/>
  <c r="AG87" i="1"/>
  <c r="AH87" i="1"/>
  <c r="AF88" i="1"/>
  <c r="AG88" i="1"/>
  <c r="AH88" i="1"/>
  <c r="AF89" i="1"/>
  <c r="AG89" i="1"/>
  <c r="AH89" i="1"/>
  <c r="AF90" i="1"/>
  <c r="AG90" i="1"/>
  <c r="AH90" i="1"/>
  <c r="AF91" i="1"/>
  <c r="AG91" i="1"/>
  <c r="AH91" i="1"/>
  <c r="AF92" i="1"/>
  <c r="AG92" i="1"/>
  <c r="AH92" i="1"/>
  <c r="AF93" i="1"/>
  <c r="AG93" i="1"/>
  <c r="AH93" i="1"/>
  <c r="AF94" i="1"/>
  <c r="AG94" i="1"/>
  <c r="AH94" i="1"/>
  <c r="AF95" i="1"/>
  <c r="AG95" i="1"/>
  <c r="AH95" i="1"/>
  <c r="AF96" i="1"/>
  <c r="AG96" i="1"/>
  <c r="AH96" i="1"/>
  <c r="AF97" i="1"/>
  <c r="AG97" i="1"/>
  <c r="AH97" i="1"/>
  <c r="AF98" i="1"/>
  <c r="AG98" i="1"/>
  <c r="AH98" i="1"/>
  <c r="AF99" i="1"/>
  <c r="AG99" i="1"/>
  <c r="AH99" i="1"/>
  <c r="AF100" i="1"/>
  <c r="AG100" i="1"/>
  <c r="AH100" i="1"/>
  <c r="AF101" i="1"/>
  <c r="AG101" i="1"/>
  <c r="AH101" i="1"/>
  <c r="AF102" i="1"/>
  <c r="AG102" i="1"/>
  <c r="AH102" i="1"/>
  <c r="AF103" i="1"/>
  <c r="AG103" i="1"/>
  <c r="AH103" i="1"/>
  <c r="AF104" i="1"/>
  <c r="AG104" i="1"/>
  <c r="AH104" i="1"/>
  <c r="AF105" i="1"/>
  <c r="AG105" i="1"/>
  <c r="AH105" i="1"/>
  <c r="AF106" i="1"/>
  <c r="AG106" i="1"/>
  <c r="AH106" i="1"/>
  <c r="AF107" i="1"/>
  <c r="AG107" i="1"/>
  <c r="AH107" i="1"/>
  <c r="AF108" i="1"/>
  <c r="AG108" i="1"/>
  <c r="AH108" i="1"/>
  <c r="AF109" i="1"/>
  <c r="AG109" i="1"/>
  <c r="AH109" i="1"/>
  <c r="AF110" i="1"/>
  <c r="AG110" i="1"/>
  <c r="AH110" i="1"/>
  <c r="AF111" i="1"/>
  <c r="AG111" i="1"/>
  <c r="AH111" i="1"/>
  <c r="AF112" i="1"/>
  <c r="AG112" i="1"/>
  <c r="AH112" i="1"/>
  <c r="AF113" i="1"/>
  <c r="AG113" i="1"/>
  <c r="AH113" i="1"/>
  <c r="AF114" i="1"/>
  <c r="AG114" i="1"/>
  <c r="AH114" i="1"/>
  <c r="AF115" i="1"/>
  <c r="AG115" i="1"/>
  <c r="AH115" i="1"/>
  <c r="AF116" i="1"/>
  <c r="AG116" i="1"/>
  <c r="AH116" i="1"/>
  <c r="AF117" i="1"/>
  <c r="AG117" i="1"/>
  <c r="AH117" i="1"/>
  <c r="AF118" i="1"/>
  <c r="AG118" i="1"/>
  <c r="AH118" i="1"/>
  <c r="AF119" i="1"/>
  <c r="AG119" i="1"/>
  <c r="AH119" i="1"/>
  <c r="AF120" i="1"/>
  <c r="AG120" i="1"/>
  <c r="AH120" i="1"/>
  <c r="AF121" i="1"/>
  <c r="AG121" i="1"/>
  <c r="AH121" i="1"/>
  <c r="AF122" i="1"/>
  <c r="AG122" i="1"/>
  <c r="AH122" i="1"/>
  <c r="AF123" i="1"/>
  <c r="AG123" i="1"/>
  <c r="AH123" i="1"/>
  <c r="AF124" i="1"/>
  <c r="AG124" i="1"/>
  <c r="AH124" i="1"/>
  <c r="AF125" i="1"/>
  <c r="AG125" i="1"/>
  <c r="AH125" i="1"/>
  <c r="AF126" i="1"/>
  <c r="AG126" i="1"/>
  <c r="AH126" i="1"/>
  <c r="AF127" i="1"/>
  <c r="AG127" i="1"/>
  <c r="AH127" i="1"/>
  <c r="AF128" i="1"/>
  <c r="AG128" i="1"/>
  <c r="AH128" i="1"/>
  <c r="AF129" i="1"/>
  <c r="AG129" i="1"/>
  <c r="AH129" i="1"/>
  <c r="AF130" i="1"/>
  <c r="AG130" i="1"/>
  <c r="AH130" i="1"/>
  <c r="AF131" i="1"/>
  <c r="AG131" i="1"/>
  <c r="AH131" i="1"/>
  <c r="AF132" i="1"/>
  <c r="AG132" i="1"/>
  <c r="AH132" i="1"/>
  <c r="AF133" i="1"/>
  <c r="AG133" i="1"/>
  <c r="AH133" i="1"/>
  <c r="AF134" i="1"/>
  <c r="AG134" i="1"/>
  <c r="AH134" i="1"/>
  <c r="AF135" i="1"/>
  <c r="AG135" i="1"/>
  <c r="AH135" i="1"/>
  <c r="AF136" i="1"/>
  <c r="AG136" i="1"/>
  <c r="AH136" i="1"/>
  <c r="AF137" i="1"/>
  <c r="AG137" i="1"/>
  <c r="AH137" i="1"/>
  <c r="AF138" i="1"/>
  <c r="AG138" i="1"/>
  <c r="AH138" i="1"/>
  <c r="AF139" i="1"/>
  <c r="AG139" i="1"/>
  <c r="AH139" i="1"/>
  <c r="AF140" i="1"/>
  <c r="AG140" i="1"/>
  <c r="AH140" i="1"/>
  <c r="AF141" i="1"/>
  <c r="AG141" i="1"/>
  <c r="AH141" i="1"/>
  <c r="AF142" i="1"/>
  <c r="AG142" i="1"/>
  <c r="AH142" i="1"/>
  <c r="AF143" i="1"/>
  <c r="AG143" i="1"/>
  <c r="AH143" i="1"/>
  <c r="AF144" i="1"/>
  <c r="AG144" i="1"/>
  <c r="AH144" i="1"/>
  <c r="AF145" i="1"/>
  <c r="AG145" i="1"/>
  <c r="AH145" i="1"/>
  <c r="AF146" i="1"/>
  <c r="AG146" i="1"/>
  <c r="AH146" i="1"/>
  <c r="AF147" i="1"/>
  <c r="AG147" i="1"/>
  <c r="AH147" i="1"/>
  <c r="AF148" i="1"/>
  <c r="AG148" i="1"/>
  <c r="AH148" i="1"/>
  <c r="AF149" i="1"/>
  <c r="AG149" i="1"/>
  <c r="AH149" i="1"/>
  <c r="AF150" i="1"/>
  <c r="AG150" i="1"/>
  <c r="AH150" i="1"/>
  <c r="AF151" i="1"/>
  <c r="AG151" i="1"/>
  <c r="AH151" i="1"/>
  <c r="AF152" i="1"/>
  <c r="AG152" i="1"/>
  <c r="AH152" i="1"/>
  <c r="AF153" i="1"/>
  <c r="AG153" i="1"/>
  <c r="AH153" i="1"/>
  <c r="AF154" i="1"/>
  <c r="AG154" i="1"/>
  <c r="AH154" i="1"/>
  <c r="AF155" i="1"/>
  <c r="AG155" i="1"/>
  <c r="AH155" i="1"/>
  <c r="AF156" i="1"/>
  <c r="AG156" i="1"/>
  <c r="AH156" i="1"/>
  <c r="AF157" i="1"/>
  <c r="AG157" i="1"/>
  <c r="AH157" i="1"/>
  <c r="AF158" i="1"/>
  <c r="AG158" i="1"/>
  <c r="AH158" i="1"/>
  <c r="AF159" i="1"/>
  <c r="AG159" i="1"/>
  <c r="AH159" i="1"/>
  <c r="AF160" i="1"/>
  <c r="AG160" i="1"/>
  <c r="AH160" i="1"/>
  <c r="AF161" i="1"/>
  <c r="AG161" i="1"/>
  <c r="AH161" i="1"/>
  <c r="AF162" i="1"/>
  <c r="AG162" i="1"/>
  <c r="AH162" i="1"/>
  <c r="AF163" i="1"/>
  <c r="AG163" i="1"/>
  <c r="AH163" i="1"/>
  <c r="AF164" i="1"/>
  <c r="AG164" i="1"/>
  <c r="AH164" i="1"/>
  <c r="AF165" i="1"/>
  <c r="AG165" i="1"/>
  <c r="AH165" i="1"/>
  <c r="AF166" i="1"/>
  <c r="AG166" i="1"/>
  <c r="AH166" i="1"/>
  <c r="AF167" i="1"/>
  <c r="AG167" i="1"/>
  <c r="AH167" i="1"/>
  <c r="AF168" i="1"/>
  <c r="AG168" i="1"/>
  <c r="AH168" i="1"/>
  <c r="AF169" i="1"/>
  <c r="AG169" i="1"/>
  <c r="AH169" i="1"/>
  <c r="AF170" i="1"/>
  <c r="AG170" i="1"/>
  <c r="AH170" i="1"/>
  <c r="AF171" i="1"/>
  <c r="AG171" i="1"/>
  <c r="AH171" i="1"/>
  <c r="AF172" i="1"/>
  <c r="AG172" i="1"/>
  <c r="AH172" i="1"/>
  <c r="AF173" i="1"/>
  <c r="AG173" i="1"/>
  <c r="AH173" i="1"/>
  <c r="AF174" i="1"/>
  <c r="AG174" i="1"/>
  <c r="AH174" i="1"/>
  <c r="AF175" i="1"/>
  <c r="AG175" i="1"/>
  <c r="AH175" i="1"/>
  <c r="AF176" i="1"/>
  <c r="AG176" i="1"/>
  <c r="AH176" i="1"/>
  <c r="AF177" i="1"/>
  <c r="AG177" i="1"/>
  <c r="AH177" i="1"/>
  <c r="AF178" i="1"/>
  <c r="AG178" i="1"/>
  <c r="AH178" i="1"/>
  <c r="AF179" i="1"/>
  <c r="AG179" i="1"/>
  <c r="AH179" i="1"/>
  <c r="AF180" i="1"/>
  <c r="AG180" i="1"/>
  <c r="AH180" i="1"/>
  <c r="AF181" i="1"/>
  <c r="AG181" i="1"/>
  <c r="AH181" i="1"/>
  <c r="AF182" i="1"/>
  <c r="AG182" i="1"/>
  <c r="AH182" i="1"/>
  <c r="AF183" i="1"/>
  <c r="AG183" i="1"/>
  <c r="AH183" i="1"/>
  <c r="AF184" i="1"/>
  <c r="AG184" i="1"/>
  <c r="AH184" i="1"/>
  <c r="AF185" i="1"/>
  <c r="AG185" i="1"/>
  <c r="AH185" i="1"/>
  <c r="AF186" i="1"/>
  <c r="AG186" i="1"/>
  <c r="AH186" i="1"/>
  <c r="AF187" i="1"/>
  <c r="AG187" i="1"/>
  <c r="AH187" i="1"/>
  <c r="AF188" i="1"/>
  <c r="AG188" i="1"/>
  <c r="AH188" i="1"/>
  <c r="AF189" i="1"/>
  <c r="AG189" i="1"/>
  <c r="AH189" i="1"/>
  <c r="AF190" i="1"/>
  <c r="AG190" i="1"/>
  <c r="AH190" i="1"/>
  <c r="AF191" i="1"/>
  <c r="AG191" i="1"/>
  <c r="AH191" i="1"/>
  <c r="AF192" i="1"/>
  <c r="AG192" i="1"/>
  <c r="AH192" i="1"/>
  <c r="AF193" i="1"/>
  <c r="AG193" i="1"/>
  <c r="AH193" i="1"/>
  <c r="AF194" i="1"/>
  <c r="AG194" i="1"/>
  <c r="AH194" i="1"/>
  <c r="AF195" i="1"/>
  <c r="AG195" i="1"/>
  <c r="AH195" i="1"/>
  <c r="AF196" i="1"/>
  <c r="AG196" i="1"/>
  <c r="AH196" i="1"/>
  <c r="AF197" i="1"/>
  <c r="AG197" i="1"/>
  <c r="AH197" i="1"/>
  <c r="AF198" i="1"/>
  <c r="AG198" i="1"/>
  <c r="AH198" i="1"/>
  <c r="AF199" i="1"/>
  <c r="AG199" i="1"/>
  <c r="AH199" i="1"/>
  <c r="AF200" i="1"/>
  <c r="AG200" i="1"/>
  <c r="AH200" i="1"/>
  <c r="AF201" i="1"/>
  <c r="AG201" i="1"/>
  <c r="AH201" i="1"/>
  <c r="AF202" i="1"/>
  <c r="AG202" i="1"/>
  <c r="AH202" i="1"/>
  <c r="AF3" i="1"/>
  <c r="AG3" i="1"/>
  <c r="AH3" i="1"/>
  <c r="AB4" i="1"/>
  <c r="AC4" i="1"/>
  <c r="AD4" i="1"/>
  <c r="AB5" i="1"/>
  <c r="AC5" i="1"/>
  <c r="AD5" i="1"/>
  <c r="AB6" i="1"/>
  <c r="AC6" i="1"/>
  <c r="AD6" i="1"/>
  <c r="AB7" i="1"/>
  <c r="AC7" i="1"/>
  <c r="AD7" i="1"/>
  <c r="AB8" i="1"/>
  <c r="AC8" i="1"/>
  <c r="AD8" i="1"/>
  <c r="AB9" i="1"/>
  <c r="AC9" i="1"/>
  <c r="AD9" i="1"/>
  <c r="AB10" i="1"/>
  <c r="AC10" i="1"/>
  <c r="AD10" i="1"/>
  <c r="AB11" i="1"/>
  <c r="AC11" i="1"/>
  <c r="AD11" i="1"/>
  <c r="AB12" i="1"/>
  <c r="AC12" i="1"/>
  <c r="AD12" i="1"/>
  <c r="AB13" i="1"/>
  <c r="AC13" i="1"/>
  <c r="AD13" i="1"/>
  <c r="AB14" i="1"/>
  <c r="AC14" i="1"/>
  <c r="AD14" i="1"/>
  <c r="AB15" i="1"/>
  <c r="AC15" i="1"/>
  <c r="AD15" i="1"/>
  <c r="AB16" i="1"/>
  <c r="AC16" i="1"/>
  <c r="AD16" i="1"/>
  <c r="AB17" i="1"/>
  <c r="AC17" i="1"/>
  <c r="AD17" i="1"/>
  <c r="AB18" i="1"/>
  <c r="AC18" i="1"/>
  <c r="AD18" i="1"/>
  <c r="AB19" i="1"/>
  <c r="AC19" i="1"/>
  <c r="AD19" i="1"/>
  <c r="AB20" i="1"/>
  <c r="AC20" i="1"/>
  <c r="AD20" i="1"/>
  <c r="AB21" i="1"/>
  <c r="AC21" i="1"/>
  <c r="AD21" i="1"/>
  <c r="AB22" i="1"/>
  <c r="AC22" i="1"/>
  <c r="AD22" i="1"/>
  <c r="AB23" i="1"/>
  <c r="AC23" i="1"/>
  <c r="AD23" i="1"/>
  <c r="AB24" i="1"/>
  <c r="AC24" i="1"/>
  <c r="AD24" i="1"/>
  <c r="AB25" i="1"/>
  <c r="AC25" i="1"/>
  <c r="AD25" i="1"/>
  <c r="AB26" i="1"/>
  <c r="AC26" i="1"/>
  <c r="AD26" i="1"/>
  <c r="AB27" i="1"/>
  <c r="AC27" i="1"/>
  <c r="AD27" i="1"/>
  <c r="AB28" i="1"/>
  <c r="AC28" i="1"/>
  <c r="AD28" i="1"/>
  <c r="AB29" i="1"/>
  <c r="AC29" i="1"/>
  <c r="AD29" i="1"/>
  <c r="AB30" i="1"/>
  <c r="AC30" i="1"/>
  <c r="AD30" i="1"/>
  <c r="AB31" i="1"/>
  <c r="AC31" i="1"/>
  <c r="AD31" i="1"/>
  <c r="AB32" i="1"/>
  <c r="AC32" i="1"/>
  <c r="AD32" i="1"/>
  <c r="AB33" i="1"/>
  <c r="AC33" i="1"/>
  <c r="AD33" i="1"/>
  <c r="AB34" i="1"/>
  <c r="AC34" i="1"/>
  <c r="AD34" i="1"/>
  <c r="AB35" i="1"/>
  <c r="AC35" i="1"/>
  <c r="AD35" i="1"/>
  <c r="AB36" i="1"/>
  <c r="AC36" i="1"/>
  <c r="AD36" i="1"/>
  <c r="AB37" i="1"/>
  <c r="AC37" i="1"/>
  <c r="AD37" i="1"/>
  <c r="AB38" i="1"/>
  <c r="AC38" i="1"/>
  <c r="AD38" i="1"/>
  <c r="AB39" i="1"/>
  <c r="AC39" i="1"/>
  <c r="AD39" i="1"/>
  <c r="AB40" i="1"/>
  <c r="AC40" i="1"/>
  <c r="AD40" i="1"/>
  <c r="AB41" i="1"/>
  <c r="AC41" i="1"/>
  <c r="AD41" i="1"/>
  <c r="AB42" i="1"/>
  <c r="AC42" i="1"/>
  <c r="AD42" i="1"/>
  <c r="AB43" i="1"/>
  <c r="AC43" i="1"/>
  <c r="AD43" i="1"/>
  <c r="AB44" i="1"/>
  <c r="AC44" i="1"/>
  <c r="AD44" i="1"/>
  <c r="AB45" i="1"/>
  <c r="AC45" i="1"/>
  <c r="AD45" i="1"/>
  <c r="AB46" i="1"/>
  <c r="AC46" i="1"/>
  <c r="AD46" i="1"/>
  <c r="AB47" i="1"/>
  <c r="AC47" i="1"/>
  <c r="AD47" i="1"/>
  <c r="AB48" i="1"/>
  <c r="AC48" i="1"/>
  <c r="AD48" i="1"/>
  <c r="AB49" i="1"/>
  <c r="AC49" i="1"/>
  <c r="AD49" i="1"/>
  <c r="AB50" i="1"/>
  <c r="AC50" i="1"/>
  <c r="AD50" i="1"/>
  <c r="AB51" i="1"/>
  <c r="AC51" i="1"/>
  <c r="AD51" i="1"/>
  <c r="AB52" i="1"/>
  <c r="AC52" i="1"/>
  <c r="AD52" i="1"/>
  <c r="AB53" i="1"/>
  <c r="AC53" i="1"/>
  <c r="AD53" i="1"/>
  <c r="AB54" i="1"/>
  <c r="AC54" i="1"/>
  <c r="AD54" i="1"/>
  <c r="AB55" i="1"/>
  <c r="AC55" i="1"/>
  <c r="AD55" i="1"/>
  <c r="AB56" i="1"/>
  <c r="AC56" i="1"/>
  <c r="AD56" i="1"/>
  <c r="AB57" i="1"/>
  <c r="AC57" i="1"/>
  <c r="AD57" i="1"/>
  <c r="AB58" i="1"/>
  <c r="AC58" i="1"/>
  <c r="AD58" i="1"/>
  <c r="AB59" i="1"/>
  <c r="AC59" i="1"/>
  <c r="AD59" i="1"/>
  <c r="AB60" i="1"/>
  <c r="AC60" i="1"/>
  <c r="AD60" i="1"/>
  <c r="AB61" i="1"/>
  <c r="AC61" i="1"/>
  <c r="AD61" i="1"/>
  <c r="AB62" i="1"/>
  <c r="AC62" i="1"/>
  <c r="AD62" i="1"/>
  <c r="AB63" i="1"/>
  <c r="AC63" i="1"/>
  <c r="AD63" i="1"/>
  <c r="AB64" i="1"/>
  <c r="AC64" i="1"/>
  <c r="AD64" i="1"/>
  <c r="AB65" i="1"/>
  <c r="AC65" i="1"/>
  <c r="AD65" i="1"/>
  <c r="AB66" i="1"/>
  <c r="AC66" i="1"/>
  <c r="AD66" i="1"/>
  <c r="AB67" i="1"/>
  <c r="AC67" i="1"/>
  <c r="AD67" i="1"/>
  <c r="AB68" i="1"/>
  <c r="AC68" i="1"/>
  <c r="AD68" i="1"/>
  <c r="AB69" i="1"/>
  <c r="AC69" i="1"/>
  <c r="AD69" i="1"/>
  <c r="AB70" i="1"/>
  <c r="AC70" i="1"/>
  <c r="AD70" i="1"/>
  <c r="AB71" i="1"/>
  <c r="AC71" i="1"/>
  <c r="AD71" i="1"/>
  <c r="AB72" i="1"/>
  <c r="AC72" i="1"/>
  <c r="AD72" i="1"/>
  <c r="AB73" i="1"/>
  <c r="AC73" i="1"/>
  <c r="AD73" i="1"/>
  <c r="AB74" i="1"/>
  <c r="AC74" i="1"/>
  <c r="AD74" i="1"/>
  <c r="AB75" i="1"/>
  <c r="AC75" i="1"/>
  <c r="AD75" i="1"/>
  <c r="AB76" i="1"/>
  <c r="AC76" i="1"/>
  <c r="AD76" i="1"/>
  <c r="AB77" i="1"/>
  <c r="AC77" i="1"/>
  <c r="AD77" i="1"/>
  <c r="AB78" i="1"/>
  <c r="AC78" i="1"/>
  <c r="AD78" i="1"/>
  <c r="AB79" i="1"/>
  <c r="AC79" i="1"/>
  <c r="AD79" i="1"/>
  <c r="AB80" i="1"/>
  <c r="AC80" i="1"/>
  <c r="AD80" i="1"/>
  <c r="AB81" i="1"/>
  <c r="AC81" i="1"/>
  <c r="AD81" i="1"/>
  <c r="AB82" i="1"/>
  <c r="AC82" i="1"/>
  <c r="AD82" i="1"/>
  <c r="AB83" i="1"/>
  <c r="AC83" i="1"/>
  <c r="AD83" i="1"/>
  <c r="AB84" i="1"/>
  <c r="AC84" i="1"/>
  <c r="AD84" i="1"/>
  <c r="AB85" i="1"/>
  <c r="AC85" i="1"/>
  <c r="AD85" i="1"/>
  <c r="AB86" i="1"/>
  <c r="AC86" i="1"/>
  <c r="AD86" i="1"/>
  <c r="AB87" i="1"/>
  <c r="AC87" i="1"/>
  <c r="AD87" i="1"/>
  <c r="AB88" i="1"/>
  <c r="AC88" i="1"/>
  <c r="AD88" i="1"/>
  <c r="AB89" i="1"/>
  <c r="AC89" i="1"/>
  <c r="AD89" i="1"/>
  <c r="AB90" i="1"/>
  <c r="AC90" i="1"/>
  <c r="AD90" i="1"/>
  <c r="AB91" i="1"/>
  <c r="AC91" i="1"/>
  <c r="AD91" i="1"/>
  <c r="AB92" i="1"/>
  <c r="AC92" i="1"/>
  <c r="AD92" i="1"/>
  <c r="AB93" i="1"/>
  <c r="AC93" i="1"/>
  <c r="AD93" i="1"/>
  <c r="AB94" i="1"/>
  <c r="AC94" i="1"/>
  <c r="AD94" i="1"/>
  <c r="AB95" i="1"/>
  <c r="AC95" i="1"/>
  <c r="AD95" i="1"/>
  <c r="AB96" i="1"/>
  <c r="AC96" i="1"/>
  <c r="AD96" i="1"/>
  <c r="AB97" i="1"/>
  <c r="AC97" i="1"/>
  <c r="AD97" i="1"/>
  <c r="AB98" i="1"/>
  <c r="AC98" i="1"/>
  <c r="AD98" i="1"/>
  <c r="AB99" i="1"/>
  <c r="AC99" i="1"/>
  <c r="AD99" i="1"/>
  <c r="AB100" i="1"/>
  <c r="AC100" i="1"/>
  <c r="AD100" i="1"/>
  <c r="AB101" i="1"/>
  <c r="AC101" i="1"/>
  <c r="AD101" i="1"/>
  <c r="AB102" i="1"/>
  <c r="AC102" i="1"/>
  <c r="AD102" i="1"/>
  <c r="AB103" i="1"/>
  <c r="AC103" i="1"/>
  <c r="AD103" i="1"/>
  <c r="AB104" i="1"/>
  <c r="AC104" i="1"/>
  <c r="AD104" i="1"/>
  <c r="AB105" i="1"/>
  <c r="AC105" i="1"/>
  <c r="AD105" i="1"/>
  <c r="AB106" i="1"/>
  <c r="AC106" i="1"/>
  <c r="AD106" i="1"/>
  <c r="AB107" i="1"/>
  <c r="AC107" i="1"/>
  <c r="AD107" i="1"/>
  <c r="AB108" i="1"/>
  <c r="AC108" i="1"/>
  <c r="AD108" i="1"/>
  <c r="AB109" i="1"/>
  <c r="AC109" i="1"/>
  <c r="AD109" i="1"/>
  <c r="AB110" i="1"/>
  <c r="AC110" i="1"/>
  <c r="AD110" i="1"/>
  <c r="AB111" i="1"/>
  <c r="AC111" i="1"/>
  <c r="AD111" i="1"/>
  <c r="AB112" i="1"/>
  <c r="AC112" i="1"/>
  <c r="AD112" i="1"/>
  <c r="AB113" i="1"/>
  <c r="AC113" i="1"/>
  <c r="AD113" i="1"/>
  <c r="AB114" i="1"/>
  <c r="AC114" i="1"/>
  <c r="AD114" i="1"/>
  <c r="AB115" i="1"/>
  <c r="AC115" i="1"/>
  <c r="AD115" i="1"/>
  <c r="AB116" i="1"/>
  <c r="AC116" i="1"/>
  <c r="AD116" i="1"/>
  <c r="AB117" i="1"/>
  <c r="AC117" i="1"/>
  <c r="AD117" i="1"/>
  <c r="AB118" i="1"/>
  <c r="AC118" i="1"/>
  <c r="AD118" i="1"/>
  <c r="AB119" i="1"/>
  <c r="AC119" i="1"/>
  <c r="AD119" i="1"/>
  <c r="AB120" i="1"/>
  <c r="AC120" i="1"/>
  <c r="AD120" i="1"/>
  <c r="AB121" i="1"/>
  <c r="AC121" i="1"/>
  <c r="AD121" i="1"/>
  <c r="AB122" i="1"/>
  <c r="AC122" i="1"/>
  <c r="AD122" i="1"/>
  <c r="AB123" i="1"/>
  <c r="AC123" i="1"/>
  <c r="AD123" i="1"/>
  <c r="AB124" i="1"/>
  <c r="AC124" i="1"/>
  <c r="AD124" i="1"/>
  <c r="AB125" i="1"/>
  <c r="AC125" i="1"/>
  <c r="AD125" i="1"/>
  <c r="AB126" i="1"/>
  <c r="AC126" i="1"/>
  <c r="AD126" i="1"/>
  <c r="AB127" i="1"/>
  <c r="AC127" i="1"/>
  <c r="AD127" i="1"/>
  <c r="AB128" i="1"/>
  <c r="AC128" i="1"/>
  <c r="AD128" i="1"/>
  <c r="AB129" i="1"/>
  <c r="AC129" i="1"/>
  <c r="AD129" i="1"/>
  <c r="AB130" i="1"/>
  <c r="AC130" i="1"/>
  <c r="AD130" i="1"/>
  <c r="AB131" i="1"/>
  <c r="AC131" i="1"/>
  <c r="AD131" i="1"/>
  <c r="AB132" i="1"/>
  <c r="AC132" i="1"/>
  <c r="AD132" i="1"/>
  <c r="AB133" i="1"/>
  <c r="AC133" i="1"/>
  <c r="AD133" i="1"/>
  <c r="AB134" i="1"/>
  <c r="AC134" i="1"/>
  <c r="AD134" i="1"/>
  <c r="AB135" i="1"/>
  <c r="AC135" i="1"/>
  <c r="AD135" i="1"/>
  <c r="AB136" i="1"/>
  <c r="AC136" i="1"/>
  <c r="AD136" i="1"/>
  <c r="AB137" i="1"/>
  <c r="AC137" i="1"/>
  <c r="AD137" i="1"/>
  <c r="AB138" i="1"/>
  <c r="AC138" i="1"/>
  <c r="AD138" i="1"/>
  <c r="AB139" i="1"/>
  <c r="AC139" i="1"/>
  <c r="AD139" i="1"/>
  <c r="AB140" i="1"/>
  <c r="AC140" i="1"/>
  <c r="AD140" i="1"/>
  <c r="AB141" i="1"/>
  <c r="AC141" i="1"/>
  <c r="AD141" i="1"/>
  <c r="AB142" i="1"/>
  <c r="AC142" i="1"/>
  <c r="AD142" i="1"/>
  <c r="AB143" i="1"/>
  <c r="AC143" i="1"/>
  <c r="AD143" i="1"/>
  <c r="AB144" i="1"/>
  <c r="AC144" i="1"/>
  <c r="AD144" i="1"/>
  <c r="AB145" i="1"/>
  <c r="AC145" i="1"/>
  <c r="AD145" i="1"/>
  <c r="AB146" i="1"/>
  <c r="AC146" i="1"/>
  <c r="AD146" i="1"/>
  <c r="AB147" i="1"/>
  <c r="AC147" i="1"/>
  <c r="AD147" i="1"/>
  <c r="AB148" i="1"/>
  <c r="AC148" i="1"/>
  <c r="AD148" i="1"/>
  <c r="AB149" i="1"/>
  <c r="AC149" i="1"/>
  <c r="AD149" i="1"/>
  <c r="AB150" i="1"/>
  <c r="AC150" i="1"/>
  <c r="AD150" i="1"/>
  <c r="AB151" i="1"/>
  <c r="AC151" i="1"/>
  <c r="AD151" i="1"/>
  <c r="AB152" i="1"/>
  <c r="AC152" i="1"/>
  <c r="AD152" i="1"/>
  <c r="AB153" i="1"/>
  <c r="AC153" i="1"/>
  <c r="AD153" i="1"/>
  <c r="AB154" i="1"/>
  <c r="AC154" i="1"/>
  <c r="AD154" i="1"/>
  <c r="AB155" i="1"/>
  <c r="AC155" i="1"/>
  <c r="AD155" i="1"/>
  <c r="AB156" i="1"/>
  <c r="AC156" i="1"/>
  <c r="AD156" i="1"/>
  <c r="AB157" i="1"/>
  <c r="AC157" i="1"/>
  <c r="AD157" i="1"/>
  <c r="AB158" i="1"/>
  <c r="AC158" i="1"/>
  <c r="AD158" i="1"/>
  <c r="AB159" i="1"/>
  <c r="AC159" i="1"/>
  <c r="AD159" i="1"/>
  <c r="AB160" i="1"/>
  <c r="AC160" i="1"/>
  <c r="AD160" i="1"/>
  <c r="AB161" i="1"/>
  <c r="AC161" i="1"/>
  <c r="AD161" i="1"/>
  <c r="AB162" i="1"/>
  <c r="AC162" i="1"/>
  <c r="AD162" i="1"/>
  <c r="AB163" i="1"/>
  <c r="AC163" i="1"/>
  <c r="AD163" i="1"/>
  <c r="AB164" i="1"/>
  <c r="AC164" i="1"/>
  <c r="AD164" i="1"/>
  <c r="AB165" i="1"/>
  <c r="AC165" i="1"/>
  <c r="AD165" i="1"/>
  <c r="AB166" i="1"/>
  <c r="AC166" i="1"/>
  <c r="AD166" i="1"/>
  <c r="AB167" i="1"/>
  <c r="AC167" i="1"/>
  <c r="AD167" i="1"/>
  <c r="AB168" i="1"/>
  <c r="AC168" i="1"/>
  <c r="AD168" i="1"/>
  <c r="AB169" i="1"/>
  <c r="AC169" i="1"/>
  <c r="AD169" i="1"/>
  <c r="AB170" i="1"/>
  <c r="AC170" i="1"/>
  <c r="AD170" i="1"/>
  <c r="AB171" i="1"/>
  <c r="AC171" i="1"/>
  <c r="AD171" i="1"/>
  <c r="AB172" i="1"/>
  <c r="AC172" i="1"/>
  <c r="AD172" i="1"/>
  <c r="AB173" i="1"/>
  <c r="AC173" i="1"/>
  <c r="AD173" i="1"/>
  <c r="AB174" i="1"/>
  <c r="AC174" i="1"/>
  <c r="AD174" i="1"/>
  <c r="AB175" i="1"/>
  <c r="AC175" i="1"/>
  <c r="AD175" i="1"/>
  <c r="AB176" i="1"/>
  <c r="AC176" i="1"/>
  <c r="AD176" i="1"/>
  <c r="AB177" i="1"/>
  <c r="AC177" i="1"/>
  <c r="AD177" i="1"/>
  <c r="AB178" i="1"/>
  <c r="AC178" i="1"/>
  <c r="AD178" i="1"/>
  <c r="AB179" i="1"/>
  <c r="AC179" i="1"/>
  <c r="AD179" i="1"/>
  <c r="AB180" i="1"/>
  <c r="AC180" i="1"/>
  <c r="AD180" i="1"/>
  <c r="AB181" i="1"/>
  <c r="AC181" i="1"/>
  <c r="AD181" i="1"/>
  <c r="AB182" i="1"/>
  <c r="AC182" i="1"/>
  <c r="AD182" i="1"/>
  <c r="AB183" i="1"/>
  <c r="AC183" i="1"/>
  <c r="AD183" i="1"/>
  <c r="AB184" i="1"/>
  <c r="AC184" i="1"/>
  <c r="AD184" i="1"/>
  <c r="AB185" i="1"/>
  <c r="AC185" i="1"/>
  <c r="AD185" i="1"/>
  <c r="AB186" i="1"/>
  <c r="AC186" i="1"/>
  <c r="AD186" i="1"/>
  <c r="AB187" i="1"/>
  <c r="AC187" i="1"/>
  <c r="AD187" i="1"/>
  <c r="AB188" i="1"/>
  <c r="AC188" i="1"/>
  <c r="AD188" i="1"/>
  <c r="AB189" i="1"/>
  <c r="AC189" i="1"/>
  <c r="AD189" i="1"/>
  <c r="AB190" i="1"/>
  <c r="AC190" i="1"/>
  <c r="AD190" i="1"/>
  <c r="AB191" i="1"/>
  <c r="AC191" i="1"/>
  <c r="AD191" i="1"/>
  <c r="AB192" i="1"/>
  <c r="AC192" i="1"/>
  <c r="AD192" i="1"/>
  <c r="AB193" i="1"/>
  <c r="AC193" i="1"/>
  <c r="AD193" i="1"/>
  <c r="AB194" i="1"/>
  <c r="AC194" i="1"/>
  <c r="AD194" i="1"/>
  <c r="AB195" i="1"/>
  <c r="AC195" i="1"/>
  <c r="AD195" i="1"/>
  <c r="AB196" i="1"/>
  <c r="AC196" i="1"/>
  <c r="AD196" i="1"/>
  <c r="AB197" i="1"/>
  <c r="AC197" i="1"/>
  <c r="AD197" i="1"/>
  <c r="AB198" i="1"/>
  <c r="AC198" i="1"/>
  <c r="AD198" i="1"/>
  <c r="AB199" i="1"/>
  <c r="AC199" i="1"/>
  <c r="AD199" i="1"/>
  <c r="AB200" i="1"/>
  <c r="AC200" i="1"/>
  <c r="AD200" i="1"/>
  <c r="AB201" i="1"/>
  <c r="AC201" i="1"/>
  <c r="AD201" i="1"/>
  <c r="AB202" i="1"/>
  <c r="AC202" i="1"/>
  <c r="AD202" i="1"/>
  <c r="AB3" i="1"/>
  <c r="AC3" i="1"/>
  <c r="AD3" i="1"/>
  <c r="J4" i="1"/>
  <c r="K4" i="1"/>
  <c r="L4" i="1"/>
  <c r="N4" i="1"/>
  <c r="O4" i="1"/>
  <c r="Q4" i="1"/>
  <c r="R4" i="1"/>
  <c r="T4" i="1"/>
  <c r="U4" i="1"/>
  <c r="V4" i="1"/>
  <c r="X4" i="1"/>
  <c r="Y4" i="1"/>
  <c r="Z4" i="1"/>
  <c r="J5" i="1"/>
  <c r="K5" i="1"/>
  <c r="L5" i="1"/>
  <c r="N5" i="1"/>
  <c r="O5" i="1"/>
  <c r="Q5" i="1"/>
  <c r="R5" i="1"/>
  <c r="T5" i="1"/>
  <c r="U5" i="1"/>
  <c r="V5" i="1"/>
  <c r="X5" i="1"/>
  <c r="Y5" i="1"/>
  <c r="Z5" i="1"/>
  <c r="J6" i="1"/>
  <c r="K6" i="1"/>
  <c r="L6" i="1"/>
  <c r="N6" i="1"/>
  <c r="O6" i="1"/>
  <c r="Q6" i="1"/>
  <c r="R6" i="1"/>
  <c r="T6" i="1"/>
  <c r="U6" i="1"/>
  <c r="V6" i="1"/>
  <c r="X6" i="1"/>
  <c r="Y6" i="1"/>
  <c r="Z6" i="1"/>
  <c r="J7" i="1"/>
  <c r="K7" i="1"/>
  <c r="L7" i="1"/>
  <c r="N7" i="1"/>
  <c r="O7" i="1"/>
  <c r="Q7" i="1"/>
  <c r="R7" i="1"/>
  <c r="T7" i="1"/>
  <c r="U7" i="1"/>
  <c r="V7" i="1"/>
  <c r="X7" i="1"/>
  <c r="Y7" i="1"/>
  <c r="Z7" i="1"/>
  <c r="J8" i="1"/>
  <c r="K8" i="1"/>
  <c r="L8" i="1"/>
  <c r="N8" i="1"/>
  <c r="O8" i="1"/>
  <c r="Q8" i="1"/>
  <c r="R8" i="1"/>
  <c r="T8" i="1"/>
  <c r="U8" i="1"/>
  <c r="V8" i="1"/>
  <c r="X8" i="1"/>
  <c r="Y8" i="1"/>
  <c r="Z8" i="1"/>
  <c r="J9" i="1"/>
  <c r="K9" i="1"/>
  <c r="L9" i="1"/>
  <c r="N9" i="1"/>
  <c r="O9" i="1"/>
  <c r="Q9" i="1"/>
  <c r="R9" i="1"/>
  <c r="T9" i="1"/>
  <c r="U9" i="1"/>
  <c r="V9" i="1"/>
  <c r="X9" i="1"/>
  <c r="Y9" i="1"/>
  <c r="Z9" i="1"/>
  <c r="J10" i="1"/>
  <c r="K10" i="1"/>
  <c r="L10" i="1"/>
  <c r="N10" i="1"/>
  <c r="O10" i="1"/>
  <c r="Q10" i="1"/>
  <c r="R10" i="1"/>
  <c r="T10" i="1"/>
  <c r="U10" i="1"/>
  <c r="V10" i="1"/>
  <c r="X10" i="1"/>
  <c r="Y10" i="1"/>
  <c r="Z10" i="1"/>
  <c r="J11" i="1"/>
  <c r="K11" i="1"/>
  <c r="L11" i="1"/>
  <c r="N11" i="1"/>
  <c r="O11" i="1"/>
  <c r="Q11" i="1"/>
  <c r="R11" i="1"/>
  <c r="T11" i="1"/>
  <c r="U11" i="1"/>
  <c r="V11" i="1"/>
  <c r="X11" i="1"/>
  <c r="Y11" i="1"/>
  <c r="Z11" i="1"/>
  <c r="J12" i="1"/>
  <c r="K12" i="1"/>
  <c r="L12" i="1"/>
  <c r="N12" i="1"/>
  <c r="O12" i="1"/>
  <c r="Q12" i="1"/>
  <c r="R12" i="1"/>
  <c r="T12" i="1"/>
  <c r="U12" i="1"/>
  <c r="V12" i="1"/>
  <c r="X12" i="1"/>
  <c r="Y12" i="1"/>
  <c r="Z12" i="1"/>
  <c r="J13" i="1"/>
  <c r="K13" i="1"/>
  <c r="L13" i="1"/>
  <c r="N13" i="1"/>
  <c r="O13" i="1"/>
  <c r="Q13" i="1"/>
  <c r="R13" i="1"/>
  <c r="T13" i="1"/>
  <c r="U13" i="1"/>
  <c r="V13" i="1"/>
  <c r="X13" i="1"/>
  <c r="Y13" i="1"/>
  <c r="Z13" i="1"/>
  <c r="J14" i="1"/>
  <c r="K14" i="1"/>
  <c r="L14" i="1"/>
  <c r="N14" i="1"/>
  <c r="O14" i="1"/>
  <c r="Q14" i="1"/>
  <c r="R14" i="1"/>
  <c r="T14" i="1"/>
  <c r="U14" i="1"/>
  <c r="V14" i="1"/>
  <c r="X14" i="1"/>
  <c r="Y14" i="1"/>
  <c r="Z14" i="1"/>
  <c r="J15" i="1"/>
  <c r="K15" i="1"/>
  <c r="L15" i="1"/>
  <c r="N15" i="1"/>
  <c r="O15" i="1"/>
  <c r="Q15" i="1"/>
  <c r="R15" i="1"/>
  <c r="T15" i="1"/>
  <c r="U15" i="1"/>
  <c r="V15" i="1"/>
  <c r="X15" i="1"/>
  <c r="Y15" i="1"/>
  <c r="Z15" i="1"/>
  <c r="J16" i="1"/>
  <c r="K16" i="1"/>
  <c r="L16" i="1"/>
  <c r="N16" i="1"/>
  <c r="O16" i="1"/>
  <c r="Q16" i="1"/>
  <c r="R16" i="1"/>
  <c r="T16" i="1"/>
  <c r="U16" i="1"/>
  <c r="V16" i="1"/>
  <c r="X16" i="1"/>
  <c r="Y16" i="1"/>
  <c r="Z16" i="1"/>
  <c r="J17" i="1"/>
  <c r="K17" i="1"/>
  <c r="L17" i="1"/>
  <c r="N17" i="1"/>
  <c r="O17" i="1"/>
  <c r="Q17" i="1"/>
  <c r="R17" i="1"/>
  <c r="T17" i="1"/>
  <c r="U17" i="1"/>
  <c r="V17" i="1"/>
  <c r="X17" i="1"/>
  <c r="Y17" i="1"/>
  <c r="Z17" i="1"/>
  <c r="J18" i="1"/>
  <c r="K18" i="1"/>
  <c r="L18" i="1"/>
  <c r="N18" i="1"/>
  <c r="O18" i="1"/>
  <c r="Q18" i="1"/>
  <c r="R18" i="1"/>
  <c r="T18" i="1"/>
  <c r="U18" i="1"/>
  <c r="V18" i="1"/>
  <c r="X18" i="1"/>
  <c r="Y18" i="1"/>
  <c r="Z18" i="1"/>
  <c r="J19" i="1"/>
  <c r="K19" i="1"/>
  <c r="L19" i="1"/>
  <c r="N19" i="1"/>
  <c r="O19" i="1"/>
  <c r="Q19" i="1"/>
  <c r="R19" i="1"/>
  <c r="T19" i="1"/>
  <c r="U19" i="1"/>
  <c r="V19" i="1"/>
  <c r="X19" i="1"/>
  <c r="Y19" i="1"/>
  <c r="Z19" i="1"/>
  <c r="J20" i="1"/>
  <c r="K20" i="1"/>
  <c r="L20" i="1"/>
  <c r="N20" i="1"/>
  <c r="O20" i="1"/>
  <c r="Q20" i="1"/>
  <c r="R20" i="1"/>
  <c r="T20" i="1"/>
  <c r="U20" i="1"/>
  <c r="V20" i="1"/>
  <c r="X20" i="1"/>
  <c r="Y20" i="1"/>
  <c r="Z20" i="1"/>
  <c r="J21" i="1"/>
  <c r="K21" i="1"/>
  <c r="L21" i="1"/>
  <c r="N21" i="1"/>
  <c r="O21" i="1"/>
  <c r="Q21" i="1"/>
  <c r="R21" i="1"/>
  <c r="T21" i="1"/>
  <c r="U21" i="1"/>
  <c r="V21" i="1"/>
  <c r="X21" i="1"/>
  <c r="Y21" i="1"/>
  <c r="Z21" i="1"/>
  <c r="J22" i="1"/>
  <c r="K22" i="1"/>
  <c r="L22" i="1"/>
  <c r="N22" i="1"/>
  <c r="O22" i="1"/>
  <c r="Q22" i="1"/>
  <c r="R22" i="1"/>
  <c r="T22" i="1"/>
  <c r="U22" i="1"/>
  <c r="V22" i="1"/>
  <c r="X22" i="1"/>
  <c r="Y22" i="1"/>
  <c r="Z22" i="1"/>
  <c r="J23" i="1"/>
  <c r="K23" i="1"/>
  <c r="L23" i="1"/>
  <c r="N23" i="1"/>
  <c r="O23" i="1"/>
  <c r="Q23" i="1"/>
  <c r="R23" i="1"/>
  <c r="T23" i="1"/>
  <c r="U23" i="1"/>
  <c r="V23" i="1"/>
  <c r="X23" i="1"/>
  <c r="Y23" i="1"/>
  <c r="Z23" i="1"/>
  <c r="J24" i="1"/>
  <c r="K24" i="1"/>
  <c r="L24" i="1"/>
  <c r="N24" i="1"/>
  <c r="O24" i="1"/>
  <c r="Q24" i="1"/>
  <c r="R24" i="1"/>
  <c r="T24" i="1"/>
  <c r="U24" i="1"/>
  <c r="V24" i="1"/>
  <c r="X24" i="1"/>
  <c r="Y24" i="1"/>
  <c r="Z24" i="1"/>
  <c r="J25" i="1"/>
  <c r="K25" i="1"/>
  <c r="L25" i="1"/>
  <c r="N25" i="1"/>
  <c r="O25" i="1"/>
  <c r="Q25" i="1"/>
  <c r="R25" i="1"/>
  <c r="T25" i="1"/>
  <c r="U25" i="1"/>
  <c r="V25" i="1"/>
  <c r="X25" i="1"/>
  <c r="Y25" i="1"/>
  <c r="Z25" i="1"/>
  <c r="J26" i="1"/>
  <c r="K26" i="1"/>
  <c r="L26" i="1"/>
  <c r="N26" i="1"/>
  <c r="O26" i="1"/>
  <c r="Q26" i="1"/>
  <c r="R26" i="1"/>
  <c r="T26" i="1"/>
  <c r="U26" i="1"/>
  <c r="V26" i="1"/>
  <c r="X26" i="1"/>
  <c r="Y26" i="1"/>
  <c r="Z26" i="1"/>
  <c r="J27" i="1"/>
  <c r="K27" i="1"/>
  <c r="L27" i="1"/>
  <c r="N27" i="1"/>
  <c r="O27" i="1"/>
  <c r="Q27" i="1"/>
  <c r="R27" i="1"/>
  <c r="T27" i="1"/>
  <c r="U27" i="1"/>
  <c r="V27" i="1"/>
  <c r="X27" i="1"/>
  <c r="Y27" i="1"/>
  <c r="Z27" i="1"/>
  <c r="J28" i="1"/>
  <c r="K28" i="1"/>
  <c r="L28" i="1"/>
  <c r="N28" i="1"/>
  <c r="O28" i="1"/>
  <c r="Q28" i="1"/>
  <c r="R28" i="1"/>
  <c r="T28" i="1"/>
  <c r="U28" i="1"/>
  <c r="V28" i="1"/>
  <c r="X28" i="1"/>
  <c r="Y28" i="1"/>
  <c r="Z28" i="1"/>
  <c r="J29" i="1"/>
  <c r="K29" i="1"/>
  <c r="L29" i="1"/>
  <c r="N29" i="1"/>
  <c r="O29" i="1"/>
  <c r="Q29" i="1"/>
  <c r="R29" i="1"/>
  <c r="T29" i="1"/>
  <c r="U29" i="1"/>
  <c r="V29" i="1"/>
  <c r="X29" i="1"/>
  <c r="Y29" i="1"/>
  <c r="Z29" i="1"/>
  <c r="J30" i="1"/>
  <c r="K30" i="1"/>
  <c r="L30" i="1"/>
  <c r="N30" i="1"/>
  <c r="O30" i="1"/>
  <c r="Q30" i="1"/>
  <c r="R30" i="1"/>
  <c r="T30" i="1"/>
  <c r="U30" i="1"/>
  <c r="V30" i="1"/>
  <c r="X30" i="1"/>
  <c r="Y30" i="1"/>
  <c r="Z30" i="1"/>
  <c r="J31" i="1"/>
  <c r="K31" i="1"/>
  <c r="L31" i="1"/>
  <c r="N31" i="1"/>
  <c r="O31" i="1"/>
  <c r="Q31" i="1"/>
  <c r="R31" i="1"/>
  <c r="T31" i="1"/>
  <c r="U31" i="1"/>
  <c r="V31" i="1"/>
  <c r="X31" i="1"/>
  <c r="Y31" i="1"/>
  <c r="Z31" i="1"/>
  <c r="J32" i="1"/>
  <c r="K32" i="1"/>
  <c r="L32" i="1"/>
  <c r="N32" i="1"/>
  <c r="O32" i="1"/>
  <c r="Q32" i="1"/>
  <c r="R32" i="1"/>
  <c r="T32" i="1"/>
  <c r="U32" i="1"/>
  <c r="V32" i="1"/>
  <c r="X32" i="1"/>
  <c r="Y32" i="1"/>
  <c r="Z32" i="1"/>
  <c r="J33" i="1"/>
  <c r="K33" i="1"/>
  <c r="L33" i="1"/>
  <c r="N33" i="1"/>
  <c r="O33" i="1"/>
  <c r="Q33" i="1"/>
  <c r="R33" i="1"/>
  <c r="T33" i="1"/>
  <c r="U33" i="1"/>
  <c r="V33" i="1"/>
  <c r="X33" i="1"/>
  <c r="Y33" i="1"/>
  <c r="Z33" i="1"/>
  <c r="J34" i="1"/>
  <c r="K34" i="1"/>
  <c r="L34" i="1"/>
  <c r="N34" i="1"/>
  <c r="O34" i="1"/>
  <c r="Q34" i="1"/>
  <c r="R34" i="1"/>
  <c r="T34" i="1"/>
  <c r="U34" i="1"/>
  <c r="V34" i="1"/>
  <c r="X34" i="1"/>
  <c r="Y34" i="1"/>
  <c r="Z34" i="1"/>
  <c r="J35" i="1"/>
  <c r="K35" i="1"/>
  <c r="L35" i="1"/>
  <c r="N35" i="1"/>
  <c r="O35" i="1"/>
  <c r="Q35" i="1"/>
  <c r="R35" i="1"/>
  <c r="T35" i="1"/>
  <c r="U35" i="1"/>
  <c r="V35" i="1"/>
  <c r="X35" i="1"/>
  <c r="Y35" i="1"/>
  <c r="Z35" i="1"/>
  <c r="J36" i="1"/>
  <c r="K36" i="1"/>
  <c r="L36" i="1"/>
  <c r="N36" i="1"/>
  <c r="O36" i="1"/>
  <c r="Q36" i="1"/>
  <c r="R36" i="1"/>
  <c r="T36" i="1"/>
  <c r="U36" i="1"/>
  <c r="V36" i="1"/>
  <c r="X36" i="1"/>
  <c r="Y36" i="1"/>
  <c r="Z36" i="1"/>
  <c r="J37" i="1"/>
  <c r="K37" i="1"/>
  <c r="L37" i="1"/>
  <c r="N37" i="1"/>
  <c r="O37" i="1"/>
  <c r="Q37" i="1"/>
  <c r="R37" i="1"/>
  <c r="T37" i="1"/>
  <c r="U37" i="1"/>
  <c r="V37" i="1"/>
  <c r="X37" i="1"/>
  <c r="Y37" i="1"/>
  <c r="Z37" i="1"/>
  <c r="J38" i="1"/>
  <c r="K38" i="1"/>
  <c r="L38" i="1"/>
  <c r="N38" i="1"/>
  <c r="O38" i="1"/>
  <c r="Q38" i="1"/>
  <c r="R38" i="1"/>
  <c r="T38" i="1"/>
  <c r="U38" i="1"/>
  <c r="V38" i="1"/>
  <c r="X38" i="1"/>
  <c r="Y38" i="1"/>
  <c r="Z38" i="1"/>
  <c r="J39" i="1"/>
  <c r="K39" i="1"/>
  <c r="L39" i="1"/>
  <c r="N39" i="1"/>
  <c r="O39" i="1"/>
  <c r="Q39" i="1"/>
  <c r="R39" i="1"/>
  <c r="T39" i="1"/>
  <c r="U39" i="1"/>
  <c r="V39" i="1"/>
  <c r="X39" i="1"/>
  <c r="Y39" i="1"/>
  <c r="Z39" i="1"/>
  <c r="J40" i="1"/>
  <c r="K40" i="1"/>
  <c r="L40" i="1"/>
  <c r="N40" i="1"/>
  <c r="O40" i="1"/>
  <c r="Q40" i="1"/>
  <c r="R40" i="1"/>
  <c r="T40" i="1"/>
  <c r="U40" i="1"/>
  <c r="V40" i="1"/>
  <c r="X40" i="1"/>
  <c r="Y40" i="1"/>
  <c r="Z40" i="1"/>
  <c r="J41" i="1"/>
  <c r="K41" i="1"/>
  <c r="L41" i="1"/>
  <c r="N41" i="1"/>
  <c r="O41" i="1"/>
  <c r="Q41" i="1"/>
  <c r="R41" i="1"/>
  <c r="T41" i="1"/>
  <c r="U41" i="1"/>
  <c r="V41" i="1"/>
  <c r="X41" i="1"/>
  <c r="Y41" i="1"/>
  <c r="Z41" i="1"/>
  <c r="J42" i="1"/>
  <c r="K42" i="1"/>
  <c r="L42" i="1"/>
  <c r="N42" i="1"/>
  <c r="O42" i="1"/>
  <c r="Q42" i="1"/>
  <c r="R42" i="1"/>
  <c r="T42" i="1"/>
  <c r="U42" i="1"/>
  <c r="V42" i="1"/>
  <c r="X42" i="1"/>
  <c r="Y42" i="1"/>
  <c r="Z42" i="1"/>
  <c r="J43" i="1"/>
  <c r="K43" i="1"/>
  <c r="L43" i="1"/>
  <c r="N43" i="1"/>
  <c r="O43" i="1"/>
  <c r="Q43" i="1"/>
  <c r="R43" i="1"/>
  <c r="T43" i="1"/>
  <c r="U43" i="1"/>
  <c r="V43" i="1"/>
  <c r="X43" i="1"/>
  <c r="Y43" i="1"/>
  <c r="Z43" i="1"/>
  <c r="J44" i="1"/>
  <c r="K44" i="1"/>
  <c r="L44" i="1"/>
  <c r="N44" i="1"/>
  <c r="O44" i="1"/>
  <c r="Q44" i="1"/>
  <c r="R44" i="1"/>
  <c r="T44" i="1"/>
  <c r="U44" i="1"/>
  <c r="V44" i="1"/>
  <c r="X44" i="1"/>
  <c r="Y44" i="1"/>
  <c r="Z44" i="1"/>
  <c r="J45" i="1"/>
  <c r="K45" i="1"/>
  <c r="L45" i="1"/>
  <c r="N45" i="1"/>
  <c r="O45" i="1"/>
  <c r="Q45" i="1"/>
  <c r="R45" i="1"/>
  <c r="T45" i="1"/>
  <c r="U45" i="1"/>
  <c r="V45" i="1"/>
  <c r="X45" i="1"/>
  <c r="Y45" i="1"/>
  <c r="Z45" i="1"/>
  <c r="J46" i="1"/>
  <c r="K46" i="1"/>
  <c r="L46" i="1"/>
  <c r="N46" i="1"/>
  <c r="O46" i="1"/>
  <c r="Q46" i="1"/>
  <c r="R46" i="1"/>
  <c r="T46" i="1"/>
  <c r="U46" i="1"/>
  <c r="V46" i="1"/>
  <c r="X46" i="1"/>
  <c r="Y46" i="1"/>
  <c r="Z46" i="1"/>
  <c r="J47" i="1"/>
  <c r="K47" i="1"/>
  <c r="L47" i="1"/>
  <c r="N47" i="1"/>
  <c r="O47" i="1"/>
  <c r="Q47" i="1"/>
  <c r="R47" i="1"/>
  <c r="T47" i="1"/>
  <c r="U47" i="1"/>
  <c r="V47" i="1"/>
  <c r="X47" i="1"/>
  <c r="Y47" i="1"/>
  <c r="Z47" i="1"/>
  <c r="J48" i="1"/>
  <c r="K48" i="1"/>
  <c r="L48" i="1"/>
  <c r="N48" i="1"/>
  <c r="O48" i="1"/>
  <c r="Q48" i="1"/>
  <c r="R48" i="1"/>
  <c r="T48" i="1"/>
  <c r="U48" i="1"/>
  <c r="V48" i="1"/>
  <c r="X48" i="1"/>
  <c r="Y48" i="1"/>
  <c r="Z48" i="1"/>
  <c r="J49" i="1"/>
  <c r="K49" i="1"/>
  <c r="L49" i="1"/>
  <c r="N49" i="1"/>
  <c r="O49" i="1"/>
  <c r="Q49" i="1"/>
  <c r="R49" i="1"/>
  <c r="T49" i="1"/>
  <c r="U49" i="1"/>
  <c r="V49" i="1"/>
  <c r="X49" i="1"/>
  <c r="Y49" i="1"/>
  <c r="Z49" i="1"/>
  <c r="J50" i="1"/>
  <c r="K50" i="1"/>
  <c r="L50" i="1"/>
  <c r="N50" i="1"/>
  <c r="O50" i="1"/>
  <c r="Q50" i="1"/>
  <c r="R50" i="1"/>
  <c r="T50" i="1"/>
  <c r="U50" i="1"/>
  <c r="V50" i="1"/>
  <c r="X50" i="1"/>
  <c r="Y50" i="1"/>
  <c r="Z50" i="1"/>
  <c r="J51" i="1"/>
  <c r="K51" i="1"/>
  <c r="L51" i="1"/>
  <c r="N51" i="1"/>
  <c r="O51" i="1"/>
  <c r="Q51" i="1"/>
  <c r="R51" i="1"/>
  <c r="T51" i="1"/>
  <c r="U51" i="1"/>
  <c r="V51" i="1"/>
  <c r="X51" i="1"/>
  <c r="Y51" i="1"/>
  <c r="Z51" i="1"/>
  <c r="J52" i="1"/>
  <c r="K52" i="1"/>
  <c r="L52" i="1"/>
  <c r="N52" i="1"/>
  <c r="O52" i="1"/>
  <c r="Q52" i="1"/>
  <c r="R52" i="1"/>
  <c r="T52" i="1"/>
  <c r="U52" i="1"/>
  <c r="V52" i="1"/>
  <c r="X52" i="1"/>
  <c r="Y52" i="1"/>
  <c r="Z52" i="1"/>
  <c r="J53" i="1"/>
  <c r="K53" i="1"/>
  <c r="L53" i="1"/>
  <c r="N53" i="1"/>
  <c r="O53" i="1"/>
  <c r="Q53" i="1"/>
  <c r="R53" i="1"/>
  <c r="T53" i="1"/>
  <c r="U53" i="1"/>
  <c r="V53" i="1"/>
  <c r="X53" i="1"/>
  <c r="Y53" i="1"/>
  <c r="Z53" i="1"/>
  <c r="J54" i="1"/>
  <c r="K54" i="1"/>
  <c r="L54" i="1"/>
  <c r="N54" i="1"/>
  <c r="O54" i="1"/>
  <c r="Q54" i="1"/>
  <c r="R54" i="1"/>
  <c r="T54" i="1"/>
  <c r="U54" i="1"/>
  <c r="V54" i="1"/>
  <c r="X54" i="1"/>
  <c r="Y54" i="1"/>
  <c r="Z54" i="1"/>
  <c r="J55" i="1"/>
  <c r="K55" i="1"/>
  <c r="L55" i="1"/>
  <c r="N55" i="1"/>
  <c r="O55" i="1"/>
  <c r="Q55" i="1"/>
  <c r="R55" i="1"/>
  <c r="T55" i="1"/>
  <c r="U55" i="1"/>
  <c r="V55" i="1"/>
  <c r="X55" i="1"/>
  <c r="Y55" i="1"/>
  <c r="Z55" i="1"/>
  <c r="J56" i="1"/>
  <c r="K56" i="1"/>
  <c r="L56" i="1"/>
  <c r="N56" i="1"/>
  <c r="O56" i="1"/>
  <c r="Q56" i="1"/>
  <c r="R56" i="1"/>
  <c r="T56" i="1"/>
  <c r="U56" i="1"/>
  <c r="V56" i="1"/>
  <c r="X56" i="1"/>
  <c r="Y56" i="1"/>
  <c r="Z56" i="1"/>
  <c r="J57" i="1"/>
  <c r="K57" i="1"/>
  <c r="L57" i="1"/>
  <c r="N57" i="1"/>
  <c r="O57" i="1"/>
  <c r="Q57" i="1"/>
  <c r="R57" i="1"/>
  <c r="T57" i="1"/>
  <c r="U57" i="1"/>
  <c r="V57" i="1"/>
  <c r="X57" i="1"/>
  <c r="Y57" i="1"/>
  <c r="Z57" i="1"/>
  <c r="J58" i="1"/>
  <c r="K58" i="1"/>
  <c r="L58" i="1"/>
  <c r="N58" i="1"/>
  <c r="O58" i="1"/>
  <c r="Q58" i="1"/>
  <c r="R58" i="1"/>
  <c r="T58" i="1"/>
  <c r="U58" i="1"/>
  <c r="V58" i="1"/>
  <c r="X58" i="1"/>
  <c r="Y58" i="1"/>
  <c r="Z58" i="1"/>
  <c r="J59" i="1"/>
  <c r="K59" i="1"/>
  <c r="L59" i="1"/>
  <c r="N59" i="1"/>
  <c r="O59" i="1"/>
  <c r="Q59" i="1"/>
  <c r="R59" i="1"/>
  <c r="T59" i="1"/>
  <c r="U59" i="1"/>
  <c r="V59" i="1"/>
  <c r="X59" i="1"/>
  <c r="Y59" i="1"/>
  <c r="Z59" i="1"/>
  <c r="J60" i="1"/>
  <c r="K60" i="1"/>
  <c r="L60" i="1"/>
  <c r="N60" i="1"/>
  <c r="O60" i="1"/>
  <c r="Q60" i="1"/>
  <c r="R60" i="1"/>
  <c r="T60" i="1"/>
  <c r="U60" i="1"/>
  <c r="V60" i="1"/>
  <c r="X60" i="1"/>
  <c r="Y60" i="1"/>
  <c r="Z60" i="1"/>
  <c r="J61" i="1"/>
  <c r="K61" i="1"/>
  <c r="L61" i="1"/>
  <c r="N61" i="1"/>
  <c r="O61" i="1"/>
  <c r="Q61" i="1"/>
  <c r="R61" i="1"/>
  <c r="T61" i="1"/>
  <c r="U61" i="1"/>
  <c r="V61" i="1"/>
  <c r="X61" i="1"/>
  <c r="Y61" i="1"/>
  <c r="Z61" i="1"/>
  <c r="J62" i="1"/>
  <c r="K62" i="1"/>
  <c r="L62" i="1"/>
  <c r="N62" i="1"/>
  <c r="O62" i="1"/>
  <c r="Q62" i="1"/>
  <c r="R62" i="1"/>
  <c r="T62" i="1"/>
  <c r="U62" i="1"/>
  <c r="V62" i="1"/>
  <c r="X62" i="1"/>
  <c r="Y62" i="1"/>
  <c r="Z62" i="1"/>
  <c r="J63" i="1"/>
  <c r="K63" i="1"/>
  <c r="L63" i="1"/>
  <c r="N63" i="1"/>
  <c r="O63" i="1"/>
  <c r="Q63" i="1"/>
  <c r="R63" i="1"/>
  <c r="T63" i="1"/>
  <c r="U63" i="1"/>
  <c r="V63" i="1"/>
  <c r="X63" i="1"/>
  <c r="Y63" i="1"/>
  <c r="Z63" i="1"/>
  <c r="J64" i="1"/>
  <c r="K64" i="1"/>
  <c r="L64" i="1"/>
  <c r="N64" i="1"/>
  <c r="O64" i="1"/>
  <c r="Q64" i="1"/>
  <c r="R64" i="1"/>
  <c r="T64" i="1"/>
  <c r="U64" i="1"/>
  <c r="V64" i="1"/>
  <c r="X64" i="1"/>
  <c r="Y64" i="1"/>
  <c r="Z64" i="1"/>
  <c r="J65" i="1"/>
  <c r="K65" i="1"/>
  <c r="L65" i="1"/>
  <c r="N65" i="1"/>
  <c r="O65" i="1"/>
  <c r="Q65" i="1"/>
  <c r="R65" i="1"/>
  <c r="T65" i="1"/>
  <c r="U65" i="1"/>
  <c r="V65" i="1"/>
  <c r="X65" i="1"/>
  <c r="Y65" i="1"/>
  <c r="Z65" i="1"/>
  <c r="J66" i="1"/>
  <c r="K66" i="1"/>
  <c r="L66" i="1"/>
  <c r="N66" i="1"/>
  <c r="O66" i="1"/>
  <c r="Q66" i="1"/>
  <c r="R66" i="1"/>
  <c r="T66" i="1"/>
  <c r="U66" i="1"/>
  <c r="V66" i="1"/>
  <c r="X66" i="1"/>
  <c r="Y66" i="1"/>
  <c r="Z66" i="1"/>
  <c r="J67" i="1"/>
  <c r="K67" i="1"/>
  <c r="L67" i="1"/>
  <c r="N67" i="1"/>
  <c r="O67" i="1"/>
  <c r="Q67" i="1"/>
  <c r="R67" i="1"/>
  <c r="T67" i="1"/>
  <c r="U67" i="1"/>
  <c r="V67" i="1"/>
  <c r="X67" i="1"/>
  <c r="Y67" i="1"/>
  <c r="Z67" i="1"/>
  <c r="J68" i="1"/>
  <c r="K68" i="1"/>
  <c r="L68" i="1"/>
  <c r="N68" i="1"/>
  <c r="O68" i="1"/>
  <c r="Q68" i="1"/>
  <c r="R68" i="1"/>
  <c r="T68" i="1"/>
  <c r="U68" i="1"/>
  <c r="V68" i="1"/>
  <c r="X68" i="1"/>
  <c r="Y68" i="1"/>
  <c r="Z68" i="1"/>
  <c r="J69" i="1"/>
  <c r="K69" i="1"/>
  <c r="L69" i="1"/>
  <c r="N69" i="1"/>
  <c r="O69" i="1"/>
  <c r="Q69" i="1"/>
  <c r="R69" i="1"/>
  <c r="T69" i="1"/>
  <c r="U69" i="1"/>
  <c r="V69" i="1"/>
  <c r="X69" i="1"/>
  <c r="Y69" i="1"/>
  <c r="Z69" i="1"/>
  <c r="J70" i="1"/>
  <c r="K70" i="1"/>
  <c r="L70" i="1"/>
  <c r="N70" i="1"/>
  <c r="O70" i="1"/>
  <c r="Q70" i="1"/>
  <c r="R70" i="1"/>
  <c r="T70" i="1"/>
  <c r="U70" i="1"/>
  <c r="V70" i="1"/>
  <c r="X70" i="1"/>
  <c r="Y70" i="1"/>
  <c r="Z70" i="1"/>
  <c r="J71" i="1"/>
  <c r="K71" i="1"/>
  <c r="L71" i="1"/>
  <c r="N71" i="1"/>
  <c r="O71" i="1"/>
  <c r="Q71" i="1"/>
  <c r="R71" i="1"/>
  <c r="T71" i="1"/>
  <c r="U71" i="1"/>
  <c r="V71" i="1"/>
  <c r="X71" i="1"/>
  <c r="Y71" i="1"/>
  <c r="Z71" i="1"/>
  <c r="J72" i="1"/>
  <c r="K72" i="1"/>
  <c r="L72" i="1"/>
  <c r="N72" i="1"/>
  <c r="O72" i="1"/>
  <c r="Q72" i="1"/>
  <c r="R72" i="1"/>
  <c r="T72" i="1"/>
  <c r="U72" i="1"/>
  <c r="V72" i="1"/>
  <c r="X72" i="1"/>
  <c r="Y72" i="1"/>
  <c r="Z72" i="1"/>
  <c r="J73" i="1"/>
  <c r="K73" i="1"/>
  <c r="L73" i="1"/>
  <c r="N73" i="1"/>
  <c r="O73" i="1"/>
  <c r="Q73" i="1"/>
  <c r="R73" i="1"/>
  <c r="T73" i="1"/>
  <c r="U73" i="1"/>
  <c r="V73" i="1"/>
  <c r="X73" i="1"/>
  <c r="Y73" i="1"/>
  <c r="Z73" i="1"/>
  <c r="J74" i="1"/>
  <c r="K74" i="1"/>
  <c r="L74" i="1"/>
  <c r="N74" i="1"/>
  <c r="O74" i="1"/>
  <c r="Q74" i="1"/>
  <c r="R74" i="1"/>
  <c r="T74" i="1"/>
  <c r="U74" i="1"/>
  <c r="V74" i="1"/>
  <c r="X74" i="1"/>
  <c r="Y74" i="1"/>
  <c r="Z74" i="1"/>
  <c r="J75" i="1"/>
  <c r="K75" i="1"/>
  <c r="L75" i="1"/>
  <c r="N75" i="1"/>
  <c r="O75" i="1"/>
  <c r="Q75" i="1"/>
  <c r="R75" i="1"/>
  <c r="T75" i="1"/>
  <c r="U75" i="1"/>
  <c r="V75" i="1"/>
  <c r="X75" i="1"/>
  <c r="Y75" i="1"/>
  <c r="Z75" i="1"/>
  <c r="J76" i="1"/>
  <c r="K76" i="1"/>
  <c r="L76" i="1"/>
  <c r="N76" i="1"/>
  <c r="O76" i="1"/>
  <c r="Q76" i="1"/>
  <c r="R76" i="1"/>
  <c r="T76" i="1"/>
  <c r="U76" i="1"/>
  <c r="V76" i="1"/>
  <c r="X76" i="1"/>
  <c r="Y76" i="1"/>
  <c r="Z76" i="1"/>
  <c r="J77" i="1"/>
  <c r="K77" i="1"/>
  <c r="L77" i="1"/>
  <c r="N77" i="1"/>
  <c r="O77" i="1"/>
  <c r="Q77" i="1"/>
  <c r="R77" i="1"/>
  <c r="T77" i="1"/>
  <c r="U77" i="1"/>
  <c r="V77" i="1"/>
  <c r="X77" i="1"/>
  <c r="Y77" i="1"/>
  <c r="Z77" i="1"/>
  <c r="J78" i="1"/>
  <c r="K78" i="1"/>
  <c r="L78" i="1"/>
  <c r="N78" i="1"/>
  <c r="O78" i="1"/>
  <c r="Q78" i="1"/>
  <c r="R78" i="1"/>
  <c r="T78" i="1"/>
  <c r="U78" i="1"/>
  <c r="V78" i="1"/>
  <c r="X78" i="1"/>
  <c r="Y78" i="1"/>
  <c r="Z78" i="1"/>
  <c r="J79" i="1"/>
  <c r="K79" i="1"/>
  <c r="L79" i="1"/>
  <c r="N79" i="1"/>
  <c r="O79" i="1"/>
  <c r="Q79" i="1"/>
  <c r="R79" i="1"/>
  <c r="T79" i="1"/>
  <c r="U79" i="1"/>
  <c r="V79" i="1"/>
  <c r="X79" i="1"/>
  <c r="Y79" i="1"/>
  <c r="Z79" i="1"/>
  <c r="J80" i="1"/>
  <c r="K80" i="1"/>
  <c r="L80" i="1"/>
  <c r="N80" i="1"/>
  <c r="O80" i="1"/>
  <c r="Q80" i="1"/>
  <c r="R80" i="1"/>
  <c r="T80" i="1"/>
  <c r="U80" i="1"/>
  <c r="V80" i="1"/>
  <c r="X80" i="1"/>
  <c r="Y80" i="1"/>
  <c r="Z80" i="1"/>
  <c r="J81" i="1"/>
  <c r="K81" i="1"/>
  <c r="L81" i="1"/>
  <c r="N81" i="1"/>
  <c r="O81" i="1"/>
  <c r="Q81" i="1"/>
  <c r="R81" i="1"/>
  <c r="T81" i="1"/>
  <c r="U81" i="1"/>
  <c r="V81" i="1"/>
  <c r="X81" i="1"/>
  <c r="Y81" i="1"/>
  <c r="Z81" i="1"/>
  <c r="J82" i="1"/>
  <c r="K82" i="1"/>
  <c r="L82" i="1"/>
  <c r="N82" i="1"/>
  <c r="O82" i="1"/>
  <c r="Q82" i="1"/>
  <c r="R82" i="1"/>
  <c r="T82" i="1"/>
  <c r="U82" i="1"/>
  <c r="V82" i="1"/>
  <c r="X82" i="1"/>
  <c r="Y82" i="1"/>
  <c r="Z82" i="1"/>
  <c r="J83" i="1"/>
  <c r="K83" i="1"/>
  <c r="L83" i="1"/>
  <c r="N83" i="1"/>
  <c r="O83" i="1"/>
  <c r="Q83" i="1"/>
  <c r="R83" i="1"/>
  <c r="T83" i="1"/>
  <c r="U83" i="1"/>
  <c r="V83" i="1"/>
  <c r="X83" i="1"/>
  <c r="Y83" i="1"/>
  <c r="Z83" i="1"/>
  <c r="J84" i="1"/>
  <c r="K84" i="1"/>
  <c r="L84" i="1"/>
  <c r="N84" i="1"/>
  <c r="O84" i="1"/>
  <c r="Q84" i="1"/>
  <c r="R84" i="1"/>
  <c r="T84" i="1"/>
  <c r="U84" i="1"/>
  <c r="V84" i="1"/>
  <c r="X84" i="1"/>
  <c r="Y84" i="1"/>
  <c r="Z84" i="1"/>
  <c r="J85" i="1"/>
  <c r="K85" i="1"/>
  <c r="L85" i="1"/>
  <c r="N85" i="1"/>
  <c r="O85" i="1"/>
  <c r="Q85" i="1"/>
  <c r="R85" i="1"/>
  <c r="T85" i="1"/>
  <c r="U85" i="1"/>
  <c r="V85" i="1"/>
  <c r="X85" i="1"/>
  <c r="Y85" i="1"/>
  <c r="Z85" i="1"/>
  <c r="J86" i="1"/>
  <c r="K86" i="1"/>
  <c r="L86" i="1"/>
  <c r="N86" i="1"/>
  <c r="O86" i="1"/>
  <c r="Q86" i="1"/>
  <c r="R86" i="1"/>
  <c r="T86" i="1"/>
  <c r="U86" i="1"/>
  <c r="V86" i="1"/>
  <c r="X86" i="1"/>
  <c r="Y86" i="1"/>
  <c r="Z86" i="1"/>
  <c r="J87" i="1"/>
  <c r="K87" i="1"/>
  <c r="L87" i="1"/>
  <c r="N87" i="1"/>
  <c r="O87" i="1"/>
  <c r="Q87" i="1"/>
  <c r="R87" i="1"/>
  <c r="T87" i="1"/>
  <c r="U87" i="1"/>
  <c r="V87" i="1"/>
  <c r="X87" i="1"/>
  <c r="Y87" i="1"/>
  <c r="Z87" i="1"/>
  <c r="J88" i="1"/>
  <c r="K88" i="1"/>
  <c r="L88" i="1"/>
  <c r="N88" i="1"/>
  <c r="O88" i="1"/>
  <c r="Q88" i="1"/>
  <c r="R88" i="1"/>
  <c r="T88" i="1"/>
  <c r="U88" i="1"/>
  <c r="V88" i="1"/>
  <c r="X88" i="1"/>
  <c r="Y88" i="1"/>
  <c r="Z88" i="1"/>
  <c r="J89" i="1"/>
  <c r="K89" i="1"/>
  <c r="L89" i="1"/>
  <c r="N89" i="1"/>
  <c r="O89" i="1"/>
  <c r="Q89" i="1"/>
  <c r="R89" i="1"/>
  <c r="T89" i="1"/>
  <c r="U89" i="1"/>
  <c r="V89" i="1"/>
  <c r="X89" i="1"/>
  <c r="Y89" i="1"/>
  <c r="Z89" i="1"/>
  <c r="J90" i="1"/>
  <c r="K90" i="1"/>
  <c r="L90" i="1"/>
  <c r="N90" i="1"/>
  <c r="O90" i="1"/>
  <c r="Q90" i="1"/>
  <c r="R90" i="1"/>
  <c r="T90" i="1"/>
  <c r="U90" i="1"/>
  <c r="V90" i="1"/>
  <c r="X90" i="1"/>
  <c r="Y90" i="1"/>
  <c r="Z90" i="1"/>
  <c r="J91" i="1"/>
  <c r="K91" i="1"/>
  <c r="L91" i="1"/>
  <c r="N91" i="1"/>
  <c r="O91" i="1"/>
  <c r="Q91" i="1"/>
  <c r="R91" i="1"/>
  <c r="T91" i="1"/>
  <c r="U91" i="1"/>
  <c r="V91" i="1"/>
  <c r="X91" i="1"/>
  <c r="Y91" i="1"/>
  <c r="Z91" i="1"/>
  <c r="J92" i="1"/>
  <c r="K92" i="1"/>
  <c r="L92" i="1"/>
  <c r="N92" i="1"/>
  <c r="O92" i="1"/>
  <c r="Q92" i="1"/>
  <c r="R92" i="1"/>
  <c r="T92" i="1"/>
  <c r="U92" i="1"/>
  <c r="V92" i="1"/>
  <c r="X92" i="1"/>
  <c r="Y92" i="1"/>
  <c r="Z92" i="1"/>
  <c r="J93" i="1"/>
  <c r="K93" i="1"/>
  <c r="L93" i="1"/>
  <c r="N93" i="1"/>
  <c r="O93" i="1"/>
  <c r="Q93" i="1"/>
  <c r="R93" i="1"/>
  <c r="T93" i="1"/>
  <c r="U93" i="1"/>
  <c r="V93" i="1"/>
  <c r="X93" i="1"/>
  <c r="Y93" i="1"/>
  <c r="Z93" i="1"/>
  <c r="J94" i="1"/>
  <c r="K94" i="1"/>
  <c r="L94" i="1"/>
  <c r="N94" i="1"/>
  <c r="O94" i="1"/>
  <c r="Q94" i="1"/>
  <c r="R94" i="1"/>
  <c r="T94" i="1"/>
  <c r="U94" i="1"/>
  <c r="V94" i="1"/>
  <c r="X94" i="1"/>
  <c r="Y94" i="1"/>
  <c r="Z94" i="1"/>
  <c r="J95" i="1"/>
  <c r="K95" i="1"/>
  <c r="L95" i="1"/>
  <c r="N95" i="1"/>
  <c r="O95" i="1"/>
  <c r="Q95" i="1"/>
  <c r="R95" i="1"/>
  <c r="T95" i="1"/>
  <c r="U95" i="1"/>
  <c r="V95" i="1"/>
  <c r="X95" i="1"/>
  <c r="Y95" i="1"/>
  <c r="Z95" i="1"/>
  <c r="J96" i="1"/>
  <c r="K96" i="1"/>
  <c r="L96" i="1"/>
  <c r="N96" i="1"/>
  <c r="O96" i="1"/>
  <c r="Q96" i="1"/>
  <c r="R96" i="1"/>
  <c r="T96" i="1"/>
  <c r="U96" i="1"/>
  <c r="V96" i="1"/>
  <c r="X96" i="1"/>
  <c r="Y96" i="1"/>
  <c r="Z96" i="1"/>
  <c r="J97" i="1"/>
  <c r="K97" i="1"/>
  <c r="L97" i="1"/>
  <c r="N97" i="1"/>
  <c r="O97" i="1"/>
  <c r="Q97" i="1"/>
  <c r="R97" i="1"/>
  <c r="T97" i="1"/>
  <c r="U97" i="1"/>
  <c r="V97" i="1"/>
  <c r="X97" i="1"/>
  <c r="Y97" i="1"/>
  <c r="Z97" i="1"/>
  <c r="J98" i="1"/>
  <c r="K98" i="1"/>
  <c r="L98" i="1"/>
  <c r="N98" i="1"/>
  <c r="O98" i="1"/>
  <c r="Q98" i="1"/>
  <c r="R98" i="1"/>
  <c r="T98" i="1"/>
  <c r="U98" i="1"/>
  <c r="V98" i="1"/>
  <c r="X98" i="1"/>
  <c r="Y98" i="1"/>
  <c r="Z98" i="1"/>
  <c r="J99" i="1"/>
  <c r="K99" i="1"/>
  <c r="L99" i="1"/>
  <c r="N99" i="1"/>
  <c r="O99" i="1"/>
  <c r="Q99" i="1"/>
  <c r="R99" i="1"/>
  <c r="T99" i="1"/>
  <c r="U99" i="1"/>
  <c r="V99" i="1"/>
  <c r="X99" i="1"/>
  <c r="Y99" i="1"/>
  <c r="Z99" i="1"/>
  <c r="J100" i="1"/>
  <c r="K100" i="1"/>
  <c r="L100" i="1"/>
  <c r="N100" i="1"/>
  <c r="O100" i="1"/>
  <c r="Q100" i="1"/>
  <c r="R100" i="1"/>
  <c r="T100" i="1"/>
  <c r="U100" i="1"/>
  <c r="V100" i="1"/>
  <c r="X100" i="1"/>
  <c r="Y100" i="1"/>
  <c r="Z100" i="1"/>
  <c r="J101" i="1"/>
  <c r="K101" i="1"/>
  <c r="L101" i="1"/>
  <c r="N101" i="1"/>
  <c r="O101" i="1"/>
  <c r="Q101" i="1"/>
  <c r="R101" i="1"/>
  <c r="T101" i="1"/>
  <c r="U101" i="1"/>
  <c r="V101" i="1"/>
  <c r="X101" i="1"/>
  <c r="Y101" i="1"/>
  <c r="Z101" i="1"/>
  <c r="J102" i="1"/>
  <c r="K102" i="1"/>
  <c r="L102" i="1"/>
  <c r="N102" i="1"/>
  <c r="O102" i="1"/>
  <c r="Q102" i="1"/>
  <c r="R102" i="1"/>
  <c r="T102" i="1"/>
  <c r="U102" i="1"/>
  <c r="V102" i="1"/>
  <c r="X102" i="1"/>
  <c r="Y102" i="1"/>
  <c r="Z102" i="1"/>
  <c r="J103" i="1"/>
  <c r="K103" i="1"/>
  <c r="L103" i="1"/>
  <c r="N103" i="1"/>
  <c r="O103" i="1"/>
  <c r="Q103" i="1"/>
  <c r="R103" i="1"/>
  <c r="T103" i="1"/>
  <c r="U103" i="1"/>
  <c r="V103" i="1"/>
  <c r="X103" i="1"/>
  <c r="Y103" i="1"/>
  <c r="Z103" i="1"/>
  <c r="J104" i="1"/>
  <c r="K104" i="1"/>
  <c r="L104" i="1"/>
  <c r="N104" i="1"/>
  <c r="O104" i="1"/>
  <c r="Q104" i="1"/>
  <c r="R104" i="1"/>
  <c r="T104" i="1"/>
  <c r="U104" i="1"/>
  <c r="V104" i="1"/>
  <c r="X104" i="1"/>
  <c r="Y104" i="1"/>
  <c r="Z104" i="1"/>
  <c r="J105" i="1"/>
  <c r="K105" i="1"/>
  <c r="L105" i="1"/>
  <c r="N105" i="1"/>
  <c r="O105" i="1"/>
  <c r="Q105" i="1"/>
  <c r="R105" i="1"/>
  <c r="T105" i="1"/>
  <c r="U105" i="1"/>
  <c r="V105" i="1"/>
  <c r="X105" i="1"/>
  <c r="Y105" i="1"/>
  <c r="Z105" i="1"/>
  <c r="J106" i="1"/>
  <c r="K106" i="1"/>
  <c r="L106" i="1"/>
  <c r="N106" i="1"/>
  <c r="O106" i="1"/>
  <c r="Q106" i="1"/>
  <c r="R106" i="1"/>
  <c r="T106" i="1"/>
  <c r="U106" i="1"/>
  <c r="V106" i="1"/>
  <c r="X106" i="1"/>
  <c r="Y106" i="1"/>
  <c r="Z106" i="1"/>
  <c r="J107" i="1"/>
  <c r="K107" i="1"/>
  <c r="L107" i="1"/>
  <c r="N107" i="1"/>
  <c r="O107" i="1"/>
  <c r="Q107" i="1"/>
  <c r="R107" i="1"/>
  <c r="T107" i="1"/>
  <c r="U107" i="1"/>
  <c r="V107" i="1"/>
  <c r="X107" i="1"/>
  <c r="Y107" i="1"/>
  <c r="Z107" i="1"/>
  <c r="J108" i="1"/>
  <c r="K108" i="1"/>
  <c r="L108" i="1"/>
  <c r="N108" i="1"/>
  <c r="O108" i="1"/>
  <c r="Q108" i="1"/>
  <c r="R108" i="1"/>
  <c r="T108" i="1"/>
  <c r="U108" i="1"/>
  <c r="V108" i="1"/>
  <c r="X108" i="1"/>
  <c r="Y108" i="1"/>
  <c r="Z108" i="1"/>
  <c r="J109" i="1"/>
  <c r="K109" i="1"/>
  <c r="L109" i="1"/>
  <c r="N109" i="1"/>
  <c r="O109" i="1"/>
  <c r="Q109" i="1"/>
  <c r="R109" i="1"/>
  <c r="T109" i="1"/>
  <c r="U109" i="1"/>
  <c r="V109" i="1"/>
  <c r="X109" i="1"/>
  <c r="Y109" i="1"/>
  <c r="Z109" i="1"/>
  <c r="J110" i="1"/>
  <c r="K110" i="1"/>
  <c r="L110" i="1"/>
  <c r="N110" i="1"/>
  <c r="O110" i="1"/>
  <c r="Q110" i="1"/>
  <c r="R110" i="1"/>
  <c r="T110" i="1"/>
  <c r="U110" i="1"/>
  <c r="V110" i="1"/>
  <c r="X110" i="1"/>
  <c r="Y110" i="1"/>
  <c r="Z110" i="1"/>
  <c r="J111" i="1"/>
  <c r="K111" i="1"/>
  <c r="L111" i="1"/>
  <c r="N111" i="1"/>
  <c r="O111" i="1"/>
  <c r="Q111" i="1"/>
  <c r="R111" i="1"/>
  <c r="T111" i="1"/>
  <c r="U111" i="1"/>
  <c r="V111" i="1"/>
  <c r="X111" i="1"/>
  <c r="Y111" i="1"/>
  <c r="Z111" i="1"/>
  <c r="J112" i="1"/>
  <c r="K112" i="1"/>
  <c r="L112" i="1"/>
  <c r="N112" i="1"/>
  <c r="O112" i="1"/>
  <c r="Q112" i="1"/>
  <c r="R112" i="1"/>
  <c r="T112" i="1"/>
  <c r="U112" i="1"/>
  <c r="V112" i="1"/>
  <c r="X112" i="1"/>
  <c r="Y112" i="1"/>
  <c r="Z112" i="1"/>
  <c r="J113" i="1"/>
  <c r="K113" i="1"/>
  <c r="L113" i="1"/>
  <c r="N113" i="1"/>
  <c r="O113" i="1"/>
  <c r="Q113" i="1"/>
  <c r="R113" i="1"/>
  <c r="T113" i="1"/>
  <c r="U113" i="1"/>
  <c r="V113" i="1"/>
  <c r="X113" i="1"/>
  <c r="Y113" i="1"/>
  <c r="Z113" i="1"/>
  <c r="J114" i="1"/>
  <c r="K114" i="1"/>
  <c r="L114" i="1"/>
  <c r="N114" i="1"/>
  <c r="O114" i="1"/>
  <c r="Q114" i="1"/>
  <c r="R114" i="1"/>
  <c r="T114" i="1"/>
  <c r="U114" i="1"/>
  <c r="V114" i="1"/>
  <c r="X114" i="1"/>
  <c r="Y114" i="1"/>
  <c r="Z114" i="1"/>
  <c r="J115" i="1"/>
  <c r="K115" i="1"/>
  <c r="L115" i="1"/>
  <c r="N115" i="1"/>
  <c r="O115" i="1"/>
  <c r="Q115" i="1"/>
  <c r="R115" i="1"/>
  <c r="T115" i="1"/>
  <c r="U115" i="1"/>
  <c r="V115" i="1"/>
  <c r="X115" i="1"/>
  <c r="Y115" i="1"/>
  <c r="Z115" i="1"/>
  <c r="J116" i="1"/>
  <c r="K116" i="1"/>
  <c r="L116" i="1"/>
  <c r="N116" i="1"/>
  <c r="O116" i="1"/>
  <c r="Q116" i="1"/>
  <c r="R116" i="1"/>
  <c r="T116" i="1"/>
  <c r="U116" i="1"/>
  <c r="V116" i="1"/>
  <c r="X116" i="1"/>
  <c r="Y116" i="1"/>
  <c r="Z116" i="1"/>
  <c r="J117" i="1"/>
  <c r="K117" i="1"/>
  <c r="L117" i="1"/>
  <c r="N117" i="1"/>
  <c r="O117" i="1"/>
  <c r="Q117" i="1"/>
  <c r="R117" i="1"/>
  <c r="T117" i="1"/>
  <c r="U117" i="1"/>
  <c r="V117" i="1"/>
  <c r="X117" i="1"/>
  <c r="Y117" i="1"/>
  <c r="Z117" i="1"/>
  <c r="J118" i="1"/>
  <c r="K118" i="1"/>
  <c r="L118" i="1"/>
  <c r="N118" i="1"/>
  <c r="O118" i="1"/>
  <c r="Q118" i="1"/>
  <c r="R118" i="1"/>
  <c r="T118" i="1"/>
  <c r="U118" i="1"/>
  <c r="V118" i="1"/>
  <c r="X118" i="1"/>
  <c r="Y118" i="1"/>
  <c r="Z118" i="1"/>
  <c r="J119" i="1"/>
  <c r="K119" i="1"/>
  <c r="L119" i="1"/>
  <c r="N119" i="1"/>
  <c r="O119" i="1"/>
  <c r="Q119" i="1"/>
  <c r="R119" i="1"/>
  <c r="T119" i="1"/>
  <c r="U119" i="1"/>
  <c r="V119" i="1"/>
  <c r="X119" i="1"/>
  <c r="Y119" i="1"/>
  <c r="Z119" i="1"/>
  <c r="J120" i="1"/>
  <c r="K120" i="1"/>
  <c r="L120" i="1"/>
  <c r="N120" i="1"/>
  <c r="O120" i="1"/>
  <c r="Q120" i="1"/>
  <c r="R120" i="1"/>
  <c r="T120" i="1"/>
  <c r="U120" i="1"/>
  <c r="V120" i="1"/>
  <c r="X120" i="1"/>
  <c r="Y120" i="1"/>
  <c r="Z120" i="1"/>
  <c r="J121" i="1"/>
  <c r="K121" i="1"/>
  <c r="L121" i="1"/>
  <c r="N121" i="1"/>
  <c r="O121" i="1"/>
  <c r="Q121" i="1"/>
  <c r="R121" i="1"/>
  <c r="T121" i="1"/>
  <c r="U121" i="1"/>
  <c r="V121" i="1"/>
  <c r="X121" i="1"/>
  <c r="Y121" i="1"/>
  <c r="Z121" i="1"/>
  <c r="J122" i="1"/>
  <c r="K122" i="1"/>
  <c r="L122" i="1"/>
  <c r="N122" i="1"/>
  <c r="O122" i="1"/>
  <c r="Q122" i="1"/>
  <c r="R122" i="1"/>
  <c r="T122" i="1"/>
  <c r="U122" i="1"/>
  <c r="V122" i="1"/>
  <c r="X122" i="1"/>
  <c r="Y122" i="1"/>
  <c r="Z122" i="1"/>
  <c r="J123" i="1"/>
  <c r="K123" i="1"/>
  <c r="L123" i="1"/>
  <c r="N123" i="1"/>
  <c r="O123" i="1"/>
  <c r="Q123" i="1"/>
  <c r="R123" i="1"/>
  <c r="T123" i="1"/>
  <c r="U123" i="1"/>
  <c r="V123" i="1"/>
  <c r="X123" i="1"/>
  <c r="Y123" i="1"/>
  <c r="Z123" i="1"/>
  <c r="J124" i="1"/>
  <c r="K124" i="1"/>
  <c r="L124" i="1"/>
  <c r="N124" i="1"/>
  <c r="O124" i="1"/>
  <c r="Q124" i="1"/>
  <c r="R124" i="1"/>
  <c r="T124" i="1"/>
  <c r="U124" i="1"/>
  <c r="V124" i="1"/>
  <c r="X124" i="1"/>
  <c r="Y124" i="1"/>
  <c r="Z124" i="1"/>
  <c r="J125" i="1"/>
  <c r="K125" i="1"/>
  <c r="L125" i="1"/>
  <c r="N125" i="1"/>
  <c r="O125" i="1"/>
  <c r="Q125" i="1"/>
  <c r="R125" i="1"/>
  <c r="T125" i="1"/>
  <c r="U125" i="1"/>
  <c r="V125" i="1"/>
  <c r="X125" i="1"/>
  <c r="Y125" i="1"/>
  <c r="Z125" i="1"/>
  <c r="J126" i="1"/>
  <c r="K126" i="1"/>
  <c r="L126" i="1"/>
  <c r="N126" i="1"/>
  <c r="O126" i="1"/>
  <c r="Q126" i="1"/>
  <c r="R126" i="1"/>
  <c r="T126" i="1"/>
  <c r="U126" i="1"/>
  <c r="V126" i="1"/>
  <c r="X126" i="1"/>
  <c r="Y126" i="1"/>
  <c r="Z126" i="1"/>
  <c r="J127" i="1"/>
  <c r="K127" i="1"/>
  <c r="L127" i="1"/>
  <c r="N127" i="1"/>
  <c r="O127" i="1"/>
  <c r="Q127" i="1"/>
  <c r="R127" i="1"/>
  <c r="T127" i="1"/>
  <c r="U127" i="1"/>
  <c r="V127" i="1"/>
  <c r="X127" i="1"/>
  <c r="Y127" i="1"/>
  <c r="Z127" i="1"/>
  <c r="J128" i="1"/>
  <c r="K128" i="1"/>
  <c r="L128" i="1"/>
  <c r="N128" i="1"/>
  <c r="O128" i="1"/>
  <c r="Q128" i="1"/>
  <c r="R128" i="1"/>
  <c r="T128" i="1"/>
  <c r="U128" i="1"/>
  <c r="V128" i="1"/>
  <c r="X128" i="1"/>
  <c r="Y128" i="1"/>
  <c r="Z128" i="1"/>
  <c r="J129" i="1"/>
  <c r="K129" i="1"/>
  <c r="L129" i="1"/>
  <c r="N129" i="1"/>
  <c r="O129" i="1"/>
  <c r="Q129" i="1"/>
  <c r="R129" i="1"/>
  <c r="T129" i="1"/>
  <c r="U129" i="1"/>
  <c r="V129" i="1"/>
  <c r="X129" i="1"/>
  <c r="Y129" i="1"/>
  <c r="Z129" i="1"/>
  <c r="J130" i="1"/>
  <c r="K130" i="1"/>
  <c r="L130" i="1"/>
  <c r="N130" i="1"/>
  <c r="O130" i="1"/>
  <c r="Q130" i="1"/>
  <c r="R130" i="1"/>
  <c r="T130" i="1"/>
  <c r="U130" i="1"/>
  <c r="V130" i="1"/>
  <c r="X130" i="1"/>
  <c r="Y130" i="1"/>
  <c r="Z130" i="1"/>
  <c r="J131" i="1"/>
  <c r="K131" i="1"/>
  <c r="L131" i="1"/>
  <c r="N131" i="1"/>
  <c r="O131" i="1"/>
  <c r="Q131" i="1"/>
  <c r="R131" i="1"/>
  <c r="T131" i="1"/>
  <c r="U131" i="1"/>
  <c r="V131" i="1"/>
  <c r="X131" i="1"/>
  <c r="Y131" i="1"/>
  <c r="Z131" i="1"/>
  <c r="J132" i="1"/>
  <c r="K132" i="1"/>
  <c r="L132" i="1"/>
  <c r="N132" i="1"/>
  <c r="O132" i="1"/>
  <c r="Q132" i="1"/>
  <c r="R132" i="1"/>
  <c r="T132" i="1"/>
  <c r="U132" i="1"/>
  <c r="V132" i="1"/>
  <c r="X132" i="1"/>
  <c r="Y132" i="1"/>
  <c r="Z132" i="1"/>
  <c r="J133" i="1"/>
  <c r="K133" i="1"/>
  <c r="L133" i="1"/>
  <c r="N133" i="1"/>
  <c r="O133" i="1"/>
  <c r="Q133" i="1"/>
  <c r="R133" i="1"/>
  <c r="T133" i="1"/>
  <c r="U133" i="1"/>
  <c r="V133" i="1"/>
  <c r="X133" i="1"/>
  <c r="Y133" i="1"/>
  <c r="Z133" i="1"/>
  <c r="J134" i="1"/>
  <c r="K134" i="1"/>
  <c r="L134" i="1"/>
  <c r="N134" i="1"/>
  <c r="O134" i="1"/>
  <c r="Q134" i="1"/>
  <c r="R134" i="1"/>
  <c r="T134" i="1"/>
  <c r="U134" i="1"/>
  <c r="V134" i="1"/>
  <c r="X134" i="1"/>
  <c r="Y134" i="1"/>
  <c r="Z134" i="1"/>
  <c r="J135" i="1"/>
  <c r="K135" i="1"/>
  <c r="L135" i="1"/>
  <c r="N135" i="1"/>
  <c r="O135" i="1"/>
  <c r="Q135" i="1"/>
  <c r="R135" i="1"/>
  <c r="T135" i="1"/>
  <c r="U135" i="1"/>
  <c r="V135" i="1"/>
  <c r="X135" i="1"/>
  <c r="Y135" i="1"/>
  <c r="Z135" i="1"/>
  <c r="J136" i="1"/>
  <c r="K136" i="1"/>
  <c r="L136" i="1"/>
  <c r="N136" i="1"/>
  <c r="O136" i="1"/>
  <c r="Q136" i="1"/>
  <c r="R136" i="1"/>
  <c r="T136" i="1"/>
  <c r="U136" i="1"/>
  <c r="V136" i="1"/>
  <c r="X136" i="1"/>
  <c r="Y136" i="1"/>
  <c r="Z136" i="1"/>
  <c r="J137" i="1"/>
  <c r="K137" i="1"/>
  <c r="L137" i="1"/>
  <c r="N137" i="1"/>
  <c r="O137" i="1"/>
  <c r="Q137" i="1"/>
  <c r="R137" i="1"/>
  <c r="T137" i="1"/>
  <c r="U137" i="1"/>
  <c r="V137" i="1"/>
  <c r="X137" i="1"/>
  <c r="Y137" i="1"/>
  <c r="Z137" i="1"/>
  <c r="J138" i="1"/>
  <c r="K138" i="1"/>
  <c r="L138" i="1"/>
  <c r="N138" i="1"/>
  <c r="O138" i="1"/>
  <c r="Q138" i="1"/>
  <c r="R138" i="1"/>
  <c r="T138" i="1"/>
  <c r="U138" i="1"/>
  <c r="V138" i="1"/>
  <c r="X138" i="1"/>
  <c r="Y138" i="1"/>
  <c r="Z138" i="1"/>
  <c r="J139" i="1"/>
  <c r="K139" i="1"/>
  <c r="L139" i="1"/>
  <c r="N139" i="1"/>
  <c r="O139" i="1"/>
  <c r="Q139" i="1"/>
  <c r="R139" i="1"/>
  <c r="T139" i="1"/>
  <c r="U139" i="1"/>
  <c r="V139" i="1"/>
  <c r="X139" i="1"/>
  <c r="Y139" i="1"/>
  <c r="Z139" i="1"/>
  <c r="J140" i="1"/>
  <c r="K140" i="1"/>
  <c r="L140" i="1"/>
  <c r="N140" i="1"/>
  <c r="O140" i="1"/>
  <c r="Q140" i="1"/>
  <c r="R140" i="1"/>
  <c r="T140" i="1"/>
  <c r="U140" i="1"/>
  <c r="V140" i="1"/>
  <c r="X140" i="1"/>
  <c r="Y140" i="1"/>
  <c r="Z140" i="1"/>
  <c r="J141" i="1"/>
  <c r="K141" i="1"/>
  <c r="L141" i="1"/>
  <c r="N141" i="1"/>
  <c r="O141" i="1"/>
  <c r="Q141" i="1"/>
  <c r="R141" i="1"/>
  <c r="T141" i="1"/>
  <c r="U141" i="1"/>
  <c r="V141" i="1"/>
  <c r="X141" i="1"/>
  <c r="Y141" i="1"/>
  <c r="Z141" i="1"/>
  <c r="J142" i="1"/>
  <c r="K142" i="1"/>
  <c r="L142" i="1"/>
  <c r="N142" i="1"/>
  <c r="O142" i="1"/>
  <c r="Q142" i="1"/>
  <c r="R142" i="1"/>
  <c r="T142" i="1"/>
  <c r="U142" i="1"/>
  <c r="V142" i="1"/>
  <c r="X142" i="1"/>
  <c r="Y142" i="1"/>
  <c r="Z142" i="1"/>
  <c r="J143" i="1"/>
  <c r="K143" i="1"/>
  <c r="L143" i="1"/>
  <c r="N143" i="1"/>
  <c r="O143" i="1"/>
  <c r="Q143" i="1"/>
  <c r="R143" i="1"/>
  <c r="T143" i="1"/>
  <c r="U143" i="1"/>
  <c r="V143" i="1"/>
  <c r="X143" i="1"/>
  <c r="Y143" i="1"/>
  <c r="Z143" i="1"/>
  <c r="J144" i="1"/>
  <c r="K144" i="1"/>
  <c r="L144" i="1"/>
  <c r="N144" i="1"/>
  <c r="O144" i="1"/>
  <c r="Q144" i="1"/>
  <c r="R144" i="1"/>
  <c r="T144" i="1"/>
  <c r="U144" i="1"/>
  <c r="V144" i="1"/>
  <c r="X144" i="1"/>
  <c r="Y144" i="1"/>
  <c r="Z144" i="1"/>
  <c r="J145" i="1"/>
  <c r="K145" i="1"/>
  <c r="L145" i="1"/>
  <c r="N145" i="1"/>
  <c r="O145" i="1"/>
  <c r="Q145" i="1"/>
  <c r="R145" i="1"/>
  <c r="T145" i="1"/>
  <c r="U145" i="1"/>
  <c r="V145" i="1"/>
  <c r="X145" i="1"/>
  <c r="Y145" i="1"/>
  <c r="Z145" i="1"/>
  <c r="J146" i="1"/>
  <c r="K146" i="1"/>
  <c r="L146" i="1"/>
  <c r="N146" i="1"/>
  <c r="O146" i="1"/>
  <c r="Q146" i="1"/>
  <c r="R146" i="1"/>
  <c r="T146" i="1"/>
  <c r="U146" i="1"/>
  <c r="V146" i="1"/>
  <c r="X146" i="1"/>
  <c r="Y146" i="1"/>
  <c r="Z146" i="1"/>
  <c r="J147" i="1"/>
  <c r="K147" i="1"/>
  <c r="L147" i="1"/>
  <c r="N147" i="1"/>
  <c r="O147" i="1"/>
  <c r="Q147" i="1"/>
  <c r="R147" i="1"/>
  <c r="T147" i="1"/>
  <c r="U147" i="1"/>
  <c r="V147" i="1"/>
  <c r="X147" i="1"/>
  <c r="Y147" i="1"/>
  <c r="Z147" i="1"/>
  <c r="J148" i="1"/>
  <c r="K148" i="1"/>
  <c r="L148" i="1"/>
  <c r="N148" i="1"/>
  <c r="O148" i="1"/>
  <c r="Q148" i="1"/>
  <c r="R148" i="1"/>
  <c r="T148" i="1"/>
  <c r="U148" i="1"/>
  <c r="V148" i="1"/>
  <c r="X148" i="1"/>
  <c r="Y148" i="1"/>
  <c r="Z148" i="1"/>
  <c r="J149" i="1"/>
  <c r="K149" i="1"/>
  <c r="L149" i="1"/>
  <c r="N149" i="1"/>
  <c r="O149" i="1"/>
  <c r="Q149" i="1"/>
  <c r="R149" i="1"/>
  <c r="T149" i="1"/>
  <c r="U149" i="1"/>
  <c r="V149" i="1"/>
  <c r="X149" i="1"/>
  <c r="Y149" i="1"/>
  <c r="Z149" i="1"/>
  <c r="J150" i="1"/>
  <c r="K150" i="1"/>
  <c r="L150" i="1"/>
  <c r="N150" i="1"/>
  <c r="O150" i="1"/>
  <c r="Q150" i="1"/>
  <c r="R150" i="1"/>
  <c r="T150" i="1"/>
  <c r="U150" i="1"/>
  <c r="V150" i="1"/>
  <c r="X150" i="1"/>
  <c r="Y150" i="1"/>
  <c r="Z150" i="1"/>
  <c r="J151" i="1"/>
  <c r="K151" i="1"/>
  <c r="L151" i="1"/>
  <c r="N151" i="1"/>
  <c r="O151" i="1"/>
  <c r="Q151" i="1"/>
  <c r="R151" i="1"/>
  <c r="T151" i="1"/>
  <c r="U151" i="1"/>
  <c r="V151" i="1"/>
  <c r="X151" i="1"/>
  <c r="Y151" i="1"/>
  <c r="Z151" i="1"/>
  <c r="J152" i="1"/>
  <c r="K152" i="1"/>
  <c r="L152" i="1"/>
  <c r="N152" i="1"/>
  <c r="O152" i="1"/>
  <c r="Q152" i="1"/>
  <c r="R152" i="1"/>
  <c r="T152" i="1"/>
  <c r="U152" i="1"/>
  <c r="V152" i="1"/>
  <c r="X152" i="1"/>
  <c r="Y152" i="1"/>
  <c r="Z152" i="1"/>
  <c r="J153" i="1"/>
  <c r="K153" i="1"/>
  <c r="L153" i="1"/>
  <c r="N153" i="1"/>
  <c r="O153" i="1"/>
  <c r="Q153" i="1"/>
  <c r="R153" i="1"/>
  <c r="T153" i="1"/>
  <c r="U153" i="1"/>
  <c r="V153" i="1"/>
  <c r="X153" i="1"/>
  <c r="Y153" i="1"/>
  <c r="Z153" i="1"/>
  <c r="J154" i="1"/>
  <c r="K154" i="1"/>
  <c r="L154" i="1"/>
  <c r="N154" i="1"/>
  <c r="O154" i="1"/>
  <c r="Q154" i="1"/>
  <c r="R154" i="1"/>
  <c r="T154" i="1"/>
  <c r="U154" i="1"/>
  <c r="V154" i="1"/>
  <c r="X154" i="1"/>
  <c r="Y154" i="1"/>
  <c r="Z154" i="1"/>
  <c r="J155" i="1"/>
  <c r="K155" i="1"/>
  <c r="L155" i="1"/>
  <c r="N155" i="1"/>
  <c r="O155" i="1"/>
  <c r="Q155" i="1"/>
  <c r="R155" i="1"/>
  <c r="T155" i="1"/>
  <c r="U155" i="1"/>
  <c r="V155" i="1"/>
  <c r="X155" i="1"/>
  <c r="Y155" i="1"/>
  <c r="Z155" i="1"/>
  <c r="J156" i="1"/>
  <c r="K156" i="1"/>
  <c r="L156" i="1"/>
  <c r="N156" i="1"/>
  <c r="O156" i="1"/>
  <c r="Q156" i="1"/>
  <c r="R156" i="1"/>
  <c r="T156" i="1"/>
  <c r="U156" i="1"/>
  <c r="V156" i="1"/>
  <c r="X156" i="1"/>
  <c r="Y156" i="1"/>
  <c r="Z156" i="1"/>
  <c r="J157" i="1"/>
  <c r="K157" i="1"/>
  <c r="L157" i="1"/>
  <c r="N157" i="1"/>
  <c r="O157" i="1"/>
  <c r="Q157" i="1"/>
  <c r="R157" i="1"/>
  <c r="T157" i="1"/>
  <c r="U157" i="1"/>
  <c r="V157" i="1"/>
  <c r="X157" i="1"/>
  <c r="Y157" i="1"/>
  <c r="Z157" i="1"/>
  <c r="J158" i="1"/>
  <c r="K158" i="1"/>
  <c r="L158" i="1"/>
  <c r="N158" i="1"/>
  <c r="O158" i="1"/>
  <c r="Q158" i="1"/>
  <c r="R158" i="1"/>
  <c r="T158" i="1"/>
  <c r="U158" i="1"/>
  <c r="V158" i="1"/>
  <c r="X158" i="1"/>
  <c r="Y158" i="1"/>
  <c r="Z158" i="1"/>
  <c r="J159" i="1"/>
  <c r="K159" i="1"/>
  <c r="L159" i="1"/>
  <c r="N159" i="1"/>
  <c r="O159" i="1"/>
  <c r="Q159" i="1"/>
  <c r="R159" i="1"/>
  <c r="T159" i="1"/>
  <c r="U159" i="1"/>
  <c r="V159" i="1"/>
  <c r="X159" i="1"/>
  <c r="Y159" i="1"/>
  <c r="Z159" i="1"/>
  <c r="J160" i="1"/>
  <c r="K160" i="1"/>
  <c r="L160" i="1"/>
  <c r="N160" i="1"/>
  <c r="O160" i="1"/>
  <c r="Q160" i="1"/>
  <c r="R160" i="1"/>
  <c r="T160" i="1"/>
  <c r="U160" i="1"/>
  <c r="V160" i="1"/>
  <c r="X160" i="1"/>
  <c r="Y160" i="1"/>
  <c r="Z160" i="1"/>
  <c r="J161" i="1"/>
  <c r="K161" i="1"/>
  <c r="L161" i="1"/>
  <c r="N161" i="1"/>
  <c r="O161" i="1"/>
  <c r="Q161" i="1"/>
  <c r="R161" i="1"/>
  <c r="T161" i="1"/>
  <c r="U161" i="1"/>
  <c r="V161" i="1"/>
  <c r="X161" i="1"/>
  <c r="Y161" i="1"/>
  <c r="Z161" i="1"/>
  <c r="J162" i="1"/>
  <c r="K162" i="1"/>
  <c r="L162" i="1"/>
  <c r="N162" i="1"/>
  <c r="O162" i="1"/>
  <c r="Q162" i="1"/>
  <c r="R162" i="1"/>
  <c r="T162" i="1"/>
  <c r="U162" i="1"/>
  <c r="V162" i="1"/>
  <c r="X162" i="1"/>
  <c r="Y162" i="1"/>
  <c r="Z162" i="1"/>
  <c r="J163" i="1"/>
  <c r="K163" i="1"/>
  <c r="L163" i="1"/>
  <c r="N163" i="1"/>
  <c r="O163" i="1"/>
  <c r="Q163" i="1"/>
  <c r="R163" i="1"/>
  <c r="T163" i="1"/>
  <c r="U163" i="1"/>
  <c r="V163" i="1"/>
  <c r="X163" i="1"/>
  <c r="Y163" i="1"/>
  <c r="Z163" i="1"/>
  <c r="J164" i="1"/>
  <c r="K164" i="1"/>
  <c r="L164" i="1"/>
  <c r="N164" i="1"/>
  <c r="O164" i="1"/>
  <c r="Q164" i="1"/>
  <c r="R164" i="1"/>
  <c r="T164" i="1"/>
  <c r="U164" i="1"/>
  <c r="V164" i="1"/>
  <c r="X164" i="1"/>
  <c r="Y164" i="1"/>
  <c r="Z164" i="1"/>
  <c r="J165" i="1"/>
  <c r="K165" i="1"/>
  <c r="L165" i="1"/>
  <c r="N165" i="1"/>
  <c r="O165" i="1"/>
  <c r="Q165" i="1"/>
  <c r="R165" i="1"/>
  <c r="T165" i="1"/>
  <c r="U165" i="1"/>
  <c r="V165" i="1"/>
  <c r="X165" i="1"/>
  <c r="Y165" i="1"/>
  <c r="Z165" i="1"/>
  <c r="J166" i="1"/>
  <c r="K166" i="1"/>
  <c r="L166" i="1"/>
  <c r="N166" i="1"/>
  <c r="O166" i="1"/>
  <c r="Q166" i="1"/>
  <c r="R166" i="1"/>
  <c r="T166" i="1"/>
  <c r="U166" i="1"/>
  <c r="V166" i="1"/>
  <c r="X166" i="1"/>
  <c r="Y166" i="1"/>
  <c r="Z166" i="1"/>
  <c r="J167" i="1"/>
  <c r="K167" i="1"/>
  <c r="L167" i="1"/>
  <c r="N167" i="1"/>
  <c r="O167" i="1"/>
  <c r="Q167" i="1"/>
  <c r="R167" i="1"/>
  <c r="T167" i="1"/>
  <c r="U167" i="1"/>
  <c r="V167" i="1"/>
  <c r="X167" i="1"/>
  <c r="Y167" i="1"/>
  <c r="Z167" i="1"/>
  <c r="J168" i="1"/>
  <c r="K168" i="1"/>
  <c r="L168" i="1"/>
  <c r="N168" i="1"/>
  <c r="O168" i="1"/>
  <c r="Q168" i="1"/>
  <c r="R168" i="1"/>
  <c r="T168" i="1"/>
  <c r="U168" i="1"/>
  <c r="V168" i="1"/>
  <c r="X168" i="1"/>
  <c r="Y168" i="1"/>
  <c r="Z168" i="1"/>
  <c r="J169" i="1"/>
  <c r="K169" i="1"/>
  <c r="L169" i="1"/>
  <c r="N169" i="1"/>
  <c r="O169" i="1"/>
  <c r="Q169" i="1"/>
  <c r="R169" i="1"/>
  <c r="T169" i="1"/>
  <c r="U169" i="1"/>
  <c r="V169" i="1"/>
  <c r="X169" i="1"/>
  <c r="Y169" i="1"/>
  <c r="Z169" i="1"/>
  <c r="J170" i="1"/>
  <c r="K170" i="1"/>
  <c r="L170" i="1"/>
  <c r="N170" i="1"/>
  <c r="O170" i="1"/>
  <c r="Q170" i="1"/>
  <c r="R170" i="1"/>
  <c r="T170" i="1"/>
  <c r="U170" i="1"/>
  <c r="V170" i="1"/>
  <c r="X170" i="1"/>
  <c r="Y170" i="1"/>
  <c r="Z170" i="1"/>
  <c r="J171" i="1"/>
  <c r="K171" i="1"/>
  <c r="L171" i="1"/>
  <c r="N171" i="1"/>
  <c r="O171" i="1"/>
  <c r="Q171" i="1"/>
  <c r="R171" i="1"/>
  <c r="T171" i="1"/>
  <c r="U171" i="1"/>
  <c r="V171" i="1"/>
  <c r="X171" i="1"/>
  <c r="Y171" i="1"/>
  <c r="Z171" i="1"/>
  <c r="J172" i="1"/>
  <c r="K172" i="1"/>
  <c r="L172" i="1"/>
  <c r="N172" i="1"/>
  <c r="O172" i="1"/>
  <c r="Q172" i="1"/>
  <c r="R172" i="1"/>
  <c r="T172" i="1"/>
  <c r="U172" i="1"/>
  <c r="V172" i="1"/>
  <c r="X172" i="1"/>
  <c r="Y172" i="1"/>
  <c r="Z172" i="1"/>
  <c r="J173" i="1"/>
  <c r="K173" i="1"/>
  <c r="L173" i="1"/>
  <c r="N173" i="1"/>
  <c r="O173" i="1"/>
  <c r="Q173" i="1"/>
  <c r="R173" i="1"/>
  <c r="T173" i="1"/>
  <c r="U173" i="1"/>
  <c r="V173" i="1"/>
  <c r="X173" i="1"/>
  <c r="Y173" i="1"/>
  <c r="Z173" i="1"/>
  <c r="J174" i="1"/>
  <c r="K174" i="1"/>
  <c r="L174" i="1"/>
  <c r="N174" i="1"/>
  <c r="O174" i="1"/>
  <c r="Q174" i="1"/>
  <c r="R174" i="1"/>
  <c r="T174" i="1"/>
  <c r="U174" i="1"/>
  <c r="V174" i="1"/>
  <c r="X174" i="1"/>
  <c r="Y174" i="1"/>
  <c r="Z174" i="1"/>
  <c r="J175" i="1"/>
  <c r="K175" i="1"/>
  <c r="L175" i="1"/>
  <c r="N175" i="1"/>
  <c r="O175" i="1"/>
  <c r="Q175" i="1"/>
  <c r="R175" i="1"/>
  <c r="T175" i="1"/>
  <c r="U175" i="1"/>
  <c r="V175" i="1"/>
  <c r="X175" i="1"/>
  <c r="Y175" i="1"/>
  <c r="Z175" i="1"/>
  <c r="J176" i="1"/>
  <c r="K176" i="1"/>
  <c r="L176" i="1"/>
  <c r="N176" i="1"/>
  <c r="O176" i="1"/>
  <c r="Q176" i="1"/>
  <c r="R176" i="1"/>
  <c r="T176" i="1"/>
  <c r="U176" i="1"/>
  <c r="V176" i="1"/>
  <c r="X176" i="1"/>
  <c r="Y176" i="1"/>
  <c r="Z176" i="1"/>
  <c r="J177" i="1"/>
  <c r="K177" i="1"/>
  <c r="L177" i="1"/>
  <c r="N177" i="1"/>
  <c r="O177" i="1"/>
  <c r="Q177" i="1"/>
  <c r="R177" i="1"/>
  <c r="T177" i="1"/>
  <c r="U177" i="1"/>
  <c r="V177" i="1"/>
  <c r="X177" i="1"/>
  <c r="Y177" i="1"/>
  <c r="Z177" i="1"/>
  <c r="J178" i="1"/>
  <c r="K178" i="1"/>
  <c r="L178" i="1"/>
  <c r="N178" i="1"/>
  <c r="O178" i="1"/>
  <c r="Q178" i="1"/>
  <c r="R178" i="1"/>
  <c r="T178" i="1"/>
  <c r="U178" i="1"/>
  <c r="V178" i="1"/>
  <c r="X178" i="1"/>
  <c r="Y178" i="1"/>
  <c r="Z178" i="1"/>
  <c r="J179" i="1"/>
  <c r="K179" i="1"/>
  <c r="L179" i="1"/>
  <c r="N179" i="1"/>
  <c r="O179" i="1"/>
  <c r="Q179" i="1"/>
  <c r="R179" i="1"/>
  <c r="T179" i="1"/>
  <c r="U179" i="1"/>
  <c r="V179" i="1"/>
  <c r="X179" i="1"/>
  <c r="Y179" i="1"/>
  <c r="Z179" i="1"/>
  <c r="J180" i="1"/>
  <c r="K180" i="1"/>
  <c r="L180" i="1"/>
  <c r="N180" i="1"/>
  <c r="O180" i="1"/>
  <c r="Q180" i="1"/>
  <c r="R180" i="1"/>
  <c r="T180" i="1"/>
  <c r="U180" i="1"/>
  <c r="V180" i="1"/>
  <c r="X180" i="1"/>
  <c r="Y180" i="1"/>
  <c r="Z180" i="1"/>
  <c r="J181" i="1"/>
  <c r="K181" i="1"/>
  <c r="L181" i="1"/>
  <c r="N181" i="1"/>
  <c r="O181" i="1"/>
  <c r="Q181" i="1"/>
  <c r="R181" i="1"/>
  <c r="T181" i="1"/>
  <c r="U181" i="1"/>
  <c r="V181" i="1"/>
  <c r="X181" i="1"/>
  <c r="Y181" i="1"/>
  <c r="Z181" i="1"/>
  <c r="J182" i="1"/>
  <c r="K182" i="1"/>
  <c r="L182" i="1"/>
  <c r="N182" i="1"/>
  <c r="O182" i="1"/>
  <c r="Q182" i="1"/>
  <c r="R182" i="1"/>
  <c r="T182" i="1"/>
  <c r="U182" i="1"/>
  <c r="V182" i="1"/>
  <c r="X182" i="1"/>
  <c r="Y182" i="1"/>
  <c r="Z182" i="1"/>
  <c r="J183" i="1"/>
  <c r="K183" i="1"/>
  <c r="L183" i="1"/>
  <c r="N183" i="1"/>
  <c r="O183" i="1"/>
  <c r="Q183" i="1"/>
  <c r="R183" i="1"/>
  <c r="T183" i="1"/>
  <c r="U183" i="1"/>
  <c r="V183" i="1"/>
  <c r="X183" i="1"/>
  <c r="Y183" i="1"/>
  <c r="Z183" i="1"/>
  <c r="J184" i="1"/>
  <c r="K184" i="1"/>
  <c r="L184" i="1"/>
  <c r="N184" i="1"/>
  <c r="O184" i="1"/>
  <c r="Q184" i="1"/>
  <c r="R184" i="1"/>
  <c r="T184" i="1"/>
  <c r="U184" i="1"/>
  <c r="V184" i="1"/>
  <c r="X184" i="1"/>
  <c r="Y184" i="1"/>
  <c r="Z184" i="1"/>
  <c r="J185" i="1"/>
  <c r="K185" i="1"/>
  <c r="L185" i="1"/>
  <c r="N185" i="1"/>
  <c r="O185" i="1"/>
  <c r="Q185" i="1"/>
  <c r="R185" i="1"/>
  <c r="T185" i="1"/>
  <c r="U185" i="1"/>
  <c r="V185" i="1"/>
  <c r="X185" i="1"/>
  <c r="Y185" i="1"/>
  <c r="Z185" i="1"/>
  <c r="J186" i="1"/>
  <c r="K186" i="1"/>
  <c r="L186" i="1"/>
  <c r="N186" i="1"/>
  <c r="O186" i="1"/>
  <c r="Q186" i="1"/>
  <c r="R186" i="1"/>
  <c r="T186" i="1"/>
  <c r="U186" i="1"/>
  <c r="V186" i="1"/>
  <c r="X186" i="1"/>
  <c r="Y186" i="1"/>
  <c r="Z186" i="1"/>
  <c r="J187" i="1"/>
  <c r="K187" i="1"/>
  <c r="L187" i="1"/>
  <c r="N187" i="1"/>
  <c r="O187" i="1"/>
  <c r="Q187" i="1"/>
  <c r="R187" i="1"/>
  <c r="T187" i="1"/>
  <c r="U187" i="1"/>
  <c r="V187" i="1"/>
  <c r="X187" i="1"/>
  <c r="Y187" i="1"/>
  <c r="Z187" i="1"/>
  <c r="J188" i="1"/>
  <c r="K188" i="1"/>
  <c r="L188" i="1"/>
  <c r="N188" i="1"/>
  <c r="O188" i="1"/>
  <c r="Q188" i="1"/>
  <c r="R188" i="1"/>
  <c r="T188" i="1"/>
  <c r="U188" i="1"/>
  <c r="V188" i="1"/>
  <c r="X188" i="1"/>
  <c r="Y188" i="1"/>
  <c r="Z188" i="1"/>
  <c r="J189" i="1"/>
  <c r="K189" i="1"/>
  <c r="L189" i="1"/>
  <c r="N189" i="1"/>
  <c r="O189" i="1"/>
  <c r="Q189" i="1"/>
  <c r="R189" i="1"/>
  <c r="T189" i="1"/>
  <c r="U189" i="1"/>
  <c r="V189" i="1"/>
  <c r="X189" i="1"/>
  <c r="Y189" i="1"/>
  <c r="Z189" i="1"/>
  <c r="J190" i="1"/>
  <c r="K190" i="1"/>
  <c r="L190" i="1"/>
  <c r="N190" i="1"/>
  <c r="O190" i="1"/>
  <c r="Q190" i="1"/>
  <c r="R190" i="1"/>
  <c r="T190" i="1"/>
  <c r="U190" i="1"/>
  <c r="V190" i="1"/>
  <c r="X190" i="1"/>
  <c r="Y190" i="1"/>
  <c r="Z190" i="1"/>
  <c r="J191" i="1"/>
  <c r="K191" i="1"/>
  <c r="L191" i="1"/>
  <c r="N191" i="1"/>
  <c r="O191" i="1"/>
  <c r="Q191" i="1"/>
  <c r="R191" i="1"/>
  <c r="T191" i="1"/>
  <c r="U191" i="1"/>
  <c r="V191" i="1"/>
  <c r="X191" i="1"/>
  <c r="Y191" i="1"/>
  <c r="Z191" i="1"/>
  <c r="J192" i="1"/>
  <c r="K192" i="1"/>
  <c r="L192" i="1"/>
  <c r="N192" i="1"/>
  <c r="O192" i="1"/>
  <c r="Q192" i="1"/>
  <c r="R192" i="1"/>
  <c r="T192" i="1"/>
  <c r="U192" i="1"/>
  <c r="V192" i="1"/>
  <c r="X192" i="1"/>
  <c r="Y192" i="1"/>
  <c r="Z192" i="1"/>
  <c r="J193" i="1"/>
  <c r="K193" i="1"/>
  <c r="L193" i="1"/>
  <c r="N193" i="1"/>
  <c r="O193" i="1"/>
  <c r="Q193" i="1"/>
  <c r="R193" i="1"/>
  <c r="T193" i="1"/>
  <c r="U193" i="1"/>
  <c r="V193" i="1"/>
  <c r="X193" i="1"/>
  <c r="Y193" i="1"/>
  <c r="Z193" i="1"/>
  <c r="J194" i="1"/>
  <c r="K194" i="1"/>
  <c r="L194" i="1"/>
  <c r="N194" i="1"/>
  <c r="O194" i="1"/>
  <c r="Q194" i="1"/>
  <c r="R194" i="1"/>
  <c r="T194" i="1"/>
  <c r="U194" i="1"/>
  <c r="V194" i="1"/>
  <c r="X194" i="1"/>
  <c r="Y194" i="1"/>
  <c r="Z194" i="1"/>
  <c r="J195" i="1"/>
  <c r="K195" i="1"/>
  <c r="L195" i="1"/>
  <c r="N195" i="1"/>
  <c r="O195" i="1"/>
  <c r="Q195" i="1"/>
  <c r="R195" i="1"/>
  <c r="T195" i="1"/>
  <c r="U195" i="1"/>
  <c r="V195" i="1"/>
  <c r="X195" i="1"/>
  <c r="Y195" i="1"/>
  <c r="Z195" i="1"/>
  <c r="J196" i="1"/>
  <c r="K196" i="1"/>
  <c r="L196" i="1"/>
  <c r="N196" i="1"/>
  <c r="O196" i="1"/>
  <c r="Q196" i="1"/>
  <c r="R196" i="1"/>
  <c r="T196" i="1"/>
  <c r="U196" i="1"/>
  <c r="V196" i="1"/>
  <c r="X196" i="1"/>
  <c r="Y196" i="1"/>
  <c r="Z196" i="1"/>
  <c r="J197" i="1"/>
  <c r="K197" i="1"/>
  <c r="L197" i="1"/>
  <c r="N197" i="1"/>
  <c r="O197" i="1"/>
  <c r="Q197" i="1"/>
  <c r="R197" i="1"/>
  <c r="T197" i="1"/>
  <c r="U197" i="1"/>
  <c r="V197" i="1"/>
  <c r="X197" i="1"/>
  <c r="Y197" i="1"/>
  <c r="Z197" i="1"/>
  <c r="J198" i="1"/>
  <c r="K198" i="1"/>
  <c r="L198" i="1"/>
  <c r="N198" i="1"/>
  <c r="O198" i="1"/>
  <c r="Q198" i="1"/>
  <c r="R198" i="1"/>
  <c r="T198" i="1"/>
  <c r="U198" i="1"/>
  <c r="V198" i="1"/>
  <c r="X198" i="1"/>
  <c r="Y198" i="1"/>
  <c r="Z198" i="1"/>
  <c r="J199" i="1"/>
  <c r="K199" i="1"/>
  <c r="L199" i="1"/>
  <c r="N199" i="1"/>
  <c r="O199" i="1"/>
  <c r="Q199" i="1"/>
  <c r="R199" i="1"/>
  <c r="T199" i="1"/>
  <c r="U199" i="1"/>
  <c r="V199" i="1"/>
  <c r="X199" i="1"/>
  <c r="Y199" i="1"/>
  <c r="Z199" i="1"/>
  <c r="J200" i="1"/>
  <c r="K200" i="1"/>
  <c r="L200" i="1"/>
  <c r="N200" i="1"/>
  <c r="O200" i="1"/>
  <c r="Q200" i="1"/>
  <c r="R200" i="1"/>
  <c r="T200" i="1"/>
  <c r="U200" i="1"/>
  <c r="V200" i="1"/>
  <c r="X200" i="1"/>
  <c r="Y200" i="1"/>
  <c r="Z200" i="1"/>
  <c r="J201" i="1"/>
  <c r="K201" i="1"/>
  <c r="L201" i="1"/>
  <c r="N201" i="1"/>
  <c r="O201" i="1"/>
  <c r="Q201" i="1"/>
  <c r="R201" i="1"/>
  <c r="T201" i="1"/>
  <c r="U201" i="1"/>
  <c r="V201" i="1"/>
  <c r="X201" i="1"/>
  <c r="Y201" i="1"/>
  <c r="Z201" i="1"/>
  <c r="J202" i="1"/>
  <c r="K202" i="1"/>
  <c r="L202" i="1"/>
  <c r="N202" i="1"/>
  <c r="O202" i="1"/>
  <c r="Q202" i="1"/>
  <c r="R202" i="1"/>
  <c r="T202" i="1"/>
  <c r="U202" i="1"/>
  <c r="V202" i="1"/>
  <c r="X202" i="1"/>
  <c r="Y202" i="1"/>
  <c r="Z202" i="1"/>
  <c r="Z3" i="1"/>
  <c r="Y3" i="1"/>
  <c r="X3" i="1"/>
  <c r="R3" i="1"/>
  <c r="Q3" i="1"/>
  <c r="O3" i="1"/>
  <c r="N3" i="1"/>
  <c r="L3" i="1"/>
  <c r="K3" i="1"/>
  <c r="J3" i="1"/>
  <c r="F4" i="1"/>
  <c r="G4" i="1"/>
  <c r="H4" i="1"/>
  <c r="F5" i="1"/>
  <c r="G5" i="1"/>
  <c r="H5" i="1"/>
  <c r="F6" i="1"/>
  <c r="G6" i="1"/>
  <c r="H6" i="1"/>
  <c r="F7" i="1"/>
  <c r="G7" i="1"/>
  <c r="H7" i="1"/>
  <c r="F8" i="1"/>
  <c r="G8" i="1"/>
  <c r="H8" i="1"/>
  <c r="F9" i="1"/>
  <c r="G9" i="1"/>
  <c r="H9" i="1"/>
  <c r="F10" i="1"/>
  <c r="G10" i="1"/>
  <c r="H10" i="1"/>
  <c r="F11" i="1"/>
  <c r="G11" i="1"/>
  <c r="H11" i="1"/>
  <c r="F12" i="1"/>
  <c r="G12" i="1"/>
  <c r="H12" i="1"/>
  <c r="F13" i="1"/>
  <c r="G13" i="1"/>
  <c r="H13" i="1"/>
  <c r="F14" i="1"/>
  <c r="G14" i="1"/>
  <c r="H14" i="1"/>
  <c r="F15" i="1"/>
  <c r="G15" i="1"/>
  <c r="H15" i="1"/>
  <c r="F16" i="1"/>
  <c r="G16" i="1"/>
  <c r="H16" i="1"/>
  <c r="F17" i="1"/>
  <c r="G17" i="1"/>
  <c r="H17" i="1"/>
  <c r="F18" i="1"/>
  <c r="G18" i="1"/>
  <c r="H18" i="1"/>
  <c r="F19" i="1"/>
  <c r="G19" i="1"/>
  <c r="H19" i="1"/>
  <c r="F20" i="1"/>
  <c r="G20" i="1"/>
  <c r="H20" i="1"/>
  <c r="F21" i="1"/>
  <c r="G21" i="1"/>
  <c r="H21" i="1"/>
  <c r="F22" i="1"/>
  <c r="G22" i="1"/>
  <c r="H22" i="1"/>
  <c r="F23" i="1"/>
  <c r="G23" i="1"/>
  <c r="H23" i="1"/>
  <c r="F24" i="1"/>
  <c r="G24" i="1"/>
  <c r="H24" i="1"/>
  <c r="F25" i="1"/>
  <c r="G25" i="1"/>
  <c r="H25" i="1"/>
  <c r="F26" i="1"/>
  <c r="G26" i="1"/>
  <c r="H26" i="1"/>
  <c r="F27" i="1"/>
  <c r="G27" i="1"/>
  <c r="H27" i="1"/>
  <c r="F28" i="1"/>
  <c r="G28" i="1"/>
  <c r="H28" i="1"/>
  <c r="F29" i="1"/>
  <c r="G29" i="1"/>
  <c r="H29" i="1"/>
  <c r="F30" i="1"/>
  <c r="G30" i="1"/>
  <c r="H30" i="1"/>
  <c r="F31" i="1"/>
  <c r="G31" i="1"/>
  <c r="H31" i="1"/>
  <c r="F32" i="1"/>
  <c r="G32" i="1"/>
  <c r="H32" i="1"/>
  <c r="F33" i="1"/>
  <c r="G33" i="1"/>
  <c r="H33" i="1"/>
  <c r="F34" i="1"/>
  <c r="G34" i="1"/>
  <c r="H34" i="1"/>
  <c r="F35" i="1"/>
  <c r="G35" i="1"/>
  <c r="H35" i="1"/>
  <c r="F36" i="1"/>
  <c r="G36" i="1"/>
  <c r="H36" i="1"/>
  <c r="F37" i="1"/>
  <c r="G37" i="1"/>
  <c r="H37" i="1"/>
  <c r="F38" i="1"/>
  <c r="G38" i="1"/>
  <c r="H38" i="1"/>
  <c r="F39" i="1"/>
  <c r="G39" i="1"/>
  <c r="H39" i="1"/>
  <c r="F40" i="1"/>
  <c r="G40" i="1"/>
  <c r="H40" i="1"/>
  <c r="F41" i="1"/>
  <c r="G41" i="1"/>
  <c r="H41" i="1"/>
  <c r="F42" i="1"/>
  <c r="G42" i="1"/>
  <c r="H42" i="1"/>
  <c r="F43" i="1"/>
  <c r="G43" i="1"/>
  <c r="H43" i="1"/>
  <c r="F44" i="1"/>
  <c r="G44" i="1"/>
  <c r="H44" i="1"/>
  <c r="F45" i="1"/>
  <c r="G45" i="1"/>
  <c r="H45" i="1"/>
  <c r="F46" i="1"/>
  <c r="G46" i="1"/>
  <c r="H46" i="1"/>
  <c r="F47" i="1"/>
  <c r="G47" i="1"/>
  <c r="H47" i="1"/>
  <c r="F48" i="1"/>
  <c r="G48" i="1"/>
  <c r="H48" i="1"/>
  <c r="F49" i="1"/>
  <c r="G49" i="1"/>
  <c r="H49" i="1"/>
  <c r="F50" i="1"/>
  <c r="G50" i="1"/>
  <c r="H50" i="1"/>
  <c r="F51" i="1"/>
  <c r="G51" i="1"/>
  <c r="H51" i="1"/>
  <c r="F52" i="1"/>
  <c r="G52" i="1"/>
  <c r="H52" i="1"/>
  <c r="F53" i="1"/>
  <c r="G53" i="1"/>
  <c r="H53" i="1"/>
  <c r="F54" i="1"/>
  <c r="G54" i="1"/>
  <c r="H54" i="1"/>
  <c r="F55" i="1"/>
  <c r="G55" i="1"/>
  <c r="H55" i="1"/>
  <c r="F56" i="1"/>
  <c r="G56" i="1"/>
  <c r="H56" i="1"/>
  <c r="F57" i="1"/>
  <c r="G57" i="1"/>
  <c r="H57" i="1"/>
  <c r="F58" i="1"/>
  <c r="G58" i="1"/>
  <c r="H58" i="1"/>
  <c r="F59" i="1"/>
  <c r="G59" i="1"/>
  <c r="H59" i="1"/>
  <c r="F60" i="1"/>
  <c r="G60" i="1"/>
  <c r="H60" i="1"/>
  <c r="F61" i="1"/>
  <c r="G61" i="1"/>
  <c r="H61" i="1"/>
  <c r="F62" i="1"/>
  <c r="G62" i="1"/>
  <c r="H62" i="1"/>
  <c r="F63" i="1"/>
  <c r="G63" i="1"/>
  <c r="H63" i="1"/>
  <c r="F64" i="1"/>
  <c r="G64" i="1"/>
  <c r="H64" i="1"/>
  <c r="F65" i="1"/>
  <c r="G65" i="1"/>
  <c r="H65" i="1"/>
  <c r="F66" i="1"/>
  <c r="G66" i="1"/>
  <c r="H66" i="1"/>
  <c r="F67" i="1"/>
  <c r="G67" i="1"/>
  <c r="H67" i="1"/>
  <c r="F68" i="1"/>
  <c r="G68" i="1"/>
  <c r="H68" i="1"/>
  <c r="F69" i="1"/>
  <c r="G69" i="1"/>
  <c r="H69" i="1"/>
  <c r="F70" i="1"/>
  <c r="G70" i="1"/>
  <c r="H70" i="1"/>
  <c r="F71" i="1"/>
  <c r="G71" i="1"/>
  <c r="H71" i="1"/>
  <c r="F72" i="1"/>
  <c r="G72" i="1"/>
  <c r="H72" i="1"/>
  <c r="F73" i="1"/>
  <c r="G73" i="1"/>
  <c r="H73" i="1"/>
  <c r="F74" i="1"/>
  <c r="G74" i="1"/>
  <c r="H74" i="1"/>
  <c r="F75" i="1"/>
  <c r="G75" i="1"/>
  <c r="H75" i="1"/>
  <c r="F76" i="1"/>
  <c r="G76" i="1"/>
  <c r="H76" i="1"/>
  <c r="F77" i="1"/>
  <c r="G77" i="1"/>
  <c r="H77" i="1"/>
  <c r="F78" i="1"/>
  <c r="G78" i="1"/>
  <c r="H78" i="1"/>
  <c r="F79" i="1"/>
  <c r="G79" i="1"/>
  <c r="H79" i="1"/>
  <c r="F80" i="1"/>
  <c r="G80" i="1"/>
  <c r="H80" i="1"/>
  <c r="F81" i="1"/>
  <c r="G81" i="1"/>
  <c r="H81" i="1"/>
  <c r="F82" i="1"/>
  <c r="G82" i="1"/>
  <c r="H82" i="1"/>
  <c r="F83" i="1"/>
  <c r="G83" i="1"/>
  <c r="H83" i="1"/>
  <c r="F84" i="1"/>
  <c r="G84" i="1"/>
  <c r="H84" i="1"/>
  <c r="F85" i="1"/>
  <c r="G85" i="1"/>
  <c r="H85" i="1"/>
  <c r="F86" i="1"/>
  <c r="G86" i="1"/>
  <c r="H86" i="1"/>
  <c r="F87" i="1"/>
  <c r="G87" i="1"/>
  <c r="H87" i="1"/>
  <c r="F88" i="1"/>
  <c r="G88" i="1"/>
  <c r="H88" i="1"/>
  <c r="F89" i="1"/>
  <c r="G89" i="1"/>
  <c r="H89" i="1"/>
  <c r="F90" i="1"/>
  <c r="G90" i="1"/>
  <c r="H90" i="1"/>
  <c r="F91" i="1"/>
  <c r="G91" i="1"/>
  <c r="H91" i="1"/>
  <c r="F92" i="1"/>
  <c r="G92" i="1"/>
  <c r="H92" i="1"/>
  <c r="F93" i="1"/>
  <c r="G93" i="1"/>
  <c r="H93" i="1"/>
  <c r="F94" i="1"/>
  <c r="G94" i="1"/>
  <c r="H94" i="1"/>
  <c r="F95" i="1"/>
  <c r="G95" i="1"/>
  <c r="H95" i="1"/>
  <c r="F96" i="1"/>
  <c r="G96" i="1"/>
  <c r="H96" i="1"/>
  <c r="F97" i="1"/>
  <c r="G97" i="1"/>
  <c r="H97" i="1"/>
  <c r="F98" i="1"/>
  <c r="G98" i="1"/>
  <c r="H98" i="1"/>
  <c r="F99" i="1"/>
  <c r="G99" i="1"/>
  <c r="H99" i="1"/>
  <c r="F100" i="1"/>
  <c r="G100" i="1"/>
  <c r="H100" i="1"/>
  <c r="F101" i="1"/>
  <c r="G101" i="1"/>
  <c r="H101" i="1"/>
  <c r="F102" i="1"/>
  <c r="G102" i="1"/>
  <c r="H102" i="1"/>
  <c r="F103" i="1"/>
  <c r="G103" i="1"/>
  <c r="H103" i="1"/>
  <c r="F104" i="1"/>
  <c r="G104" i="1"/>
  <c r="H104" i="1"/>
  <c r="F105" i="1"/>
  <c r="G105" i="1"/>
  <c r="H105" i="1"/>
  <c r="F106" i="1"/>
  <c r="G106" i="1"/>
  <c r="H106" i="1"/>
  <c r="F107" i="1"/>
  <c r="G107" i="1"/>
  <c r="H107" i="1"/>
  <c r="F108" i="1"/>
  <c r="G108" i="1"/>
  <c r="H108" i="1"/>
  <c r="F109" i="1"/>
  <c r="G109" i="1"/>
  <c r="H109" i="1"/>
  <c r="F110" i="1"/>
  <c r="G110" i="1"/>
  <c r="H110" i="1"/>
  <c r="F111" i="1"/>
  <c r="G111" i="1"/>
  <c r="H111" i="1"/>
  <c r="F112" i="1"/>
  <c r="G112" i="1"/>
  <c r="H112" i="1"/>
  <c r="F113" i="1"/>
  <c r="G113" i="1"/>
  <c r="H113" i="1"/>
  <c r="F114" i="1"/>
  <c r="G114" i="1"/>
  <c r="H114" i="1"/>
  <c r="F115" i="1"/>
  <c r="G115" i="1"/>
  <c r="H115" i="1"/>
  <c r="F116" i="1"/>
  <c r="G116" i="1"/>
  <c r="H116" i="1"/>
  <c r="F117" i="1"/>
  <c r="G117" i="1"/>
  <c r="H117" i="1"/>
  <c r="F118" i="1"/>
  <c r="G118" i="1"/>
  <c r="H118" i="1"/>
  <c r="F119" i="1"/>
  <c r="G119" i="1"/>
  <c r="H119" i="1"/>
  <c r="F120" i="1"/>
  <c r="G120" i="1"/>
  <c r="H120" i="1"/>
  <c r="F121" i="1"/>
  <c r="G121" i="1"/>
  <c r="H121" i="1"/>
  <c r="F122" i="1"/>
  <c r="G122" i="1"/>
  <c r="H122" i="1"/>
  <c r="F123" i="1"/>
  <c r="G123" i="1"/>
  <c r="H123" i="1"/>
  <c r="F124" i="1"/>
  <c r="G124" i="1"/>
  <c r="H124" i="1"/>
  <c r="F125" i="1"/>
  <c r="G125" i="1"/>
  <c r="H125" i="1"/>
  <c r="F126" i="1"/>
  <c r="G126" i="1"/>
  <c r="H126" i="1"/>
  <c r="F127" i="1"/>
  <c r="G127" i="1"/>
  <c r="H127" i="1"/>
  <c r="F128" i="1"/>
  <c r="G128" i="1"/>
  <c r="H128" i="1"/>
  <c r="F129" i="1"/>
  <c r="G129" i="1"/>
  <c r="H129" i="1"/>
  <c r="F130" i="1"/>
  <c r="G130" i="1"/>
  <c r="H130" i="1"/>
  <c r="F131" i="1"/>
  <c r="G131" i="1"/>
  <c r="H131" i="1"/>
  <c r="F132" i="1"/>
  <c r="G132" i="1"/>
  <c r="H132" i="1"/>
  <c r="F133" i="1"/>
  <c r="G133" i="1"/>
  <c r="H133" i="1"/>
  <c r="F134" i="1"/>
  <c r="G134" i="1"/>
  <c r="H134" i="1"/>
  <c r="F135" i="1"/>
  <c r="G135" i="1"/>
  <c r="H135" i="1"/>
  <c r="F136" i="1"/>
  <c r="G136" i="1"/>
  <c r="H136" i="1"/>
  <c r="F137" i="1"/>
  <c r="G137" i="1"/>
  <c r="H137" i="1"/>
  <c r="F138" i="1"/>
  <c r="G138" i="1"/>
  <c r="H138" i="1"/>
  <c r="F139" i="1"/>
  <c r="G139" i="1"/>
  <c r="H139" i="1"/>
  <c r="F140" i="1"/>
  <c r="G140" i="1"/>
  <c r="H140" i="1"/>
  <c r="F141" i="1"/>
  <c r="G141" i="1"/>
  <c r="H141" i="1"/>
  <c r="F142" i="1"/>
  <c r="G142" i="1"/>
  <c r="H142" i="1"/>
  <c r="F143" i="1"/>
  <c r="G143" i="1"/>
  <c r="H143" i="1"/>
  <c r="F144" i="1"/>
  <c r="G144" i="1"/>
  <c r="H144" i="1"/>
  <c r="F145" i="1"/>
  <c r="G145" i="1"/>
  <c r="H145" i="1"/>
  <c r="F146" i="1"/>
  <c r="G146" i="1"/>
  <c r="H146" i="1"/>
  <c r="F147" i="1"/>
  <c r="G147" i="1"/>
  <c r="H147" i="1"/>
  <c r="F148" i="1"/>
  <c r="G148" i="1"/>
  <c r="H148" i="1"/>
  <c r="F149" i="1"/>
  <c r="G149" i="1"/>
  <c r="H149" i="1"/>
  <c r="F150" i="1"/>
  <c r="G150" i="1"/>
  <c r="H150" i="1"/>
  <c r="F151" i="1"/>
  <c r="G151" i="1"/>
  <c r="H151" i="1"/>
  <c r="F152" i="1"/>
  <c r="G152" i="1"/>
  <c r="H152" i="1"/>
  <c r="F153" i="1"/>
  <c r="G153" i="1"/>
  <c r="H153" i="1"/>
  <c r="F154" i="1"/>
  <c r="G154" i="1"/>
  <c r="H154" i="1"/>
  <c r="F155" i="1"/>
  <c r="G155" i="1"/>
  <c r="H155" i="1"/>
  <c r="F156" i="1"/>
  <c r="G156" i="1"/>
  <c r="H156" i="1"/>
  <c r="F157" i="1"/>
  <c r="G157" i="1"/>
  <c r="H157" i="1"/>
  <c r="F158" i="1"/>
  <c r="G158" i="1"/>
  <c r="H158" i="1"/>
  <c r="F159" i="1"/>
  <c r="G159" i="1"/>
  <c r="H159" i="1"/>
  <c r="F160" i="1"/>
  <c r="G160" i="1"/>
  <c r="H160" i="1"/>
  <c r="F161" i="1"/>
  <c r="G161" i="1"/>
  <c r="H161" i="1"/>
  <c r="F162" i="1"/>
  <c r="G162" i="1"/>
  <c r="H162" i="1"/>
  <c r="F163" i="1"/>
  <c r="G163" i="1"/>
  <c r="H163" i="1"/>
  <c r="F164" i="1"/>
  <c r="G164" i="1"/>
  <c r="H164" i="1"/>
  <c r="F165" i="1"/>
  <c r="G165" i="1"/>
  <c r="H165" i="1"/>
  <c r="F166" i="1"/>
  <c r="G166" i="1"/>
  <c r="H166" i="1"/>
  <c r="F167" i="1"/>
  <c r="G167" i="1"/>
  <c r="H167" i="1"/>
  <c r="F168" i="1"/>
  <c r="G168" i="1"/>
  <c r="H168" i="1"/>
  <c r="F169" i="1"/>
  <c r="G169" i="1"/>
  <c r="H169" i="1"/>
  <c r="F170" i="1"/>
  <c r="G170" i="1"/>
  <c r="H170" i="1"/>
  <c r="F171" i="1"/>
  <c r="G171" i="1"/>
  <c r="H171" i="1"/>
  <c r="F172" i="1"/>
  <c r="G172" i="1"/>
  <c r="H172" i="1"/>
  <c r="F173" i="1"/>
  <c r="G173" i="1"/>
  <c r="H173" i="1"/>
  <c r="F174" i="1"/>
  <c r="G174" i="1"/>
  <c r="H174" i="1"/>
  <c r="F175" i="1"/>
  <c r="G175" i="1"/>
  <c r="H175" i="1"/>
  <c r="F176" i="1"/>
  <c r="G176" i="1"/>
  <c r="H176" i="1"/>
  <c r="F177" i="1"/>
  <c r="G177" i="1"/>
  <c r="H177" i="1"/>
  <c r="F178" i="1"/>
  <c r="G178" i="1"/>
  <c r="H178" i="1"/>
  <c r="F179" i="1"/>
  <c r="G179" i="1"/>
  <c r="H179" i="1"/>
  <c r="F180" i="1"/>
  <c r="G180" i="1"/>
  <c r="H180" i="1"/>
  <c r="F181" i="1"/>
  <c r="G181" i="1"/>
  <c r="H181" i="1"/>
  <c r="F182" i="1"/>
  <c r="G182" i="1"/>
  <c r="H182" i="1"/>
  <c r="F183" i="1"/>
  <c r="G183" i="1"/>
  <c r="H183" i="1"/>
  <c r="F184" i="1"/>
  <c r="G184" i="1"/>
  <c r="H184" i="1"/>
  <c r="F185" i="1"/>
  <c r="G185" i="1"/>
  <c r="H185" i="1"/>
  <c r="F186" i="1"/>
  <c r="G186" i="1"/>
  <c r="H186" i="1"/>
  <c r="F187" i="1"/>
  <c r="G187" i="1"/>
  <c r="H187" i="1"/>
  <c r="F188" i="1"/>
  <c r="G188" i="1"/>
  <c r="H188" i="1"/>
  <c r="F189" i="1"/>
  <c r="G189" i="1"/>
  <c r="H189" i="1"/>
  <c r="F190" i="1"/>
  <c r="G190" i="1"/>
  <c r="H190" i="1"/>
  <c r="F191" i="1"/>
  <c r="G191" i="1"/>
  <c r="H191" i="1"/>
  <c r="F192" i="1"/>
  <c r="G192" i="1"/>
  <c r="H192" i="1"/>
  <c r="F193" i="1"/>
  <c r="G193" i="1"/>
  <c r="H193" i="1"/>
  <c r="F194" i="1"/>
  <c r="G194" i="1"/>
  <c r="H194" i="1"/>
  <c r="F195" i="1"/>
  <c r="G195" i="1"/>
  <c r="H195" i="1"/>
  <c r="F196" i="1"/>
  <c r="G196" i="1"/>
  <c r="H196" i="1"/>
  <c r="F197" i="1"/>
  <c r="G197" i="1"/>
  <c r="H197" i="1"/>
  <c r="F198" i="1"/>
  <c r="G198" i="1"/>
  <c r="H198" i="1"/>
  <c r="F199" i="1"/>
  <c r="G199" i="1"/>
  <c r="H199" i="1"/>
  <c r="F200" i="1"/>
  <c r="G200" i="1"/>
  <c r="H200" i="1"/>
  <c r="F201" i="1"/>
  <c r="G201" i="1"/>
  <c r="H201" i="1"/>
  <c r="F202" i="1"/>
  <c r="G202" i="1"/>
  <c r="H202" i="1"/>
  <c r="H3" i="1"/>
  <c r="G3" i="1"/>
  <c r="F3" i="1"/>
  <c r="B26" i="1"/>
  <c r="C26" i="1"/>
  <c r="D26" i="1"/>
  <c r="B27" i="1"/>
  <c r="C27" i="1"/>
  <c r="D27" i="1"/>
  <c r="B28" i="1"/>
  <c r="C28" i="1"/>
  <c r="D28" i="1"/>
  <c r="B29" i="1"/>
  <c r="C29" i="1"/>
  <c r="D29" i="1"/>
  <c r="B30" i="1"/>
  <c r="C30" i="1"/>
  <c r="D30" i="1"/>
  <c r="B31" i="1"/>
  <c r="C31" i="1"/>
  <c r="D31" i="1"/>
  <c r="B32" i="1"/>
  <c r="C32" i="1"/>
  <c r="D32" i="1"/>
  <c r="B33" i="1"/>
  <c r="C33" i="1"/>
  <c r="D33" i="1"/>
  <c r="B34" i="1"/>
  <c r="C34" i="1"/>
  <c r="D34" i="1"/>
  <c r="B35" i="1"/>
  <c r="C35" i="1"/>
  <c r="D35" i="1"/>
  <c r="B36" i="1"/>
  <c r="C36" i="1"/>
  <c r="D36" i="1"/>
  <c r="B37" i="1"/>
  <c r="C37" i="1"/>
  <c r="D37" i="1"/>
  <c r="B38" i="1"/>
  <c r="C38" i="1"/>
  <c r="D38" i="1"/>
  <c r="B39" i="1"/>
  <c r="C39" i="1"/>
  <c r="D39" i="1"/>
  <c r="B40" i="1"/>
  <c r="C40" i="1"/>
  <c r="D40" i="1"/>
  <c r="B41" i="1"/>
  <c r="C41" i="1"/>
  <c r="D41" i="1"/>
  <c r="B42" i="1"/>
  <c r="C42" i="1"/>
  <c r="D42" i="1"/>
  <c r="B43" i="1"/>
  <c r="C43" i="1"/>
  <c r="D43" i="1"/>
  <c r="B44" i="1"/>
  <c r="C44" i="1"/>
  <c r="D44" i="1"/>
  <c r="B45" i="1"/>
  <c r="C45" i="1"/>
  <c r="D45" i="1"/>
  <c r="B46" i="1"/>
  <c r="C46" i="1"/>
  <c r="D46" i="1"/>
  <c r="B47" i="1"/>
  <c r="C47" i="1"/>
  <c r="D47" i="1"/>
  <c r="B48" i="1"/>
  <c r="C48" i="1"/>
  <c r="D48" i="1"/>
  <c r="B49" i="1"/>
  <c r="C49" i="1"/>
  <c r="D49" i="1"/>
  <c r="B50" i="1"/>
  <c r="C50" i="1"/>
  <c r="D50" i="1"/>
  <c r="B51" i="1"/>
  <c r="C51" i="1"/>
  <c r="D51" i="1"/>
  <c r="B52" i="1"/>
  <c r="C52" i="1"/>
  <c r="D52" i="1"/>
  <c r="B53" i="1"/>
  <c r="C53" i="1"/>
  <c r="D53" i="1"/>
  <c r="B54" i="1"/>
  <c r="C54" i="1"/>
  <c r="D54" i="1"/>
  <c r="B55" i="1"/>
  <c r="C55" i="1"/>
  <c r="D55" i="1"/>
  <c r="B56" i="1"/>
  <c r="C56" i="1"/>
  <c r="D56" i="1"/>
  <c r="B57" i="1"/>
  <c r="C57" i="1"/>
  <c r="D57" i="1"/>
  <c r="B58" i="1"/>
  <c r="C58" i="1"/>
  <c r="D58" i="1"/>
  <c r="B59" i="1"/>
  <c r="C59" i="1"/>
  <c r="D59" i="1"/>
  <c r="B60" i="1"/>
  <c r="C60" i="1"/>
  <c r="D60" i="1"/>
  <c r="B61" i="1"/>
  <c r="C61" i="1"/>
  <c r="D61" i="1"/>
  <c r="B62" i="1"/>
  <c r="C62" i="1"/>
  <c r="D62" i="1"/>
  <c r="B63" i="1"/>
  <c r="C63" i="1"/>
  <c r="D63" i="1"/>
  <c r="B64" i="1"/>
  <c r="C64" i="1"/>
  <c r="D64" i="1"/>
  <c r="B65" i="1"/>
  <c r="C65" i="1"/>
  <c r="D65" i="1"/>
  <c r="B66" i="1"/>
  <c r="C66" i="1"/>
  <c r="D66" i="1"/>
  <c r="B67" i="1"/>
  <c r="C67" i="1"/>
  <c r="D67" i="1"/>
  <c r="B68" i="1"/>
  <c r="C68" i="1"/>
  <c r="D68" i="1"/>
  <c r="B69" i="1"/>
  <c r="C69" i="1"/>
  <c r="D69" i="1"/>
  <c r="B70" i="1"/>
  <c r="C70" i="1"/>
  <c r="D70" i="1"/>
  <c r="B71" i="1"/>
  <c r="C71" i="1"/>
  <c r="D71" i="1"/>
  <c r="B72" i="1"/>
  <c r="C72" i="1"/>
  <c r="D72" i="1"/>
  <c r="B73" i="1"/>
  <c r="C73" i="1"/>
  <c r="D73" i="1"/>
  <c r="B74" i="1"/>
  <c r="C74" i="1"/>
  <c r="D74" i="1"/>
  <c r="B75" i="1"/>
  <c r="C75" i="1"/>
  <c r="D75" i="1"/>
  <c r="B76" i="1"/>
  <c r="C76" i="1"/>
  <c r="D76" i="1"/>
  <c r="B77" i="1"/>
  <c r="C77" i="1"/>
  <c r="D77" i="1"/>
  <c r="B78" i="1"/>
  <c r="C78" i="1"/>
  <c r="D78" i="1"/>
  <c r="B79" i="1"/>
  <c r="C79" i="1"/>
  <c r="D79" i="1"/>
  <c r="B80" i="1"/>
  <c r="C80" i="1"/>
  <c r="D80" i="1"/>
  <c r="B81" i="1"/>
  <c r="C81" i="1"/>
  <c r="D81" i="1"/>
  <c r="B82" i="1"/>
  <c r="C82" i="1"/>
  <c r="D82" i="1"/>
  <c r="B83" i="1"/>
  <c r="C83" i="1"/>
  <c r="D83" i="1"/>
  <c r="B84" i="1"/>
  <c r="C84" i="1"/>
  <c r="D84" i="1"/>
  <c r="B85" i="1"/>
  <c r="C85" i="1"/>
  <c r="D85" i="1"/>
  <c r="B86" i="1"/>
  <c r="C86" i="1"/>
  <c r="D86" i="1"/>
  <c r="B87" i="1"/>
  <c r="C87" i="1"/>
  <c r="D87" i="1"/>
  <c r="B88" i="1"/>
  <c r="C88" i="1"/>
  <c r="D88" i="1"/>
  <c r="B89" i="1"/>
  <c r="C89" i="1"/>
  <c r="D89" i="1"/>
  <c r="B90" i="1"/>
  <c r="C90" i="1"/>
  <c r="D90" i="1"/>
  <c r="B91" i="1"/>
  <c r="C91" i="1"/>
  <c r="D91" i="1"/>
  <c r="B92" i="1"/>
  <c r="C92" i="1"/>
  <c r="D92" i="1"/>
  <c r="B93" i="1"/>
  <c r="C93" i="1"/>
  <c r="D93" i="1"/>
  <c r="B94" i="1"/>
  <c r="C94" i="1"/>
  <c r="D94" i="1"/>
  <c r="B95" i="1"/>
  <c r="C95" i="1"/>
  <c r="D95" i="1"/>
  <c r="B96" i="1"/>
  <c r="C96" i="1"/>
  <c r="D96" i="1"/>
  <c r="B97" i="1"/>
  <c r="C97" i="1"/>
  <c r="D97" i="1"/>
  <c r="B98" i="1"/>
  <c r="C98" i="1"/>
  <c r="D98" i="1"/>
  <c r="B99" i="1"/>
  <c r="C99" i="1"/>
  <c r="D99" i="1"/>
  <c r="B100" i="1"/>
  <c r="C100" i="1"/>
  <c r="D100" i="1"/>
  <c r="B101" i="1"/>
  <c r="C101" i="1"/>
  <c r="D101" i="1"/>
  <c r="B102" i="1"/>
  <c r="C102" i="1"/>
  <c r="D102" i="1"/>
  <c r="B103" i="1"/>
  <c r="C103" i="1"/>
  <c r="D103" i="1"/>
  <c r="B104" i="1"/>
  <c r="C104" i="1"/>
  <c r="D104" i="1"/>
  <c r="B105" i="1"/>
  <c r="C105" i="1"/>
  <c r="D105" i="1"/>
  <c r="B106" i="1"/>
  <c r="C106" i="1"/>
  <c r="D106" i="1"/>
  <c r="B107" i="1"/>
  <c r="C107" i="1"/>
  <c r="D107" i="1"/>
  <c r="B108" i="1"/>
  <c r="C108" i="1"/>
  <c r="D108" i="1"/>
  <c r="B109" i="1"/>
  <c r="C109" i="1"/>
  <c r="D109" i="1"/>
  <c r="B110" i="1"/>
  <c r="C110" i="1"/>
  <c r="D110" i="1"/>
  <c r="B111" i="1"/>
  <c r="C111" i="1"/>
  <c r="D111" i="1"/>
  <c r="B112" i="1"/>
  <c r="C112" i="1"/>
  <c r="D112" i="1"/>
  <c r="B113" i="1"/>
  <c r="C113" i="1"/>
  <c r="D113" i="1"/>
  <c r="B114" i="1"/>
  <c r="C114" i="1"/>
  <c r="D114" i="1"/>
  <c r="B115" i="1"/>
  <c r="C115" i="1"/>
  <c r="D115" i="1"/>
  <c r="B116" i="1"/>
  <c r="C116" i="1"/>
  <c r="D116" i="1"/>
  <c r="B117" i="1"/>
  <c r="C117" i="1"/>
  <c r="D117" i="1"/>
  <c r="B118" i="1"/>
  <c r="C118" i="1"/>
  <c r="D118" i="1"/>
  <c r="B119" i="1"/>
  <c r="C119" i="1"/>
  <c r="D119" i="1"/>
  <c r="B120" i="1"/>
  <c r="C120" i="1"/>
  <c r="D120" i="1"/>
  <c r="B121" i="1"/>
  <c r="C121" i="1"/>
  <c r="D121" i="1"/>
  <c r="B122" i="1"/>
  <c r="C122" i="1"/>
  <c r="D122" i="1"/>
  <c r="B123" i="1"/>
  <c r="C123" i="1"/>
  <c r="D123" i="1"/>
  <c r="B124" i="1"/>
  <c r="C124" i="1"/>
  <c r="D124" i="1"/>
  <c r="B125" i="1"/>
  <c r="C125" i="1"/>
  <c r="D125" i="1"/>
  <c r="B126" i="1"/>
  <c r="C126" i="1"/>
  <c r="D126" i="1"/>
  <c r="B127" i="1"/>
  <c r="C127" i="1"/>
  <c r="D127" i="1"/>
  <c r="B128" i="1"/>
  <c r="C128" i="1"/>
  <c r="D128" i="1"/>
  <c r="B129" i="1"/>
  <c r="C129" i="1"/>
  <c r="D129" i="1"/>
  <c r="B130" i="1"/>
  <c r="C130" i="1"/>
  <c r="D130" i="1"/>
  <c r="B131" i="1"/>
  <c r="C131" i="1"/>
  <c r="D131" i="1"/>
  <c r="B132" i="1"/>
  <c r="C132" i="1"/>
  <c r="D132" i="1"/>
  <c r="B133" i="1"/>
  <c r="C133" i="1"/>
  <c r="D133" i="1"/>
  <c r="B134" i="1"/>
  <c r="C134" i="1"/>
  <c r="D134" i="1"/>
  <c r="B135" i="1"/>
  <c r="C135" i="1"/>
  <c r="D135" i="1"/>
  <c r="B136" i="1"/>
  <c r="C136" i="1"/>
  <c r="D136" i="1"/>
  <c r="B137" i="1"/>
  <c r="C137" i="1"/>
  <c r="D137" i="1"/>
  <c r="B138" i="1"/>
  <c r="C138" i="1"/>
  <c r="D138" i="1"/>
  <c r="B139" i="1"/>
  <c r="C139" i="1"/>
  <c r="D139" i="1"/>
  <c r="B140" i="1"/>
  <c r="C140" i="1"/>
  <c r="D140" i="1"/>
  <c r="B141" i="1"/>
  <c r="C141" i="1"/>
  <c r="D141" i="1"/>
  <c r="B142" i="1"/>
  <c r="C142" i="1"/>
  <c r="D142" i="1"/>
  <c r="B143" i="1"/>
  <c r="C143" i="1"/>
  <c r="D143" i="1"/>
  <c r="B144" i="1"/>
  <c r="C144" i="1"/>
  <c r="D144" i="1"/>
  <c r="B145" i="1"/>
  <c r="C145" i="1"/>
  <c r="D145" i="1"/>
  <c r="B146" i="1"/>
  <c r="C146" i="1"/>
  <c r="D146" i="1"/>
  <c r="B147" i="1"/>
  <c r="C147" i="1"/>
  <c r="D147" i="1"/>
  <c r="B148" i="1"/>
  <c r="C148" i="1"/>
  <c r="D148" i="1"/>
  <c r="B149" i="1"/>
  <c r="C149" i="1"/>
  <c r="D149" i="1"/>
  <c r="B150" i="1"/>
  <c r="C150" i="1"/>
  <c r="D150" i="1"/>
  <c r="B151" i="1"/>
  <c r="C151" i="1"/>
  <c r="D151" i="1"/>
  <c r="B152" i="1"/>
  <c r="C152" i="1"/>
  <c r="D152" i="1"/>
  <c r="B153" i="1"/>
  <c r="C153" i="1"/>
  <c r="D153" i="1"/>
  <c r="B154" i="1"/>
  <c r="C154" i="1"/>
  <c r="D154" i="1"/>
  <c r="B155" i="1"/>
  <c r="C155" i="1"/>
  <c r="D155" i="1"/>
  <c r="B156" i="1"/>
  <c r="C156" i="1"/>
  <c r="D156" i="1"/>
  <c r="B157" i="1"/>
  <c r="C157" i="1"/>
  <c r="D157" i="1"/>
  <c r="B158" i="1"/>
  <c r="C158" i="1"/>
  <c r="D158" i="1"/>
  <c r="B159" i="1"/>
  <c r="C159" i="1"/>
  <c r="D159" i="1"/>
  <c r="B160" i="1"/>
  <c r="C160" i="1"/>
  <c r="D160" i="1"/>
  <c r="B161" i="1"/>
  <c r="C161" i="1"/>
  <c r="D161" i="1"/>
  <c r="B162" i="1"/>
  <c r="C162" i="1"/>
  <c r="D162" i="1"/>
  <c r="B163" i="1"/>
  <c r="C163" i="1"/>
  <c r="D163" i="1"/>
  <c r="B164" i="1"/>
  <c r="C164" i="1"/>
  <c r="D164" i="1"/>
  <c r="B165" i="1"/>
  <c r="C165" i="1"/>
  <c r="D165" i="1"/>
  <c r="B166" i="1"/>
  <c r="C166" i="1"/>
  <c r="D166" i="1"/>
  <c r="B167" i="1"/>
  <c r="C167" i="1"/>
  <c r="D167" i="1"/>
  <c r="B168" i="1"/>
  <c r="C168" i="1"/>
  <c r="D168" i="1"/>
  <c r="B169" i="1"/>
  <c r="C169" i="1"/>
  <c r="D169" i="1"/>
  <c r="B170" i="1"/>
  <c r="C170" i="1"/>
  <c r="D170" i="1"/>
  <c r="B171" i="1"/>
  <c r="C171" i="1"/>
  <c r="D171" i="1"/>
  <c r="B172" i="1"/>
  <c r="C172" i="1"/>
  <c r="D172" i="1"/>
  <c r="B173" i="1"/>
  <c r="C173" i="1"/>
  <c r="D173" i="1"/>
  <c r="B174" i="1"/>
  <c r="C174" i="1"/>
  <c r="D174" i="1"/>
  <c r="B175" i="1"/>
  <c r="C175" i="1"/>
  <c r="D175" i="1"/>
  <c r="B176" i="1"/>
  <c r="C176" i="1"/>
  <c r="D176" i="1"/>
  <c r="B177" i="1"/>
  <c r="C177" i="1"/>
  <c r="D177" i="1"/>
  <c r="B178" i="1"/>
  <c r="C178" i="1"/>
  <c r="D178" i="1"/>
  <c r="B179" i="1"/>
  <c r="C179" i="1"/>
  <c r="D179" i="1"/>
  <c r="B180" i="1"/>
  <c r="C180" i="1"/>
  <c r="D180" i="1"/>
  <c r="B181" i="1"/>
  <c r="C181" i="1"/>
  <c r="D181" i="1"/>
  <c r="B182" i="1"/>
  <c r="C182" i="1"/>
  <c r="D182" i="1"/>
  <c r="B183" i="1"/>
  <c r="C183" i="1"/>
  <c r="D183" i="1"/>
  <c r="B184" i="1"/>
  <c r="C184" i="1"/>
  <c r="D184" i="1"/>
  <c r="B185" i="1"/>
  <c r="C185" i="1"/>
  <c r="D185" i="1"/>
  <c r="B186" i="1"/>
  <c r="C186" i="1"/>
  <c r="D186" i="1"/>
  <c r="B187" i="1"/>
  <c r="C187" i="1"/>
  <c r="D187" i="1"/>
  <c r="B188" i="1"/>
  <c r="C188" i="1"/>
  <c r="D188" i="1"/>
  <c r="B189" i="1"/>
  <c r="C189" i="1"/>
  <c r="D189" i="1"/>
  <c r="B190" i="1"/>
  <c r="C190" i="1"/>
  <c r="D190" i="1"/>
  <c r="B191" i="1"/>
  <c r="C191" i="1"/>
  <c r="D191" i="1"/>
  <c r="B192" i="1"/>
  <c r="C192" i="1"/>
  <c r="D192" i="1"/>
  <c r="B193" i="1"/>
  <c r="C193" i="1"/>
  <c r="D193" i="1"/>
  <c r="B194" i="1"/>
  <c r="C194" i="1"/>
  <c r="D194" i="1"/>
  <c r="B195" i="1"/>
  <c r="C195" i="1"/>
  <c r="D195" i="1"/>
  <c r="B196" i="1"/>
  <c r="C196" i="1"/>
  <c r="D196" i="1"/>
  <c r="B197" i="1"/>
  <c r="C197" i="1"/>
  <c r="D197" i="1"/>
  <c r="B198" i="1"/>
  <c r="C198" i="1"/>
  <c r="D198" i="1"/>
  <c r="B199" i="1"/>
  <c r="C199" i="1"/>
  <c r="D199" i="1"/>
  <c r="B200" i="1"/>
  <c r="C200" i="1"/>
  <c r="D200" i="1"/>
  <c r="B201" i="1"/>
  <c r="C201" i="1"/>
  <c r="D201" i="1"/>
  <c r="B202" i="1"/>
  <c r="C202" i="1"/>
  <c r="D202" i="1"/>
  <c r="B4" i="1"/>
  <c r="C4" i="1"/>
  <c r="D4" i="1"/>
  <c r="B5" i="1"/>
  <c r="C5" i="1"/>
  <c r="D5" i="1"/>
  <c r="B6" i="1"/>
  <c r="C6" i="1"/>
  <c r="D6" i="1"/>
  <c r="B7" i="1"/>
  <c r="C7" i="1"/>
  <c r="D7" i="1"/>
  <c r="B8" i="1"/>
  <c r="C8" i="1"/>
  <c r="D8" i="1"/>
  <c r="B9" i="1"/>
  <c r="C9" i="1"/>
  <c r="D9" i="1"/>
  <c r="B10" i="1"/>
  <c r="C10" i="1"/>
  <c r="D10" i="1"/>
  <c r="B11" i="1"/>
  <c r="C11" i="1"/>
  <c r="D11" i="1"/>
  <c r="B12" i="1"/>
  <c r="C12" i="1"/>
  <c r="D12" i="1"/>
  <c r="B13" i="1"/>
  <c r="C13" i="1"/>
  <c r="D13" i="1"/>
  <c r="B14" i="1"/>
  <c r="C14" i="1"/>
  <c r="D14" i="1"/>
  <c r="B15" i="1"/>
  <c r="C15" i="1"/>
  <c r="D15" i="1"/>
  <c r="B16" i="1"/>
  <c r="C16" i="1"/>
  <c r="D16" i="1"/>
  <c r="B17" i="1"/>
  <c r="C17" i="1"/>
  <c r="D17" i="1"/>
  <c r="B18" i="1"/>
  <c r="C18" i="1"/>
  <c r="D18" i="1"/>
  <c r="B19" i="1"/>
  <c r="C19" i="1"/>
  <c r="D19" i="1"/>
  <c r="B20" i="1"/>
  <c r="C20" i="1"/>
  <c r="D20" i="1"/>
  <c r="B21" i="1"/>
  <c r="C21" i="1"/>
  <c r="D21" i="1"/>
  <c r="B22" i="1"/>
  <c r="C22" i="1"/>
  <c r="D22" i="1"/>
  <c r="B23" i="1"/>
  <c r="C23" i="1"/>
  <c r="D23" i="1"/>
  <c r="B24" i="1"/>
  <c r="C24" i="1"/>
  <c r="D24" i="1"/>
  <c r="B25" i="1"/>
  <c r="C25" i="1"/>
  <c r="D25" i="1"/>
  <c r="D3" i="1"/>
  <c r="C3" i="1"/>
  <c r="B3" i="1"/>
  <c r="U3" i="1"/>
  <c r="V3" i="1"/>
  <c r="T3" i="1"/>
</calcChain>
</file>

<file path=xl/sharedStrings.xml><?xml version="1.0" encoding="utf-8"?>
<sst xmlns="http://schemas.openxmlformats.org/spreadsheetml/2006/main" count="153" uniqueCount="75">
  <si>
    <t>n_estimators</t>
  </si>
  <si>
    <t>max_depth</t>
  </si>
  <si>
    <t>learning_rate</t>
  </si>
  <si>
    <t>XGB</t>
  </si>
  <si>
    <t>min_samples_split</t>
  </si>
  <si>
    <t>min_samples_leaf</t>
  </si>
  <si>
    <t>KNNC</t>
  </si>
  <si>
    <t>n_neighbors</t>
  </si>
  <si>
    <t>p</t>
  </si>
  <si>
    <t>leaf_size</t>
  </si>
  <si>
    <t>RFC</t>
  </si>
  <si>
    <t>LR</t>
  </si>
  <si>
    <t>C</t>
  </si>
  <si>
    <t>max_iter</t>
  </si>
  <si>
    <t>DTC/DTR</t>
  </si>
  <si>
    <t>HGBR</t>
  </si>
  <si>
    <t>SVC</t>
  </si>
  <si>
    <t>gamma</t>
  </si>
  <si>
    <t>alpha</t>
  </si>
  <si>
    <t>tol</t>
  </si>
  <si>
    <t>Lasso</t>
  </si>
  <si>
    <t>q</t>
  </si>
  <si>
    <t>QR</t>
  </si>
  <si>
    <t>reg_param</t>
  </si>
  <si>
    <t>QDA</t>
  </si>
  <si>
    <t>num_leaves</t>
  </si>
  <si>
    <t>LGBC</t>
  </si>
  <si>
    <t>max_iter_predict</t>
  </si>
  <si>
    <t>n_restarts_optimizer</t>
  </si>
  <si>
    <t>random_state</t>
  </si>
  <si>
    <t>GPC</t>
  </si>
  <si>
    <t>SGB/GBR/GBC</t>
  </si>
  <si>
    <t>epsilon</t>
  </si>
  <si>
    <t>HR</t>
  </si>
  <si>
    <t>kernel</t>
  </si>
  <si>
    <t>KRR</t>
  </si>
  <si>
    <t>l1_ratio</t>
  </si>
  <si>
    <t>ENR</t>
  </si>
  <si>
    <t>iterations</t>
  </si>
  <si>
    <t>depth</t>
  </si>
  <si>
    <t>CATR</t>
  </si>
  <si>
    <t>GPR</t>
  </si>
  <si>
    <t>alpha_1</t>
  </si>
  <si>
    <t>lambda_1</t>
  </si>
  <si>
    <t>SBR</t>
  </si>
  <si>
    <t>eta0</t>
  </si>
  <si>
    <t>subsample</t>
  </si>
  <si>
    <t>colsample_bytree</t>
  </si>
  <si>
    <t>quantile</t>
  </si>
  <si>
    <t>fit_intercept</t>
  </si>
  <si>
    <t>XGBR</t>
  </si>
  <si>
    <t>degree</t>
  </si>
  <si>
    <t>SVR</t>
  </si>
  <si>
    <t>shrinkage</t>
  </si>
  <si>
    <t>LDA</t>
  </si>
  <si>
    <t>MLR</t>
  </si>
  <si>
    <t>loss</t>
  </si>
  <si>
    <t>ADAR</t>
  </si>
  <si>
    <t>LSSVC</t>
  </si>
  <si>
    <t>ADAC</t>
  </si>
  <si>
    <t>Parameter</t>
  </si>
  <si>
    <t>Type</t>
  </si>
  <si>
    <t>Search Space</t>
  </si>
  <si>
    <t>float</t>
  </si>
  <si>
    <t>0.01, 0.20</t>
  </si>
  <si>
    <t>int</t>
  </si>
  <si>
    <t>50, 300</t>
  </si>
  <si>
    <t>1, 10</t>
  </si>
  <si>
    <t>priors</t>
  </si>
  <si>
    <t>F</t>
  </si>
  <si>
    <t>Model</t>
  </si>
  <si>
    <t>ETC</t>
  </si>
  <si>
    <t>50, 500</t>
  </si>
  <si>
    <t>3, 20</t>
  </si>
  <si>
    <t>2, 20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</si>
</sst>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0"/>
      <color theme="1"/>
      <name val="Arial Unicode MS"/>
      <family val="2"/>
    </font>
    <font>
      <b/>
      <sz val="11"/>
      <name val="Aptos Narrow"/>
      <family val="2"/>
    </font>
    <font>
      <b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A9D08E"/>
        <bgColor rgb="FFA9D08E"/>
      </patternFill>
    </fill>
  </fills>
  <borders count="6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/>
      <top style="thin">
        <color rgb="FF7F7F7F"/>
      </top>
      <bottom style="thin">
        <color rgb="FF7F7F7F"/>
      </bottom>
      <diagonal/>
    </border>
    <border>
      <left/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rgb="FF7F7F7F"/>
      </top>
      <bottom style="thin">
        <color rgb="FF7F7F7F"/>
      </bottom>
      <diagonal/>
    </border>
    <border>
      <left style="thin">
        <color rgb="FF7F7F7F"/>
      </left>
      <right/>
      <top/>
      <bottom/>
      <diagonal/>
    </border>
  </borders>
  <cellStyleXfs count="4">
    <xf numFmtId="0" fontId="0" fillId="0" borderId="0"/>
    <xf numFmtId="0" fontId="3" fillId="4" borderId="1" applyNumberFormat="0" applyAlignment="0" applyProtection="0"/>
    <xf numFmtId="0" fontId="1" fillId="2" borderId="0"/>
    <xf numFmtId="0" fontId="2" fillId="3" borderId="0"/>
  </cellStyleXfs>
  <cellXfs count="11">
    <xf numFmtId="0" fontId="0" fillId="0" borderId="0" xfId="0"/>
    <xf numFmtId="0" fontId="4" fillId="0" borderId="0" xfId="0" applyFont="1" applyAlignment="1">
      <alignment vertical="center" wrapText="1"/>
    </xf>
    <xf numFmtId="0" fontId="5" fillId="5" borderId="0" xfId="0" applyFont="1" applyFill="1" applyAlignment="1">
      <alignment horizontal="center"/>
    </xf>
    <xf numFmtId="0" fontId="0" fillId="0" borderId="0" xfId="0" applyAlignment="1">
      <alignment vertical="center" wrapText="1"/>
    </xf>
    <xf numFmtId="0" fontId="6" fillId="0" borderId="0" xfId="0" applyFont="1" applyAlignment="1">
      <alignment horizontal="center" vertical="center" wrapText="1"/>
    </xf>
    <xf numFmtId="0" fontId="3" fillId="4" borderId="1" xfId="1" applyAlignment="1">
      <alignment horizontal="center"/>
    </xf>
    <xf numFmtId="0" fontId="3" fillId="4" borderId="2" xfId="1" applyBorder="1" applyAlignment="1">
      <alignment horizontal="center"/>
    </xf>
    <xf numFmtId="0" fontId="3" fillId="4" borderId="3" xfId="1" applyBorder="1" applyAlignment="1">
      <alignment horizontal="center"/>
    </xf>
    <xf numFmtId="0" fontId="3" fillId="4" borderId="4" xfId="1" applyBorder="1" applyAlignment="1">
      <alignment horizontal="center"/>
    </xf>
    <xf numFmtId="0" fontId="3" fillId="4" borderId="5" xfId="1" applyBorder="1" applyAlignment="1">
      <alignment horizontal="center"/>
    </xf>
    <xf numFmtId="0" fontId="3" fillId="4" borderId="0" xfId="1" applyBorder="1" applyAlignment="1">
      <alignment horizontal="center"/>
    </xf>
  </cellXfs>
  <cellStyles count="4">
    <cellStyle name="Calculation" xfId="1" builtinId="22"/>
    <cellStyle name="Good 2" xfId="2" xr:uid="{ADA26BFB-D622-446A-91DE-FAA7BF09EC7E}"/>
    <cellStyle name="Neutral 2" xfId="3" xr:uid="{5727AFA4-E9D0-48FA-A088-E47DA4341A0E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ED202"/>
  <sheetViews>
    <sheetView tabSelected="1" topLeftCell="CM1" zoomScale="85" zoomScaleNormal="85" workbookViewId="0">
      <selection activeCell="DD12" sqref="DD12"/>
    </sheetView>
  </sheetViews>
  <sheetFormatPr defaultRowHeight="15" x14ac:dyDescent="0.25"/>
  <cols>
    <col min="43" max="43" width="23.85546875" customWidth="1"/>
    <col min="44" max="44" width="25.7109375" customWidth="1"/>
    <col min="102" max="102" width="13" bestFit="1" customWidth="1"/>
    <col min="134" max="134" width="13.140625" bestFit="1" customWidth="1"/>
  </cols>
  <sheetData>
    <row r="1" spans="2:134" x14ac:dyDescent="0.25">
      <c r="B1" s="5" t="s">
        <v>3</v>
      </c>
      <c r="C1" s="5"/>
      <c r="D1" s="5"/>
      <c r="F1" s="5" t="s">
        <v>14</v>
      </c>
      <c r="G1" s="5"/>
      <c r="H1" s="5"/>
      <c r="I1" s="1"/>
      <c r="J1" s="5" t="s">
        <v>6</v>
      </c>
      <c r="K1" s="5"/>
      <c r="L1" s="5"/>
      <c r="M1" s="1"/>
      <c r="N1" s="6" t="s">
        <v>10</v>
      </c>
      <c r="O1" s="7"/>
      <c r="P1" s="1"/>
      <c r="Q1" s="6" t="s">
        <v>11</v>
      </c>
      <c r="R1" s="7"/>
      <c r="S1" s="1"/>
      <c r="T1" s="5" t="s">
        <v>15</v>
      </c>
      <c r="U1" s="5"/>
      <c r="V1" s="5"/>
      <c r="W1" s="1"/>
      <c r="X1" s="5" t="s">
        <v>16</v>
      </c>
      <c r="Y1" s="5"/>
      <c r="Z1" s="5"/>
      <c r="AB1" s="5" t="s">
        <v>20</v>
      </c>
      <c r="AC1" s="5"/>
      <c r="AD1" s="5"/>
      <c r="AE1" s="1"/>
      <c r="AF1" s="5" t="s">
        <v>22</v>
      </c>
      <c r="AG1" s="5"/>
      <c r="AH1" s="5"/>
      <c r="AJ1" s="6" t="s">
        <v>24</v>
      </c>
      <c r="AK1" s="7"/>
      <c r="AM1" s="6" t="s">
        <v>26</v>
      </c>
      <c r="AN1" s="8"/>
      <c r="AO1" s="8"/>
      <c r="AQ1" s="6" t="s">
        <v>30</v>
      </c>
      <c r="AR1" s="8"/>
      <c r="AS1" s="8"/>
      <c r="AU1" s="6" t="s">
        <v>31</v>
      </c>
      <c r="AV1" s="8"/>
      <c r="AW1" s="8"/>
      <c r="AY1" s="5" t="s">
        <v>33</v>
      </c>
      <c r="AZ1" s="5"/>
      <c r="BA1" s="5"/>
      <c r="BC1" s="5" t="s">
        <v>35</v>
      </c>
      <c r="BD1" s="5"/>
      <c r="BE1" s="5"/>
      <c r="BG1" s="5" t="s">
        <v>37</v>
      </c>
      <c r="BH1" s="5"/>
      <c r="BI1" s="5"/>
      <c r="BK1" s="5" t="s">
        <v>40</v>
      </c>
      <c r="BL1" s="5"/>
      <c r="BM1" s="5"/>
      <c r="BO1" s="6" t="s">
        <v>41</v>
      </c>
      <c r="BP1" s="7"/>
      <c r="BR1" s="5" t="s">
        <v>44</v>
      </c>
      <c r="BS1" s="5"/>
      <c r="BT1" s="5"/>
      <c r="BV1" s="9" t="s">
        <v>37</v>
      </c>
      <c r="BW1" s="10"/>
      <c r="BX1" s="10"/>
      <c r="BY1" s="10"/>
      <c r="BZ1" s="10"/>
      <c r="CB1" s="9" t="s">
        <v>50</v>
      </c>
      <c r="CC1" s="10"/>
      <c r="CD1" s="10"/>
      <c r="CE1" s="10"/>
      <c r="CF1" s="10"/>
      <c r="CH1" s="9" t="s">
        <v>22</v>
      </c>
      <c r="CI1" s="10"/>
      <c r="CJ1" s="10"/>
      <c r="CK1" s="10"/>
      <c r="CL1" s="10"/>
      <c r="CM1" s="3"/>
      <c r="CN1" s="5" t="s">
        <v>52</v>
      </c>
      <c r="CO1" s="5"/>
      <c r="CP1" s="5"/>
      <c r="CR1" s="5" t="s">
        <v>54</v>
      </c>
      <c r="CS1" s="5"/>
      <c r="CT1" s="5"/>
      <c r="CV1" s="5" t="s">
        <v>55</v>
      </c>
      <c r="CW1" s="5"/>
      <c r="CX1" s="5"/>
      <c r="CZ1" s="5" t="s">
        <v>57</v>
      </c>
      <c r="DA1" s="5"/>
      <c r="DB1" s="5"/>
      <c r="DD1" s="5" t="s">
        <v>58</v>
      </c>
      <c r="DE1" s="5"/>
      <c r="DF1" s="5"/>
      <c r="DH1" s="5" t="s">
        <v>59</v>
      </c>
      <c r="DI1" s="5"/>
      <c r="DJ1" s="5"/>
      <c r="DL1" s="5" t="s">
        <v>15</v>
      </c>
      <c r="DM1" s="5"/>
      <c r="DN1" s="5"/>
      <c r="DS1" s="5"/>
      <c r="DT1" s="5"/>
      <c r="DU1" s="5"/>
      <c r="DW1" s="5" t="s">
        <v>71</v>
      </c>
      <c r="DX1" s="5"/>
      <c r="DY1" s="5"/>
    </row>
    <row r="2" spans="2:134" x14ac:dyDescent="0.25">
      <c r="B2" s="2" t="s">
        <v>0</v>
      </c>
      <c r="C2" s="2" t="s">
        <v>1</v>
      </c>
      <c r="D2" s="2" t="s">
        <v>2</v>
      </c>
      <c r="F2" s="2" t="s">
        <v>1</v>
      </c>
      <c r="G2" s="2" t="s">
        <v>4</v>
      </c>
      <c r="H2" s="2" t="s">
        <v>5</v>
      </c>
      <c r="I2" s="1"/>
      <c r="J2" s="2" t="s">
        <v>7</v>
      </c>
      <c r="K2" s="2" t="s">
        <v>8</v>
      </c>
      <c r="L2" s="2" t="s">
        <v>9</v>
      </c>
      <c r="M2" s="1"/>
      <c r="N2" s="2" t="s">
        <v>0</v>
      </c>
      <c r="O2" s="2" t="s">
        <v>1</v>
      </c>
      <c r="P2" s="1"/>
      <c r="Q2" s="2" t="s">
        <v>12</v>
      </c>
      <c r="R2" s="2" t="s">
        <v>13</v>
      </c>
      <c r="S2" s="1"/>
      <c r="T2" s="2" t="s">
        <v>2</v>
      </c>
      <c r="U2" s="2" t="s">
        <v>13</v>
      </c>
      <c r="V2" s="2" t="s">
        <v>1</v>
      </c>
      <c r="W2" s="1"/>
      <c r="X2" s="2" t="s">
        <v>12</v>
      </c>
      <c r="Y2" s="2" t="s">
        <v>17</v>
      </c>
      <c r="Z2" s="2" t="s">
        <v>13</v>
      </c>
      <c r="AB2" s="2" t="s">
        <v>18</v>
      </c>
      <c r="AC2" s="2" t="s">
        <v>13</v>
      </c>
      <c r="AD2" s="2" t="s">
        <v>19</v>
      </c>
      <c r="AE2" s="1"/>
      <c r="AF2" s="2" t="s">
        <v>21</v>
      </c>
      <c r="AG2" s="2" t="s">
        <v>13</v>
      </c>
      <c r="AH2" s="2" t="s">
        <v>19</v>
      </c>
      <c r="AJ2" s="2" t="s">
        <v>23</v>
      </c>
      <c r="AK2" s="2" t="s">
        <v>19</v>
      </c>
      <c r="AM2" s="2" t="s">
        <v>2</v>
      </c>
      <c r="AN2" s="2" t="s">
        <v>25</v>
      </c>
      <c r="AO2" s="2" t="s">
        <v>1</v>
      </c>
      <c r="AQ2" s="2" t="s">
        <v>27</v>
      </c>
      <c r="AR2" s="2" t="s">
        <v>28</v>
      </c>
      <c r="AS2" s="2" t="s">
        <v>29</v>
      </c>
      <c r="AU2" s="2" t="s">
        <v>0</v>
      </c>
      <c r="AV2" s="2" t="s">
        <v>1</v>
      </c>
      <c r="AW2" s="2" t="s">
        <v>2</v>
      </c>
      <c r="AY2" s="2" t="s">
        <v>32</v>
      </c>
      <c r="AZ2" s="2" t="s">
        <v>13</v>
      </c>
      <c r="BA2" s="2" t="s">
        <v>18</v>
      </c>
      <c r="BC2" s="2" t="s">
        <v>18</v>
      </c>
      <c r="BD2" s="2" t="s">
        <v>17</v>
      </c>
      <c r="BE2" s="2" t="s">
        <v>34</v>
      </c>
      <c r="BG2" s="2" t="s">
        <v>18</v>
      </c>
      <c r="BH2" s="2" t="s">
        <v>36</v>
      </c>
      <c r="BI2" s="2" t="s">
        <v>13</v>
      </c>
      <c r="BK2" s="2" t="s">
        <v>38</v>
      </c>
      <c r="BL2" s="2" t="s">
        <v>39</v>
      </c>
      <c r="BM2" s="2" t="s">
        <v>2</v>
      </c>
      <c r="BO2" s="2" t="s">
        <v>18</v>
      </c>
      <c r="BP2" s="2" t="s">
        <v>28</v>
      </c>
      <c r="BR2" s="2" t="s">
        <v>42</v>
      </c>
      <c r="BS2" s="2" t="s">
        <v>43</v>
      </c>
      <c r="BT2" s="2" t="s">
        <v>13</v>
      </c>
      <c r="BV2" s="2" t="s">
        <v>18</v>
      </c>
      <c r="BW2" s="2" t="s">
        <v>13</v>
      </c>
      <c r="BX2" s="2" t="s">
        <v>19</v>
      </c>
      <c r="BY2" s="2" t="s">
        <v>45</v>
      </c>
      <c r="BZ2" s="2" t="s">
        <v>36</v>
      </c>
      <c r="CB2" s="2" t="s">
        <v>0</v>
      </c>
      <c r="CC2" s="2" t="s">
        <v>1</v>
      </c>
      <c r="CD2" s="2" t="s">
        <v>2</v>
      </c>
      <c r="CE2" s="2" t="s">
        <v>46</v>
      </c>
      <c r="CF2" s="2" t="s">
        <v>47</v>
      </c>
      <c r="CH2" s="2" t="s">
        <v>18</v>
      </c>
      <c r="CI2" s="2" t="s">
        <v>48</v>
      </c>
      <c r="CJ2" s="2" t="s">
        <v>13</v>
      </c>
      <c r="CK2" s="2" t="s">
        <v>19</v>
      </c>
      <c r="CL2" s="2" t="s">
        <v>49</v>
      </c>
      <c r="CM2" s="3"/>
      <c r="CN2" s="2" t="s">
        <v>12</v>
      </c>
      <c r="CO2" s="2" t="s">
        <v>32</v>
      </c>
      <c r="CP2" s="2" t="s">
        <v>51</v>
      </c>
      <c r="CR2" s="2"/>
      <c r="CS2" s="2" t="s">
        <v>53</v>
      </c>
      <c r="CT2" s="2" t="s">
        <v>19</v>
      </c>
      <c r="CV2" s="2" t="s">
        <v>12</v>
      </c>
      <c r="CW2" s="2" t="s">
        <v>13</v>
      </c>
      <c r="CX2" s="2" t="s">
        <v>19</v>
      </c>
      <c r="CZ2" s="2" t="s">
        <v>0</v>
      </c>
      <c r="DA2" s="2" t="s">
        <v>2</v>
      </c>
      <c r="DB2" s="2" t="s">
        <v>56</v>
      </c>
      <c r="DD2" s="2" t="s">
        <v>12</v>
      </c>
      <c r="DE2" s="2" t="s">
        <v>17</v>
      </c>
      <c r="DF2" s="2" t="s">
        <v>19</v>
      </c>
      <c r="DH2" s="2" t="s">
        <v>0</v>
      </c>
      <c r="DI2" s="2" t="s">
        <v>2</v>
      </c>
      <c r="DJ2" s="2" t="s">
        <v>1</v>
      </c>
      <c r="DL2" s="2" t="s">
        <v>2</v>
      </c>
      <c r="DM2" s="2" t="s">
        <v>13</v>
      </c>
      <c r="DN2" s="2" t="s">
        <v>1</v>
      </c>
      <c r="DO2" s="2" t="s">
        <v>60</v>
      </c>
      <c r="DP2" s="2" t="s">
        <v>61</v>
      </c>
      <c r="DQ2" s="2" t="s">
        <v>62</v>
      </c>
      <c r="DS2" s="2" t="s">
        <v>23</v>
      </c>
      <c r="DT2" s="2" t="s">
        <v>19</v>
      </c>
      <c r="DU2" s="2" t="s">
        <v>68</v>
      </c>
      <c r="DW2" s="2" t="s">
        <v>0</v>
      </c>
      <c r="DX2" s="2" t="s">
        <v>1</v>
      </c>
      <c r="DY2" s="2" t="s">
        <v>4</v>
      </c>
      <c r="DZ2" s="4"/>
      <c r="EA2" s="2" t="s">
        <v>70</v>
      </c>
      <c r="EB2" s="2" t="s">
        <v>60</v>
      </c>
      <c r="EC2" s="2" t="s">
        <v>61</v>
      </c>
      <c r="ED2" s="2" t="s">
        <v>62</v>
      </c>
    </row>
    <row r="3" spans="2:134" x14ac:dyDescent="0.25">
      <c r="B3">
        <f ca="1">RANDBETWEEN(15,1000)</f>
        <v>156</v>
      </c>
      <c r="C3">
        <f ca="1">RANDBETWEEN(2,52)</f>
        <v>30</v>
      </c>
      <c r="D3">
        <f ca="1">RAND()*(0.3-0.01)+0.01</f>
        <v>0.18517291861327256</v>
      </c>
      <c r="F3" s="1">
        <f ca="1">RANDBETWEEN(2,52)</f>
        <v>13</v>
      </c>
      <c r="G3" s="1">
        <f ca="1">RANDBETWEEN(2,30)</f>
        <v>3</v>
      </c>
      <c r="H3" s="1">
        <f ca="1">RANDBETWEEN(1,15)</f>
        <v>8</v>
      </c>
      <c r="I3" s="1"/>
      <c r="J3" s="1">
        <f ca="1">RANDBETWEEN(1,39)</f>
        <v>23</v>
      </c>
      <c r="K3" s="1">
        <f ca="1">RAND()*(3-1)+1</f>
        <v>1.5076545659553136</v>
      </c>
      <c r="L3" s="1">
        <f ca="1">RANDBETWEEN(2,35)</f>
        <v>31</v>
      </c>
      <c r="M3" s="1"/>
      <c r="N3" s="1">
        <f ca="1">RANDBETWEEN(15,1000)</f>
        <v>175</v>
      </c>
      <c r="O3" s="1">
        <f ca="1">RANDBETWEEN(2,52)</f>
        <v>5</v>
      </c>
      <c r="P3" s="1"/>
      <c r="Q3" s="1">
        <f ca="1">RAND()*(5-0.01)+0.01</f>
        <v>1.1550012382631836</v>
      </c>
      <c r="R3" s="1">
        <f ca="1">RANDBETWEEN(200,1200)</f>
        <v>331</v>
      </c>
      <c r="S3" s="1"/>
      <c r="T3" s="1">
        <f ca="1">RAND()*(0.2-0.01)+0.01</f>
        <v>0.1238014963104036</v>
      </c>
      <c r="U3" s="1">
        <f ca="1">RANDBETWEEN(50,450)</f>
        <v>444</v>
      </c>
      <c r="V3" s="1">
        <f ca="1">RANDBETWEEN(2,52)</f>
        <v>20</v>
      </c>
      <c r="W3" s="1"/>
      <c r="X3" s="1">
        <f ca="1">RAND()*(10-0.01)+0.01</f>
        <v>6.9903281702096489</v>
      </c>
      <c r="Y3" s="1">
        <f ca="1">RAND()*(1-0.0001)+0.0001</f>
        <v>0.68265263699796097</v>
      </c>
      <c r="Z3" s="1">
        <f ca="1">RANDBETWEEN(100,2000)</f>
        <v>308</v>
      </c>
      <c r="AB3" s="1">
        <f ca="1">RAND()*(1-0.0001)+0.0001</f>
        <v>0.14220586239660754</v>
      </c>
      <c r="AC3" s="1">
        <f ca="1">RANDBETWEEN(100,1000)</f>
        <v>405</v>
      </c>
      <c r="AD3" s="1">
        <f ca="1">RAND()*(0.01-0.00001)+0.00001</f>
        <v>1.9517730730946178E-3</v>
      </c>
      <c r="AE3" s="1"/>
      <c r="AF3" s="1">
        <f ca="1">RAND()*(0.9-0.1)+0.1</f>
        <v>0.18193586139437087</v>
      </c>
      <c r="AG3" s="1">
        <f ca="1">RANDBETWEEN(100,1000)</f>
        <v>377</v>
      </c>
      <c r="AH3" s="1">
        <f ca="1">RAND()*(0.01-0.00001)+0.00001</f>
        <v>7.0142653817388181E-3</v>
      </c>
      <c r="AJ3" s="1">
        <f ca="1">RAND()*(1-0)+0</f>
        <v>0.94649682019294634</v>
      </c>
      <c r="AK3" s="1">
        <f ca="1">RAND()*(0.01-0.00001)+0.00001</f>
        <v>6.2570624296397585E-3</v>
      </c>
      <c r="AM3" s="1">
        <f ca="1">RAND()*(0.2-0.005)+0.005</f>
        <v>3.6198590453236736E-2</v>
      </c>
      <c r="AN3" s="1">
        <f ca="1">RANDBETWEEN(10,80)</f>
        <v>69</v>
      </c>
      <c r="AO3" s="1">
        <f ca="1">RANDBETWEEN(-1,20)</f>
        <v>19</v>
      </c>
      <c r="AQ3" s="1">
        <f ca="1">RANDBETWEEN(10,200)</f>
        <v>176</v>
      </c>
      <c r="AR3" s="1">
        <f ca="1">RANDBETWEEN(0,10)</f>
        <v>6</v>
      </c>
      <c r="AS3" s="1">
        <f ca="1">RANDBETWEEN(1,100)</f>
        <v>61</v>
      </c>
      <c r="AU3" s="1">
        <f ca="1">RANDBETWEEN(50,400)</f>
        <v>347</v>
      </c>
      <c r="AV3" s="1">
        <f ca="1">RANDBETWEEN(2,10)</f>
        <v>4</v>
      </c>
      <c r="AW3" s="1">
        <f ca="1">RAND()*(0.2-0.01)+0.01</f>
        <v>0.10657800858791087</v>
      </c>
      <c r="AY3" s="1">
        <f ca="1">RAND()*(2-1.1)+1.1</f>
        <v>1.8034236036976146</v>
      </c>
      <c r="AZ3" s="1">
        <f ca="1">RANDBETWEEN(50,500)</f>
        <v>348</v>
      </c>
      <c r="BA3" s="1">
        <f ca="1">RAND()*(0.01-0.00001)+0.00001</f>
        <v>7.3724396831523582E-3</v>
      </c>
      <c r="BC3" s="1">
        <f ca="1">RAND()*(1-0.0001)+0.0001</f>
        <v>2.7099341296957187E-2</v>
      </c>
      <c r="BD3" s="1">
        <f ca="1">RAND()*(1-0.0001)+0.0001</f>
        <v>0.43429423743247264</v>
      </c>
      <c r="BE3" s="1">
        <f ca="1">RANDBETWEEN(0,2)</f>
        <v>2</v>
      </c>
      <c r="BG3" s="1">
        <f ca="1">RAND()*(1-0.0001)+0.0001</f>
        <v>0.44145153792668085</v>
      </c>
      <c r="BH3" s="1">
        <f ca="1">RAND()*(1-0)+0</f>
        <v>0.71672424358543407</v>
      </c>
      <c r="BI3" s="1">
        <f ca="1">RANDBETWEEN(100,1000)</f>
        <v>274</v>
      </c>
      <c r="BK3" s="1">
        <f ca="1">RANDBETWEEN(100,600)</f>
        <v>179</v>
      </c>
      <c r="BL3" s="1">
        <f ca="1">RANDBETWEEN(3,10)</f>
        <v>10</v>
      </c>
      <c r="BM3" s="1">
        <f ca="1">RAND()*(0.3-0.01)+0.01</f>
        <v>0.21791675120054085</v>
      </c>
      <c r="BO3" s="1">
        <f ca="1">RAND()*(0.1-0.000001)+0.000001</f>
        <v>1.7889759059027142E-2</v>
      </c>
      <c r="BP3" s="1">
        <f ca="1">RANDBETWEEN(0,15)</f>
        <v>14</v>
      </c>
      <c r="BR3" s="1">
        <f ca="1">RAND()*(0.01-0.000001)+0.000001</f>
        <v>6.488544724984481E-3</v>
      </c>
      <c r="BS3" s="1">
        <f ca="1">RAND()*(0.01-0.000001)+0.000001</f>
        <v>3.8328200495974462E-3</v>
      </c>
      <c r="BT3" s="1">
        <f ca="1">RANDBETWEEN(100,1000)</f>
        <v>248</v>
      </c>
      <c r="BV3" s="1">
        <f ca="1">RAND()*(1-0.0001)+0.0001</f>
        <v>0.99001858804033971</v>
      </c>
      <c r="BW3" s="1">
        <f ca="1">RANDBETWEEN(100,1000)</f>
        <v>277</v>
      </c>
      <c r="BX3" s="1">
        <f ca="1">RAND()*(0.01-0.00001)+0.00001</f>
        <v>9.6850127504722171E-3</v>
      </c>
      <c r="BY3" s="1">
        <f ca="1">RAND()*(0.1-0.0001)+0.0001</f>
        <v>8.7412610584806469E-2</v>
      </c>
      <c r="BZ3" s="1">
        <f ca="1">RAND()*(1-0)+0</f>
        <v>0.98696065766837382</v>
      </c>
      <c r="CB3" s="1">
        <f ca="1">RANDBETWEEN(50,500)</f>
        <v>472</v>
      </c>
      <c r="CC3" s="1">
        <f ca="1">RANDBETWEEN(3,15)</f>
        <v>12</v>
      </c>
      <c r="CD3" s="1">
        <f ca="1">RAND()*(0.3-0.01)+0.01</f>
        <v>0.24305420314205745</v>
      </c>
      <c r="CE3" s="1">
        <f ca="1">RAND()*(1-0.5)+0.5</f>
        <v>0.69821719238460767</v>
      </c>
      <c r="CF3" s="1">
        <f ca="1">RAND()*(1-0.5)+0.5</f>
        <v>0.79080705362982018</v>
      </c>
      <c r="CH3" s="3">
        <f ca="1">RAND()*(1-0.0001)+0.0001</f>
        <v>0.68195134718654016</v>
      </c>
      <c r="CI3" s="3">
        <f ca="1">RAND()*(0.99-0.01)+0.01</f>
        <v>0.38243031278176148</v>
      </c>
      <c r="CJ3" s="3">
        <f ca="1">RANDBETWEEN(100,2000)</f>
        <v>386</v>
      </c>
      <c r="CK3" s="3">
        <f ca="1">RAND()*(0.01-0.000001)+0.000001</f>
        <v>1.0577716098840982E-3</v>
      </c>
      <c r="CL3" s="3">
        <f ca="1">RANDBETWEEN(0,1)</f>
        <v>0</v>
      </c>
      <c r="CM3" s="3"/>
      <c r="CN3" s="1">
        <f ca="1">RAND()*(20-0.1)+0.1</f>
        <v>1.0345025127172507</v>
      </c>
      <c r="CO3" s="1">
        <f ca="1">RAND()*(0.5-0.001)+0.001</f>
        <v>0.13020833777168708</v>
      </c>
      <c r="CP3" s="1">
        <f ca="1">RANDBETWEEN(1,5)</f>
        <v>4</v>
      </c>
      <c r="CR3" s="1"/>
      <c r="CS3" s="1">
        <f ca="1">RAND()*(1-0)+0</f>
        <v>0.80405475004599303</v>
      </c>
      <c r="CT3" s="1">
        <f ca="1">RAND()*(0.01-0.000001)+0.000001</f>
        <v>3.4543772424712898E-3</v>
      </c>
      <c r="CV3" s="1">
        <f ca="1">RAND()*(10-0.0001)+0.0001</f>
        <v>9.1529066973903959</v>
      </c>
      <c r="CW3" s="1">
        <f ca="1">RANDBETWEEN(100,2000)</f>
        <v>131</v>
      </c>
      <c r="CX3" s="1">
        <f ca="1">RAND()*(0.01-0.000001)+0.000001</f>
        <v>9.5904822863384573E-3</v>
      </c>
      <c r="CZ3" s="1">
        <f ca="1">RANDBETWEEN(10,500)</f>
        <v>272</v>
      </c>
      <c r="DA3" s="1">
        <f ca="1">RAND()*(1-0.001)+0.001</f>
        <v>1.2477505071896856E-2</v>
      </c>
      <c r="DB3" s="1">
        <f ca="1">RANDBETWEEN(0,2)</f>
        <v>0</v>
      </c>
      <c r="DD3" s="1">
        <f ca="1">RAND()*(10-0.01)+0.01</f>
        <v>7.1906429011138675</v>
      </c>
      <c r="DE3" s="1">
        <f ca="1">RAND()*(1-0.0001)+0.0001</f>
        <v>0.41505313397905624</v>
      </c>
      <c r="DF3" s="1">
        <f ca="1">RAND()*(0.01-0.000001)+0.000001</f>
        <v>5.4424089494555699E-3</v>
      </c>
      <c r="DH3" s="1">
        <f ca="1">RANDBETWEEN(10,900)</f>
        <v>302</v>
      </c>
      <c r="DI3" s="1">
        <f ca="1">RAND()*(1-0.001)+0.001</f>
        <v>5.2765662380076961E-2</v>
      </c>
      <c r="DJ3" s="1">
        <f ca="1">RANDBETWEEN(1,30)</f>
        <v>2</v>
      </c>
      <c r="DL3" s="1">
        <f ca="1">RAND()*(0.2-0.01)+0.01</f>
        <v>0.11407744483283595</v>
      </c>
      <c r="DM3" s="1">
        <f ca="1">RANDBETWEEN(50,300)</f>
        <v>61</v>
      </c>
      <c r="DN3" s="1">
        <f ca="1">RANDBETWEEN(1,10)</f>
        <v>8</v>
      </c>
      <c r="DO3" t="s">
        <v>2</v>
      </c>
      <c r="DP3" t="s">
        <v>63</v>
      </c>
      <c r="DQ3" t="s">
        <v>64</v>
      </c>
      <c r="DS3" s="1">
        <f ca="1">RAND()*(1-0)+0</f>
        <v>5.4351593212350946E-2</v>
      </c>
      <c r="DT3" s="1">
        <f ca="1">RAND()*(0.01-0.000001)+0.000001</f>
        <v>2.6759447899193153E-3</v>
      </c>
      <c r="DU3" s="1">
        <f ca="1">RANDBETWEEN(0,1)</f>
        <v>1</v>
      </c>
      <c r="DW3" s="1">
        <f ca="1">RANDBETWEEN(50,500)</f>
        <v>180</v>
      </c>
      <c r="DX3" s="1">
        <f ca="1">RANDBETWEEN(3,20)</f>
        <v>11</v>
      </c>
      <c r="DY3" s="1">
        <f ca="1">RANDBETWEEN(2,20)</f>
        <v>6</v>
      </c>
      <c r="EA3" t="s">
        <v>71</v>
      </c>
      <c r="EB3" t="s">
        <v>0</v>
      </c>
      <c r="EC3" t="s">
        <v>65</v>
      </c>
      <c r="ED3" t="s">
        <v>72</v>
      </c>
    </row>
    <row r="4" spans="2:134" x14ac:dyDescent="0.25">
      <c r="B4">
        <f t="shared" ref="B4:B67" ca="1" si="0">RANDBETWEEN(15,1000)</f>
        <v>795</v>
      </c>
      <c r="C4">
        <f t="shared" ref="C4:C67" ca="1" si="1">RANDBETWEEN(2,52)</f>
        <v>51</v>
      </c>
      <c r="D4">
        <f t="shared" ref="D4:D67" ca="1" si="2">RAND()*(0.3-0.01)+0.01</f>
        <v>4.852259553343264E-2</v>
      </c>
      <c r="F4" s="1">
        <f t="shared" ref="F4:F67" ca="1" si="3">RANDBETWEEN(2,52)</f>
        <v>51</v>
      </c>
      <c r="G4" s="1">
        <f t="shared" ref="G4:G67" ca="1" si="4">RANDBETWEEN(2,30)</f>
        <v>26</v>
      </c>
      <c r="H4" s="1">
        <f t="shared" ref="H4:H67" ca="1" si="5">RANDBETWEEN(1,15)</f>
        <v>15</v>
      </c>
      <c r="I4" s="1"/>
      <c r="J4" s="1">
        <f t="shared" ref="J4:J67" ca="1" si="6">RANDBETWEEN(1,39)</f>
        <v>29</v>
      </c>
      <c r="K4" s="1">
        <f t="shared" ref="K4:K67" ca="1" si="7">RAND()*(3-1)+1</f>
        <v>2.5061569840036642</v>
      </c>
      <c r="L4" s="1">
        <f t="shared" ref="L4:L67" ca="1" si="8">RANDBETWEEN(2,35)</f>
        <v>26</v>
      </c>
      <c r="M4" s="1"/>
      <c r="N4" s="1">
        <f t="shared" ref="N4:N67" ca="1" si="9">RANDBETWEEN(15,1000)</f>
        <v>292</v>
      </c>
      <c r="O4" s="1">
        <f t="shared" ref="O4:O67" ca="1" si="10">RANDBETWEEN(2,52)</f>
        <v>44</v>
      </c>
      <c r="P4" s="1"/>
      <c r="Q4" s="1">
        <f t="shared" ref="Q4:Q67" ca="1" si="11">RAND()*(5-0.01)+0.01</f>
        <v>1.2671552701361006</v>
      </c>
      <c r="R4" s="1">
        <f t="shared" ref="R4:R67" ca="1" si="12">RANDBETWEEN(200,1200)</f>
        <v>1175</v>
      </c>
      <c r="S4" s="1"/>
      <c r="T4" s="1">
        <f t="shared" ref="T4:T67" ca="1" si="13">RAND()*(0.2-0.01)+0.01</f>
        <v>5.6117783473737762E-2</v>
      </c>
      <c r="U4" s="1">
        <f t="shared" ref="U4:U67" ca="1" si="14">RANDBETWEEN(50,450)</f>
        <v>411</v>
      </c>
      <c r="V4" s="1">
        <f t="shared" ref="V4:V67" ca="1" si="15">RANDBETWEEN(2,52)</f>
        <v>43</v>
      </c>
      <c r="W4" s="1"/>
      <c r="X4" s="1">
        <f t="shared" ref="X4:X67" ca="1" si="16">RAND()*(10-0.01)+0.01</f>
        <v>1.4989694356672141</v>
      </c>
      <c r="Y4" s="1">
        <f t="shared" ref="Y4:Y67" ca="1" si="17">RAND()*(1-0.0001)+0.0001</f>
        <v>0.55468562795293308</v>
      </c>
      <c r="Z4" s="1">
        <f t="shared" ref="Z4:Z67" ca="1" si="18">RANDBETWEEN(100,2000)</f>
        <v>1816</v>
      </c>
      <c r="AB4" s="1">
        <f t="shared" ref="AB4:AB67" ca="1" si="19">RAND()*(1-0.0001)+0.0001</f>
        <v>0.81805646745607663</v>
      </c>
      <c r="AC4" s="1">
        <f t="shared" ref="AC4:AC67" ca="1" si="20">RANDBETWEEN(100,1000)</f>
        <v>829</v>
      </c>
      <c r="AD4" s="1">
        <f t="shared" ref="AD4:AD67" ca="1" si="21">RAND()*(0.01-0.00001)+0.00001</f>
        <v>2.4640247083374278E-3</v>
      </c>
      <c r="AE4" s="1"/>
      <c r="AF4" s="1">
        <f t="shared" ref="AF4:AF67" ca="1" si="22">RAND()*(0.9-0.1)+0.1</f>
        <v>0.66672566444241077</v>
      </c>
      <c r="AG4" s="1">
        <f t="shared" ref="AG4:AG67" ca="1" si="23">RANDBETWEEN(100,1000)</f>
        <v>840</v>
      </c>
      <c r="AH4" s="1">
        <f t="shared" ref="AH4:AH67" ca="1" si="24">RAND()*(0.01-0.00001)+0.00001</f>
        <v>3.3027406247992034E-3</v>
      </c>
      <c r="AJ4" s="1">
        <f t="shared" ref="AJ4:AJ67" ca="1" si="25">RAND()*(1-0)+0</f>
        <v>0.84793904419841015</v>
      </c>
      <c r="AK4" s="1">
        <f t="shared" ref="AK4:AK67" ca="1" si="26">RAND()*(0.01-0.00001)+0.00001</f>
        <v>3.3171908141553189E-3</v>
      </c>
      <c r="AL4" s="1"/>
      <c r="AM4" s="1">
        <f t="shared" ref="AM4:AM67" ca="1" si="27">RAND()*(0.2-0.005)+0.005</f>
        <v>0.10072084851717354</v>
      </c>
      <c r="AN4" s="1">
        <f t="shared" ref="AN4:AN67" ca="1" si="28">RANDBETWEEN(10,80)</f>
        <v>51</v>
      </c>
      <c r="AO4" s="1">
        <f t="shared" ref="AO4:AO67" ca="1" si="29">RANDBETWEEN(-1,20)</f>
        <v>0</v>
      </c>
      <c r="AQ4" s="1">
        <f t="shared" ref="AQ4:AQ67" ca="1" si="30">RANDBETWEEN(10,200)</f>
        <v>35</v>
      </c>
      <c r="AR4" s="1">
        <f t="shared" ref="AR4:AR67" ca="1" si="31">RANDBETWEEN(0,10)</f>
        <v>9</v>
      </c>
      <c r="AS4" s="1">
        <f t="shared" ref="AS4:AS67" ca="1" si="32">RANDBETWEEN(1,100)</f>
        <v>78</v>
      </c>
      <c r="AU4" s="1">
        <f t="shared" ref="AU4:AU67" ca="1" si="33">RANDBETWEEN(50,400)</f>
        <v>377</v>
      </c>
      <c r="AV4" s="1">
        <f t="shared" ref="AV4:AV67" ca="1" si="34">RANDBETWEEN(2,10)</f>
        <v>2</v>
      </c>
      <c r="AW4" s="1">
        <f t="shared" ref="AW4:AW67" ca="1" si="35">RAND()*(0.2-0.01)+0.01</f>
        <v>8.0394349127637876E-2</v>
      </c>
      <c r="AY4" s="1">
        <f t="shared" ref="AY4:AY67" ca="1" si="36">RAND()*(2-1.1)+1.1</f>
        <v>1.5920014163716272</v>
      </c>
      <c r="AZ4" s="1">
        <f t="shared" ref="AZ4:AZ67" ca="1" si="37">RANDBETWEEN(50,500)</f>
        <v>69</v>
      </c>
      <c r="BA4" s="1">
        <f t="shared" ref="BA4:BA67" ca="1" si="38">RAND()*(0.01-0.00001)+0.00001</f>
        <v>6.318668992071101E-3</v>
      </c>
      <c r="BG4" s="1">
        <f t="shared" ref="BG4:BG67" ca="1" si="39">RAND()*(1-0.0001)+0.0001</f>
        <v>0.87943416218062553</v>
      </c>
      <c r="BH4" s="1">
        <f t="shared" ref="BH4:BH67" ca="1" si="40">RAND()*(1-0)+0</f>
        <v>0.3610231535950863</v>
      </c>
      <c r="BI4" s="1">
        <f t="shared" ref="BI4:BI67" ca="1" si="41">RANDBETWEEN(100,1000)</f>
        <v>897</v>
      </c>
      <c r="BV4" s="1">
        <f t="shared" ref="BV4:BV67" ca="1" si="42">RAND()*(1-0.0001)+0.0001</f>
        <v>6.5174212419937788E-2</v>
      </c>
      <c r="BW4" s="1">
        <f t="shared" ref="BW4:BW67" ca="1" si="43">RANDBETWEEN(100,1000)</f>
        <v>914</v>
      </c>
      <c r="BX4" s="1">
        <f t="shared" ref="BX4:BX67" ca="1" si="44">RAND()*(0.01-0.00001)+0.00001</f>
        <v>3.617663461160259E-3</v>
      </c>
      <c r="BY4" s="1">
        <f t="shared" ref="BY4:BY67" ca="1" si="45">RAND()*(0.1-0.0001)+0.0001</f>
        <v>2.1187949890720953E-2</v>
      </c>
      <c r="BZ4" s="1">
        <f t="shared" ref="BZ4:BZ67" ca="1" si="46">RAND()*(1-0)+0</f>
        <v>0.52710235734087063</v>
      </c>
      <c r="CB4" s="1">
        <f t="shared" ref="CB4:CB67" ca="1" si="47">RANDBETWEEN(50,500)</f>
        <v>361</v>
      </c>
      <c r="CC4" s="1">
        <f t="shared" ref="CC4:CC67" ca="1" si="48">RANDBETWEEN(3,15)</f>
        <v>5</v>
      </c>
      <c r="CD4" s="1">
        <f t="shared" ref="CD4:CD67" ca="1" si="49">RAND()*(0.3-0.01)+0.01</f>
        <v>0.11183757931816343</v>
      </c>
      <c r="CE4" s="1">
        <f t="shared" ref="CE4:CF35" ca="1" si="50">RAND()*(1-0.5)+0.5</f>
        <v>0.64709280733081598</v>
      </c>
      <c r="CF4" s="1">
        <f t="shared" ca="1" si="50"/>
        <v>0.81356721960003497</v>
      </c>
      <c r="CH4" s="3">
        <f t="shared" ref="CH4:CH67" ca="1" si="51">RAND()*(1-0.0001)+0.0001</f>
        <v>0.86630484851863765</v>
      </c>
      <c r="CI4" s="3">
        <f t="shared" ref="CI4:CI67" ca="1" si="52">RAND()*(0.99-0.01)+0.01</f>
        <v>0.79746947093724274</v>
      </c>
      <c r="CJ4" s="3">
        <f t="shared" ref="CJ4:CJ67" ca="1" si="53">RANDBETWEEN(100,2000)</f>
        <v>1184</v>
      </c>
      <c r="CK4" s="3">
        <f t="shared" ref="CK4:CK67" ca="1" si="54">RAND()*(0.01-0.000001)+0.000001</f>
        <v>4.3417642789198279E-3</v>
      </c>
      <c r="CL4" s="3">
        <f t="shared" ref="CL4:CL67" ca="1" si="55">RANDBETWEEN(0,1)</f>
        <v>1</v>
      </c>
      <c r="CM4" s="3"/>
      <c r="CN4" s="1">
        <f t="shared" ref="CN4:CN67" ca="1" si="56">RAND()*(20-0.1)+0.1</f>
        <v>5.42091198056381</v>
      </c>
      <c r="CO4" s="1">
        <f t="shared" ref="CO4:CO67" ca="1" si="57">RAND()*(0.5-0.001)+0.001</f>
        <v>0.28567493887892709</v>
      </c>
      <c r="CP4" s="1">
        <f t="shared" ref="CP4:CP67" ca="1" si="58">RANDBETWEEN(1,5)</f>
        <v>4</v>
      </c>
      <c r="CV4" s="1">
        <f t="shared" ref="CV4:CV67" ca="1" si="59">RAND()*(10-0.0001)+0.0001</f>
        <v>5.7046068104187455</v>
      </c>
      <c r="CW4" s="1">
        <f t="shared" ref="CW4:CW67" ca="1" si="60">RANDBETWEEN(100,2000)</f>
        <v>791</v>
      </c>
      <c r="CX4" s="1">
        <f t="shared" ref="CX4:CX67" ca="1" si="61">RAND()*(0.01-0.000001)+0.000001</f>
        <v>1.006904110886545E-3</v>
      </c>
      <c r="DH4" s="1">
        <f t="shared" ref="DH4:DH67" ca="1" si="62">RANDBETWEEN(10,900)</f>
        <v>190</v>
      </c>
      <c r="DI4" s="1">
        <f t="shared" ref="DI4:DI67" ca="1" si="63">RAND()*(1-0.001)+0.001</f>
        <v>0.33585992687536165</v>
      </c>
      <c r="DJ4" s="1">
        <f t="shared" ref="DJ4:DJ67" ca="1" si="64">RANDBETWEEN(1,30)</f>
        <v>25</v>
      </c>
      <c r="DL4" s="1">
        <f t="shared" ref="DL4:DL67" ca="1" si="65">RAND()*(0.2-0.01)+0.01</f>
        <v>0.18494346336535178</v>
      </c>
      <c r="DM4" s="1">
        <f t="shared" ref="DM4:DM67" ca="1" si="66">RANDBETWEEN(50,300)</f>
        <v>260</v>
      </c>
      <c r="DN4" s="1">
        <f t="shared" ref="DN4:DN67" ca="1" si="67">RANDBETWEEN(1,10)</f>
        <v>5</v>
      </c>
      <c r="DO4" t="s">
        <v>13</v>
      </c>
      <c r="DP4" t="s">
        <v>65</v>
      </c>
      <c r="DQ4" t="s">
        <v>66</v>
      </c>
      <c r="DS4" s="1">
        <f t="shared" ref="DS4:DS7" ca="1" si="68">RAND()*(1-0)+0</f>
        <v>0.48350835480896825</v>
      </c>
      <c r="DT4" s="1">
        <f t="shared" ref="DT4:DT7" ca="1" si="69">RAND()*(0.01-0.000001)+0.000001</f>
        <v>5.7907847627771585E-3</v>
      </c>
      <c r="DU4" s="1">
        <f t="shared" ref="DU4:DU7" ca="1" si="70">RANDBETWEEN(0,1)</f>
        <v>1</v>
      </c>
      <c r="DW4" s="1">
        <f t="shared" ref="DW4:DW67" ca="1" si="71">RANDBETWEEN(50,500)</f>
        <v>177</v>
      </c>
      <c r="DX4" s="1">
        <f t="shared" ref="DX4:DX67" ca="1" si="72">RANDBETWEEN(3,20)</f>
        <v>10</v>
      </c>
      <c r="DY4" s="1">
        <f t="shared" ref="DY4:DY67" ca="1" si="73">RANDBETWEEN(2,20)</f>
        <v>13</v>
      </c>
      <c r="EA4" t="s">
        <v>71</v>
      </c>
      <c r="EB4" t="s">
        <v>1</v>
      </c>
      <c r="EC4" t="s">
        <v>65</v>
      </c>
      <c r="ED4" t="s">
        <v>73</v>
      </c>
    </row>
    <row r="5" spans="2:134" x14ac:dyDescent="0.25">
      <c r="B5">
        <f t="shared" ca="1" si="0"/>
        <v>740</v>
      </c>
      <c r="C5">
        <f t="shared" ca="1" si="1"/>
        <v>48</v>
      </c>
      <c r="D5">
        <f t="shared" ca="1" si="2"/>
        <v>0.11384806344144273</v>
      </c>
      <c r="F5" s="1">
        <f t="shared" ca="1" si="3"/>
        <v>34</v>
      </c>
      <c r="G5" s="1">
        <f t="shared" ca="1" si="4"/>
        <v>9</v>
      </c>
      <c r="H5" s="1">
        <f t="shared" ca="1" si="5"/>
        <v>7</v>
      </c>
      <c r="I5" s="1"/>
      <c r="J5" s="1">
        <f t="shared" ca="1" si="6"/>
        <v>11</v>
      </c>
      <c r="K5" s="1">
        <f t="shared" ca="1" si="7"/>
        <v>2.0778710732200412</v>
      </c>
      <c r="L5" s="1">
        <f t="shared" ca="1" si="8"/>
        <v>19</v>
      </c>
      <c r="M5" s="1"/>
      <c r="N5" s="1">
        <f t="shared" ca="1" si="9"/>
        <v>419</v>
      </c>
      <c r="O5" s="1">
        <f t="shared" ca="1" si="10"/>
        <v>43</v>
      </c>
      <c r="P5" s="1"/>
      <c r="Q5" s="1">
        <f t="shared" ca="1" si="11"/>
        <v>2.7838500230656127</v>
      </c>
      <c r="R5" s="1">
        <f t="shared" ca="1" si="12"/>
        <v>235</v>
      </c>
      <c r="S5" s="1"/>
      <c r="T5" s="1">
        <f t="shared" ca="1" si="13"/>
        <v>6.8483487599931323E-2</v>
      </c>
      <c r="U5" s="1">
        <f t="shared" ca="1" si="14"/>
        <v>100</v>
      </c>
      <c r="V5" s="1">
        <f t="shared" ca="1" si="15"/>
        <v>19</v>
      </c>
      <c r="W5" s="1"/>
      <c r="X5" s="1">
        <f t="shared" ca="1" si="16"/>
        <v>8.2890924346262818</v>
      </c>
      <c r="Y5" s="1">
        <f t="shared" ca="1" si="17"/>
        <v>0.14773929863928423</v>
      </c>
      <c r="Z5" s="1">
        <f t="shared" ca="1" si="18"/>
        <v>1802</v>
      </c>
      <c r="AB5" s="1">
        <f t="shared" ca="1" si="19"/>
        <v>4.7306539080132458E-2</v>
      </c>
      <c r="AC5" s="1">
        <f t="shared" ca="1" si="20"/>
        <v>188</v>
      </c>
      <c r="AD5" s="1">
        <f t="shared" ca="1" si="21"/>
        <v>7.9658294984367821E-3</v>
      </c>
      <c r="AE5" s="1"/>
      <c r="AF5" s="1">
        <f t="shared" ca="1" si="22"/>
        <v>0.50525392545368264</v>
      </c>
      <c r="AG5" s="1">
        <f t="shared" ca="1" si="23"/>
        <v>701</v>
      </c>
      <c r="AH5" s="1">
        <f t="shared" ca="1" si="24"/>
        <v>5.3905185666972269E-3</v>
      </c>
      <c r="AJ5" s="1">
        <f t="shared" ca="1" si="25"/>
        <v>0.80856966337859781</v>
      </c>
      <c r="AK5" s="1">
        <f t="shared" ca="1" si="26"/>
        <v>7.8243255096774236E-3</v>
      </c>
      <c r="AL5" s="1"/>
      <c r="AM5" s="1">
        <f t="shared" ca="1" si="27"/>
        <v>2.0027290420090504E-2</v>
      </c>
      <c r="AN5" s="1">
        <f t="shared" ca="1" si="28"/>
        <v>25</v>
      </c>
      <c r="AO5" s="1">
        <f t="shared" ca="1" si="29"/>
        <v>14</v>
      </c>
      <c r="AQ5" s="1">
        <f t="shared" ca="1" si="30"/>
        <v>63</v>
      </c>
      <c r="AR5" s="1">
        <f t="shared" ca="1" si="31"/>
        <v>0</v>
      </c>
      <c r="AS5" s="1">
        <f t="shared" ca="1" si="32"/>
        <v>6</v>
      </c>
      <c r="AU5" s="1">
        <f t="shared" ca="1" si="33"/>
        <v>203</v>
      </c>
      <c r="AV5" s="1">
        <f t="shared" ca="1" si="34"/>
        <v>7</v>
      </c>
      <c r="AW5" s="1">
        <f t="shared" ca="1" si="35"/>
        <v>3.4974367073580474E-2</v>
      </c>
      <c r="AY5" s="1">
        <f t="shared" ca="1" si="36"/>
        <v>1.7491856059417823</v>
      </c>
      <c r="AZ5" s="1">
        <f t="shared" ca="1" si="37"/>
        <v>486</v>
      </c>
      <c r="BA5" s="1">
        <f t="shared" ca="1" si="38"/>
        <v>4.2920561434381405E-3</v>
      </c>
      <c r="BG5" s="1">
        <f t="shared" ca="1" si="39"/>
        <v>0.65260118271469458</v>
      </c>
      <c r="BH5" s="1">
        <f t="shared" ca="1" si="40"/>
        <v>0.55788889381213436</v>
      </c>
      <c r="BI5" s="1">
        <f t="shared" ca="1" si="41"/>
        <v>860</v>
      </c>
      <c r="BV5" s="1">
        <f t="shared" ca="1" si="42"/>
        <v>0.99391350126947531</v>
      </c>
      <c r="BW5" s="1">
        <f t="shared" ca="1" si="43"/>
        <v>699</v>
      </c>
      <c r="BX5" s="1">
        <f t="shared" ca="1" si="44"/>
        <v>7.4174356696404074E-3</v>
      </c>
      <c r="BY5" s="1">
        <f t="shared" ca="1" si="45"/>
        <v>5.613673547314714E-3</v>
      </c>
      <c r="BZ5" s="1">
        <f t="shared" ca="1" si="46"/>
        <v>8.9014461538123868E-2</v>
      </c>
      <c r="CB5" s="1">
        <f t="shared" ca="1" si="47"/>
        <v>166</v>
      </c>
      <c r="CC5" s="1">
        <f t="shared" ca="1" si="48"/>
        <v>4</v>
      </c>
      <c r="CD5" s="1">
        <f t="shared" ca="1" si="49"/>
        <v>0.22714367283187825</v>
      </c>
      <c r="CE5" s="1">
        <f t="shared" ca="1" si="50"/>
        <v>0.5501009695182808</v>
      </c>
      <c r="CF5" s="1">
        <f t="shared" ca="1" si="50"/>
        <v>0.54367759392538595</v>
      </c>
      <c r="CH5" s="3">
        <f t="shared" ca="1" si="51"/>
        <v>0.12134628893191728</v>
      </c>
      <c r="CI5" s="3">
        <f t="shared" ca="1" si="52"/>
        <v>0.17851398934265855</v>
      </c>
      <c r="CJ5" s="3">
        <f t="shared" ca="1" si="53"/>
        <v>1012</v>
      </c>
      <c r="CK5" s="3">
        <f t="shared" ca="1" si="54"/>
        <v>1.2308066649484579E-3</v>
      </c>
      <c r="CL5" s="3">
        <f t="shared" ca="1" si="55"/>
        <v>1</v>
      </c>
      <c r="CM5" s="3"/>
      <c r="CN5" s="1">
        <f t="shared" ca="1" si="56"/>
        <v>19.656447012548167</v>
      </c>
      <c r="CO5" s="1">
        <f t="shared" ca="1" si="57"/>
        <v>0.44310369626862328</v>
      </c>
      <c r="CP5" s="1">
        <f t="shared" ca="1" si="58"/>
        <v>2</v>
      </c>
      <c r="CV5" s="1">
        <f t="shared" ca="1" si="59"/>
        <v>5.3392954257730727</v>
      </c>
      <c r="CW5" s="1">
        <f t="shared" ca="1" si="60"/>
        <v>1373</v>
      </c>
      <c r="CX5" s="1">
        <f t="shared" ca="1" si="61"/>
        <v>2.0111216801369032E-3</v>
      </c>
      <c r="DH5" s="1">
        <f t="shared" ca="1" si="62"/>
        <v>451</v>
      </c>
      <c r="DI5" s="1">
        <f t="shared" ca="1" si="63"/>
        <v>0.12594323189548093</v>
      </c>
      <c r="DJ5" s="1">
        <f t="shared" ca="1" si="64"/>
        <v>27</v>
      </c>
      <c r="DL5" s="1">
        <f t="shared" ca="1" si="65"/>
        <v>5.7813330519702694E-2</v>
      </c>
      <c r="DM5" s="1">
        <f t="shared" ca="1" si="66"/>
        <v>78</v>
      </c>
      <c r="DN5" s="1">
        <f t="shared" ca="1" si="67"/>
        <v>5</v>
      </c>
      <c r="DO5" t="s">
        <v>1</v>
      </c>
      <c r="DP5" t="s">
        <v>65</v>
      </c>
      <c r="DQ5" t="s">
        <v>67</v>
      </c>
      <c r="DS5" s="1">
        <f t="shared" ca="1" si="68"/>
        <v>0.38160409764533898</v>
      </c>
      <c r="DT5" s="1">
        <f t="shared" ca="1" si="69"/>
        <v>6.3669739996530771E-3</v>
      </c>
      <c r="DU5" s="1">
        <f t="shared" ca="1" si="70"/>
        <v>1</v>
      </c>
      <c r="DW5" s="1">
        <f t="shared" ca="1" si="71"/>
        <v>377</v>
      </c>
      <c r="DX5" s="1">
        <f t="shared" ca="1" si="72"/>
        <v>7</v>
      </c>
      <c r="DY5" s="1">
        <f t="shared" ca="1" si="73"/>
        <v>11</v>
      </c>
      <c r="EA5" t="s">
        <v>71</v>
      </c>
      <c r="EB5" t="s">
        <v>4</v>
      </c>
      <c r="EC5" t="s">
        <v>65</v>
      </c>
      <c r="ED5" t="s">
        <v>74</v>
      </c>
    </row>
    <row r="6" spans="2:134" x14ac:dyDescent="0.25">
      <c r="B6">
        <f t="shared" ca="1" si="0"/>
        <v>493</v>
      </c>
      <c r="C6">
        <f t="shared" ca="1" si="1"/>
        <v>9</v>
      </c>
      <c r="D6">
        <f t="shared" ca="1" si="2"/>
        <v>0.20481238051367917</v>
      </c>
      <c r="F6" s="1">
        <f t="shared" ca="1" si="3"/>
        <v>17</v>
      </c>
      <c r="G6" s="1">
        <f t="shared" ca="1" si="4"/>
        <v>3</v>
      </c>
      <c r="H6" s="1">
        <f t="shared" ca="1" si="5"/>
        <v>8</v>
      </c>
      <c r="I6" s="1"/>
      <c r="J6" s="1">
        <f t="shared" ca="1" si="6"/>
        <v>31</v>
      </c>
      <c r="K6" s="1">
        <f t="shared" ca="1" si="7"/>
        <v>1.9874175415758346</v>
      </c>
      <c r="L6" s="1">
        <f t="shared" ca="1" si="8"/>
        <v>33</v>
      </c>
      <c r="M6" s="1"/>
      <c r="N6" s="1">
        <f t="shared" ca="1" si="9"/>
        <v>865</v>
      </c>
      <c r="O6" s="1">
        <f t="shared" ca="1" si="10"/>
        <v>45</v>
      </c>
      <c r="P6" s="1"/>
      <c r="Q6" s="1">
        <f t="shared" ca="1" si="11"/>
        <v>3.5448975593884469</v>
      </c>
      <c r="R6" s="1">
        <f t="shared" ca="1" si="12"/>
        <v>1030</v>
      </c>
      <c r="S6" s="1"/>
      <c r="T6" s="1">
        <f t="shared" ca="1" si="13"/>
        <v>7.008633904223803E-2</v>
      </c>
      <c r="U6" s="1">
        <f t="shared" ca="1" si="14"/>
        <v>391</v>
      </c>
      <c r="V6" s="1">
        <f t="shared" ca="1" si="15"/>
        <v>48</v>
      </c>
      <c r="W6" s="1"/>
      <c r="X6" s="1">
        <f t="shared" ca="1" si="16"/>
        <v>7.2406861023679667</v>
      </c>
      <c r="Y6" s="1">
        <f t="shared" ca="1" si="17"/>
        <v>0.52508723264164225</v>
      </c>
      <c r="Z6" s="1">
        <f t="shared" ca="1" si="18"/>
        <v>915</v>
      </c>
      <c r="AB6" s="1">
        <f t="shared" ca="1" si="19"/>
        <v>0.69497557951455002</v>
      </c>
      <c r="AC6" s="1">
        <f t="shared" ca="1" si="20"/>
        <v>703</v>
      </c>
      <c r="AD6" s="1">
        <f t="shared" ca="1" si="21"/>
        <v>3.4553622415306852E-4</v>
      </c>
      <c r="AE6" s="1"/>
      <c r="AF6" s="1">
        <f t="shared" ca="1" si="22"/>
        <v>0.85808665842948795</v>
      </c>
      <c r="AG6" s="1">
        <f t="shared" ca="1" si="23"/>
        <v>863</v>
      </c>
      <c r="AH6" s="1">
        <f t="shared" ca="1" si="24"/>
        <v>2.1571665229055703E-3</v>
      </c>
      <c r="AJ6" s="1">
        <f t="shared" ca="1" si="25"/>
        <v>0.7599151145009666</v>
      </c>
      <c r="AK6" s="1">
        <f t="shared" ca="1" si="26"/>
        <v>3.8091468877536E-3</v>
      </c>
      <c r="AL6" s="1"/>
      <c r="AM6" s="1">
        <f t="shared" ca="1" si="27"/>
        <v>0.12632080054835149</v>
      </c>
      <c r="AN6" s="1">
        <f t="shared" ca="1" si="28"/>
        <v>48</v>
      </c>
      <c r="AO6" s="1">
        <f t="shared" ca="1" si="29"/>
        <v>18</v>
      </c>
      <c r="AQ6" s="1">
        <f t="shared" ca="1" si="30"/>
        <v>136</v>
      </c>
      <c r="AR6" s="1">
        <f t="shared" ca="1" si="31"/>
        <v>0</v>
      </c>
      <c r="AS6" s="1">
        <f t="shared" ca="1" si="32"/>
        <v>87</v>
      </c>
      <c r="AU6" s="1">
        <f t="shared" ca="1" si="33"/>
        <v>267</v>
      </c>
      <c r="AV6" s="1">
        <f t="shared" ca="1" si="34"/>
        <v>8</v>
      </c>
      <c r="AW6" s="1">
        <f t="shared" ca="1" si="35"/>
        <v>4.0150070314204894E-2</v>
      </c>
      <c r="AY6" s="1">
        <f t="shared" ca="1" si="36"/>
        <v>1.5764944168599317</v>
      </c>
      <c r="AZ6" s="1">
        <f t="shared" ca="1" si="37"/>
        <v>147</v>
      </c>
      <c r="BA6" s="1">
        <f t="shared" ca="1" si="38"/>
        <v>4.6349570491686764E-3</v>
      </c>
      <c r="BG6" s="1">
        <f t="shared" ca="1" si="39"/>
        <v>0.38804751473645532</v>
      </c>
      <c r="BH6" s="1">
        <f t="shared" ca="1" si="40"/>
        <v>0.10737348415504688</v>
      </c>
      <c r="BI6" s="1">
        <f t="shared" ca="1" si="41"/>
        <v>866</v>
      </c>
      <c r="BV6" s="1">
        <f t="shared" ca="1" si="42"/>
        <v>0.39159992132994903</v>
      </c>
      <c r="BW6" s="1">
        <f t="shared" ca="1" si="43"/>
        <v>232</v>
      </c>
      <c r="BX6" s="1">
        <f t="shared" ca="1" si="44"/>
        <v>9.9750700690774165E-3</v>
      </c>
      <c r="BY6" s="1">
        <f t="shared" ca="1" si="45"/>
        <v>7.9302179243414567E-2</v>
      </c>
      <c r="BZ6" s="1">
        <f t="shared" ca="1" si="46"/>
        <v>7.5819745453351906E-2</v>
      </c>
      <c r="CB6" s="1">
        <f t="shared" ca="1" si="47"/>
        <v>479</v>
      </c>
      <c r="CC6" s="1">
        <f t="shared" ca="1" si="48"/>
        <v>12</v>
      </c>
      <c r="CD6" s="1">
        <f t="shared" ca="1" si="49"/>
        <v>0.20244686311914512</v>
      </c>
      <c r="CE6" s="1">
        <f t="shared" ca="1" si="50"/>
        <v>0.97424329646245011</v>
      </c>
      <c r="CF6" s="1">
        <f t="shared" ca="1" si="50"/>
        <v>0.61809300418997004</v>
      </c>
      <c r="CH6" s="3">
        <f t="shared" ca="1" si="51"/>
        <v>9.7723152161778321E-2</v>
      </c>
      <c r="CI6" s="3">
        <f t="shared" ca="1" si="52"/>
        <v>0.91638826235454818</v>
      </c>
      <c r="CJ6" s="3">
        <f t="shared" ca="1" si="53"/>
        <v>723</v>
      </c>
      <c r="CK6" s="3">
        <f t="shared" ca="1" si="54"/>
        <v>3.4510242384123962E-3</v>
      </c>
      <c r="CL6" s="3">
        <f t="shared" ca="1" si="55"/>
        <v>1</v>
      </c>
      <c r="CM6" s="3"/>
      <c r="CN6" s="1">
        <f t="shared" ca="1" si="56"/>
        <v>10.736657930567642</v>
      </c>
      <c r="CO6" s="1">
        <f t="shared" ca="1" si="57"/>
        <v>0.40924471794793971</v>
      </c>
      <c r="CP6" s="1">
        <f t="shared" ca="1" si="58"/>
        <v>2</v>
      </c>
      <c r="CV6" s="1">
        <f t="shared" ca="1" si="59"/>
        <v>8.2141766669863721</v>
      </c>
      <c r="CW6" s="1">
        <f t="shared" ca="1" si="60"/>
        <v>1982</v>
      </c>
      <c r="CX6" s="1">
        <f t="shared" ca="1" si="61"/>
        <v>7.8458961200771424E-3</v>
      </c>
      <c r="DH6" s="1">
        <f t="shared" ca="1" si="62"/>
        <v>804</v>
      </c>
      <c r="DI6" s="1">
        <f t="shared" ca="1" si="63"/>
        <v>0.60658308949305562</v>
      </c>
      <c r="DJ6" s="1">
        <f t="shared" ca="1" si="64"/>
        <v>20</v>
      </c>
      <c r="DL6" s="1">
        <f t="shared" ca="1" si="65"/>
        <v>0.1470372934114913</v>
      </c>
      <c r="DM6" s="1">
        <f t="shared" ca="1" si="66"/>
        <v>288</v>
      </c>
      <c r="DN6" s="1">
        <f t="shared" ca="1" si="67"/>
        <v>7</v>
      </c>
      <c r="DS6" s="1">
        <f t="shared" ca="1" si="68"/>
        <v>0.35154361443832327</v>
      </c>
      <c r="DT6" s="1">
        <f t="shared" ca="1" si="69"/>
        <v>2.4173782097863107E-3</v>
      </c>
      <c r="DU6" s="1">
        <f t="shared" ca="1" si="70"/>
        <v>1</v>
      </c>
      <c r="DW6" s="1">
        <f t="shared" ca="1" si="71"/>
        <v>264</v>
      </c>
      <c r="DX6" s="1">
        <f t="shared" ca="1" si="72"/>
        <v>14</v>
      </c>
      <c r="DY6" s="1">
        <f t="shared" ca="1" si="73"/>
        <v>5</v>
      </c>
    </row>
    <row r="7" spans="2:134" x14ac:dyDescent="0.25">
      <c r="B7">
        <f t="shared" ca="1" si="0"/>
        <v>947</v>
      </c>
      <c r="C7">
        <f t="shared" ca="1" si="1"/>
        <v>9</v>
      </c>
      <c r="D7">
        <f t="shared" ca="1" si="2"/>
        <v>0.20457852998458201</v>
      </c>
      <c r="F7" s="1">
        <f t="shared" ca="1" si="3"/>
        <v>38</v>
      </c>
      <c r="G7" s="1">
        <f t="shared" ca="1" si="4"/>
        <v>10</v>
      </c>
      <c r="H7" s="1">
        <f t="shared" ca="1" si="5"/>
        <v>12</v>
      </c>
      <c r="I7" s="1"/>
      <c r="J7" s="1">
        <f t="shared" ca="1" si="6"/>
        <v>11</v>
      </c>
      <c r="K7" s="1">
        <f t="shared" ca="1" si="7"/>
        <v>2.1773608661760804</v>
      </c>
      <c r="L7" s="1">
        <f t="shared" ca="1" si="8"/>
        <v>23</v>
      </c>
      <c r="M7" s="1"/>
      <c r="N7" s="1">
        <f t="shared" ca="1" si="9"/>
        <v>518</v>
      </c>
      <c r="O7" s="1">
        <f t="shared" ca="1" si="10"/>
        <v>40</v>
      </c>
      <c r="P7" s="1"/>
      <c r="Q7" s="1">
        <f t="shared" ca="1" si="11"/>
        <v>3.1693785225467002</v>
      </c>
      <c r="R7" s="1">
        <f t="shared" ca="1" si="12"/>
        <v>1076</v>
      </c>
      <c r="S7" s="1"/>
      <c r="T7" s="1">
        <f t="shared" ca="1" si="13"/>
        <v>0.1647593037505366</v>
      </c>
      <c r="U7" s="1">
        <f t="shared" ca="1" si="14"/>
        <v>356</v>
      </c>
      <c r="V7" s="1">
        <f t="shared" ca="1" si="15"/>
        <v>48</v>
      </c>
      <c r="W7" s="1"/>
      <c r="X7" s="1">
        <f t="shared" ca="1" si="16"/>
        <v>6.4922040345124081</v>
      </c>
      <c r="Y7" s="1">
        <f t="shared" ca="1" si="17"/>
        <v>8.1463737405534253E-2</v>
      </c>
      <c r="Z7" s="1">
        <f t="shared" ca="1" si="18"/>
        <v>1079</v>
      </c>
      <c r="AB7" s="1">
        <f t="shared" ca="1" si="19"/>
        <v>0.61573168651948562</v>
      </c>
      <c r="AC7" s="1">
        <f t="shared" ca="1" si="20"/>
        <v>586</v>
      </c>
      <c r="AD7" s="1">
        <f t="shared" ca="1" si="21"/>
        <v>7.1440598025193395E-3</v>
      </c>
      <c r="AE7" s="1"/>
      <c r="AF7" s="1">
        <f t="shared" ca="1" si="22"/>
        <v>0.11115282599004797</v>
      </c>
      <c r="AG7" s="1">
        <f t="shared" ca="1" si="23"/>
        <v>842</v>
      </c>
      <c r="AH7" s="1">
        <f t="shared" ca="1" si="24"/>
        <v>9.7101689127779747E-3</v>
      </c>
      <c r="AJ7" s="1">
        <f t="shared" ca="1" si="25"/>
        <v>0.34405654548248721</v>
      </c>
      <c r="AK7" s="1">
        <f t="shared" ca="1" si="26"/>
        <v>9.7431475854804096E-3</v>
      </c>
      <c r="AL7" s="1"/>
      <c r="AM7" s="1">
        <f t="shared" ca="1" si="27"/>
        <v>0.13389038831212585</v>
      </c>
      <c r="AN7" s="1">
        <f t="shared" ca="1" si="28"/>
        <v>33</v>
      </c>
      <c r="AO7" s="1">
        <f t="shared" ca="1" si="29"/>
        <v>7</v>
      </c>
      <c r="AQ7" s="1">
        <f t="shared" ca="1" si="30"/>
        <v>175</v>
      </c>
      <c r="AR7" s="1">
        <f t="shared" ca="1" si="31"/>
        <v>5</v>
      </c>
      <c r="AS7" s="1">
        <f t="shared" ca="1" si="32"/>
        <v>58</v>
      </c>
      <c r="AU7" s="1">
        <f t="shared" ca="1" si="33"/>
        <v>262</v>
      </c>
      <c r="AV7" s="1">
        <f t="shared" ca="1" si="34"/>
        <v>10</v>
      </c>
      <c r="AW7" s="1">
        <f t="shared" ca="1" si="35"/>
        <v>0.19895332916069419</v>
      </c>
      <c r="AY7" s="1">
        <f t="shared" ca="1" si="36"/>
        <v>1.7522698371514827</v>
      </c>
      <c r="AZ7" s="1">
        <f t="shared" ca="1" si="37"/>
        <v>80</v>
      </c>
      <c r="BA7" s="1">
        <f t="shared" ca="1" si="38"/>
        <v>3.6385590922857801E-3</v>
      </c>
      <c r="BG7" s="1">
        <f t="shared" ca="1" si="39"/>
        <v>5.3989459177009251E-2</v>
      </c>
      <c r="BH7" s="1">
        <f t="shared" ca="1" si="40"/>
        <v>0.13674836557966363</v>
      </c>
      <c r="BI7" s="1">
        <f t="shared" ca="1" si="41"/>
        <v>957</v>
      </c>
      <c r="BV7" s="1">
        <f t="shared" ca="1" si="42"/>
        <v>5.0693519528431055E-2</v>
      </c>
      <c r="BW7" s="1">
        <f t="shared" ca="1" si="43"/>
        <v>601</v>
      </c>
      <c r="BX7" s="1">
        <f t="shared" ca="1" si="44"/>
        <v>7.1594300020547353E-3</v>
      </c>
      <c r="BY7" s="1">
        <f t="shared" ca="1" si="45"/>
        <v>2.3049703404419766E-2</v>
      </c>
      <c r="BZ7" s="1">
        <f t="shared" ca="1" si="46"/>
        <v>0.75722918417174678</v>
      </c>
      <c r="CB7" s="1">
        <f t="shared" ca="1" si="47"/>
        <v>254</v>
      </c>
      <c r="CC7" s="1">
        <f t="shared" ca="1" si="48"/>
        <v>14</v>
      </c>
      <c r="CD7" s="1">
        <f t="shared" ca="1" si="49"/>
        <v>9.3160504907017772E-2</v>
      </c>
      <c r="CE7" s="1">
        <f t="shared" ca="1" si="50"/>
        <v>0.68873447164021084</v>
      </c>
      <c r="CF7" s="1">
        <f t="shared" ca="1" si="50"/>
        <v>0.77255290649981379</v>
      </c>
      <c r="CH7" s="3">
        <f t="shared" ca="1" si="51"/>
        <v>0.14886701207538902</v>
      </c>
      <c r="CI7" s="3">
        <f t="shared" ca="1" si="52"/>
        <v>0.78409393868383981</v>
      </c>
      <c r="CJ7" s="3">
        <f t="shared" ca="1" si="53"/>
        <v>1358</v>
      </c>
      <c r="CK7" s="3">
        <f t="shared" ca="1" si="54"/>
        <v>9.1834152621618776E-3</v>
      </c>
      <c r="CL7" s="3">
        <f t="shared" ca="1" si="55"/>
        <v>1</v>
      </c>
      <c r="CM7" s="3"/>
      <c r="CN7" s="1">
        <f t="shared" ca="1" si="56"/>
        <v>15.223387353570791</v>
      </c>
      <c r="CO7" s="1">
        <f t="shared" ca="1" si="57"/>
        <v>0.48178716030875152</v>
      </c>
      <c r="CP7" s="1">
        <f t="shared" ca="1" si="58"/>
        <v>3</v>
      </c>
      <c r="CV7" s="1">
        <f t="shared" ca="1" si="59"/>
        <v>7.9925249181695781</v>
      </c>
      <c r="CW7" s="1">
        <f t="shared" ca="1" si="60"/>
        <v>1656</v>
      </c>
      <c r="CX7" s="1">
        <f t="shared" ca="1" si="61"/>
        <v>6.5783591719785153E-5</v>
      </c>
      <c r="DH7" s="1">
        <f t="shared" ca="1" si="62"/>
        <v>89</v>
      </c>
      <c r="DI7" s="1">
        <f t="shared" ca="1" si="63"/>
        <v>0.22757582834443479</v>
      </c>
      <c r="DJ7" s="1">
        <f t="shared" ca="1" si="64"/>
        <v>22</v>
      </c>
      <c r="DL7" s="1">
        <f t="shared" ca="1" si="65"/>
        <v>2.8641219282507964E-2</v>
      </c>
      <c r="DM7" s="1">
        <f t="shared" ca="1" si="66"/>
        <v>199</v>
      </c>
      <c r="DN7" s="1">
        <f t="shared" ca="1" si="67"/>
        <v>2</v>
      </c>
      <c r="DS7" s="1">
        <f t="shared" ca="1" si="68"/>
        <v>0.12828933043761925</v>
      </c>
      <c r="DT7" s="1">
        <f t="shared" ca="1" si="69"/>
        <v>8.8159137878013934E-3</v>
      </c>
      <c r="DU7" s="1">
        <f t="shared" ca="1" si="70"/>
        <v>0</v>
      </c>
      <c r="DW7" s="1">
        <f t="shared" ca="1" si="71"/>
        <v>316</v>
      </c>
      <c r="DX7" s="1">
        <f t="shared" ca="1" si="72"/>
        <v>11</v>
      </c>
      <c r="DY7" s="1">
        <f t="shared" ca="1" si="73"/>
        <v>7</v>
      </c>
    </row>
    <row r="8" spans="2:134" x14ac:dyDescent="0.25">
      <c r="B8">
        <f t="shared" ca="1" si="0"/>
        <v>240</v>
      </c>
      <c r="C8">
        <f t="shared" ca="1" si="1"/>
        <v>52</v>
      </c>
      <c r="D8">
        <f t="shared" ca="1" si="2"/>
        <v>0.28504497268073298</v>
      </c>
      <c r="F8" s="1">
        <f t="shared" ca="1" si="3"/>
        <v>21</v>
      </c>
      <c r="G8" s="1">
        <f t="shared" ca="1" si="4"/>
        <v>12</v>
      </c>
      <c r="H8" s="1">
        <f t="shared" ca="1" si="5"/>
        <v>4</v>
      </c>
      <c r="I8" s="1"/>
      <c r="J8" s="1">
        <f t="shared" ca="1" si="6"/>
        <v>27</v>
      </c>
      <c r="K8" s="1">
        <f t="shared" ca="1" si="7"/>
        <v>1.5820609145338043</v>
      </c>
      <c r="L8" s="1">
        <f t="shared" ca="1" si="8"/>
        <v>7</v>
      </c>
      <c r="M8" s="1"/>
      <c r="N8" s="1">
        <f t="shared" ca="1" si="9"/>
        <v>542</v>
      </c>
      <c r="O8" s="1">
        <f t="shared" ca="1" si="10"/>
        <v>24</v>
      </c>
      <c r="P8" s="1"/>
      <c r="Q8" s="1">
        <f t="shared" ca="1" si="11"/>
        <v>1.7565904633078664</v>
      </c>
      <c r="R8" s="1">
        <f t="shared" ca="1" si="12"/>
        <v>1117</v>
      </c>
      <c r="S8" s="1"/>
      <c r="T8" s="1">
        <f t="shared" ca="1" si="13"/>
        <v>0.15900014893623582</v>
      </c>
      <c r="U8" s="1">
        <f t="shared" ca="1" si="14"/>
        <v>414</v>
      </c>
      <c r="V8" s="1">
        <f t="shared" ca="1" si="15"/>
        <v>36</v>
      </c>
      <c r="W8" s="1"/>
      <c r="X8" s="1">
        <f t="shared" ca="1" si="16"/>
        <v>2.1923241739675201</v>
      </c>
      <c r="Y8" s="1">
        <f t="shared" ca="1" si="17"/>
        <v>0.21557021949596208</v>
      </c>
      <c r="Z8" s="1">
        <f t="shared" ca="1" si="18"/>
        <v>1257</v>
      </c>
      <c r="AB8" s="1">
        <f t="shared" ca="1" si="19"/>
        <v>0.23435774724182437</v>
      </c>
      <c r="AC8" s="1">
        <f t="shared" ca="1" si="20"/>
        <v>615</v>
      </c>
      <c r="AD8" s="1">
        <f t="shared" ca="1" si="21"/>
        <v>8.6223859574360699E-4</v>
      </c>
      <c r="AE8" s="1"/>
      <c r="AF8" s="1">
        <f t="shared" ca="1" si="22"/>
        <v>0.53420258607921933</v>
      </c>
      <c r="AG8" s="1">
        <f t="shared" ca="1" si="23"/>
        <v>533</v>
      </c>
      <c r="AH8" s="1">
        <f t="shared" ca="1" si="24"/>
        <v>6.8351796326643578E-3</v>
      </c>
      <c r="AJ8" s="1">
        <f t="shared" ca="1" si="25"/>
        <v>0.42696616912365515</v>
      </c>
      <c r="AK8" s="1">
        <f t="shared" ca="1" si="26"/>
        <v>8.5378654080491261E-3</v>
      </c>
      <c r="AL8" s="1"/>
      <c r="AM8" s="1">
        <f t="shared" ca="1" si="27"/>
        <v>0.1702895774780285</v>
      </c>
      <c r="AN8" s="1">
        <f t="shared" ca="1" si="28"/>
        <v>48</v>
      </c>
      <c r="AO8" s="1">
        <f t="shared" ca="1" si="29"/>
        <v>11</v>
      </c>
      <c r="AQ8" s="1">
        <f t="shared" ca="1" si="30"/>
        <v>88</v>
      </c>
      <c r="AR8" s="1">
        <f t="shared" ca="1" si="31"/>
        <v>2</v>
      </c>
      <c r="AS8" s="1">
        <f t="shared" ca="1" si="32"/>
        <v>96</v>
      </c>
      <c r="AU8" s="1">
        <f t="shared" ca="1" si="33"/>
        <v>255</v>
      </c>
      <c r="AV8" s="1">
        <f t="shared" ca="1" si="34"/>
        <v>7</v>
      </c>
      <c r="AW8" s="1">
        <f t="shared" ca="1" si="35"/>
        <v>0.17728667358963074</v>
      </c>
      <c r="AY8" s="1">
        <f t="shared" ca="1" si="36"/>
        <v>1.2112506407640604</v>
      </c>
      <c r="AZ8" s="1">
        <f t="shared" ca="1" si="37"/>
        <v>433</v>
      </c>
      <c r="BA8" s="1">
        <f t="shared" ca="1" si="38"/>
        <v>1.8751899513516181E-3</v>
      </c>
      <c r="BG8" s="1">
        <f t="shared" ca="1" si="39"/>
        <v>8.6782642698093104E-2</v>
      </c>
      <c r="BH8" s="1">
        <f t="shared" ca="1" si="40"/>
        <v>0.36873319416792594</v>
      </c>
      <c r="BI8" s="1">
        <f t="shared" ca="1" si="41"/>
        <v>518</v>
      </c>
      <c r="BV8" s="1">
        <f t="shared" ca="1" si="42"/>
        <v>0.58926597773751854</v>
      </c>
      <c r="BW8" s="1">
        <f t="shared" ca="1" si="43"/>
        <v>697</v>
      </c>
      <c r="BX8" s="1">
        <f t="shared" ca="1" si="44"/>
        <v>6.889288550538648E-3</v>
      </c>
      <c r="BY8" s="1">
        <f t="shared" ca="1" si="45"/>
        <v>5.4596930587565665E-2</v>
      </c>
      <c r="BZ8" s="1">
        <f t="shared" ca="1" si="46"/>
        <v>0.88966846326320759</v>
      </c>
      <c r="CB8" s="1">
        <f t="shared" ca="1" si="47"/>
        <v>87</v>
      </c>
      <c r="CC8" s="1">
        <f t="shared" ca="1" si="48"/>
        <v>11</v>
      </c>
      <c r="CD8" s="1">
        <f t="shared" ca="1" si="49"/>
        <v>0.117507238642607</v>
      </c>
      <c r="CE8" s="1">
        <f t="shared" ca="1" si="50"/>
        <v>0.79022866005423076</v>
      </c>
      <c r="CF8" s="1">
        <f t="shared" ca="1" si="50"/>
        <v>0.82818142065934808</v>
      </c>
      <c r="CH8" s="3">
        <f t="shared" ca="1" si="51"/>
        <v>0.80231999896146622</v>
      </c>
      <c r="CI8" s="3">
        <f t="shared" ca="1" si="52"/>
        <v>0.61218380269171779</v>
      </c>
      <c r="CJ8" s="3">
        <f t="shared" ca="1" si="53"/>
        <v>370</v>
      </c>
      <c r="CK8" s="3">
        <f t="shared" ca="1" si="54"/>
        <v>7.9094649154767983E-3</v>
      </c>
      <c r="CL8" s="3">
        <f t="shared" ca="1" si="55"/>
        <v>1</v>
      </c>
      <c r="CM8" s="3"/>
      <c r="CN8" s="1">
        <f t="shared" ca="1" si="56"/>
        <v>17.402857091317106</v>
      </c>
      <c r="CO8" s="1">
        <f t="shared" ca="1" si="57"/>
        <v>5.6886465681518894E-2</v>
      </c>
      <c r="CP8" s="1">
        <f t="shared" ca="1" si="58"/>
        <v>2</v>
      </c>
      <c r="CV8" s="1">
        <f t="shared" ca="1" si="59"/>
        <v>2.0597829005890165</v>
      </c>
      <c r="CW8" s="1">
        <f t="shared" ca="1" si="60"/>
        <v>1984</v>
      </c>
      <c r="CX8" s="1">
        <f t="shared" ca="1" si="61"/>
        <v>4.2626255525754568E-4</v>
      </c>
      <c r="DH8" s="1">
        <f t="shared" ca="1" si="62"/>
        <v>416</v>
      </c>
      <c r="DI8" s="1">
        <f t="shared" ca="1" si="63"/>
        <v>0.32109777670689477</v>
      </c>
      <c r="DJ8" s="1">
        <f t="shared" ca="1" si="64"/>
        <v>8</v>
      </c>
      <c r="DL8" s="1">
        <f t="shared" ca="1" si="65"/>
        <v>0.1680040957262261</v>
      </c>
      <c r="DM8" s="1">
        <f t="shared" ca="1" si="66"/>
        <v>201</v>
      </c>
      <c r="DN8" s="1">
        <f t="shared" ca="1" si="67"/>
        <v>3</v>
      </c>
      <c r="DW8" s="1">
        <f t="shared" ca="1" si="71"/>
        <v>380</v>
      </c>
      <c r="DX8" s="1">
        <f t="shared" ca="1" si="72"/>
        <v>18</v>
      </c>
      <c r="DY8" s="1">
        <f t="shared" ca="1" si="73"/>
        <v>10</v>
      </c>
    </row>
    <row r="9" spans="2:134" x14ac:dyDescent="0.25">
      <c r="B9">
        <f t="shared" ca="1" si="0"/>
        <v>443</v>
      </c>
      <c r="C9">
        <f t="shared" ca="1" si="1"/>
        <v>43</v>
      </c>
      <c r="D9">
        <f t="shared" ca="1" si="2"/>
        <v>0.24345804096252832</v>
      </c>
      <c r="F9" s="1">
        <f t="shared" ca="1" si="3"/>
        <v>39</v>
      </c>
      <c r="G9" s="1">
        <f t="shared" ca="1" si="4"/>
        <v>4</v>
      </c>
      <c r="H9" s="1">
        <f t="shared" ca="1" si="5"/>
        <v>7</v>
      </c>
      <c r="I9" s="1"/>
      <c r="J9" s="1">
        <f t="shared" ca="1" si="6"/>
        <v>36</v>
      </c>
      <c r="K9" s="1">
        <f t="shared" ca="1" si="7"/>
        <v>2.2208176394779637</v>
      </c>
      <c r="L9" s="1">
        <f t="shared" ca="1" si="8"/>
        <v>27</v>
      </c>
      <c r="M9" s="1"/>
      <c r="N9" s="1">
        <f t="shared" ca="1" si="9"/>
        <v>320</v>
      </c>
      <c r="O9" s="1">
        <f t="shared" ca="1" si="10"/>
        <v>18</v>
      </c>
      <c r="P9" s="1"/>
      <c r="Q9" s="1">
        <f t="shared" ca="1" si="11"/>
        <v>4.7609175944958242</v>
      </c>
      <c r="R9" s="1">
        <f t="shared" ca="1" si="12"/>
        <v>1200</v>
      </c>
      <c r="S9" s="1"/>
      <c r="T9" s="1">
        <f t="shared" ca="1" si="13"/>
        <v>5.3734676323980192E-2</v>
      </c>
      <c r="U9" s="1">
        <f t="shared" ca="1" si="14"/>
        <v>429</v>
      </c>
      <c r="V9" s="1">
        <f t="shared" ca="1" si="15"/>
        <v>41</v>
      </c>
      <c r="W9" s="1"/>
      <c r="X9" s="1">
        <f t="shared" ca="1" si="16"/>
        <v>7.6672375565774198</v>
      </c>
      <c r="Y9" s="1">
        <f t="shared" ca="1" si="17"/>
        <v>0.78583759575626122</v>
      </c>
      <c r="Z9" s="1">
        <f t="shared" ca="1" si="18"/>
        <v>471</v>
      </c>
      <c r="AB9" s="1">
        <f t="shared" ca="1" si="19"/>
        <v>0.87539704523227679</v>
      </c>
      <c r="AC9" s="1">
        <f t="shared" ca="1" si="20"/>
        <v>861</v>
      </c>
      <c r="AD9" s="1">
        <f t="shared" ca="1" si="21"/>
        <v>6.3607244195547199E-3</v>
      </c>
      <c r="AE9" s="1"/>
      <c r="AF9" s="1">
        <f t="shared" ca="1" si="22"/>
        <v>0.67652747519721679</v>
      </c>
      <c r="AG9" s="1">
        <f t="shared" ca="1" si="23"/>
        <v>926</v>
      </c>
      <c r="AH9" s="1">
        <f t="shared" ca="1" si="24"/>
        <v>7.963941509833693E-3</v>
      </c>
      <c r="AJ9" s="1">
        <f t="shared" ca="1" si="25"/>
        <v>0.86564540057872319</v>
      </c>
      <c r="AK9" s="1">
        <f t="shared" ca="1" si="26"/>
        <v>1.7165608249984488E-4</v>
      </c>
      <c r="AL9" s="1"/>
      <c r="AM9" s="1">
        <f t="shared" ca="1" si="27"/>
        <v>7.2420627441810742E-2</v>
      </c>
      <c r="AN9" s="1">
        <f t="shared" ca="1" si="28"/>
        <v>68</v>
      </c>
      <c r="AO9" s="1">
        <f t="shared" ca="1" si="29"/>
        <v>3</v>
      </c>
      <c r="AQ9" s="1">
        <f t="shared" ca="1" si="30"/>
        <v>105</v>
      </c>
      <c r="AR9" s="1">
        <f t="shared" ca="1" si="31"/>
        <v>4</v>
      </c>
      <c r="AS9" s="1">
        <f t="shared" ca="1" si="32"/>
        <v>84</v>
      </c>
      <c r="AU9" s="1">
        <f t="shared" ca="1" si="33"/>
        <v>233</v>
      </c>
      <c r="AV9" s="1">
        <f t="shared" ca="1" si="34"/>
        <v>4</v>
      </c>
      <c r="AW9" s="1">
        <f t="shared" ca="1" si="35"/>
        <v>0.18352959141044278</v>
      </c>
      <c r="AY9" s="1">
        <f t="shared" ca="1" si="36"/>
        <v>1.8589525882420415</v>
      </c>
      <c r="AZ9" s="1">
        <f t="shared" ca="1" si="37"/>
        <v>353</v>
      </c>
      <c r="BA9" s="1">
        <f t="shared" ca="1" si="38"/>
        <v>4.0266318820605966E-3</v>
      </c>
      <c r="BG9" s="1">
        <f t="shared" ca="1" si="39"/>
        <v>7.8636844521526666E-2</v>
      </c>
      <c r="BH9" s="1">
        <f t="shared" ca="1" si="40"/>
        <v>0.461301296896934</v>
      </c>
      <c r="BI9" s="1">
        <f t="shared" ca="1" si="41"/>
        <v>879</v>
      </c>
      <c r="BV9" s="1">
        <f t="shared" ca="1" si="42"/>
        <v>3.9233951512222975E-2</v>
      </c>
      <c r="BW9" s="1">
        <f t="shared" ca="1" si="43"/>
        <v>334</v>
      </c>
      <c r="BX9" s="1">
        <f t="shared" ca="1" si="44"/>
        <v>1.3302900127097131E-3</v>
      </c>
      <c r="BY9" s="1">
        <f t="shared" ca="1" si="45"/>
        <v>1.7290035693107444E-3</v>
      </c>
      <c r="BZ9" s="1">
        <f t="shared" ca="1" si="46"/>
        <v>0.25353317987370116</v>
      </c>
      <c r="CB9" s="1">
        <f t="shared" ca="1" si="47"/>
        <v>150</v>
      </c>
      <c r="CC9" s="1">
        <f t="shared" ca="1" si="48"/>
        <v>14</v>
      </c>
      <c r="CD9" s="1">
        <f t="shared" ca="1" si="49"/>
        <v>2.585082334897499E-2</v>
      </c>
      <c r="CE9" s="1">
        <f t="shared" ca="1" si="50"/>
        <v>0.61354400485537752</v>
      </c>
      <c r="CF9" s="1">
        <f t="shared" ca="1" si="50"/>
        <v>0.68748794471109798</v>
      </c>
      <c r="CH9" s="3">
        <f t="shared" ca="1" si="51"/>
        <v>0.66023382750170456</v>
      </c>
      <c r="CI9" s="3">
        <f t="shared" ca="1" si="52"/>
        <v>0.13515110025938168</v>
      </c>
      <c r="CJ9" s="3">
        <f t="shared" ca="1" si="53"/>
        <v>624</v>
      </c>
      <c r="CK9" s="3">
        <f t="shared" ca="1" si="54"/>
        <v>3.2556674349761838E-3</v>
      </c>
      <c r="CL9" s="3">
        <f t="shared" ca="1" si="55"/>
        <v>1</v>
      </c>
      <c r="CM9" s="3"/>
      <c r="CN9" s="1">
        <f t="shared" ca="1" si="56"/>
        <v>10.746330084649808</v>
      </c>
      <c r="CO9" s="1">
        <f t="shared" ca="1" si="57"/>
        <v>0.32712630408301041</v>
      </c>
      <c r="CP9" s="1">
        <f t="shared" ca="1" si="58"/>
        <v>1</v>
      </c>
      <c r="CV9" s="1">
        <f t="shared" ca="1" si="59"/>
        <v>9.6884525269440172</v>
      </c>
      <c r="CW9" s="1">
        <f t="shared" ca="1" si="60"/>
        <v>585</v>
      </c>
      <c r="CX9" s="1">
        <f t="shared" ca="1" si="61"/>
        <v>1.920390320976177E-3</v>
      </c>
      <c r="DH9" s="1">
        <f t="shared" ca="1" si="62"/>
        <v>644</v>
      </c>
      <c r="DI9" s="1">
        <f t="shared" ca="1" si="63"/>
        <v>0.39568854810901694</v>
      </c>
      <c r="DJ9" s="1">
        <f t="shared" ca="1" si="64"/>
        <v>10</v>
      </c>
      <c r="DL9" s="1">
        <f t="shared" ca="1" si="65"/>
        <v>0.12096099530140909</v>
      </c>
      <c r="DM9" s="1">
        <f t="shared" ca="1" si="66"/>
        <v>137</v>
      </c>
      <c r="DN9" s="1">
        <f t="shared" ca="1" si="67"/>
        <v>5</v>
      </c>
      <c r="DW9" s="1">
        <f t="shared" ca="1" si="71"/>
        <v>157</v>
      </c>
      <c r="DX9" s="1">
        <f t="shared" ca="1" si="72"/>
        <v>20</v>
      </c>
      <c r="DY9" s="1">
        <f t="shared" ca="1" si="73"/>
        <v>13</v>
      </c>
    </row>
    <row r="10" spans="2:134" x14ac:dyDescent="0.25">
      <c r="B10">
        <f t="shared" ca="1" si="0"/>
        <v>220</v>
      </c>
      <c r="C10">
        <f t="shared" ca="1" si="1"/>
        <v>19</v>
      </c>
      <c r="D10">
        <f t="shared" ca="1" si="2"/>
        <v>0.18201280712273268</v>
      </c>
      <c r="F10" s="1">
        <f t="shared" ca="1" si="3"/>
        <v>46</v>
      </c>
      <c r="G10" s="1">
        <f t="shared" ca="1" si="4"/>
        <v>4</v>
      </c>
      <c r="H10" s="1">
        <f t="shared" ca="1" si="5"/>
        <v>7</v>
      </c>
      <c r="I10" s="1"/>
      <c r="J10" s="1">
        <f t="shared" ca="1" si="6"/>
        <v>11</v>
      </c>
      <c r="K10" s="1">
        <f t="shared" ca="1" si="7"/>
        <v>1.6145482805946931</v>
      </c>
      <c r="L10" s="1">
        <f t="shared" ca="1" si="8"/>
        <v>34</v>
      </c>
      <c r="M10" s="1"/>
      <c r="N10" s="1">
        <f t="shared" ca="1" si="9"/>
        <v>94</v>
      </c>
      <c r="O10" s="1">
        <f t="shared" ca="1" si="10"/>
        <v>10</v>
      </c>
      <c r="P10" s="1"/>
      <c r="Q10" s="1">
        <f t="shared" ca="1" si="11"/>
        <v>2.9520944863972245</v>
      </c>
      <c r="R10" s="1">
        <f t="shared" ca="1" si="12"/>
        <v>525</v>
      </c>
      <c r="S10" s="1"/>
      <c r="T10" s="1">
        <f t="shared" ca="1" si="13"/>
        <v>0.18801164474059587</v>
      </c>
      <c r="U10" s="1">
        <f t="shared" ca="1" si="14"/>
        <v>367</v>
      </c>
      <c r="V10" s="1">
        <f t="shared" ca="1" si="15"/>
        <v>40</v>
      </c>
      <c r="W10" s="1"/>
      <c r="X10" s="1">
        <f t="shared" ca="1" si="16"/>
        <v>6.3798987324378222</v>
      </c>
      <c r="Y10" s="1">
        <f t="shared" ca="1" si="17"/>
        <v>0.16651594485659163</v>
      </c>
      <c r="Z10" s="1">
        <f t="shared" ca="1" si="18"/>
        <v>1131</v>
      </c>
      <c r="AB10" s="1">
        <f t="shared" ca="1" si="19"/>
        <v>5.4870453845481053E-2</v>
      </c>
      <c r="AC10" s="1">
        <f t="shared" ca="1" si="20"/>
        <v>334</v>
      </c>
      <c r="AD10" s="1">
        <f t="shared" ca="1" si="21"/>
        <v>7.617991912880576E-3</v>
      </c>
      <c r="AE10" s="1"/>
      <c r="AF10" s="1">
        <f t="shared" ca="1" si="22"/>
        <v>0.81801100068793164</v>
      </c>
      <c r="AG10" s="1">
        <f t="shared" ca="1" si="23"/>
        <v>594</v>
      </c>
      <c r="AH10" s="1">
        <f t="shared" ca="1" si="24"/>
        <v>2.8894668663416714E-3</v>
      </c>
      <c r="AJ10" s="1">
        <f t="shared" ca="1" si="25"/>
        <v>0.98740289884814603</v>
      </c>
      <c r="AK10" s="1">
        <f t="shared" ca="1" si="26"/>
        <v>1.657551255058064E-3</v>
      </c>
      <c r="AL10" s="1"/>
      <c r="AM10" s="1">
        <f t="shared" ca="1" si="27"/>
        <v>0.17598083737403203</v>
      </c>
      <c r="AN10" s="1">
        <f t="shared" ca="1" si="28"/>
        <v>46</v>
      </c>
      <c r="AO10" s="1">
        <f t="shared" ca="1" si="29"/>
        <v>12</v>
      </c>
      <c r="AQ10" s="1">
        <f t="shared" ca="1" si="30"/>
        <v>108</v>
      </c>
      <c r="AR10" s="1">
        <f t="shared" ca="1" si="31"/>
        <v>4</v>
      </c>
      <c r="AS10" s="1">
        <f t="shared" ca="1" si="32"/>
        <v>49</v>
      </c>
      <c r="AU10" s="1">
        <f t="shared" ca="1" si="33"/>
        <v>141</v>
      </c>
      <c r="AV10" s="1">
        <f t="shared" ca="1" si="34"/>
        <v>9</v>
      </c>
      <c r="AW10" s="1">
        <f t="shared" ca="1" si="35"/>
        <v>8.5248303223605118E-2</v>
      </c>
      <c r="AY10" s="1">
        <f t="shared" ca="1" si="36"/>
        <v>1.6528889289099484</v>
      </c>
      <c r="AZ10" s="1">
        <f t="shared" ca="1" si="37"/>
        <v>157</v>
      </c>
      <c r="BA10" s="1">
        <f t="shared" ca="1" si="38"/>
        <v>4.2013973711198204E-5</v>
      </c>
      <c r="BG10" s="1">
        <f t="shared" ca="1" si="39"/>
        <v>0.98730823178077021</v>
      </c>
      <c r="BH10" s="1">
        <f t="shared" ca="1" si="40"/>
        <v>0.805924537212515</v>
      </c>
      <c r="BI10" s="1">
        <f t="shared" ca="1" si="41"/>
        <v>130</v>
      </c>
      <c r="BV10" s="1">
        <f t="shared" ca="1" si="42"/>
        <v>0.98635902062603531</v>
      </c>
      <c r="BW10" s="1">
        <f t="shared" ca="1" si="43"/>
        <v>220</v>
      </c>
      <c r="BX10" s="1">
        <f t="shared" ca="1" si="44"/>
        <v>4.496904853720389E-3</v>
      </c>
      <c r="BY10" s="1">
        <f t="shared" ca="1" si="45"/>
        <v>1.8017836992824752E-2</v>
      </c>
      <c r="BZ10" s="1">
        <f t="shared" ca="1" si="46"/>
        <v>0.98817780571922753</v>
      </c>
      <c r="CB10" s="1">
        <f t="shared" ca="1" si="47"/>
        <v>385</v>
      </c>
      <c r="CC10" s="1">
        <f t="shared" ca="1" si="48"/>
        <v>11</v>
      </c>
      <c r="CD10" s="1">
        <f t="shared" ca="1" si="49"/>
        <v>0.1930969699861558</v>
      </c>
      <c r="CE10" s="1">
        <f t="shared" ca="1" si="50"/>
        <v>0.67423981548556733</v>
      </c>
      <c r="CF10" s="1">
        <f t="shared" ca="1" si="50"/>
        <v>0.83274204359523463</v>
      </c>
      <c r="CH10" s="3">
        <f t="shared" ca="1" si="51"/>
        <v>0.92470970621646487</v>
      </c>
      <c r="CI10" s="3">
        <f t="shared" ca="1" si="52"/>
        <v>0.52288986070666943</v>
      </c>
      <c r="CJ10" s="3">
        <f t="shared" ca="1" si="53"/>
        <v>823</v>
      </c>
      <c r="CK10" s="3">
        <f t="shared" ca="1" si="54"/>
        <v>7.7935325047684481E-3</v>
      </c>
      <c r="CL10" s="3">
        <f t="shared" ca="1" si="55"/>
        <v>1</v>
      </c>
      <c r="CM10" s="3"/>
      <c r="CN10" s="1">
        <f t="shared" ca="1" si="56"/>
        <v>4.5090526562130169</v>
      </c>
      <c r="CO10" s="1">
        <f t="shared" ca="1" si="57"/>
        <v>0.20775130026981156</v>
      </c>
      <c r="CP10" s="1">
        <f t="shared" ca="1" si="58"/>
        <v>2</v>
      </c>
      <c r="CV10" s="1">
        <f t="shared" ca="1" si="59"/>
        <v>5.2905011900571823</v>
      </c>
      <c r="CW10" s="1">
        <f t="shared" ca="1" si="60"/>
        <v>1732</v>
      </c>
      <c r="CX10" s="1">
        <f t="shared" ca="1" si="61"/>
        <v>5.7212064947262629E-3</v>
      </c>
      <c r="DH10" s="1">
        <f t="shared" ca="1" si="62"/>
        <v>753</v>
      </c>
      <c r="DI10" s="1">
        <f t="shared" ca="1" si="63"/>
        <v>6.263153909466565E-2</v>
      </c>
      <c r="DJ10" s="1">
        <f t="shared" ca="1" si="64"/>
        <v>14</v>
      </c>
      <c r="DL10" s="1">
        <f t="shared" ca="1" si="65"/>
        <v>0.11663223287582364</v>
      </c>
      <c r="DM10" s="1">
        <f t="shared" ca="1" si="66"/>
        <v>289</v>
      </c>
      <c r="DN10" s="1">
        <f t="shared" ca="1" si="67"/>
        <v>2</v>
      </c>
      <c r="DW10" s="1">
        <f t="shared" ca="1" si="71"/>
        <v>187</v>
      </c>
      <c r="DX10" s="1">
        <f t="shared" ca="1" si="72"/>
        <v>10</v>
      </c>
      <c r="DY10" s="1">
        <f t="shared" ca="1" si="73"/>
        <v>19</v>
      </c>
    </row>
    <row r="11" spans="2:134" x14ac:dyDescent="0.25">
      <c r="B11">
        <f t="shared" ca="1" si="0"/>
        <v>813</v>
      </c>
      <c r="C11">
        <f t="shared" ca="1" si="1"/>
        <v>5</v>
      </c>
      <c r="D11">
        <f t="shared" ca="1" si="2"/>
        <v>0.13940414596150197</v>
      </c>
      <c r="F11" s="1">
        <f t="shared" ca="1" si="3"/>
        <v>48</v>
      </c>
      <c r="G11" s="1">
        <f t="shared" ca="1" si="4"/>
        <v>13</v>
      </c>
      <c r="H11" s="1">
        <f t="shared" ca="1" si="5"/>
        <v>9</v>
      </c>
      <c r="I11" s="1"/>
      <c r="J11" s="1">
        <f t="shared" ca="1" si="6"/>
        <v>3</v>
      </c>
      <c r="K11" s="1">
        <f t="shared" ca="1" si="7"/>
        <v>2.6805210780737063</v>
      </c>
      <c r="L11" s="1">
        <f t="shared" ca="1" si="8"/>
        <v>29</v>
      </c>
      <c r="M11" s="1"/>
      <c r="N11" s="1">
        <f t="shared" ca="1" si="9"/>
        <v>915</v>
      </c>
      <c r="O11" s="1">
        <f t="shared" ca="1" si="10"/>
        <v>30</v>
      </c>
      <c r="P11" s="1"/>
      <c r="Q11" s="1">
        <f t="shared" ca="1" si="11"/>
        <v>0.57771284400373291</v>
      </c>
      <c r="R11" s="1">
        <f t="shared" ca="1" si="12"/>
        <v>594</v>
      </c>
      <c r="S11" s="1"/>
      <c r="T11" s="1">
        <f t="shared" ca="1" si="13"/>
        <v>0.13550263060824713</v>
      </c>
      <c r="U11" s="1">
        <f t="shared" ca="1" si="14"/>
        <v>136</v>
      </c>
      <c r="V11" s="1">
        <f t="shared" ca="1" si="15"/>
        <v>44</v>
      </c>
      <c r="W11" s="1"/>
      <c r="X11" s="1">
        <f t="shared" ca="1" si="16"/>
        <v>3.2572036917033769</v>
      </c>
      <c r="Y11" s="1">
        <f t="shared" ca="1" si="17"/>
        <v>0.77679252893505435</v>
      </c>
      <c r="Z11" s="1">
        <f t="shared" ca="1" si="18"/>
        <v>1685</v>
      </c>
      <c r="AB11" s="1">
        <f t="shared" ca="1" si="19"/>
        <v>0.6146330135152076</v>
      </c>
      <c r="AC11" s="1">
        <f t="shared" ca="1" si="20"/>
        <v>919</v>
      </c>
      <c r="AD11" s="1">
        <f t="shared" ca="1" si="21"/>
        <v>1.5885943761519707E-3</v>
      </c>
      <c r="AE11" s="1"/>
      <c r="AF11" s="1">
        <f t="shared" ca="1" si="22"/>
        <v>0.1353982534465506</v>
      </c>
      <c r="AG11" s="1">
        <f t="shared" ca="1" si="23"/>
        <v>691</v>
      </c>
      <c r="AH11" s="1">
        <f t="shared" ca="1" si="24"/>
        <v>8.2571974285939268E-3</v>
      </c>
      <c r="AJ11" s="1">
        <f t="shared" ca="1" si="25"/>
        <v>0.74748119209102759</v>
      </c>
      <c r="AK11" s="1">
        <f t="shared" ca="1" si="26"/>
        <v>6.6066175848235303E-3</v>
      </c>
      <c r="AL11" s="1"/>
      <c r="AM11" s="1">
        <f t="shared" ca="1" si="27"/>
        <v>0.10210725683758611</v>
      </c>
      <c r="AN11" s="1">
        <f t="shared" ca="1" si="28"/>
        <v>44</v>
      </c>
      <c r="AO11" s="1">
        <f t="shared" ca="1" si="29"/>
        <v>19</v>
      </c>
      <c r="AQ11" s="1">
        <f t="shared" ca="1" si="30"/>
        <v>43</v>
      </c>
      <c r="AR11" s="1">
        <f t="shared" ca="1" si="31"/>
        <v>3</v>
      </c>
      <c r="AS11" s="1">
        <f t="shared" ca="1" si="32"/>
        <v>56</v>
      </c>
      <c r="AU11" s="1">
        <f t="shared" ca="1" si="33"/>
        <v>278</v>
      </c>
      <c r="AV11" s="1">
        <f t="shared" ca="1" si="34"/>
        <v>10</v>
      </c>
      <c r="AW11" s="1">
        <f t="shared" ca="1" si="35"/>
        <v>6.2398517849107556E-2</v>
      </c>
      <c r="AY11" s="1">
        <f t="shared" ca="1" si="36"/>
        <v>1.3466027635822635</v>
      </c>
      <c r="AZ11" s="1">
        <f t="shared" ca="1" si="37"/>
        <v>474</v>
      </c>
      <c r="BA11" s="1">
        <f t="shared" ca="1" si="38"/>
        <v>5.1568375162045366E-3</v>
      </c>
      <c r="BG11" s="1">
        <f t="shared" ca="1" si="39"/>
        <v>0.94118469319064257</v>
      </c>
      <c r="BH11" s="1">
        <f t="shared" ca="1" si="40"/>
        <v>7.1543157267079827E-2</v>
      </c>
      <c r="BI11" s="1">
        <f t="shared" ca="1" si="41"/>
        <v>556</v>
      </c>
      <c r="BV11" s="1">
        <f t="shared" ca="1" si="42"/>
        <v>0.64577649792621727</v>
      </c>
      <c r="BW11" s="1">
        <f t="shared" ca="1" si="43"/>
        <v>147</v>
      </c>
      <c r="BX11" s="1">
        <f t="shared" ca="1" si="44"/>
        <v>2.3476142949041068E-3</v>
      </c>
      <c r="BY11" s="1">
        <f t="shared" ca="1" si="45"/>
        <v>3.6110250769168212E-2</v>
      </c>
      <c r="BZ11" s="1">
        <f t="shared" ca="1" si="46"/>
        <v>0.98586826904779168</v>
      </c>
      <c r="CB11" s="1">
        <f t="shared" ca="1" si="47"/>
        <v>168</v>
      </c>
      <c r="CC11" s="1">
        <f t="shared" ca="1" si="48"/>
        <v>11</v>
      </c>
      <c r="CD11" s="1">
        <f t="shared" ca="1" si="49"/>
        <v>0.16686374450855451</v>
      </c>
      <c r="CE11" s="1">
        <f t="shared" ca="1" si="50"/>
        <v>0.69486088286398684</v>
      </c>
      <c r="CF11" s="1">
        <f t="shared" ca="1" si="50"/>
        <v>0.91639784082180498</v>
      </c>
      <c r="CH11" s="3">
        <f t="shared" ca="1" si="51"/>
        <v>7.0157408037548691E-2</v>
      </c>
      <c r="CI11" s="3">
        <f t="shared" ca="1" si="52"/>
        <v>0.34823383706175137</v>
      </c>
      <c r="CJ11" s="3">
        <f t="shared" ca="1" si="53"/>
        <v>466</v>
      </c>
      <c r="CK11" s="3">
        <f t="shared" ca="1" si="54"/>
        <v>5.4093533214236086E-3</v>
      </c>
      <c r="CL11" s="3">
        <f t="shared" ca="1" si="55"/>
        <v>1</v>
      </c>
      <c r="CM11" s="3"/>
      <c r="CN11" s="1">
        <f t="shared" ca="1" si="56"/>
        <v>7.8596671346909801</v>
      </c>
      <c r="CO11" s="1">
        <f t="shared" ca="1" si="57"/>
        <v>0.3026648122540419</v>
      </c>
      <c r="CP11" s="1">
        <f t="shared" ca="1" si="58"/>
        <v>1</v>
      </c>
      <c r="CV11" s="1">
        <f t="shared" ca="1" si="59"/>
        <v>1.3260996112176957</v>
      </c>
      <c r="CW11" s="1">
        <f t="shared" ca="1" si="60"/>
        <v>619</v>
      </c>
      <c r="CX11" s="1">
        <f t="shared" ca="1" si="61"/>
        <v>2.5517274275365319E-3</v>
      </c>
      <c r="DH11" s="1">
        <f t="shared" ca="1" si="62"/>
        <v>360</v>
      </c>
      <c r="DI11" s="1">
        <f t="shared" ca="1" si="63"/>
        <v>0.2835836430214182</v>
      </c>
      <c r="DJ11" s="1">
        <f t="shared" ca="1" si="64"/>
        <v>3</v>
      </c>
      <c r="DL11" s="1">
        <f t="shared" ca="1" si="65"/>
        <v>0.11820796859583803</v>
      </c>
      <c r="DM11" s="1">
        <f t="shared" ca="1" si="66"/>
        <v>275</v>
      </c>
      <c r="DN11" s="1">
        <f t="shared" ca="1" si="67"/>
        <v>8</v>
      </c>
      <c r="DW11" s="1">
        <f t="shared" ca="1" si="71"/>
        <v>262</v>
      </c>
      <c r="DX11" s="1">
        <f t="shared" ca="1" si="72"/>
        <v>19</v>
      </c>
      <c r="DY11" s="1">
        <f t="shared" ca="1" si="73"/>
        <v>11</v>
      </c>
    </row>
    <row r="12" spans="2:134" x14ac:dyDescent="0.25">
      <c r="B12">
        <f t="shared" ca="1" si="0"/>
        <v>198</v>
      </c>
      <c r="C12">
        <f t="shared" ca="1" si="1"/>
        <v>38</v>
      </c>
      <c r="D12">
        <f t="shared" ca="1" si="2"/>
        <v>1.8050076852599978E-2</v>
      </c>
      <c r="F12" s="1">
        <f t="shared" ca="1" si="3"/>
        <v>12</v>
      </c>
      <c r="G12" s="1">
        <f t="shared" ca="1" si="4"/>
        <v>15</v>
      </c>
      <c r="H12" s="1">
        <f t="shared" ca="1" si="5"/>
        <v>8</v>
      </c>
      <c r="I12" s="1"/>
      <c r="J12" s="1">
        <f t="shared" ca="1" si="6"/>
        <v>29</v>
      </c>
      <c r="K12" s="1">
        <f t="shared" ca="1" si="7"/>
        <v>1.1263211819978316</v>
      </c>
      <c r="L12" s="1">
        <f t="shared" ca="1" si="8"/>
        <v>26</v>
      </c>
      <c r="M12" s="1"/>
      <c r="N12" s="1">
        <f t="shared" ca="1" si="9"/>
        <v>451</v>
      </c>
      <c r="O12" s="1">
        <f t="shared" ca="1" si="10"/>
        <v>48</v>
      </c>
      <c r="P12" s="1"/>
      <c r="Q12" s="1">
        <f t="shared" ca="1" si="11"/>
        <v>2.1203237109186182</v>
      </c>
      <c r="R12" s="1">
        <f t="shared" ca="1" si="12"/>
        <v>897</v>
      </c>
      <c r="S12" s="1"/>
      <c r="T12" s="1">
        <f t="shared" ca="1" si="13"/>
        <v>0.14361824518327226</v>
      </c>
      <c r="U12" s="1">
        <f t="shared" ca="1" si="14"/>
        <v>119</v>
      </c>
      <c r="V12" s="1">
        <f t="shared" ca="1" si="15"/>
        <v>37</v>
      </c>
      <c r="W12" s="1"/>
      <c r="X12" s="1">
        <f t="shared" ca="1" si="16"/>
        <v>2.7941801899373031</v>
      </c>
      <c r="Y12" s="1">
        <f t="shared" ca="1" si="17"/>
        <v>0.34930811274902523</v>
      </c>
      <c r="Z12" s="1">
        <f t="shared" ca="1" si="18"/>
        <v>1719</v>
      </c>
      <c r="AB12" s="1">
        <f t="shared" ca="1" si="19"/>
        <v>0.94343769458576454</v>
      </c>
      <c r="AC12" s="1">
        <f t="shared" ca="1" si="20"/>
        <v>426</v>
      </c>
      <c r="AD12" s="1">
        <f t="shared" ca="1" si="21"/>
        <v>6.6087155404963545E-3</v>
      </c>
      <c r="AE12" s="1"/>
      <c r="AF12" s="1">
        <f t="shared" ca="1" si="22"/>
        <v>0.20753964392899241</v>
      </c>
      <c r="AG12" s="1">
        <f t="shared" ca="1" si="23"/>
        <v>454</v>
      </c>
      <c r="AH12" s="1">
        <f t="shared" ca="1" si="24"/>
        <v>7.4122539623301172E-3</v>
      </c>
      <c r="AJ12" s="1">
        <f t="shared" ca="1" si="25"/>
        <v>6.0567283183877607E-2</v>
      </c>
      <c r="AK12" s="1">
        <f t="shared" ca="1" si="26"/>
        <v>9.2506724187970193E-3</v>
      </c>
      <c r="AL12" s="1"/>
      <c r="AM12" s="1">
        <f t="shared" ca="1" si="27"/>
        <v>0.18700524473905528</v>
      </c>
      <c r="AN12" s="1">
        <f t="shared" ca="1" si="28"/>
        <v>80</v>
      </c>
      <c r="AO12" s="1">
        <f t="shared" ca="1" si="29"/>
        <v>12</v>
      </c>
      <c r="AQ12" s="1">
        <f t="shared" ca="1" si="30"/>
        <v>49</v>
      </c>
      <c r="AR12" s="1">
        <f t="shared" ca="1" si="31"/>
        <v>8</v>
      </c>
      <c r="AS12" s="1">
        <f t="shared" ca="1" si="32"/>
        <v>1</v>
      </c>
      <c r="AU12" s="1">
        <f t="shared" ca="1" si="33"/>
        <v>273</v>
      </c>
      <c r="AV12" s="1">
        <f t="shared" ca="1" si="34"/>
        <v>7</v>
      </c>
      <c r="AW12" s="1">
        <f t="shared" ca="1" si="35"/>
        <v>0.1436710685933005</v>
      </c>
      <c r="AY12" s="1">
        <f t="shared" ca="1" si="36"/>
        <v>1.4137598082810405</v>
      </c>
      <c r="AZ12" s="1">
        <f t="shared" ca="1" si="37"/>
        <v>349</v>
      </c>
      <c r="BA12" s="1">
        <f t="shared" ca="1" si="38"/>
        <v>2.9642928157715652E-3</v>
      </c>
      <c r="BG12" s="1">
        <f t="shared" ca="1" si="39"/>
        <v>0.52980686505661978</v>
      </c>
      <c r="BH12" s="1">
        <f t="shared" ca="1" si="40"/>
        <v>0.61759340808604613</v>
      </c>
      <c r="BI12" s="1">
        <f t="shared" ca="1" si="41"/>
        <v>293</v>
      </c>
      <c r="BV12" s="1">
        <f t="shared" ca="1" si="42"/>
        <v>0.35836028525075486</v>
      </c>
      <c r="BW12" s="1">
        <f t="shared" ca="1" si="43"/>
        <v>368</v>
      </c>
      <c r="BX12" s="1">
        <f t="shared" ca="1" si="44"/>
        <v>6.4097514564161974E-3</v>
      </c>
      <c r="BY12" s="1">
        <f t="shared" ca="1" si="45"/>
        <v>5.2739478119191562E-3</v>
      </c>
      <c r="BZ12" s="1">
        <f t="shared" ca="1" si="46"/>
        <v>5.5867128784918951E-2</v>
      </c>
      <c r="CB12" s="1">
        <f t="shared" ca="1" si="47"/>
        <v>419</v>
      </c>
      <c r="CC12" s="1">
        <f t="shared" ca="1" si="48"/>
        <v>10</v>
      </c>
      <c r="CD12" s="1">
        <f t="shared" ca="1" si="49"/>
        <v>9.5783034721708613E-2</v>
      </c>
      <c r="CE12" s="1">
        <f t="shared" ca="1" si="50"/>
        <v>0.82929860388028609</v>
      </c>
      <c r="CF12" s="1">
        <f t="shared" ca="1" si="50"/>
        <v>0.80217235132958331</v>
      </c>
      <c r="CH12" s="3">
        <f t="shared" ca="1" si="51"/>
        <v>0.29134343686480868</v>
      </c>
      <c r="CI12" s="3">
        <f t="shared" ca="1" si="52"/>
        <v>0.87136326412812803</v>
      </c>
      <c r="CJ12" s="3">
        <f t="shared" ca="1" si="53"/>
        <v>378</v>
      </c>
      <c r="CK12" s="3">
        <f t="shared" ca="1" si="54"/>
        <v>4.4633476457983691E-3</v>
      </c>
      <c r="CL12" s="3">
        <f t="shared" ca="1" si="55"/>
        <v>1</v>
      </c>
      <c r="CM12" s="3"/>
      <c r="CN12" s="1">
        <f t="shared" ca="1" si="56"/>
        <v>5.2621703887771716</v>
      </c>
      <c r="CO12" s="1">
        <f t="shared" ca="1" si="57"/>
        <v>0.49446539303150289</v>
      </c>
      <c r="CP12" s="1">
        <f t="shared" ca="1" si="58"/>
        <v>5</v>
      </c>
      <c r="CV12" s="1">
        <f t="shared" ca="1" si="59"/>
        <v>4.6160469482033895</v>
      </c>
      <c r="CW12" s="1">
        <f t="shared" ca="1" si="60"/>
        <v>1897</v>
      </c>
      <c r="CX12" s="1">
        <f t="shared" ca="1" si="61"/>
        <v>3.1544721991181713E-3</v>
      </c>
      <c r="DH12" s="1">
        <f t="shared" ca="1" si="62"/>
        <v>419</v>
      </c>
      <c r="DI12" s="1">
        <f t="shared" ca="1" si="63"/>
        <v>0.84196085372249885</v>
      </c>
      <c r="DJ12" s="1">
        <f t="shared" ca="1" si="64"/>
        <v>29</v>
      </c>
      <c r="DL12" s="1">
        <f t="shared" ca="1" si="65"/>
        <v>0.19067091577902781</v>
      </c>
      <c r="DM12" s="1">
        <f t="shared" ca="1" si="66"/>
        <v>135</v>
      </c>
      <c r="DN12" s="1">
        <f t="shared" ca="1" si="67"/>
        <v>6</v>
      </c>
      <c r="DW12" s="1">
        <f t="shared" ca="1" si="71"/>
        <v>178</v>
      </c>
      <c r="DX12" s="1">
        <f t="shared" ca="1" si="72"/>
        <v>7</v>
      </c>
      <c r="DY12" s="1">
        <f t="shared" ca="1" si="73"/>
        <v>16</v>
      </c>
    </row>
    <row r="13" spans="2:134" x14ac:dyDescent="0.25">
      <c r="B13">
        <f t="shared" ca="1" si="0"/>
        <v>334</v>
      </c>
      <c r="C13">
        <f t="shared" ca="1" si="1"/>
        <v>5</v>
      </c>
      <c r="D13">
        <f t="shared" ca="1" si="2"/>
        <v>0.15382622488369763</v>
      </c>
      <c r="F13" s="1">
        <f t="shared" ca="1" si="3"/>
        <v>39</v>
      </c>
      <c r="G13" s="1">
        <f t="shared" ca="1" si="4"/>
        <v>10</v>
      </c>
      <c r="H13" s="1">
        <f t="shared" ca="1" si="5"/>
        <v>6</v>
      </c>
      <c r="I13" s="1"/>
      <c r="J13" s="1">
        <f t="shared" ca="1" si="6"/>
        <v>17</v>
      </c>
      <c r="K13" s="1">
        <f t="shared" ca="1" si="7"/>
        <v>2.8184421768468706</v>
      </c>
      <c r="L13" s="1">
        <f t="shared" ca="1" si="8"/>
        <v>35</v>
      </c>
      <c r="M13" s="1"/>
      <c r="N13" s="1">
        <f t="shared" ca="1" si="9"/>
        <v>576</v>
      </c>
      <c r="O13" s="1">
        <f t="shared" ca="1" si="10"/>
        <v>25</v>
      </c>
      <c r="P13" s="1" t="s">
        <v>69</v>
      </c>
      <c r="Q13" s="1">
        <f t="shared" ca="1" si="11"/>
        <v>0.66643683663134778</v>
      </c>
      <c r="R13" s="1">
        <f t="shared" ca="1" si="12"/>
        <v>939</v>
      </c>
      <c r="S13" s="1"/>
      <c r="T13" s="1">
        <f t="shared" ca="1" si="13"/>
        <v>0.17062526288153104</v>
      </c>
      <c r="U13" s="1">
        <f t="shared" ca="1" si="14"/>
        <v>124</v>
      </c>
      <c r="V13" s="1">
        <f t="shared" ca="1" si="15"/>
        <v>22</v>
      </c>
      <c r="W13" s="1"/>
      <c r="X13" s="1">
        <f t="shared" ca="1" si="16"/>
        <v>2.9137100612049176</v>
      </c>
      <c r="Y13" s="1">
        <f t="shared" ca="1" si="17"/>
        <v>0.20141204409902488</v>
      </c>
      <c r="Z13" s="1">
        <f t="shared" ca="1" si="18"/>
        <v>680</v>
      </c>
      <c r="AB13" s="1">
        <f t="shared" ca="1" si="19"/>
        <v>0.55058268053332171</v>
      </c>
      <c r="AC13" s="1">
        <f t="shared" ca="1" si="20"/>
        <v>689</v>
      </c>
      <c r="AD13" s="1">
        <f t="shared" ca="1" si="21"/>
        <v>8.9969278778672182E-3</v>
      </c>
      <c r="AE13" s="1"/>
      <c r="AF13" s="1">
        <f t="shared" ca="1" si="22"/>
        <v>0.61252057578587116</v>
      </c>
      <c r="AG13" s="1">
        <f t="shared" ca="1" si="23"/>
        <v>627</v>
      </c>
      <c r="AH13" s="1">
        <f t="shared" ca="1" si="24"/>
        <v>8.9919358595925338E-3</v>
      </c>
      <c r="AJ13" s="1">
        <f t="shared" ca="1" si="25"/>
        <v>0.14152426289593401</v>
      </c>
      <c r="AK13" s="1">
        <f t="shared" ca="1" si="26"/>
        <v>5.6349191464255359E-4</v>
      </c>
      <c r="AL13" s="1"/>
      <c r="AM13" s="1">
        <f t="shared" ca="1" si="27"/>
        <v>0.13111250644101993</v>
      </c>
      <c r="AN13" s="1">
        <f t="shared" ca="1" si="28"/>
        <v>78</v>
      </c>
      <c r="AO13" s="1">
        <f t="shared" ca="1" si="29"/>
        <v>17</v>
      </c>
      <c r="AQ13" s="1">
        <f t="shared" ca="1" si="30"/>
        <v>144</v>
      </c>
      <c r="AR13" s="1">
        <f t="shared" ca="1" si="31"/>
        <v>9</v>
      </c>
      <c r="AS13" s="1">
        <f t="shared" ca="1" si="32"/>
        <v>20</v>
      </c>
      <c r="AU13" s="1">
        <f t="shared" ca="1" si="33"/>
        <v>56</v>
      </c>
      <c r="AV13" s="1">
        <f t="shared" ca="1" si="34"/>
        <v>3</v>
      </c>
      <c r="AW13" s="1">
        <f t="shared" ca="1" si="35"/>
        <v>0.17665744912106479</v>
      </c>
      <c r="AY13" s="1">
        <f t="shared" ca="1" si="36"/>
        <v>1.5812561965569056</v>
      </c>
      <c r="AZ13" s="1">
        <f t="shared" ca="1" si="37"/>
        <v>220</v>
      </c>
      <c r="BA13" s="1">
        <f t="shared" ca="1" si="38"/>
        <v>9.8262226405202782E-3</v>
      </c>
      <c r="BG13" s="1">
        <f t="shared" ca="1" si="39"/>
        <v>0.97552641771183979</v>
      </c>
      <c r="BH13" s="1">
        <f t="shared" ca="1" si="40"/>
        <v>0.69383806595943298</v>
      </c>
      <c r="BI13" s="1">
        <f t="shared" ca="1" si="41"/>
        <v>220</v>
      </c>
      <c r="BV13" s="1">
        <f t="shared" ca="1" si="42"/>
        <v>0.90289883277984773</v>
      </c>
      <c r="BW13" s="1">
        <f t="shared" ca="1" si="43"/>
        <v>331</v>
      </c>
      <c r="BX13" s="1">
        <f t="shared" ca="1" si="44"/>
        <v>9.3124123056642096E-4</v>
      </c>
      <c r="BY13" s="1">
        <f t="shared" ca="1" si="45"/>
        <v>2.9190672957032954E-2</v>
      </c>
      <c r="BZ13" s="1">
        <f t="shared" ca="1" si="46"/>
        <v>0.67479957388022804</v>
      </c>
      <c r="CB13" s="1">
        <f t="shared" ca="1" si="47"/>
        <v>222</v>
      </c>
      <c r="CC13" s="1">
        <f t="shared" ca="1" si="48"/>
        <v>9</v>
      </c>
      <c r="CD13" s="1">
        <f t="shared" ca="1" si="49"/>
        <v>0.19963963778259949</v>
      </c>
      <c r="CE13" s="1">
        <f t="shared" ca="1" si="50"/>
        <v>0.65608789751234142</v>
      </c>
      <c r="CF13" s="1">
        <f t="shared" ca="1" si="50"/>
        <v>0.5739722391031199</v>
      </c>
      <c r="CH13" s="3">
        <f t="shared" ca="1" si="51"/>
        <v>0.45720027398998214</v>
      </c>
      <c r="CI13" s="3">
        <f t="shared" ca="1" si="52"/>
        <v>2.3061951079170768E-2</v>
      </c>
      <c r="CJ13" s="3">
        <f t="shared" ca="1" si="53"/>
        <v>414</v>
      </c>
      <c r="CK13" s="3">
        <f t="shared" ca="1" si="54"/>
        <v>9.5083600556068685E-3</v>
      </c>
      <c r="CL13" s="3">
        <f t="shared" ca="1" si="55"/>
        <v>0</v>
      </c>
      <c r="CM13" s="3"/>
      <c r="CN13" s="1">
        <f t="shared" ca="1" si="56"/>
        <v>13.415686785549894</v>
      </c>
      <c r="CO13" s="1">
        <f t="shared" ca="1" si="57"/>
        <v>0.32423208311940466</v>
      </c>
      <c r="CP13" s="1">
        <f t="shared" ca="1" si="58"/>
        <v>4</v>
      </c>
      <c r="CV13" s="1">
        <f t="shared" ca="1" si="59"/>
        <v>0.29776316516230317</v>
      </c>
      <c r="CW13" s="1">
        <f t="shared" ca="1" si="60"/>
        <v>779</v>
      </c>
      <c r="CX13" s="1">
        <f t="shared" ca="1" si="61"/>
        <v>5.914588327965307E-3</v>
      </c>
      <c r="DH13" s="1">
        <f t="shared" ca="1" si="62"/>
        <v>237</v>
      </c>
      <c r="DI13" s="1">
        <f t="shared" ca="1" si="63"/>
        <v>0.77296040657946785</v>
      </c>
      <c r="DJ13" s="1">
        <f t="shared" ca="1" si="64"/>
        <v>6</v>
      </c>
      <c r="DL13" s="1">
        <f t="shared" ca="1" si="65"/>
        <v>0.16068831585867602</v>
      </c>
      <c r="DM13" s="1">
        <f t="shared" ca="1" si="66"/>
        <v>79</v>
      </c>
      <c r="DN13" s="1">
        <f t="shared" ca="1" si="67"/>
        <v>1</v>
      </c>
      <c r="DW13" s="1">
        <f t="shared" ca="1" si="71"/>
        <v>394</v>
      </c>
      <c r="DX13" s="1">
        <f t="shared" ca="1" si="72"/>
        <v>12</v>
      </c>
      <c r="DY13" s="1">
        <f t="shared" ca="1" si="73"/>
        <v>19</v>
      </c>
    </row>
    <row r="14" spans="2:134" x14ac:dyDescent="0.25">
      <c r="B14">
        <f t="shared" ca="1" si="0"/>
        <v>129</v>
      </c>
      <c r="C14">
        <f t="shared" ca="1" si="1"/>
        <v>2</v>
      </c>
      <c r="D14">
        <f t="shared" ca="1" si="2"/>
        <v>6.3734997286634856E-2</v>
      </c>
      <c r="F14" s="1">
        <f t="shared" ca="1" si="3"/>
        <v>32</v>
      </c>
      <c r="G14" s="1">
        <f t="shared" ca="1" si="4"/>
        <v>14</v>
      </c>
      <c r="H14" s="1">
        <f t="shared" ca="1" si="5"/>
        <v>8</v>
      </c>
      <c r="I14" s="1"/>
      <c r="J14" s="1">
        <f t="shared" ca="1" si="6"/>
        <v>22</v>
      </c>
      <c r="K14" s="1">
        <f t="shared" ca="1" si="7"/>
        <v>2.0598725772584396</v>
      </c>
      <c r="L14" s="1">
        <f t="shared" ca="1" si="8"/>
        <v>15</v>
      </c>
      <c r="M14" s="1"/>
      <c r="N14" s="1">
        <f t="shared" ca="1" si="9"/>
        <v>792</v>
      </c>
      <c r="O14" s="1">
        <f t="shared" ca="1" si="10"/>
        <v>25</v>
      </c>
      <c r="P14" s="1"/>
      <c r="Q14" s="1">
        <f t="shared" ca="1" si="11"/>
        <v>3.1747518109217423</v>
      </c>
      <c r="R14" s="1">
        <f t="shared" ca="1" si="12"/>
        <v>623</v>
      </c>
      <c r="S14" s="1"/>
      <c r="T14" s="1">
        <f t="shared" ca="1" si="13"/>
        <v>0.11232302794950662</v>
      </c>
      <c r="U14" s="1">
        <f t="shared" ca="1" si="14"/>
        <v>82</v>
      </c>
      <c r="V14" s="1">
        <f t="shared" ca="1" si="15"/>
        <v>25</v>
      </c>
      <c r="W14" s="1"/>
      <c r="X14" s="1">
        <f t="shared" ca="1" si="16"/>
        <v>1.3119616025106897</v>
      </c>
      <c r="Y14" s="1">
        <f t="shared" ca="1" si="17"/>
        <v>0.69832823966496216</v>
      </c>
      <c r="Z14" s="1">
        <f t="shared" ca="1" si="18"/>
        <v>1104</v>
      </c>
      <c r="AB14" s="1">
        <f t="shared" ca="1" si="19"/>
        <v>0.58428541527228717</v>
      </c>
      <c r="AC14" s="1">
        <f t="shared" ca="1" si="20"/>
        <v>841</v>
      </c>
      <c r="AD14" s="1">
        <f t="shared" ca="1" si="21"/>
        <v>5.6715488951547294E-4</v>
      </c>
      <c r="AE14" s="1"/>
      <c r="AF14" s="1">
        <f t="shared" ca="1" si="22"/>
        <v>0.8300263972871601</v>
      </c>
      <c r="AG14" s="1">
        <f t="shared" ca="1" si="23"/>
        <v>221</v>
      </c>
      <c r="AH14" s="1">
        <f t="shared" ca="1" si="24"/>
        <v>6.0366817039185549E-3</v>
      </c>
      <c r="AJ14" s="1">
        <f t="shared" ca="1" si="25"/>
        <v>0.39468964030966858</v>
      </c>
      <c r="AK14" s="1">
        <f t="shared" ca="1" si="26"/>
        <v>3.4123663991675679E-3</v>
      </c>
      <c r="AL14" s="1"/>
      <c r="AM14" s="1">
        <f t="shared" ca="1" si="27"/>
        <v>6.6432971967901003E-2</v>
      </c>
      <c r="AN14" s="1">
        <f t="shared" ca="1" si="28"/>
        <v>22</v>
      </c>
      <c r="AO14" s="1">
        <f t="shared" ca="1" si="29"/>
        <v>-1</v>
      </c>
      <c r="AQ14" s="1">
        <f t="shared" ca="1" si="30"/>
        <v>154</v>
      </c>
      <c r="AR14" s="1">
        <f t="shared" ca="1" si="31"/>
        <v>0</v>
      </c>
      <c r="AS14" s="1">
        <f t="shared" ca="1" si="32"/>
        <v>2</v>
      </c>
      <c r="AU14" s="1">
        <f t="shared" ca="1" si="33"/>
        <v>123</v>
      </c>
      <c r="AV14" s="1">
        <f t="shared" ca="1" si="34"/>
        <v>7</v>
      </c>
      <c r="AW14" s="1">
        <f t="shared" ca="1" si="35"/>
        <v>0.14212694310531335</v>
      </c>
      <c r="AY14" s="1">
        <f t="shared" ca="1" si="36"/>
        <v>1.8937013596769505</v>
      </c>
      <c r="AZ14" s="1">
        <f t="shared" ca="1" si="37"/>
        <v>175</v>
      </c>
      <c r="BA14" s="1">
        <f t="shared" ca="1" si="38"/>
        <v>3.9777875035155999E-3</v>
      </c>
      <c r="BG14" s="1">
        <f t="shared" ca="1" si="39"/>
        <v>0.7504096487514379</v>
      </c>
      <c r="BH14" s="1">
        <f t="shared" ca="1" si="40"/>
        <v>0.1232650186456743</v>
      </c>
      <c r="BI14" s="1">
        <f t="shared" ca="1" si="41"/>
        <v>308</v>
      </c>
      <c r="BV14" s="1">
        <f t="shared" ca="1" si="42"/>
        <v>0.22882945669916677</v>
      </c>
      <c r="BW14" s="1">
        <f t="shared" ca="1" si="43"/>
        <v>906</v>
      </c>
      <c r="BX14" s="1">
        <f t="shared" ca="1" si="44"/>
        <v>1.106101096100128E-3</v>
      </c>
      <c r="BY14" s="1">
        <f t="shared" ca="1" si="45"/>
        <v>9.5248846050781266E-2</v>
      </c>
      <c r="BZ14" s="1">
        <f t="shared" ca="1" si="46"/>
        <v>0.5403932219351375</v>
      </c>
      <c r="CB14" s="1">
        <f t="shared" ca="1" si="47"/>
        <v>145</v>
      </c>
      <c r="CC14" s="1">
        <f t="shared" ca="1" si="48"/>
        <v>8</v>
      </c>
      <c r="CD14" s="1">
        <f t="shared" ca="1" si="49"/>
        <v>1.6811557668485501E-2</v>
      </c>
      <c r="CE14" s="1">
        <f t="shared" ca="1" si="50"/>
        <v>0.74715785932822487</v>
      </c>
      <c r="CF14" s="1">
        <f t="shared" ca="1" si="50"/>
        <v>0.6090537363152384</v>
      </c>
      <c r="CH14" s="3">
        <f t="shared" ca="1" si="51"/>
        <v>0.38469110215420504</v>
      </c>
      <c r="CI14" s="3">
        <f t="shared" ca="1" si="52"/>
        <v>0.64147885984818576</v>
      </c>
      <c r="CJ14" s="3">
        <f t="shared" ca="1" si="53"/>
        <v>591</v>
      </c>
      <c r="CK14" s="3">
        <f t="shared" ca="1" si="54"/>
        <v>6.9733327728275943E-4</v>
      </c>
      <c r="CL14" s="3">
        <f t="shared" ca="1" si="55"/>
        <v>1</v>
      </c>
      <c r="CM14" s="3"/>
      <c r="CN14" s="1">
        <f t="shared" ca="1" si="56"/>
        <v>3.5896645294049487</v>
      </c>
      <c r="CO14" s="1">
        <f t="shared" ca="1" si="57"/>
        <v>0.46503598612764385</v>
      </c>
      <c r="CP14" s="1">
        <f t="shared" ca="1" si="58"/>
        <v>1</v>
      </c>
      <c r="CV14" s="1">
        <f t="shared" ca="1" si="59"/>
        <v>5.205327963971909</v>
      </c>
      <c r="CW14" s="1">
        <f t="shared" ca="1" si="60"/>
        <v>1195</v>
      </c>
      <c r="CX14" s="1">
        <f t="shared" ca="1" si="61"/>
        <v>3.8145125177895126E-3</v>
      </c>
      <c r="DH14" s="1">
        <f t="shared" ca="1" si="62"/>
        <v>722</v>
      </c>
      <c r="DI14" s="1">
        <f t="shared" ca="1" si="63"/>
        <v>0.68720919746850306</v>
      </c>
      <c r="DJ14" s="1">
        <f t="shared" ca="1" si="64"/>
        <v>16</v>
      </c>
      <c r="DL14" s="1">
        <f t="shared" ca="1" si="65"/>
        <v>0.10581885264477404</v>
      </c>
      <c r="DM14" s="1">
        <f t="shared" ca="1" si="66"/>
        <v>86</v>
      </c>
      <c r="DN14" s="1">
        <f t="shared" ca="1" si="67"/>
        <v>3</v>
      </c>
      <c r="DW14" s="1">
        <f t="shared" ca="1" si="71"/>
        <v>459</v>
      </c>
      <c r="DX14" s="1">
        <f t="shared" ca="1" si="72"/>
        <v>10</v>
      </c>
      <c r="DY14" s="1">
        <f t="shared" ca="1" si="73"/>
        <v>20</v>
      </c>
    </row>
    <row r="15" spans="2:134" x14ac:dyDescent="0.25">
      <c r="B15">
        <f t="shared" ca="1" si="0"/>
        <v>955</v>
      </c>
      <c r="C15">
        <f t="shared" ca="1" si="1"/>
        <v>50</v>
      </c>
      <c r="D15">
        <f t="shared" ca="1" si="2"/>
        <v>5.3167219827926437E-2</v>
      </c>
      <c r="F15" s="1">
        <f t="shared" ca="1" si="3"/>
        <v>7</v>
      </c>
      <c r="G15" s="1">
        <f t="shared" ca="1" si="4"/>
        <v>13</v>
      </c>
      <c r="H15" s="1">
        <f t="shared" ca="1" si="5"/>
        <v>15</v>
      </c>
      <c r="I15" s="1"/>
      <c r="J15" s="1">
        <f t="shared" ca="1" si="6"/>
        <v>26</v>
      </c>
      <c r="K15" s="1">
        <f t="shared" ca="1" si="7"/>
        <v>2.8580921189266708</v>
      </c>
      <c r="L15" s="1">
        <f t="shared" ca="1" si="8"/>
        <v>8</v>
      </c>
      <c r="M15" s="1"/>
      <c r="N15" s="1">
        <f t="shared" ca="1" si="9"/>
        <v>904</v>
      </c>
      <c r="O15" s="1">
        <f t="shared" ca="1" si="10"/>
        <v>31</v>
      </c>
      <c r="P15" s="1"/>
      <c r="Q15" s="1">
        <f t="shared" ca="1" si="11"/>
        <v>3.7398322445844787</v>
      </c>
      <c r="R15" s="1">
        <f t="shared" ca="1" si="12"/>
        <v>757</v>
      </c>
      <c r="S15" s="1"/>
      <c r="T15" s="1">
        <f t="shared" ca="1" si="13"/>
        <v>9.591620428734092E-2</v>
      </c>
      <c r="U15" s="1">
        <f t="shared" ca="1" si="14"/>
        <v>382</v>
      </c>
      <c r="V15" s="1">
        <f t="shared" ca="1" si="15"/>
        <v>42</v>
      </c>
      <c r="W15" s="1"/>
      <c r="X15" s="1">
        <f t="shared" ca="1" si="16"/>
        <v>8.2317532375014348</v>
      </c>
      <c r="Y15" s="1">
        <f t="shared" ca="1" si="17"/>
        <v>0.31179342183285591</v>
      </c>
      <c r="Z15" s="1">
        <f t="shared" ca="1" si="18"/>
        <v>1075</v>
      </c>
      <c r="AB15" s="1">
        <f t="shared" ca="1" si="19"/>
        <v>0.27415477583027748</v>
      </c>
      <c r="AC15" s="1">
        <f t="shared" ca="1" si="20"/>
        <v>644</v>
      </c>
      <c r="AD15" s="1">
        <f t="shared" ca="1" si="21"/>
        <v>5.5660472405418219E-3</v>
      </c>
      <c r="AE15" s="1"/>
      <c r="AF15" s="1">
        <f t="shared" ca="1" si="22"/>
        <v>0.6703735495814569</v>
      </c>
      <c r="AG15" s="1">
        <f t="shared" ca="1" si="23"/>
        <v>796</v>
      </c>
      <c r="AH15" s="1">
        <f t="shared" ca="1" si="24"/>
        <v>5.2175174545223049E-3</v>
      </c>
      <c r="AJ15" s="1">
        <f t="shared" ca="1" si="25"/>
        <v>2.7433489466873962E-2</v>
      </c>
      <c r="AK15" s="1">
        <f t="shared" ca="1" si="26"/>
        <v>4.1214943827418285E-3</v>
      </c>
      <c r="AL15" s="1"/>
      <c r="AM15" s="1">
        <f t="shared" ca="1" si="27"/>
        <v>0.15219247293129326</v>
      </c>
      <c r="AN15" s="1">
        <f t="shared" ca="1" si="28"/>
        <v>51</v>
      </c>
      <c r="AO15" s="1">
        <f t="shared" ca="1" si="29"/>
        <v>11</v>
      </c>
      <c r="AQ15" s="1">
        <f t="shared" ca="1" si="30"/>
        <v>89</v>
      </c>
      <c r="AR15" s="1">
        <f t="shared" ca="1" si="31"/>
        <v>3</v>
      </c>
      <c r="AS15" s="1">
        <f t="shared" ca="1" si="32"/>
        <v>99</v>
      </c>
      <c r="AU15" s="1">
        <f t="shared" ca="1" si="33"/>
        <v>112</v>
      </c>
      <c r="AV15" s="1">
        <f t="shared" ca="1" si="34"/>
        <v>5</v>
      </c>
      <c r="AW15" s="1">
        <f t="shared" ca="1" si="35"/>
        <v>2.0300150494176009E-2</v>
      </c>
      <c r="AY15" s="1">
        <f t="shared" ca="1" si="36"/>
        <v>1.7576375532316149</v>
      </c>
      <c r="AZ15" s="1">
        <f t="shared" ca="1" si="37"/>
        <v>257</v>
      </c>
      <c r="BA15" s="1">
        <f t="shared" ca="1" si="38"/>
        <v>3.5208040911864288E-3</v>
      </c>
      <c r="BG15" s="1">
        <f t="shared" ca="1" si="39"/>
        <v>0.89392740472460974</v>
      </c>
      <c r="BH15" s="1">
        <f t="shared" ca="1" si="40"/>
        <v>0.42681389450867624</v>
      </c>
      <c r="BI15" s="1">
        <f t="shared" ca="1" si="41"/>
        <v>625</v>
      </c>
      <c r="BV15" s="1">
        <f t="shared" ca="1" si="42"/>
        <v>0.73511682361909247</v>
      </c>
      <c r="BW15" s="1">
        <f t="shared" ca="1" si="43"/>
        <v>502</v>
      </c>
      <c r="BX15" s="1">
        <f t="shared" ca="1" si="44"/>
        <v>8.7904484553018303E-3</v>
      </c>
      <c r="BY15" s="1">
        <f t="shared" ca="1" si="45"/>
        <v>1.0048150085248708E-2</v>
      </c>
      <c r="BZ15" s="1">
        <f t="shared" ca="1" si="46"/>
        <v>0.70150585763885376</v>
      </c>
      <c r="CB15" s="1">
        <f t="shared" ca="1" si="47"/>
        <v>239</v>
      </c>
      <c r="CC15" s="1">
        <f t="shared" ca="1" si="48"/>
        <v>7</v>
      </c>
      <c r="CD15" s="1">
        <f t="shared" ca="1" si="49"/>
        <v>0.14945008680925481</v>
      </c>
      <c r="CE15" s="1">
        <f t="shared" ca="1" si="50"/>
        <v>0.65524070264796497</v>
      </c>
      <c r="CF15" s="1">
        <f t="shared" ca="1" si="50"/>
        <v>0.89799954234072565</v>
      </c>
      <c r="CH15" s="3">
        <f t="shared" ca="1" si="51"/>
        <v>0.81199519144424626</v>
      </c>
      <c r="CI15" s="3">
        <f t="shared" ca="1" si="52"/>
        <v>0.6749227331019223</v>
      </c>
      <c r="CJ15" s="3">
        <f t="shared" ca="1" si="53"/>
        <v>678</v>
      </c>
      <c r="CK15" s="3">
        <f t="shared" ca="1" si="54"/>
        <v>8.1042036738816926E-3</v>
      </c>
      <c r="CL15" s="3">
        <f t="shared" ca="1" si="55"/>
        <v>0</v>
      </c>
      <c r="CM15" s="3"/>
      <c r="CN15" s="1">
        <f t="shared" ca="1" si="56"/>
        <v>18.568164796489679</v>
      </c>
      <c r="CO15" s="1">
        <f t="shared" ca="1" si="57"/>
        <v>8.8992111605200597E-3</v>
      </c>
      <c r="CP15" s="1">
        <f t="shared" ca="1" si="58"/>
        <v>3</v>
      </c>
      <c r="CV15" s="1">
        <f t="shared" ca="1" si="59"/>
        <v>7.1176491102112083</v>
      </c>
      <c r="CW15" s="1">
        <f t="shared" ca="1" si="60"/>
        <v>314</v>
      </c>
      <c r="CX15" s="1">
        <f t="shared" ca="1" si="61"/>
        <v>7.8564558282991429E-3</v>
      </c>
      <c r="DH15" s="1">
        <f t="shared" ca="1" si="62"/>
        <v>889</v>
      </c>
      <c r="DI15" s="1">
        <f t="shared" ca="1" si="63"/>
        <v>0.67241512777073109</v>
      </c>
      <c r="DJ15" s="1">
        <f t="shared" ca="1" si="64"/>
        <v>25</v>
      </c>
      <c r="DL15" s="1">
        <f t="shared" ca="1" si="65"/>
        <v>0.18259350106136626</v>
      </c>
      <c r="DM15" s="1">
        <f t="shared" ca="1" si="66"/>
        <v>249</v>
      </c>
      <c r="DN15" s="1">
        <f t="shared" ca="1" si="67"/>
        <v>3</v>
      </c>
      <c r="DW15" s="1">
        <f t="shared" ca="1" si="71"/>
        <v>152</v>
      </c>
      <c r="DX15" s="1">
        <f t="shared" ca="1" si="72"/>
        <v>20</v>
      </c>
      <c r="DY15" s="1">
        <f t="shared" ca="1" si="73"/>
        <v>16</v>
      </c>
    </row>
    <row r="16" spans="2:134" x14ac:dyDescent="0.25">
      <c r="B16">
        <f t="shared" ca="1" si="0"/>
        <v>304</v>
      </c>
      <c r="C16">
        <f t="shared" ca="1" si="1"/>
        <v>23</v>
      </c>
      <c r="D16">
        <f t="shared" ca="1" si="2"/>
        <v>2.6593800741278706E-2</v>
      </c>
      <c r="F16" s="1">
        <f t="shared" ca="1" si="3"/>
        <v>35</v>
      </c>
      <c r="G16" s="1">
        <f t="shared" ca="1" si="4"/>
        <v>25</v>
      </c>
      <c r="H16" s="1">
        <f t="shared" ca="1" si="5"/>
        <v>15</v>
      </c>
      <c r="I16" s="1"/>
      <c r="J16" s="1">
        <f t="shared" ca="1" si="6"/>
        <v>37</v>
      </c>
      <c r="K16" s="1">
        <f t="shared" ca="1" si="7"/>
        <v>1.1903530124796353</v>
      </c>
      <c r="L16" s="1">
        <f t="shared" ca="1" si="8"/>
        <v>5</v>
      </c>
      <c r="M16" s="1"/>
      <c r="N16" s="1">
        <f t="shared" ca="1" si="9"/>
        <v>222</v>
      </c>
      <c r="O16" s="1">
        <f t="shared" ca="1" si="10"/>
        <v>17</v>
      </c>
      <c r="P16" s="1"/>
      <c r="Q16" s="1">
        <f t="shared" ca="1" si="11"/>
        <v>2.8689236856497295</v>
      </c>
      <c r="R16" s="1">
        <f t="shared" ca="1" si="12"/>
        <v>1059</v>
      </c>
      <c r="S16" s="1"/>
      <c r="T16" s="1">
        <f t="shared" ca="1" si="13"/>
        <v>7.3203611764976348E-2</v>
      </c>
      <c r="U16" s="1">
        <f t="shared" ca="1" si="14"/>
        <v>179</v>
      </c>
      <c r="V16" s="1">
        <f t="shared" ca="1" si="15"/>
        <v>15</v>
      </c>
      <c r="W16" s="1"/>
      <c r="X16" s="1">
        <f t="shared" ca="1" si="16"/>
        <v>1.9040456214414863</v>
      </c>
      <c r="Y16" s="1">
        <f t="shared" ca="1" si="17"/>
        <v>0.13237949662548268</v>
      </c>
      <c r="Z16" s="1">
        <f t="shared" ca="1" si="18"/>
        <v>182</v>
      </c>
      <c r="AB16" s="1">
        <f t="shared" ca="1" si="19"/>
        <v>0.5182253031454892</v>
      </c>
      <c r="AC16" s="1">
        <f t="shared" ca="1" si="20"/>
        <v>407</v>
      </c>
      <c r="AD16" s="1">
        <f t="shared" ca="1" si="21"/>
        <v>8.162068311394835E-3</v>
      </c>
      <c r="AE16" s="1"/>
      <c r="AF16" s="1">
        <f t="shared" ca="1" si="22"/>
        <v>0.72065566308895712</v>
      </c>
      <c r="AG16" s="1">
        <f t="shared" ca="1" si="23"/>
        <v>860</v>
      </c>
      <c r="AH16" s="1">
        <f t="shared" ca="1" si="24"/>
        <v>7.340763612457943E-3</v>
      </c>
      <c r="AJ16" s="1">
        <f t="shared" ca="1" si="25"/>
        <v>0.41536396641411333</v>
      </c>
      <c r="AK16" s="1">
        <f t="shared" ca="1" si="26"/>
        <v>6.8723092472265939E-4</v>
      </c>
      <c r="AL16" s="1"/>
      <c r="AM16" s="1">
        <f t="shared" ca="1" si="27"/>
        <v>8.7992429684989729E-2</v>
      </c>
      <c r="AN16" s="1">
        <f t="shared" ca="1" si="28"/>
        <v>71</v>
      </c>
      <c r="AO16" s="1">
        <f t="shared" ca="1" si="29"/>
        <v>14</v>
      </c>
      <c r="AQ16" s="1">
        <f t="shared" ca="1" si="30"/>
        <v>156</v>
      </c>
      <c r="AR16" s="1">
        <f t="shared" ca="1" si="31"/>
        <v>5</v>
      </c>
      <c r="AS16" s="1">
        <f t="shared" ca="1" si="32"/>
        <v>72</v>
      </c>
      <c r="AU16" s="1">
        <f t="shared" ca="1" si="33"/>
        <v>275</v>
      </c>
      <c r="AV16" s="1">
        <f t="shared" ca="1" si="34"/>
        <v>9</v>
      </c>
      <c r="AW16" s="1">
        <f t="shared" ca="1" si="35"/>
        <v>0.15248855318653962</v>
      </c>
      <c r="AY16" s="1">
        <f t="shared" ca="1" si="36"/>
        <v>1.6552634690106425</v>
      </c>
      <c r="AZ16" s="1">
        <f t="shared" ca="1" si="37"/>
        <v>406</v>
      </c>
      <c r="BA16" s="1">
        <f t="shared" ca="1" si="38"/>
        <v>7.5117833278845461E-3</v>
      </c>
      <c r="BG16" s="1">
        <f t="shared" ca="1" si="39"/>
        <v>0.44950572384597359</v>
      </c>
      <c r="BH16" s="1">
        <f t="shared" ca="1" si="40"/>
        <v>0.91042475877349816</v>
      </c>
      <c r="BI16" s="1">
        <f t="shared" ca="1" si="41"/>
        <v>960</v>
      </c>
      <c r="BV16" s="1">
        <f t="shared" ca="1" si="42"/>
        <v>0.94558215314122374</v>
      </c>
      <c r="BW16" s="1">
        <f t="shared" ca="1" si="43"/>
        <v>296</v>
      </c>
      <c r="BX16" s="1">
        <f t="shared" ca="1" si="44"/>
        <v>8.5191888155134229E-3</v>
      </c>
      <c r="BY16" s="1">
        <f t="shared" ca="1" si="45"/>
        <v>8.6458617825969156E-2</v>
      </c>
      <c r="BZ16" s="1">
        <f t="shared" ca="1" si="46"/>
        <v>0.58417531567019032</v>
      </c>
      <c r="CB16" s="1">
        <f t="shared" ca="1" si="47"/>
        <v>313</v>
      </c>
      <c r="CC16" s="1">
        <f t="shared" ca="1" si="48"/>
        <v>8</v>
      </c>
      <c r="CD16" s="1">
        <f t="shared" ca="1" si="49"/>
        <v>9.9700460820911191E-2</v>
      </c>
      <c r="CE16" s="1">
        <f t="shared" ca="1" si="50"/>
        <v>0.77483233479697811</v>
      </c>
      <c r="CF16" s="1">
        <f t="shared" ca="1" si="50"/>
        <v>0.99449207539756412</v>
      </c>
      <c r="CH16" s="3">
        <f t="shared" ca="1" si="51"/>
        <v>0.80363700857359566</v>
      </c>
      <c r="CI16" s="3">
        <f t="shared" ca="1" si="52"/>
        <v>0.80215407834555053</v>
      </c>
      <c r="CJ16" s="3">
        <f t="shared" ca="1" si="53"/>
        <v>214</v>
      </c>
      <c r="CK16" s="3">
        <f t="shared" ca="1" si="54"/>
        <v>3.7566506519106937E-3</v>
      </c>
      <c r="CL16" s="3">
        <f t="shared" ca="1" si="55"/>
        <v>0</v>
      </c>
      <c r="CM16" s="3"/>
      <c r="CN16" s="1">
        <f t="shared" ca="1" si="56"/>
        <v>8.2032850200369332</v>
      </c>
      <c r="CO16" s="1">
        <f t="shared" ca="1" si="57"/>
        <v>0.15606554280914678</v>
      </c>
      <c r="CP16" s="1">
        <f t="shared" ca="1" si="58"/>
        <v>4</v>
      </c>
      <c r="CV16" s="1">
        <f t="shared" ca="1" si="59"/>
        <v>3.4260091796452659</v>
      </c>
      <c r="CW16" s="1">
        <f t="shared" ca="1" si="60"/>
        <v>651</v>
      </c>
      <c r="CX16" s="1">
        <f t="shared" ca="1" si="61"/>
        <v>7.7178007052248433E-3</v>
      </c>
      <c r="DH16" s="1">
        <f t="shared" ca="1" si="62"/>
        <v>565</v>
      </c>
      <c r="DI16" s="1">
        <f t="shared" ca="1" si="63"/>
        <v>0.3914467846336746</v>
      </c>
      <c r="DJ16" s="1">
        <f t="shared" ca="1" si="64"/>
        <v>28</v>
      </c>
      <c r="DL16" s="1">
        <f t="shared" ca="1" si="65"/>
        <v>9.0214393760625622E-2</v>
      </c>
      <c r="DM16" s="1">
        <f t="shared" ca="1" si="66"/>
        <v>132</v>
      </c>
      <c r="DN16" s="1">
        <f t="shared" ca="1" si="67"/>
        <v>9</v>
      </c>
      <c r="DW16" s="1">
        <f t="shared" ca="1" si="71"/>
        <v>312</v>
      </c>
      <c r="DX16" s="1">
        <f t="shared" ca="1" si="72"/>
        <v>17</v>
      </c>
      <c r="DY16" s="1">
        <f t="shared" ca="1" si="73"/>
        <v>7</v>
      </c>
    </row>
    <row r="17" spans="2:129" x14ac:dyDescent="0.25">
      <c r="B17">
        <f t="shared" ca="1" si="0"/>
        <v>969</v>
      </c>
      <c r="C17">
        <f t="shared" ca="1" si="1"/>
        <v>31</v>
      </c>
      <c r="D17">
        <f t="shared" ca="1" si="2"/>
        <v>0.29782497550936432</v>
      </c>
      <c r="F17" s="1">
        <f t="shared" ca="1" si="3"/>
        <v>35</v>
      </c>
      <c r="G17" s="1">
        <f t="shared" ca="1" si="4"/>
        <v>23</v>
      </c>
      <c r="H17" s="1">
        <f t="shared" ca="1" si="5"/>
        <v>1</v>
      </c>
      <c r="I17" s="1"/>
      <c r="J17" s="1">
        <f t="shared" ca="1" si="6"/>
        <v>1</v>
      </c>
      <c r="K17" s="1">
        <f t="shared" ca="1" si="7"/>
        <v>2.094282508611343</v>
      </c>
      <c r="L17" s="1">
        <f t="shared" ca="1" si="8"/>
        <v>16</v>
      </c>
      <c r="M17" s="1"/>
      <c r="N17" s="1">
        <f t="shared" ca="1" si="9"/>
        <v>380</v>
      </c>
      <c r="O17" s="1">
        <f t="shared" ca="1" si="10"/>
        <v>23</v>
      </c>
      <c r="P17" s="1"/>
      <c r="Q17" s="1">
        <f t="shared" ca="1" si="11"/>
        <v>2.0212264899409615</v>
      </c>
      <c r="R17" s="1">
        <f t="shared" ca="1" si="12"/>
        <v>1188</v>
      </c>
      <c r="S17" s="1"/>
      <c r="T17" s="1">
        <f t="shared" ca="1" si="13"/>
        <v>0.16796631750106744</v>
      </c>
      <c r="U17" s="1">
        <f t="shared" ca="1" si="14"/>
        <v>304</v>
      </c>
      <c r="V17" s="1">
        <f t="shared" ca="1" si="15"/>
        <v>24</v>
      </c>
      <c r="W17" s="1"/>
      <c r="X17" s="1">
        <f t="shared" ca="1" si="16"/>
        <v>3.0178283444696086</v>
      </c>
      <c r="Y17" s="1">
        <f t="shared" ca="1" si="17"/>
        <v>0.75665732251655526</v>
      </c>
      <c r="Z17" s="1">
        <f t="shared" ca="1" si="18"/>
        <v>771</v>
      </c>
      <c r="AB17" s="1">
        <f t="shared" ca="1" si="19"/>
        <v>3.862180104412403E-3</v>
      </c>
      <c r="AC17" s="1">
        <f t="shared" ca="1" si="20"/>
        <v>207</v>
      </c>
      <c r="AD17" s="1">
        <f t="shared" ca="1" si="21"/>
        <v>4.5998009293066926E-3</v>
      </c>
      <c r="AE17" s="1"/>
      <c r="AF17" s="1">
        <f t="shared" ca="1" si="22"/>
        <v>0.36333874376960251</v>
      </c>
      <c r="AG17" s="1">
        <f t="shared" ca="1" si="23"/>
        <v>706</v>
      </c>
      <c r="AH17" s="1">
        <f t="shared" ca="1" si="24"/>
        <v>8.931190779961613E-3</v>
      </c>
      <c r="AJ17" s="1">
        <f t="shared" ca="1" si="25"/>
        <v>0.95393149745745243</v>
      </c>
      <c r="AK17" s="1">
        <f t="shared" ca="1" si="26"/>
        <v>7.5414967151713015E-3</v>
      </c>
      <c r="AL17" s="1"/>
      <c r="AM17" s="1">
        <f t="shared" ca="1" si="27"/>
        <v>0.12545602303955769</v>
      </c>
      <c r="AN17" s="1">
        <f t="shared" ca="1" si="28"/>
        <v>77</v>
      </c>
      <c r="AO17" s="1">
        <f t="shared" ca="1" si="29"/>
        <v>16</v>
      </c>
      <c r="AQ17" s="1">
        <f t="shared" ca="1" si="30"/>
        <v>90</v>
      </c>
      <c r="AR17" s="1">
        <f t="shared" ca="1" si="31"/>
        <v>2</v>
      </c>
      <c r="AS17" s="1">
        <f t="shared" ca="1" si="32"/>
        <v>71</v>
      </c>
      <c r="AU17" s="1">
        <f t="shared" ca="1" si="33"/>
        <v>212</v>
      </c>
      <c r="AV17" s="1">
        <f t="shared" ca="1" si="34"/>
        <v>10</v>
      </c>
      <c r="AW17" s="1">
        <f t="shared" ca="1" si="35"/>
        <v>0.14066509002224473</v>
      </c>
      <c r="AY17" s="1">
        <f t="shared" ca="1" si="36"/>
        <v>1.3734568277960546</v>
      </c>
      <c r="AZ17" s="1">
        <f t="shared" ca="1" si="37"/>
        <v>230</v>
      </c>
      <c r="BA17" s="1">
        <f t="shared" ca="1" si="38"/>
        <v>4.6442018633914095E-4</v>
      </c>
      <c r="BG17" s="1">
        <f t="shared" ca="1" si="39"/>
        <v>0.88014143213774254</v>
      </c>
      <c r="BH17" s="1">
        <f t="shared" ca="1" si="40"/>
        <v>0.91389557268052646</v>
      </c>
      <c r="BI17" s="1">
        <f t="shared" ca="1" si="41"/>
        <v>512</v>
      </c>
      <c r="BV17" s="1">
        <f t="shared" ca="1" si="42"/>
        <v>0.55154629501869512</v>
      </c>
      <c r="BW17" s="1">
        <f t="shared" ca="1" si="43"/>
        <v>228</v>
      </c>
      <c r="BX17" s="1">
        <f t="shared" ca="1" si="44"/>
        <v>4.9633782206226756E-3</v>
      </c>
      <c r="BY17" s="1">
        <f t="shared" ca="1" si="45"/>
        <v>5.0606796063048194E-2</v>
      </c>
      <c r="BZ17" s="1">
        <f t="shared" ca="1" si="46"/>
        <v>0.64332034595551968</v>
      </c>
      <c r="CB17" s="1">
        <f t="shared" ca="1" si="47"/>
        <v>330</v>
      </c>
      <c r="CC17" s="1">
        <f t="shared" ca="1" si="48"/>
        <v>13</v>
      </c>
      <c r="CD17" s="1">
        <f t="shared" ca="1" si="49"/>
        <v>2.4973056932162167E-2</v>
      </c>
      <c r="CE17" s="1">
        <f t="shared" ca="1" si="50"/>
        <v>0.55720789807513738</v>
      </c>
      <c r="CF17" s="1">
        <f t="shared" ca="1" si="50"/>
        <v>0.83104214641693264</v>
      </c>
      <c r="CH17" s="3">
        <f t="shared" ca="1" si="51"/>
        <v>0.87145487513689801</v>
      </c>
      <c r="CI17" s="3">
        <f t="shared" ca="1" si="52"/>
        <v>0.54428997475529706</v>
      </c>
      <c r="CJ17" s="3">
        <f t="shared" ca="1" si="53"/>
        <v>900</v>
      </c>
      <c r="CK17" s="3">
        <f t="shared" ca="1" si="54"/>
        <v>5.0066720795231999E-3</v>
      </c>
      <c r="CL17" s="3">
        <f t="shared" ca="1" si="55"/>
        <v>1</v>
      </c>
      <c r="CM17" s="3"/>
      <c r="CN17" s="1">
        <f t="shared" ca="1" si="56"/>
        <v>16.140435703789677</v>
      </c>
      <c r="CO17" s="1">
        <f t="shared" ca="1" si="57"/>
        <v>0.44481629316287841</v>
      </c>
      <c r="CP17" s="1">
        <f t="shared" ca="1" si="58"/>
        <v>5</v>
      </c>
      <c r="CV17" s="1">
        <f t="shared" ca="1" si="59"/>
        <v>6.2918690811818436</v>
      </c>
      <c r="CW17" s="1">
        <f t="shared" ca="1" si="60"/>
        <v>397</v>
      </c>
      <c r="CX17" s="1">
        <f t="shared" ca="1" si="61"/>
        <v>1.8985707857638937E-3</v>
      </c>
      <c r="DH17" s="1">
        <f t="shared" ca="1" si="62"/>
        <v>524</v>
      </c>
      <c r="DI17" s="1">
        <f t="shared" ca="1" si="63"/>
        <v>0.51625502100586051</v>
      </c>
      <c r="DJ17" s="1">
        <f t="shared" ca="1" si="64"/>
        <v>14</v>
      </c>
      <c r="DL17" s="1">
        <f t="shared" ca="1" si="65"/>
        <v>0.1890273094589785</v>
      </c>
      <c r="DM17" s="1">
        <f t="shared" ca="1" si="66"/>
        <v>286</v>
      </c>
      <c r="DN17" s="1">
        <f t="shared" ca="1" si="67"/>
        <v>8</v>
      </c>
      <c r="DW17" s="1">
        <f t="shared" ca="1" si="71"/>
        <v>82</v>
      </c>
      <c r="DX17" s="1">
        <f t="shared" ca="1" si="72"/>
        <v>14</v>
      </c>
      <c r="DY17" s="1">
        <f t="shared" ca="1" si="73"/>
        <v>11</v>
      </c>
    </row>
    <row r="18" spans="2:129" x14ac:dyDescent="0.25">
      <c r="B18">
        <f t="shared" ca="1" si="0"/>
        <v>636</v>
      </c>
      <c r="C18">
        <f t="shared" ca="1" si="1"/>
        <v>40</v>
      </c>
      <c r="D18">
        <f t="shared" ca="1" si="2"/>
        <v>6.5071998887936536E-2</v>
      </c>
      <c r="F18" s="1">
        <f t="shared" ca="1" si="3"/>
        <v>25</v>
      </c>
      <c r="G18" s="1">
        <f t="shared" ca="1" si="4"/>
        <v>17</v>
      </c>
      <c r="H18" s="1">
        <f t="shared" ca="1" si="5"/>
        <v>14</v>
      </c>
      <c r="I18" s="1"/>
      <c r="J18" s="1">
        <f t="shared" ca="1" si="6"/>
        <v>8</v>
      </c>
      <c r="K18" s="1">
        <f t="shared" ca="1" si="7"/>
        <v>2.0672702973141885</v>
      </c>
      <c r="L18" s="1">
        <f t="shared" ca="1" si="8"/>
        <v>4</v>
      </c>
      <c r="M18" s="1"/>
      <c r="N18" s="1">
        <f t="shared" ca="1" si="9"/>
        <v>488</v>
      </c>
      <c r="O18" s="1">
        <f t="shared" ca="1" si="10"/>
        <v>26</v>
      </c>
      <c r="P18" s="1"/>
      <c r="Q18" s="1">
        <f t="shared" ca="1" si="11"/>
        <v>2.9526471564477816</v>
      </c>
      <c r="R18" s="1">
        <f t="shared" ca="1" si="12"/>
        <v>520</v>
      </c>
      <c r="S18" s="1"/>
      <c r="T18" s="1">
        <f t="shared" ca="1" si="13"/>
        <v>0.19193288755386881</v>
      </c>
      <c r="U18" s="1">
        <f t="shared" ca="1" si="14"/>
        <v>93</v>
      </c>
      <c r="V18" s="1">
        <f t="shared" ca="1" si="15"/>
        <v>14</v>
      </c>
      <c r="W18" s="1"/>
      <c r="X18" s="1">
        <f t="shared" ca="1" si="16"/>
        <v>1.1136458013228223</v>
      </c>
      <c r="Y18" s="1">
        <f t="shared" ca="1" si="17"/>
        <v>0.19167493478416806</v>
      </c>
      <c r="Z18" s="1">
        <f t="shared" ca="1" si="18"/>
        <v>1294</v>
      </c>
      <c r="AB18" s="1">
        <f t="shared" ca="1" si="19"/>
        <v>0.59540982100215045</v>
      </c>
      <c r="AC18" s="1">
        <f t="shared" ca="1" si="20"/>
        <v>793</v>
      </c>
      <c r="AD18" s="1">
        <f t="shared" ca="1" si="21"/>
        <v>8.1126340701127685E-3</v>
      </c>
      <c r="AE18" s="1"/>
      <c r="AF18" s="1">
        <f t="shared" ca="1" si="22"/>
        <v>0.5778080503539047</v>
      </c>
      <c r="AG18" s="1">
        <f t="shared" ca="1" si="23"/>
        <v>827</v>
      </c>
      <c r="AH18" s="1">
        <f t="shared" ca="1" si="24"/>
        <v>6.490137476720604E-3</v>
      </c>
      <c r="AJ18" s="1">
        <f t="shared" ca="1" si="25"/>
        <v>0.71544091802685961</v>
      </c>
      <c r="AK18" s="1">
        <f t="shared" ca="1" si="26"/>
        <v>9.2526403096357193E-3</v>
      </c>
      <c r="AL18" s="1"/>
      <c r="AM18" s="1">
        <f t="shared" ca="1" si="27"/>
        <v>0.10463238903073013</v>
      </c>
      <c r="AN18" s="1">
        <f t="shared" ca="1" si="28"/>
        <v>55</v>
      </c>
      <c r="AO18" s="1">
        <f t="shared" ca="1" si="29"/>
        <v>20</v>
      </c>
      <c r="AQ18" s="1">
        <f t="shared" ca="1" si="30"/>
        <v>11</v>
      </c>
      <c r="AR18" s="1">
        <f t="shared" ca="1" si="31"/>
        <v>4</v>
      </c>
      <c r="AS18" s="1">
        <f t="shared" ca="1" si="32"/>
        <v>81</v>
      </c>
      <c r="AU18" s="1">
        <f t="shared" ca="1" si="33"/>
        <v>260</v>
      </c>
      <c r="AV18" s="1">
        <f t="shared" ca="1" si="34"/>
        <v>2</v>
      </c>
      <c r="AW18" s="1">
        <f t="shared" ca="1" si="35"/>
        <v>0.19664189849401495</v>
      </c>
      <c r="AY18" s="1">
        <f t="shared" ca="1" si="36"/>
        <v>1.1949446878148273</v>
      </c>
      <c r="AZ18" s="1">
        <f t="shared" ca="1" si="37"/>
        <v>426</v>
      </c>
      <c r="BA18" s="1">
        <f t="shared" ca="1" si="38"/>
        <v>1.7153880169175502E-3</v>
      </c>
      <c r="BG18" s="1">
        <f t="shared" ca="1" si="39"/>
        <v>0.47946904437784998</v>
      </c>
      <c r="BH18" s="1">
        <f t="shared" ca="1" si="40"/>
        <v>0.74051126879257023</v>
      </c>
      <c r="BI18" s="1">
        <f t="shared" ca="1" si="41"/>
        <v>670</v>
      </c>
      <c r="BV18" s="1">
        <f t="shared" ca="1" si="42"/>
        <v>0.92740330465583454</v>
      </c>
      <c r="BW18" s="1">
        <f t="shared" ca="1" si="43"/>
        <v>588</v>
      </c>
      <c r="BX18" s="1">
        <f t="shared" ca="1" si="44"/>
        <v>6.0774806521870107E-3</v>
      </c>
      <c r="BY18" s="1">
        <f t="shared" ca="1" si="45"/>
        <v>4.0350168476337017E-2</v>
      </c>
      <c r="BZ18" s="1">
        <f t="shared" ca="1" si="46"/>
        <v>2.7810895872954822E-2</v>
      </c>
      <c r="CB18" s="1">
        <f t="shared" ca="1" si="47"/>
        <v>65</v>
      </c>
      <c r="CC18" s="1">
        <f t="shared" ca="1" si="48"/>
        <v>4</v>
      </c>
      <c r="CD18" s="1">
        <f t="shared" ca="1" si="49"/>
        <v>0.16146545120505956</v>
      </c>
      <c r="CE18" s="1">
        <f t="shared" ca="1" si="50"/>
        <v>0.52503156025304931</v>
      </c>
      <c r="CF18" s="1">
        <f t="shared" ca="1" si="50"/>
        <v>0.63318040093175232</v>
      </c>
      <c r="CH18" s="3">
        <f t="shared" ca="1" si="51"/>
        <v>0.36423500746607718</v>
      </c>
      <c r="CI18" s="3">
        <f t="shared" ca="1" si="52"/>
        <v>0.96738344746575766</v>
      </c>
      <c r="CJ18" s="3">
        <f t="shared" ca="1" si="53"/>
        <v>1429</v>
      </c>
      <c r="CK18" s="3">
        <f t="shared" ca="1" si="54"/>
        <v>3.7253124395853396E-3</v>
      </c>
      <c r="CL18" s="3">
        <f t="shared" ca="1" si="55"/>
        <v>0</v>
      </c>
      <c r="CM18" s="3"/>
      <c r="CN18" s="1">
        <f t="shared" ca="1" si="56"/>
        <v>9.1941623905292342</v>
      </c>
      <c r="CO18" s="1">
        <f t="shared" ca="1" si="57"/>
        <v>0.48378073497013574</v>
      </c>
      <c r="CP18" s="1">
        <f t="shared" ca="1" si="58"/>
        <v>4</v>
      </c>
      <c r="CV18" s="1">
        <f t="shared" ca="1" si="59"/>
        <v>8.6286313677072641</v>
      </c>
      <c r="CW18" s="1">
        <f t="shared" ca="1" si="60"/>
        <v>790</v>
      </c>
      <c r="CX18" s="1">
        <f t="shared" ca="1" si="61"/>
        <v>8.860299518244517E-3</v>
      </c>
      <c r="DH18" s="1">
        <f t="shared" ca="1" si="62"/>
        <v>716</v>
      </c>
      <c r="DI18" s="1">
        <f t="shared" ca="1" si="63"/>
        <v>0.68415975413444829</v>
      </c>
      <c r="DJ18" s="1">
        <f t="shared" ca="1" si="64"/>
        <v>16</v>
      </c>
      <c r="DL18" s="1">
        <f t="shared" ca="1" si="65"/>
        <v>5.4345934609731548E-2</v>
      </c>
      <c r="DM18" s="1">
        <f t="shared" ca="1" si="66"/>
        <v>77</v>
      </c>
      <c r="DN18" s="1">
        <f t="shared" ca="1" si="67"/>
        <v>4</v>
      </c>
      <c r="DW18" s="1">
        <f t="shared" ca="1" si="71"/>
        <v>220</v>
      </c>
      <c r="DX18" s="1">
        <f t="shared" ca="1" si="72"/>
        <v>18</v>
      </c>
      <c r="DY18" s="1">
        <f t="shared" ca="1" si="73"/>
        <v>9</v>
      </c>
    </row>
    <row r="19" spans="2:129" x14ac:dyDescent="0.25">
      <c r="B19">
        <f t="shared" ca="1" si="0"/>
        <v>416</v>
      </c>
      <c r="C19">
        <f t="shared" ca="1" si="1"/>
        <v>33</v>
      </c>
      <c r="D19">
        <f t="shared" ca="1" si="2"/>
        <v>0.12120300723620894</v>
      </c>
      <c r="F19" s="1">
        <f t="shared" ca="1" si="3"/>
        <v>48</v>
      </c>
      <c r="G19" s="1">
        <f t="shared" ca="1" si="4"/>
        <v>9</v>
      </c>
      <c r="H19" s="1">
        <f t="shared" ca="1" si="5"/>
        <v>10</v>
      </c>
      <c r="I19" s="1"/>
      <c r="J19" s="1">
        <f t="shared" ca="1" si="6"/>
        <v>27</v>
      </c>
      <c r="K19" s="1">
        <f t="shared" ca="1" si="7"/>
        <v>2.8714368278283686</v>
      </c>
      <c r="L19" s="1">
        <f t="shared" ca="1" si="8"/>
        <v>33</v>
      </c>
      <c r="M19" s="1"/>
      <c r="N19" s="1">
        <f t="shared" ca="1" si="9"/>
        <v>586</v>
      </c>
      <c r="O19" s="1">
        <f t="shared" ca="1" si="10"/>
        <v>11</v>
      </c>
      <c r="P19" s="1"/>
      <c r="Q19" s="1">
        <f t="shared" ca="1" si="11"/>
        <v>0.90936699186969627</v>
      </c>
      <c r="R19" s="1">
        <f t="shared" ca="1" si="12"/>
        <v>766</v>
      </c>
      <c r="S19" s="1"/>
      <c r="T19" s="1">
        <f t="shared" ca="1" si="13"/>
        <v>9.3552990959282906E-2</v>
      </c>
      <c r="U19" s="1">
        <f t="shared" ca="1" si="14"/>
        <v>449</v>
      </c>
      <c r="V19" s="1">
        <f t="shared" ca="1" si="15"/>
        <v>36</v>
      </c>
      <c r="W19" s="1"/>
      <c r="X19" s="1">
        <f t="shared" ca="1" si="16"/>
        <v>1.1583907875790147</v>
      </c>
      <c r="Y19" s="1">
        <f t="shared" ca="1" si="17"/>
        <v>0.53355650138697486</v>
      </c>
      <c r="Z19" s="1">
        <f t="shared" ca="1" si="18"/>
        <v>684</v>
      </c>
      <c r="AB19" s="1">
        <f t="shared" ca="1" si="19"/>
        <v>0.25013986262186144</v>
      </c>
      <c r="AC19" s="1">
        <f t="shared" ca="1" si="20"/>
        <v>231</v>
      </c>
      <c r="AD19" s="1">
        <f t="shared" ca="1" si="21"/>
        <v>9.726300958541826E-3</v>
      </c>
      <c r="AE19" s="1"/>
      <c r="AF19" s="1">
        <f t="shared" ca="1" si="22"/>
        <v>0.78153324388115719</v>
      </c>
      <c r="AG19" s="1">
        <f t="shared" ca="1" si="23"/>
        <v>199</v>
      </c>
      <c r="AH19" s="1">
        <f t="shared" ca="1" si="24"/>
        <v>1.066728848137379E-3</v>
      </c>
      <c r="AJ19" s="1">
        <f t="shared" ca="1" si="25"/>
        <v>0.15097288257640784</v>
      </c>
      <c r="AK19" s="1">
        <f t="shared" ca="1" si="26"/>
        <v>1.7410093082851498E-3</v>
      </c>
      <c r="AL19" s="1"/>
      <c r="AM19" s="1">
        <f t="shared" ca="1" si="27"/>
        <v>0.14406213577952878</v>
      </c>
      <c r="AN19" s="1">
        <f t="shared" ca="1" si="28"/>
        <v>67</v>
      </c>
      <c r="AO19" s="1">
        <f t="shared" ca="1" si="29"/>
        <v>15</v>
      </c>
      <c r="AQ19" s="1">
        <f t="shared" ca="1" si="30"/>
        <v>111</v>
      </c>
      <c r="AR19" s="1">
        <f t="shared" ca="1" si="31"/>
        <v>10</v>
      </c>
      <c r="AS19" s="1">
        <f t="shared" ca="1" si="32"/>
        <v>87</v>
      </c>
      <c r="AU19" s="1">
        <f t="shared" ca="1" si="33"/>
        <v>159</v>
      </c>
      <c r="AV19" s="1">
        <f t="shared" ca="1" si="34"/>
        <v>3</v>
      </c>
      <c r="AW19" s="1">
        <f t="shared" ca="1" si="35"/>
        <v>0.14832663562912274</v>
      </c>
      <c r="AY19" s="1">
        <f t="shared" ca="1" si="36"/>
        <v>1.4835032811116047</v>
      </c>
      <c r="AZ19" s="1">
        <f t="shared" ca="1" si="37"/>
        <v>293</v>
      </c>
      <c r="BA19" s="1">
        <f t="shared" ca="1" si="38"/>
        <v>3.7799128384977021E-3</v>
      </c>
      <c r="BG19" s="1">
        <f t="shared" ca="1" si="39"/>
        <v>0.81522475570051389</v>
      </c>
      <c r="BH19" s="1">
        <f t="shared" ca="1" si="40"/>
        <v>0.30766275150285061</v>
      </c>
      <c r="BI19" s="1">
        <f t="shared" ca="1" si="41"/>
        <v>330</v>
      </c>
      <c r="BV19" s="1">
        <f t="shared" ca="1" si="42"/>
        <v>0.75317182999575183</v>
      </c>
      <c r="BW19" s="1">
        <f t="shared" ca="1" si="43"/>
        <v>970</v>
      </c>
      <c r="BX19" s="1">
        <f t="shared" ca="1" si="44"/>
        <v>4.6887663646976753E-4</v>
      </c>
      <c r="BY19" s="1">
        <f t="shared" ca="1" si="45"/>
        <v>8.9865954297741371E-2</v>
      </c>
      <c r="BZ19" s="1">
        <f t="shared" ca="1" si="46"/>
        <v>0.88695464744746</v>
      </c>
      <c r="CB19" s="1">
        <f t="shared" ca="1" si="47"/>
        <v>466</v>
      </c>
      <c r="CC19" s="1">
        <f t="shared" ca="1" si="48"/>
        <v>14</v>
      </c>
      <c r="CD19" s="1">
        <f t="shared" ca="1" si="49"/>
        <v>5.2576128024008142E-2</v>
      </c>
      <c r="CE19" s="1">
        <f t="shared" ca="1" si="50"/>
        <v>0.81752863981975588</v>
      </c>
      <c r="CF19" s="1">
        <f t="shared" ca="1" si="50"/>
        <v>0.75462246654094511</v>
      </c>
      <c r="CH19" s="3">
        <f t="shared" ca="1" si="51"/>
        <v>0.29131814849502607</v>
      </c>
      <c r="CI19" s="3">
        <f t="shared" ca="1" si="52"/>
        <v>0.58630083683715861</v>
      </c>
      <c r="CJ19" s="3">
        <f t="shared" ca="1" si="53"/>
        <v>788</v>
      </c>
      <c r="CK19" s="3">
        <f t="shared" ca="1" si="54"/>
        <v>9.950955198024412E-3</v>
      </c>
      <c r="CL19" s="3">
        <f t="shared" ca="1" si="55"/>
        <v>0</v>
      </c>
      <c r="CM19" s="3"/>
      <c r="CN19" s="1">
        <f t="shared" ca="1" si="56"/>
        <v>12.71243257522066</v>
      </c>
      <c r="CO19" s="1">
        <f t="shared" ca="1" si="57"/>
        <v>0.27685186046389293</v>
      </c>
      <c r="CP19" s="1">
        <f t="shared" ca="1" si="58"/>
        <v>3</v>
      </c>
      <c r="CV19" s="1">
        <f t="shared" ca="1" si="59"/>
        <v>2.245256420132415</v>
      </c>
      <c r="CW19" s="1">
        <f t="shared" ca="1" si="60"/>
        <v>758</v>
      </c>
      <c r="CX19" s="1">
        <f t="shared" ca="1" si="61"/>
        <v>9.5542432155343877E-3</v>
      </c>
      <c r="DH19" s="1">
        <f t="shared" ca="1" si="62"/>
        <v>688</v>
      </c>
      <c r="DI19" s="1">
        <f t="shared" ca="1" si="63"/>
        <v>4.4179415139736382E-2</v>
      </c>
      <c r="DJ19" s="1">
        <f t="shared" ca="1" si="64"/>
        <v>5</v>
      </c>
      <c r="DL19" s="1">
        <f t="shared" ca="1" si="65"/>
        <v>8.0275057697970401E-2</v>
      </c>
      <c r="DM19" s="1">
        <f t="shared" ca="1" si="66"/>
        <v>115</v>
      </c>
      <c r="DN19" s="1">
        <f t="shared" ca="1" si="67"/>
        <v>2</v>
      </c>
      <c r="DW19" s="1">
        <f t="shared" ca="1" si="71"/>
        <v>166</v>
      </c>
      <c r="DX19" s="1">
        <f t="shared" ca="1" si="72"/>
        <v>18</v>
      </c>
      <c r="DY19" s="1">
        <f t="shared" ca="1" si="73"/>
        <v>15</v>
      </c>
    </row>
    <row r="20" spans="2:129" x14ac:dyDescent="0.25">
      <c r="B20">
        <f t="shared" ca="1" si="0"/>
        <v>682</v>
      </c>
      <c r="C20">
        <f t="shared" ca="1" si="1"/>
        <v>19</v>
      </c>
      <c r="D20">
        <f t="shared" ca="1" si="2"/>
        <v>0.27950242826215449</v>
      </c>
      <c r="F20" s="1">
        <f t="shared" ca="1" si="3"/>
        <v>46</v>
      </c>
      <c r="G20" s="1">
        <f t="shared" ca="1" si="4"/>
        <v>29</v>
      </c>
      <c r="H20" s="1">
        <f t="shared" ca="1" si="5"/>
        <v>7</v>
      </c>
      <c r="I20" s="1"/>
      <c r="J20" s="1">
        <f t="shared" ca="1" si="6"/>
        <v>2</v>
      </c>
      <c r="K20" s="1">
        <f t="shared" ca="1" si="7"/>
        <v>1.4817213756104939</v>
      </c>
      <c r="L20" s="1">
        <f t="shared" ca="1" si="8"/>
        <v>30</v>
      </c>
      <c r="M20" s="1"/>
      <c r="N20" s="1">
        <f t="shared" ca="1" si="9"/>
        <v>776</v>
      </c>
      <c r="O20" s="1">
        <f t="shared" ca="1" si="10"/>
        <v>7</v>
      </c>
      <c r="P20" s="1"/>
      <c r="Q20" s="1">
        <f t="shared" ca="1" si="11"/>
        <v>3.1710938722228184</v>
      </c>
      <c r="R20" s="1">
        <f t="shared" ca="1" si="12"/>
        <v>268</v>
      </c>
      <c r="S20" s="1"/>
      <c r="T20" s="1">
        <f t="shared" ca="1" si="13"/>
        <v>4.8497135802358322E-2</v>
      </c>
      <c r="U20" s="1">
        <f t="shared" ca="1" si="14"/>
        <v>332</v>
      </c>
      <c r="V20" s="1">
        <f t="shared" ca="1" si="15"/>
        <v>20</v>
      </c>
      <c r="W20" s="1"/>
      <c r="X20" s="1">
        <f t="shared" ca="1" si="16"/>
        <v>3.6620657657057678</v>
      </c>
      <c r="Y20" s="1">
        <f t="shared" ca="1" si="17"/>
        <v>0.83728704577749746</v>
      </c>
      <c r="Z20" s="1">
        <f t="shared" ca="1" si="18"/>
        <v>1321</v>
      </c>
      <c r="AB20" s="1">
        <f t="shared" ca="1" si="19"/>
        <v>0.56251275072738016</v>
      </c>
      <c r="AC20" s="1">
        <f t="shared" ca="1" si="20"/>
        <v>341</v>
      </c>
      <c r="AD20" s="1">
        <f t="shared" ca="1" si="21"/>
        <v>6.5166819533146007E-3</v>
      </c>
      <c r="AE20" s="1"/>
      <c r="AF20" s="1">
        <f t="shared" ca="1" si="22"/>
        <v>0.46617415806338836</v>
      </c>
      <c r="AG20" s="1">
        <f t="shared" ca="1" si="23"/>
        <v>435</v>
      </c>
      <c r="AH20" s="1">
        <f t="shared" ca="1" si="24"/>
        <v>9.462123240891857E-4</v>
      </c>
      <c r="AJ20" s="1">
        <f t="shared" ca="1" si="25"/>
        <v>0.53487619582809665</v>
      </c>
      <c r="AK20" s="1">
        <f t="shared" ca="1" si="26"/>
        <v>5.3799974285485839E-3</v>
      </c>
      <c r="AL20" s="1"/>
      <c r="AM20" s="1">
        <f t="shared" ca="1" si="27"/>
        <v>0.189723935858331</v>
      </c>
      <c r="AN20" s="1">
        <f t="shared" ca="1" si="28"/>
        <v>18</v>
      </c>
      <c r="AO20" s="1">
        <f t="shared" ca="1" si="29"/>
        <v>15</v>
      </c>
      <c r="AQ20" s="1">
        <f t="shared" ca="1" si="30"/>
        <v>120</v>
      </c>
      <c r="AR20" s="1">
        <f t="shared" ca="1" si="31"/>
        <v>8</v>
      </c>
      <c r="AS20" s="1">
        <f t="shared" ca="1" si="32"/>
        <v>23</v>
      </c>
      <c r="AU20" s="1">
        <f t="shared" ca="1" si="33"/>
        <v>192</v>
      </c>
      <c r="AV20" s="1">
        <f t="shared" ca="1" si="34"/>
        <v>8</v>
      </c>
      <c r="AW20" s="1">
        <f t="shared" ca="1" si="35"/>
        <v>0.16221326419240067</v>
      </c>
      <c r="AY20" s="1">
        <f t="shared" ca="1" si="36"/>
        <v>1.5983662011485402</v>
      </c>
      <c r="AZ20" s="1">
        <f t="shared" ca="1" si="37"/>
        <v>64</v>
      </c>
      <c r="BA20" s="1">
        <f t="shared" ca="1" si="38"/>
        <v>3.5626599242129559E-3</v>
      </c>
      <c r="BG20" s="1">
        <f t="shared" ca="1" si="39"/>
        <v>0.94513464666457037</v>
      </c>
      <c r="BH20" s="1">
        <f t="shared" ca="1" si="40"/>
        <v>0.64838452305303129</v>
      </c>
      <c r="BI20" s="1">
        <f t="shared" ca="1" si="41"/>
        <v>624</v>
      </c>
      <c r="BV20" s="1">
        <f t="shared" ca="1" si="42"/>
        <v>0.51109495935396576</v>
      </c>
      <c r="BW20" s="1">
        <f t="shared" ca="1" si="43"/>
        <v>734</v>
      </c>
      <c r="BX20" s="1">
        <f t="shared" ca="1" si="44"/>
        <v>4.8208808888057196E-3</v>
      </c>
      <c r="BY20" s="1">
        <f t="shared" ca="1" si="45"/>
        <v>2.1095794476837688E-2</v>
      </c>
      <c r="BZ20" s="1">
        <f t="shared" ca="1" si="46"/>
        <v>0.21382213997600907</v>
      </c>
      <c r="CB20" s="1">
        <f t="shared" ca="1" si="47"/>
        <v>107</v>
      </c>
      <c r="CC20" s="1">
        <f t="shared" ca="1" si="48"/>
        <v>10</v>
      </c>
      <c r="CD20" s="1">
        <f t="shared" ca="1" si="49"/>
        <v>0.1862402010751163</v>
      </c>
      <c r="CE20" s="1">
        <f t="shared" ca="1" si="50"/>
        <v>0.78966368070991311</v>
      </c>
      <c r="CF20" s="1">
        <f t="shared" ca="1" si="50"/>
        <v>0.58183632220518477</v>
      </c>
      <c r="CH20" s="3">
        <f t="shared" ca="1" si="51"/>
        <v>0.33806249112879772</v>
      </c>
      <c r="CI20" s="3">
        <f t="shared" ca="1" si="52"/>
        <v>0.80599921622403947</v>
      </c>
      <c r="CJ20" s="3">
        <f t="shared" ca="1" si="53"/>
        <v>553</v>
      </c>
      <c r="CK20" s="3">
        <f t="shared" ca="1" si="54"/>
        <v>1.4504393037776365E-3</v>
      </c>
      <c r="CL20" s="3">
        <f t="shared" ca="1" si="55"/>
        <v>0</v>
      </c>
      <c r="CM20" s="3"/>
      <c r="CN20" s="1">
        <f t="shared" ca="1" si="56"/>
        <v>0.2788110192666291</v>
      </c>
      <c r="CO20" s="1">
        <f t="shared" ca="1" si="57"/>
        <v>0.43070496616602449</v>
      </c>
      <c r="CP20" s="1">
        <f t="shared" ca="1" si="58"/>
        <v>2</v>
      </c>
      <c r="CV20" s="1">
        <f t="shared" ca="1" si="59"/>
        <v>7.8355322749209488</v>
      </c>
      <c r="CW20" s="1">
        <f t="shared" ca="1" si="60"/>
        <v>533</v>
      </c>
      <c r="CX20" s="1">
        <f t="shared" ca="1" si="61"/>
        <v>3.5418297080592478E-3</v>
      </c>
      <c r="DH20" s="1">
        <f t="shared" ca="1" si="62"/>
        <v>889</v>
      </c>
      <c r="DI20" s="1">
        <f t="shared" ca="1" si="63"/>
        <v>0.70907639425033175</v>
      </c>
      <c r="DJ20" s="1">
        <f t="shared" ca="1" si="64"/>
        <v>2</v>
      </c>
      <c r="DL20" s="1">
        <f t="shared" ca="1" si="65"/>
        <v>0.15741453631153915</v>
      </c>
      <c r="DM20" s="1">
        <f t="shared" ca="1" si="66"/>
        <v>226</v>
      </c>
      <c r="DN20" s="1">
        <f t="shared" ca="1" si="67"/>
        <v>4</v>
      </c>
      <c r="DW20" s="1">
        <f t="shared" ca="1" si="71"/>
        <v>187</v>
      </c>
      <c r="DX20" s="1">
        <f t="shared" ca="1" si="72"/>
        <v>13</v>
      </c>
      <c r="DY20" s="1">
        <f t="shared" ca="1" si="73"/>
        <v>13</v>
      </c>
    </row>
    <row r="21" spans="2:129" x14ac:dyDescent="0.25">
      <c r="B21">
        <f t="shared" ca="1" si="0"/>
        <v>190</v>
      </c>
      <c r="C21">
        <f t="shared" ca="1" si="1"/>
        <v>15</v>
      </c>
      <c r="D21">
        <f t="shared" ca="1" si="2"/>
        <v>0.28763756001064944</v>
      </c>
      <c r="F21" s="1">
        <f t="shared" ca="1" si="3"/>
        <v>21</v>
      </c>
      <c r="G21" s="1">
        <f t="shared" ca="1" si="4"/>
        <v>13</v>
      </c>
      <c r="H21" s="1">
        <f t="shared" ca="1" si="5"/>
        <v>6</v>
      </c>
      <c r="I21" s="1"/>
      <c r="J21" s="1">
        <f t="shared" ca="1" si="6"/>
        <v>35</v>
      </c>
      <c r="K21" s="1">
        <f t="shared" ca="1" si="7"/>
        <v>2.6830668763167429</v>
      </c>
      <c r="L21" s="1">
        <f t="shared" ca="1" si="8"/>
        <v>18</v>
      </c>
      <c r="M21" s="1"/>
      <c r="N21" s="1">
        <f t="shared" ca="1" si="9"/>
        <v>781</v>
      </c>
      <c r="O21" s="1">
        <f t="shared" ca="1" si="10"/>
        <v>8</v>
      </c>
      <c r="P21" s="1"/>
      <c r="Q21" s="1">
        <f t="shared" ca="1" si="11"/>
        <v>4.8289522090543278</v>
      </c>
      <c r="R21" s="1">
        <f t="shared" ca="1" si="12"/>
        <v>580</v>
      </c>
      <c r="S21" s="1"/>
      <c r="T21" s="1">
        <f t="shared" ca="1" si="13"/>
        <v>0.16918562239435536</v>
      </c>
      <c r="U21" s="1">
        <f t="shared" ca="1" si="14"/>
        <v>142</v>
      </c>
      <c r="V21" s="1">
        <f t="shared" ca="1" si="15"/>
        <v>29</v>
      </c>
      <c r="W21" s="1"/>
      <c r="X21" s="1">
        <f t="shared" ca="1" si="16"/>
        <v>4.501437071627775</v>
      </c>
      <c r="Y21" s="1">
        <f t="shared" ca="1" si="17"/>
        <v>0.6350177073658213</v>
      </c>
      <c r="Z21" s="1">
        <f t="shared" ca="1" si="18"/>
        <v>945</v>
      </c>
      <c r="AB21" s="1">
        <f t="shared" ca="1" si="19"/>
        <v>0.92976423200420932</v>
      </c>
      <c r="AC21" s="1">
        <f t="shared" ca="1" si="20"/>
        <v>612</v>
      </c>
      <c r="AD21" s="1">
        <f t="shared" ca="1" si="21"/>
        <v>7.2707630952023291E-3</v>
      </c>
      <c r="AE21" s="1"/>
      <c r="AF21" s="1">
        <f t="shared" ca="1" si="22"/>
        <v>0.34157483325719157</v>
      </c>
      <c r="AG21" s="1">
        <f t="shared" ca="1" si="23"/>
        <v>873</v>
      </c>
      <c r="AH21" s="1">
        <f t="shared" ca="1" si="24"/>
        <v>8.8584475136675792E-3</v>
      </c>
      <c r="AJ21" s="1">
        <f t="shared" ca="1" si="25"/>
        <v>0.95839923010955874</v>
      </c>
      <c r="AK21" s="1">
        <f t="shared" ca="1" si="26"/>
        <v>6.3604621398342959E-3</v>
      </c>
      <c r="AL21" s="1"/>
      <c r="AM21" s="1">
        <f t="shared" ca="1" si="27"/>
        <v>0.14120939884683975</v>
      </c>
      <c r="AN21" s="1">
        <f t="shared" ca="1" si="28"/>
        <v>37</v>
      </c>
      <c r="AO21" s="1">
        <f t="shared" ca="1" si="29"/>
        <v>12</v>
      </c>
      <c r="AQ21" s="1">
        <f t="shared" ca="1" si="30"/>
        <v>157</v>
      </c>
      <c r="AR21" s="1">
        <f t="shared" ca="1" si="31"/>
        <v>8</v>
      </c>
      <c r="AS21" s="1">
        <f t="shared" ca="1" si="32"/>
        <v>36</v>
      </c>
      <c r="AU21" s="1">
        <f t="shared" ca="1" si="33"/>
        <v>138</v>
      </c>
      <c r="AV21" s="1">
        <f t="shared" ca="1" si="34"/>
        <v>8</v>
      </c>
      <c r="AW21" s="1">
        <f t="shared" ca="1" si="35"/>
        <v>1.1793120636948437E-2</v>
      </c>
      <c r="AY21" s="1">
        <f t="shared" ca="1" si="36"/>
        <v>1.5488636639165099</v>
      </c>
      <c r="AZ21" s="1">
        <f t="shared" ca="1" si="37"/>
        <v>378</v>
      </c>
      <c r="BA21" s="1">
        <f t="shared" ca="1" si="38"/>
        <v>2.5591399136353208E-3</v>
      </c>
      <c r="BG21" s="1">
        <f t="shared" ca="1" si="39"/>
        <v>0.88723984635570041</v>
      </c>
      <c r="BH21" s="1">
        <f t="shared" ca="1" si="40"/>
        <v>0.55238283746060379</v>
      </c>
      <c r="BI21" s="1">
        <f t="shared" ca="1" si="41"/>
        <v>497</v>
      </c>
      <c r="BV21" s="1">
        <f t="shared" ca="1" si="42"/>
        <v>0.76643860619378501</v>
      </c>
      <c r="BW21" s="1">
        <f t="shared" ca="1" si="43"/>
        <v>513</v>
      </c>
      <c r="BX21" s="1">
        <f t="shared" ca="1" si="44"/>
        <v>6.4772210388543885E-3</v>
      </c>
      <c r="BY21" s="1">
        <f t="shared" ca="1" si="45"/>
        <v>2.8543739096326775E-2</v>
      </c>
      <c r="BZ21" s="1">
        <f t="shared" ca="1" si="46"/>
        <v>0.27150303968349365</v>
      </c>
      <c r="CB21" s="1">
        <f t="shared" ca="1" si="47"/>
        <v>192</v>
      </c>
      <c r="CC21" s="1">
        <f t="shared" ca="1" si="48"/>
        <v>15</v>
      </c>
      <c r="CD21" s="1">
        <f t="shared" ca="1" si="49"/>
        <v>0.14650587308328894</v>
      </c>
      <c r="CE21" s="1">
        <f t="shared" ca="1" si="50"/>
        <v>0.7929056900660264</v>
      </c>
      <c r="CF21" s="1">
        <f t="shared" ca="1" si="50"/>
        <v>0.59028135411058535</v>
      </c>
      <c r="CH21" s="3">
        <f t="shared" ca="1" si="51"/>
        <v>0.17006365031847484</v>
      </c>
      <c r="CI21" s="3">
        <f t="shared" ca="1" si="52"/>
        <v>7.3001052365905372E-2</v>
      </c>
      <c r="CJ21" s="3">
        <f t="shared" ca="1" si="53"/>
        <v>199</v>
      </c>
      <c r="CK21" s="3">
        <f t="shared" ca="1" si="54"/>
        <v>4.2242467633475415E-3</v>
      </c>
      <c r="CL21" s="3">
        <f t="shared" ca="1" si="55"/>
        <v>0</v>
      </c>
      <c r="CM21" s="3"/>
      <c r="CN21" s="1">
        <f t="shared" ca="1" si="56"/>
        <v>4.5223976457691277</v>
      </c>
      <c r="CO21" s="1">
        <f t="shared" ca="1" si="57"/>
        <v>0.4302131572077233</v>
      </c>
      <c r="CP21" s="1">
        <f t="shared" ca="1" si="58"/>
        <v>1</v>
      </c>
      <c r="CV21" s="1">
        <f t="shared" ca="1" si="59"/>
        <v>4.66335587421477</v>
      </c>
      <c r="CW21" s="1">
        <f t="shared" ca="1" si="60"/>
        <v>1142</v>
      </c>
      <c r="CX21" s="1">
        <f t="shared" ca="1" si="61"/>
        <v>1.3318137782154682E-3</v>
      </c>
      <c r="DH21" s="1">
        <f t="shared" ca="1" si="62"/>
        <v>638</v>
      </c>
      <c r="DI21" s="1">
        <f t="shared" ca="1" si="63"/>
        <v>0.16868363067992348</v>
      </c>
      <c r="DJ21" s="1">
        <f t="shared" ca="1" si="64"/>
        <v>4</v>
      </c>
      <c r="DL21" s="1">
        <f t="shared" ca="1" si="65"/>
        <v>0.12930452651309951</v>
      </c>
      <c r="DM21" s="1">
        <f t="shared" ca="1" si="66"/>
        <v>91</v>
      </c>
      <c r="DN21" s="1">
        <f t="shared" ca="1" si="67"/>
        <v>5</v>
      </c>
      <c r="DW21" s="1">
        <f t="shared" ca="1" si="71"/>
        <v>73</v>
      </c>
      <c r="DX21" s="1">
        <f t="shared" ca="1" si="72"/>
        <v>12</v>
      </c>
      <c r="DY21" s="1">
        <f t="shared" ca="1" si="73"/>
        <v>19</v>
      </c>
    </row>
    <row r="22" spans="2:129" x14ac:dyDescent="0.25">
      <c r="B22">
        <f t="shared" ca="1" si="0"/>
        <v>551</v>
      </c>
      <c r="C22">
        <f t="shared" ca="1" si="1"/>
        <v>35</v>
      </c>
      <c r="D22">
        <f t="shared" ca="1" si="2"/>
        <v>0.19596887310328515</v>
      </c>
      <c r="F22" s="1">
        <f t="shared" ca="1" si="3"/>
        <v>2</v>
      </c>
      <c r="G22" s="1">
        <f t="shared" ca="1" si="4"/>
        <v>7</v>
      </c>
      <c r="H22" s="1">
        <f t="shared" ca="1" si="5"/>
        <v>2</v>
      </c>
      <c r="I22" s="1"/>
      <c r="J22" s="1">
        <f t="shared" ca="1" si="6"/>
        <v>14</v>
      </c>
      <c r="K22" s="1">
        <f t="shared" ca="1" si="7"/>
        <v>1.6558657101049563</v>
      </c>
      <c r="L22" s="1">
        <f t="shared" ca="1" si="8"/>
        <v>5</v>
      </c>
      <c r="M22" s="1"/>
      <c r="N22" s="1">
        <f t="shared" ca="1" si="9"/>
        <v>105</v>
      </c>
      <c r="O22" s="1">
        <f t="shared" ca="1" si="10"/>
        <v>49</v>
      </c>
      <c r="P22" s="1"/>
      <c r="Q22" s="1">
        <f t="shared" ca="1" si="11"/>
        <v>3.4380468819735732</v>
      </c>
      <c r="R22" s="1">
        <f t="shared" ca="1" si="12"/>
        <v>538</v>
      </c>
      <c r="S22" s="1"/>
      <c r="T22" s="1">
        <f t="shared" ca="1" si="13"/>
        <v>1.8278348820416519E-2</v>
      </c>
      <c r="U22" s="1">
        <f t="shared" ca="1" si="14"/>
        <v>365</v>
      </c>
      <c r="V22" s="1">
        <f t="shared" ca="1" si="15"/>
        <v>13</v>
      </c>
      <c r="W22" s="1"/>
      <c r="X22" s="1">
        <f t="shared" ca="1" si="16"/>
        <v>7.4925185856606706</v>
      </c>
      <c r="Y22" s="1">
        <f t="shared" ca="1" si="17"/>
        <v>9.6317588969058496E-2</v>
      </c>
      <c r="Z22" s="1">
        <f t="shared" ca="1" si="18"/>
        <v>1569</v>
      </c>
      <c r="AB22" s="1">
        <f t="shared" ca="1" si="19"/>
        <v>0.56491463622322124</v>
      </c>
      <c r="AC22" s="1">
        <f t="shared" ca="1" si="20"/>
        <v>980</v>
      </c>
      <c r="AD22" s="1">
        <f t="shared" ca="1" si="21"/>
        <v>5.4513314343334236E-3</v>
      </c>
      <c r="AE22" s="1"/>
      <c r="AF22" s="1">
        <f t="shared" ca="1" si="22"/>
        <v>0.71129311392876715</v>
      </c>
      <c r="AG22" s="1">
        <f t="shared" ca="1" si="23"/>
        <v>971</v>
      </c>
      <c r="AH22" s="1">
        <f t="shared" ca="1" si="24"/>
        <v>5.7815429438415862E-3</v>
      </c>
      <c r="AJ22" s="1">
        <f t="shared" ca="1" si="25"/>
        <v>0.39751298652478262</v>
      </c>
      <c r="AK22" s="1">
        <f t="shared" ca="1" si="26"/>
        <v>5.5723191361078473E-3</v>
      </c>
      <c r="AL22" s="1"/>
      <c r="AM22" s="1">
        <f t="shared" ca="1" si="27"/>
        <v>0.10621173186585595</v>
      </c>
      <c r="AN22" s="1">
        <f t="shared" ca="1" si="28"/>
        <v>75</v>
      </c>
      <c r="AO22" s="1">
        <f t="shared" ca="1" si="29"/>
        <v>18</v>
      </c>
      <c r="AQ22" s="1">
        <f t="shared" ca="1" si="30"/>
        <v>135</v>
      </c>
      <c r="AR22" s="1">
        <f t="shared" ca="1" si="31"/>
        <v>9</v>
      </c>
      <c r="AS22" s="1">
        <f t="shared" ca="1" si="32"/>
        <v>97</v>
      </c>
      <c r="AU22" s="1">
        <f t="shared" ca="1" si="33"/>
        <v>377</v>
      </c>
      <c r="AV22" s="1">
        <f t="shared" ca="1" si="34"/>
        <v>3</v>
      </c>
      <c r="AW22" s="1">
        <f t="shared" ca="1" si="35"/>
        <v>0.14639865665311061</v>
      </c>
      <c r="AY22" s="1">
        <f t="shared" ca="1" si="36"/>
        <v>1.565148138868957</v>
      </c>
      <c r="AZ22" s="1">
        <f t="shared" ca="1" si="37"/>
        <v>93</v>
      </c>
      <c r="BA22" s="1">
        <f t="shared" ca="1" si="38"/>
        <v>3.8928715591910789E-3</v>
      </c>
      <c r="BG22" s="1">
        <f t="shared" ca="1" si="39"/>
        <v>0.22534665050283645</v>
      </c>
      <c r="BH22" s="1">
        <f t="shared" ca="1" si="40"/>
        <v>0.33074912389452171</v>
      </c>
      <c r="BI22" s="1">
        <f t="shared" ca="1" si="41"/>
        <v>150</v>
      </c>
      <c r="BV22" s="1">
        <f t="shared" ca="1" si="42"/>
        <v>0.36016167788517217</v>
      </c>
      <c r="BW22" s="1">
        <f t="shared" ca="1" si="43"/>
        <v>525</v>
      </c>
      <c r="BX22" s="1">
        <f t="shared" ca="1" si="44"/>
        <v>5.5452636157447407E-3</v>
      </c>
      <c r="BY22" s="1">
        <f t="shared" ca="1" si="45"/>
        <v>6.1506528453395423E-2</v>
      </c>
      <c r="BZ22" s="1">
        <f t="shared" ca="1" si="46"/>
        <v>0.91503281189132102</v>
      </c>
      <c r="CB22" s="1">
        <f t="shared" ca="1" si="47"/>
        <v>202</v>
      </c>
      <c r="CC22" s="1">
        <f t="shared" ca="1" si="48"/>
        <v>3</v>
      </c>
      <c r="CD22" s="1">
        <f t="shared" ca="1" si="49"/>
        <v>0.22385211097989274</v>
      </c>
      <c r="CE22" s="1">
        <f t="shared" ca="1" si="50"/>
        <v>0.64201236255359651</v>
      </c>
      <c r="CF22" s="1">
        <f t="shared" ca="1" si="50"/>
        <v>0.83012941501105808</v>
      </c>
      <c r="CH22" s="3">
        <f t="shared" ca="1" si="51"/>
        <v>0.94173369117329309</v>
      </c>
      <c r="CI22" s="3">
        <f t="shared" ca="1" si="52"/>
        <v>0.77049252378964428</v>
      </c>
      <c r="CJ22" s="3">
        <f t="shared" ca="1" si="53"/>
        <v>1949</v>
      </c>
      <c r="CK22" s="3">
        <f t="shared" ca="1" si="54"/>
        <v>1.0592757117528901E-3</v>
      </c>
      <c r="CL22" s="3">
        <f t="shared" ca="1" si="55"/>
        <v>0</v>
      </c>
      <c r="CM22" s="3"/>
      <c r="CN22" s="1">
        <f t="shared" ca="1" si="56"/>
        <v>13.257695852878182</v>
      </c>
      <c r="CO22" s="1">
        <f t="shared" ca="1" si="57"/>
        <v>0.29624640183873491</v>
      </c>
      <c r="CP22" s="1">
        <f t="shared" ca="1" si="58"/>
        <v>4</v>
      </c>
      <c r="CV22" s="1">
        <f t="shared" ca="1" si="59"/>
        <v>8.5421050073438582</v>
      </c>
      <c r="CW22" s="1">
        <f t="shared" ca="1" si="60"/>
        <v>1870</v>
      </c>
      <c r="CX22" s="1">
        <f t="shared" ca="1" si="61"/>
        <v>5.6908200968188404E-4</v>
      </c>
      <c r="DH22" s="1">
        <f t="shared" ca="1" si="62"/>
        <v>762</v>
      </c>
      <c r="DI22" s="1">
        <f t="shared" ca="1" si="63"/>
        <v>0.47073658992381234</v>
      </c>
      <c r="DJ22" s="1">
        <f t="shared" ca="1" si="64"/>
        <v>27</v>
      </c>
      <c r="DL22" s="1">
        <f t="shared" ca="1" si="65"/>
        <v>4.2043014950591588E-2</v>
      </c>
      <c r="DM22" s="1">
        <f t="shared" ca="1" si="66"/>
        <v>78</v>
      </c>
      <c r="DN22" s="1">
        <f t="shared" ca="1" si="67"/>
        <v>6</v>
      </c>
      <c r="DW22" s="1">
        <f t="shared" ca="1" si="71"/>
        <v>291</v>
      </c>
      <c r="DX22" s="1">
        <f t="shared" ca="1" si="72"/>
        <v>12</v>
      </c>
      <c r="DY22" s="1">
        <f t="shared" ca="1" si="73"/>
        <v>3</v>
      </c>
    </row>
    <row r="23" spans="2:129" x14ac:dyDescent="0.25">
      <c r="B23">
        <f t="shared" ca="1" si="0"/>
        <v>240</v>
      </c>
      <c r="C23">
        <f t="shared" ca="1" si="1"/>
        <v>37</v>
      </c>
      <c r="D23">
        <f t="shared" ca="1" si="2"/>
        <v>0.13350898680989623</v>
      </c>
      <c r="F23" s="1">
        <f t="shared" ca="1" si="3"/>
        <v>42</v>
      </c>
      <c r="G23" s="1">
        <f t="shared" ca="1" si="4"/>
        <v>13</v>
      </c>
      <c r="H23" s="1">
        <f t="shared" ca="1" si="5"/>
        <v>8</v>
      </c>
      <c r="I23" s="1"/>
      <c r="J23" s="1">
        <f t="shared" ca="1" si="6"/>
        <v>13</v>
      </c>
      <c r="K23" s="1">
        <f t="shared" ca="1" si="7"/>
        <v>1.2891743830008966</v>
      </c>
      <c r="L23" s="1">
        <f t="shared" ca="1" si="8"/>
        <v>4</v>
      </c>
      <c r="M23" s="1"/>
      <c r="N23" s="1">
        <f t="shared" ca="1" si="9"/>
        <v>687</v>
      </c>
      <c r="O23" s="1">
        <f t="shared" ca="1" si="10"/>
        <v>5</v>
      </c>
      <c r="P23" s="1"/>
      <c r="Q23" s="1">
        <f t="shared" ca="1" si="11"/>
        <v>1.0745496218701296</v>
      </c>
      <c r="R23" s="1">
        <f t="shared" ca="1" si="12"/>
        <v>776</v>
      </c>
      <c r="S23" s="1"/>
      <c r="T23" s="1">
        <f t="shared" ca="1" si="13"/>
        <v>2.7183312693004689E-2</v>
      </c>
      <c r="U23" s="1">
        <f t="shared" ca="1" si="14"/>
        <v>236</v>
      </c>
      <c r="V23" s="1">
        <f t="shared" ca="1" si="15"/>
        <v>32</v>
      </c>
      <c r="W23" s="1"/>
      <c r="X23" s="1">
        <f t="shared" ca="1" si="16"/>
        <v>0.29309175164430828</v>
      </c>
      <c r="Y23" s="1">
        <f t="shared" ca="1" si="17"/>
        <v>0.34705308375019767</v>
      </c>
      <c r="Z23" s="1">
        <f t="shared" ca="1" si="18"/>
        <v>1145</v>
      </c>
      <c r="AB23" s="1">
        <f t="shared" ca="1" si="19"/>
        <v>0.65699480796292997</v>
      </c>
      <c r="AC23" s="1">
        <f t="shared" ca="1" si="20"/>
        <v>447</v>
      </c>
      <c r="AD23" s="1">
        <f t="shared" ca="1" si="21"/>
        <v>2.451948677499215E-3</v>
      </c>
      <c r="AE23" s="1"/>
      <c r="AF23" s="1">
        <f t="shared" ca="1" si="22"/>
        <v>0.887500995821914</v>
      </c>
      <c r="AG23" s="1">
        <f t="shared" ca="1" si="23"/>
        <v>235</v>
      </c>
      <c r="AH23" s="1">
        <f t="shared" ca="1" si="24"/>
        <v>8.0482009434183332E-3</v>
      </c>
      <c r="AJ23" s="1">
        <f t="shared" ca="1" si="25"/>
        <v>0.46360982608310863</v>
      </c>
      <c r="AK23" s="1">
        <f t="shared" ca="1" si="26"/>
        <v>2.1181189794680418E-3</v>
      </c>
      <c r="AL23" s="1"/>
      <c r="AM23" s="1">
        <f t="shared" ca="1" si="27"/>
        <v>0.19170996174434329</v>
      </c>
      <c r="AN23" s="1">
        <f t="shared" ca="1" si="28"/>
        <v>64</v>
      </c>
      <c r="AO23" s="1">
        <f t="shared" ca="1" si="29"/>
        <v>7</v>
      </c>
      <c r="AQ23" s="1">
        <f t="shared" ca="1" si="30"/>
        <v>198</v>
      </c>
      <c r="AR23" s="1">
        <f t="shared" ca="1" si="31"/>
        <v>8</v>
      </c>
      <c r="AS23" s="1">
        <f t="shared" ca="1" si="32"/>
        <v>94</v>
      </c>
      <c r="AU23" s="1">
        <f t="shared" ca="1" si="33"/>
        <v>350</v>
      </c>
      <c r="AV23" s="1">
        <f t="shared" ca="1" si="34"/>
        <v>2</v>
      </c>
      <c r="AW23" s="1">
        <f t="shared" ca="1" si="35"/>
        <v>0.18003909008950147</v>
      </c>
      <c r="AY23" s="1">
        <f t="shared" ca="1" si="36"/>
        <v>1.5091674341996988</v>
      </c>
      <c r="AZ23" s="1">
        <f t="shared" ca="1" si="37"/>
        <v>202</v>
      </c>
      <c r="BA23" s="1">
        <f t="shared" ca="1" si="38"/>
        <v>6.6125515719144042E-3</v>
      </c>
      <c r="BG23" s="1">
        <f t="shared" ca="1" si="39"/>
        <v>0.19513377622670286</v>
      </c>
      <c r="BH23" s="1">
        <f t="shared" ca="1" si="40"/>
        <v>0.6080860164535643</v>
      </c>
      <c r="BI23" s="1">
        <f t="shared" ca="1" si="41"/>
        <v>177</v>
      </c>
      <c r="BV23" s="1">
        <f t="shared" ca="1" si="42"/>
        <v>0.21694750587682599</v>
      </c>
      <c r="BW23" s="1">
        <f t="shared" ca="1" si="43"/>
        <v>242</v>
      </c>
      <c r="BX23" s="1">
        <f t="shared" ca="1" si="44"/>
        <v>1.413606887757968E-3</v>
      </c>
      <c r="BY23" s="1">
        <f t="shared" ca="1" si="45"/>
        <v>9.1710682091680637E-2</v>
      </c>
      <c r="BZ23" s="1">
        <f t="shared" ca="1" si="46"/>
        <v>0.45350941500848918</v>
      </c>
      <c r="CB23" s="1">
        <f t="shared" ca="1" si="47"/>
        <v>102</v>
      </c>
      <c r="CC23" s="1">
        <f t="shared" ca="1" si="48"/>
        <v>8</v>
      </c>
      <c r="CD23" s="1">
        <f t="shared" ca="1" si="49"/>
        <v>0.18115464316009833</v>
      </c>
      <c r="CE23" s="1">
        <f t="shared" ca="1" si="50"/>
        <v>0.74937817046236077</v>
      </c>
      <c r="CF23" s="1">
        <f t="shared" ca="1" si="50"/>
        <v>0.70620659722347379</v>
      </c>
      <c r="CH23" s="3">
        <f t="shared" ca="1" si="51"/>
        <v>0.6279612786778449</v>
      </c>
      <c r="CI23" s="3">
        <f t="shared" ca="1" si="52"/>
        <v>0.12761410934002818</v>
      </c>
      <c r="CJ23" s="3">
        <f t="shared" ca="1" si="53"/>
        <v>476</v>
      </c>
      <c r="CK23" s="3">
        <f t="shared" ca="1" si="54"/>
        <v>5.4592398370208635E-3</v>
      </c>
      <c r="CL23" s="3">
        <f t="shared" ca="1" si="55"/>
        <v>1</v>
      </c>
      <c r="CM23" s="3"/>
      <c r="CN23" s="1">
        <f t="shared" ca="1" si="56"/>
        <v>10.840861522834476</v>
      </c>
      <c r="CO23" s="1">
        <f t="shared" ca="1" si="57"/>
        <v>0.24261428788413139</v>
      </c>
      <c r="CP23" s="1">
        <f t="shared" ca="1" si="58"/>
        <v>1</v>
      </c>
      <c r="CV23" s="1">
        <f t="shared" ca="1" si="59"/>
        <v>2.9032279251635766</v>
      </c>
      <c r="CW23" s="1">
        <f t="shared" ca="1" si="60"/>
        <v>916</v>
      </c>
      <c r="CX23" s="1">
        <f t="shared" ca="1" si="61"/>
        <v>2.6638565035948191E-3</v>
      </c>
      <c r="DH23" s="1">
        <f t="shared" ca="1" si="62"/>
        <v>880</v>
      </c>
      <c r="DI23" s="1">
        <f t="shared" ca="1" si="63"/>
        <v>0.21857252758223136</v>
      </c>
      <c r="DJ23" s="1">
        <f t="shared" ca="1" si="64"/>
        <v>7</v>
      </c>
      <c r="DL23" s="1">
        <f t="shared" ca="1" si="65"/>
        <v>0.16329458803239039</v>
      </c>
      <c r="DM23" s="1">
        <f t="shared" ca="1" si="66"/>
        <v>259</v>
      </c>
      <c r="DN23" s="1">
        <f t="shared" ca="1" si="67"/>
        <v>9</v>
      </c>
      <c r="DW23" s="1">
        <f t="shared" ca="1" si="71"/>
        <v>365</v>
      </c>
      <c r="DX23" s="1">
        <f t="shared" ca="1" si="72"/>
        <v>20</v>
      </c>
      <c r="DY23" s="1">
        <f t="shared" ca="1" si="73"/>
        <v>10</v>
      </c>
    </row>
    <row r="24" spans="2:129" x14ac:dyDescent="0.25">
      <c r="B24">
        <f t="shared" ca="1" si="0"/>
        <v>280</v>
      </c>
      <c r="C24">
        <f t="shared" ca="1" si="1"/>
        <v>16</v>
      </c>
      <c r="D24">
        <f t="shared" ca="1" si="2"/>
        <v>2.0176749427226411E-2</v>
      </c>
      <c r="F24" s="1">
        <f t="shared" ca="1" si="3"/>
        <v>28</v>
      </c>
      <c r="G24" s="1">
        <f t="shared" ca="1" si="4"/>
        <v>8</v>
      </c>
      <c r="H24" s="1">
        <f t="shared" ca="1" si="5"/>
        <v>8</v>
      </c>
      <c r="I24" s="1"/>
      <c r="J24" s="1">
        <f t="shared" ca="1" si="6"/>
        <v>18</v>
      </c>
      <c r="K24" s="1">
        <f t="shared" ca="1" si="7"/>
        <v>1.304677849811573</v>
      </c>
      <c r="L24" s="1">
        <f t="shared" ca="1" si="8"/>
        <v>25</v>
      </c>
      <c r="M24" s="1"/>
      <c r="N24" s="1">
        <f t="shared" ca="1" si="9"/>
        <v>613</v>
      </c>
      <c r="O24" s="1">
        <f t="shared" ca="1" si="10"/>
        <v>20</v>
      </c>
      <c r="P24" s="1"/>
      <c r="Q24" s="1">
        <f t="shared" ca="1" si="11"/>
        <v>2.9972179229639875</v>
      </c>
      <c r="R24" s="1">
        <f t="shared" ca="1" si="12"/>
        <v>566</v>
      </c>
      <c r="S24" s="1"/>
      <c r="T24" s="1">
        <f t="shared" ca="1" si="13"/>
        <v>0.1742564224291894</v>
      </c>
      <c r="U24" s="1">
        <f t="shared" ca="1" si="14"/>
        <v>284</v>
      </c>
      <c r="V24" s="1">
        <f t="shared" ca="1" si="15"/>
        <v>32</v>
      </c>
      <c r="W24" s="1"/>
      <c r="X24" s="1">
        <f t="shared" ca="1" si="16"/>
        <v>3.9214336231461782</v>
      </c>
      <c r="Y24" s="1">
        <f t="shared" ca="1" si="17"/>
        <v>0.85404494734315772</v>
      </c>
      <c r="Z24" s="1">
        <f t="shared" ca="1" si="18"/>
        <v>1745</v>
      </c>
      <c r="AB24" s="1">
        <f t="shared" ca="1" si="19"/>
        <v>0.43245125671635076</v>
      </c>
      <c r="AC24" s="1">
        <f t="shared" ca="1" si="20"/>
        <v>350</v>
      </c>
      <c r="AD24" s="1">
        <f t="shared" ca="1" si="21"/>
        <v>9.1712425530867669E-3</v>
      </c>
      <c r="AE24" s="1"/>
      <c r="AF24" s="1">
        <f t="shared" ca="1" si="22"/>
        <v>0.59983798034148739</v>
      </c>
      <c r="AG24" s="1">
        <f t="shared" ca="1" si="23"/>
        <v>539</v>
      </c>
      <c r="AH24" s="1">
        <f t="shared" ca="1" si="24"/>
        <v>5.5431517436453966E-3</v>
      </c>
      <c r="AJ24" s="1">
        <f t="shared" ca="1" si="25"/>
        <v>0.91484401389838188</v>
      </c>
      <c r="AK24" s="1">
        <f t="shared" ca="1" si="26"/>
        <v>3.1952799110322493E-3</v>
      </c>
      <c r="AL24" s="1"/>
      <c r="AM24" s="1">
        <f t="shared" ca="1" si="27"/>
        <v>0.12661519602591109</v>
      </c>
      <c r="AN24" s="1">
        <f t="shared" ca="1" si="28"/>
        <v>25</v>
      </c>
      <c r="AO24" s="1">
        <f t="shared" ca="1" si="29"/>
        <v>0</v>
      </c>
      <c r="AQ24" s="1">
        <f t="shared" ca="1" si="30"/>
        <v>108</v>
      </c>
      <c r="AR24" s="1">
        <f t="shared" ca="1" si="31"/>
        <v>0</v>
      </c>
      <c r="AS24" s="1">
        <f t="shared" ca="1" si="32"/>
        <v>91</v>
      </c>
      <c r="AU24" s="1">
        <f t="shared" ca="1" si="33"/>
        <v>193</v>
      </c>
      <c r="AV24" s="1">
        <f t="shared" ca="1" si="34"/>
        <v>4</v>
      </c>
      <c r="AW24" s="1">
        <f t="shared" ca="1" si="35"/>
        <v>4.5066681610751079E-2</v>
      </c>
      <c r="AY24" s="1">
        <f t="shared" ca="1" si="36"/>
        <v>1.6681950749692493</v>
      </c>
      <c r="AZ24" s="1">
        <f t="shared" ca="1" si="37"/>
        <v>309</v>
      </c>
      <c r="BA24" s="1">
        <f t="shared" ca="1" si="38"/>
        <v>4.2398444445479752E-3</v>
      </c>
      <c r="BG24" s="1">
        <f t="shared" ca="1" si="39"/>
        <v>0.74862839828486927</v>
      </c>
      <c r="BH24" s="1">
        <f t="shared" ca="1" si="40"/>
        <v>0.43845237719480679</v>
      </c>
      <c r="BI24" s="1">
        <f t="shared" ca="1" si="41"/>
        <v>922</v>
      </c>
      <c r="BV24" s="1">
        <f t="shared" ca="1" si="42"/>
        <v>0.26799160395863025</v>
      </c>
      <c r="BW24" s="1">
        <f t="shared" ca="1" si="43"/>
        <v>712</v>
      </c>
      <c r="BX24" s="1">
        <f t="shared" ca="1" si="44"/>
        <v>3.8041893177392272E-3</v>
      </c>
      <c r="BY24" s="1">
        <f t="shared" ca="1" si="45"/>
        <v>6.723462861783551E-2</v>
      </c>
      <c r="BZ24" s="1">
        <f t="shared" ca="1" si="46"/>
        <v>0.10658343347803578</v>
      </c>
      <c r="CB24" s="1">
        <f t="shared" ca="1" si="47"/>
        <v>359</v>
      </c>
      <c r="CC24" s="1">
        <f t="shared" ca="1" si="48"/>
        <v>4</v>
      </c>
      <c r="CD24" s="1">
        <f t="shared" ca="1" si="49"/>
        <v>5.9307385824758085E-2</v>
      </c>
      <c r="CE24" s="1">
        <f t="shared" ca="1" si="50"/>
        <v>0.95386075429481898</v>
      </c>
      <c r="CF24" s="1">
        <f t="shared" ca="1" si="50"/>
        <v>0.64499445265342603</v>
      </c>
      <c r="CH24" s="3">
        <f t="shared" ca="1" si="51"/>
        <v>0.3388238215028605</v>
      </c>
      <c r="CI24" s="3">
        <f t="shared" ca="1" si="52"/>
        <v>0.52830412047597342</v>
      </c>
      <c r="CJ24" s="3">
        <f t="shared" ca="1" si="53"/>
        <v>1788</v>
      </c>
      <c r="CK24" s="3">
        <f t="shared" ca="1" si="54"/>
        <v>7.8446676125827931E-3</v>
      </c>
      <c r="CL24" s="3">
        <f t="shared" ca="1" si="55"/>
        <v>0</v>
      </c>
      <c r="CM24" s="3"/>
      <c r="CN24" s="1">
        <f t="shared" ca="1" si="56"/>
        <v>8.81843224011598</v>
      </c>
      <c r="CO24" s="1">
        <f t="shared" ca="1" si="57"/>
        <v>0.26108360295672839</v>
      </c>
      <c r="CP24" s="1">
        <f t="shared" ca="1" si="58"/>
        <v>5</v>
      </c>
      <c r="CV24" s="1">
        <f t="shared" ca="1" si="59"/>
        <v>0.94459487303465484</v>
      </c>
      <c r="CW24" s="1">
        <f t="shared" ca="1" si="60"/>
        <v>1204</v>
      </c>
      <c r="CX24" s="1">
        <f t="shared" ca="1" si="61"/>
        <v>2.3379442731836482E-3</v>
      </c>
      <c r="DH24" s="1">
        <f t="shared" ca="1" si="62"/>
        <v>340</v>
      </c>
      <c r="DI24" s="1">
        <f t="shared" ca="1" si="63"/>
        <v>0.43235154669895665</v>
      </c>
      <c r="DJ24" s="1">
        <f t="shared" ca="1" si="64"/>
        <v>20</v>
      </c>
      <c r="DL24" s="1">
        <f t="shared" ca="1" si="65"/>
        <v>0.10475998992447506</v>
      </c>
      <c r="DM24" s="1">
        <f t="shared" ca="1" si="66"/>
        <v>100</v>
      </c>
      <c r="DN24" s="1">
        <f t="shared" ca="1" si="67"/>
        <v>4</v>
      </c>
      <c r="DW24" s="1">
        <f t="shared" ca="1" si="71"/>
        <v>293</v>
      </c>
      <c r="DX24" s="1">
        <f t="shared" ca="1" si="72"/>
        <v>20</v>
      </c>
      <c r="DY24" s="1">
        <f t="shared" ca="1" si="73"/>
        <v>8</v>
      </c>
    </row>
    <row r="25" spans="2:129" x14ac:dyDescent="0.25">
      <c r="B25">
        <f t="shared" ca="1" si="0"/>
        <v>550</v>
      </c>
      <c r="C25">
        <f t="shared" ca="1" si="1"/>
        <v>48</v>
      </c>
      <c r="D25">
        <f t="shared" ca="1" si="2"/>
        <v>0.24021788012245215</v>
      </c>
      <c r="F25" s="1">
        <f t="shared" ca="1" si="3"/>
        <v>18</v>
      </c>
      <c r="G25" s="1">
        <f t="shared" ca="1" si="4"/>
        <v>19</v>
      </c>
      <c r="H25" s="1">
        <f t="shared" ca="1" si="5"/>
        <v>1</v>
      </c>
      <c r="I25" s="1"/>
      <c r="J25" s="1">
        <f t="shared" ca="1" si="6"/>
        <v>38</v>
      </c>
      <c r="K25" s="1">
        <f t="shared" ca="1" si="7"/>
        <v>1.9034448824884127</v>
      </c>
      <c r="L25" s="1">
        <f t="shared" ca="1" si="8"/>
        <v>32</v>
      </c>
      <c r="M25" s="1"/>
      <c r="N25" s="1">
        <f t="shared" ca="1" si="9"/>
        <v>790</v>
      </c>
      <c r="O25" s="1">
        <f t="shared" ca="1" si="10"/>
        <v>51</v>
      </c>
      <c r="P25" s="1"/>
      <c r="Q25" s="1">
        <f t="shared" ca="1" si="11"/>
        <v>2.8230083442921075</v>
      </c>
      <c r="R25" s="1">
        <f t="shared" ca="1" si="12"/>
        <v>1114</v>
      </c>
      <c r="S25" s="1"/>
      <c r="T25" s="1">
        <f t="shared" ca="1" si="13"/>
        <v>5.2247387324871705E-2</v>
      </c>
      <c r="U25" s="1">
        <f t="shared" ca="1" si="14"/>
        <v>264</v>
      </c>
      <c r="V25" s="1">
        <f t="shared" ca="1" si="15"/>
        <v>7</v>
      </c>
      <c r="W25" s="1"/>
      <c r="X25" s="1">
        <f t="shared" ca="1" si="16"/>
        <v>0.75297938409428122</v>
      </c>
      <c r="Y25" s="1">
        <f t="shared" ca="1" si="17"/>
        <v>1.4398258359859792E-2</v>
      </c>
      <c r="Z25" s="1">
        <f t="shared" ca="1" si="18"/>
        <v>1559</v>
      </c>
      <c r="AB25" s="1">
        <f t="shared" ca="1" si="19"/>
        <v>0.74868408345009363</v>
      </c>
      <c r="AC25" s="1">
        <f t="shared" ca="1" si="20"/>
        <v>989</v>
      </c>
      <c r="AD25" s="1">
        <f t="shared" ca="1" si="21"/>
        <v>1.9172514989495245E-4</v>
      </c>
      <c r="AE25" s="1"/>
      <c r="AF25" s="1">
        <f t="shared" ca="1" si="22"/>
        <v>0.5709785615280476</v>
      </c>
      <c r="AG25" s="1">
        <f t="shared" ca="1" si="23"/>
        <v>617</v>
      </c>
      <c r="AH25" s="1">
        <f t="shared" ca="1" si="24"/>
        <v>2.8365114911267582E-4</v>
      </c>
      <c r="AJ25" s="1">
        <f t="shared" ca="1" si="25"/>
        <v>0.38545671141320736</v>
      </c>
      <c r="AK25" s="1">
        <f t="shared" ca="1" si="26"/>
        <v>9.8907735016181501E-3</v>
      </c>
      <c r="AL25" s="1"/>
      <c r="AM25" s="1">
        <f t="shared" ca="1" si="27"/>
        <v>0.11062511167331247</v>
      </c>
      <c r="AN25" s="1">
        <f t="shared" ca="1" si="28"/>
        <v>51</v>
      </c>
      <c r="AO25" s="1">
        <f t="shared" ca="1" si="29"/>
        <v>6</v>
      </c>
      <c r="AQ25" s="1">
        <f t="shared" ca="1" si="30"/>
        <v>49</v>
      </c>
      <c r="AR25" s="1">
        <f t="shared" ca="1" si="31"/>
        <v>4</v>
      </c>
      <c r="AS25" s="1">
        <f t="shared" ca="1" si="32"/>
        <v>37</v>
      </c>
      <c r="AU25" s="1">
        <f t="shared" ca="1" si="33"/>
        <v>353</v>
      </c>
      <c r="AV25" s="1">
        <f t="shared" ca="1" si="34"/>
        <v>6</v>
      </c>
      <c r="AW25" s="1">
        <f t="shared" ca="1" si="35"/>
        <v>0.1314727270215573</v>
      </c>
      <c r="AY25" s="1">
        <f t="shared" ca="1" si="36"/>
        <v>1.969151982726935</v>
      </c>
      <c r="AZ25" s="1">
        <f t="shared" ca="1" si="37"/>
        <v>65</v>
      </c>
      <c r="BA25" s="1">
        <f t="shared" ca="1" si="38"/>
        <v>5.0667384863258861E-3</v>
      </c>
      <c r="BG25" s="1">
        <f t="shared" ca="1" si="39"/>
        <v>0.73134174373736727</v>
      </c>
      <c r="BH25" s="1">
        <f t="shared" ca="1" si="40"/>
        <v>0.3894543128131287</v>
      </c>
      <c r="BI25" s="1">
        <f t="shared" ca="1" si="41"/>
        <v>922</v>
      </c>
      <c r="BV25" s="1">
        <f t="shared" ca="1" si="42"/>
        <v>0.73503016428728796</v>
      </c>
      <c r="BW25" s="1">
        <f t="shared" ca="1" si="43"/>
        <v>588</v>
      </c>
      <c r="BX25" s="1">
        <f t="shared" ca="1" si="44"/>
        <v>3.9737726017317057E-3</v>
      </c>
      <c r="BY25" s="1">
        <f t="shared" ca="1" si="45"/>
        <v>6.6935523281528714E-2</v>
      </c>
      <c r="BZ25" s="1">
        <f t="shared" ca="1" si="46"/>
        <v>0.94066988122315698</v>
      </c>
      <c r="CB25" s="1">
        <f t="shared" ca="1" si="47"/>
        <v>325</v>
      </c>
      <c r="CC25" s="1">
        <f t="shared" ca="1" si="48"/>
        <v>5</v>
      </c>
      <c r="CD25" s="1">
        <f t="shared" ca="1" si="49"/>
        <v>0.11366823308901194</v>
      </c>
      <c r="CE25" s="1">
        <f t="shared" ca="1" si="50"/>
        <v>0.51258255122564567</v>
      </c>
      <c r="CF25" s="1">
        <f t="shared" ca="1" si="50"/>
        <v>0.60273600544384132</v>
      </c>
      <c r="CH25" s="3">
        <f t="shared" ca="1" si="51"/>
        <v>0.94004647774654371</v>
      </c>
      <c r="CI25" s="3">
        <f t="shared" ca="1" si="52"/>
        <v>0.33789201577291095</v>
      </c>
      <c r="CJ25" s="3">
        <f t="shared" ca="1" si="53"/>
        <v>1334</v>
      </c>
      <c r="CK25" s="3">
        <f t="shared" ca="1" si="54"/>
        <v>1.3958966007032681E-3</v>
      </c>
      <c r="CL25" s="3">
        <f t="shared" ca="1" si="55"/>
        <v>0</v>
      </c>
      <c r="CM25" s="3"/>
      <c r="CN25" s="1">
        <f t="shared" ca="1" si="56"/>
        <v>1.4675697719020255</v>
      </c>
      <c r="CO25" s="1">
        <f t="shared" ca="1" si="57"/>
        <v>0.22929841722658797</v>
      </c>
      <c r="CP25" s="1">
        <f t="shared" ca="1" si="58"/>
        <v>1</v>
      </c>
      <c r="CV25" s="1">
        <f t="shared" ca="1" si="59"/>
        <v>9.2344691817582856</v>
      </c>
      <c r="CW25" s="1">
        <f t="shared" ca="1" si="60"/>
        <v>1698</v>
      </c>
      <c r="CX25" s="1">
        <f t="shared" ca="1" si="61"/>
        <v>3.8121833224181471E-3</v>
      </c>
      <c r="DH25" s="1">
        <f t="shared" ca="1" si="62"/>
        <v>255</v>
      </c>
      <c r="DI25" s="1">
        <f t="shared" ca="1" si="63"/>
        <v>0.63414391491269551</v>
      </c>
      <c r="DJ25" s="1">
        <f t="shared" ca="1" si="64"/>
        <v>13</v>
      </c>
      <c r="DL25" s="1">
        <f t="shared" ca="1" si="65"/>
        <v>8.6672046783696194E-2</v>
      </c>
      <c r="DM25" s="1">
        <f t="shared" ca="1" si="66"/>
        <v>115</v>
      </c>
      <c r="DN25" s="1">
        <f t="shared" ca="1" si="67"/>
        <v>9</v>
      </c>
      <c r="DW25" s="1">
        <f t="shared" ca="1" si="71"/>
        <v>387</v>
      </c>
      <c r="DX25" s="1">
        <f t="shared" ca="1" si="72"/>
        <v>15</v>
      </c>
      <c r="DY25" s="1">
        <f t="shared" ca="1" si="73"/>
        <v>6</v>
      </c>
    </row>
    <row r="26" spans="2:129" x14ac:dyDescent="0.25">
      <c r="B26">
        <f t="shared" ca="1" si="0"/>
        <v>266</v>
      </c>
      <c r="C26">
        <f t="shared" ca="1" si="1"/>
        <v>10</v>
      </c>
      <c r="D26">
        <f t="shared" ca="1" si="2"/>
        <v>0.22676580046874628</v>
      </c>
      <c r="F26" s="1">
        <f t="shared" ca="1" si="3"/>
        <v>15</v>
      </c>
      <c r="G26" s="1">
        <f t="shared" ca="1" si="4"/>
        <v>8</v>
      </c>
      <c r="H26" s="1">
        <f t="shared" ca="1" si="5"/>
        <v>7</v>
      </c>
      <c r="I26" s="1"/>
      <c r="J26" s="1">
        <f t="shared" ca="1" si="6"/>
        <v>24</v>
      </c>
      <c r="K26" s="1">
        <f t="shared" ca="1" si="7"/>
        <v>2.5054837653409132</v>
      </c>
      <c r="L26" s="1">
        <f t="shared" ca="1" si="8"/>
        <v>26</v>
      </c>
      <c r="M26" s="1"/>
      <c r="N26" s="1">
        <f t="shared" ca="1" si="9"/>
        <v>744</v>
      </c>
      <c r="O26" s="1">
        <f t="shared" ca="1" si="10"/>
        <v>4</v>
      </c>
      <c r="P26" s="1"/>
      <c r="Q26" s="1">
        <f t="shared" ca="1" si="11"/>
        <v>4.3102290492274502</v>
      </c>
      <c r="R26" s="1">
        <f t="shared" ca="1" si="12"/>
        <v>949</v>
      </c>
      <c r="S26" s="1"/>
      <c r="T26" s="1">
        <f t="shared" ca="1" si="13"/>
        <v>4.341300270193061E-2</v>
      </c>
      <c r="U26" s="1">
        <f t="shared" ca="1" si="14"/>
        <v>157</v>
      </c>
      <c r="V26" s="1">
        <f t="shared" ca="1" si="15"/>
        <v>38</v>
      </c>
      <c r="W26" s="1"/>
      <c r="X26" s="1">
        <f t="shared" ca="1" si="16"/>
        <v>1.5574957215288529E-2</v>
      </c>
      <c r="Y26" s="1">
        <f t="shared" ca="1" si="17"/>
        <v>0.47681530040555575</v>
      </c>
      <c r="Z26" s="1">
        <f t="shared" ca="1" si="18"/>
        <v>781</v>
      </c>
      <c r="AB26" s="1">
        <f t="shared" ca="1" si="19"/>
        <v>0.63834805917744963</v>
      </c>
      <c r="AC26" s="1">
        <f t="shared" ca="1" si="20"/>
        <v>280</v>
      </c>
      <c r="AD26" s="1">
        <f t="shared" ca="1" si="21"/>
        <v>5.2490045459160318E-3</v>
      </c>
      <c r="AE26" s="1"/>
      <c r="AF26" s="1">
        <f t="shared" ca="1" si="22"/>
        <v>0.15471598495086331</v>
      </c>
      <c r="AG26" s="1">
        <f t="shared" ca="1" si="23"/>
        <v>616</v>
      </c>
      <c r="AH26" s="1">
        <f t="shared" ca="1" si="24"/>
        <v>4.5042300165462918E-3</v>
      </c>
      <c r="AJ26" s="1">
        <f t="shared" ca="1" si="25"/>
        <v>0.66875451093249716</v>
      </c>
      <c r="AK26" s="1">
        <f t="shared" ca="1" si="26"/>
        <v>2.6075453613668441E-5</v>
      </c>
      <c r="AL26" s="1"/>
      <c r="AM26" s="1">
        <f t="shared" ca="1" si="27"/>
        <v>4.0209212934556378E-2</v>
      </c>
      <c r="AN26" s="1">
        <f t="shared" ca="1" si="28"/>
        <v>56</v>
      </c>
      <c r="AO26" s="1">
        <f t="shared" ca="1" si="29"/>
        <v>3</v>
      </c>
      <c r="AQ26" s="1">
        <f t="shared" ca="1" si="30"/>
        <v>104</v>
      </c>
      <c r="AR26" s="1">
        <f t="shared" ca="1" si="31"/>
        <v>4</v>
      </c>
      <c r="AS26" s="1">
        <f t="shared" ca="1" si="32"/>
        <v>21</v>
      </c>
      <c r="AU26" s="1">
        <f t="shared" ca="1" si="33"/>
        <v>183</v>
      </c>
      <c r="AV26" s="1">
        <f t="shared" ca="1" si="34"/>
        <v>8</v>
      </c>
      <c r="AW26" s="1">
        <f t="shared" ca="1" si="35"/>
        <v>3.3947133329644531E-2</v>
      </c>
      <c r="AY26" s="1">
        <f t="shared" ca="1" si="36"/>
        <v>1.860164101044258</v>
      </c>
      <c r="AZ26" s="1">
        <f t="shared" ca="1" si="37"/>
        <v>93</v>
      </c>
      <c r="BA26" s="1">
        <f t="shared" ca="1" si="38"/>
        <v>4.4686479614827312E-3</v>
      </c>
      <c r="BG26" s="1">
        <f t="shared" ca="1" si="39"/>
        <v>0.21206573447407007</v>
      </c>
      <c r="BH26" s="1">
        <f t="shared" ca="1" si="40"/>
        <v>0.92897001265944446</v>
      </c>
      <c r="BI26" s="1">
        <f t="shared" ca="1" si="41"/>
        <v>444</v>
      </c>
      <c r="BV26" s="1">
        <f t="shared" ca="1" si="42"/>
        <v>0.32874027721235516</v>
      </c>
      <c r="BW26" s="1">
        <f t="shared" ca="1" si="43"/>
        <v>482</v>
      </c>
      <c r="BX26" s="1">
        <f t="shared" ca="1" si="44"/>
        <v>2.6034167230390218E-3</v>
      </c>
      <c r="BY26" s="1">
        <f t="shared" ca="1" si="45"/>
        <v>7.9824364228588032E-2</v>
      </c>
      <c r="BZ26" s="1">
        <f t="shared" ca="1" si="46"/>
        <v>0.78539101586756177</v>
      </c>
      <c r="CB26" s="1">
        <f t="shared" ca="1" si="47"/>
        <v>280</v>
      </c>
      <c r="CC26" s="1">
        <f t="shared" ca="1" si="48"/>
        <v>13</v>
      </c>
      <c r="CD26" s="1">
        <f t="shared" ca="1" si="49"/>
        <v>0.26752300912648508</v>
      </c>
      <c r="CE26" s="1">
        <f t="shared" ca="1" si="50"/>
        <v>0.51691782274818932</v>
      </c>
      <c r="CF26" s="1">
        <f t="shared" ca="1" si="50"/>
        <v>0.76945797248602299</v>
      </c>
      <c r="CH26" s="3">
        <f t="shared" ca="1" si="51"/>
        <v>0.26878465768403015</v>
      </c>
      <c r="CI26" s="3">
        <f t="shared" ca="1" si="52"/>
        <v>0.51474445084622777</v>
      </c>
      <c r="CJ26" s="3">
        <f t="shared" ca="1" si="53"/>
        <v>492</v>
      </c>
      <c r="CK26" s="3">
        <f t="shared" ca="1" si="54"/>
        <v>5.8831383655258297E-3</v>
      </c>
      <c r="CL26" s="3">
        <f t="shared" ca="1" si="55"/>
        <v>0</v>
      </c>
      <c r="CM26" s="3"/>
      <c r="CN26" s="1">
        <f t="shared" ca="1" si="56"/>
        <v>14.326261816792947</v>
      </c>
      <c r="CO26" s="1">
        <f t="shared" ca="1" si="57"/>
        <v>7.4705556587918729E-3</v>
      </c>
      <c r="CP26" s="1">
        <f t="shared" ca="1" si="58"/>
        <v>2</v>
      </c>
      <c r="CV26" s="1">
        <f t="shared" ca="1" si="59"/>
        <v>9.9114162011294287</v>
      </c>
      <c r="CW26" s="1">
        <f t="shared" ca="1" si="60"/>
        <v>1809</v>
      </c>
      <c r="CX26" s="1">
        <f t="shared" ca="1" si="61"/>
        <v>7.1312856222720666E-3</v>
      </c>
      <c r="DH26" s="1">
        <f t="shared" ca="1" si="62"/>
        <v>552</v>
      </c>
      <c r="DI26" s="1">
        <f t="shared" ca="1" si="63"/>
        <v>0.74386424976154797</v>
      </c>
      <c r="DJ26" s="1">
        <f t="shared" ca="1" si="64"/>
        <v>18</v>
      </c>
      <c r="DL26" s="1">
        <f t="shared" ca="1" si="65"/>
        <v>2.0986834743828488E-2</v>
      </c>
      <c r="DM26" s="1">
        <f t="shared" ca="1" si="66"/>
        <v>300</v>
      </c>
      <c r="DN26" s="1">
        <f t="shared" ca="1" si="67"/>
        <v>1</v>
      </c>
      <c r="DW26" s="1">
        <f t="shared" ca="1" si="71"/>
        <v>276</v>
      </c>
      <c r="DX26" s="1">
        <f t="shared" ca="1" si="72"/>
        <v>20</v>
      </c>
      <c r="DY26" s="1">
        <f t="shared" ca="1" si="73"/>
        <v>10</v>
      </c>
    </row>
    <row r="27" spans="2:129" x14ac:dyDescent="0.25">
      <c r="B27">
        <f t="shared" ca="1" si="0"/>
        <v>212</v>
      </c>
      <c r="C27">
        <f t="shared" ca="1" si="1"/>
        <v>27</v>
      </c>
      <c r="D27">
        <f t="shared" ca="1" si="2"/>
        <v>0.17906941692832476</v>
      </c>
      <c r="F27" s="1">
        <f t="shared" ca="1" si="3"/>
        <v>16</v>
      </c>
      <c r="G27" s="1">
        <f t="shared" ca="1" si="4"/>
        <v>28</v>
      </c>
      <c r="H27" s="1">
        <f t="shared" ca="1" si="5"/>
        <v>15</v>
      </c>
      <c r="I27" s="1"/>
      <c r="J27" s="1">
        <f t="shared" ca="1" si="6"/>
        <v>9</v>
      </c>
      <c r="K27" s="1">
        <f t="shared" ca="1" si="7"/>
        <v>2.6308803588877749</v>
      </c>
      <c r="L27" s="1">
        <f t="shared" ca="1" si="8"/>
        <v>12</v>
      </c>
      <c r="M27" s="1"/>
      <c r="N27" s="1">
        <f t="shared" ca="1" si="9"/>
        <v>814</v>
      </c>
      <c r="O27" s="1">
        <f t="shared" ca="1" si="10"/>
        <v>38</v>
      </c>
      <c r="P27" s="1"/>
      <c r="Q27" s="1">
        <f t="shared" ca="1" si="11"/>
        <v>4.7093308582399338</v>
      </c>
      <c r="R27" s="1">
        <f t="shared" ca="1" si="12"/>
        <v>1167</v>
      </c>
      <c r="S27" s="1"/>
      <c r="T27" s="1">
        <f t="shared" ca="1" si="13"/>
        <v>0.16379390021394685</v>
      </c>
      <c r="U27" s="1">
        <f t="shared" ca="1" si="14"/>
        <v>406</v>
      </c>
      <c r="V27" s="1">
        <f t="shared" ca="1" si="15"/>
        <v>36</v>
      </c>
      <c r="W27" s="1"/>
      <c r="X27" s="1">
        <f t="shared" ca="1" si="16"/>
        <v>6.4837616105339428</v>
      </c>
      <c r="Y27" s="1">
        <f t="shared" ca="1" si="17"/>
        <v>0.57171720610212839</v>
      </c>
      <c r="Z27" s="1">
        <f t="shared" ca="1" si="18"/>
        <v>1973</v>
      </c>
      <c r="AB27" s="1">
        <f t="shared" ca="1" si="19"/>
        <v>0.64071821688989095</v>
      </c>
      <c r="AC27" s="1">
        <f t="shared" ca="1" si="20"/>
        <v>123</v>
      </c>
      <c r="AD27" s="1">
        <f t="shared" ca="1" si="21"/>
        <v>3.8034947099155202E-3</v>
      </c>
      <c r="AE27" s="1"/>
      <c r="AF27" s="1">
        <f t="shared" ca="1" si="22"/>
        <v>0.595846531193857</v>
      </c>
      <c r="AG27" s="1">
        <f t="shared" ca="1" si="23"/>
        <v>938</v>
      </c>
      <c r="AH27" s="1">
        <f t="shared" ca="1" si="24"/>
        <v>9.0046414500146998E-3</v>
      </c>
      <c r="AJ27" s="1">
        <f t="shared" ca="1" si="25"/>
        <v>0.42787905223351641</v>
      </c>
      <c r="AK27" s="1">
        <f t="shared" ca="1" si="26"/>
        <v>7.2258257482367529E-3</v>
      </c>
      <c r="AL27" s="1"/>
      <c r="AM27" s="1">
        <f t="shared" ca="1" si="27"/>
        <v>2.4896212319558846E-2</v>
      </c>
      <c r="AN27" s="1">
        <f t="shared" ca="1" si="28"/>
        <v>54</v>
      </c>
      <c r="AO27" s="1">
        <f t="shared" ca="1" si="29"/>
        <v>17</v>
      </c>
      <c r="AQ27" s="1">
        <f t="shared" ca="1" si="30"/>
        <v>48</v>
      </c>
      <c r="AR27" s="1">
        <f t="shared" ca="1" si="31"/>
        <v>5</v>
      </c>
      <c r="AS27" s="1">
        <f t="shared" ca="1" si="32"/>
        <v>31</v>
      </c>
      <c r="AU27" s="1">
        <f t="shared" ca="1" si="33"/>
        <v>188</v>
      </c>
      <c r="AV27" s="1">
        <f t="shared" ca="1" si="34"/>
        <v>5</v>
      </c>
      <c r="AW27" s="1">
        <f t="shared" ca="1" si="35"/>
        <v>0.12060433057880608</v>
      </c>
      <c r="AY27" s="1">
        <f t="shared" ca="1" si="36"/>
        <v>1.5836645242641767</v>
      </c>
      <c r="AZ27" s="1">
        <f t="shared" ca="1" si="37"/>
        <v>358</v>
      </c>
      <c r="BA27" s="1">
        <f t="shared" ca="1" si="38"/>
        <v>6.5111158287999623E-3</v>
      </c>
      <c r="BG27" s="1">
        <f t="shared" ca="1" si="39"/>
        <v>8.4853098285210718E-2</v>
      </c>
      <c r="BH27" s="1">
        <f t="shared" ca="1" si="40"/>
        <v>0.17773436486921612</v>
      </c>
      <c r="BI27" s="1">
        <f t="shared" ca="1" si="41"/>
        <v>320</v>
      </c>
      <c r="BV27" s="1">
        <f t="shared" ca="1" si="42"/>
        <v>0.5722667667910829</v>
      </c>
      <c r="BW27" s="1">
        <f t="shared" ca="1" si="43"/>
        <v>444</v>
      </c>
      <c r="BX27" s="1">
        <f t="shared" ca="1" si="44"/>
        <v>5.0541687043287563E-3</v>
      </c>
      <c r="BY27" s="1">
        <f t="shared" ca="1" si="45"/>
        <v>4.3819907727321986E-2</v>
      </c>
      <c r="BZ27" s="1">
        <f t="shared" ca="1" si="46"/>
        <v>0.10239543731405021</v>
      </c>
      <c r="CB27" s="1">
        <f t="shared" ca="1" si="47"/>
        <v>443</v>
      </c>
      <c r="CC27" s="1">
        <f t="shared" ca="1" si="48"/>
        <v>14</v>
      </c>
      <c r="CD27" s="1">
        <f t="shared" ca="1" si="49"/>
        <v>9.0000988972467777E-2</v>
      </c>
      <c r="CE27" s="1">
        <f t="shared" ca="1" si="50"/>
        <v>0.81106965084491822</v>
      </c>
      <c r="CF27" s="1">
        <f t="shared" ca="1" si="50"/>
        <v>0.95115456298267365</v>
      </c>
      <c r="CH27" s="3">
        <f t="shared" ca="1" si="51"/>
        <v>0.8987898484311635</v>
      </c>
      <c r="CI27" s="3">
        <f t="shared" ca="1" si="52"/>
        <v>0.79893580789287477</v>
      </c>
      <c r="CJ27" s="3">
        <f t="shared" ca="1" si="53"/>
        <v>1035</v>
      </c>
      <c r="CK27" s="3">
        <f t="shared" ca="1" si="54"/>
        <v>4.9611985287444631E-3</v>
      </c>
      <c r="CL27" s="3">
        <f t="shared" ca="1" si="55"/>
        <v>1</v>
      </c>
      <c r="CM27" s="3"/>
      <c r="CN27" s="1">
        <f t="shared" ca="1" si="56"/>
        <v>5.0154738393000375</v>
      </c>
      <c r="CO27" s="1">
        <f t="shared" ca="1" si="57"/>
        <v>0.26679758275702337</v>
      </c>
      <c r="CP27" s="1">
        <f t="shared" ca="1" si="58"/>
        <v>5</v>
      </c>
      <c r="CV27" s="1">
        <f t="shared" ca="1" si="59"/>
        <v>6.8093379406061612</v>
      </c>
      <c r="CW27" s="1">
        <f t="shared" ca="1" si="60"/>
        <v>1396</v>
      </c>
      <c r="CX27" s="1">
        <f t="shared" ca="1" si="61"/>
        <v>1.235345773974445E-3</v>
      </c>
      <c r="DH27" s="1">
        <f t="shared" ca="1" si="62"/>
        <v>267</v>
      </c>
      <c r="DI27" s="1">
        <f t="shared" ca="1" si="63"/>
        <v>0.17399221224803266</v>
      </c>
      <c r="DJ27" s="1">
        <f t="shared" ca="1" si="64"/>
        <v>7</v>
      </c>
      <c r="DL27" s="1">
        <f t="shared" ca="1" si="65"/>
        <v>0.1068427266435682</v>
      </c>
      <c r="DM27" s="1">
        <f t="shared" ca="1" si="66"/>
        <v>269</v>
      </c>
      <c r="DN27" s="1">
        <f t="shared" ca="1" si="67"/>
        <v>1</v>
      </c>
      <c r="DW27" s="1">
        <f t="shared" ca="1" si="71"/>
        <v>386</v>
      </c>
      <c r="DX27" s="1">
        <f t="shared" ca="1" si="72"/>
        <v>3</v>
      </c>
      <c r="DY27" s="1">
        <f t="shared" ca="1" si="73"/>
        <v>6</v>
      </c>
    </row>
    <row r="28" spans="2:129" x14ac:dyDescent="0.25">
      <c r="B28">
        <f t="shared" ca="1" si="0"/>
        <v>471</v>
      </c>
      <c r="C28">
        <f t="shared" ca="1" si="1"/>
        <v>25</v>
      </c>
      <c r="D28">
        <f t="shared" ca="1" si="2"/>
        <v>7.5528894956286452E-2</v>
      </c>
      <c r="F28" s="1">
        <f t="shared" ca="1" si="3"/>
        <v>4</v>
      </c>
      <c r="G28" s="1">
        <f t="shared" ca="1" si="4"/>
        <v>23</v>
      </c>
      <c r="H28" s="1">
        <f t="shared" ca="1" si="5"/>
        <v>3</v>
      </c>
      <c r="I28" s="1"/>
      <c r="J28" s="1">
        <f t="shared" ca="1" si="6"/>
        <v>27</v>
      </c>
      <c r="K28" s="1">
        <f t="shared" ca="1" si="7"/>
        <v>1.6308482161046318</v>
      </c>
      <c r="L28" s="1">
        <f t="shared" ca="1" si="8"/>
        <v>20</v>
      </c>
      <c r="M28" s="1"/>
      <c r="N28" s="1">
        <f t="shared" ca="1" si="9"/>
        <v>996</v>
      </c>
      <c r="O28" s="1">
        <f t="shared" ca="1" si="10"/>
        <v>22</v>
      </c>
      <c r="P28" s="1"/>
      <c r="Q28" s="1">
        <f t="shared" ca="1" si="11"/>
        <v>2.0287453614617221</v>
      </c>
      <c r="R28" s="1">
        <f t="shared" ca="1" si="12"/>
        <v>1075</v>
      </c>
      <c r="S28" s="1"/>
      <c r="T28" s="1">
        <f t="shared" ca="1" si="13"/>
        <v>0.10010413973261398</v>
      </c>
      <c r="U28" s="1">
        <f t="shared" ca="1" si="14"/>
        <v>316</v>
      </c>
      <c r="V28" s="1">
        <f t="shared" ca="1" si="15"/>
        <v>5</v>
      </c>
      <c r="W28" s="1"/>
      <c r="X28" s="1">
        <f t="shared" ca="1" si="16"/>
        <v>1.8788409477659218</v>
      </c>
      <c r="Y28" s="1">
        <f t="shared" ca="1" si="17"/>
        <v>0.66370883420780613</v>
      </c>
      <c r="Z28" s="1">
        <f t="shared" ca="1" si="18"/>
        <v>1136</v>
      </c>
      <c r="AB28" s="1">
        <f t="shared" ca="1" si="19"/>
        <v>0.75673612250958888</v>
      </c>
      <c r="AC28" s="1">
        <f t="shared" ca="1" si="20"/>
        <v>689</v>
      </c>
      <c r="AD28" s="1">
        <f t="shared" ca="1" si="21"/>
        <v>6.398949243715691E-3</v>
      </c>
      <c r="AE28" s="1"/>
      <c r="AF28" s="1">
        <f t="shared" ca="1" si="22"/>
        <v>0.18610150881363063</v>
      </c>
      <c r="AG28" s="1">
        <f t="shared" ca="1" si="23"/>
        <v>800</v>
      </c>
      <c r="AH28" s="1">
        <f t="shared" ca="1" si="24"/>
        <v>6.5042399336075647E-3</v>
      </c>
      <c r="AJ28" s="1">
        <f t="shared" ca="1" si="25"/>
        <v>0.15004202772261555</v>
      </c>
      <c r="AK28" s="1">
        <f t="shared" ca="1" si="26"/>
        <v>5.6257037655048246E-3</v>
      </c>
      <c r="AL28" s="1"/>
      <c r="AM28" s="1">
        <f t="shared" ca="1" si="27"/>
        <v>0.12206980831616812</v>
      </c>
      <c r="AN28" s="1">
        <f t="shared" ca="1" si="28"/>
        <v>72</v>
      </c>
      <c r="AO28" s="1">
        <f t="shared" ca="1" si="29"/>
        <v>19</v>
      </c>
      <c r="AQ28" s="1">
        <f t="shared" ca="1" si="30"/>
        <v>153</v>
      </c>
      <c r="AR28" s="1">
        <f t="shared" ca="1" si="31"/>
        <v>1</v>
      </c>
      <c r="AS28" s="1">
        <f t="shared" ca="1" si="32"/>
        <v>20</v>
      </c>
      <c r="AU28" s="1">
        <f t="shared" ca="1" si="33"/>
        <v>363</v>
      </c>
      <c r="AV28" s="1">
        <f t="shared" ca="1" si="34"/>
        <v>5</v>
      </c>
      <c r="AW28" s="1">
        <f t="shared" ca="1" si="35"/>
        <v>0.14173871376456021</v>
      </c>
      <c r="AY28" s="1">
        <f t="shared" ca="1" si="36"/>
        <v>1.1591761007994676</v>
      </c>
      <c r="AZ28" s="1">
        <f t="shared" ca="1" si="37"/>
        <v>107</v>
      </c>
      <c r="BA28" s="1">
        <f t="shared" ca="1" si="38"/>
        <v>7.355389774508227E-3</v>
      </c>
      <c r="BG28" s="1">
        <f t="shared" ca="1" si="39"/>
        <v>0.19742187189857469</v>
      </c>
      <c r="BH28" s="1">
        <f t="shared" ca="1" si="40"/>
        <v>0.44196632920253576</v>
      </c>
      <c r="BI28" s="1">
        <f t="shared" ca="1" si="41"/>
        <v>589</v>
      </c>
      <c r="BV28" s="1">
        <f t="shared" ca="1" si="42"/>
        <v>1.9781361019738649E-2</v>
      </c>
      <c r="BW28" s="1">
        <f t="shared" ca="1" si="43"/>
        <v>456</v>
      </c>
      <c r="BX28" s="1">
        <f t="shared" ca="1" si="44"/>
        <v>8.2382834204250445E-3</v>
      </c>
      <c r="BY28" s="1">
        <f t="shared" ca="1" si="45"/>
        <v>7.9913794195112811E-2</v>
      </c>
      <c r="BZ28" s="1">
        <f t="shared" ca="1" si="46"/>
        <v>0.59171609443791318</v>
      </c>
      <c r="CB28" s="1">
        <f t="shared" ca="1" si="47"/>
        <v>369</v>
      </c>
      <c r="CC28" s="1">
        <f t="shared" ca="1" si="48"/>
        <v>13</v>
      </c>
      <c r="CD28" s="1">
        <f t="shared" ca="1" si="49"/>
        <v>0.23493281054331214</v>
      </c>
      <c r="CE28" s="1">
        <f t="shared" ca="1" si="50"/>
        <v>0.72854786472756805</v>
      </c>
      <c r="CF28" s="1">
        <f t="shared" ca="1" si="50"/>
        <v>0.95849517165547793</v>
      </c>
      <c r="CH28" s="3">
        <f t="shared" ca="1" si="51"/>
        <v>4.276967405057442E-3</v>
      </c>
      <c r="CI28" s="3">
        <f t="shared" ca="1" si="52"/>
        <v>0.76662220528213598</v>
      </c>
      <c r="CJ28" s="3">
        <f t="shared" ca="1" si="53"/>
        <v>993</v>
      </c>
      <c r="CK28" s="3">
        <f t="shared" ca="1" si="54"/>
        <v>2.579701052311672E-4</v>
      </c>
      <c r="CL28" s="3">
        <f t="shared" ca="1" si="55"/>
        <v>0</v>
      </c>
      <c r="CM28" s="3"/>
      <c r="CN28" s="1">
        <f t="shared" ca="1" si="56"/>
        <v>6.0996360067884208</v>
      </c>
      <c r="CO28" s="1">
        <f t="shared" ca="1" si="57"/>
        <v>2.9865696021554804E-2</v>
      </c>
      <c r="CP28" s="1">
        <f t="shared" ca="1" si="58"/>
        <v>3</v>
      </c>
      <c r="CV28" s="1">
        <f t="shared" ca="1" si="59"/>
        <v>3.1783661705424175</v>
      </c>
      <c r="CW28" s="1">
        <f t="shared" ca="1" si="60"/>
        <v>143</v>
      </c>
      <c r="CX28" s="1">
        <f t="shared" ca="1" si="61"/>
        <v>4.0757279721405202E-4</v>
      </c>
      <c r="DH28" s="1">
        <f t="shared" ca="1" si="62"/>
        <v>308</v>
      </c>
      <c r="DI28" s="1">
        <f t="shared" ca="1" si="63"/>
        <v>7.3859678273287516E-2</v>
      </c>
      <c r="DJ28" s="1">
        <f t="shared" ca="1" si="64"/>
        <v>16</v>
      </c>
      <c r="DL28" s="1">
        <f t="shared" ca="1" si="65"/>
        <v>0.11369773420264831</v>
      </c>
      <c r="DM28" s="1">
        <f t="shared" ca="1" si="66"/>
        <v>62</v>
      </c>
      <c r="DN28" s="1">
        <f t="shared" ca="1" si="67"/>
        <v>6</v>
      </c>
      <c r="DW28" s="1">
        <f t="shared" ca="1" si="71"/>
        <v>446</v>
      </c>
      <c r="DX28" s="1">
        <f t="shared" ca="1" si="72"/>
        <v>15</v>
      </c>
      <c r="DY28" s="1">
        <f t="shared" ca="1" si="73"/>
        <v>13</v>
      </c>
    </row>
    <row r="29" spans="2:129" x14ac:dyDescent="0.25">
      <c r="B29">
        <f t="shared" ca="1" si="0"/>
        <v>652</v>
      </c>
      <c r="C29">
        <f t="shared" ca="1" si="1"/>
        <v>26</v>
      </c>
      <c r="D29">
        <f t="shared" ca="1" si="2"/>
        <v>0.20724538964276154</v>
      </c>
      <c r="F29" s="1">
        <f t="shared" ca="1" si="3"/>
        <v>27</v>
      </c>
      <c r="G29" s="1">
        <f t="shared" ca="1" si="4"/>
        <v>4</v>
      </c>
      <c r="H29" s="1">
        <f t="shared" ca="1" si="5"/>
        <v>1</v>
      </c>
      <c r="I29" s="1"/>
      <c r="J29" s="1">
        <f t="shared" ca="1" si="6"/>
        <v>19</v>
      </c>
      <c r="K29" s="1">
        <f t="shared" ca="1" si="7"/>
        <v>2.9499165262794365</v>
      </c>
      <c r="L29" s="1">
        <f t="shared" ca="1" si="8"/>
        <v>13</v>
      </c>
      <c r="M29" s="1"/>
      <c r="N29" s="1">
        <f t="shared" ca="1" si="9"/>
        <v>489</v>
      </c>
      <c r="O29" s="1">
        <f t="shared" ca="1" si="10"/>
        <v>10</v>
      </c>
      <c r="P29" s="1"/>
      <c r="Q29" s="1">
        <f t="shared" ca="1" si="11"/>
        <v>2.0462847574852847</v>
      </c>
      <c r="R29" s="1">
        <f t="shared" ca="1" si="12"/>
        <v>1078</v>
      </c>
      <c r="S29" s="1"/>
      <c r="T29" s="1">
        <f t="shared" ca="1" si="13"/>
        <v>4.9564921576886779E-2</v>
      </c>
      <c r="U29" s="1">
        <f t="shared" ca="1" si="14"/>
        <v>120</v>
      </c>
      <c r="V29" s="1">
        <f t="shared" ca="1" si="15"/>
        <v>19</v>
      </c>
      <c r="W29" s="1"/>
      <c r="X29" s="1">
        <f t="shared" ca="1" si="16"/>
        <v>3.8741864416403859</v>
      </c>
      <c r="Y29" s="1">
        <f t="shared" ca="1" si="17"/>
        <v>0.61053763685184437</v>
      </c>
      <c r="Z29" s="1">
        <f t="shared" ca="1" si="18"/>
        <v>136</v>
      </c>
      <c r="AB29" s="1">
        <f t="shared" ca="1" si="19"/>
        <v>0.16894222165184264</v>
      </c>
      <c r="AC29" s="1">
        <f t="shared" ca="1" si="20"/>
        <v>488</v>
      </c>
      <c r="AD29" s="1">
        <f t="shared" ca="1" si="21"/>
        <v>5.3057972076150641E-3</v>
      </c>
      <c r="AE29" s="1"/>
      <c r="AF29" s="1">
        <f t="shared" ca="1" si="22"/>
        <v>0.72474117215363665</v>
      </c>
      <c r="AG29" s="1">
        <f t="shared" ca="1" si="23"/>
        <v>784</v>
      </c>
      <c r="AH29" s="1">
        <f t="shared" ca="1" si="24"/>
        <v>1.8684692474494032E-3</v>
      </c>
      <c r="AJ29" s="1">
        <f t="shared" ca="1" si="25"/>
        <v>0.41166945153150092</v>
      </c>
      <c r="AK29" s="1">
        <f t="shared" ca="1" si="26"/>
        <v>2.6437158564935185E-3</v>
      </c>
      <c r="AL29" s="1"/>
      <c r="AM29" s="1">
        <f t="shared" ca="1" si="27"/>
        <v>3.6947498199317162E-2</v>
      </c>
      <c r="AN29" s="1">
        <f t="shared" ca="1" si="28"/>
        <v>79</v>
      </c>
      <c r="AO29" s="1">
        <f t="shared" ca="1" si="29"/>
        <v>14</v>
      </c>
      <c r="AQ29" s="1">
        <f t="shared" ca="1" si="30"/>
        <v>139</v>
      </c>
      <c r="AR29" s="1">
        <f t="shared" ca="1" si="31"/>
        <v>6</v>
      </c>
      <c r="AS29" s="1">
        <f t="shared" ca="1" si="32"/>
        <v>59</v>
      </c>
      <c r="AU29" s="1">
        <f t="shared" ca="1" si="33"/>
        <v>174</v>
      </c>
      <c r="AV29" s="1">
        <f t="shared" ca="1" si="34"/>
        <v>4</v>
      </c>
      <c r="AW29" s="1">
        <f t="shared" ca="1" si="35"/>
        <v>0.19712868198867486</v>
      </c>
      <c r="AY29" s="1">
        <f t="shared" ca="1" si="36"/>
        <v>1.6510860061043571</v>
      </c>
      <c r="AZ29" s="1">
        <f t="shared" ca="1" si="37"/>
        <v>136</v>
      </c>
      <c r="BA29" s="1">
        <f t="shared" ca="1" si="38"/>
        <v>1.6278314884960751E-3</v>
      </c>
      <c r="BG29" s="1">
        <f t="shared" ca="1" si="39"/>
        <v>0.37988868024472056</v>
      </c>
      <c r="BH29" s="1">
        <f t="shared" ca="1" si="40"/>
        <v>0.81719583232191739</v>
      </c>
      <c r="BI29" s="1">
        <f t="shared" ca="1" si="41"/>
        <v>990</v>
      </c>
      <c r="BV29" s="1">
        <f t="shared" ca="1" si="42"/>
        <v>0.62481747169872914</v>
      </c>
      <c r="BW29" s="1">
        <f t="shared" ca="1" si="43"/>
        <v>926</v>
      </c>
      <c r="BX29" s="1">
        <f t="shared" ca="1" si="44"/>
        <v>8.3012826928671925E-3</v>
      </c>
      <c r="BY29" s="1">
        <f t="shared" ca="1" si="45"/>
        <v>5.0448832805506078E-2</v>
      </c>
      <c r="BZ29" s="1">
        <f t="shared" ca="1" si="46"/>
        <v>0.5732742848578628</v>
      </c>
      <c r="CB29" s="1">
        <f t="shared" ca="1" si="47"/>
        <v>186</v>
      </c>
      <c r="CC29" s="1">
        <f t="shared" ca="1" si="48"/>
        <v>4</v>
      </c>
      <c r="CD29" s="1">
        <f t="shared" ca="1" si="49"/>
        <v>3.8036056904555429E-2</v>
      </c>
      <c r="CE29" s="1">
        <f t="shared" ca="1" si="50"/>
        <v>0.64033869977303381</v>
      </c>
      <c r="CF29" s="1">
        <f t="shared" ca="1" si="50"/>
        <v>0.98606500677177544</v>
      </c>
      <c r="CH29" s="3">
        <f t="shared" ca="1" si="51"/>
        <v>0.28697933075632576</v>
      </c>
      <c r="CI29" s="3">
        <f t="shared" ca="1" si="52"/>
        <v>0.21479905839380373</v>
      </c>
      <c r="CJ29" s="3">
        <f t="shared" ca="1" si="53"/>
        <v>1752</v>
      </c>
      <c r="CK29" s="3">
        <f t="shared" ca="1" si="54"/>
        <v>4.9230480525837119E-3</v>
      </c>
      <c r="CL29" s="3">
        <f t="shared" ca="1" si="55"/>
        <v>0</v>
      </c>
      <c r="CM29" s="3"/>
      <c r="CN29" s="1">
        <f t="shared" ca="1" si="56"/>
        <v>4.5797055045308914</v>
      </c>
      <c r="CO29" s="1">
        <f t="shared" ca="1" si="57"/>
        <v>0.32483592611487844</v>
      </c>
      <c r="CP29" s="1">
        <f t="shared" ca="1" si="58"/>
        <v>5</v>
      </c>
      <c r="CV29" s="1">
        <f t="shared" ca="1" si="59"/>
        <v>7.1346974180670406</v>
      </c>
      <c r="CW29" s="1">
        <f t="shared" ca="1" si="60"/>
        <v>1834</v>
      </c>
      <c r="CX29" s="1">
        <f t="shared" ca="1" si="61"/>
        <v>5.2212285825228692E-4</v>
      </c>
      <c r="DH29" s="1">
        <f t="shared" ca="1" si="62"/>
        <v>661</v>
      </c>
      <c r="DI29" s="1">
        <f t="shared" ca="1" si="63"/>
        <v>0.9443358922847348</v>
      </c>
      <c r="DJ29" s="1">
        <f t="shared" ca="1" si="64"/>
        <v>12</v>
      </c>
      <c r="DL29" s="1">
        <f t="shared" ca="1" si="65"/>
        <v>0.12167226604755058</v>
      </c>
      <c r="DM29" s="1">
        <f t="shared" ca="1" si="66"/>
        <v>51</v>
      </c>
      <c r="DN29" s="1">
        <f t="shared" ca="1" si="67"/>
        <v>7</v>
      </c>
      <c r="DW29" s="1">
        <f t="shared" ca="1" si="71"/>
        <v>67</v>
      </c>
      <c r="DX29" s="1">
        <f t="shared" ca="1" si="72"/>
        <v>15</v>
      </c>
      <c r="DY29" s="1">
        <f t="shared" ca="1" si="73"/>
        <v>3</v>
      </c>
    </row>
    <row r="30" spans="2:129" x14ac:dyDescent="0.25">
      <c r="B30">
        <f t="shared" ca="1" si="0"/>
        <v>374</v>
      </c>
      <c r="C30">
        <f t="shared" ca="1" si="1"/>
        <v>10</v>
      </c>
      <c r="D30">
        <f t="shared" ca="1" si="2"/>
        <v>2.7055445607937496E-2</v>
      </c>
      <c r="F30" s="1">
        <f t="shared" ca="1" si="3"/>
        <v>50</v>
      </c>
      <c r="G30" s="1">
        <f t="shared" ca="1" si="4"/>
        <v>8</v>
      </c>
      <c r="H30" s="1">
        <f t="shared" ca="1" si="5"/>
        <v>14</v>
      </c>
      <c r="I30" s="1"/>
      <c r="J30" s="1">
        <f t="shared" ca="1" si="6"/>
        <v>26</v>
      </c>
      <c r="K30" s="1">
        <f t="shared" ca="1" si="7"/>
        <v>1.7621221512529006</v>
      </c>
      <c r="L30" s="1">
        <f t="shared" ca="1" si="8"/>
        <v>5</v>
      </c>
      <c r="M30" s="1"/>
      <c r="N30" s="1">
        <f t="shared" ca="1" si="9"/>
        <v>811</v>
      </c>
      <c r="O30" s="1">
        <f t="shared" ca="1" si="10"/>
        <v>48</v>
      </c>
      <c r="P30" s="1"/>
      <c r="Q30" s="1">
        <f t="shared" ca="1" si="11"/>
        <v>0.86282629559882851</v>
      </c>
      <c r="R30" s="1">
        <f t="shared" ca="1" si="12"/>
        <v>979</v>
      </c>
      <c r="S30" s="1"/>
      <c r="T30" s="1">
        <f t="shared" ca="1" si="13"/>
        <v>0.12866168232206626</v>
      </c>
      <c r="U30" s="1">
        <f t="shared" ca="1" si="14"/>
        <v>264</v>
      </c>
      <c r="V30" s="1">
        <f t="shared" ca="1" si="15"/>
        <v>32</v>
      </c>
      <c r="W30" s="1"/>
      <c r="X30" s="1">
        <f t="shared" ca="1" si="16"/>
        <v>4.2271971625642344</v>
      </c>
      <c r="Y30" s="1">
        <f t="shared" ca="1" si="17"/>
        <v>0.14559110725771909</v>
      </c>
      <c r="Z30" s="1">
        <f t="shared" ca="1" si="18"/>
        <v>565</v>
      </c>
      <c r="AB30" s="1">
        <f t="shared" ca="1" si="19"/>
        <v>0.55285435705068553</v>
      </c>
      <c r="AC30" s="1">
        <f t="shared" ca="1" si="20"/>
        <v>864</v>
      </c>
      <c r="AD30" s="1">
        <f t="shared" ca="1" si="21"/>
        <v>3.1062860223983794E-3</v>
      </c>
      <c r="AE30" s="1"/>
      <c r="AF30" s="1">
        <f t="shared" ca="1" si="22"/>
        <v>0.40472150812518581</v>
      </c>
      <c r="AG30" s="1">
        <f t="shared" ca="1" si="23"/>
        <v>533</v>
      </c>
      <c r="AH30" s="1">
        <f t="shared" ca="1" si="24"/>
        <v>1.1452223516954811E-3</v>
      </c>
      <c r="AJ30" s="1">
        <f t="shared" ca="1" si="25"/>
        <v>0.55462829817434278</v>
      </c>
      <c r="AK30" s="1">
        <f t="shared" ca="1" si="26"/>
        <v>5.4343793624162572E-3</v>
      </c>
      <c r="AL30" s="1"/>
      <c r="AM30" s="1">
        <f t="shared" ca="1" si="27"/>
        <v>0.13438096659761939</v>
      </c>
      <c r="AN30" s="1">
        <f t="shared" ca="1" si="28"/>
        <v>53</v>
      </c>
      <c r="AO30" s="1">
        <f t="shared" ca="1" si="29"/>
        <v>16</v>
      </c>
      <c r="AQ30" s="1">
        <f t="shared" ca="1" si="30"/>
        <v>166</v>
      </c>
      <c r="AR30" s="1">
        <f t="shared" ca="1" si="31"/>
        <v>4</v>
      </c>
      <c r="AS30" s="1">
        <f t="shared" ca="1" si="32"/>
        <v>35</v>
      </c>
      <c r="AU30" s="1">
        <f t="shared" ca="1" si="33"/>
        <v>394</v>
      </c>
      <c r="AV30" s="1">
        <f t="shared" ca="1" si="34"/>
        <v>10</v>
      </c>
      <c r="AW30" s="1">
        <f t="shared" ca="1" si="35"/>
        <v>1.2250368066960065E-2</v>
      </c>
      <c r="AY30" s="1">
        <f t="shared" ca="1" si="36"/>
        <v>1.5396230051348712</v>
      </c>
      <c r="AZ30" s="1">
        <f t="shared" ca="1" si="37"/>
        <v>140</v>
      </c>
      <c r="BA30" s="1">
        <f t="shared" ca="1" si="38"/>
        <v>4.5127520820437868E-3</v>
      </c>
      <c r="BG30" s="1">
        <f t="shared" ca="1" si="39"/>
        <v>0.76583495875957497</v>
      </c>
      <c r="BH30" s="1">
        <f t="shared" ca="1" si="40"/>
        <v>7.9243070764035362E-2</v>
      </c>
      <c r="BI30" s="1">
        <f t="shared" ca="1" si="41"/>
        <v>132</v>
      </c>
      <c r="BV30" s="1">
        <f t="shared" ca="1" si="42"/>
        <v>0.69863368894733391</v>
      </c>
      <c r="BW30" s="1">
        <f t="shared" ca="1" si="43"/>
        <v>470</v>
      </c>
      <c r="BX30" s="1">
        <f t="shared" ca="1" si="44"/>
        <v>2.1129315833225974E-3</v>
      </c>
      <c r="BY30" s="1">
        <f t="shared" ca="1" si="45"/>
        <v>4.3984491031085961E-2</v>
      </c>
      <c r="BZ30" s="1">
        <f t="shared" ca="1" si="46"/>
        <v>0.82211680058614856</v>
      </c>
      <c r="CB30" s="1">
        <f t="shared" ca="1" si="47"/>
        <v>430</v>
      </c>
      <c r="CC30" s="1">
        <f t="shared" ca="1" si="48"/>
        <v>11</v>
      </c>
      <c r="CD30" s="1">
        <f t="shared" ca="1" si="49"/>
        <v>4.8123408869639631E-2</v>
      </c>
      <c r="CE30" s="1">
        <f t="shared" ca="1" si="50"/>
        <v>0.61041831208617148</v>
      </c>
      <c r="CF30" s="1">
        <f t="shared" ca="1" si="50"/>
        <v>0.65142518024401785</v>
      </c>
      <c r="CH30" s="3">
        <f t="shared" ca="1" si="51"/>
        <v>0.1633270539498784</v>
      </c>
      <c r="CI30" s="3">
        <f t="shared" ca="1" si="52"/>
        <v>6.0265101378753405E-2</v>
      </c>
      <c r="CJ30" s="3">
        <f t="shared" ca="1" si="53"/>
        <v>359</v>
      </c>
      <c r="CK30" s="3">
        <f t="shared" ca="1" si="54"/>
        <v>3.5248419571833676E-3</v>
      </c>
      <c r="CL30" s="3">
        <f t="shared" ca="1" si="55"/>
        <v>1</v>
      </c>
      <c r="CM30" s="3"/>
      <c r="CN30" s="1">
        <f t="shared" ca="1" si="56"/>
        <v>14.640397263712922</v>
      </c>
      <c r="CO30" s="1">
        <f t="shared" ca="1" si="57"/>
        <v>0.27193577701548821</v>
      </c>
      <c r="CP30" s="1">
        <f t="shared" ca="1" si="58"/>
        <v>1</v>
      </c>
      <c r="CV30" s="1">
        <f t="shared" ca="1" si="59"/>
        <v>1.753757447414267</v>
      </c>
      <c r="CW30" s="1">
        <f t="shared" ca="1" si="60"/>
        <v>1170</v>
      </c>
      <c r="CX30" s="1">
        <f t="shared" ca="1" si="61"/>
        <v>8.7588113843325554E-3</v>
      </c>
      <c r="DH30" s="1">
        <f t="shared" ca="1" si="62"/>
        <v>385</v>
      </c>
      <c r="DI30" s="1">
        <f t="shared" ca="1" si="63"/>
        <v>0.6739013039313716</v>
      </c>
      <c r="DJ30" s="1">
        <f t="shared" ca="1" si="64"/>
        <v>23</v>
      </c>
      <c r="DL30" s="1">
        <f t="shared" ca="1" si="65"/>
        <v>0.17961341095718567</v>
      </c>
      <c r="DM30" s="1">
        <f t="shared" ca="1" si="66"/>
        <v>166</v>
      </c>
      <c r="DN30" s="1">
        <f t="shared" ca="1" si="67"/>
        <v>10</v>
      </c>
      <c r="DW30" s="1">
        <f t="shared" ca="1" si="71"/>
        <v>206</v>
      </c>
      <c r="DX30" s="1">
        <f t="shared" ca="1" si="72"/>
        <v>20</v>
      </c>
      <c r="DY30" s="1">
        <f t="shared" ca="1" si="73"/>
        <v>5</v>
      </c>
    </row>
    <row r="31" spans="2:129" x14ac:dyDescent="0.25">
      <c r="B31">
        <f t="shared" ca="1" si="0"/>
        <v>148</v>
      </c>
      <c r="C31">
        <f t="shared" ca="1" si="1"/>
        <v>34</v>
      </c>
      <c r="D31">
        <f t="shared" ca="1" si="2"/>
        <v>0.28446354350656888</v>
      </c>
      <c r="F31" s="1">
        <f t="shared" ca="1" si="3"/>
        <v>48</v>
      </c>
      <c r="G31" s="1">
        <f t="shared" ca="1" si="4"/>
        <v>13</v>
      </c>
      <c r="H31" s="1">
        <f t="shared" ca="1" si="5"/>
        <v>1</v>
      </c>
      <c r="I31" s="1"/>
      <c r="J31" s="1">
        <f t="shared" ca="1" si="6"/>
        <v>38</v>
      </c>
      <c r="K31" s="1">
        <f t="shared" ca="1" si="7"/>
        <v>2.5366809317028194</v>
      </c>
      <c r="L31" s="1">
        <f t="shared" ca="1" si="8"/>
        <v>25</v>
      </c>
      <c r="M31" s="1"/>
      <c r="N31" s="1">
        <f t="shared" ca="1" si="9"/>
        <v>819</v>
      </c>
      <c r="O31" s="1">
        <f t="shared" ca="1" si="10"/>
        <v>25</v>
      </c>
      <c r="P31" s="1"/>
      <c r="Q31" s="1">
        <f t="shared" ca="1" si="11"/>
        <v>4.5198788505219367</v>
      </c>
      <c r="R31" s="1">
        <f t="shared" ca="1" si="12"/>
        <v>406</v>
      </c>
      <c r="S31" s="1"/>
      <c r="T31" s="1">
        <f t="shared" ca="1" si="13"/>
        <v>0.14800678914709001</v>
      </c>
      <c r="U31" s="1">
        <f t="shared" ca="1" si="14"/>
        <v>219</v>
      </c>
      <c r="V31" s="1">
        <f t="shared" ca="1" si="15"/>
        <v>21</v>
      </c>
      <c r="W31" s="1"/>
      <c r="X31" s="1">
        <f t="shared" ca="1" si="16"/>
        <v>7.8960413951037536</v>
      </c>
      <c r="Y31" s="1">
        <f t="shared" ca="1" si="17"/>
        <v>0.19583355354825194</v>
      </c>
      <c r="Z31" s="1">
        <f t="shared" ca="1" si="18"/>
        <v>1061</v>
      </c>
      <c r="AB31" s="1">
        <f t="shared" ca="1" si="19"/>
        <v>0.57011101133516684</v>
      </c>
      <c r="AC31" s="1">
        <f t="shared" ca="1" si="20"/>
        <v>563</v>
      </c>
      <c r="AD31" s="1">
        <f t="shared" ca="1" si="21"/>
        <v>2.2239094477846076E-3</v>
      </c>
      <c r="AE31" s="1"/>
      <c r="AF31" s="1">
        <f t="shared" ca="1" si="22"/>
        <v>0.85132247346201373</v>
      </c>
      <c r="AG31" s="1">
        <f t="shared" ca="1" si="23"/>
        <v>533</v>
      </c>
      <c r="AH31" s="1">
        <f t="shared" ca="1" si="24"/>
        <v>4.2931856774637194E-3</v>
      </c>
      <c r="AJ31" s="1">
        <f t="shared" ca="1" si="25"/>
        <v>0.71939802478984549</v>
      </c>
      <c r="AK31" s="1">
        <f t="shared" ca="1" si="26"/>
        <v>8.9151040685021988E-3</v>
      </c>
      <c r="AL31" s="1"/>
      <c r="AM31" s="1">
        <f t="shared" ca="1" si="27"/>
        <v>5.0744606201255621E-2</v>
      </c>
      <c r="AN31" s="1">
        <f t="shared" ca="1" si="28"/>
        <v>79</v>
      </c>
      <c r="AO31" s="1">
        <f t="shared" ca="1" si="29"/>
        <v>16</v>
      </c>
      <c r="AQ31" s="1">
        <f t="shared" ca="1" si="30"/>
        <v>88</v>
      </c>
      <c r="AR31" s="1">
        <f t="shared" ca="1" si="31"/>
        <v>5</v>
      </c>
      <c r="AS31" s="1">
        <f t="shared" ca="1" si="32"/>
        <v>83</v>
      </c>
      <c r="AU31" s="1">
        <f t="shared" ca="1" si="33"/>
        <v>261</v>
      </c>
      <c r="AV31" s="1">
        <f t="shared" ca="1" si="34"/>
        <v>10</v>
      </c>
      <c r="AW31" s="1">
        <f t="shared" ca="1" si="35"/>
        <v>0.1863718221533717</v>
      </c>
      <c r="AY31" s="1">
        <f t="shared" ca="1" si="36"/>
        <v>1.9187279303847491</v>
      </c>
      <c r="AZ31" s="1">
        <f t="shared" ca="1" si="37"/>
        <v>486</v>
      </c>
      <c r="BA31" s="1">
        <f t="shared" ca="1" si="38"/>
        <v>8.7714013924971995E-3</v>
      </c>
      <c r="BG31" s="1">
        <f t="shared" ca="1" si="39"/>
        <v>0.43558530803856854</v>
      </c>
      <c r="BH31" s="1">
        <f t="shared" ca="1" si="40"/>
        <v>0.82263670502005037</v>
      </c>
      <c r="BI31" s="1">
        <f t="shared" ca="1" si="41"/>
        <v>903</v>
      </c>
      <c r="BV31" s="1">
        <f t="shared" ca="1" si="42"/>
        <v>0.371321491611322</v>
      </c>
      <c r="BW31" s="1">
        <f t="shared" ca="1" si="43"/>
        <v>706</v>
      </c>
      <c r="BX31" s="1">
        <f t="shared" ca="1" si="44"/>
        <v>3.9941785548293959E-4</v>
      </c>
      <c r="BY31" s="1">
        <f t="shared" ca="1" si="45"/>
        <v>6.6001728280980117E-3</v>
      </c>
      <c r="BZ31" s="1">
        <f t="shared" ca="1" si="46"/>
        <v>0.40341255680368371</v>
      </c>
      <c r="CB31" s="1">
        <f t="shared" ca="1" si="47"/>
        <v>193</v>
      </c>
      <c r="CC31" s="1">
        <f t="shared" ca="1" si="48"/>
        <v>13</v>
      </c>
      <c r="CD31" s="1">
        <f t="shared" ca="1" si="49"/>
        <v>7.6972912569113663E-2</v>
      </c>
      <c r="CE31" s="1">
        <f t="shared" ca="1" si="50"/>
        <v>0.77671343491247402</v>
      </c>
      <c r="CF31" s="1">
        <f t="shared" ca="1" si="50"/>
        <v>0.92344230647324843</v>
      </c>
      <c r="CH31" s="3">
        <f t="shared" ca="1" si="51"/>
        <v>0.47932356814540611</v>
      </c>
      <c r="CI31" s="3">
        <f t="shared" ca="1" si="52"/>
        <v>0.18136159384483128</v>
      </c>
      <c r="CJ31" s="3">
        <f t="shared" ca="1" si="53"/>
        <v>1364</v>
      </c>
      <c r="CK31" s="3">
        <f t="shared" ca="1" si="54"/>
        <v>9.718493851278702E-3</v>
      </c>
      <c r="CL31" s="3">
        <f t="shared" ca="1" si="55"/>
        <v>1</v>
      </c>
      <c r="CM31" s="3"/>
      <c r="CN31" s="1">
        <f t="shared" ca="1" si="56"/>
        <v>11.785270838334219</v>
      </c>
      <c r="CO31" s="1">
        <f t="shared" ca="1" si="57"/>
        <v>0.29237704495847594</v>
      </c>
      <c r="CP31" s="1">
        <f t="shared" ca="1" si="58"/>
        <v>3</v>
      </c>
      <c r="CV31" s="1">
        <f t="shared" ca="1" si="59"/>
        <v>4.0618133506000778</v>
      </c>
      <c r="CW31" s="1">
        <f t="shared" ca="1" si="60"/>
        <v>1505</v>
      </c>
      <c r="CX31" s="1">
        <f t="shared" ca="1" si="61"/>
        <v>3.6573946982342638E-3</v>
      </c>
      <c r="DH31" s="1">
        <f t="shared" ca="1" si="62"/>
        <v>225</v>
      </c>
      <c r="DI31" s="1">
        <f t="shared" ca="1" si="63"/>
        <v>0.65222936823035038</v>
      </c>
      <c r="DJ31" s="1">
        <f t="shared" ca="1" si="64"/>
        <v>8</v>
      </c>
      <c r="DL31" s="1">
        <f t="shared" ca="1" si="65"/>
        <v>0.12331651324238102</v>
      </c>
      <c r="DM31" s="1">
        <f t="shared" ca="1" si="66"/>
        <v>193</v>
      </c>
      <c r="DN31" s="1">
        <f t="shared" ca="1" si="67"/>
        <v>8</v>
      </c>
      <c r="DW31" s="1">
        <f t="shared" ca="1" si="71"/>
        <v>440</v>
      </c>
      <c r="DX31" s="1">
        <f t="shared" ca="1" si="72"/>
        <v>19</v>
      </c>
      <c r="DY31" s="1">
        <f t="shared" ca="1" si="73"/>
        <v>10</v>
      </c>
    </row>
    <row r="32" spans="2:129" x14ac:dyDescent="0.25">
      <c r="B32">
        <f t="shared" ca="1" si="0"/>
        <v>826</v>
      </c>
      <c r="C32">
        <f t="shared" ca="1" si="1"/>
        <v>28</v>
      </c>
      <c r="D32">
        <f t="shared" ca="1" si="2"/>
        <v>0.28934277523936469</v>
      </c>
      <c r="F32" s="1">
        <f t="shared" ca="1" si="3"/>
        <v>52</v>
      </c>
      <c r="G32" s="1">
        <f t="shared" ca="1" si="4"/>
        <v>9</v>
      </c>
      <c r="H32" s="1">
        <f t="shared" ca="1" si="5"/>
        <v>14</v>
      </c>
      <c r="I32" s="1"/>
      <c r="J32" s="1">
        <f t="shared" ca="1" si="6"/>
        <v>1</v>
      </c>
      <c r="K32" s="1">
        <f t="shared" ca="1" si="7"/>
        <v>1.9819701700744481</v>
      </c>
      <c r="L32" s="1">
        <f t="shared" ca="1" si="8"/>
        <v>6</v>
      </c>
      <c r="M32" s="1"/>
      <c r="N32" s="1">
        <f t="shared" ca="1" si="9"/>
        <v>733</v>
      </c>
      <c r="O32" s="1">
        <f t="shared" ca="1" si="10"/>
        <v>5</v>
      </c>
      <c r="P32" s="1"/>
      <c r="Q32" s="1">
        <f t="shared" ca="1" si="11"/>
        <v>4.8970347099165163</v>
      </c>
      <c r="R32" s="1">
        <f t="shared" ca="1" si="12"/>
        <v>1095</v>
      </c>
      <c r="S32" s="1"/>
      <c r="T32" s="1">
        <f t="shared" ca="1" si="13"/>
        <v>0.12732745250963201</v>
      </c>
      <c r="U32" s="1">
        <f t="shared" ca="1" si="14"/>
        <v>360</v>
      </c>
      <c r="V32" s="1">
        <f t="shared" ca="1" si="15"/>
        <v>6</v>
      </c>
      <c r="W32" s="1"/>
      <c r="X32" s="1">
        <f t="shared" ca="1" si="16"/>
        <v>8.1453531295838868</v>
      </c>
      <c r="Y32" s="1">
        <f t="shared" ca="1" si="17"/>
        <v>0.11840159018777398</v>
      </c>
      <c r="Z32" s="1">
        <f t="shared" ca="1" si="18"/>
        <v>594</v>
      </c>
      <c r="AB32" s="1">
        <f t="shared" ca="1" si="19"/>
        <v>0.58179344131515232</v>
      </c>
      <c r="AC32" s="1">
        <f t="shared" ca="1" si="20"/>
        <v>383</v>
      </c>
      <c r="AD32" s="1">
        <f t="shared" ca="1" si="21"/>
        <v>8.9186851201911617E-3</v>
      </c>
      <c r="AE32" s="1"/>
      <c r="AF32" s="1">
        <f t="shared" ca="1" si="22"/>
        <v>0.88672461452658868</v>
      </c>
      <c r="AG32" s="1">
        <f t="shared" ca="1" si="23"/>
        <v>276</v>
      </c>
      <c r="AH32" s="1">
        <f t="shared" ca="1" si="24"/>
        <v>5.3797751526717206E-3</v>
      </c>
      <c r="AJ32" s="1">
        <f t="shared" ca="1" si="25"/>
        <v>0.47598324046975693</v>
      </c>
      <c r="AK32" s="1">
        <f t="shared" ca="1" si="26"/>
        <v>8.8122104333506653E-3</v>
      </c>
      <c r="AL32" s="1"/>
      <c r="AM32" s="1">
        <f t="shared" ca="1" si="27"/>
        <v>0.11594819879232537</v>
      </c>
      <c r="AN32" s="1">
        <f t="shared" ca="1" si="28"/>
        <v>27</v>
      </c>
      <c r="AO32" s="1">
        <f t="shared" ca="1" si="29"/>
        <v>16</v>
      </c>
      <c r="AQ32" s="1">
        <f t="shared" ca="1" si="30"/>
        <v>20</v>
      </c>
      <c r="AR32" s="1">
        <f t="shared" ca="1" si="31"/>
        <v>2</v>
      </c>
      <c r="AS32" s="1">
        <f t="shared" ca="1" si="32"/>
        <v>38</v>
      </c>
      <c r="AU32" s="1">
        <f t="shared" ca="1" si="33"/>
        <v>391</v>
      </c>
      <c r="AV32" s="1">
        <f t="shared" ca="1" si="34"/>
        <v>3</v>
      </c>
      <c r="AW32" s="1">
        <f t="shared" ca="1" si="35"/>
        <v>4.5618729963669447E-2</v>
      </c>
      <c r="AY32" s="1">
        <f t="shared" ca="1" si="36"/>
        <v>1.5988814335218935</v>
      </c>
      <c r="AZ32" s="1">
        <f t="shared" ca="1" si="37"/>
        <v>89</v>
      </c>
      <c r="BA32" s="1">
        <f t="shared" ca="1" si="38"/>
        <v>4.6332877717582543E-3</v>
      </c>
      <c r="BG32" s="1">
        <f t="shared" ca="1" si="39"/>
        <v>0.74483629657691397</v>
      </c>
      <c r="BH32" s="1">
        <f t="shared" ca="1" si="40"/>
        <v>0.78115702185656644</v>
      </c>
      <c r="BI32" s="1">
        <f t="shared" ca="1" si="41"/>
        <v>275</v>
      </c>
      <c r="BV32" s="1">
        <f t="shared" ca="1" si="42"/>
        <v>0.7490752614298497</v>
      </c>
      <c r="BW32" s="1">
        <f t="shared" ca="1" si="43"/>
        <v>805</v>
      </c>
      <c r="BX32" s="1">
        <f t="shared" ca="1" si="44"/>
        <v>1.6343332279905969E-3</v>
      </c>
      <c r="BY32" s="1">
        <f t="shared" ca="1" si="45"/>
        <v>2.631690221458035E-2</v>
      </c>
      <c r="BZ32" s="1">
        <f t="shared" ca="1" si="46"/>
        <v>0.29705793067983177</v>
      </c>
      <c r="CB32" s="1">
        <f t="shared" ca="1" si="47"/>
        <v>312</v>
      </c>
      <c r="CC32" s="1">
        <f t="shared" ca="1" si="48"/>
        <v>15</v>
      </c>
      <c r="CD32" s="1">
        <f t="shared" ca="1" si="49"/>
        <v>0.10104529860418902</v>
      </c>
      <c r="CE32" s="1">
        <f t="shared" ca="1" si="50"/>
        <v>0.64364978246980975</v>
      </c>
      <c r="CF32" s="1">
        <f t="shared" ca="1" si="50"/>
        <v>0.57514927860981291</v>
      </c>
      <c r="CH32" s="3">
        <f t="shared" ca="1" si="51"/>
        <v>0.94738004095474182</v>
      </c>
      <c r="CI32" s="3">
        <f t="shared" ca="1" si="52"/>
        <v>0.66202166794741524</v>
      </c>
      <c r="CJ32" s="3">
        <f t="shared" ca="1" si="53"/>
        <v>1318</v>
      </c>
      <c r="CK32" s="3">
        <f t="shared" ca="1" si="54"/>
        <v>6.8529754497133749E-3</v>
      </c>
      <c r="CL32" s="3">
        <f t="shared" ca="1" si="55"/>
        <v>1</v>
      </c>
      <c r="CM32" s="3"/>
      <c r="CN32" s="1">
        <f t="shared" ca="1" si="56"/>
        <v>0.16558156791664083</v>
      </c>
      <c r="CO32" s="1">
        <f t="shared" ca="1" si="57"/>
        <v>0.2478001874416397</v>
      </c>
      <c r="CP32" s="1">
        <f t="shared" ca="1" si="58"/>
        <v>1</v>
      </c>
      <c r="CV32" s="1">
        <f t="shared" ca="1" si="59"/>
        <v>2.9846088002803612</v>
      </c>
      <c r="CW32" s="1">
        <f t="shared" ca="1" si="60"/>
        <v>1252</v>
      </c>
      <c r="CX32" s="1">
        <f t="shared" ca="1" si="61"/>
        <v>4.2808432543736709E-3</v>
      </c>
      <c r="DH32" s="1">
        <f t="shared" ca="1" si="62"/>
        <v>529</v>
      </c>
      <c r="DI32" s="1">
        <f t="shared" ca="1" si="63"/>
        <v>0.87323622847975624</v>
      </c>
      <c r="DJ32" s="1">
        <f t="shared" ca="1" si="64"/>
        <v>18</v>
      </c>
      <c r="DL32" s="1">
        <f t="shared" ca="1" si="65"/>
        <v>0.10816451576686525</v>
      </c>
      <c r="DM32" s="1">
        <f t="shared" ca="1" si="66"/>
        <v>247</v>
      </c>
      <c r="DN32" s="1">
        <f t="shared" ca="1" si="67"/>
        <v>3</v>
      </c>
      <c r="DW32" s="1">
        <f t="shared" ca="1" si="71"/>
        <v>424</v>
      </c>
      <c r="DX32" s="1">
        <f t="shared" ca="1" si="72"/>
        <v>16</v>
      </c>
      <c r="DY32" s="1">
        <f t="shared" ca="1" si="73"/>
        <v>18</v>
      </c>
    </row>
    <row r="33" spans="2:129" x14ac:dyDescent="0.25">
      <c r="B33">
        <f t="shared" ca="1" si="0"/>
        <v>707</v>
      </c>
      <c r="C33">
        <f t="shared" ca="1" si="1"/>
        <v>42</v>
      </c>
      <c r="D33">
        <f t="shared" ca="1" si="2"/>
        <v>0.10344458901309156</v>
      </c>
      <c r="F33" s="1">
        <f t="shared" ca="1" si="3"/>
        <v>34</v>
      </c>
      <c r="G33" s="1">
        <f t="shared" ca="1" si="4"/>
        <v>18</v>
      </c>
      <c r="H33" s="1">
        <f t="shared" ca="1" si="5"/>
        <v>6</v>
      </c>
      <c r="I33" s="1"/>
      <c r="J33" s="1">
        <f t="shared" ca="1" si="6"/>
        <v>7</v>
      </c>
      <c r="K33" s="1">
        <f t="shared" ca="1" si="7"/>
        <v>2.0197216084590837</v>
      </c>
      <c r="L33" s="1">
        <f t="shared" ca="1" si="8"/>
        <v>6</v>
      </c>
      <c r="M33" s="1"/>
      <c r="N33" s="1">
        <f t="shared" ca="1" si="9"/>
        <v>775</v>
      </c>
      <c r="O33" s="1">
        <f t="shared" ca="1" si="10"/>
        <v>52</v>
      </c>
      <c r="P33" s="1"/>
      <c r="Q33" s="1">
        <f t="shared" ca="1" si="11"/>
        <v>4.5970245629394357</v>
      </c>
      <c r="R33" s="1">
        <f t="shared" ca="1" si="12"/>
        <v>273</v>
      </c>
      <c r="S33" s="1"/>
      <c r="T33" s="1">
        <f t="shared" ca="1" si="13"/>
        <v>0.12643288095989105</v>
      </c>
      <c r="U33" s="1">
        <f t="shared" ca="1" si="14"/>
        <v>385</v>
      </c>
      <c r="V33" s="1">
        <f t="shared" ca="1" si="15"/>
        <v>34</v>
      </c>
      <c r="W33" s="1"/>
      <c r="X33" s="1">
        <f t="shared" ca="1" si="16"/>
        <v>8.2210124927142907</v>
      </c>
      <c r="Y33" s="1">
        <f t="shared" ca="1" si="17"/>
        <v>0.46627201563400716</v>
      </c>
      <c r="Z33" s="1">
        <f t="shared" ca="1" si="18"/>
        <v>1667</v>
      </c>
      <c r="AB33" s="1">
        <f t="shared" ca="1" si="19"/>
        <v>5.1254204047693618E-2</v>
      </c>
      <c r="AC33" s="1">
        <f t="shared" ca="1" si="20"/>
        <v>713</v>
      </c>
      <c r="AD33" s="1">
        <f t="shared" ca="1" si="21"/>
        <v>8.0872902452557745E-3</v>
      </c>
      <c r="AE33" s="1"/>
      <c r="AF33" s="1">
        <f t="shared" ca="1" si="22"/>
        <v>0.18996154268129112</v>
      </c>
      <c r="AG33" s="1">
        <f t="shared" ca="1" si="23"/>
        <v>120</v>
      </c>
      <c r="AH33" s="1">
        <f t="shared" ca="1" si="24"/>
        <v>6.7570126546378957E-3</v>
      </c>
      <c r="AJ33" s="1">
        <f t="shared" ca="1" si="25"/>
        <v>0.73882541927328549</v>
      </c>
      <c r="AK33" s="1">
        <f t="shared" ca="1" si="26"/>
        <v>3.1971121766613386E-3</v>
      </c>
      <c r="AL33" s="1"/>
      <c r="AM33" s="1">
        <f t="shared" ca="1" si="27"/>
        <v>0.18796734863763129</v>
      </c>
      <c r="AN33" s="1">
        <f t="shared" ca="1" si="28"/>
        <v>28</v>
      </c>
      <c r="AO33" s="1">
        <f t="shared" ca="1" si="29"/>
        <v>5</v>
      </c>
      <c r="AQ33" s="1">
        <f t="shared" ca="1" si="30"/>
        <v>73</v>
      </c>
      <c r="AR33" s="1">
        <f t="shared" ca="1" si="31"/>
        <v>0</v>
      </c>
      <c r="AS33" s="1">
        <f t="shared" ca="1" si="32"/>
        <v>92</v>
      </c>
      <c r="AU33" s="1">
        <f t="shared" ca="1" si="33"/>
        <v>159</v>
      </c>
      <c r="AV33" s="1">
        <f t="shared" ca="1" si="34"/>
        <v>4</v>
      </c>
      <c r="AW33" s="1">
        <f t="shared" ca="1" si="35"/>
        <v>0.1475031672561378</v>
      </c>
      <c r="AY33" s="1">
        <f t="shared" ca="1" si="36"/>
        <v>1.4997715003232033</v>
      </c>
      <c r="AZ33" s="1">
        <f t="shared" ca="1" si="37"/>
        <v>160</v>
      </c>
      <c r="BA33" s="1">
        <f t="shared" ca="1" si="38"/>
        <v>1.1147950719511293E-3</v>
      </c>
      <c r="BG33" s="1">
        <f t="shared" ca="1" si="39"/>
        <v>9.5285650855024731E-2</v>
      </c>
      <c r="BH33" s="1">
        <f t="shared" ca="1" si="40"/>
        <v>0.569360589395147</v>
      </c>
      <c r="BI33" s="1">
        <f t="shared" ca="1" si="41"/>
        <v>868</v>
      </c>
      <c r="BV33" s="1">
        <f t="shared" ca="1" si="42"/>
        <v>0.80488581997422426</v>
      </c>
      <c r="BW33" s="1">
        <f t="shared" ca="1" si="43"/>
        <v>402</v>
      </c>
      <c r="BX33" s="1">
        <f t="shared" ca="1" si="44"/>
        <v>8.3117873965763058E-3</v>
      </c>
      <c r="BY33" s="1">
        <f t="shared" ca="1" si="45"/>
        <v>1.8887140707796405E-2</v>
      </c>
      <c r="BZ33" s="1">
        <f t="shared" ca="1" si="46"/>
        <v>0.71942768007972013</v>
      </c>
      <c r="CB33" s="1">
        <f t="shared" ca="1" si="47"/>
        <v>383</v>
      </c>
      <c r="CC33" s="1">
        <f t="shared" ca="1" si="48"/>
        <v>7</v>
      </c>
      <c r="CD33" s="1">
        <f t="shared" ca="1" si="49"/>
        <v>0.26854096153914803</v>
      </c>
      <c r="CE33" s="1">
        <f t="shared" ca="1" si="50"/>
        <v>0.8569870176931691</v>
      </c>
      <c r="CF33" s="1">
        <f t="shared" ca="1" si="50"/>
        <v>0.88836492440243831</v>
      </c>
      <c r="CH33" s="3">
        <f t="shared" ca="1" si="51"/>
        <v>0.31836197413977546</v>
      </c>
      <c r="CI33" s="3">
        <f t="shared" ca="1" si="52"/>
        <v>0.49669670967198437</v>
      </c>
      <c r="CJ33" s="3">
        <f t="shared" ca="1" si="53"/>
        <v>1110</v>
      </c>
      <c r="CK33" s="3">
        <f t="shared" ca="1" si="54"/>
        <v>2.4594478185598935E-3</v>
      </c>
      <c r="CL33" s="3">
        <f t="shared" ca="1" si="55"/>
        <v>0</v>
      </c>
      <c r="CM33" s="3"/>
      <c r="CN33" s="1">
        <f t="shared" ca="1" si="56"/>
        <v>2.5417532003310539</v>
      </c>
      <c r="CO33" s="1">
        <f t="shared" ca="1" si="57"/>
        <v>0.42846497920102461</v>
      </c>
      <c r="CP33" s="1">
        <f t="shared" ca="1" si="58"/>
        <v>3</v>
      </c>
      <c r="CV33" s="1">
        <f t="shared" ca="1" si="59"/>
        <v>7.3289095055539928</v>
      </c>
      <c r="CW33" s="1">
        <f t="shared" ca="1" si="60"/>
        <v>989</v>
      </c>
      <c r="CX33" s="1">
        <f t="shared" ca="1" si="61"/>
        <v>6.6502023440660682E-3</v>
      </c>
      <c r="DH33" s="1">
        <f t="shared" ca="1" si="62"/>
        <v>841</v>
      </c>
      <c r="DI33" s="1">
        <f t="shared" ca="1" si="63"/>
        <v>0.77828576879065647</v>
      </c>
      <c r="DJ33" s="1">
        <f t="shared" ca="1" si="64"/>
        <v>12</v>
      </c>
      <c r="DL33" s="1">
        <f t="shared" ca="1" si="65"/>
        <v>0.17167962890462121</v>
      </c>
      <c r="DM33" s="1">
        <f t="shared" ca="1" si="66"/>
        <v>131</v>
      </c>
      <c r="DN33" s="1">
        <f t="shared" ca="1" si="67"/>
        <v>3</v>
      </c>
      <c r="DW33" s="1">
        <f t="shared" ca="1" si="71"/>
        <v>335</v>
      </c>
      <c r="DX33" s="1">
        <f t="shared" ca="1" si="72"/>
        <v>3</v>
      </c>
      <c r="DY33" s="1">
        <f t="shared" ca="1" si="73"/>
        <v>18</v>
      </c>
    </row>
    <row r="34" spans="2:129" x14ac:dyDescent="0.25">
      <c r="B34">
        <f t="shared" ca="1" si="0"/>
        <v>724</v>
      </c>
      <c r="C34">
        <f t="shared" ca="1" si="1"/>
        <v>20</v>
      </c>
      <c r="D34">
        <f t="shared" ca="1" si="2"/>
        <v>0.18427085048015848</v>
      </c>
      <c r="F34" s="1">
        <f t="shared" ca="1" si="3"/>
        <v>45</v>
      </c>
      <c r="G34" s="1">
        <f t="shared" ca="1" si="4"/>
        <v>13</v>
      </c>
      <c r="H34" s="1">
        <f t="shared" ca="1" si="5"/>
        <v>4</v>
      </c>
      <c r="I34" s="1"/>
      <c r="J34" s="1">
        <f t="shared" ca="1" si="6"/>
        <v>28</v>
      </c>
      <c r="K34" s="1">
        <f t="shared" ca="1" si="7"/>
        <v>2.7917912897366053</v>
      </c>
      <c r="L34" s="1">
        <f t="shared" ca="1" si="8"/>
        <v>2</v>
      </c>
      <c r="M34" s="1"/>
      <c r="N34" s="1">
        <f t="shared" ca="1" si="9"/>
        <v>477</v>
      </c>
      <c r="O34" s="1">
        <f t="shared" ca="1" si="10"/>
        <v>30</v>
      </c>
      <c r="P34" s="1"/>
      <c r="Q34" s="1">
        <f t="shared" ca="1" si="11"/>
        <v>0.96607684935297278</v>
      </c>
      <c r="R34" s="1">
        <f t="shared" ca="1" si="12"/>
        <v>539</v>
      </c>
      <c r="S34" s="1"/>
      <c r="T34" s="1">
        <f t="shared" ca="1" si="13"/>
        <v>6.4057543629350941E-2</v>
      </c>
      <c r="U34" s="1">
        <f t="shared" ca="1" si="14"/>
        <v>177</v>
      </c>
      <c r="V34" s="1">
        <f t="shared" ca="1" si="15"/>
        <v>3</v>
      </c>
      <c r="W34" s="1"/>
      <c r="X34" s="1">
        <f t="shared" ca="1" si="16"/>
        <v>7.1787590992155517</v>
      </c>
      <c r="Y34" s="1">
        <f t="shared" ca="1" si="17"/>
        <v>0.89356395760915275</v>
      </c>
      <c r="Z34" s="1">
        <f t="shared" ca="1" si="18"/>
        <v>1283</v>
      </c>
      <c r="AB34" s="1">
        <f t="shared" ca="1" si="19"/>
        <v>0.24196975358242773</v>
      </c>
      <c r="AC34" s="1">
        <f t="shared" ca="1" si="20"/>
        <v>516</v>
      </c>
      <c r="AD34" s="1">
        <f t="shared" ca="1" si="21"/>
        <v>8.0362480064070441E-4</v>
      </c>
      <c r="AE34" s="1"/>
      <c r="AF34" s="1">
        <f t="shared" ca="1" si="22"/>
        <v>0.7823451845357402</v>
      </c>
      <c r="AG34" s="1">
        <f t="shared" ca="1" si="23"/>
        <v>776</v>
      </c>
      <c r="AH34" s="1">
        <f t="shared" ca="1" si="24"/>
        <v>3.7111159424611692E-4</v>
      </c>
      <c r="AJ34" s="1">
        <f t="shared" ca="1" si="25"/>
        <v>0.73504144608279287</v>
      </c>
      <c r="AK34" s="1">
        <f t="shared" ca="1" si="26"/>
        <v>2.8873903183856218E-3</v>
      </c>
      <c r="AL34" s="1"/>
      <c r="AM34" s="1">
        <f t="shared" ca="1" si="27"/>
        <v>0.16579575750229295</v>
      </c>
      <c r="AN34" s="1">
        <f t="shared" ca="1" si="28"/>
        <v>38</v>
      </c>
      <c r="AO34" s="1">
        <f t="shared" ca="1" si="29"/>
        <v>14</v>
      </c>
      <c r="AQ34" s="1">
        <f t="shared" ca="1" si="30"/>
        <v>150</v>
      </c>
      <c r="AR34" s="1">
        <f t="shared" ca="1" si="31"/>
        <v>8</v>
      </c>
      <c r="AS34" s="1">
        <f t="shared" ca="1" si="32"/>
        <v>70</v>
      </c>
      <c r="AU34" s="1">
        <f t="shared" ca="1" si="33"/>
        <v>375</v>
      </c>
      <c r="AV34" s="1">
        <f t="shared" ca="1" si="34"/>
        <v>2</v>
      </c>
      <c r="AW34" s="1">
        <f t="shared" ca="1" si="35"/>
        <v>6.9129004699294297E-2</v>
      </c>
      <c r="AY34" s="1">
        <f t="shared" ca="1" si="36"/>
        <v>1.6210757572783068</v>
      </c>
      <c r="AZ34" s="1">
        <f t="shared" ca="1" si="37"/>
        <v>93</v>
      </c>
      <c r="BA34" s="1">
        <f t="shared" ca="1" si="38"/>
        <v>5.1830376671189796E-3</v>
      </c>
      <c r="BG34" s="1">
        <f t="shared" ca="1" si="39"/>
        <v>0.7033404042831134</v>
      </c>
      <c r="BH34" s="1">
        <f t="shared" ca="1" si="40"/>
        <v>0.44894140977070751</v>
      </c>
      <c r="BI34" s="1">
        <f t="shared" ca="1" si="41"/>
        <v>474</v>
      </c>
      <c r="BV34" s="1">
        <f t="shared" ca="1" si="42"/>
        <v>0.17673665984269843</v>
      </c>
      <c r="BW34" s="1">
        <f t="shared" ca="1" si="43"/>
        <v>782</v>
      </c>
      <c r="BX34" s="1">
        <f t="shared" ca="1" si="44"/>
        <v>9.7667606040264497E-3</v>
      </c>
      <c r="BY34" s="1">
        <f t="shared" ca="1" si="45"/>
        <v>1.1180332311872179E-2</v>
      </c>
      <c r="BZ34" s="1">
        <f t="shared" ca="1" si="46"/>
        <v>0.84229975216193986</v>
      </c>
      <c r="CB34" s="1">
        <f t="shared" ca="1" si="47"/>
        <v>348</v>
      </c>
      <c r="CC34" s="1">
        <f t="shared" ca="1" si="48"/>
        <v>8</v>
      </c>
      <c r="CD34" s="1">
        <f t="shared" ca="1" si="49"/>
        <v>0.15133234401865026</v>
      </c>
      <c r="CE34" s="1">
        <f t="shared" ca="1" si="50"/>
        <v>0.93124434464322414</v>
      </c>
      <c r="CF34" s="1">
        <f t="shared" ca="1" si="50"/>
        <v>0.7293012309587894</v>
      </c>
      <c r="CH34" s="3">
        <f t="shared" ca="1" si="51"/>
        <v>0.35152208639030497</v>
      </c>
      <c r="CI34" s="3">
        <f t="shared" ca="1" si="52"/>
        <v>0.28852164340309905</v>
      </c>
      <c r="CJ34" s="3">
        <f t="shared" ca="1" si="53"/>
        <v>395</v>
      </c>
      <c r="CK34" s="3">
        <f t="shared" ca="1" si="54"/>
        <v>6.4627179461552199E-3</v>
      </c>
      <c r="CL34" s="3">
        <f t="shared" ca="1" si="55"/>
        <v>1</v>
      </c>
      <c r="CM34" s="3"/>
      <c r="CN34" s="1">
        <f t="shared" ca="1" si="56"/>
        <v>19.013568517758266</v>
      </c>
      <c r="CO34" s="1">
        <f t="shared" ca="1" si="57"/>
        <v>0.40114129036645729</v>
      </c>
      <c r="CP34" s="1">
        <f t="shared" ca="1" si="58"/>
        <v>2</v>
      </c>
      <c r="CV34" s="1">
        <f t="shared" ca="1" si="59"/>
        <v>2.7526014149441309</v>
      </c>
      <c r="CW34" s="1">
        <f t="shared" ca="1" si="60"/>
        <v>203</v>
      </c>
      <c r="CX34" s="1">
        <f t="shared" ca="1" si="61"/>
        <v>1.4962213108526692E-3</v>
      </c>
      <c r="DH34" s="1">
        <f t="shared" ca="1" si="62"/>
        <v>256</v>
      </c>
      <c r="DI34" s="1">
        <f t="shared" ca="1" si="63"/>
        <v>0.48619193138095956</v>
      </c>
      <c r="DJ34" s="1">
        <f t="shared" ca="1" si="64"/>
        <v>28</v>
      </c>
      <c r="DL34" s="1">
        <f t="shared" ca="1" si="65"/>
        <v>0.11946474367052115</v>
      </c>
      <c r="DM34" s="1">
        <f t="shared" ca="1" si="66"/>
        <v>226</v>
      </c>
      <c r="DN34" s="1">
        <f t="shared" ca="1" si="67"/>
        <v>1</v>
      </c>
      <c r="DW34" s="1">
        <f t="shared" ca="1" si="71"/>
        <v>135</v>
      </c>
      <c r="DX34" s="1">
        <f t="shared" ca="1" si="72"/>
        <v>16</v>
      </c>
      <c r="DY34" s="1">
        <f t="shared" ca="1" si="73"/>
        <v>7</v>
      </c>
    </row>
    <row r="35" spans="2:129" x14ac:dyDescent="0.25">
      <c r="B35">
        <f t="shared" ca="1" si="0"/>
        <v>618</v>
      </c>
      <c r="C35">
        <f t="shared" ca="1" si="1"/>
        <v>38</v>
      </c>
      <c r="D35">
        <f t="shared" ca="1" si="2"/>
        <v>0.11747094041874659</v>
      </c>
      <c r="F35" s="1">
        <f t="shared" ca="1" si="3"/>
        <v>35</v>
      </c>
      <c r="G35" s="1">
        <f t="shared" ca="1" si="4"/>
        <v>26</v>
      </c>
      <c r="H35" s="1">
        <f t="shared" ca="1" si="5"/>
        <v>3</v>
      </c>
      <c r="I35" s="1"/>
      <c r="J35" s="1">
        <f t="shared" ca="1" si="6"/>
        <v>27</v>
      </c>
      <c r="K35" s="1">
        <f t="shared" ca="1" si="7"/>
        <v>2.493509572010427</v>
      </c>
      <c r="L35" s="1">
        <f t="shared" ca="1" si="8"/>
        <v>12</v>
      </c>
      <c r="M35" s="1"/>
      <c r="N35" s="1">
        <f t="shared" ca="1" si="9"/>
        <v>830</v>
      </c>
      <c r="O35" s="1">
        <f t="shared" ca="1" si="10"/>
        <v>31</v>
      </c>
      <c r="P35" s="1"/>
      <c r="Q35" s="1">
        <f t="shared" ca="1" si="11"/>
        <v>4.325970238566101</v>
      </c>
      <c r="R35" s="1">
        <f t="shared" ca="1" si="12"/>
        <v>341</v>
      </c>
      <c r="S35" s="1"/>
      <c r="T35" s="1">
        <f t="shared" ca="1" si="13"/>
        <v>2.6912685035498554E-2</v>
      </c>
      <c r="U35" s="1">
        <f t="shared" ca="1" si="14"/>
        <v>218</v>
      </c>
      <c r="V35" s="1">
        <f t="shared" ca="1" si="15"/>
        <v>33</v>
      </c>
      <c r="W35" s="1"/>
      <c r="X35" s="1">
        <f t="shared" ca="1" si="16"/>
        <v>7.6276933025875389</v>
      </c>
      <c r="Y35" s="1">
        <f t="shared" ca="1" si="17"/>
        <v>2.3695160323495647E-2</v>
      </c>
      <c r="Z35" s="1">
        <f t="shared" ca="1" si="18"/>
        <v>274</v>
      </c>
      <c r="AB35" s="1">
        <f t="shared" ca="1" si="19"/>
        <v>0.27448538892649904</v>
      </c>
      <c r="AC35" s="1">
        <f t="shared" ca="1" si="20"/>
        <v>986</v>
      </c>
      <c r="AD35" s="1">
        <f t="shared" ca="1" si="21"/>
        <v>9.7207068764611337E-3</v>
      </c>
      <c r="AE35" s="1"/>
      <c r="AF35" s="1">
        <f t="shared" ca="1" si="22"/>
        <v>0.69604336950270695</v>
      </c>
      <c r="AG35" s="1">
        <f t="shared" ca="1" si="23"/>
        <v>477</v>
      </c>
      <c r="AH35" s="1">
        <f t="shared" ca="1" si="24"/>
        <v>4.6354375395093392E-3</v>
      </c>
      <c r="AJ35" s="1">
        <f t="shared" ca="1" si="25"/>
        <v>0.98089426784014</v>
      </c>
      <c r="AK35" s="1">
        <f t="shared" ca="1" si="26"/>
        <v>7.2016426349325383E-4</v>
      </c>
      <c r="AL35" s="1"/>
      <c r="AM35" s="1">
        <f t="shared" ca="1" si="27"/>
        <v>3.7463004413671327E-2</v>
      </c>
      <c r="AN35" s="1">
        <f t="shared" ca="1" si="28"/>
        <v>17</v>
      </c>
      <c r="AO35" s="1">
        <f t="shared" ca="1" si="29"/>
        <v>0</v>
      </c>
      <c r="AQ35" s="1">
        <f t="shared" ca="1" si="30"/>
        <v>80</v>
      </c>
      <c r="AR35" s="1">
        <f t="shared" ca="1" si="31"/>
        <v>10</v>
      </c>
      <c r="AS35" s="1">
        <f t="shared" ca="1" si="32"/>
        <v>31</v>
      </c>
      <c r="AU35" s="1">
        <f t="shared" ca="1" si="33"/>
        <v>74</v>
      </c>
      <c r="AV35" s="1">
        <f t="shared" ca="1" si="34"/>
        <v>9</v>
      </c>
      <c r="AW35" s="1">
        <f t="shared" ca="1" si="35"/>
        <v>0.11307881026453634</v>
      </c>
      <c r="AY35" s="1">
        <f t="shared" ca="1" si="36"/>
        <v>1.2385202476527795</v>
      </c>
      <c r="AZ35" s="1">
        <f t="shared" ca="1" si="37"/>
        <v>320</v>
      </c>
      <c r="BA35" s="1">
        <f t="shared" ca="1" si="38"/>
        <v>3.2617954293468203E-3</v>
      </c>
      <c r="BG35" s="1">
        <f t="shared" ca="1" si="39"/>
        <v>0.90102673901744246</v>
      </c>
      <c r="BH35" s="1">
        <f t="shared" ca="1" si="40"/>
        <v>0.20568307618434867</v>
      </c>
      <c r="BI35" s="1">
        <f t="shared" ca="1" si="41"/>
        <v>113</v>
      </c>
      <c r="BV35" s="1">
        <f t="shared" ca="1" si="42"/>
        <v>0.97492335571939392</v>
      </c>
      <c r="BW35" s="1">
        <f t="shared" ca="1" si="43"/>
        <v>906</v>
      </c>
      <c r="BX35" s="1">
        <f t="shared" ca="1" si="44"/>
        <v>4.5128910849513166E-3</v>
      </c>
      <c r="BY35" s="1">
        <f t="shared" ca="1" si="45"/>
        <v>4.1116343003309727E-2</v>
      </c>
      <c r="BZ35" s="1">
        <f t="shared" ca="1" si="46"/>
        <v>0.9730918001053066</v>
      </c>
      <c r="CB35" s="1">
        <f t="shared" ca="1" si="47"/>
        <v>306</v>
      </c>
      <c r="CC35" s="1">
        <f t="shared" ca="1" si="48"/>
        <v>10</v>
      </c>
      <c r="CD35" s="1">
        <f t="shared" ca="1" si="49"/>
        <v>8.5008493834807908E-2</v>
      </c>
      <c r="CE35" s="1">
        <f t="shared" ca="1" si="50"/>
        <v>0.95833315926778784</v>
      </c>
      <c r="CF35" s="1">
        <f t="shared" ca="1" si="50"/>
        <v>0.84071807011258104</v>
      </c>
      <c r="CH35" s="3">
        <f t="shared" ca="1" si="51"/>
        <v>0.78895688370339701</v>
      </c>
      <c r="CI35" s="3">
        <f t="shared" ca="1" si="52"/>
        <v>0.14039840153870106</v>
      </c>
      <c r="CJ35" s="3">
        <f t="shared" ca="1" si="53"/>
        <v>411</v>
      </c>
      <c r="CK35" s="3">
        <f t="shared" ca="1" si="54"/>
        <v>4.0165904252604627E-3</v>
      </c>
      <c r="CL35" s="3">
        <f t="shared" ca="1" si="55"/>
        <v>0</v>
      </c>
      <c r="CM35" s="3"/>
      <c r="CN35" s="1">
        <f t="shared" ca="1" si="56"/>
        <v>3.8607838192895696</v>
      </c>
      <c r="CO35" s="1">
        <f t="shared" ca="1" si="57"/>
        <v>6.8515741490071169E-2</v>
      </c>
      <c r="CP35" s="1">
        <f t="shared" ca="1" si="58"/>
        <v>5</v>
      </c>
      <c r="CV35" s="1">
        <f t="shared" ca="1" si="59"/>
        <v>1.9089756183872921</v>
      </c>
      <c r="CW35" s="1">
        <f t="shared" ca="1" si="60"/>
        <v>173</v>
      </c>
      <c r="CX35" s="1">
        <f t="shared" ca="1" si="61"/>
        <v>7.566946773956044E-3</v>
      </c>
      <c r="DH35" s="1">
        <f t="shared" ca="1" si="62"/>
        <v>282</v>
      </c>
      <c r="DI35" s="1">
        <f t="shared" ca="1" si="63"/>
        <v>0.77740485384239222</v>
      </c>
      <c r="DJ35" s="1">
        <f t="shared" ca="1" si="64"/>
        <v>12</v>
      </c>
      <c r="DL35" s="1">
        <f t="shared" ca="1" si="65"/>
        <v>4.0978427934707191E-2</v>
      </c>
      <c r="DM35" s="1">
        <f t="shared" ca="1" si="66"/>
        <v>152</v>
      </c>
      <c r="DN35" s="1">
        <f t="shared" ca="1" si="67"/>
        <v>7</v>
      </c>
      <c r="DW35" s="1">
        <f t="shared" ca="1" si="71"/>
        <v>241</v>
      </c>
      <c r="DX35" s="1">
        <f t="shared" ca="1" si="72"/>
        <v>6</v>
      </c>
      <c r="DY35" s="1">
        <f t="shared" ca="1" si="73"/>
        <v>9</v>
      </c>
    </row>
    <row r="36" spans="2:129" x14ac:dyDescent="0.25">
      <c r="B36">
        <f t="shared" ca="1" si="0"/>
        <v>273</v>
      </c>
      <c r="C36">
        <f t="shared" ca="1" si="1"/>
        <v>43</v>
      </c>
      <c r="D36">
        <f t="shared" ca="1" si="2"/>
        <v>8.9192741911752332E-2</v>
      </c>
      <c r="F36" s="1">
        <f t="shared" ca="1" si="3"/>
        <v>13</v>
      </c>
      <c r="G36" s="1">
        <f t="shared" ca="1" si="4"/>
        <v>6</v>
      </c>
      <c r="H36" s="1">
        <f t="shared" ca="1" si="5"/>
        <v>5</v>
      </c>
      <c r="I36" s="1"/>
      <c r="J36" s="1">
        <f t="shared" ca="1" si="6"/>
        <v>21</v>
      </c>
      <c r="K36" s="1">
        <f t="shared" ca="1" si="7"/>
        <v>1.6580464053015511</v>
      </c>
      <c r="L36" s="1">
        <f t="shared" ca="1" si="8"/>
        <v>31</v>
      </c>
      <c r="M36" s="1"/>
      <c r="N36" s="1">
        <f t="shared" ca="1" si="9"/>
        <v>440</v>
      </c>
      <c r="O36" s="1">
        <f t="shared" ca="1" si="10"/>
        <v>52</v>
      </c>
      <c r="P36" s="1"/>
      <c r="Q36" s="1">
        <f t="shared" ca="1" si="11"/>
        <v>4.0681048595690914</v>
      </c>
      <c r="R36" s="1">
        <f t="shared" ca="1" si="12"/>
        <v>336</v>
      </c>
      <c r="S36" s="1"/>
      <c r="T36" s="1">
        <f t="shared" ca="1" si="13"/>
        <v>0.13090366607938683</v>
      </c>
      <c r="U36" s="1">
        <f t="shared" ca="1" si="14"/>
        <v>246</v>
      </c>
      <c r="V36" s="1">
        <f t="shared" ca="1" si="15"/>
        <v>7</v>
      </c>
      <c r="W36" s="1"/>
      <c r="X36" s="1">
        <f t="shared" ca="1" si="16"/>
        <v>3.8947025383895375</v>
      </c>
      <c r="Y36" s="1">
        <f t="shared" ca="1" si="17"/>
        <v>0.87309510125019962</v>
      </c>
      <c r="Z36" s="1">
        <f t="shared" ca="1" si="18"/>
        <v>1474</v>
      </c>
      <c r="AB36" s="1">
        <f t="shared" ca="1" si="19"/>
        <v>6.4155584485207334E-2</v>
      </c>
      <c r="AC36" s="1">
        <f t="shared" ca="1" si="20"/>
        <v>365</v>
      </c>
      <c r="AD36" s="1">
        <f t="shared" ca="1" si="21"/>
        <v>7.438873609286272E-3</v>
      </c>
      <c r="AE36" s="1"/>
      <c r="AF36" s="1">
        <f t="shared" ca="1" si="22"/>
        <v>0.33288215504963414</v>
      </c>
      <c r="AG36" s="1">
        <f t="shared" ca="1" si="23"/>
        <v>309</v>
      </c>
      <c r="AH36" s="1">
        <f t="shared" ca="1" si="24"/>
        <v>8.4847916248975419E-3</v>
      </c>
      <c r="AJ36" s="1">
        <f t="shared" ca="1" si="25"/>
        <v>0.83002854118724356</v>
      </c>
      <c r="AK36" s="1">
        <f t="shared" ca="1" si="26"/>
        <v>7.2219143314432672E-3</v>
      </c>
      <c r="AL36" s="1"/>
      <c r="AM36" s="1">
        <f t="shared" ca="1" si="27"/>
        <v>0.14541462179343806</v>
      </c>
      <c r="AN36" s="1">
        <f t="shared" ca="1" si="28"/>
        <v>59</v>
      </c>
      <c r="AO36" s="1">
        <f t="shared" ca="1" si="29"/>
        <v>2</v>
      </c>
      <c r="AQ36" s="1">
        <f t="shared" ca="1" si="30"/>
        <v>22</v>
      </c>
      <c r="AR36" s="1">
        <f t="shared" ca="1" si="31"/>
        <v>8</v>
      </c>
      <c r="AS36" s="1">
        <f t="shared" ca="1" si="32"/>
        <v>45</v>
      </c>
      <c r="AU36" s="1">
        <f t="shared" ca="1" si="33"/>
        <v>73</v>
      </c>
      <c r="AV36" s="1">
        <f t="shared" ca="1" si="34"/>
        <v>10</v>
      </c>
      <c r="AW36" s="1">
        <f t="shared" ca="1" si="35"/>
        <v>0.17843915270711327</v>
      </c>
      <c r="AY36" s="1">
        <f t="shared" ca="1" si="36"/>
        <v>1.5797195578198522</v>
      </c>
      <c r="AZ36" s="1">
        <f t="shared" ca="1" si="37"/>
        <v>482</v>
      </c>
      <c r="BA36" s="1">
        <f t="shared" ca="1" si="38"/>
        <v>8.6166596531163948E-3</v>
      </c>
      <c r="BG36" s="1">
        <f t="shared" ca="1" si="39"/>
        <v>0.70109046215667414</v>
      </c>
      <c r="BH36" s="1">
        <f t="shared" ca="1" si="40"/>
        <v>0.85587641409211845</v>
      </c>
      <c r="BI36" s="1">
        <f t="shared" ca="1" si="41"/>
        <v>986</v>
      </c>
      <c r="BV36" s="1">
        <f t="shared" ca="1" si="42"/>
        <v>0.35349651834476842</v>
      </c>
      <c r="BW36" s="1">
        <f t="shared" ca="1" si="43"/>
        <v>756</v>
      </c>
      <c r="BX36" s="1">
        <f t="shared" ca="1" si="44"/>
        <v>8.9731228685642119E-3</v>
      </c>
      <c r="BY36" s="1">
        <f t="shared" ca="1" si="45"/>
        <v>3.4687931727032391E-2</v>
      </c>
      <c r="BZ36" s="1">
        <f t="shared" ca="1" si="46"/>
        <v>0.85589953538829877</v>
      </c>
      <c r="CB36" s="1">
        <f t="shared" ca="1" si="47"/>
        <v>95</v>
      </c>
      <c r="CC36" s="1">
        <f t="shared" ca="1" si="48"/>
        <v>13</v>
      </c>
      <c r="CD36" s="1">
        <f t="shared" ca="1" si="49"/>
        <v>7.30554020369798E-2</v>
      </c>
      <c r="CE36" s="1">
        <f t="shared" ref="CE36:CF67" ca="1" si="74">RAND()*(1-0.5)+0.5</f>
        <v>0.67618614139242728</v>
      </c>
      <c r="CF36" s="1">
        <f t="shared" ca="1" si="74"/>
        <v>0.65484236437769572</v>
      </c>
      <c r="CH36" s="3">
        <f t="shared" ca="1" si="51"/>
        <v>0.81582071044050619</v>
      </c>
      <c r="CI36" s="3">
        <f t="shared" ca="1" si="52"/>
        <v>5.179027983389245E-2</v>
      </c>
      <c r="CJ36" s="3">
        <f t="shared" ca="1" si="53"/>
        <v>968</v>
      </c>
      <c r="CK36" s="3">
        <f t="shared" ca="1" si="54"/>
        <v>1.3795908722414765E-3</v>
      </c>
      <c r="CL36" s="3">
        <f t="shared" ca="1" si="55"/>
        <v>1</v>
      </c>
      <c r="CM36" s="3"/>
      <c r="CN36" s="1">
        <f t="shared" ca="1" si="56"/>
        <v>14.465205131686183</v>
      </c>
      <c r="CO36" s="1">
        <f t="shared" ca="1" si="57"/>
        <v>6.6614167701474103E-2</v>
      </c>
      <c r="CP36" s="1">
        <f t="shared" ca="1" si="58"/>
        <v>5</v>
      </c>
      <c r="CV36" s="1">
        <f t="shared" ca="1" si="59"/>
        <v>7.7017166302619904</v>
      </c>
      <c r="CW36" s="1">
        <f t="shared" ca="1" si="60"/>
        <v>607</v>
      </c>
      <c r="CX36" s="1">
        <f t="shared" ca="1" si="61"/>
        <v>2.0310531839067093E-4</v>
      </c>
      <c r="DH36" s="1">
        <f t="shared" ca="1" si="62"/>
        <v>135</v>
      </c>
      <c r="DI36" s="1">
        <f t="shared" ca="1" si="63"/>
        <v>0.46157559385709712</v>
      </c>
      <c r="DJ36" s="1">
        <f t="shared" ca="1" si="64"/>
        <v>9</v>
      </c>
      <c r="DL36" s="1">
        <f t="shared" ca="1" si="65"/>
        <v>0.19490281928023015</v>
      </c>
      <c r="DM36" s="1">
        <f t="shared" ca="1" si="66"/>
        <v>217</v>
      </c>
      <c r="DN36" s="1">
        <f t="shared" ca="1" si="67"/>
        <v>2</v>
      </c>
      <c r="DW36" s="1">
        <f t="shared" ca="1" si="71"/>
        <v>76</v>
      </c>
      <c r="DX36" s="1">
        <f t="shared" ca="1" si="72"/>
        <v>12</v>
      </c>
      <c r="DY36" s="1">
        <f t="shared" ca="1" si="73"/>
        <v>12</v>
      </c>
    </row>
    <row r="37" spans="2:129" x14ac:dyDescent="0.25">
      <c r="B37">
        <f t="shared" ca="1" si="0"/>
        <v>931</v>
      </c>
      <c r="C37">
        <f t="shared" ca="1" si="1"/>
        <v>51</v>
      </c>
      <c r="D37">
        <f t="shared" ca="1" si="2"/>
        <v>0.27169444608646726</v>
      </c>
      <c r="F37" s="1">
        <f t="shared" ca="1" si="3"/>
        <v>10</v>
      </c>
      <c r="G37" s="1">
        <f t="shared" ca="1" si="4"/>
        <v>13</v>
      </c>
      <c r="H37" s="1">
        <f t="shared" ca="1" si="5"/>
        <v>6</v>
      </c>
      <c r="I37" s="1"/>
      <c r="J37" s="1">
        <f t="shared" ca="1" si="6"/>
        <v>29</v>
      </c>
      <c r="K37" s="1">
        <f t="shared" ca="1" si="7"/>
        <v>1.1342247297859198</v>
      </c>
      <c r="L37" s="1">
        <f t="shared" ca="1" si="8"/>
        <v>6</v>
      </c>
      <c r="M37" s="1"/>
      <c r="N37" s="1">
        <f t="shared" ca="1" si="9"/>
        <v>502</v>
      </c>
      <c r="O37" s="1">
        <f t="shared" ca="1" si="10"/>
        <v>41</v>
      </c>
      <c r="P37" s="1"/>
      <c r="Q37" s="1">
        <f t="shared" ca="1" si="11"/>
        <v>1.2923609380839876</v>
      </c>
      <c r="R37" s="1">
        <f t="shared" ca="1" si="12"/>
        <v>920</v>
      </c>
      <c r="S37" s="1"/>
      <c r="T37" s="1">
        <f t="shared" ca="1" si="13"/>
        <v>0.13089191654819018</v>
      </c>
      <c r="U37" s="1">
        <f t="shared" ca="1" si="14"/>
        <v>364</v>
      </c>
      <c r="V37" s="1">
        <f t="shared" ca="1" si="15"/>
        <v>18</v>
      </c>
      <c r="W37" s="1"/>
      <c r="X37" s="1">
        <f t="shared" ca="1" si="16"/>
        <v>9.2066325404758302</v>
      </c>
      <c r="Y37" s="1">
        <f t="shared" ca="1" si="17"/>
        <v>0.48504010146212195</v>
      </c>
      <c r="Z37" s="1">
        <f t="shared" ca="1" si="18"/>
        <v>1784</v>
      </c>
      <c r="AB37" s="1">
        <f t="shared" ca="1" si="19"/>
        <v>0.8852261237973571</v>
      </c>
      <c r="AC37" s="1">
        <f t="shared" ca="1" si="20"/>
        <v>777</v>
      </c>
      <c r="AD37" s="1">
        <f t="shared" ca="1" si="21"/>
        <v>5.8957998548964967E-3</v>
      </c>
      <c r="AE37" s="1"/>
      <c r="AF37" s="1">
        <f t="shared" ca="1" si="22"/>
        <v>0.23328043548882765</v>
      </c>
      <c r="AG37" s="1">
        <f t="shared" ca="1" si="23"/>
        <v>543</v>
      </c>
      <c r="AH37" s="1">
        <f t="shared" ca="1" si="24"/>
        <v>7.1809249734127141E-3</v>
      </c>
      <c r="AJ37" s="1">
        <f t="shared" ca="1" si="25"/>
        <v>0.77505812535602925</v>
      </c>
      <c r="AK37" s="1">
        <f t="shared" ca="1" si="26"/>
        <v>5.3801679467673875E-3</v>
      </c>
      <c r="AL37" s="1"/>
      <c r="AM37" s="1">
        <f t="shared" ca="1" si="27"/>
        <v>2.3309198583182159E-2</v>
      </c>
      <c r="AN37" s="1">
        <f t="shared" ca="1" si="28"/>
        <v>10</v>
      </c>
      <c r="AO37" s="1">
        <f t="shared" ca="1" si="29"/>
        <v>0</v>
      </c>
      <c r="AQ37" s="1">
        <f t="shared" ca="1" si="30"/>
        <v>74</v>
      </c>
      <c r="AR37" s="1">
        <f t="shared" ca="1" si="31"/>
        <v>10</v>
      </c>
      <c r="AS37" s="1">
        <f t="shared" ca="1" si="32"/>
        <v>44</v>
      </c>
      <c r="AU37" s="1">
        <f t="shared" ca="1" si="33"/>
        <v>80</v>
      </c>
      <c r="AV37" s="1">
        <f t="shared" ca="1" si="34"/>
        <v>3</v>
      </c>
      <c r="AW37" s="1">
        <f t="shared" ca="1" si="35"/>
        <v>0.13055230442982863</v>
      </c>
      <c r="AY37" s="1">
        <f t="shared" ca="1" si="36"/>
        <v>1.6376547381154798</v>
      </c>
      <c r="AZ37" s="1">
        <f t="shared" ca="1" si="37"/>
        <v>56</v>
      </c>
      <c r="BA37" s="1">
        <f t="shared" ca="1" si="38"/>
        <v>7.6030408570147033E-3</v>
      </c>
      <c r="BG37" s="1">
        <f t="shared" ca="1" si="39"/>
        <v>0.12910829030301549</v>
      </c>
      <c r="BH37" s="1">
        <f t="shared" ca="1" si="40"/>
        <v>0.54448270002145649</v>
      </c>
      <c r="BI37" s="1">
        <f t="shared" ca="1" si="41"/>
        <v>187</v>
      </c>
      <c r="BV37" s="1">
        <f t="shared" ca="1" si="42"/>
        <v>0.77154499747715721</v>
      </c>
      <c r="BW37" s="1">
        <f t="shared" ca="1" si="43"/>
        <v>378</v>
      </c>
      <c r="BX37" s="1">
        <f t="shared" ca="1" si="44"/>
        <v>1.1551213309049331E-3</v>
      </c>
      <c r="BY37" s="1">
        <f t="shared" ca="1" si="45"/>
        <v>2.5200538094147067E-2</v>
      </c>
      <c r="BZ37" s="1">
        <f t="shared" ca="1" si="46"/>
        <v>0.27206520846624682</v>
      </c>
      <c r="CB37" s="1">
        <f t="shared" ca="1" si="47"/>
        <v>303</v>
      </c>
      <c r="CC37" s="1">
        <f t="shared" ca="1" si="48"/>
        <v>6</v>
      </c>
      <c r="CD37" s="1">
        <f t="shared" ca="1" si="49"/>
        <v>0.21325445555194944</v>
      </c>
      <c r="CE37" s="1">
        <f t="shared" ca="1" si="74"/>
        <v>0.77337683304443472</v>
      </c>
      <c r="CF37" s="1">
        <f t="shared" ca="1" si="74"/>
        <v>0.7674377753303121</v>
      </c>
      <c r="CH37" s="3">
        <f t="shared" ca="1" si="51"/>
        <v>0.76497796594323841</v>
      </c>
      <c r="CI37" s="3">
        <f t="shared" ca="1" si="52"/>
        <v>0.72718041408864353</v>
      </c>
      <c r="CJ37" s="3">
        <f t="shared" ca="1" si="53"/>
        <v>1312</v>
      </c>
      <c r="CK37" s="3">
        <f t="shared" ca="1" si="54"/>
        <v>2.4065939630357985E-3</v>
      </c>
      <c r="CL37" s="3">
        <f t="shared" ca="1" si="55"/>
        <v>1</v>
      </c>
      <c r="CM37" s="3"/>
      <c r="CN37" s="1">
        <f t="shared" ca="1" si="56"/>
        <v>9.9426055517533563</v>
      </c>
      <c r="CO37" s="1">
        <f t="shared" ca="1" si="57"/>
        <v>0.35548408865842573</v>
      </c>
      <c r="CP37" s="1">
        <f t="shared" ca="1" si="58"/>
        <v>1</v>
      </c>
      <c r="CV37" s="1">
        <f t="shared" ca="1" si="59"/>
        <v>3.0603021522929175</v>
      </c>
      <c r="CW37" s="1">
        <f t="shared" ca="1" si="60"/>
        <v>1704</v>
      </c>
      <c r="CX37" s="1">
        <f t="shared" ca="1" si="61"/>
        <v>7.3436830478429129E-3</v>
      </c>
      <c r="DH37" s="1">
        <f t="shared" ca="1" si="62"/>
        <v>833</v>
      </c>
      <c r="DI37" s="1">
        <f t="shared" ca="1" si="63"/>
        <v>0.23460718170076281</v>
      </c>
      <c r="DJ37" s="1">
        <f t="shared" ca="1" si="64"/>
        <v>9</v>
      </c>
      <c r="DL37" s="1">
        <f t="shared" ca="1" si="65"/>
        <v>0.1441341494148011</v>
      </c>
      <c r="DM37" s="1">
        <f t="shared" ca="1" si="66"/>
        <v>166</v>
      </c>
      <c r="DN37" s="1">
        <f t="shared" ca="1" si="67"/>
        <v>7</v>
      </c>
      <c r="DW37" s="1">
        <f t="shared" ca="1" si="71"/>
        <v>81</v>
      </c>
      <c r="DX37" s="1">
        <f t="shared" ca="1" si="72"/>
        <v>3</v>
      </c>
      <c r="DY37" s="1">
        <f t="shared" ca="1" si="73"/>
        <v>20</v>
      </c>
    </row>
    <row r="38" spans="2:129" x14ac:dyDescent="0.25">
      <c r="B38">
        <f t="shared" ca="1" si="0"/>
        <v>855</v>
      </c>
      <c r="C38">
        <f t="shared" ca="1" si="1"/>
        <v>19</v>
      </c>
      <c r="D38">
        <f t="shared" ca="1" si="2"/>
        <v>0.2324314987069204</v>
      </c>
      <c r="F38" s="1">
        <f t="shared" ca="1" si="3"/>
        <v>33</v>
      </c>
      <c r="G38" s="1">
        <f t="shared" ca="1" si="4"/>
        <v>5</v>
      </c>
      <c r="H38" s="1">
        <f t="shared" ca="1" si="5"/>
        <v>5</v>
      </c>
      <c r="I38" s="1"/>
      <c r="J38" s="1">
        <f t="shared" ca="1" si="6"/>
        <v>13</v>
      </c>
      <c r="K38" s="1">
        <f t="shared" ca="1" si="7"/>
        <v>1.8296003168925556</v>
      </c>
      <c r="L38" s="1">
        <f t="shared" ca="1" si="8"/>
        <v>17</v>
      </c>
      <c r="M38" s="1"/>
      <c r="N38" s="1">
        <f t="shared" ca="1" si="9"/>
        <v>38</v>
      </c>
      <c r="O38" s="1">
        <f t="shared" ca="1" si="10"/>
        <v>19</v>
      </c>
      <c r="P38" s="1"/>
      <c r="Q38" s="1">
        <f t="shared" ca="1" si="11"/>
        <v>3.6374551482330495</v>
      </c>
      <c r="R38" s="1">
        <f t="shared" ca="1" si="12"/>
        <v>691</v>
      </c>
      <c r="S38" s="1"/>
      <c r="T38" s="1">
        <f t="shared" ca="1" si="13"/>
        <v>1.5014867606882251E-2</v>
      </c>
      <c r="U38" s="1">
        <f t="shared" ca="1" si="14"/>
        <v>213</v>
      </c>
      <c r="V38" s="1">
        <f t="shared" ca="1" si="15"/>
        <v>8</v>
      </c>
      <c r="W38" s="1"/>
      <c r="X38" s="1">
        <f t="shared" ca="1" si="16"/>
        <v>3.0969738103686755</v>
      </c>
      <c r="Y38" s="1">
        <f t="shared" ca="1" si="17"/>
        <v>0.87782410661294608</v>
      </c>
      <c r="Z38" s="1">
        <f t="shared" ca="1" si="18"/>
        <v>850</v>
      </c>
      <c r="AB38" s="1">
        <f t="shared" ca="1" si="19"/>
        <v>0.64797593827595834</v>
      </c>
      <c r="AC38" s="1">
        <f t="shared" ca="1" si="20"/>
        <v>586</v>
      </c>
      <c r="AD38" s="1">
        <f t="shared" ca="1" si="21"/>
        <v>4.6605620037892138E-3</v>
      </c>
      <c r="AE38" s="1"/>
      <c r="AF38" s="1">
        <f t="shared" ca="1" si="22"/>
        <v>0.48771862793012388</v>
      </c>
      <c r="AG38" s="1">
        <f t="shared" ca="1" si="23"/>
        <v>671</v>
      </c>
      <c r="AH38" s="1">
        <f t="shared" ca="1" si="24"/>
        <v>5.0281788253347568E-4</v>
      </c>
      <c r="AJ38" s="1">
        <f t="shared" ca="1" si="25"/>
        <v>0.6634594258413743</v>
      </c>
      <c r="AK38" s="1">
        <f t="shared" ca="1" si="26"/>
        <v>7.6139014553679388E-3</v>
      </c>
      <c r="AL38" s="1"/>
      <c r="AM38" s="1">
        <f t="shared" ca="1" si="27"/>
        <v>0.117843544965993</v>
      </c>
      <c r="AN38" s="1">
        <f t="shared" ca="1" si="28"/>
        <v>65</v>
      </c>
      <c r="AO38" s="1">
        <f t="shared" ca="1" si="29"/>
        <v>11</v>
      </c>
      <c r="AQ38" s="1">
        <f t="shared" ca="1" si="30"/>
        <v>41</v>
      </c>
      <c r="AR38" s="1">
        <f t="shared" ca="1" si="31"/>
        <v>5</v>
      </c>
      <c r="AS38" s="1">
        <f t="shared" ca="1" si="32"/>
        <v>53</v>
      </c>
      <c r="AU38" s="1">
        <f t="shared" ca="1" si="33"/>
        <v>215</v>
      </c>
      <c r="AV38" s="1">
        <f t="shared" ca="1" si="34"/>
        <v>7</v>
      </c>
      <c r="AW38" s="1">
        <f t="shared" ca="1" si="35"/>
        <v>0.14968536897032961</v>
      </c>
      <c r="AY38" s="1">
        <f t="shared" ca="1" si="36"/>
        <v>1.2248055842154997</v>
      </c>
      <c r="AZ38" s="1">
        <f t="shared" ca="1" si="37"/>
        <v>244</v>
      </c>
      <c r="BA38" s="1">
        <f t="shared" ca="1" si="38"/>
        <v>8.9079826722048717E-3</v>
      </c>
      <c r="BG38" s="1">
        <f t="shared" ca="1" si="39"/>
        <v>0.61623082530780249</v>
      </c>
      <c r="BH38" s="1">
        <f t="shared" ca="1" si="40"/>
        <v>0.24518993848876924</v>
      </c>
      <c r="BI38" s="1">
        <f t="shared" ca="1" si="41"/>
        <v>112</v>
      </c>
      <c r="BV38" s="1">
        <f t="shared" ca="1" si="42"/>
        <v>0.72481297534521194</v>
      </c>
      <c r="BW38" s="1">
        <f t="shared" ca="1" si="43"/>
        <v>169</v>
      </c>
      <c r="BX38" s="1">
        <f t="shared" ca="1" si="44"/>
        <v>1.7608240599950472E-3</v>
      </c>
      <c r="BY38" s="1">
        <f t="shared" ca="1" si="45"/>
        <v>2.5998184711587633E-2</v>
      </c>
      <c r="BZ38" s="1">
        <f t="shared" ca="1" si="46"/>
        <v>0.38566050470670565</v>
      </c>
      <c r="CB38" s="1">
        <f t="shared" ca="1" si="47"/>
        <v>100</v>
      </c>
      <c r="CC38" s="1">
        <f t="shared" ca="1" si="48"/>
        <v>7</v>
      </c>
      <c r="CD38" s="1">
        <f t="shared" ca="1" si="49"/>
        <v>0.21381288603125156</v>
      </c>
      <c r="CE38" s="1">
        <f t="shared" ca="1" si="74"/>
        <v>0.94188518251671405</v>
      </c>
      <c r="CF38" s="1">
        <f t="shared" ca="1" si="74"/>
        <v>0.54297245504875069</v>
      </c>
      <c r="CH38" s="3">
        <f t="shared" ca="1" si="51"/>
        <v>0.10463669850303656</v>
      </c>
      <c r="CI38" s="3">
        <f t="shared" ca="1" si="52"/>
        <v>0.31461117856440057</v>
      </c>
      <c r="CJ38" s="3">
        <f t="shared" ca="1" si="53"/>
        <v>1970</v>
      </c>
      <c r="CK38" s="3">
        <f t="shared" ca="1" si="54"/>
        <v>4.2750224251175877E-3</v>
      </c>
      <c r="CL38" s="3">
        <f t="shared" ca="1" si="55"/>
        <v>0</v>
      </c>
      <c r="CM38" s="3"/>
      <c r="CN38" s="1">
        <f t="shared" ca="1" si="56"/>
        <v>12.983173614803327</v>
      </c>
      <c r="CO38" s="1">
        <f t="shared" ca="1" si="57"/>
        <v>0.24927183199522168</v>
      </c>
      <c r="CP38" s="1">
        <f t="shared" ca="1" si="58"/>
        <v>4</v>
      </c>
      <c r="CV38" s="1">
        <f t="shared" ca="1" si="59"/>
        <v>8.0269983957071815</v>
      </c>
      <c r="CW38" s="1">
        <f t="shared" ca="1" si="60"/>
        <v>118</v>
      </c>
      <c r="CX38" s="1">
        <f t="shared" ca="1" si="61"/>
        <v>5.3680276892190135E-3</v>
      </c>
      <c r="DH38" s="1">
        <f t="shared" ca="1" si="62"/>
        <v>552</v>
      </c>
      <c r="DI38" s="1">
        <f t="shared" ca="1" si="63"/>
        <v>0.71388730152647795</v>
      </c>
      <c r="DJ38" s="1">
        <f t="shared" ca="1" si="64"/>
        <v>23</v>
      </c>
      <c r="DL38" s="1">
        <f t="shared" ca="1" si="65"/>
        <v>0.13315215383201004</v>
      </c>
      <c r="DM38" s="1">
        <f t="shared" ca="1" si="66"/>
        <v>231</v>
      </c>
      <c r="DN38" s="1">
        <f t="shared" ca="1" si="67"/>
        <v>8</v>
      </c>
      <c r="DW38" s="1">
        <f t="shared" ca="1" si="71"/>
        <v>360</v>
      </c>
      <c r="DX38" s="1">
        <f t="shared" ca="1" si="72"/>
        <v>11</v>
      </c>
      <c r="DY38" s="1">
        <f t="shared" ca="1" si="73"/>
        <v>17</v>
      </c>
    </row>
    <row r="39" spans="2:129" x14ac:dyDescent="0.25">
      <c r="B39">
        <f t="shared" ca="1" si="0"/>
        <v>53</v>
      </c>
      <c r="C39">
        <f t="shared" ca="1" si="1"/>
        <v>18</v>
      </c>
      <c r="D39">
        <f t="shared" ca="1" si="2"/>
        <v>0.12174743739682639</v>
      </c>
      <c r="F39" s="1">
        <f t="shared" ca="1" si="3"/>
        <v>43</v>
      </c>
      <c r="G39" s="1">
        <f t="shared" ca="1" si="4"/>
        <v>28</v>
      </c>
      <c r="H39" s="1">
        <f t="shared" ca="1" si="5"/>
        <v>5</v>
      </c>
      <c r="I39" s="1"/>
      <c r="J39" s="1">
        <f t="shared" ca="1" si="6"/>
        <v>14</v>
      </c>
      <c r="K39" s="1">
        <f t="shared" ca="1" si="7"/>
        <v>2.3966713919737579</v>
      </c>
      <c r="L39" s="1">
        <f t="shared" ca="1" si="8"/>
        <v>18</v>
      </c>
      <c r="M39" s="1"/>
      <c r="N39" s="1">
        <f t="shared" ca="1" si="9"/>
        <v>612</v>
      </c>
      <c r="O39" s="1">
        <f t="shared" ca="1" si="10"/>
        <v>30</v>
      </c>
      <c r="P39" s="1"/>
      <c r="Q39" s="1">
        <f t="shared" ca="1" si="11"/>
        <v>1.2959905195866153</v>
      </c>
      <c r="R39" s="1">
        <f t="shared" ca="1" si="12"/>
        <v>551</v>
      </c>
      <c r="S39" s="1"/>
      <c r="T39" s="1">
        <f t="shared" ca="1" si="13"/>
        <v>0.11528102275832383</v>
      </c>
      <c r="U39" s="1">
        <f t="shared" ca="1" si="14"/>
        <v>380</v>
      </c>
      <c r="V39" s="1">
        <f t="shared" ca="1" si="15"/>
        <v>22</v>
      </c>
      <c r="W39" s="1"/>
      <c r="X39" s="1">
        <f t="shared" ca="1" si="16"/>
        <v>7.3092600271906836</v>
      </c>
      <c r="Y39" s="1">
        <f t="shared" ca="1" si="17"/>
        <v>0.4488644236132015</v>
      </c>
      <c r="Z39" s="1">
        <f t="shared" ca="1" si="18"/>
        <v>695</v>
      </c>
      <c r="AB39" s="1">
        <f t="shared" ca="1" si="19"/>
        <v>0.90659762116214704</v>
      </c>
      <c r="AC39" s="1">
        <f t="shared" ca="1" si="20"/>
        <v>961</v>
      </c>
      <c r="AD39" s="1">
        <f t="shared" ca="1" si="21"/>
        <v>1.1579126367397448E-3</v>
      </c>
      <c r="AE39" s="1"/>
      <c r="AF39" s="1">
        <f t="shared" ca="1" si="22"/>
        <v>0.12101283910856707</v>
      </c>
      <c r="AG39" s="1">
        <f t="shared" ca="1" si="23"/>
        <v>109</v>
      </c>
      <c r="AH39" s="1">
        <f t="shared" ca="1" si="24"/>
        <v>7.9571402088333739E-3</v>
      </c>
      <c r="AJ39" s="1">
        <f t="shared" ca="1" si="25"/>
        <v>8.8753782186586361E-2</v>
      </c>
      <c r="AK39" s="1">
        <f t="shared" ca="1" si="26"/>
        <v>6.8292440855316043E-3</v>
      </c>
      <c r="AL39" s="1"/>
      <c r="AM39" s="1">
        <f t="shared" ca="1" si="27"/>
        <v>7.8562730693939667E-2</v>
      </c>
      <c r="AN39" s="1">
        <f t="shared" ca="1" si="28"/>
        <v>15</v>
      </c>
      <c r="AO39" s="1">
        <f t="shared" ca="1" si="29"/>
        <v>0</v>
      </c>
      <c r="AQ39" s="1">
        <f t="shared" ca="1" si="30"/>
        <v>80</v>
      </c>
      <c r="AR39" s="1">
        <f t="shared" ca="1" si="31"/>
        <v>6</v>
      </c>
      <c r="AS39" s="1">
        <f t="shared" ca="1" si="32"/>
        <v>32</v>
      </c>
      <c r="AU39" s="1">
        <f t="shared" ca="1" si="33"/>
        <v>392</v>
      </c>
      <c r="AV39" s="1">
        <f t="shared" ca="1" si="34"/>
        <v>9</v>
      </c>
      <c r="AW39" s="1">
        <f t="shared" ca="1" si="35"/>
        <v>0.19126975259497034</v>
      </c>
      <c r="AY39" s="1">
        <f t="shared" ca="1" si="36"/>
        <v>1.1946601905418919</v>
      </c>
      <c r="AZ39" s="1">
        <f t="shared" ca="1" si="37"/>
        <v>275</v>
      </c>
      <c r="BA39" s="1">
        <f t="shared" ca="1" si="38"/>
        <v>9.8753587097330873E-3</v>
      </c>
      <c r="BG39" s="1">
        <f t="shared" ca="1" si="39"/>
        <v>0.2492537282455366</v>
      </c>
      <c r="BH39" s="1">
        <f t="shared" ca="1" si="40"/>
        <v>0.97592938424057496</v>
      </c>
      <c r="BI39" s="1">
        <f t="shared" ca="1" si="41"/>
        <v>353</v>
      </c>
      <c r="BV39" s="1">
        <f t="shared" ca="1" si="42"/>
        <v>0.59686795135198889</v>
      </c>
      <c r="BW39" s="1">
        <f t="shared" ca="1" si="43"/>
        <v>866</v>
      </c>
      <c r="BX39" s="1">
        <f t="shared" ca="1" si="44"/>
        <v>7.5618788849015897E-3</v>
      </c>
      <c r="BY39" s="1">
        <f t="shared" ca="1" si="45"/>
        <v>9.3946922052850254E-2</v>
      </c>
      <c r="BZ39" s="1">
        <f t="shared" ca="1" si="46"/>
        <v>0.36477137718822483</v>
      </c>
      <c r="CB39" s="1">
        <f t="shared" ca="1" si="47"/>
        <v>237</v>
      </c>
      <c r="CC39" s="1">
        <f t="shared" ca="1" si="48"/>
        <v>14</v>
      </c>
      <c r="CD39" s="1">
        <f t="shared" ca="1" si="49"/>
        <v>0.10765402523227767</v>
      </c>
      <c r="CE39" s="1">
        <f t="shared" ca="1" si="74"/>
        <v>0.93515415830806459</v>
      </c>
      <c r="CF39" s="1">
        <f t="shared" ca="1" si="74"/>
        <v>0.92552510749661399</v>
      </c>
      <c r="CH39" s="3">
        <f t="shared" ca="1" si="51"/>
        <v>0.8432214692218305</v>
      </c>
      <c r="CI39" s="3">
        <f t="shared" ca="1" si="52"/>
        <v>0.85753638280984645</v>
      </c>
      <c r="CJ39" s="3">
        <f t="shared" ca="1" si="53"/>
        <v>1046</v>
      </c>
      <c r="CK39" s="3">
        <f t="shared" ca="1" si="54"/>
        <v>8.7947988351713829E-3</v>
      </c>
      <c r="CL39" s="3">
        <f t="shared" ca="1" si="55"/>
        <v>0</v>
      </c>
      <c r="CM39" s="3"/>
      <c r="CN39" s="1">
        <f t="shared" ca="1" si="56"/>
        <v>3.4932042018592484</v>
      </c>
      <c r="CO39" s="1">
        <f t="shared" ca="1" si="57"/>
        <v>0.12561802550933504</v>
      </c>
      <c r="CP39" s="1">
        <f t="shared" ca="1" si="58"/>
        <v>3</v>
      </c>
      <c r="CV39" s="1">
        <f t="shared" ca="1" si="59"/>
        <v>4.7988210212557174</v>
      </c>
      <c r="CW39" s="1">
        <f t="shared" ca="1" si="60"/>
        <v>1722</v>
      </c>
      <c r="CX39" s="1">
        <f t="shared" ca="1" si="61"/>
        <v>6.4598029439403883E-3</v>
      </c>
      <c r="DH39" s="1">
        <f t="shared" ca="1" si="62"/>
        <v>638</v>
      </c>
      <c r="DI39" s="1">
        <f t="shared" ca="1" si="63"/>
        <v>0.12122590580356482</v>
      </c>
      <c r="DJ39" s="1">
        <f t="shared" ca="1" si="64"/>
        <v>18</v>
      </c>
      <c r="DL39" s="1">
        <f t="shared" ca="1" si="65"/>
        <v>7.4086803994012726E-2</v>
      </c>
      <c r="DM39" s="1">
        <f t="shared" ca="1" si="66"/>
        <v>211</v>
      </c>
      <c r="DN39" s="1">
        <f t="shared" ca="1" si="67"/>
        <v>4</v>
      </c>
      <c r="DW39" s="1">
        <f t="shared" ca="1" si="71"/>
        <v>299</v>
      </c>
      <c r="DX39" s="1">
        <f t="shared" ca="1" si="72"/>
        <v>20</v>
      </c>
      <c r="DY39" s="1">
        <f t="shared" ca="1" si="73"/>
        <v>18</v>
      </c>
    </row>
    <row r="40" spans="2:129" x14ac:dyDescent="0.25">
      <c r="B40">
        <f t="shared" ca="1" si="0"/>
        <v>993</v>
      </c>
      <c r="C40">
        <f t="shared" ca="1" si="1"/>
        <v>35</v>
      </c>
      <c r="D40">
        <f t="shared" ca="1" si="2"/>
        <v>0.2220786094149034</v>
      </c>
      <c r="F40" s="1">
        <f t="shared" ca="1" si="3"/>
        <v>31</v>
      </c>
      <c r="G40" s="1">
        <f t="shared" ca="1" si="4"/>
        <v>22</v>
      </c>
      <c r="H40" s="1">
        <f t="shared" ca="1" si="5"/>
        <v>14</v>
      </c>
      <c r="I40" s="1"/>
      <c r="J40" s="1">
        <f t="shared" ca="1" si="6"/>
        <v>15</v>
      </c>
      <c r="K40" s="1">
        <f t="shared" ca="1" si="7"/>
        <v>1.2763696030331351</v>
      </c>
      <c r="L40" s="1">
        <f t="shared" ca="1" si="8"/>
        <v>13</v>
      </c>
      <c r="M40" s="1"/>
      <c r="N40" s="1">
        <f t="shared" ca="1" si="9"/>
        <v>534</v>
      </c>
      <c r="O40" s="1">
        <f t="shared" ca="1" si="10"/>
        <v>24</v>
      </c>
      <c r="P40" s="1"/>
      <c r="Q40" s="1">
        <f t="shared" ca="1" si="11"/>
        <v>1.270225502346001</v>
      </c>
      <c r="R40" s="1">
        <f t="shared" ca="1" si="12"/>
        <v>779</v>
      </c>
      <c r="S40" s="1"/>
      <c r="T40" s="1">
        <f t="shared" ca="1" si="13"/>
        <v>6.4007755275511197E-2</v>
      </c>
      <c r="U40" s="1">
        <f t="shared" ca="1" si="14"/>
        <v>152</v>
      </c>
      <c r="V40" s="1">
        <f t="shared" ca="1" si="15"/>
        <v>34</v>
      </c>
      <c r="W40" s="1"/>
      <c r="X40" s="1">
        <f t="shared" ca="1" si="16"/>
        <v>5.2914384768379454</v>
      </c>
      <c r="Y40" s="1">
        <f t="shared" ca="1" si="17"/>
        <v>0.24791877242017044</v>
      </c>
      <c r="Z40" s="1">
        <f t="shared" ca="1" si="18"/>
        <v>758</v>
      </c>
      <c r="AB40" s="1">
        <f t="shared" ca="1" si="19"/>
        <v>0.94322857034608643</v>
      </c>
      <c r="AC40" s="1">
        <f t="shared" ca="1" si="20"/>
        <v>758</v>
      </c>
      <c r="AD40" s="1">
        <f t="shared" ca="1" si="21"/>
        <v>1.1667807952112446E-3</v>
      </c>
      <c r="AE40" s="1"/>
      <c r="AF40" s="1">
        <f t="shared" ca="1" si="22"/>
        <v>0.15252150513774093</v>
      </c>
      <c r="AG40" s="1">
        <f t="shared" ca="1" si="23"/>
        <v>760</v>
      </c>
      <c r="AH40" s="1">
        <f t="shared" ca="1" si="24"/>
        <v>3.5288696601776552E-4</v>
      </c>
      <c r="AJ40" s="1">
        <f t="shared" ca="1" si="25"/>
        <v>0.55497353845623842</v>
      </c>
      <c r="AK40" s="1">
        <f t="shared" ca="1" si="26"/>
        <v>2.3716665380139612E-3</v>
      </c>
      <c r="AL40" s="1"/>
      <c r="AM40" s="1">
        <f t="shared" ca="1" si="27"/>
        <v>2.1692750798656596E-2</v>
      </c>
      <c r="AN40" s="1">
        <f t="shared" ca="1" si="28"/>
        <v>43</v>
      </c>
      <c r="AO40" s="1">
        <f t="shared" ca="1" si="29"/>
        <v>20</v>
      </c>
      <c r="AQ40" s="1">
        <f t="shared" ca="1" si="30"/>
        <v>72</v>
      </c>
      <c r="AR40" s="1">
        <f t="shared" ca="1" si="31"/>
        <v>2</v>
      </c>
      <c r="AS40" s="1">
        <f t="shared" ca="1" si="32"/>
        <v>72</v>
      </c>
      <c r="AU40" s="1">
        <f t="shared" ca="1" si="33"/>
        <v>143</v>
      </c>
      <c r="AV40" s="1">
        <f t="shared" ca="1" si="34"/>
        <v>3</v>
      </c>
      <c r="AW40" s="1">
        <f t="shared" ca="1" si="35"/>
        <v>0.19044862734405613</v>
      </c>
      <c r="AY40" s="1">
        <f t="shared" ca="1" si="36"/>
        <v>1.436168527759446</v>
      </c>
      <c r="AZ40" s="1">
        <f t="shared" ca="1" si="37"/>
        <v>65</v>
      </c>
      <c r="BA40" s="1">
        <f t="shared" ca="1" si="38"/>
        <v>7.7866733891302801E-3</v>
      </c>
      <c r="BG40" s="1">
        <f t="shared" ca="1" si="39"/>
        <v>0.185213758260138</v>
      </c>
      <c r="BH40" s="1">
        <f t="shared" ca="1" si="40"/>
        <v>0.7693060699004437</v>
      </c>
      <c r="BI40" s="1">
        <f t="shared" ca="1" si="41"/>
        <v>617</v>
      </c>
      <c r="BV40" s="1">
        <f t="shared" ca="1" si="42"/>
        <v>0.70022186412625331</v>
      </c>
      <c r="BW40" s="1">
        <f t="shared" ca="1" si="43"/>
        <v>725</v>
      </c>
      <c r="BX40" s="1">
        <f t="shared" ca="1" si="44"/>
        <v>4.5218229051484458E-3</v>
      </c>
      <c r="BY40" s="1">
        <f t="shared" ca="1" si="45"/>
        <v>1.0137067273220106E-2</v>
      </c>
      <c r="BZ40" s="1">
        <f t="shared" ca="1" si="46"/>
        <v>0.83822160065032569</v>
      </c>
      <c r="CB40" s="1">
        <f t="shared" ca="1" si="47"/>
        <v>258</v>
      </c>
      <c r="CC40" s="1">
        <f t="shared" ca="1" si="48"/>
        <v>3</v>
      </c>
      <c r="CD40" s="1">
        <f t="shared" ca="1" si="49"/>
        <v>0.1243405453303268</v>
      </c>
      <c r="CE40" s="1">
        <f t="shared" ca="1" si="74"/>
        <v>0.61462205431666528</v>
      </c>
      <c r="CF40" s="1">
        <f t="shared" ca="1" si="74"/>
        <v>0.54873490630077848</v>
      </c>
      <c r="CH40" s="3">
        <f t="shared" ca="1" si="51"/>
        <v>0.94775577040495407</v>
      </c>
      <c r="CI40" s="3">
        <f t="shared" ca="1" si="52"/>
        <v>0.1574221736379845</v>
      </c>
      <c r="CJ40" s="3">
        <f t="shared" ca="1" si="53"/>
        <v>1271</v>
      </c>
      <c r="CK40" s="3">
        <f t="shared" ca="1" si="54"/>
        <v>4.8089182048277081E-5</v>
      </c>
      <c r="CL40" s="3">
        <f t="shared" ca="1" si="55"/>
        <v>0</v>
      </c>
      <c r="CM40" s="3"/>
      <c r="CN40" s="1">
        <f t="shared" ca="1" si="56"/>
        <v>11.499818775792493</v>
      </c>
      <c r="CO40" s="1">
        <f t="shared" ca="1" si="57"/>
        <v>0.47134784152354958</v>
      </c>
      <c r="CP40" s="1">
        <f t="shared" ca="1" si="58"/>
        <v>5</v>
      </c>
      <c r="CV40" s="1">
        <f t="shared" ca="1" si="59"/>
        <v>8.0190326629611963</v>
      </c>
      <c r="CW40" s="1">
        <f t="shared" ca="1" si="60"/>
        <v>1711</v>
      </c>
      <c r="CX40" s="1">
        <f t="shared" ca="1" si="61"/>
        <v>1.3307364536994865E-3</v>
      </c>
      <c r="DH40" s="1">
        <f t="shared" ca="1" si="62"/>
        <v>607</v>
      </c>
      <c r="DI40" s="1">
        <f t="shared" ca="1" si="63"/>
        <v>0.95592629977296795</v>
      </c>
      <c r="DJ40" s="1">
        <f t="shared" ca="1" si="64"/>
        <v>25</v>
      </c>
      <c r="DL40" s="1">
        <f t="shared" ca="1" si="65"/>
        <v>0.10552882573817773</v>
      </c>
      <c r="DM40" s="1">
        <f t="shared" ca="1" si="66"/>
        <v>56</v>
      </c>
      <c r="DN40" s="1">
        <f t="shared" ca="1" si="67"/>
        <v>4</v>
      </c>
      <c r="DW40" s="1">
        <f t="shared" ca="1" si="71"/>
        <v>123</v>
      </c>
      <c r="DX40" s="1">
        <f t="shared" ca="1" si="72"/>
        <v>3</v>
      </c>
      <c r="DY40" s="1">
        <f t="shared" ca="1" si="73"/>
        <v>9</v>
      </c>
    </row>
    <row r="41" spans="2:129" x14ac:dyDescent="0.25">
      <c r="B41">
        <f t="shared" ca="1" si="0"/>
        <v>145</v>
      </c>
      <c r="C41">
        <f t="shared" ca="1" si="1"/>
        <v>50</v>
      </c>
      <c r="D41">
        <f t="shared" ca="1" si="2"/>
        <v>3.5472458405471828E-2</v>
      </c>
      <c r="F41" s="1">
        <f t="shared" ca="1" si="3"/>
        <v>5</v>
      </c>
      <c r="G41" s="1">
        <f t="shared" ca="1" si="4"/>
        <v>30</v>
      </c>
      <c r="H41" s="1">
        <f t="shared" ca="1" si="5"/>
        <v>5</v>
      </c>
      <c r="I41" s="1"/>
      <c r="J41" s="1">
        <f t="shared" ca="1" si="6"/>
        <v>15</v>
      </c>
      <c r="K41" s="1">
        <f t="shared" ca="1" si="7"/>
        <v>2.166262257029457</v>
      </c>
      <c r="L41" s="1">
        <f t="shared" ca="1" si="8"/>
        <v>33</v>
      </c>
      <c r="M41" s="1"/>
      <c r="N41" s="1">
        <f t="shared" ca="1" si="9"/>
        <v>719</v>
      </c>
      <c r="O41" s="1">
        <f t="shared" ca="1" si="10"/>
        <v>45</v>
      </c>
      <c r="P41" s="1"/>
      <c r="Q41" s="1">
        <f t="shared" ca="1" si="11"/>
        <v>1.7688598885615539</v>
      </c>
      <c r="R41" s="1">
        <f t="shared" ca="1" si="12"/>
        <v>253</v>
      </c>
      <c r="S41" s="1"/>
      <c r="T41" s="1">
        <f t="shared" ca="1" si="13"/>
        <v>1.3503337746814437E-2</v>
      </c>
      <c r="U41" s="1">
        <f t="shared" ca="1" si="14"/>
        <v>281</v>
      </c>
      <c r="V41" s="1">
        <f t="shared" ca="1" si="15"/>
        <v>48</v>
      </c>
      <c r="W41" s="1"/>
      <c r="X41" s="1">
        <f t="shared" ca="1" si="16"/>
        <v>6.9035428637900687</v>
      </c>
      <c r="Y41" s="1">
        <f t="shared" ca="1" si="17"/>
        <v>0.19345058107866883</v>
      </c>
      <c r="Z41" s="1">
        <f t="shared" ca="1" si="18"/>
        <v>1958</v>
      </c>
      <c r="AB41" s="1">
        <f t="shared" ca="1" si="19"/>
        <v>0.64269596826154263</v>
      </c>
      <c r="AC41" s="1">
        <f t="shared" ca="1" si="20"/>
        <v>796</v>
      </c>
      <c r="AD41" s="1">
        <f t="shared" ca="1" si="21"/>
        <v>7.8364961147092873E-3</v>
      </c>
      <c r="AE41" s="1"/>
      <c r="AF41" s="1">
        <f t="shared" ca="1" si="22"/>
        <v>0.68307698255523819</v>
      </c>
      <c r="AG41" s="1">
        <f t="shared" ca="1" si="23"/>
        <v>192</v>
      </c>
      <c r="AH41" s="1">
        <f t="shared" ca="1" si="24"/>
        <v>2.0404307647756913E-3</v>
      </c>
      <c r="AJ41" s="1">
        <f t="shared" ca="1" si="25"/>
        <v>0.39064782987367097</v>
      </c>
      <c r="AK41" s="1">
        <f t="shared" ca="1" si="26"/>
        <v>6.0099403143130574E-3</v>
      </c>
      <c r="AL41" s="1"/>
      <c r="AM41" s="1">
        <f t="shared" ca="1" si="27"/>
        <v>3.3141909615748658E-2</v>
      </c>
      <c r="AN41" s="1">
        <f t="shared" ca="1" si="28"/>
        <v>57</v>
      </c>
      <c r="AO41" s="1">
        <f t="shared" ca="1" si="29"/>
        <v>-1</v>
      </c>
      <c r="AQ41" s="1">
        <f t="shared" ca="1" si="30"/>
        <v>173</v>
      </c>
      <c r="AR41" s="1">
        <f t="shared" ca="1" si="31"/>
        <v>10</v>
      </c>
      <c r="AS41" s="1">
        <f t="shared" ca="1" si="32"/>
        <v>49</v>
      </c>
      <c r="AU41" s="1">
        <f t="shared" ca="1" si="33"/>
        <v>305</v>
      </c>
      <c r="AV41" s="1">
        <f t="shared" ca="1" si="34"/>
        <v>4</v>
      </c>
      <c r="AW41" s="1">
        <f t="shared" ca="1" si="35"/>
        <v>0.14328027589128342</v>
      </c>
      <c r="AY41" s="1">
        <f t="shared" ca="1" si="36"/>
        <v>1.8576289786473064</v>
      </c>
      <c r="AZ41" s="1">
        <f t="shared" ca="1" si="37"/>
        <v>167</v>
      </c>
      <c r="BA41" s="1">
        <f t="shared" ca="1" si="38"/>
        <v>2.0940200342693372E-3</v>
      </c>
      <c r="BG41" s="1">
        <f t="shared" ca="1" si="39"/>
        <v>0.30407609512144856</v>
      </c>
      <c r="BH41" s="1">
        <f t="shared" ca="1" si="40"/>
        <v>3.415126783142941E-2</v>
      </c>
      <c r="BI41" s="1">
        <f t="shared" ca="1" si="41"/>
        <v>142</v>
      </c>
      <c r="BV41" s="1">
        <f t="shared" ca="1" si="42"/>
        <v>0.15513010358724097</v>
      </c>
      <c r="BW41" s="1">
        <f t="shared" ca="1" si="43"/>
        <v>333</v>
      </c>
      <c r="BX41" s="1">
        <f t="shared" ca="1" si="44"/>
        <v>9.5780252291506867E-3</v>
      </c>
      <c r="BY41" s="1">
        <f t="shared" ca="1" si="45"/>
        <v>4.225331484702173E-4</v>
      </c>
      <c r="BZ41" s="1">
        <f t="shared" ca="1" si="46"/>
        <v>0.71353607452932566</v>
      </c>
      <c r="CB41" s="1">
        <f t="shared" ca="1" si="47"/>
        <v>83</v>
      </c>
      <c r="CC41" s="1">
        <f t="shared" ca="1" si="48"/>
        <v>4</v>
      </c>
      <c r="CD41" s="1">
        <f t="shared" ca="1" si="49"/>
        <v>0.24532228758373451</v>
      </c>
      <c r="CE41" s="1">
        <f t="shared" ca="1" si="74"/>
        <v>0.91959667807144108</v>
      </c>
      <c r="CF41" s="1">
        <f t="shared" ca="1" si="74"/>
        <v>0.55563486951130292</v>
      </c>
      <c r="CH41" s="3">
        <f t="shared" ca="1" si="51"/>
        <v>0.86173651270734786</v>
      </c>
      <c r="CI41" s="3">
        <f t="shared" ca="1" si="52"/>
        <v>0.76434698525750122</v>
      </c>
      <c r="CJ41" s="3">
        <f t="shared" ca="1" si="53"/>
        <v>681</v>
      </c>
      <c r="CK41" s="3">
        <f t="shared" ca="1" si="54"/>
        <v>4.5728792637861389E-3</v>
      </c>
      <c r="CL41" s="3">
        <f t="shared" ca="1" si="55"/>
        <v>0</v>
      </c>
      <c r="CM41" s="3"/>
      <c r="CN41" s="1">
        <f t="shared" ca="1" si="56"/>
        <v>2.2025773084732725</v>
      </c>
      <c r="CO41" s="1">
        <f t="shared" ca="1" si="57"/>
        <v>0.30983366906663223</v>
      </c>
      <c r="CP41" s="1">
        <f t="shared" ca="1" si="58"/>
        <v>1</v>
      </c>
      <c r="CV41" s="1">
        <f t="shared" ca="1" si="59"/>
        <v>1.4499308297439104</v>
      </c>
      <c r="CW41" s="1">
        <f t="shared" ca="1" si="60"/>
        <v>1630</v>
      </c>
      <c r="CX41" s="1">
        <f t="shared" ca="1" si="61"/>
        <v>2.6874406608426503E-3</v>
      </c>
      <c r="DH41" s="1">
        <f t="shared" ca="1" si="62"/>
        <v>824</v>
      </c>
      <c r="DI41" s="1">
        <f t="shared" ca="1" si="63"/>
        <v>0.73484199139456263</v>
      </c>
      <c r="DJ41" s="1">
        <f t="shared" ca="1" si="64"/>
        <v>9</v>
      </c>
      <c r="DL41" s="1">
        <f t="shared" ca="1" si="65"/>
        <v>5.9871588403153257E-2</v>
      </c>
      <c r="DM41" s="1">
        <f t="shared" ca="1" si="66"/>
        <v>232</v>
      </c>
      <c r="DN41" s="1">
        <f t="shared" ca="1" si="67"/>
        <v>6</v>
      </c>
      <c r="DW41" s="1">
        <f t="shared" ca="1" si="71"/>
        <v>244</v>
      </c>
      <c r="DX41" s="1">
        <f t="shared" ca="1" si="72"/>
        <v>16</v>
      </c>
      <c r="DY41" s="1">
        <f t="shared" ca="1" si="73"/>
        <v>4</v>
      </c>
    </row>
    <row r="42" spans="2:129" x14ac:dyDescent="0.25">
      <c r="B42">
        <f t="shared" ca="1" si="0"/>
        <v>668</v>
      </c>
      <c r="C42">
        <f t="shared" ca="1" si="1"/>
        <v>11</v>
      </c>
      <c r="D42">
        <f t="shared" ca="1" si="2"/>
        <v>4.8186400218335583E-2</v>
      </c>
      <c r="F42" s="1">
        <f t="shared" ca="1" si="3"/>
        <v>17</v>
      </c>
      <c r="G42" s="1">
        <f t="shared" ca="1" si="4"/>
        <v>23</v>
      </c>
      <c r="H42" s="1">
        <f t="shared" ca="1" si="5"/>
        <v>9</v>
      </c>
      <c r="I42" s="1"/>
      <c r="J42" s="1">
        <f t="shared" ca="1" si="6"/>
        <v>25</v>
      </c>
      <c r="K42" s="1">
        <f t="shared" ca="1" si="7"/>
        <v>2.2765966923320682</v>
      </c>
      <c r="L42" s="1">
        <f t="shared" ca="1" si="8"/>
        <v>34</v>
      </c>
      <c r="M42" s="1"/>
      <c r="N42" s="1">
        <f t="shared" ca="1" si="9"/>
        <v>832</v>
      </c>
      <c r="O42" s="1">
        <f t="shared" ca="1" si="10"/>
        <v>21</v>
      </c>
      <c r="P42" s="1"/>
      <c r="Q42" s="1">
        <f t="shared" ca="1" si="11"/>
        <v>1.4709045337420008</v>
      </c>
      <c r="R42" s="1">
        <f t="shared" ca="1" si="12"/>
        <v>1025</v>
      </c>
      <c r="S42" s="1"/>
      <c r="T42" s="1">
        <f t="shared" ca="1" si="13"/>
        <v>8.1541592853704645E-2</v>
      </c>
      <c r="U42" s="1">
        <f t="shared" ca="1" si="14"/>
        <v>413</v>
      </c>
      <c r="V42" s="1">
        <f t="shared" ca="1" si="15"/>
        <v>8</v>
      </c>
      <c r="W42" s="1"/>
      <c r="X42" s="1">
        <f t="shared" ca="1" si="16"/>
        <v>8.7996360928832065</v>
      </c>
      <c r="Y42" s="1">
        <f t="shared" ca="1" si="17"/>
        <v>2.5158225503834369E-2</v>
      </c>
      <c r="Z42" s="1">
        <f t="shared" ca="1" si="18"/>
        <v>444</v>
      </c>
      <c r="AB42" s="1">
        <f t="shared" ca="1" si="19"/>
        <v>0.32504103826040787</v>
      </c>
      <c r="AC42" s="1">
        <f t="shared" ca="1" si="20"/>
        <v>519</v>
      </c>
      <c r="AD42" s="1">
        <f t="shared" ca="1" si="21"/>
        <v>7.9719706633184246E-3</v>
      </c>
      <c r="AE42" s="1"/>
      <c r="AF42" s="1">
        <f t="shared" ca="1" si="22"/>
        <v>0.65956397806556299</v>
      </c>
      <c r="AG42" s="1">
        <f t="shared" ca="1" si="23"/>
        <v>636</v>
      </c>
      <c r="AH42" s="1">
        <f t="shared" ca="1" si="24"/>
        <v>2.3422940035544662E-3</v>
      </c>
      <c r="AJ42" s="1">
        <f t="shared" ca="1" si="25"/>
        <v>0.39418884481546501</v>
      </c>
      <c r="AK42" s="1">
        <f t="shared" ca="1" si="26"/>
        <v>9.5272783424371673E-3</v>
      </c>
      <c r="AL42" s="1"/>
      <c r="AM42" s="1">
        <f t="shared" ca="1" si="27"/>
        <v>0.13278520324713244</v>
      </c>
      <c r="AN42" s="1">
        <f t="shared" ca="1" si="28"/>
        <v>62</v>
      </c>
      <c r="AO42" s="1">
        <f t="shared" ca="1" si="29"/>
        <v>17</v>
      </c>
      <c r="AQ42" s="1">
        <f t="shared" ca="1" si="30"/>
        <v>100</v>
      </c>
      <c r="AR42" s="1">
        <f t="shared" ca="1" si="31"/>
        <v>1</v>
      </c>
      <c r="AS42" s="1">
        <f t="shared" ca="1" si="32"/>
        <v>6</v>
      </c>
      <c r="AU42" s="1">
        <f t="shared" ca="1" si="33"/>
        <v>356</v>
      </c>
      <c r="AV42" s="1">
        <f t="shared" ca="1" si="34"/>
        <v>3</v>
      </c>
      <c r="AW42" s="1">
        <f t="shared" ca="1" si="35"/>
        <v>0.13362271800441702</v>
      </c>
      <c r="AY42" s="1">
        <f t="shared" ca="1" si="36"/>
        <v>1.8752013049943281</v>
      </c>
      <c r="AZ42" s="1">
        <f t="shared" ca="1" si="37"/>
        <v>100</v>
      </c>
      <c r="BA42" s="1">
        <f t="shared" ca="1" si="38"/>
        <v>8.2533101088094682E-3</v>
      </c>
      <c r="BG42" s="1">
        <f t="shared" ca="1" si="39"/>
        <v>2.5460711799816071E-2</v>
      </c>
      <c r="BH42" s="1">
        <f t="shared" ca="1" si="40"/>
        <v>0.11097081692493793</v>
      </c>
      <c r="BI42" s="1">
        <f t="shared" ca="1" si="41"/>
        <v>937</v>
      </c>
      <c r="BV42" s="1">
        <f t="shared" ca="1" si="42"/>
        <v>0.56185040775576844</v>
      </c>
      <c r="BW42" s="1">
        <f t="shared" ca="1" si="43"/>
        <v>934</v>
      </c>
      <c r="BX42" s="1">
        <f t="shared" ca="1" si="44"/>
        <v>5.1074823227069722E-3</v>
      </c>
      <c r="BY42" s="1">
        <f t="shared" ca="1" si="45"/>
        <v>1.4792414521153353E-2</v>
      </c>
      <c r="BZ42" s="1">
        <f t="shared" ca="1" si="46"/>
        <v>0.46216202591334554</v>
      </c>
      <c r="CB42" s="1">
        <f t="shared" ca="1" si="47"/>
        <v>460</v>
      </c>
      <c r="CC42" s="1">
        <f t="shared" ca="1" si="48"/>
        <v>4</v>
      </c>
      <c r="CD42" s="1">
        <f t="shared" ca="1" si="49"/>
        <v>0.26836613398399828</v>
      </c>
      <c r="CE42" s="1">
        <f t="shared" ca="1" si="74"/>
        <v>0.60459437950913553</v>
      </c>
      <c r="CF42" s="1">
        <f t="shared" ca="1" si="74"/>
        <v>0.62286988025140788</v>
      </c>
      <c r="CH42" s="3">
        <f t="shared" ca="1" si="51"/>
        <v>0.63234102912776224</v>
      </c>
      <c r="CI42" s="3">
        <f t="shared" ca="1" si="52"/>
        <v>0.19242604971829172</v>
      </c>
      <c r="CJ42" s="3">
        <f t="shared" ca="1" si="53"/>
        <v>1322</v>
      </c>
      <c r="CK42" s="3">
        <f t="shared" ca="1" si="54"/>
        <v>4.4855968539592259E-3</v>
      </c>
      <c r="CL42" s="3">
        <f t="shared" ca="1" si="55"/>
        <v>1</v>
      </c>
      <c r="CM42" s="3"/>
      <c r="CN42" s="1">
        <f t="shared" ca="1" si="56"/>
        <v>3.1857594397640532</v>
      </c>
      <c r="CO42" s="1">
        <f t="shared" ca="1" si="57"/>
        <v>0.1512791209611187</v>
      </c>
      <c r="CP42" s="1">
        <f t="shared" ca="1" si="58"/>
        <v>3</v>
      </c>
      <c r="CV42" s="1">
        <f t="shared" ca="1" si="59"/>
        <v>0.58514982070383226</v>
      </c>
      <c r="CW42" s="1">
        <f t="shared" ca="1" si="60"/>
        <v>1149</v>
      </c>
      <c r="CX42" s="1">
        <f t="shared" ca="1" si="61"/>
        <v>6.0659633108919421E-3</v>
      </c>
      <c r="DH42" s="1">
        <f t="shared" ca="1" si="62"/>
        <v>397</v>
      </c>
      <c r="DI42" s="1">
        <f t="shared" ca="1" si="63"/>
        <v>0.99907646620242563</v>
      </c>
      <c r="DJ42" s="1">
        <f t="shared" ca="1" si="64"/>
        <v>13</v>
      </c>
      <c r="DL42" s="1">
        <f t="shared" ca="1" si="65"/>
        <v>0.12216403864135056</v>
      </c>
      <c r="DM42" s="1">
        <f t="shared" ca="1" si="66"/>
        <v>204</v>
      </c>
      <c r="DN42" s="1">
        <f t="shared" ca="1" si="67"/>
        <v>1</v>
      </c>
      <c r="DW42" s="1">
        <f t="shared" ca="1" si="71"/>
        <v>470</v>
      </c>
      <c r="DX42" s="1">
        <f t="shared" ca="1" si="72"/>
        <v>7</v>
      </c>
      <c r="DY42" s="1">
        <f t="shared" ca="1" si="73"/>
        <v>3</v>
      </c>
    </row>
    <row r="43" spans="2:129" x14ac:dyDescent="0.25">
      <c r="B43">
        <f t="shared" ca="1" si="0"/>
        <v>255</v>
      </c>
      <c r="C43">
        <f t="shared" ca="1" si="1"/>
        <v>25</v>
      </c>
      <c r="D43">
        <f t="shared" ca="1" si="2"/>
        <v>0.29165787673173521</v>
      </c>
      <c r="F43" s="1">
        <f t="shared" ca="1" si="3"/>
        <v>23</v>
      </c>
      <c r="G43" s="1">
        <f t="shared" ca="1" si="4"/>
        <v>20</v>
      </c>
      <c r="H43" s="1">
        <f t="shared" ca="1" si="5"/>
        <v>4</v>
      </c>
      <c r="I43" s="1"/>
      <c r="J43" s="1">
        <f t="shared" ca="1" si="6"/>
        <v>10</v>
      </c>
      <c r="K43" s="1">
        <f t="shared" ca="1" si="7"/>
        <v>2.4250581827242943</v>
      </c>
      <c r="L43" s="1">
        <f t="shared" ca="1" si="8"/>
        <v>26</v>
      </c>
      <c r="M43" s="1"/>
      <c r="N43" s="1">
        <f t="shared" ca="1" si="9"/>
        <v>681</v>
      </c>
      <c r="O43" s="1">
        <f t="shared" ca="1" si="10"/>
        <v>20</v>
      </c>
      <c r="P43" s="1"/>
      <c r="Q43" s="1">
        <f t="shared" ca="1" si="11"/>
        <v>2.2947701917383045</v>
      </c>
      <c r="R43" s="1">
        <f t="shared" ca="1" si="12"/>
        <v>266</v>
      </c>
      <c r="S43" s="1"/>
      <c r="T43" s="1">
        <f t="shared" ca="1" si="13"/>
        <v>0.18982342012867576</v>
      </c>
      <c r="U43" s="1">
        <f t="shared" ca="1" si="14"/>
        <v>219</v>
      </c>
      <c r="V43" s="1">
        <f t="shared" ca="1" si="15"/>
        <v>22</v>
      </c>
      <c r="W43" s="1"/>
      <c r="X43" s="1">
        <f t="shared" ca="1" si="16"/>
        <v>5.0976078193715519</v>
      </c>
      <c r="Y43" s="1">
        <f t="shared" ca="1" si="17"/>
        <v>0.62681812285475025</v>
      </c>
      <c r="Z43" s="1">
        <f t="shared" ca="1" si="18"/>
        <v>132</v>
      </c>
      <c r="AB43" s="1">
        <f t="shared" ca="1" si="19"/>
        <v>0.77270060062350998</v>
      </c>
      <c r="AC43" s="1">
        <f t="shared" ca="1" si="20"/>
        <v>840</v>
      </c>
      <c r="AD43" s="1">
        <f t="shared" ca="1" si="21"/>
        <v>7.552651856726096E-3</v>
      </c>
      <c r="AE43" s="1"/>
      <c r="AF43" s="1">
        <f t="shared" ca="1" si="22"/>
        <v>0.67911519979671298</v>
      </c>
      <c r="AG43" s="1">
        <f t="shared" ca="1" si="23"/>
        <v>520</v>
      </c>
      <c r="AH43" s="1">
        <f t="shared" ca="1" si="24"/>
        <v>9.757194570108256E-3</v>
      </c>
      <c r="AJ43" s="1">
        <f t="shared" ca="1" si="25"/>
        <v>0.37560509451948521</v>
      </c>
      <c r="AK43" s="1">
        <f t="shared" ca="1" si="26"/>
        <v>8.8796218435613222E-3</v>
      </c>
      <c r="AL43" s="1"/>
      <c r="AM43" s="1">
        <f t="shared" ca="1" si="27"/>
        <v>5.4362497941829679E-2</v>
      </c>
      <c r="AN43" s="1">
        <f t="shared" ca="1" si="28"/>
        <v>10</v>
      </c>
      <c r="AO43" s="1">
        <f t="shared" ca="1" si="29"/>
        <v>20</v>
      </c>
      <c r="AQ43" s="1">
        <f t="shared" ca="1" si="30"/>
        <v>35</v>
      </c>
      <c r="AR43" s="1">
        <f t="shared" ca="1" si="31"/>
        <v>1</v>
      </c>
      <c r="AS43" s="1">
        <f t="shared" ca="1" si="32"/>
        <v>27</v>
      </c>
      <c r="AU43" s="1">
        <f t="shared" ca="1" si="33"/>
        <v>167</v>
      </c>
      <c r="AV43" s="1">
        <f t="shared" ca="1" si="34"/>
        <v>8</v>
      </c>
      <c r="AW43" s="1">
        <f t="shared" ca="1" si="35"/>
        <v>2.4714157410240994E-2</v>
      </c>
      <c r="AY43" s="1">
        <f t="shared" ca="1" si="36"/>
        <v>1.2892446805943782</v>
      </c>
      <c r="AZ43" s="1">
        <f t="shared" ca="1" si="37"/>
        <v>149</v>
      </c>
      <c r="BA43" s="1">
        <f t="shared" ca="1" si="38"/>
        <v>8.8506568650603776E-3</v>
      </c>
      <c r="BG43" s="1">
        <f t="shared" ca="1" si="39"/>
        <v>0.57535238818202894</v>
      </c>
      <c r="BH43" s="1">
        <f t="shared" ca="1" si="40"/>
        <v>0.99359161640655169</v>
      </c>
      <c r="BI43" s="1">
        <f t="shared" ca="1" si="41"/>
        <v>128</v>
      </c>
      <c r="BV43" s="1">
        <f t="shared" ca="1" si="42"/>
        <v>0.88373202252926275</v>
      </c>
      <c r="BW43" s="1">
        <f t="shared" ca="1" si="43"/>
        <v>596</v>
      </c>
      <c r="BX43" s="1">
        <f t="shared" ca="1" si="44"/>
        <v>7.6987801971602752E-4</v>
      </c>
      <c r="BY43" s="1">
        <f t="shared" ca="1" si="45"/>
        <v>7.4874922303585778E-2</v>
      </c>
      <c r="BZ43" s="1">
        <f t="shared" ca="1" si="46"/>
        <v>0.79505399931253551</v>
      </c>
      <c r="CB43" s="1">
        <f t="shared" ca="1" si="47"/>
        <v>177</v>
      </c>
      <c r="CC43" s="1">
        <f t="shared" ca="1" si="48"/>
        <v>9</v>
      </c>
      <c r="CD43" s="1">
        <f t="shared" ca="1" si="49"/>
        <v>0.18913382462361636</v>
      </c>
      <c r="CE43" s="1">
        <f t="shared" ca="1" si="74"/>
        <v>0.80132158749989979</v>
      </c>
      <c r="CF43" s="1">
        <f t="shared" ca="1" si="74"/>
        <v>0.93730147940330011</v>
      </c>
      <c r="CH43" s="3">
        <f t="shared" ca="1" si="51"/>
        <v>0.53850484634499318</v>
      </c>
      <c r="CI43" s="3">
        <f t="shared" ca="1" si="52"/>
        <v>0.58854517590912403</v>
      </c>
      <c r="CJ43" s="3">
        <f t="shared" ca="1" si="53"/>
        <v>1267</v>
      </c>
      <c r="CK43" s="3">
        <f t="shared" ca="1" si="54"/>
        <v>8.8495822360518082E-3</v>
      </c>
      <c r="CL43" s="3">
        <f t="shared" ca="1" si="55"/>
        <v>0</v>
      </c>
      <c r="CM43" s="3"/>
      <c r="CN43" s="1">
        <f t="shared" ca="1" si="56"/>
        <v>9.0731680100489953</v>
      </c>
      <c r="CO43" s="1">
        <f t="shared" ca="1" si="57"/>
        <v>6.483080439238334E-2</v>
      </c>
      <c r="CP43" s="1">
        <f t="shared" ca="1" si="58"/>
        <v>1</v>
      </c>
      <c r="CV43" s="1">
        <f t="shared" ca="1" si="59"/>
        <v>9.4294496401091212</v>
      </c>
      <c r="CW43" s="1">
        <f t="shared" ca="1" si="60"/>
        <v>815</v>
      </c>
      <c r="CX43" s="1">
        <f t="shared" ca="1" si="61"/>
        <v>7.8330281840670486E-3</v>
      </c>
      <c r="DH43" s="1">
        <f t="shared" ca="1" si="62"/>
        <v>772</v>
      </c>
      <c r="DI43" s="1">
        <f t="shared" ca="1" si="63"/>
        <v>0.1858360544850079</v>
      </c>
      <c r="DJ43" s="1">
        <f t="shared" ca="1" si="64"/>
        <v>11</v>
      </c>
      <c r="DL43" s="1">
        <f t="shared" ca="1" si="65"/>
        <v>3.042108624512662E-2</v>
      </c>
      <c r="DM43" s="1">
        <f t="shared" ca="1" si="66"/>
        <v>229</v>
      </c>
      <c r="DN43" s="1">
        <f t="shared" ca="1" si="67"/>
        <v>10</v>
      </c>
      <c r="DW43" s="1">
        <f t="shared" ca="1" si="71"/>
        <v>185</v>
      </c>
      <c r="DX43" s="1">
        <f t="shared" ca="1" si="72"/>
        <v>3</v>
      </c>
      <c r="DY43" s="1">
        <f t="shared" ca="1" si="73"/>
        <v>12</v>
      </c>
    </row>
    <row r="44" spans="2:129" x14ac:dyDescent="0.25">
      <c r="B44">
        <f t="shared" ca="1" si="0"/>
        <v>502</v>
      </c>
      <c r="C44">
        <f t="shared" ca="1" si="1"/>
        <v>10</v>
      </c>
      <c r="D44">
        <f t="shared" ca="1" si="2"/>
        <v>0.10440582880163932</v>
      </c>
      <c r="F44" s="1">
        <f t="shared" ca="1" si="3"/>
        <v>35</v>
      </c>
      <c r="G44" s="1">
        <f t="shared" ca="1" si="4"/>
        <v>10</v>
      </c>
      <c r="H44" s="1">
        <f t="shared" ca="1" si="5"/>
        <v>4</v>
      </c>
      <c r="I44" s="1"/>
      <c r="J44" s="1">
        <f t="shared" ca="1" si="6"/>
        <v>28</v>
      </c>
      <c r="K44" s="1">
        <f t="shared" ca="1" si="7"/>
        <v>1.3110584954015203</v>
      </c>
      <c r="L44" s="1">
        <f t="shared" ca="1" si="8"/>
        <v>23</v>
      </c>
      <c r="M44" s="1"/>
      <c r="N44" s="1">
        <f t="shared" ca="1" si="9"/>
        <v>486</v>
      </c>
      <c r="O44" s="1">
        <f t="shared" ca="1" si="10"/>
        <v>8</v>
      </c>
      <c r="P44" s="1"/>
      <c r="Q44" s="1">
        <f t="shared" ca="1" si="11"/>
        <v>2.3334472955598553</v>
      </c>
      <c r="R44" s="1">
        <f t="shared" ca="1" si="12"/>
        <v>474</v>
      </c>
      <c r="S44" s="1"/>
      <c r="T44" s="1">
        <f t="shared" ca="1" si="13"/>
        <v>0.15258607942460284</v>
      </c>
      <c r="U44" s="1">
        <f t="shared" ca="1" si="14"/>
        <v>222</v>
      </c>
      <c r="V44" s="1">
        <f t="shared" ca="1" si="15"/>
        <v>31</v>
      </c>
      <c r="W44" s="1"/>
      <c r="X44" s="1">
        <f t="shared" ca="1" si="16"/>
        <v>3.5916959953177754</v>
      </c>
      <c r="Y44" s="1">
        <f t="shared" ca="1" si="17"/>
        <v>0.95192562375450251</v>
      </c>
      <c r="Z44" s="1">
        <f t="shared" ca="1" si="18"/>
        <v>526</v>
      </c>
      <c r="AB44" s="1">
        <f t="shared" ca="1" si="19"/>
        <v>0.62872768039995031</v>
      </c>
      <c r="AC44" s="1">
        <f t="shared" ca="1" si="20"/>
        <v>903</v>
      </c>
      <c r="AD44" s="1">
        <f t="shared" ca="1" si="21"/>
        <v>1.6846240734909406E-3</v>
      </c>
      <c r="AE44" s="1"/>
      <c r="AF44" s="1">
        <f t="shared" ca="1" si="22"/>
        <v>0.34338017644498092</v>
      </c>
      <c r="AG44" s="1">
        <f t="shared" ca="1" si="23"/>
        <v>212</v>
      </c>
      <c r="AH44" s="1">
        <f t="shared" ca="1" si="24"/>
        <v>2.1304584439352939E-3</v>
      </c>
      <c r="AJ44" s="1">
        <f t="shared" ca="1" si="25"/>
        <v>0.93729109372499808</v>
      </c>
      <c r="AK44" s="1">
        <f t="shared" ca="1" si="26"/>
        <v>4.4303735953161389E-3</v>
      </c>
      <c r="AL44" s="1"/>
      <c r="AM44" s="1">
        <f t="shared" ca="1" si="27"/>
        <v>0.13558045288511333</v>
      </c>
      <c r="AN44" s="1">
        <f t="shared" ca="1" si="28"/>
        <v>79</v>
      </c>
      <c r="AO44" s="1">
        <f t="shared" ca="1" si="29"/>
        <v>9</v>
      </c>
      <c r="AQ44" s="1">
        <f t="shared" ca="1" si="30"/>
        <v>25</v>
      </c>
      <c r="AR44" s="1">
        <f t="shared" ca="1" si="31"/>
        <v>4</v>
      </c>
      <c r="AS44" s="1">
        <f t="shared" ca="1" si="32"/>
        <v>97</v>
      </c>
      <c r="AU44" s="1">
        <f t="shared" ca="1" si="33"/>
        <v>93</v>
      </c>
      <c r="AV44" s="1">
        <f t="shared" ca="1" si="34"/>
        <v>5</v>
      </c>
      <c r="AW44" s="1">
        <f t="shared" ca="1" si="35"/>
        <v>7.2474002179763755E-2</v>
      </c>
      <c r="AY44" s="1">
        <f t="shared" ca="1" si="36"/>
        <v>1.9823442210880722</v>
      </c>
      <c r="AZ44" s="1">
        <f t="shared" ca="1" si="37"/>
        <v>292</v>
      </c>
      <c r="BA44" s="1">
        <f t="shared" ca="1" si="38"/>
        <v>9.3799882001072057E-3</v>
      </c>
      <c r="BG44" s="1">
        <f t="shared" ca="1" si="39"/>
        <v>0.86461368611967238</v>
      </c>
      <c r="BH44" s="1">
        <f t="shared" ca="1" si="40"/>
        <v>0.78789456413723868</v>
      </c>
      <c r="BI44" s="1">
        <f t="shared" ca="1" si="41"/>
        <v>786</v>
      </c>
      <c r="BV44" s="1">
        <f t="shared" ca="1" si="42"/>
        <v>0.52297168721609066</v>
      </c>
      <c r="BW44" s="1">
        <f t="shared" ca="1" si="43"/>
        <v>595</v>
      </c>
      <c r="BX44" s="1">
        <f t="shared" ca="1" si="44"/>
        <v>8.3448311275572968E-3</v>
      </c>
      <c r="BY44" s="1">
        <f t="shared" ca="1" si="45"/>
        <v>7.4432295684242561E-2</v>
      </c>
      <c r="BZ44" s="1">
        <f t="shared" ca="1" si="46"/>
        <v>0.892700042729066</v>
      </c>
      <c r="CB44" s="1">
        <f t="shared" ca="1" si="47"/>
        <v>146</v>
      </c>
      <c r="CC44" s="1">
        <f t="shared" ca="1" si="48"/>
        <v>3</v>
      </c>
      <c r="CD44" s="1">
        <f t="shared" ca="1" si="49"/>
        <v>0.18454987931694875</v>
      </c>
      <c r="CE44" s="1">
        <f t="shared" ca="1" si="74"/>
        <v>0.50913644345902209</v>
      </c>
      <c r="CF44" s="1">
        <f t="shared" ca="1" si="74"/>
        <v>0.504087227706983</v>
      </c>
      <c r="CH44" s="3">
        <f t="shared" ca="1" si="51"/>
        <v>0.63563636087480491</v>
      </c>
      <c r="CI44" s="3">
        <f t="shared" ca="1" si="52"/>
        <v>0.51246047265012062</v>
      </c>
      <c r="CJ44" s="3">
        <f t="shared" ca="1" si="53"/>
        <v>1128</v>
      </c>
      <c r="CK44" s="3">
        <f t="shared" ca="1" si="54"/>
        <v>1.2544989834535037E-3</v>
      </c>
      <c r="CL44" s="3">
        <f t="shared" ca="1" si="55"/>
        <v>1</v>
      </c>
      <c r="CM44" s="3"/>
      <c r="CN44" s="1">
        <f t="shared" ca="1" si="56"/>
        <v>4.9726819913798552</v>
      </c>
      <c r="CO44" s="1">
        <f t="shared" ca="1" si="57"/>
        <v>0.24353283410165014</v>
      </c>
      <c r="CP44" s="1">
        <f t="shared" ca="1" si="58"/>
        <v>4</v>
      </c>
      <c r="CV44" s="1">
        <f t="shared" ca="1" si="59"/>
        <v>7.7508277113419259</v>
      </c>
      <c r="CW44" s="1">
        <f t="shared" ca="1" si="60"/>
        <v>964</v>
      </c>
      <c r="CX44" s="1">
        <f t="shared" ca="1" si="61"/>
        <v>7.3734497940861994E-3</v>
      </c>
      <c r="DH44" s="1">
        <f t="shared" ca="1" si="62"/>
        <v>171</v>
      </c>
      <c r="DI44" s="1">
        <f t="shared" ca="1" si="63"/>
        <v>0.20520377539866985</v>
      </c>
      <c r="DJ44" s="1">
        <f t="shared" ca="1" si="64"/>
        <v>14</v>
      </c>
      <c r="DL44" s="1">
        <f t="shared" ca="1" si="65"/>
        <v>0.10360114540584146</v>
      </c>
      <c r="DM44" s="1">
        <f t="shared" ca="1" si="66"/>
        <v>184</v>
      </c>
      <c r="DN44" s="1">
        <f t="shared" ca="1" si="67"/>
        <v>8</v>
      </c>
      <c r="DW44" s="1">
        <f t="shared" ca="1" si="71"/>
        <v>283</v>
      </c>
      <c r="DX44" s="1">
        <f t="shared" ca="1" si="72"/>
        <v>5</v>
      </c>
      <c r="DY44" s="1">
        <f t="shared" ca="1" si="73"/>
        <v>20</v>
      </c>
    </row>
    <row r="45" spans="2:129" x14ac:dyDescent="0.25">
      <c r="B45">
        <f t="shared" ca="1" si="0"/>
        <v>34</v>
      </c>
      <c r="C45">
        <f t="shared" ca="1" si="1"/>
        <v>37</v>
      </c>
      <c r="D45">
        <f t="shared" ca="1" si="2"/>
        <v>0.19021455278496618</v>
      </c>
      <c r="F45" s="1">
        <f t="shared" ca="1" si="3"/>
        <v>21</v>
      </c>
      <c r="G45" s="1">
        <f t="shared" ca="1" si="4"/>
        <v>30</v>
      </c>
      <c r="H45" s="1">
        <f t="shared" ca="1" si="5"/>
        <v>12</v>
      </c>
      <c r="I45" s="1"/>
      <c r="J45" s="1">
        <f t="shared" ca="1" si="6"/>
        <v>34</v>
      </c>
      <c r="K45" s="1">
        <f t="shared" ca="1" si="7"/>
        <v>1.3643728869559595</v>
      </c>
      <c r="L45" s="1">
        <f t="shared" ca="1" si="8"/>
        <v>7</v>
      </c>
      <c r="M45" s="1"/>
      <c r="N45" s="1">
        <f t="shared" ca="1" si="9"/>
        <v>718</v>
      </c>
      <c r="O45" s="1">
        <f t="shared" ca="1" si="10"/>
        <v>32</v>
      </c>
      <c r="P45" s="1"/>
      <c r="Q45" s="1">
        <f t="shared" ca="1" si="11"/>
        <v>0.53931143300060991</v>
      </c>
      <c r="R45" s="1">
        <f t="shared" ca="1" si="12"/>
        <v>954</v>
      </c>
      <c r="S45" s="1"/>
      <c r="T45" s="1">
        <f t="shared" ca="1" si="13"/>
        <v>0.13669518432338923</v>
      </c>
      <c r="U45" s="1">
        <f t="shared" ca="1" si="14"/>
        <v>387</v>
      </c>
      <c r="V45" s="1">
        <f t="shared" ca="1" si="15"/>
        <v>30</v>
      </c>
      <c r="W45" s="1"/>
      <c r="X45" s="1">
        <f t="shared" ca="1" si="16"/>
        <v>3.701378201824308</v>
      </c>
      <c r="Y45" s="1">
        <f t="shared" ca="1" si="17"/>
        <v>0.74422866388864528</v>
      </c>
      <c r="Z45" s="1">
        <f t="shared" ca="1" si="18"/>
        <v>602</v>
      </c>
      <c r="AB45" s="1">
        <f t="shared" ca="1" si="19"/>
        <v>0.20314562688462107</v>
      </c>
      <c r="AC45" s="1">
        <f t="shared" ca="1" si="20"/>
        <v>368</v>
      </c>
      <c r="AD45" s="1">
        <f t="shared" ca="1" si="21"/>
        <v>9.3860657621168408E-3</v>
      </c>
      <c r="AE45" s="1"/>
      <c r="AF45" s="1">
        <f t="shared" ca="1" si="22"/>
        <v>0.56334780037719667</v>
      </c>
      <c r="AG45" s="1">
        <f t="shared" ca="1" si="23"/>
        <v>762</v>
      </c>
      <c r="AH45" s="1">
        <f t="shared" ca="1" si="24"/>
        <v>5.1641279107011639E-3</v>
      </c>
      <c r="AJ45" s="1">
        <f t="shared" ca="1" si="25"/>
        <v>0.39582415123836512</v>
      </c>
      <c r="AK45" s="1">
        <f t="shared" ca="1" si="26"/>
        <v>6.5723494574303747E-3</v>
      </c>
      <c r="AL45" s="1"/>
      <c r="AM45" s="1">
        <f t="shared" ca="1" si="27"/>
        <v>0.15430591084402012</v>
      </c>
      <c r="AN45" s="1">
        <f t="shared" ca="1" si="28"/>
        <v>44</v>
      </c>
      <c r="AO45" s="1">
        <f t="shared" ca="1" si="29"/>
        <v>18</v>
      </c>
      <c r="AQ45" s="1">
        <f t="shared" ca="1" si="30"/>
        <v>148</v>
      </c>
      <c r="AR45" s="1">
        <f t="shared" ca="1" si="31"/>
        <v>4</v>
      </c>
      <c r="AS45" s="1">
        <f t="shared" ca="1" si="32"/>
        <v>62</v>
      </c>
      <c r="AU45" s="1">
        <f t="shared" ca="1" si="33"/>
        <v>121</v>
      </c>
      <c r="AV45" s="1">
        <f t="shared" ca="1" si="34"/>
        <v>10</v>
      </c>
      <c r="AW45" s="1">
        <f t="shared" ca="1" si="35"/>
        <v>9.5797941894650226E-2</v>
      </c>
      <c r="AY45" s="1">
        <f t="shared" ca="1" si="36"/>
        <v>1.1148945311583172</v>
      </c>
      <c r="AZ45" s="1">
        <f t="shared" ca="1" si="37"/>
        <v>281</v>
      </c>
      <c r="BA45" s="1">
        <f t="shared" ca="1" si="38"/>
        <v>5.8861263439504725E-3</v>
      </c>
      <c r="BG45" s="1">
        <f t="shared" ca="1" si="39"/>
        <v>0.55342314611698251</v>
      </c>
      <c r="BH45" s="1">
        <f t="shared" ca="1" si="40"/>
        <v>0.93317008699991078</v>
      </c>
      <c r="BI45" s="1">
        <f t="shared" ca="1" si="41"/>
        <v>867</v>
      </c>
      <c r="BV45" s="1">
        <f t="shared" ca="1" si="42"/>
        <v>0.43792983023726895</v>
      </c>
      <c r="BW45" s="1">
        <f t="shared" ca="1" si="43"/>
        <v>808</v>
      </c>
      <c r="BX45" s="1">
        <f t="shared" ca="1" si="44"/>
        <v>4.9610319396118088E-3</v>
      </c>
      <c r="BY45" s="1">
        <f t="shared" ca="1" si="45"/>
        <v>5.5124931925371642E-2</v>
      </c>
      <c r="BZ45" s="1">
        <f t="shared" ca="1" si="46"/>
        <v>0.78956549530593045</v>
      </c>
      <c r="CB45" s="1">
        <f t="shared" ca="1" si="47"/>
        <v>353</v>
      </c>
      <c r="CC45" s="1">
        <f t="shared" ca="1" si="48"/>
        <v>13</v>
      </c>
      <c r="CD45" s="1">
        <f t="shared" ca="1" si="49"/>
        <v>0.17159897816590292</v>
      </c>
      <c r="CE45" s="1">
        <f t="shared" ca="1" si="74"/>
        <v>0.81691458470854061</v>
      </c>
      <c r="CF45" s="1">
        <f t="shared" ca="1" si="74"/>
        <v>0.90642964249591707</v>
      </c>
      <c r="CH45" s="3">
        <f t="shared" ca="1" si="51"/>
        <v>0.96148639279978154</v>
      </c>
      <c r="CI45" s="3">
        <f t="shared" ca="1" si="52"/>
        <v>0.7736411388626071</v>
      </c>
      <c r="CJ45" s="3">
        <f t="shared" ca="1" si="53"/>
        <v>1467</v>
      </c>
      <c r="CK45" s="3">
        <f t="shared" ca="1" si="54"/>
        <v>2.2652435788059742E-3</v>
      </c>
      <c r="CL45" s="3">
        <f t="shared" ca="1" si="55"/>
        <v>1</v>
      </c>
      <c r="CM45" s="3"/>
      <c r="CN45" s="1">
        <f t="shared" ca="1" si="56"/>
        <v>4.2178009221595696</v>
      </c>
      <c r="CO45" s="1">
        <f t="shared" ca="1" si="57"/>
        <v>0.17346291161861549</v>
      </c>
      <c r="CP45" s="1">
        <f t="shared" ca="1" si="58"/>
        <v>2</v>
      </c>
      <c r="CV45" s="1">
        <f t="shared" ca="1" si="59"/>
        <v>3.3375233895977248</v>
      </c>
      <c r="CW45" s="1">
        <f t="shared" ca="1" si="60"/>
        <v>772</v>
      </c>
      <c r="CX45" s="1">
        <f t="shared" ca="1" si="61"/>
        <v>8.9598107371291012E-3</v>
      </c>
      <c r="DH45" s="1">
        <f t="shared" ca="1" si="62"/>
        <v>359</v>
      </c>
      <c r="DI45" s="1">
        <f t="shared" ca="1" si="63"/>
        <v>0.76393343610871889</v>
      </c>
      <c r="DJ45" s="1">
        <f t="shared" ca="1" si="64"/>
        <v>24</v>
      </c>
      <c r="DL45" s="1">
        <f t="shared" ca="1" si="65"/>
        <v>5.9652127436018658E-2</v>
      </c>
      <c r="DM45" s="1">
        <f t="shared" ca="1" si="66"/>
        <v>285</v>
      </c>
      <c r="DN45" s="1">
        <f t="shared" ca="1" si="67"/>
        <v>10</v>
      </c>
      <c r="DW45" s="1">
        <f t="shared" ca="1" si="71"/>
        <v>338</v>
      </c>
      <c r="DX45" s="1">
        <f t="shared" ca="1" si="72"/>
        <v>5</v>
      </c>
      <c r="DY45" s="1">
        <f t="shared" ca="1" si="73"/>
        <v>6</v>
      </c>
    </row>
    <row r="46" spans="2:129" x14ac:dyDescent="0.25">
      <c r="B46">
        <f t="shared" ca="1" si="0"/>
        <v>488</v>
      </c>
      <c r="C46">
        <f t="shared" ca="1" si="1"/>
        <v>22</v>
      </c>
      <c r="D46">
        <f t="shared" ca="1" si="2"/>
        <v>0.11153483430683492</v>
      </c>
      <c r="F46" s="1">
        <f t="shared" ca="1" si="3"/>
        <v>51</v>
      </c>
      <c r="G46" s="1">
        <f t="shared" ca="1" si="4"/>
        <v>16</v>
      </c>
      <c r="H46" s="1">
        <f t="shared" ca="1" si="5"/>
        <v>11</v>
      </c>
      <c r="I46" s="1"/>
      <c r="J46" s="1">
        <f t="shared" ca="1" si="6"/>
        <v>24</v>
      </c>
      <c r="K46" s="1">
        <f t="shared" ca="1" si="7"/>
        <v>2.8384043228076021</v>
      </c>
      <c r="L46" s="1">
        <f t="shared" ca="1" si="8"/>
        <v>11</v>
      </c>
      <c r="M46" s="1"/>
      <c r="N46" s="1">
        <f t="shared" ca="1" si="9"/>
        <v>432</v>
      </c>
      <c r="O46" s="1">
        <f t="shared" ca="1" si="10"/>
        <v>22</v>
      </c>
      <c r="P46" s="1"/>
      <c r="Q46" s="1">
        <f t="shared" ca="1" si="11"/>
        <v>0.39585630750807171</v>
      </c>
      <c r="R46" s="1">
        <f t="shared" ca="1" si="12"/>
        <v>678</v>
      </c>
      <c r="S46" s="1"/>
      <c r="T46" s="1">
        <f t="shared" ca="1" si="13"/>
        <v>0.19170339169620529</v>
      </c>
      <c r="U46" s="1">
        <f t="shared" ca="1" si="14"/>
        <v>157</v>
      </c>
      <c r="V46" s="1">
        <f t="shared" ca="1" si="15"/>
        <v>23</v>
      </c>
      <c r="W46" s="1"/>
      <c r="X46" s="1">
        <f t="shared" ca="1" si="16"/>
        <v>1.259530855468213</v>
      </c>
      <c r="Y46" s="1">
        <f t="shared" ca="1" si="17"/>
        <v>0.3784694974327415</v>
      </c>
      <c r="Z46" s="1">
        <f t="shared" ca="1" si="18"/>
        <v>665</v>
      </c>
      <c r="AB46" s="1">
        <f t="shared" ca="1" si="19"/>
        <v>0.89046150495835263</v>
      </c>
      <c r="AC46" s="1">
        <f t="shared" ca="1" si="20"/>
        <v>537</v>
      </c>
      <c r="AD46" s="1">
        <f t="shared" ca="1" si="21"/>
        <v>5.8158032099435457E-3</v>
      </c>
      <c r="AE46" s="1"/>
      <c r="AF46" s="1">
        <f t="shared" ca="1" si="22"/>
        <v>0.41018140824400073</v>
      </c>
      <c r="AG46" s="1">
        <f t="shared" ca="1" si="23"/>
        <v>646</v>
      </c>
      <c r="AH46" s="1">
        <f t="shared" ca="1" si="24"/>
        <v>2.8052090679339613E-3</v>
      </c>
      <c r="AJ46" s="1">
        <f t="shared" ca="1" si="25"/>
        <v>1.8559849614085411E-2</v>
      </c>
      <c r="AK46" s="1">
        <f t="shared" ca="1" si="26"/>
        <v>9.0068672603567969E-3</v>
      </c>
      <c r="AL46" s="1"/>
      <c r="AM46" s="1">
        <f t="shared" ca="1" si="27"/>
        <v>0.18512645442999998</v>
      </c>
      <c r="AN46" s="1">
        <f t="shared" ca="1" si="28"/>
        <v>11</v>
      </c>
      <c r="AO46" s="1">
        <f t="shared" ca="1" si="29"/>
        <v>8</v>
      </c>
      <c r="AQ46" s="1">
        <f t="shared" ca="1" si="30"/>
        <v>67</v>
      </c>
      <c r="AR46" s="1">
        <f t="shared" ca="1" si="31"/>
        <v>6</v>
      </c>
      <c r="AS46" s="1">
        <f t="shared" ca="1" si="32"/>
        <v>63</v>
      </c>
      <c r="AU46" s="1">
        <f t="shared" ca="1" si="33"/>
        <v>61</v>
      </c>
      <c r="AV46" s="1">
        <f t="shared" ca="1" si="34"/>
        <v>6</v>
      </c>
      <c r="AW46" s="1">
        <f t="shared" ca="1" si="35"/>
        <v>0.13225211405655524</v>
      </c>
      <c r="AY46" s="1">
        <f t="shared" ca="1" si="36"/>
        <v>1.7420932231025963</v>
      </c>
      <c r="AZ46" s="1">
        <f t="shared" ca="1" si="37"/>
        <v>178</v>
      </c>
      <c r="BA46" s="1">
        <f t="shared" ca="1" si="38"/>
        <v>9.1129603158960452E-3</v>
      </c>
      <c r="BG46" s="1">
        <f t="shared" ca="1" si="39"/>
        <v>0.31617701398387937</v>
      </c>
      <c r="BH46" s="1">
        <f t="shared" ca="1" si="40"/>
        <v>5.2681028698218113E-2</v>
      </c>
      <c r="BI46" s="1">
        <f t="shared" ca="1" si="41"/>
        <v>262</v>
      </c>
      <c r="BV46" s="1">
        <f t="shared" ca="1" si="42"/>
        <v>0.38191983237094107</v>
      </c>
      <c r="BW46" s="1">
        <f t="shared" ca="1" si="43"/>
        <v>739</v>
      </c>
      <c r="BX46" s="1">
        <f t="shared" ca="1" si="44"/>
        <v>8.5467884044775708E-3</v>
      </c>
      <c r="BY46" s="1">
        <f t="shared" ca="1" si="45"/>
        <v>8.1860027583868594E-2</v>
      </c>
      <c r="BZ46" s="1">
        <f t="shared" ca="1" si="46"/>
        <v>7.5518565090079148E-2</v>
      </c>
      <c r="CB46" s="1">
        <f t="shared" ca="1" si="47"/>
        <v>349</v>
      </c>
      <c r="CC46" s="1">
        <f t="shared" ca="1" si="48"/>
        <v>7</v>
      </c>
      <c r="CD46" s="1">
        <f t="shared" ca="1" si="49"/>
        <v>0.28821970650058781</v>
      </c>
      <c r="CE46" s="1">
        <f t="shared" ca="1" si="74"/>
        <v>0.67123029153377378</v>
      </c>
      <c r="CF46" s="1">
        <f t="shared" ca="1" si="74"/>
        <v>0.58511748742989411</v>
      </c>
      <c r="CH46" s="3">
        <f t="shared" ca="1" si="51"/>
        <v>0.49685445687034818</v>
      </c>
      <c r="CI46" s="3">
        <f t="shared" ca="1" si="52"/>
        <v>0.36242940151085234</v>
      </c>
      <c r="CJ46" s="3">
        <f t="shared" ca="1" si="53"/>
        <v>1519</v>
      </c>
      <c r="CK46" s="3">
        <f t="shared" ca="1" si="54"/>
        <v>2.8414169430579237E-3</v>
      </c>
      <c r="CL46" s="3">
        <f t="shared" ca="1" si="55"/>
        <v>0</v>
      </c>
      <c r="CM46" s="3"/>
      <c r="CN46" s="1">
        <f t="shared" ca="1" si="56"/>
        <v>7.4846391185847345</v>
      </c>
      <c r="CO46" s="1">
        <f t="shared" ca="1" si="57"/>
        <v>0.48584378545230217</v>
      </c>
      <c r="CP46" s="1">
        <f t="shared" ca="1" si="58"/>
        <v>4</v>
      </c>
      <c r="CV46" s="1">
        <f t="shared" ca="1" si="59"/>
        <v>9.7368550151927913</v>
      </c>
      <c r="CW46" s="1">
        <f t="shared" ca="1" si="60"/>
        <v>1159</v>
      </c>
      <c r="CX46" s="1">
        <f t="shared" ca="1" si="61"/>
        <v>8.7450624156611336E-3</v>
      </c>
      <c r="DH46" s="1">
        <f t="shared" ca="1" si="62"/>
        <v>371</v>
      </c>
      <c r="DI46" s="1">
        <f t="shared" ca="1" si="63"/>
        <v>0.24581817169512749</v>
      </c>
      <c r="DJ46" s="1">
        <f t="shared" ca="1" si="64"/>
        <v>5</v>
      </c>
      <c r="DL46" s="1">
        <f t="shared" ca="1" si="65"/>
        <v>0.11912012587609852</v>
      </c>
      <c r="DM46" s="1">
        <f t="shared" ca="1" si="66"/>
        <v>283</v>
      </c>
      <c r="DN46" s="1">
        <f t="shared" ca="1" si="67"/>
        <v>2</v>
      </c>
      <c r="DW46" s="1">
        <f t="shared" ca="1" si="71"/>
        <v>133</v>
      </c>
      <c r="DX46" s="1">
        <f t="shared" ca="1" si="72"/>
        <v>4</v>
      </c>
      <c r="DY46" s="1">
        <f t="shared" ca="1" si="73"/>
        <v>8</v>
      </c>
    </row>
    <row r="47" spans="2:129" x14ac:dyDescent="0.25">
      <c r="B47">
        <f t="shared" ca="1" si="0"/>
        <v>84</v>
      </c>
      <c r="C47">
        <f t="shared" ca="1" si="1"/>
        <v>17</v>
      </c>
      <c r="D47">
        <f t="shared" ca="1" si="2"/>
        <v>0.2088739742178736</v>
      </c>
      <c r="F47" s="1">
        <f t="shared" ca="1" si="3"/>
        <v>48</v>
      </c>
      <c r="G47" s="1">
        <f t="shared" ca="1" si="4"/>
        <v>9</v>
      </c>
      <c r="H47" s="1">
        <f t="shared" ca="1" si="5"/>
        <v>15</v>
      </c>
      <c r="I47" s="1"/>
      <c r="J47" s="1">
        <f t="shared" ca="1" si="6"/>
        <v>33</v>
      </c>
      <c r="K47" s="1">
        <f t="shared" ca="1" si="7"/>
        <v>1.7691901557542307</v>
      </c>
      <c r="L47" s="1">
        <f t="shared" ca="1" si="8"/>
        <v>29</v>
      </c>
      <c r="M47" s="1"/>
      <c r="N47" s="1">
        <f t="shared" ca="1" si="9"/>
        <v>726</v>
      </c>
      <c r="O47" s="1">
        <f t="shared" ca="1" si="10"/>
        <v>50</v>
      </c>
      <c r="P47" s="1"/>
      <c r="Q47" s="1">
        <f t="shared" ca="1" si="11"/>
        <v>3.3915665797820309</v>
      </c>
      <c r="R47" s="1">
        <f t="shared" ca="1" si="12"/>
        <v>1161</v>
      </c>
      <c r="S47" s="1"/>
      <c r="T47" s="1">
        <f t="shared" ca="1" si="13"/>
        <v>5.9620403699819323E-2</v>
      </c>
      <c r="U47" s="1">
        <f t="shared" ca="1" si="14"/>
        <v>385</v>
      </c>
      <c r="V47" s="1">
        <f t="shared" ca="1" si="15"/>
        <v>40</v>
      </c>
      <c r="W47" s="1"/>
      <c r="X47" s="1">
        <f t="shared" ca="1" si="16"/>
        <v>0.50768303348657418</v>
      </c>
      <c r="Y47" s="1">
        <f t="shared" ca="1" si="17"/>
        <v>0.49916781211771077</v>
      </c>
      <c r="Z47" s="1">
        <f t="shared" ca="1" si="18"/>
        <v>1633</v>
      </c>
      <c r="AB47" s="1">
        <f t="shared" ca="1" si="19"/>
        <v>0.25829124379156926</v>
      </c>
      <c r="AC47" s="1">
        <f t="shared" ca="1" si="20"/>
        <v>352</v>
      </c>
      <c r="AD47" s="1">
        <f t="shared" ca="1" si="21"/>
        <v>7.1520088217516386E-3</v>
      </c>
      <c r="AE47" s="1"/>
      <c r="AF47" s="1">
        <f t="shared" ca="1" si="22"/>
        <v>0.81289962599979559</v>
      </c>
      <c r="AG47" s="1">
        <f t="shared" ca="1" si="23"/>
        <v>652</v>
      </c>
      <c r="AH47" s="1">
        <f t="shared" ca="1" si="24"/>
        <v>4.1047761767772448E-3</v>
      </c>
      <c r="AJ47" s="1">
        <f t="shared" ca="1" si="25"/>
        <v>0.74713096557537761</v>
      </c>
      <c r="AK47" s="1">
        <f t="shared" ca="1" si="26"/>
        <v>3.2135661176545573E-3</v>
      </c>
      <c r="AL47" s="1"/>
      <c r="AM47" s="1">
        <f t="shared" ca="1" si="27"/>
        <v>6.9354712728359729E-3</v>
      </c>
      <c r="AN47" s="1">
        <f t="shared" ca="1" si="28"/>
        <v>60</v>
      </c>
      <c r="AO47" s="1">
        <f t="shared" ca="1" si="29"/>
        <v>13</v>
      </c>
      <c r="AQ47" s="1">
        <f t="shared" ca="1" si="30"/>
        <v>34</v>
      </c>
      <c r="AR47" s="1">
        <f t="shared" ca="1" si="31"/>
        <v>2</v>
      </c>
      <c r="AS47" s="1">
        <f t="shared" ca="1" si="32"/>
        <v>45</v>
      </c>
      <c r="AU47" s="1">
        <f t="shared" ca="1" si="33"/>
        <v>151</v>
      </c>
      <c r="AV47" s="1">
        <f t="shared" ca="1" si="34"/>
        <v>10</v>
      </c>
      <c r="AW47" s="1">
        <f t="shared" ca="1" si="35"/>
        <v>7.1033217853286146E-2</v>
      </c>
      <c r="AY47" s="1">
        <f t="shared" ca="1" si="36"/>
        <v>1.7706595748297365</v>
      </c>
      <c r="AZ47" s="1">
        <f t="shared" ca="1" si="37"/>
        <v>166</v>
      </c>
      <c r="BA47" s="1">
        <f t="shared" ca="1" si="38"/>
        <v>8.3148784615320569E-3</v>
      </c>
      <c r="BG47" s="1">
        <f t="shared" ca="1" si="39"/>
        <v>0.83212397532880011</v>
      </c>
      <c r="BH47" s="1">
        <f t="shared" ca="1" si="40"/>
        <v>0.13299685376864001</v>
      </c>
      <c r="BI47" s="1">
        <f t="shared" ca="1" si="41"/>
        <v>883</v>
      </c>
      <c r="BV47" s="1">
        <f t="shared" ca="1" si="42"/>
        <v>0.79692443775202992</v>
      </c>
      <c r="BW47" s="1">
        <f t="shared" ca="1" si="43"/>
        <v>330</v>
      </c>
      <c r="BX47" s="1">
        <f t="shared" ca="1" si="44"/>
        <v>7.3914256110344124E-3</v>
      </c>
      <c r="BY47" s="1">
        <f t="shared" ca="1" si="45"/>
        <v>2.6409819691866159E-2</v>
      </c>
      <c r="BZ47" s="1">
        <f t="shared" ca="1" si="46"/>
        <v>0.6824209762505834</v>
      </c>
      <c r="CB47" s="1">
        <f t="shared" ca="1" si="47"/>
        <v>453</v>
      </c>
      <c r="CC47" s="1">
        <f t="shared" ca="1" si="48"/>
        <v>5</v>
      </c>
      <c r="CD47" s="1">
        <f t="shared" ca="1" si="49"/>
        <v>5.8500928512599651E-2</v>
      </c>
      <c r="CE47" s="1">
        <f t="shared" ca="1" si="74"/>
        <v>0.99576287438380573</v>
      </c>
      <c r="CF47" s="1">
        <f t="shared" ca="1" si="74"/>
        <v>0.64093387606611141</v>
      </c>
      <c r="CH47" s="3">
        <f t="shared" ca="1" si="51"/>
        <v>0.54358276579381892</v>
      </c>
      <c r="CI47" s="3">
        <f t="shared" ca="1" si="52"/>
        <v>0.24075901391232768</v>
      </c>
      <c r="CJ47" s="3">
        <f t="shared" ca="1" si="53"/>
        <v>1045</v>
      </c>
      <c r="CK47" s="3">
        <f t="shared" ca="1" si="54"/>
        <v>2.0071039434851872E-3</v>
      </c>
      <c r="CL47" s="3">
        <f t="shared" ca="1" si="55"/>
        <v>0</v>
      </c>
      <c r="CM47" s="3"/>
      <c r="CN47" s="1">
        <f t="shared" ca="1" si="56"/>
        <v>2.2985914413312507</v>
      </c>
      <c r="CO47" s="1">
        <f t="shared" ca="1" si="57"/>
        <v>0.42677743160407311</v>
      </c>
      <c r="CP47" s="1">
        <f t="shared" ca="1" si="58"/>
        <v>1</v>
      </c>
      <c r="CV47" s="1">
        <f t="shared" ca="1" si="59"/>
        <v>7.41330888133069</v>
      </c>
      <c r="CW47" s="1">
        <f t="shared" ca="1" si="60"/>
        <v>1736</v>
      </c>
      <c r="CX47" s="1">
        <f t="shared" ca="1" si="61"/>
        <v>9.1110725503075109E-3</v>
      </c>
      <c r="DH47" s="1">
        <f t="shared" ca="1" si="62"/>
        <v>579</v>
      </c>
      <c r="DI47" s="1">
        <f t="shared" ca="1" si="63"/>
        <v>0.90737816673103067</v>
      </c>
      <c r="DJ47" s="1">
        <f t="shared" ca="1" si="64"/>
        <v>5</v>
      </c>
      <c r="DL47" s="1">
        <f t="shared" ca="1" si="65"/>
        <v>0.13460441618320199</v>
      </c>
      <c r="DM47" s="1">
        <f t="shared" ca="1" si="66"/>
        <v>247</v>
      </c>
      <c r="DN47" s="1">
        <f t="shared" ca="1" si="67"/>
        <v>10</v>
      </c>
      <c r="DW47" s="1">
        <f t="shared" ca="1" si="71"/>
        <v>150</v>
      </c>
      <c r="DX47" s="1">
        <f t="shared" ca="1" si="72"/>
        <v>9</v>
      </c>
      <c r="DY47" s="1">
        <f t="shared" ca="1" si="73"/>
        <v>5</v>
      </c>
    </row>
    <row r="48" spans="2:129" x14ac:dyDescent="0.25">
      <c r="B48">
        <f t="shared" ca="1" si="0"/>
        <v>718</v>
      </c>
      <c r="C48">
        <f t="shared" ca="1" si="1"/>
        <v>22</v>
      </c>
      <c r="D48">
        <f t="shared" ca="1" si="2"/>
        <v>0.10287806747376574</v>
      </c>
      <c r="F48" s="1">
        <f t="shared" ca="1" si="3"/>
        <v>21</v>
      </c>
      <c r="G48" s="1">
        <f t="shared" ca="1" si="4"/>
        <v>16</v>
      </c>
      <c r="H48" s="1">
        <f t="shared" ca="1" si="5"/>
        <v>4</v>
      </c>
      <c r="I48" s="1"/>
      <c r="J48" s="1">
        <f t="shared" ca="1" si="6"/>
        <v>28</v>
      </c>
      <c r="K48" s="1">
        <f t="shared" ca="1" si="7"/>
        <v>1.9941359985204765</v>
      </c>
      <c r="L48" s="1">
        <f t="shared" ca="1" si="8"/>
        <v>3</v>
      </c>
      <c r="M48" s="1"/>
      <c r="N48" s="1">
        <f t="shared" ca="1" si="9"/>
        <v>227</v>
      </c>
      <c r="O48" s="1">
        <f t="shared" ca="1" si="10"/>
        <v>44</v>
      </c>
      <c r="P48" s="1"/>
      <c r="Q48" s="1">
        <f t="shared" ca="1" si="11"/>
        <v>2.0824484790211044</v>
      </c>
      <c r="R48" s="1">
        <f t="shared" ca="1" si="12"/>
        <v>208</v>
      </c>
      <c r="S48" s="1"/>
      <c r="T48" s="1">
        <f t="shared" ca="1" si="13"/>
        <v>3.5306886406836963E-2</v>
      </c>
      <c r="U48" s="1">
        <f t="shared" ca="1" si="14"/>
        <v>253</v>
      </c>
      <c r="V48" s="1">
        <f t="shared" ca="1" si="15"/>
        <v>50</v>
      </c>
      <c r="W48" s="1"/>
      <c r="X48" s="1">
        <f t="shared" ca="1" si="16"/>
        <v>6.8937645219470074</v>
      </c>
      <c r="Y48" s="1">
        <f t="shared" ca="1" si="17"/>
        <v>0.93512368794377476</v>
      </c>
      <c r="Z48" s="1">
        <f t="shared" ca="1" si="18"/>
        <v>1610</v>
      </c>
      <c r="AB48" s="1">
        <f t="shared" ca="1" si="19"/>
        <v>0.9223582546172252</v>
      </c>
      <c r="AC48" s="1">
        <f t="shared" ca="1" si="20"/>
        <v>927</v>
      </c>
      <c r="AD48" s="1">
        <f t="shared" ca="1" si="21"/>
        <v>9.0976100263458447E-3</v>
      </c>
      <c r="AE48" s="1"/>
      <c r="AF48" s="1">
        <f t="shared" ca="1" si="22"/>
        <v>0.59790146377841447</v>
      </c>
      <c r="AG48" s="1">
        <f t="shared" ca="1" si="23"/>
        <v>600</v>
      </c>
      <c r="AH48" s="1">
        <f t="shared" ca="1" si="24"/>
        <v>5.0870200249438242E-3</v>
      </c>
      <c r="AJ48" s="1">
        <f t="shared" ca="1" si="25"/>
        <v>0.36256962681103055</v>
      </c>
      <c r="AK48" s="1">
        <f t="shared" ca="1" si="26"/>
        <v>3.2865917051560075E-3</v>
      </c>
      <c r="AL48" s="1"/>
      <c r="AM48" s="1">
        <f t="shared" ca="1" si="27"/>
        <v>0.1919921506320891</v>
      </c>
      <c r="AN48" s="1">
        <f t="shared" ca="1" si="28"/>
        <v>15</v>
      </c>
      <c r="AO48" s="1">
        <f t="shared" ca="1" si="29"/>
        <v>20</v>
      </c>
      <c r="AQ48" s="1">
        <f t="shared" ca="1" si="30"/>
        <v>199</v>
      </c>
      <c r="AR48" s="1">
        <f t="shared" ca="1" si="31"/>
        <v>5</v>
      </c>
      <c r="AS48" s="1">
        <f t="shared" ca="1" si="32"/>
        <v>76</v>
      </c>
      <c r="AU48" s="1">
        <f t="shared" ca="1" si="33"/>
        <v>217</v>
      </c>
      <c r="AV48" s="1">
        <f t="shared" ca="1" si="34"/>
        <v>2</v>
      </c>
      <c r="AW48" s="1">
        <f t="shared" ca="1" si="35"/>
        <v>0.19419422385824905</v>
      </c>
      <c r="AY48" s="1">
        <f t="shared" ca="1" si="36"/>
        <v>1.9388312579331592</v>
      </c>
      <c r="AZ48" s="1">
        <f t="shared" ca="1" si="37"/>
        <v>458</v>
      </c>
      <c r="BA48" s="1">
        <f t="shared" ca="1" si="38"/>
        <v>2.1513131679649286E-3</v>
      </c>
      <c r="BG48" s="1">
        <f t="shared" ca="1" si="39"/>
        <v>0.32689319029321995</v>
      </c>
      <c r="BH48" s="1">
        <f t="shared" ca="1" si="40"/>
        <v>0.87579218076854182</v>
      </c>
      <c r="BI48" s="1">
        <f t="shared" ca="1" si="41"/>
        <v>577</v>
      </c>
      <c r="BV48" s="1">
        <f t="shared" ca="1" si="42"/>
        <v>0.92169563484178352</v>
      </c>
      <c r="BW48" s="1">
        <f t="shared" ca="1" si="43"/>
        <v>905</v>
      </c>
      <c r="BX48" s="1">
        <f t="shared" ca="1" si="44"/>
        <v>3.1557267042314511E-3</v>
      </c>
      <c r="BY48" s="1">
        <f t="shared" ca="1" si="45"/>
        <v>1.6906989745406407E-2</v>
      </c>
      <c r="BZ48" s="1">
        <f t="shared" ca="1" si="46"/>
        <v>0.3230733757408536</v>
      </c>
      <c r="CB48" s="1">
        <f t="shared" ca="1" si="47"/>
        <v>390</v>
      </c>
      <c r="CC48" s="1">
        <f t="shared" ca="1" si="48"/>
        <v>13</v>
      </c>
      <c r="CD48" s="1">
        <f t="shared" ca="1" si="49"/>
        <v>0.13064311218574867</v>
      </c>
      <c r="CE48" s="1">
        <f t="shared" ca="1" si="74"/>
        <v>0.79188542469573586</v>
      </c>
      <c r="CF48" s="1">
        <f t="shared" ca="1" si="74"/>
        <v>0.67224503402511582</v>
      </c>
      <c r="CH48" s="3">
        <f t="shared" ca="1" si="51"/>
        <v>0.80840617349584698</v>
      </c>
      <c r="CI48" s="3">
        <f t="shared" ca="1" si="52"/>
        <v>0.59393403327640037</v>
      </c>
      <c r="CJ48" s="3">
        <f t="shared" ca="1" si="53"/>
        <v>1224</v>
      </c>
      <c r="CK48" s="3">
        <f t="shared" ca="1" si="54"/>
        <v>3.9901222579282391E-4</v>
      </c>
      <c r="CL48" s="3">
        <f t="shared" ca="1" si="55"/>
        <v>0</v>
      </c>
      <c r="CM48" s="3"/>
      <c r="CN48" s="1">
        <f t="shared" ca="1" si="56"/>
        <v>9.5886959160228535</v>
      </c>
      <c r="CO48" s="1">
        <f t="shared" ca="1" si="57"/>
        <v>0.26545547194534458</v>
      </c>
      <c r="CP48" s="1">
        <f t="shared" ca="1" si="58"/>
        <v>5</v>
      </c>
      <c r="CV48" s="1">
        <f t="shared" ca="1" si="59"/>
        <v>2.4189673960651539</v>
      </c>
      <c r="CW48" s="1">
        <f t="shared" ca="1" si="60"/>
        <v>1587</v>
      </c>
      <c r="CX48" s="1">
        <f t="shared" ca="1" si="61"/>
        <v>9.1648806641173221E-3</v>
      </c>
      <c r="DH48" s="1">
        <f t="shared" ca="1" si="62"/>
        <v>573</v>
      </c>
      <c r="DI48" s="1">
        <f t="shared" ca="1" si="63"/>
        <v>0.89447615456095131</v>
      </c>
      <c r="DJ48" s="1">
        <f t="shared" ca="1" si="64"/>
        <v>22</v>
      </c>
      <c r="DL48" s="1">
        <f t="shared" ca="1" si="65"/>
        <v>5.4181154603334357E-2</v>
      </c>
      <c r="DM48" s="1">
        <f t="shared" ca="1" si="66"/>
        <v>231</v>
      </c>
      <c r="DN48" s="1">
        <f t="shared" ca="1" si="67"/>
        <v>9</v>
      </c>
      <c r="DW48" s="1">
        <f t="shared" ca="1" si="71"/>
        <v>134</v>
      </c>
      <c r="DX48" s="1">
        <f t="shared" ca="1" si="72"/>
        <v>14</v>
      </c>
      <c r="DY48" s="1">
        <f t="shared" ca="1" si="73"/>
        <v>18</v>
      </c>
    </row>
    <row r="49" spans="2:129" x14ac:dyDescent="0.25">
      <c r="B49">
        <f t="shared" ca="1" si="0"/>
        <v>90</v>
      </c>
      <c r="C49">
        <f t="shared" ca="1" si="1"/>
        <v>42</v>
      </c>
      <c r="D49">
        <f t="shared" ca="1" si="2"/>
        <v>3.9130079668446567E-2</v>
      </c>
      <c r="F49" s="1">
        <f t="shared" ca="1" si="3"/>
        <v>41</v>
      </c>
      <c r="G49" s="1">
        <f t="shared" ca="1" si="4"/>
        <v>24</v>
      </c>
      <c r="H49" s="1">
        <f t="shared" ca="1" si="5"/>
        <v>2</v>
      </c>
      <c r="I49" s="1"/>
      <c r="J49" s="1">
        <f t="shared" ca="1" si="6"/>
        <v>3</v>
      </c>
      <c r="K49" s="1">
        <f t="shared" ca="1" si="7"/>
        <v>2.6252204433473736</v>
      </c>
      <c r="L49" s="1">
        <f t="shared" ca="1" si="8"/>
        <v>9</v>
      </c>
      <c r="M49" s="1"/>
      <c r="N49" s="1">
        <f t="shared" ca="1" si="9"/>
        <v>267</v>
      </c>
      <c r="O49" s="1">
        <f t="shared" ca="1" si="10"/>
        <v>11</v>
      </c>
      <c r="P49" s="1"/>
      <c r="Q49" s="1">
        <f t="shared" ca="1" si="11"/>
        <v>1.8041496216323629</v>
      </c>
      <c r="R49" s="1">
        <f t="shared" ca="1" si="12"/>
        <v>630</v>
      </c>
      <c r="S49" s="1"/>
      <c r="T49" s="1">
        <f t="shared" ca="1" si="13"/>
        <v>0.15591620273532233</v>
      </c>
      <c r="U49" s="1">
        <f t="shared" ca="1" si="14"/>
        <v>402</v>
      </c>
      <c r="V49" s="1">
        <f t="shared" ca="1" si="15"/>
        <v>20</v>
      </c>
      <c r="W49" s="1"/>
      <c r="X49" s="1">
        <f t="shared" ca="1" si="16"/>
        <v>8.1719761491441485</v>
      </c>
      <c r="Y49" s="1">
        <f t="shared" ca="1" si="17"/>
        <v>7.1228105668013048E-2</v>
      </c>
      <c r="Z49" s="1">
        <f t="shared" ca="1" si="18"/>
        <v>1648</v>
      </c>
      <c r="AB49" s="1">
        <f t="shared" ca="1" si="19"/>
        <v>0.2245965168267062</v>
      </c>
      <c r="AC49" s="1">
        <f t="shared" ca="1" si="20"/>
        <v>227</v>
      </c>
      <c r="AD49" s="1">
        <f t="shared" ca="1" si="21"/>
        <v>6.6518931726495915E-3</v>
      </c>
      <c r="AE49" s="1"/>
      <c r="AF49" s="1">
        <f t="shared" ca="1" si="22"/>
        <v>0.82269943056934791</v>
      </c>
      <c r="AG49" s="1">
        <f t="shared" ca="1" si="23"/>
        <v>962</v>
      </c>
      <c r="AH49" s="1">
        <f t="shared" ca="1" si="24"/>
        <v>6.0168836690599886E-3</v>
      </c>
      <c r="AJ49" s="1">
        <f t="shared" ca="1" si="25"/>
        <v>0.50427602046508269</v>
      </c>
      <c r="AK49" s="1">
        <f t="shared" ca="1" si="26"/>
        <v>6.2008313776337172E-3</v>
      </c>
      <c r="AL49" s="1"/>
      <c r="AM49" s="1">
        <f t="shared" ca="1" si="27"/>
        <v>7.5014918793146645E-2</v>
      </c>
      <c r="AN49" s="1">
        <f t="shared" ca="1" si="28"/>
        <v>67</v>
      </c>
      <c r="AO49" s="1">
        <f t="shared" ca="1" si="29"/>
        <v>6</v>
      </c>
      <c r="AQ49" s="1">
        <f t="shared" ca="1" si="30"/>
        <v>98</v>
      </c>
      <c r="AR49" s="1">
        <f t="shared" ca="1" si="31"/>
        <v>5</v>
      </c>
      <c r="AS49" s="1">
        <f t="shared" ca="1" si="32"/>
        <v>28</v>
      </c>
      <c r="AU49" s="1">
        <f t="shared" ca="1" si="33"/>
        <v>261</v>
      </c>
      <c r="AV49" s="1">
        <f t="shared" ca="1" si="34"/>
        <v>9</v>
      </c>
      <c r="AW49" s="1">
        <f t="shared" ca="1" si="35"/>
        <v>0.10031832355894341</v>
      </c>
      <c r="AY49" s="1">
        <f t="shared" ca="1" si="36"/>
        <v>1.9479662287605812</v>
      </c>
      <c r="AZ49" s="1">
        <f t="shared" ca="1" si="37"/>
        <v>156</v>
      </c>
      <c r="BA49" s="1">
        <f t="shared" ca="1" si="38"/>
        <v>8.7341736331986736E-3</v>
      </c>
      <c r="BG49" s="1">
        <f t="shared" ca="1" si="39"/>
        <v>0.92087017880332889</v>
      </c>
      <c r="BH49" s="1">
        <f t="shared" ca="1" si="40"/>
        <v>0.88248417390508438</v>
      </c>
      <c r="BI49" s="1">
        <f t="shared" ca="1" si="41"/>
        <v>459</v>
      </c>
      <c r="BV49" s="1">
        <f t="shared" ca="1" si="42"/>
        <v>0.15030302890990813</v>
      </c>
      <c r="BW49" s="1">
        <f t="shared" ca="1" si="43"/>
        <v>902</v>
      </c>
      <c r="BX49" s="1">
        <f t="shared" ca="1" si="44"/>
        <v>7.9558920622546866E-3</v>
      </c>
      <c r="BY49" s="1">
        <f t="shared" ca="1" si="45"/>
        <v>7.7549757060978025E-2</v>
      </c>
      <c r="BZ49" s="1">
        <f t="shared" ca="1" si="46"/>
        <v>0.86551575256559388</v>
      </c>
      <c r="CB49" s="1">
        <f t="shared" ca="1" si="47"/>
        <v>399</v>
      </c>
      <c r="CC49" s="1">
        <f t="shared" ca="1" si="48"/>
        <v>11</v>
      </c>
      <c r="CD49" s="1">
        <f t="shared" ca="1" si="49"/>
        <v>0.21408479144461259</v>
      </c>
      <c r="CE49" s="1">
        <f t="shared" ca="1" si="74"/>
        <v>0.68501215950135752</v>
      </c>
      <c r="CF49" s="1">
        <f t="shared" ca="1" si="74"/>
        <v>0.97606231407181943</v>
      </c>
      <c r="CH49" s="3">
        <f t="shared" ca="1" si="51"/>
        <v>0.31181089301874604</v>
      </c>
      <c r="CI49" s="3">
        <f t="shared" ca="1" si="52"/>
        <v>0.3684807106137416</v>
      </c>
      <c r="CJ49" s="3">
        <f t="shared" ca="1" si="53"/>
        <v>1239</v>
      </c>
      <c r="CK49" s="3">
        <f t="shared" ca="1" si="54"/>
        <v>9.0404141744283538E-3</v>
      </c>
      <c r="CL49" s="3">
        <f t="shared" ca="1" si="55"/>
        <v>1</v>
      </c>
      <c r="CM49" s="3"/>
      <c r="CN49" s="1">
        <f t="shared" ca="1" si="56"/>
        <v>14.82806440587953</v>
      </c>
      <c r="CO49" s="1">
        <f t="shared" ca="1" si="57"/>
        <v>0.3092423024084836</v>
      </c>
      <c r="CP49" s="1">
        <f t="shared" ca="1" si="58"/>
        <v>4</v>
      </c>
      <c r="CV49" s="1">
        <f t="shared" ca="1" si="59"/>
        <v>5.008124913601085E-2</v>
      </c>
      <c r="CW49" s="1">
        <f t="shared" ca="1" si="60"/>
        <v>1721</v>
      </c>
      <c r="CX49" s="1">
        <f t="shared" ca="1" si="61"/>
        <v>5.9635539453661863E-3</v>
      </c>
      <c r="DH49" s="1">
        <f t="shared" ca="1" si="62"/>
        <v>187</v>
      </c>
      <c r="DI49" s="1">
        <f t="shared" ca="1" si="63"/>
        <v>0.368729651062564</v>
      </c>
      <c r="DJ49" s="1">
        <f t="shared" ca="1" si="64"/>
        <v>30</v>
      </c>
      <c r="DL49" s="1">
        <f t="shared" ca="1" si="65"/>
        <v>6.3641069465588479E-2</v>
      </c>
      <c r="DM49" s="1">
        <f t="shared" ca="1" si="66"/>
        <v>193</v>
      </c>
      <c r="DN49" s="1">
        <f t="shared" ca="1" si="67"/>
        <v>7</v>
      </c>
      <c r="DW49" s="1">
        <f t="shared" ca="1" si="71"/>
        <v>92</v>
      </c>
      <c r="DX49" s="1">
        <f t="shared" ca="1" si="72"/>
        <v>11</v>
      </c>
      <c r="DY49" s="1">
        <f t="shared" ca="1" si="73"/>
        <v>13</v>
      </c>
    </row>
    <row r="50" spans="2:129" x14ac:dyDescent="0.25">
      <c r="B50">
        <f t="shared" ca="1" si="0"/>
        <v>871</v>
      </c>
      <c r="C50">
        <f t="shared" ca="1" si="1"/>
        <v>7</v>
      </c>
      <c r="D50">
        <f t="shared" ca="1" si="2"/>
        <v>0.1451396944896042</v>
      </c>
      <c r="F50" s="1">
        <f t="shared" ca="1" si="3"/>
        <v>6</v>
      </c>
      <c r="G50" s="1">
        <f t="shared" ca="1" si="4"/>
        <v>12</v>
      </c>
      <c r="H50" s="1">
        <f t="shared" ca="1" si="5"/>
        <v>11</v>
      </c>
      <c r="I50" s="1"/>
      <c r="J50" s="1">
        <f t="shared" ca="1" si="6"/>
        <v>34</v>
      </c>
      <c r="K50" s="1">
        <f t="shared" ca="1" si="7"/>
        <v>1.0006179161896922</v>
      </c>
      <c r="L50" s="1">
        <f t="shared" ca="1" si="8"/>
        <v>23</v>
      </c>
      <c r="M50" s="1"/>
      <c r="N50" s="1">
        <f t="shared" ca="1" si="9"/>
        <v>424</v>
      </c>
      <c r="O50" s="1">
        <f t="shared" ca="1" si="10"/>
        <v>17</v>
      </c>
      <c r="P50" s="1"/>
      <c r="Q50" s="1">
        <f t="shared" ca="1" si="11"/>
        <v>2.814870791601793</v>
      </c>
      <c r="R50" s="1">
        <f t="shared" ca="1" si="12"/>
        <v>580</v>
      </c>
      <c r="S50" s="1"/>
      <c r="T50" s="1">
        <f t="shared" ca="1" si="13"/>
        <v>9.2068321429510644E-2</v>
      </c>
      <c r="U50" s="1">
        <f t="shared" ca="1" si="14"/>
        <v>177</v>
      </c>
      <c r="V50" s="1">
        <f t="shared" ca="1" si="15"/>
        <v>29</v>
      </c>
      <c r="W50" s="1"/>
      <c r="X50" s="1">
        <f t="shared" ca="1" si="16"/>
        <v>8.8443341077209077</v>
      </c>
      <c r="Y50" s="1">
        <f t="shared" ca="1" si="17"/>
        <v>0.83642697127144505</v>
      </c>
      <c r="Z50" s="1">
        <f t="shared" ca="1" si="18"/>
        <v>927</v>
      </c>
      <c r="AB50" s="1">
        <f t="shared" ca="1" si="19"/>
        <v>7.3805657893315391E-2</v>
      </c>
      <c r="AC50" s="1">
        <f t="shared" ca="1" si="20"/>
        <v>760</v>
      </c>
      <c r="AD50" s="1">
        <f t="shared" ca="1" si="21"/>
        <v>3.3013882674102074E-3</v>
      </c>
      <c r="AE50" s="1"/>
      <c r="AF50" s="1">
        <f t="shared" ca="1" si="22"/>
        <v>0.38547759456119501</v>
      </c>
      <c r="AG50" s="1">
        <f t="shared" ca="1" si="23"/>
        <v>274</v>
      </c>
      <c r="AH50" s="1">
        <f t="shared" ca="1" si="24"/>
        <v>1.4584095658816895E-3</v>
      </c>
      <c r="AJ50" s="1">
        <f t="shared" ca="1" si="25"/>
        <v>0.5356715346415496</v>
      </c>
      <c r="AK50" s="1">
        <f t="shared" ca="1" si="26"/>
        <v>5.8461932010798866E-3</v>
      </c>
      <c r="AL50" s="1"/>
      <c r="AM50" s="1">
        <f t="shared" ca="1" si="27"/>
        <v>0.10948334157612154</v>
      </c>
      <c r="AN50" s="1">
        <f t="shared" ca="1" si="28"/>
        <v>40</v>
      </c>
      <c r="AO50" s="1">
        <f t="shared" ca="1" si="29"/>
        <v>15</v>
      </c>
      <c r="AQ50" s="1">
        <f t="shared" ca="1" si="30"/>
        <v>21</v>
      </c>
      <c r="AR50" s="1">
        <f t="shared" ca="1" si="31"/>
        <v>1</v>
      </c>
      <c r="AS50" s="1">
        <f t="shared" ca="1" si="32"/>
        <v>54</v>
      </c>
      <c r="AU50" s="1">
        <f t="shared" ca="1" si="33"/>
        <v>387</v>
      </c>
      <c r="AV50" s="1">
        <f t="shared" ca="1" si="34"/>
        <v>6</v>
      </c>
      <c r="AW50" s="1">
        <f t="shared" ca="1" si="35"/>
        <v>4.3623934633792674E-2</v>
      </c>
      <c r="AY50" s="1">
        <f t="shared" ca="1" si="36"/>
        <v>1.4414438527046154</v>
      </c>
      <c r="AZ50" s="1">
        <f t="shared" ca="1" si="37"/>
        <v>426</v>
      </c>
      <c r="BA50" s="1">
        <f t="shared" ca="1" si="38"/>
        <v>2.4895037631230505E-3</v>
      </c>
      <c r="BG50" s="1">
        <f t="shared" ca="1" si="39"/>
        <v>0.83660363593916787</v>
      </c>
      <c r="BH50" s="1">
        <f t="shared" ca="1" si="40"/>
        <v>0.53559878756792589</v>
      </c>
      <c r="BI50" s="1">
        <f t="shared" ca="1" si="41"/>
        <v>565</v>
      </c>
      <c r="BV50" s="1">
        <f t="shared" ca="1" si="42"/>
        <v>0.1590175567176533</v>
      </c>
      <c r="BW50" s="1">
        <f t="shared" ca="1" si="43"/>
        <v>254</v>
      </c>
      <c r="BX50" s="1">
        <f t="shared" ca="1" si="44"/>
        <v>5.7780584420133677E-3</v>
      </c>
      <c r="BY50" s="1">
        <f t="shared" ca="1" si="45"/>
        <v>3.4034142218355504E-2</v>
      </c>
      <c r="BZ50" s="1">
        <f t="shared" ca="1" si="46"/>
        <v>0.1060962790734965</v>
      </c>
      <c r="CB50" s="1">
        <f t="shared" ca="1" si="47"/>
        <v>265</v>
      </c>
      <c r="CC50" s="1">
        <f t="shared" ca="1" si="48"/>
        <v>11</v>
      </c>
      <c r="CD50" s="1">
        <f t="shared" ca="1" si="49"/>
        <v>9.612815327840081E-2</v>
      </c>
      <c r="CE50" s="1">
        <f t="shared" ca="1" si="74"/>
        <v>0.70123956324356096</v>
      </c>
      <c r="CF50" s="1">
        <f t="shared" ca="1" si="74"/>
        <v>0.64711058557946433</v>
      </c>
      <c r="CH50" s="3">
        <f t="shared" ca="1" si="51"/>
        <v>0.86504052253670716</v>
      </c>
      <c r="CI50" s="3">
        <f t="shared" ca="1" si="52"/>
        <v>9.6290808339758116E-2</v>
      </c>
      <c r="CJ50" s="3">
        <f t="shared" ca="1" si="53"/>
        <v>1034</v>
      </c>
      <c r="CK50" s="3">
        <f t="shared" ca="1" si="54"/>
        <v>3.4144066035024039E-3</v>
      </c>
      <c r="CL50" s="3">
        <f t="shared" ca="1" si="55"/>
        <v>0</v>
      </c>
      <c r="CM50" s="3"/>
      <c r="CN50" s="1">
        <f t="shared" ca="1" si="56"/>
        <v>8.7698017284251542</v>
      </c>
      <c r="CO50" s="1">
        <f t="shared" ca="1" si="57"/>
        <v>0.44730490199058504</v>
      </c>
      <c r="CP50" s="1">
        <f t="shared" ca="1" si="58"/>
        <v>3</v>
      </c>
      <c r="CV50" s="1">
        <f t="shared" ca="1" si="59"/>
        <v>6.5535180296488411</v>
      </c>
      <c r="CW50" s="1">
        <f t="shared" ca="1" si="60"/>
        <v>1956</v>
      </c>
      <c r="CX50" s="1">
        <f t="shared" ca="1" si="61"/>
        <v>2.9713324821553323E-3</v>
      </c>
      <c r="DH50" s="1">
        <f t="shared" ca="1" si="62"/>
        <v>551</v>
      </c>
      <c r="DI50" s="1">
        <f t="shared" ca="1" si="63"/>
        <v>0.87309395507891774</v>
      </c>
      <c r="DJ50" s="1">
        <f t="shared" ca="1" si="64"/>
        <v>28</v>
      </c>
      <c r="DL50" s="1">
        <f t="shared" ca="1" si="65"/>
        <v>9.5000881320621997E-2</v>
      </c>
      <c r="DM50" s="1">
        <f t="shared" ca="1" si="66"/>
        <v>132</v>
      </c>
      <c r="DN50" s="1">
        <f t="shared" ca="1" si="67"/>
        <v>3</v>
      </c>
      <c r="DW50" s="1">
        <f t="shared" ca="1" si="71"/>
        <v>65</v>
      </c>
      <c r="DX50" s="1">
        <f t="shared" ca="1" si="72"/>
        <v>4</v>
      </c>
      <c r="DY50" s="1">
        <f t="shared" ca="1" si="73"/>
        <v>15</v>
      </c>
    </row>
    <row r="51" spans="2:129" x14ac:dyDescent="0.25">
      <c r="B51">
        <f t="shared" ca="1" si="0"/>
        <v>784</v>
      </c>
      <c r="C51">
        <f t="shared" ca="1" si="1"/>
        <v>27</v>
      </c>
      <c r="D51">
        <f t="shared" ca="1" si="2"/>
        <v>0.14437640492437093</v>
      </c>
      <c r="F51" s="1">
        <f t="shared" ca="1" si="3"/>
        <v>3</v>
      </c>
      <c r="G51" s="1">
        <f t="shared" ca="1" si="4"/>
        <v>6</v>
      </c>
      <c r="H51" s="1">
        <f t="shared" ca="1" si="5"/>
        <v>9</v>
      </c>
      <c r="I51" s="1"/>
      <c r="J51" s="1">
        <f t="shared" ca="1" si="6"/>
        <v>22</v>
      </c>
      <c r="K51" s="1">
        <f t="shared" ca="1" si="7"/>
        <v>1.7796013350412199</v>
      </c>
      <c r="L51" s="1">
        <f t="shared" ca="1" si="8"/>
        <v>8</v>
      </c>
      <c r="M51" s="1"/>
      <c r="N51" s="1">
        <f t="shared" ca="1" si="9"/>
        <v>812</v>
      </c>
      <c r="O51" s="1">
        <f t="shared" ca="1" si="10"/>
        <v>10</v>
      </c>
      <c r="P51" s="1"/>
      <c r="Q51" s="1">
        <f t="shared" ca="1" si="11"/>
        <v>4.0977996533902976</v>
      </c>
      <c r="R51" s="1">
        <f t="shared" ca="1" si="12"/>
        <v>648</v>
      </c>
      <c r="S51" s="1"/>
      <c r="T51" s="1">
        <f t="shared" ca="1" si="13"/>
        <v>2.0770277414417171E-2</v>
      </c>
      <c r="U51" s="1">
        <f t="shared" ca="1" si="14"/>
        <v>93</v>
      </c>
      <c r="V51" s="1">
        <f t="shared" ca="1" si="15"/>
        <v>52</v>
      </c>
      <c r="W51" s="1"/>
      <c r="X51" s="1">
        <f t="shared" ca="1" si="16"/>
        <v>6.3632730112297518</v>
      </c>
      <c r="Y51" s="1">
        <f t="shared" ca="1" si="17"/>
        <v>0.82972800818521597</v>
      </c>
      <c r="Z51" s="1">
        <f t="shared" ca="1" si="18"/>
        <v>1946</v>
      </c>
      <c r="AB51" s="1">
        <f t="shared" ca="1" si="19"/>
        <v>0.32521018892330855</v>
      </c>
      <c r="AC51" s="1">
        <f t="shared" ca="1" si="20"/>
        <v>306</v>
      </c>
      <c r="AD51" s="1">
        <f t="shared" ca="1" si="21"/>
        <v>6.1625329985513485E-3</v>
      </c>
      <c r="AE51" s="1"/>
      <c r="AF51" s="1">
        <f t="shared" ca="1" si="22"/>
        <v>0.11784934385524784</v>
      </c>
      <c r="AG51" s="1">
        <f t="shared" ca="1" si="23"/>
        <v>792</v>
      </c>
      <c r="AH51" s="1">
        <f t="shared" ca="1" si="24"/>
        <v>5.0490428296663479E-3</v>
      </c>
      <c r="AJ51" s="1">
        <f t="shared" ca="1" si="25"/>
        <v>0.20267337554897968</v>
      </c>
      <c r="AK51" s="1">
        <f t="shared" ca="1" si="26"/>
        <v>9.2294698552360457E-3</v>
      </c>
      <c r="AL51" s="1"/>
      <c r="AM51" s="1">
        <f t="shared" ca="1" si="27"/>
        <v>5.6821690779091417E-3</v>
      </c>
      <c r="AN51" s="1">
        <f t="shared" ca="1" si="28"/>
        <v>53</v>
      </c>
      <c r="AO51" s="1">
        <f t="shared" ca="1" si="29"/>
        <v>1</v>
      </c>
      <c r="AQ51" s="1">
        <f t="shared" ca="1" si="30"/>
        <v>77</v>
      </c>
      <c r="AR51" s="1">
        <f t="shared" ca="1" si="31"/>
        <v>9</v>
      </c>
      <c r="AS51" s="1">
        <f t="shared" ca="1" si="32"/>
        <v>12</v>
      </c>
      <c r="AU51" s="1">
        <f t="shared" ca="1" si="33"/>
        <v>386</v>
      </c>
      <c r="AV51" s="1">
        <f t="shared" ca="1" si="34"/>
        <v>6</v>
      </c>
      <c r="AW51" s="1">
        <f t="shared" ca="1" si="35"/>
        <v>0.16160536920650515</v>
      </c>
      <c r="AY51" s="1">
        <f t="shared" ca="1" si="36"/>
        <v>1.5020512602378027</v>
      </c>
      <c r="AZ51" s="1">
        <f t="shared" ca="1" si="37"/>
        <v>381</v>
      </c>
      <c r="BA51" s="1">
        <f t="shared" ca="1" si="38"/>
        <v>6.2682973066367021E-3</v>
      </c>
      <c r="BG51" s="1">
        <f t="shared" ca="1" si="39"/>
        <v>3.5949770912918837E-2</v>
      </c>
      <c r="BH51" s="1">
        <f t="shared" ca="1" si="40"/>
        <v>0.68945925952500287</v>
      </c>
      <c r="BI51" s="1">
        <f t="shared" ca="1" si="41"/>
        <v>710</v>
      </c>
      <c r="BV51" s="1">
        <f t="shared" ca="1" si="42"/>
        <v>0.86923720081644817</v>
      </c>
      <c r="BW51" s="1">
        <f t="shared" ca="1" si="43"/>
        <v>366</v>
      </c>
      <c r="BX51" s="1">
        <f t="shared" ca="1" si="44"/>
        <v>4.0404016475190001E-3</v>
      </c>
      <c r="BY51" s="1">
        <f t="shared" ca="1" si="45"/>
        <v>9.0840261925745364E-3</v>
      </c>
      <c r="BZ51" s="1">
        <f t="shared" ca="1" si="46"/>
        <v>0.93925153244367854</v>
      </c>
      <c r="CB51" s="1">
        <f t="shared" ca="1" si="47"/>
        <v>118</v>
      </c>
      <c r="CC51" s="1">
        <f t="shared" ca="1" si="48"/>
        <v>10</v>
      </c>
      <c r="CD51" s="1">
        <f t="shared" ca="1" si="49"/>
        <v>0.23741208350244733</v>
      </c>
      <c r="CE51" s="1">
        <f t="shared" ca="1" si="74"/>
        <v>0.59288961314426047</v>
      </c>
      <c r="CF51" s="1">
        <f t="shared" ca="1" si="74"/>
        <v>0.5613479731422657</v>
      </c>
      <c r="CH51" s="3">
        <f t="shared" ca="1" si="51"/>
        <v>1.7915457059319614E-3</v>
      </c>
      <c r="CI51" s="3">
        <f t="shared" ca="1" si="52"/>
        <v>0.95564808599855688</v>
      </c>
      <c r="CJ51" s="3">
        <f t="shared" ca="1" si="53"/>
        <v>318</v>
      </c>
      <c r="CK51" s="3">
        <f t="shared" ca="1" si="54"/>
        <v>2.2765105968468109E-3</v>
      </c>
      <c r="CL51" s="3">
        <f t="shared" ca="1" si="55"/>
        <v>1</v>
      </c>
      <c r="CM51" s="3"/>
      <c r="CN51" s="1">
        <f t="shared" ca="1" si="56"/>
        <v>5.2936232248888642</v>
      </c>
      <c r="CO51" s="1">
        <f t="shared" ca="1" si="57"/>
        <v>0.13491966816174372</v>
      </c>
      <c r="CP51" s="1">
        <f t="shared" ca="1" si="58"/>
        <v>2</v>
      </c>
      <c r="CV51" s="1">
        <f t="shared" ca="1" si="59"/>
        <v>8.0182978542536265</v>
      </c>
      <c r="CW51" s="1">
        <f t="shared" ca="1" si="60"/>
        <v>897</v>
      </c>
      <c r="CX51" s="1">
        <f t="shared" ca="1" si="61"/>
        <v>1.3658363186182918E-4</v>
      </c>
      <c r="DH51" s="1">
        <f t="shared" ca="1" si="62"/>
        <v>169</v>
      </c>
      <c r="DI51" s="1">
        <f t="shared" ca="1" si="63"/>
        <v>0.80417272046399035</v>
      </c>
      <c r="DJ51" s="1">
        <f t="shared" ca="1" si="64"/>
        <v>12</v>
      </c>
      <c r="DL51" s="1">
        <f t="shared" ca="1" si="65"/>
        <v>0.10090841820728796</v>
      </c>
      <c r="DM51" s="1">
        <f t="shared" ca="1" si="66"/>
        <v>199</v>
      </c>
      <c r="DN51" s="1">
        <f t="shared" ca="1" si="67"/>
        <v>5</v>
      </c>
      <c r="DW51" s="1">
        <f t="shared" ca="1" si="71"/>
        <v>99</v>
      </c>
      <c r="DX51" s="1">
        <f t="shared" ca="1" si="72"/>
        <v>12</v>
      </c>
      <c r="DY51" s="1">
        <f t="shared" ca="1" si="73"/>
        <v>15</v>
      </c>
    </row>
    <row r="52" spans="2:129" x14ac:dyDescent="0.25">
      <c r="B52">
        <f t="shared" ca="1" si="0"/>
        <v>48</v>
      </c>
      <c r="C52">
        <f t="shared" ca="1" si="1"/>
        <v>25</v>
      </c>
      <c r="D52">
        <f t="shared" ca="1" si="2"/>
        <v>0.16061784111398045</v>
      </c>
      <c r="F52" s="1">
        <f t="shared" ca="1" si="3"/>
        <v>4</v>
      </c>
      <c r="G52" s="1">
        <f t="shared" ca="1" si="4"/>
        <v>26</v>
      </c>
      <c r="H52" s="1">
        <f t="shared" ca="1" si="5"/>
        <v>13</v>
      </c>
      <c r="I52" s="1"/>
      <c r="J52" s="1">
        <f t="shared" ca="1" si="6"/>
        <v>3</v>
      </c>
      <c r="K52" s="1">
        <f t="shared" ca="1" si="7"/>
        <v>1.1004615180546897</v>
      </c>
      <c r="L52" s="1">
        <f t="shared" ca="1" si="8"/>
        <v>16</v>
      </c>
      <c r="M52" s="1"/>
      <c r="N52" s="1">
        <f t="shared" ca="1" si="9"/>
        <v>474</v>
      </c>
      <c r="O52" s="1">
        <f t="shared" ca="1" si="10"/>
        <v>26</v>
      </c>
      <c r="P52" s="1"/>
      <c r="Q52" s="1">
        <f t="shared" ca="1" si="11"/>
        <v>3.9558024757501582</v>
      </c>
      <c r="R52" s="1">
        <f t="shared" ca="1" si="12"/>
        <v>615</v>
      </c>
      <c r="S52" s="1"/>
      <c r="T52" s="1">
        <f t="shared" ca="1" si="13"/>
        <v>0.1875515223853666</v>
      </c>
      <c r="U52" s="1">
        <f t="shared" ca="1" si="14"/>
        <v>338</v>
      </c>
      <c r="V52" s="1">
        <f t="shared" ca="1" si="15"/>
        <v>8</v>
      </c>
      <c r="W52" s="1"/>
      <c r="X52" s="1">
        <f t="shared" ca="1" si="16"/>
        <v>6.233803208216381</v>
      </c>
      <c r="Y52" s="1">
        <f t="shared" ca="1" si="17"/>
        <v>0.55769145635556383</v>
      </c>
      <c r="Z52" s="1">
        <f t="shared" ca="1" si="18"/>
        <v>103</v>
      </c>
      <c r="AB52" s="1">
        <f t="shared" ca="1" si="19"/>
        <v>0.96480952211424342</v>
      </c>
      <c r="AC52" s="1">
        <f t="shared" ca="1" si="20"/>
        <v>161</v>
      </c>
      <c r="AD52" s="1">
        <f t="shared" ca="1" si="21"/>
        <v>6.6922101687338564E-3</v>
      </c>
      <c r="AE52" s="1"/>
      <c r="AF52" s="1">
        <f t="shared" ca="1" si="22"/>
        <v>0.31180105364379995</v>
      </c>
      <c r="AG52" s="1">
        <f t="shared" ca="1" si="23"/>
        <v>999</v>
      </c>
      <c r="AH52" s="1">
        <f t="shared" ca="1" si="24"/>
        <v>1.4947668589080873E-3</v>
      </c>
      <c r="AJ52" s="1">
        <f t="shared" ca="1" si="25"/>
        <v>0.20439329835365494</v>
      </c>
      <c r="AK52" s="1">
        <f t="shared" ca="1" si="26"/>
        <v>2.7456326440806842E-3</v>
      </c>
      <c r="AL52" s="1"/>
      <c r="AM52" s="1">
        <f t="shared" ca="1" si="27"/>
        <v>0.1885035340669628</v>
      </c>
      <c r="AN52" s="1">
        <f t="shared" ca="1" si="28"/>
        <v>74</v>
      </c>
      <c r="AO52" s="1">
        <f t="shared" ca="1" si="29"/>
        <v>8</v>
      </c>
      <c r="AQ52" s="1">
        <f t="shared" ca="1" si="30"/>
        <v>31</v>
      </c>
      <c r="AR52" s="1">
        <f t="shared" ca="1" si="31"/>
        <v>1</v>
      </c>
      <c r="AS52" s="1">
        <f t="shared" ca="1" si="32"/>
        <v>88</v>
      </c>
      <c r="AU52" s="1">
        <f t="shared" ca="1" si="33"/>
        <v>341</v>
      </c>
      <c r="AV52" s="1">
        <f t="shared" ca="1" si="34"/>
        <v>8</v>
      </c>
      <c r="AW52" s="1">
        <f t="shared" ca="1" si="35"/>
        <v>0.10243272775646844</v>
      </c>
      <c r="AY52" s="1">
        <f t="shared" ca="1" si="36"/>
        <v>1.6674397081966759</v>
      </c>
      <c r="AZ52" s="1">
        <f t="shared" ca="1" si="37"/>
        <v>357</v>
      </c>
      <c r="BA52" s="1">
        <f t="shared" ca="1" si="38"/>
        <v>6.6735681343297964E-4</v>
      </c>
      <c r="BG52" s="1">
        <f t="shared" ca="1" si="39"/>
        <v>0.27728258990740218</v>
      </c>
      <c r="BH52" s="1">
        <f t="shared" ca="1" si="40"/>
        <v>0.82089458042681163</v>
      </c>
      <c r="BI52" s="1">
        <f t="shared" ca="1" si="41"/>
        <v>889</v>
      </c>
      <c r="BV52" s="1">
        <f t="shared" ca="1" si="42"/>
        <v>0.44695923670265586</v>
      </c>
      <c r="BW52" s="1">
        <f t="shared" ca="1" si="43"/>
        <v>968</v>
      </c>
      <c r="BX52" s="1">
        <f t="shared" ca="1" si="44"/>
        <v>7.6084956198879776E-3</v>
      </c>
      <c r="BY52" s="1">
        <f t="shared" ca="1" si="45"/>
        <v>1.2650089580795497E-2</v>
      </c>
      <c r="BZ52" s="1">
        <f t="shared" ca="1" si="46"/>
        <v>0.83916972967988035</v>
      </c>
      <c r="CB52" s="1">
        <f t="shared" ca="1" si="47"/>
        <v>322</v>
      </c>
      <c r="CC52" s="1">
        <f t="shared" ca="1" si="48"/>
        <v>11</v>
      </c>
      <c r="CD52" s="1">
        <f t="shared" ca="1" si="49"/>
        <v>0.16825149088997132</v>
      </c>
      <c r="CE52" s="1">
        <f t="shared" ca="1" si="74"/>
        <v>0.94831984392409452</v>
      </c>
      <c r="CF52" s="1">
        <f t="shared" ca="1" si="74"/>
        <v>0.51285628322679799</v>
      </c>
      <c r="CH52" s="3">
        <f t="shared" ca="1" si="51"/>
        <v>0.34245670019277824</v>
      </c>
      <c r="CI52" s="3">
        <f t="shared" ca="1" si="52"/>
        <v>3.8458738444666747E-2</v>
      </c>
      <c r="CJ52" s="3">
        <f t="shared" ca="1" si="53"/>
        <v>1003</v>
      </c>
      <c r="CK52" s="3">
        <f t="shared" ca="1" si="54"/>
        <v>9.5818643060305662E-3</v>
      </c>
      <c r="CL52" s="3">
        <f t="shared" ca="1" si="55"/>
        <v>1</v>
      </c>
      <c r="CM52" s="3"/>
      <c r="CN52" s="1">
        <f t="shared" ca="1" si="56"/>
        <v>11.693516823990761</v>
      </c>
      <c r="CO52" s="1">
        <f t="shared" ca="1" si="57"/>
        <v>0.40682366213886983</v>
      </c>
      <c r="CP52" s="1">
        <f t="shared" ca="1" si="58"/>
        <v>1</v>
      </c>
      <c r="CV52" s="1">
        <f t="shared" ca="1" si="59"/>
        <v>5.7644180483963616</v>
      </c>
      <c r="CW52" s="1">
        <f t="shared" ca="1" si="60"/>
        <v>1252</v>
      </c>
      <c r="CX52" s="1">
        <f t="shared" ca="1" si="61"/>
        <v>4.8858677815413988E-3</v>
      </c>
      <c r="DH52" s="1">
        <f t="shared" ca="1" si="62"/>
        <v>193</v>
      </c>
      <c r="DI52" s="1">
        <f t="shared" ca="1" si="63"/>
        <v>0.82887188164266179</v>
      </c>
      <c r="DJ52" s="1">
        <f t="shared" ca="1" si="64"/>
        <v>10</v>
      </c>
      <c r="DL52" s="1">
        <f t="shared" ca="1" si="65"/>
        <v>4.9652141616166955E-2</v>
      </c>
      <c r="DM52" s="1">
        <f t="shared" ca="1" si="66"/>
        <v>198</v>
      </c>
      <c r="DN52" s="1">
        <f t="shared" ca="1" si="67"/>
        <v>10</v>
      </c>
      <c r="DW52" s="1">
        <f t="shared" ca="1" si="71"/>
        <v>214</v>
      </c>
      <c r="DX52" s="1">
        <f t="shared" ca="1" si="72"/>
        <v>9</v>
      </c>
      <c r="DY52" s="1">
        <f t="shared" ca="1" si="73"/>
        <v>10</v>
      </c>
    </row>
    <row r="53" spans="2:129" x14ac:dyDescent="0.25">
      <c r="B53">
        <f t="shared" ca="1" si="0"/>
        <v>776</v>
      </c>
      <c r="C53">
        <f t="shared" ca="1" si="1"/>
        <v>37</v>
      </c>
      <c r="D53">
        <f t="shared" ca="1" si="2"/>
        <v>0.2335123813488981</v>
      </c>
      <c r="F53" s="1">
        <f t="shared" ca="1" si="3"/>
        <v>10</v>
      </c>
      <c r="G53" s="1">
        <f t="shared" ca="1" si="4"/>
        <v>11</v>
      </c>
      <c r="H53" s="1">
        <f t="shared" ca="1" si="5"/>
        <v>9</v>
      </c>
      <c r="I53" s="1"/>
      <c r="J53" s="1">
        <f t="shared" ca="1" si="6"/>
        <v>3</v>
      </c>
      <c r="K53" s="1">
        <f t="shared" ca="1" si="7"/>
        <v>1.0799674707113811</v>
      </c>
      <c r="L53" s="1">
        <f t="shared" ca="1" si="8"/>
        <v>6</v>
      </c>
      <c r="M53" s="1"/>
      <c r="N53" s="1">
        <f t="shared" ca="1" si="9"/>
        <v>883</v>
      </c>
      <c r="O53" s="1">
        <f t="shared" ca="1" si="10"/>
        <v>11</v>
      </c>
      <c r="P53" s="1"/>
      <c r="Q53" s="1">
        <f t="shared" ca="1" si="11"/>
        <v>4.8635817356146429</v>
      </c>
      <c r="R53" s="1">
        <f t="shared" ca="1" si="12"/>
        <v>639</v>
      </c>
      <c r="S53" s="1"/>
      <c r="T53" s="1">
        <f t="shared" ca="1" si="13"/>
        <v>0.17905050391220337</v>
      </c>
      <c r="U53" s="1">
        <f t="shared" ca="1" si="14"/>
        <v>94</v>
      </c>
      <c r="V53" s="1">
        <f t="shared" ca="1" si="15"/>
        <v>8</v>
      </c>
      <c r="W53" s="1"/>
      <c r="X53" s="1">
        <f t="shared" ca="1" si="16"/>
        <v>2.7938044155303601</v>
      </c>
      <c r="Y53" s="1">
        <f t="shared" ca="1" si="17"/>
        <v>0.19778521867758292</v>
      </c>
      <c r="Z53" s="1">
        <f t="shared" ca="1" si="18"/>
        <v>1305</v>
      </c>
      <c r="AB53" s="1">
        <f t="shared" ca="1" si="19"/>
        <v>0.36637190335690778</v>
      </c>
      <c r="AC53" s="1">
        <f t="shared" ca="1" si="20"/>
        <v>808</v>
      </c>
      <c r="AD53" s="1">
        <f t="shared" ca="1" si="21"/>
        <v>3.3350732385903359E-3</v>
      </c>
      <c r="AE53" s="1"/>
      <c r="AF53" s="1">
        <f t="shared" ca="1" si="22"/>
        <v>0.47615613077105856</v>
      </c>
      <c r="AG53" s="1">
        <f t="shared" ca="1" si="23"/>
        <v>616</v>
      </c>
      <c r="AH53" s="1">
        <f t="shared" ca="1" si="24"/>
        <v>7.8300904142688636E-3</v>
      </c>
      <c r="AJ53" s="1">
        <f t="shared" ca="1" si="25"/>
        <v>0.45319239806909073</v>
      </c>
      <c r="AK53" s="1">
        <f t="shared" ca="1" si="26"/>
        <v>1.242863935093171E-4</v>
      </c>
      <c r="AL53" s="1"/>
      <c r="AM53" s="1">
        <f t="shared" ca="1" si="27"/>
        <v>7.2502846322972506E-2</v>
      </c>
      <c r="AN53" s="1">
        <f t="shared" ca="1" si="28"/>
        <v>79</v>
      </c>
      <c r="AO53" s="1">
        <f t="shared" ca="1" si="29"/>
        <v>2</v>
      </c>
      <c r="AQ53" s="1">
        <f t="shared" ca="1" si="30"/>
        <v>139</v>
      </c>
      <c r="AR53" s="1">
        <f t="shared" ca="1" si="31"/>
        <v>4</v>
      </c>
      <c r="AS53" s="1">
        <f t="shared" ca="1" si="32"/>
        <v>41</v>
      </c>
      <c r="AU53" s="1">
        <f t="shared" ca="1" si="33"/>
        <v>90</v>
      </c>
      <c r="AV53" s="1">
        <f t="shared" ca="1" si="34"/>
        <v>2</v>
      </c>
      <c r="AW53" s="1">
        <f t="shared" ca="1" si="35"/>
        <v>1.9658388481535623E-2</v>
      </c>
      <c r="AY53" s="1">
        <f t="shared" ca="1" si="36"/>
        <v>1.8840243353299284</v>
      </c>
      <c r="AZ53" s="1">
        <f t="shared" ca="1" si="37"/>
        <v>471</v>
      </c>
      <c r="BA53" s="1">
        <f t="shared" ca="1" si="38"/>
        <v>3.2434914249267811E-3</v>
      </c>
      <c r="BG53" s="1">
        <f t="shared" ca="1" si="39"/>
        <v>0.88145791261637108</v>
      </c>
      <c r="BH53" s="1">
        <f t="shared" ca="1" si="40"/>
        <v>0.56194495921909837</v>
      </c>
      <c r="BI53" s="1">
        <f t="shared" ca="1" si="41"/>
        <v>574</v>
      </c>
      <c r="BV53" s="1">
        <f t="shared" ca="1" si="42"/>
        <v>0.29773657113016339</v>
      </c>
      <c r="BW53" s="1">
        <f t="shared" ca="1" si="43"/>
        <v>240</v>
      </c>
      <c r="BX53" s="1">
        <f t="shared" ca="1" si="44"/>
        <v>8.9062485577827907E-3</v>
      </c>
      <c r="BY53" s="1">
        <f t="shared" ca="1" si="45"/>
        <v>8.6600246108164081E-2</v>
      </c>
      <c r="BZ53" s="1">
        <f t="shared" ca="1" si="46"/>
        <v>0.48826879307298043</v>
      </c>
      <c r="CB53" s="1">
        <f t="shared" ca="1" si="47"/>
        <v>274</v>
      </c>
      <c r="CC53" s="1">
        <f t="shared" ca="1" si="48"/>
        <v>5</v>
      </c>
      <c r="CD53" s="1">
        <f t="shared" ca="1" si="49"/>
        <v>0.11373460724905553</v>
      </c>
      <c r="CE53" s="1">
        <f t="shared" ca="1" si="74"/>
        <v>0.73900861609938628</v>
      </c>
      <c r="CF53" s="1">
        <f t="shared" ca="1" si="74"/>
        <v>0.61161453738121097</v>
      </c>
      <c r="CH53" s="3">
        <f t="shared" ca="1" si="51"/>
        <v>0.67467580605991151</v>
      </c>
      <c r="CI53" s="3">
        <f t="shared" ca="1" si="52"/>
        <v>0.50183232850723158</v>
      </c>
      <c r="CJ53" s="3">
        <f t="shared" ca="1" si="53"/>
        <v>690</v>
      </c>
      <c r="CK53" s="3">
        <f t="shared" ca="1" si="54"/>
        <v>3.3629406388153201E-3</v>
      </c>
      <c r="CL53" s="3">
        <f t="shared" ca="1" si="55"/>
        <v>0</v>
      </c>
      <c r="CM53" s="3"/>
      <c r="CN53" s="1">
        <f t="shared" ca="1" si="56"/>
        <v>6.9823083924169795</v>
      </c>
      <c r="CO53" s="1">
        <f t="shared" ca="1" si="57"/>
        <v>0.35471211473654418</v>
      </c>
      <c r="CP53" s="1">
        <f t="shared" ca="1" si="58"/>
        <v>1</v>
      </c>
      <c r="CV53" s="1">
        <f t="shared" ca="1" si="59"/>
        <v>8.7669041970078982</v>
      </c>
      <c r="CW53" s="1">
        <f t="shared" ca="1" si="60"/>
        <v>299</v>
      </c>
      <c r="CX53" s="1">
        <f t="shared" ca="1" si="61"/>
        <v>2.5759474526599025E-3</v>
      </c>
      <c r="DH53" s="1">
        <f t="shared" ca="1" si="62"/>
        <v>478</v>
      </c>
      <c r="DI53" s="1">
        <f t="shared" ca="1" si="63"/>
        <v>0.23032496107266243</v>
      </c>
      <c r="DJ53" s="1">
        <f t="shared" ca="1" si="64"/>
        <v>15</v>
      </c>
      <c r="DL53" s="1">
        <f t="shared" ca="1" si="65"/>
        <v>0.19285827583065715</v>
      </c>
      <c r="DM53" s="1">
        <f t="shared" ca="1" si="66"/>
        <v>88</v>
      </c>
      <c r="DN53" s="1">
        <f t="shared" ca="1" si="67"/>
        <v>1</v>
      </c>
      <c r="DW53" s="1">
        <f t="shared" ca="1" si="71"/>
        <v>59</v>
      </c>
      <c r="DX53" s="1">
        <f t="shared" ca="1" si="72"/>
        <v>16</v>
      </c>
      <c r="DY53" s="1">
        <f t="shared" ca="1" si="73"/>
        <v>5</v>
      </c>
    </row>
    <row r="54" spans="2:129" x14ac:dyDescent="0.25">
      <c r="B54">
        <f t="shared" ca="1" si="0"/>
        <v>524</v>
      </c>
      <c r="C54">
        <f t="shared" ca="1" si="1"/>
        <v>30</v>
      </c>
      <c r="D54">
        <f t="shared" ca="1" si="2"/>
        <v>3.4615225245433617E-2</v>
      </c>
      <c r="F54" s="1">
        <f t="shared" ca="1" si="3"/>
        <v>30</v>
      </c>
      <c r="G54" s="1">
        <f t="shared" ca="1" si="4"/>
        <v>9</v>
      </c>
      <c r="H54" s="1">
        <f t="shared" ca="1" si="5"/>
        <v>14</v>
      </c>
      <c r="I54" s="1"/>
      <c r="J54" s="1">
        <f t="shared" ca="1" si="6"/>
        <v>1</v>
      </c>
      <c r="K54" s="1">
        <f t="shared" ca="1" si="7"/>
        <v>2.9317321788769437</v>
      </c>
      <c r="L54" s="1">
        <f t="shared" ca="1" si="8"/>
        <v>5</v>
      </c>
      <c r="M54" s="1"/>
      <c r="N54" s="1">
        <f t="shared" ca="1" si="9"/>
        <v>194</v>
      </c>
      <c r="O54" s="1">
        <f t="shared" ca="1" si="10"/>
        <v>31</v>
      </c>
      <c r="P54" s="1"/>
      <c r="Q54" s="1">
        <f t="shared" ca="1" si="11"/>
        <v>3.1587625227000546</v>
      </c>
      <c r="R54" s="1">
        <f t="shared" ca="1" si="12"/>
        <v>675</v>
      </c>
      <c r="S54" s="1"/>
      <c r="T54" s="1">
        <f t="shared" ca="1" si="13"/>
        <v>6.2067844214730689E-2</v>
      </c>
      <c r="U54" s="1">
        <f t="shared" ca="1" si="14"/>
        <v>185</v>
      </c>
      <c r="V54" s="1">
        <f t="shared" ca="1" si="15"/>
        <v>37</v>
      </c>
      <c r="W54" s="1"/>
      <c r="X54" s="1">
        <f t="shared" ca="1" si="16"/>
        <v>6.4792411323802277</v>
      </c>
      <c r="Y54" s="1">
        <f t="shared" ca="1" si="17"/>
        <v>0.76013373035182985</v>
      </c>
      <c r="Z54" s="1">
        <f t="shared" ca="1" si="18"/>
        <v>834</v>
      </c>
      <c r="AB54" s="1">
        <f t="shared" ca="1" si="19"/>
        <v>0.66348427032771673</v>
      </c>
      <c r="AC54" s="1">
        <f t="shared" ca="1" si="20"/>
        <v>464</v>
      </c>
      <c r="AD54" s="1">
        <f t="shared" ca="1" si="21"/>
        <v>1.4129458048458536E-5</v>
      </c>
      <c r="AE54" s="1"/>
      <c r="AF54" s="1">
        <f t="shared" ca="1" si="22"/>
        <v>0.78070267876189547</v>
      </c>
      <c r="AG54" s="1">
        <f t="shared" ca="1" si="23"/>
        <v>882</v>
      </c>
      <c r="AH54" s="1">
        <f t="shared" ca="1" si="24"/>
        <v>2.4666763882828882E-3</v>
      </c>
      <c r="AJ54" s="1">
        <f t="shared" ca="1" si="25"/>
        <v>0.85473467778296519</v>
      </c>
      <c r="AK54" s="1">
        <f t="shared" ca="1" si="26"/>
        <v>9.5691914867412058E-3</v>
      </c>
      <c r="AL54" s="1"/>
      <c r="AM54" s="1">
        <f t="shared" ca="1" si="27"/>
        <v>4.7718122221148941E-2</v>
      </c>
      <c r="AN54" s="1">
        <f t="shared" ca="1" si="28"/>
        <v>20</v>
      </c>
      <c r="AO54" s="1">
        <f t="shared" ca="1" si="29"/>
        <v>-1</v>
      </c>
      <c r="AQ54" s="1">
        <f t="shared" ca="1" si="30"/>
        <v>21</v>
      </c>
      <c r="AR54" s="1">
        <f t="shared" ca="1" si="31"/>
        <v>1</v>
      </c>
      <c r="AS54" s="1">
        <f t="shared" ca="1" si="32"/>
        <v>13</v>
      </c>
      <c r="AU54" s="1">
        <f t="shared" ca="1" si="33"/>
        <v>357</v>
      </c>
      <c r="AV54" s="1">
        <f t="shared" ca="1" si="34"/>
        <v>4</v>
      </c>
      <c r="AW54" s="1">
        <f t="shared" ca="1" si="35"/>
        <v>0.19252378777804033</v>
      </c>
      <c r="AY54" s="1">
        <f t="shared" ca="1" si="36"/>
        <v>1.532336715234049</v>
      </c>
      <c r="AZ54" s="1">
        <f t="shared" ca="1" si="37"/>
        <v>55</v>
      </c>
      <c r="BA54" s="1">
        <f t="shared" ca="1" si="38"/>
        <v>5.526605173231303E-3</v>
      </c>
      <c r="BG54" s="1">
        <f t="shared" ca="1" si="39"/>
        <v>0.20024701291207689</v>
      </c>
      <c r="BH54" s="1">
        <f t="shared" ca="1" si="40"/>
        <v>0.91847902783909807</v>
      </c>
      <c r="BI54" s="1">
        <f t="shared" ca="1" si="41"/>
        <v>207</v>
      </c>
      <c r="BV54" s="1">
        <f t="shared" ca="1" si="42"/>
        <v>0.85917995820169435</v>
      </c>
      <c r="BW54" s="1">
        <f t="shared" ca="1" si="43"/>
        <v>596</v>
      </c>
      <c r="BX54" s="1">
        <f t="shared" ca="1" si="44"/>
        <v>6.2038705789836494E-3</v>
      </c>
      <c r="BY54" s="1">
        <f t="shared" ca="1" si="45"/>
        <v>5.5412563030220824E-2</v>
      </c>
      <c r="BZ54" s="1">
        <f t="shared" ca="1" si="46"/>
        <v>0.73735433175938736</v>
      </c>
      <c r="CB54" s="1">
        <f t="shared" ca="1" si="47"/>
        <v>495</v>
      </c>
      <c r="CC54" s="1">
        <f t="shared" ca="1" si="48"/>
        <v>7</v>
      </c>
      <c r="CD54" s="1">
        <f t="shared" ca="1" si="49"/>
        <v>0.27906478291333842</v>
      </c>
      <c r="CE54" s="1">
        <f t="shared" ca="1" si="74"/>
        <v>0.74809849213590884</v>
      </c>
      <c r="CF54" s="1">
        <f t="shared" ca="1" si="74"/>
        <v>0.63403686286149663</v>
      </c>
      <c r="CH54" s="3">
        <f t="shared" ca="1" si="51"/>
        <v>6.1361930498904094E-3</v>
      </c>
      <c r="CI54" s="3">
        <f t="shared" ca="1" si="52"/>
        <v>0.36968348326770983</v>
      </c>
      <c r="CJ54" s="3">
        <f t="shared" ca="1" si="53"/>
        <v>1190</v>
      </c>
      <c r="CK54" s="3">
        <f t="shared" ca="1" si="54"/>
        <v>4.7549257838723686E-4</v>
      </c>
      <c r="CL54" s="3">
        <f t="shared" ca="1" si="55"/>
        <v>1</v>
      </c>
      <c r="CM54" s="3"/>
      <c r="CN54" s="1">
        <f t="shared" ca="1" si="56"/>
        <v>3.2179570986476946</v>
      </c>
      <c r="CO54" s="1">
        <f t="shared" ca="1" si="57"/>
        <v>0.14945601178250081</v>
      </c>
      <c r="CP54" s="1">
        <f t="shared" ca="1" si="58"/>
        <v>4</v>
      </c>
      <c r="CV54" s="1">
        <f t="shared" ca="1" si="59"/>
        <v>0.98167846965336369</v>
      </c>
      <c r="CW54" s="1">
        <f t="shared" ca="1" si="60"/>
        <v>1211</v>
      </c>
      <c r="CX54" s="1">
        <f t="shared" ca="1" si="61"/>
        <v>6.701427424232115E-3</v>
      </c>
      <c r="DH54" s="1">
        <f t="shared" ca="1" si="62"/>
        <v>428</v>
      </c>
      <c r="DI54" s="1">
        <f t="shared" ca="1" si="63"/>
        <v>0.51341441915645836</v>
      </c>
      <c r="DJ54" s="1">
        <f t="shared" ca="1" si="64"/>
        <v>11</v>
      </c>
      <c r="DL54" s="1">
        <f t="shared" ca="1" si="65"/>
        <v>0.13629960061365165</v>
      </c>
      <c r="DM54" s="1">
        <f t="shared" ca="1" si="66"/>
        <v>298</v>
      </c>
      <c r="DN54" s="1">
        <f t="shared" ca="1" si="67"/>
        <v>5</v>
      </c>
      <c r="DW54" s="1">
        <f t="shared" ca="1" si="71"/>
        <v>215</v>
      </c>
      <c r="DX54" s="1">
        <f t="shared" ca="1" si="72"/>
        <v>9</v>
      </c>
      <c r="DY54" s="1">
        <f t="shared" ca="1" si="73"/>
        <v>8</v>
      </c>
    </row>
    <row r="55" spans="2:129" x14ac:dyDescent="0.25">
      <c r="B55">
        <f t="shared" ca="1" si="0"/>
        <v>441</v>
      </c>
      <c r="C55">
        <f t="shared" ca="1" si="1"/>
        <v>27</v>
      </c>
      <c r="D55">
        <f t="shared" ca="1" si="2"/>
        <v>2.7964906864660348E-2</v>
      </c>
      <c r="F55" s="1">
        <f t="shared" ca="1" si="3"/>
        <v>47</v>
      </c>
      <c r="G55" s="1">
        <f t="shared" ca="1" si="4"/>
        <v>24</v>
      </c>
      <c r="H55" s="1">
        <f t="shared" ca="1" si="5"/>
        <v>6</v>
      </c>
      <c r="I55" s="1"/>
      <c r="J55" s="1">
        <f t="shared" ca="1" si="6"/>
        <v>10</v>
      </c>
      <c r="K55" s="1">
        <f t="shared" ca="1" si="7"/>
        <v>1.1749329040084007</v>
      </c>
      <c r="L55" s="1">
        <f t="shared" ca="1" si="8"/>
        <v>25</v>
      </c>
      <c r="M55" s="1"/>
      <c r="N55" s="1">
        <f t="shared" ca="1" si="9"/>
        <v>548</v>
      </c>
      <c r="O55" s="1">
        <f t="shared" ca="1" si="10"/>
        <v>17</v>
      </c>
      <c r="P55" s="1"/>
      <c r="Q55" s="1">
        <f t="shared" ca="1" si="11"/>
        <v>3.6108839383429809</v>
      </c>
      <c r="R55" s="1">
        <f t="shared" ca="1" si="12"/>
        <v>527</v>
      </c>
      <c r="S55" s="1"/>
      <c r="T55" s="1">
        <f t="shared" ca="1" si="13"/>
        <v>6.2456594459985589E-2</v>
      </c>
      <c r="U55" s="1">
        <f t="shared" ca="1" si="14"/>
        <v>341</v>
      </c>
      <c r="V55" s="1">
        <f t="shared" ca="1" si="15"/>
        <v>50</v>
      </c>
      <c r="W55" s="1"/>
      <c r="X55" s="1">
        <f t="shared" ca="1" si="16"/>
        <v>6.2093665254447146</v>
      </c>
      <c r="Y55" s="1">
        <f t="shared" ca="1" si="17"/>
        <v>0.41315508915034127</v>
      </c>
      <c r="Z55" s="1">
        <f t="shared" ca="1" si="18"/>
        <v>1219</v>
      </c>
      <c r="AB55" s="1">
        <f t="shared" ca="1" si="19"/>
        <v>0.83130380254074809</v>
      </c>
      <c r="AC55" s="1">
        <f t="shared" ca="1" si="20"/>
        <v>412</v>
      </c>
      <c r="AD55" s="1">
        <f t="shared" ca="1" si="21"/>
        <v>2.3370947578287902E-3</v>
      </c>
      <c r="AE55" s="1"/>
      <c r="AF55" s="1">
        <f t="shared" ca="1" si="22"/>
        <v>0.7122007320326853</v>
      </c>
      <c r="AG55" s="1">
        <f t="shared" ca="1" si="23"/>
        <v>308</v>
      </c>
      <c r="AH55" s="1">
        <f t="shared" ca="1" si="24"/>
        <v>3.1868375152587932E-3</v>
      </c>
      <c r="AJ55" s="1">
        <f t="shared" ca="1" si="25"/>
        <v>0.67996475997370243</v>
      </c>
      <c r="AK55" s="1">
        <f t="shared" ca="1" si="26"/>
        <v>8.8330438922841707E-3</v>
      </c>
      <c r="AL55" s="1"/>
      <c r="AM55" s="1">
        <f t="shared" ca="1" si="27"/>
        <v>4.8288502043910643E-2</v>
      </c>
      <c r="AN55" s="1">
        <f t="shared" ca="1" si="28"/>
        <v>74</v>
      </c>
      <c r="AO55" s="1">
        <f t="shared" ca="1" si="29"/>
        <v>5</v>
      </c>
      <c r="AQ55" s="1">
        <f t="shared" ca="1" si="30"/>
        <v>12</v>
      </c>
      <c r="AR55" s="1">
        <f t="shared" ca="1" si="31"/>
        <v>4</v>
      </c>
      <c r="AS55" s="1">
        <f t="shared" ca="1" si="32"/>
        <v>85</v>
      </c>
      <c r="AU55" s="1">
        <f t="shared" ca="1" si="33"/>
        <v>191</v>
      </c>
      <c r="AV55" s="1">
        <f t="shared" ca="1" si="34"/>
        <v>5</v>
      </c>
      <c r="AW55" s="1">
        <f t="shared" ca="1" si="35"/>
        <v>7.283722849693243E-2</v>
      </c>
      <c r="AY55" s="1">
        <f t="shared" ca="1" si="36"/>
        <v>1.5276398787830368</v>
      </c>
      <c r="AZ55" s="1">
        <f t="shared" ca="1" si="37"/>
        <v>402</v>
      </c>
      <c r="BA55" s="1">
        <f t="shared" ca="1" si="38"/>
        <v>7.8189315002325302E-3</v>
      </c>
      <c r="BG55" s="1">
        <f t="shared" ca="1" si="39"/>
        <v>0.7305963124549365</v>
      </c>
      <c r="BH55" s="1">
        <f t="shared" ca="1" si="40"/>
        <v>0.78147805508902224</v>
      </c>
      <c r="BI55" s="1">
        <f t="shared" ca="1" si="41"/>
        <v>702</v>
      </c>
      <c r="BV55" s="1">
        <f t="shared" ca="1" si="42"/>
        <v>0.23333082516598994</v>
      </c>
      <c r="BW55" s="1">
        <f t="shared" ca="1" si="43"/>
        <v>623</v>
      </c>
      <c r="BX55" s="1">
        <f t="shared" ca="1" si="44"/>
        <v>5.5357477717953268E-4</v>
      </c>
      <c r="BY55" s="1">
        <f t="shared" ca="1" si="45"/>
        <v>6.7590998453174539E-2</v>
      </c>
      <c r="BZ55" s="1">
        <f t="shared" ca="1" si="46"/>
        <v>0.57063591999139895</v>
      </c>
      <c r="CB55" s="1">
        <f t="shared" ca="1" si="47"/>
        <v>455</v>
      </c>
      <c r="CC55" s="1">
        <f t="shared" ca="1" si="48"/>
        <v>5</v>
      </c>
      <c r="CD55" s="1">
        <f t="shared" ca="1" si="49"/>
        <v>0.1457496981235617</v>
      </c>
      <c r="CE55" s="1">
        <f t="shared" ca="1" si="74"/>
        <v>0.79184215292182725</v>
      </c>
      <c r="CF55" s="1">
        <f t="shared" ca="1" si="74"/>
        <v>0.68730913037475116</v>
      </c>
      <c r="CH55" s="3">
        <f t="shared" ca="1" si="51"/>
        <v>0.56081457158633885</v>
      </c>
      <c r="CI55" s="3">
        <f t="shared" ca="1" si="52"/>
        <v>7.3450882119676153E-2</v>
      </c>
      <c r="CJ55" s="3">
        <f t="shared" ca="1" si="53"/>
        <v>1076</v>
      </c>
      <c r="CK55" s="3">
        <f t="shared" ca="1" si="54"/>
        <v>6.1850915927213444E-3</v>
      </c>
      <c r="CL55" s="3">
        <f t="shared" ca="1" si="55"/>
        <v>1</v>
      </c>
      <c r="CM55" s="3"/>
      <c r="CN55" s="1">
        <f t="shared" ca="1" si="56"/>
        <v>18.141668215511437</v>
      </c>
      <c r="CO55" s="1">
        <f t="shared" ca="1" si="57"/>
        <v>0.19472177765192439</v>
      </c>
      <c r="CP55" s="1">
        <f t="shared" ca="1" si="58"/>
        <v>1</v>
      </c>
      <c r="CV55" s="1">
        <f t="shared" ca="1" si="59"/>
        <v>4.4677624495988129</v>
      </c>
      <c r="CW55" s="1">
        <f t="shared" ca="1" si="60"/>
        <v>1817</v>
      </c>
      <c r="CX55" s="1">
        <f t="shared" ca="1" si="61"/>
        <v>5.9770145836206051E-3</v>
      </c>
      <c r="DH55" s="1">
        <f t="shared" ca="1" si="62"/>
        <v>752</v>
      </c>
      <c r="DI55" s="1">
        <f t="shared" ca="1" si="63"/>
        <v>0.52739949307822187</v>
      </c>
      <c r="DJ55" s="1">
        <f t="shared" ca="1" si="64"/>
        <v>16</v>
      </c>
      <c r="DL55" s="1">
        <f t="shared" ca="1" si="65"/>
        <v>0.10838551616424076</v>
      </c>
      <c r="DM55" s="1">
        <f t="shared" ca="1" si="66"/>
        <v>87</v>
      </c>
      <c r="DN55" s="1">
        <f t="shared" ca="1" si="67"/>
        <v>5</v>
      </c>
      <c r="DW55" s="1">
        <f t="shared" ca="1" si="71"/>
        <v>383</v>
      </c>
      <c r="DX55" s="1">
        <f t="shared" ca="1" si="72"/>
        <v>20</v>
      </c>
      <c r="DY55" s="1">
        <f t="shared" ca="1" si="73"/>
        <v>14</v>
      </c>
    </row>
    <row r="56" spans="2:129" x14ac:dyDescent="0.25">
      <c r="B56">
        <f t="shared" ca="1" si="0"/>
        <v>221</v>
      </c>
      <c r="C56">
        <f t="shared" ca="1" si="1"/>
        <v>15</v>
      </c>
      <c r="D56">
        <f t="shared" ca="1" si="2"/>
        <v>0.23802267222687393</v>
      </c>
      <c r="F56" s="1">
        <f t="shared" ca="1" si="3"/>
        <v>50</v>
      </c>
      <c r="G56" s="1">
        <f t="shared" ca="1" si="4"/>
        <v>28</v>
      </c>
      <c r="H56" s="1">
        <f t="shared" ca="1" si="5"/>
        <v>12</v>
      </c>
      <c r="I56" s="1"/>
      <c r="J56" s="1">
        <f t="shared" ca="1" si="6"/>
        <v>1</v>
      </c>
      <c r="K56" s="1">
        <f t="shared" ca="1" si="7"/>
        <v>1.1657761455289446</v>
      </c>
      <c r="L56" s="1">
        <f t="shared" ca="1" si="8"/>
        <v>15</v>
      </c>
      <c r="M56" s="1"/>
      <c r="N56" s="1">
        <f t="shared" ca="1" si="9"/>
        <v>487</v>
      </c>
      <c r="O56" s="1">
        <f t="shared" ca="1" si="10"/>
        <v>32</v>
      </c>
      <c r="P56" s="1"/>
      <c r="Q56" s="1">
        <f t="shared" ca="1" si="11"/>
        <v>1.0141941563845762</v>
      </c>
      <c r="R56" s="1">
        <f t="shared" ca="1" si="12"/>
        <v>623</v>
      </c>
      <c r="S56" s="1"/>
      <c r="T56" s="1">
        <f t="shared" ca="1" si="13"/>
        <v>0.13960396165479053</v>
      </c>
      <c r="U56" s="1">
        <f t="shared" ca="1" si="14"/>
        <v>273</v>
      </c>
      <c r="V56" s="1">
        <f t="shared" ca="1" si="15"/>
        <v>29</v>
      </c>
      <c r="W56" s="1"/>
      <c r="X56" s="1">
        <f t="shared" ca="1" si="16"/>
        <v>1.9895160645666934</v>
      </c>
      <c r="Y56" s="1">
        <f t="shared" ca="1" si="17"/>
        <v>0.61785039637761507</v>
      </c>
      <c r="Z56" s="1">
        <f t="shared" ca="1" si="18"/>
        <v>831</v>
      </c>
      <c r="AB56" s="1">
        <f t="shared" ca="1" si="19"/>
        <v>0.47344680092098129</v>
      </c>
      <c r="AC56" s="1">
        <f t="shared" ca="1" si="20"/>
        <v>959</v>
      </c>
      <c r="AD56" s="1">
        <f t="shared" ca="1" si="21"/>
        <v>3.1267569383914562E-3</v>
      </c>
      <c r="AE56" s="1"/>
      <c r="AF56" s="1">
        <f t="shared" ca="1" si="22"/>
        <v>0.65400131488667335</v>
      </c>
      <c r="AG56" s="1">
        <f t="shared" ca="1" si="23"/>
        <v>680</v>
      </c>
      <c r="AH56" s="1">
        <f t="shared" ca="1" si="24"/>
        <v>7.5316075620187302E-3</v>
      </c>
      <c r="AJ56" s="1">
        <f t="shared" ca="1" si="25"/>
        <v>5.6395009581905131E-2</v>
      </c>
      <c r="AK56" s="1">
        <f t="shared" ca="1" si="26"/>
        <v>6.8373226586573134E-3</v>
      </c>
      <c r="AL56" s="1"/>
      <c r="AM56" s="1">
        <f t="shared" ca="1" si="27"/>
        <v>0.18868864205743913</v>
      </c>
      <c r="AN56" s="1">
        <f t="shared" ca="1" si="28"/>
        <v>50</v>
      </c>
      <c r="AO56" s="1">
        <f t="shared" ca="1" si="29"/>
        <v>9</v>
      </c>
      <c r="AQ56" s="1">
        <f t="shared" ca="1" si="30"/>
        <v>93</v>
      </c>
      <c r="AR56" s="1">
        <f t="shared" ca="1" si="31"/>
        <v>7</v>
      </c>
      <c r="AS56" s="1">
        <f t="shared" ca="1" si="32"/>
        <v>77</v>
      </c>
      <c r="AU56" s="1">
        <f t="shared" ca="1" si="33"/>
        <v>258</v>
      </c>
      <c r="AV56" s="1">
        <f t="shared" ca="1" si="34"/>
        <v>2</v>
      </c>
      <c r="AW56" s="1">
        <f t="shared" ca="1" si="35"/>
        <v>4.9583859993262001E-2</v>
      </c>
      <c r="AY56" s="1">
        <f t="shared" ca="1" si="36"/>
        <v>1.8266604632801045</v>
      </c>
      <c r="AZ56" s="1">
        <f t="shared" ca="1" si="37"/>
        <v>88</v>
      </c>
      <c r="BA56" s="1">
        <f t="shared" ca="1" si="38"/>
        <v>9.1390195507909638E-4</v>
      </c>
      <c r="BG56" s="1">
        <f t="shared" ca="1" si="39"/>
        <v>0.15985191559370068</v>
      </c>
      <c r="BH56" s="1">
        <f t="shared" ca="1" si="40"/>
        <v>0.67988436788770834</v>
      </c>
      <c r="BI56" s="1">
        <f t="shared" ca="1" si="41"/>
        <v>298</v>
      </c>
      <c r="BV56" s="1">
        <f t="shared" ca="1" si="42"/>
        <v>0.54761844918892721</v>
      </c>
      <c r="BW56" s="1">
        <f t="shared" ca="1" si="43"/>
        <v>372</v>
      </c>
      <c r="BX56" s="1">
        <f t="shared" ca="1" si="44"/>
        <v>6.848202171104753E-3</v>
      </c>
      <c r="BY56" s="1">
        <f t="shared" ca="1" si="45"/>
        <v>5.1183644200011119E-2</v>
      </c>
      <c r="BZ56" s="1">
        <f t="shared" ca="1" si="46"/>
        <v>0.65979167622813439</v>
      </c>
      <c r="CB56" s="1">
        <f t="shared" ca="1" si="47"/>
        <v>290</v>
      </c>
      <c r="CC56" s="1">
        <f t="shared" ca="1" si="48"/>
        <v>15</v>
      </c>
      <c r="CD56" s="1">
        <f t="shared" ca="1" si="49"/>
        <v>0.26583921174383146</v>
      </c>
      <c r="CE56" s="1">
        <f t="shared" ca="1" si="74"/>
        <v>0.83154919195795163</v>
      </c>
      <c r="CF56" s="1">
        <f t="shared" ca="1" si="74"/>
        <v>0.83688425577044268</v>
      </c>
      <c r="CH56" s="3">
        <f t="shared" ca="1" si="51"/>
        <v>0.55895674610304658</v>
      </c>
      <c r="CI56" s="3">
        <f t="shared" ca="1" si="52"/>
        <v>0.51168539249110601</v>
      </c>
      <c r="CJ56" s="3">
        <f t="shared" ca="1" si="53"/>
        <v>1516</v>
      </c>
      <c r="CK56" s="3">
        <f t="shared" ca="1" si="54"/>
        <v>1.505391450010319E-3</v>
      </c>
      <c r="CL56" s="3">
        <f t="shared" ca="1" si="55"/>
        <v>0</v>
      </c>
      <c r="CM56" s="3"/>
      <c r="CN56" s="1">
        <f t="shared" ca="1" si="56"/>
        <v>1.3027426325907605</v>
      </c>
      <c r="CO56" s="1">
        <f t="shared" ca="1" si="57"/>
        <v>0.44026687247791224</v>
      </c>
      <c r="CP56" s="1">
        <f t="shared" ca="1" si="58"/>
        <v>1</v>
      </c>
      <c r="CV56" s="1">
        <f t="shared" ca="1" si="59"/>
        <v>5.0042185042869054</v>
      </c>
      <c r="CW56" s="1">
        <f t="shared" ca="1" si="60"/>
        <v>1523</v>
      </c>
      <c r="CX56" s="1">
        <f t="shared" ca="1" si="61"/>
        <v>5.4115432825397212E-3</v>
      </c>
      <c r="DH56" s="1">
        <f t="shared" ca="1" si="62"/>
        <v>291</v>
      </c>
      <c r="DI56" s="1">
        <f t="shared" ca="1" si="63"/>
        <v>0.66502424998037712</v>
      </c>
      <c r="DJ56" s="1">
        <f t="shared" ca="1" si="64"/>
        <v>13</v>
      </c>
      <c r="DL56" s="1">
        <f t="shared" ca="1" si="65"/>
        <v>0.18853089292826092</v>
      </c>
      <c r="DM56" s="1">
        <f t="shared" ca="1" si="66"/>
        <v>71</v>
      </c>
      <c r="DN56" s="1">
        <f t="shared" ca="1" si="67"/>
        <v>4</v>
      </c>
      <c r="DW56" s="1">
        <f t="shared" ca="1" si="71"/>
        <v>124</v>
      </c>
      <c r="DX56" s="1">
        <f t="shared" ca="1" si="72"/>
        <v>5</v>
      </c>
      <c r="DY56" s="1">
        <f t="shared" ca="1" si="73"/>
        <v>4</v>
      </c>
    </row>
    <row r="57" spans="2:129" x14ac:dyDescent="0.25">
      <c r="B57">
        <f t="shared" ca="1" si="0"/>
        <v>727</v>
      </c>
      <c r="C57">
        <f t="shared" ca="1" si="1"/>
        <v>37</v>
      </c>
      <c r="D57">
        <f t="shared" ca="1" si="2"/>
        <v>6.8190932873374591E-2</v>
      </c>
      <c r="F57" s="1">
        <f t="shared" ca="1" si="3"/>
        <v>4</v>
      </c>
      <c r="G57" s="1">
        <f t="shared" ca="1" si="4"/>
        <v>28</v>
      </c>
      <c r="H57" s="1">
        <f t="shared" ca="1" si="5"/>
        <v>5</v>
      </c>
      <c r="I57" s="1"/>
      <c r="J57" s="1">
        <f t="shared" ca="1" si="6"/>
        <v>36</v>
      </c>
      <c r="K57" s="1">
        <f t="shared" ca="1" si="7"/>
        <v>1.2358307260830053</v>
      </c>
      <c r="L57" s="1">
        <f t="shared" ca="1" si="8"/>
        <v>19</v>
      </c>
      <c r="M57" s="1"/>
      <c r="N57" s="1">
        <f t="shared" ca="1" si="9"/>
        <v>525</v>
      </c>
      <c r="O57" s="1">
        <f t="shared" ca="1" si="10"/>
        <v>24</v>
      </c>
      <c r="P57" s="1"/>
      <c r="Q57" s="1">
        <f t="shared" ca="1" si="11"/>
        <v>6.5627783849583246E-2</v>
      </c>
      <c r="R57" s="1">
        <f t="shared" ca="1" si="12"/>
        <v>654</v>
      </c>
      <c r="S57" s="1"/>
      <c r="T57" s="1">
        <f t="shared" ca="1" si="13"/>
        <v>0.12282793074670229</v>
      </c>
      <c r="U57" s="1">
        <f t="shared" ca="1" si="14"/>
        <v>313</v>
      </c>
      <c r="V57" s="1">
        <f t="shared" ca="1" si="15"/>
        <v>9</v>
      </c>
      <c r="W57" s="1"/>
      <c r="X57" s="1">
        <f t="shared" ca="1" si="16"/>
        <v>7.7993021085805498</v>
      </c>
      <c r="Y57" s="1">
        <f t="shared" ca="1" si="17"/>
        <v>0.54395509610434667</v>
      </c>
      <c r="Z57" s="1">
        <f t="shared" ca="1" si="18"/>
        <v>1226</v>
      </c>
      <c r="AB57" s="1">
        <f t="shared" ca="1" si="19"/>
        <v>0.1226898641804296</v>
      </c>
      <c r="AC57" s="1">
        <f t="shared" ca="1" si="20"/>
        <v>797</v>
      </c>
      <c r="AD57" s="1">
        <f t="shared" ca="1" si="21"/>
        <v>1.6456536260512586E-4</v>
      </c>
      <c r="AE57" s="1"/>
      <c r="AF57" s="1">
        <f t="shared" ca="1" si="22"/>
        <v>0.44208285335416109</v>
      </c>
      <c r="AG57" s="1">
        <f t="shared" ca="1" si="23"/>
        <v>605</v>
      </c>
      <c r="AH57" s="1">
        <f t="shared" ca="1" si="24"/>
        <v>7.7471390012691403E-3</v>
      </c>
      <c r="AJ57" s="1">
        <f t="shared" ca="1" si="25"/>
        <v>0.2263623300106149</v>
      </c>
      <c r="AK57" s="1">
        <f t="shared" ca="1" si="26"/>
        <v>6.8870762438892038E-3</v>
      </c>
      <c r="AL57" s="1"/>
      <c r="AM57" s="1">
        <f t="shared" ca="1" si="27"/>
        <v>0.13861204206294189</v>
      </c>
      <c r="AN57" s="1">
        <f t="shared" ca="1" si="28"/>
        <v>52</v>
      </c>
      <c r="AO57" s="1">
        <f t="shared" ca="1" si="29"/>
        <v>12</v>
      </c>
      <c r="AQ57" s="1">
        <f t="shared" ca="1" si="30"/>
        <v>181</v>
      </c>
      <c r="AR57" s="1">
        <f t="shared" ca="1" si="31"/>
        <v>3</v>
      </c>
      <c r="AS57" s="1">
        <f t="shared" ca="1" si="32"/>
        <v>57</v>
      </c>
      <c r="AU57" s="1">
        <f t="shared" ca="1" si="33"/>
        <v>200</v>
      </c>
      <c r="AV57" s="1">
        <f t="shared" ca="1" si="34"/>
        <v>6</v>
      </c>
      <c r="AW57" s="1">
        <f t="shared" ca="1" si="35"/>
        <v>0.14337407057790877</v>
      </c>
      <c r="AY57" s="1">
        <f t="shared" ca="1" si="36"/>
        <v>1.1086834918904189</v>
      </c>
      <c r="AZ57" s="1">
        <f t="shared" ca="1" si="37"/>
        <v>115</v>
      </c>
      <c r="BA57" s="1">
        <f t="shared" ca="1" si="38"/>
        <v>2.3997272858541038E-3</v>
      </c>
      <c r="BG57" s="1">
        <f t="shared" ca="1" si="39"/>
        <v>0.10904346589834545</v>
      </c>
      <c r="BH57" s="1">
        <f t="shared" ca="1" si="40"/>
        <v>0.37962776131138687</v>
      </c>
      <c r="BI57" s="1">
        <f t="shared" ca="1" si="41"/>
        <v>100</v>
      </c>
      <c r="BV57" s="1">
        <f t="shared" ca="1" si="42"/>
        <v>0.28334264574237389</v>
      </c>
      <c r="BW57" s="1">
        <f t="shared" ca="1" si="43"/>
        <v>327</v>
      </c>
      <c r="BX57" s="1">
        <f t="shared" ca="1" si="44"/>
        <v>7.5716308731759267E-3</v>
      </c>
      <c r="BY57" s="1">
        <f t="shared" ca="1" si="45"/>
        <v>1.760518911789876E-2</v>
      </c>
      <c r="BZ57" s="1">
        <f t="shared" ca="1" si="46"/>
        <v>6.8461103573523197E-2</v>
      </c>
      <c r="CB57" s="1">
        <f t="shared" ca="1" si="47"/>
        <v>334</v>
      </c>
      <c r="CC57" s="1">
        <f t="shared" ca="1" si="48"/>
        <v>5</v>
      </c>
      <c r="CD57" s="1">
        <f t="shared" ca="1" si="49"/>
        <v>9.5012178492543828E-2</v>
      </c>
      <c r="CE57" s="1">
        <f t="shared" ca="1" si="74"/>
        <v>0.87313136453976292</v>
      </c>
      <c r="CF57" s="1">
        <f t="shared" ca="1" si="74"/>
        <v>0.7370858493316601</v>
      </c>
      <c r="CH57" s="3">
        <f t="shared" ca="1" si="51"/>
        <v>0.58030684899185148</v>
      </c>
      <c r="CI57" s="3">
        <f t="shared" ca="1" si="52"/>
        <v>2.8215253510256194E-2</v>
      </c>
      <c r="CJ57" s="3">
        <f t="shared" ca="1" si="53"/>
        <v>880</v>
      </c>
      <c r="CK57" s="3">
        <f t="shared" ca="1" si="54"/>
        <v>3.8026143024300716E-3</v>
      </c>
      <c r="CL57" s="3">
        <f t="shared" ca="1" si="55"/>
        <v>0</v>
      </c>
      <c r="CM57" s="3"/>
      <c r="CN57" s="1">
        <f t="shared" ca="1" si="56"/>
        <v>16.290758464382698</v>
      </c>
      <c r="CO57" s="1">
        <f t="shared" ca="1" si="57"/>
        <v>0.12928235799370819</v>
      </c>
      <c r="CP57" s="1">
        <f t="shared" ca="1" si="58"/>
        <v>1</v>
      </c>
      <c r="CV57" s="1">
        <f t="shared" ca="1" si="59"/>
        <v>8.6271015883795368</v>
      </c>
      <c r="CW57" s="1">
        <f t="shared" ca="1" si="60"/>
        <v>399</v>
      </c>
      <c r="CX57" s="1">
        <f t="shared" ca="1" si="61"/>
        <v>4.3814784269142551E-3</v>
      </c>
      <c r="DH57" s="1">
        <f t="shared" ca="1" si="62"/>
        <v>51</v>
      </c>
      <c r="DI57" s="1">
        <f t="shared" ca="1" si="63"/>
        <v>0.23411418310273174</v>
      </c>
      <c r="DJ57" s="1">
        <f t="shared" ca="1" si="64"/>
        <v>13</v>
      </c>
      <c r="DL57" s="1">
        <f t="shared" ca="1" si="65"/>
        <v>4.8371334710649687E-2</v>
      </c>
      <c r="DM57" s="1">
        <f t="shared" ca="1" si="66"/>
        <v>198</v>
      </c>
      <c r="DN57" s="1">
        <f t="shared" ca="1" si="67"/>
        <v>2</v>
      </c>
      <c r="DW57" s="1">
        <f t="shared" ca="1" si="71"/>
        <v>279</v>
      </c>
      <c r="DX57" s="1">
        <f t="shared" ca="1" si="72"/>
        <v>13</v>
      </c>
      <c r="DY57" s="1">
        <f t="shared" ca="1" si="73"/>
        <v>3</v>
      </c>
    </row>
    <row r="58" spans="2:129" x14ac:dyDescent="0.25">
      <c r="B58">
        <f t="shared" ca="1" si="0"/>
        <v>957</v>
      </c>
      <c r="C58">
        <f t="shared" ca="1" si="1"/>
        <v>29</v>
      </c>
      <c r="D58">
        <f t="shared" ca="1" si="2"/>
        <v>0.18555855390322407</v>
      </c>
      <c r="F58" s="1">
        <f t="shared" ca="1" si="3"/>
        <v>17</v>
      </c>
      <c r="G58" s="1">
        <f t="shared" ca="1" si="4"/>
        <v>2</v>
      </c>
      <c r="H58" s="1">
        <f t="shared" ca="1" si="5"/>
        <v>11</v>
      </c>
      <c r="I58" s="1"/>
      <c r="J58" s="1">
        <f t="shared" ca="1" si="6"/>
        <v>35</v>
      </c>
      <c r="K58" s="1">
        <f t="shared" ca="1" si="7"/>
        <v>1.2608059347611</v>
      </c>
      <c r="L58" s="1">
        <f t="shared" ca="1" si="8"/>
        <v>19</v>
      </c>
      <c r="M58" s="1"/>
      <c r="N58" s="1">
        <f t="shared" ca="1" si="9"/>
        <v>251</v>
      </c>
      <c r="O58" s="1">
        <f t="shared" ca="1" si="10"/>
        <v>22</v>
      </c>
      <c r="P58" s="1"/>
      <c r="Q58" s="1">
        <f t="shared" ca="1" si="11"/>
        <v>4.8541641986835478</v>
      </c>
      <c r="R58" s="1">
        <f t="shared" ca="1" si="12"/>
        <v>816</v>
      </c>
      <c r="S58" s="1"/>
      <c r="T58" s="1">
        <f t="shared" ca="1" si="13"/>
        <v>0.17647554491712181</v>
      </c>
      <c r="U58" s="1">
        <f t="shared" ca="1" si="14"/>
        <v>293</v>
      </c>
      <c r="V58" s="1">
        <f t="shared" ca="1" si="15"/>
        <v>19</v>
      </c>
      <c r="W58" s="1"/>
      <c r="X58" s="1">
        <f t="shared" ca="1" si="16"/>
        <v>4.5684879245001024</v>
      </c>
      <c r="Y58" s="1">
        <f t="shared" ca="1" si="17"/>
        <v>0.80981562660493789</v>
      </c>
      <c r="Z58" s="1">
        <f t="shared" ca="1" si="18"/>
        <v>292</v>
      </c>
      <c r="AB58" s="1">
        <f t="shared" ca="1" si="19"/>
        <v>0.16728634431239259</v>
      </c>
      <c r="AC58" s="1">
        <f t="shared" ca="1" si="20"/>
        <v>319</v>
      </c>
      <c r="AD58" s="1">
        <f t="shared" ca="1" si="21"/>
        <v>5.6112016167658707E-3</v>
      </c>
      <c r="AE58" s="1"/>
      <c r="AF58" s="1">
        <f t="shared" ca="1" si="22"/>
        <v>0.45446588425210721</v>
      </c>
      <c r="AG58" s="1">
        <f t="shared" ca="1" si="23"/>
        <v>666</v>
      </c>
      <c r="AH58" s="1">
        <f t="shared" ca="1" si="24"/>
        <v>2.0676164572465275E-3</v>
      </c>
      <c r="AJ58" s="1">
        <f t="shared" ca="1" si="25"/>
        <v>0.22876214531634209</v>
      </c>
      <c r="AK58" s="1">
        <f t="shared" ca="1" si="26"/>
        <v>8.765266836768407E-4</v>
      </c>
      <c r="AL58" s="1"/>
      <c r="AM58" s="1">
        <f t="shared" ca="1" si="27"/>
        <v>6.6482347715588041E-3</v>
      </c>
      <c r="AN58" s="1">
        <f t="shared" ca="1" si="28"/>
        <v>34</v>
      </c>
      <c r="AO58" s="1">
        <f t="shared" ca="1" si="29"/>
        <v>1</v>
      </c>
      <c r="AQ58" s="1">
        <f t="shared" ca="1" si="30"/>
        <v>159</v>
      </c>
      <c r="AR58" s="1">
        <f t="shared" ca="1" si="31"/>
        <v>1</v>
      </c>
      <c r="AS58" s="1">
        <f t="shared" ca="1" si="32"/>
        <v>52</v>
      </c>
      <c r="AU58" s="1">
        <f t="shared" ca="1" si="33"/>
        <v>139</v>
      </c>
      <c r="AV58" s="1">
        <f t="shared" ca="1" si="34"/>
        <v>5</v>
      </c>
      <c r="AW58" s="1">
        <f t="shared" ca="1" si="35"/>
        <v>4.981062032605748E-2</v>
      </c>
      <c r="AY58" s="1">
        <f t="shared" ca="1" si="36"/>
        <v>1.8692931977101623</v>
      </c>
      <c r="AZ58" s="1">
        <f t="shared" ca="1" si="37"/>
        <v>169</v>
      </c>
      <c r="BA58" s="1">
        <f t="shared" ca="1" si="38"/>
        <v>4.3118637378188104E-3</v>
      </c>
      <c r="BG58" s="1">
        <f t="shared" ca="1" si="39"/>
        <v>0.29811726039917769</v>
      </c>
      <c r="BH58" s="1">
        <f t="shared" ca="1" si="40"/>
        <v>0.24332819354970581</v>
      </c>
      <c r="BI58" s="1">
        <f t="shared" ca="1" si="41"/>
        <v>286</v>
      </c>
      <c r="BV58" s="1">
        <f t="shared" ca="1" si="42"/>
        <v>0.23794139313627083</v>
      </c>
      <c r="BW58" s="1">
        <f t="shared" ca="1" si="43"/>
        <v>407</v>
      </c>
      <c r="BX58" s="1">
        <f t="shared" ca="1" si="44"/>
        <v>1.0850212127957333E-3</v>
      </c>
      <c r="BY58" s="1">
        <f t="shared" ca="1" si="45"/>
        <v>5.8530575696041635E-2</v>
      </c>
      <c r="BZ58" s="1">
        <f t="shared" ca="1" si="46"/>
        <v>0.49816118515997376</v>
      </c>
      <c r="CB58" s="1">
        <f t="shared" ca="1" si="47"/>
        <v>213</v>
      </c>
      <c r="CC58" s="1">
        <f t="shared" ca="1" si="48"/>
        <v>10</v>
      </c>
      <c r="CD58" s="1">
        <f t="shared" ca="1" si="49"/>
        <v>0.22245362508996477</v>
      </c>
      <c r="CE58" s="1">
        <f t="shared" ca="1" si="74"/>
        <v>0.84752984277581178</v>
      </c>
      <c r="CF58" s="1">
        <f t="shared" ca="1" si="74"/>
        <v>0.59814051078099539</v>
      </c>
      <c r="CH58" s="3">
        <f t="shared" ca="1" si="51"/>
        <v>9.340246398768029E-2</v>
      </c>
      <c r="CI58" s="3">
        <f t="shared" ca="1" si="52"/>
        <v>0.69599222216605994</v>
      </c>
      <c r="CJ58" s="3">
        <f t="shared" ca="1" si="53"/>
        <v>945</v>
      </c>
      <c r="CK58" s="3">
        <f t="shared" ca="1" si="54"/>
        <v>6.2853968544073734E-3</v>
      </c>
      <c r="CL58" s="3">
        <f t="shared" ca="1" si="55"/>
        <v>1</v>
      </c>
      <c r="CM58" s="3"/>
      <c r="CN58" s="1">
        <f t="shared" ca="1" si="56"/>
        <v>13.168677134127993</v>
      </c>
      <c r="CO58" s="1">
        <f t="shared" ca="1" si="57"/>
        <v>5.0601768413112029E-2</v>
      </c>
      <c r="CP58" s="1">
        <f t="shared" ca="1" si="58"/>
        <v>1</v>
      </c>
      <c r="CV58" s="1">
        <f t="shared" ca="1" si="59"/>
        <v>5.6401822893139641</v>
      </c>
      <c r="CW58" s="1">
        <f t="shared" ca="1" si="60"/>
        <v>465</v>
      </c>
      <c r="CX58" s="1">
        <f t="shared" ca="1" si="61"/>
        <v>6.2362436481599301E-3</v>
      </c>
      <c r="DH58" s="1">
        <f t="shared" ca="1" si="62"/>
        <v>444</v>
      </c>
      <c r="DI58" s="1">
        <f t="shared" ca="1" si="63"/>
        <v>0.64665876659710952</v>
      </c>
      <c r="DJ58" s="1">
        <f t="shared" ca="1" si="64"/>
        <v>1</v>
      </c>
      <c r="DL58" s="1">
        <f t="shared" ca="1" si="65"/>
        <v>4.2598071784186516E-2</v>
      </c>
      <c r="DM58" s="1">
        <f t="shared" ca="1" si="66"/>
        <v>55</v>
      </c>
      <c r="DN58" s="1">
        <f t="shared" ca="1" si="67"/>
        <v>7</v>
      </c>
      <c r="DW58" s="1">
        <f t="shared" ca="1" si="71"/>
        <v>332</v>
      </c>
      <c r="DX58" s="1">
        <f t="shared" ca="1" si="72"/>
        <v>20</v>
      </c>
      <c r="DY58" s="1">
        <f t="shared" ca="1" si="73"/>
        <v>18</v>
      </c>
    </row>
    <row r="59" spans="2:129" x14ac:dyDescent="0.25">
      <c r="B59">
        <f t="shared" ca="1" si="0"/>
        <v>962</v>
      </c>
      <c r="C59">
        <f t="shared" ca="1" si="1"/>
        <v>18</v>
      </c>
      <c r="D59">
        <f t="shared" ca="1" si="2"/>
        <v>0.2137007055364642</v>
      </c>
      <c r="F59" s="1">
        <f t="shared" ca="1" si="3"/>
        <v>20</v>
      </c>
      <c r="G59" s="1">
        <f t="shared" ca="1" si="4"/>
        <v>18</v>
      </c>
      <c r="H59" s="1">
        <f t="shared" ca="1" si="5"/>
        <v>2</v>
      </c>
      <c r="I59" s="1"/>
      <c r="J59" s="1">
        <f t="shared" ca="1" si="6"/>
        <v>22</v>
      </c>
      <c r="K59" s="1">
        <f t="shared" ca="1" si="7"/>
        <v>1.3385772374409153</v>
      </c>
      <c r="L59" s="1">
        <f t="shared" ca="1" si="8"/>
        <v>14</v>
      </c>
      <c r="M59" s="1"/>
      <c r="N59" s="1">
        <f t="shared" ca="1" si="9"/>
        <v>244</v>
      </c>
      <c r="O59" s="1">
        <f t="shared" ca="1" si="10"/>
        <v>7</v>
      </c>
      <c r="P59" s="1"/>
      <c r="Q59" s="1">
        <f t="shared" ca="1" si="11"/>
        <v>1.5243017073181653</v>
      </c>
      <c r="R59" s="1">
        <f t="shared" ca="1" si="12"/>
        <v>965</v>
      </c>
      <c r="S59" s="1"/>
      <c r="T59" s="1">
        <f t="shared" ca="1" si="13"/>
        <v>6.2368501502367411E-2</v>
      </c>
      <c r="U59" s="1">
        <f t="shared" ca="1" si="14"/>
        <v>286</v>
      </c>
      <c r="V59" s="1">
        <f t="shared" ca="1" si="15"/>
        <v>42</v>
      </c>
      <c r="W59" s="1"/>
      <c r="X59" s="1">
        <f t="shared" ca="1" si="16"/>
        <v>2.7078662237784874</v>
      </c>
      <c r="Y59" s="1">
        <f t="shared" ca="1" si="17"/>
        <v>0.7858408679837231</v>
      </c>
      <c r="Z59" s="1">
        <f t="shared" ca="1" si="18"/>
        <v>1088</v>
      </c>
      <c r="AB59" s="1">
        <f t="shared" ca="1" si="19"/>
        <v>7.5898730766770381E-2</v>
      </c>
      <c r="AC59" s="1">
        <f t="shared" ca="1" si="20"/>
        <v>873</v>
      </c>
      <c r="AD59" s="1">
        <f t="shared" ca="1" si="21"/>
        <v>8.6220427274375337E-3</v>
      </c>
      <c r="AE59" s="1"/>
      <c r="AF59" s="1">
        <f t="shared" ca="1" si="22"/>
        <v>0.82838850076715242</v>
      </c>
      <c r="AG59" s="1">
        <f t="shared" ca="1" si="23"/>
        <v>407</v>
      </c>
      <c r="AH59" s="1">
        <f t="shared" ca="1" si="24"/>
        <v>7.7161110458469472E-3</v>
      </c>
      <c r="AJ59" s="1">
        <f t="shared" ca="1" si="25"/>
        <v>0.50895521151072654</v>
      </c>
      <c r="AK59" s="1">
        <f t="shared" ca="1" si="26"/>
        <v>1.8775888362571852E-3</v>
      </c>
      <c r="AL59" s="1"/>
      <c r="AM59" s="1">
        <f t="shared" ca="1" si="27"/>
        <v>0.15886934078094944</v>
      </c>
      <c r="AN59" s="1">
        <f t="shared" ca="1" si="28"/>
        <v>54</v>
      </c>
      <c r="AO59" s="1">
        <f t="shared" ca="1" si="29"/>
        <v>2</v>
      </c>
      <c r="AQ59" s="1">
        <f t="shared" ca="1" si="30"/>
        <v>151</v>
      </c>
      <c r="AR59" s="1">
        <f t="shared" ca="1" si="31"/>
        <v>2</v>
      </c>
      <c r="AS59" s="1">
        <f t="shared" ca="1" si="32"/>
        <v>71</v>
      </c>
      <c r="AU59" s="1">
        <f t="shared" ca="1" si="33"/>
        <v>348</v>
      </c>
      <c r="AV59" s="1">
        <f t="shared" ca="1" si="34"/>
        <v>8</v>
      </c>
      <c r="AW59" s="1">
        <f t="shared" ca="1" si="35"/>
        <v>9.8357612822037865E-2</v>
      </c>
      <c r="AY59" s="1">
        <f t="shared" ca="1" si="36"/>
        <v>1.2012677569004242</v>
      </c>
      <c r="AZ59" s="1">
        <f t="shared" ca="1" si="37"/>
        <v>331</v>
      </c>
      <c r="BA59" s="1">
        <f t="shared" ca="1" si="38"/>
        <v>2.0107008556264345E-3</v>
      </c>
      <c r="BG59" s="1">
        <f t="shared" ca="1" si="39"/>
        <v>0.21105678738161704</v>
      </c>
      <c r="BH59" s="1">
        <f t="shared" ca="1" si="40"/>
        <v>0.91098956109910278</v>
      </c>
      <c r="BI59" s="1">
        <f t="shared" ca="1" si="41"/>
        <v>198</v>
      </c>
      <c r="BV59" s="1">
        <f t="shared" ca="1" si="42"/>
        <v>0.5012801663984674</v>
      </c>
      <c r="BW59" s="1">
        <f t="shared" ca="1" si="43"/>
        <v>225</v>
      </c>
      <c r="BX59" s="1">
        <f t="shared" ca="1" si="44"/>
        <v>9.4654518151052556E-3</v>
      </c>
      <c r="BY59" s="1">
        <f t="shared" ca="1" si="45"/>
        <v>6.6462825241057122E-2</v>
      </c>
      <c r="BZ59" s="1">
        <f t="shared" ca="1" si="46"/>
        <v>0.35216942509609128</v>
      </c>
      <c r="CB59" s="1">
        <f t="shared" ca="1" si="47"/>
        <v>262</v>
      </c>
      <c r="CC59" s="1">
        <f t="shared" ca="1" si="48"/>
        <v>7</v>
      </c>
      <c r="CD59" s="1">
        <f t="shared" ca="1" si="49"/>
        <v>0.19437956480294008</v>
      </c>
      <c r="CE59" s="1">
        <f t="shared" ca="1" si="74"/>
        <v>0.71957880022169762</v>
      </c>
      <c r="CF59" s="1">
        <f t="shared" ca="1" si="74"/>
        <v>0.55432604862337254</v>
      </c>
      <c r="CH59" s="3">
        <f t="shared" ca="1" si="51"/>
        <v>0.77167018737755866</v>
      </c>
      <c r="CI59" s="3">
        <f t="shared" ca="1" si="52"/>
        <v>0.49216104341046518</v>
      </c>
      <c r="CJ59" s="3">
        <f t="shared" ca="1" si="53"/>
        <v>1791</v>
      </c>
      <c r="CK59" s="3">
        <f t="shared" ca="1" si="54"/>
        <v>4.7776470044150468E-3</v>
      </c>
      <c r="CL59" s="3">
        <f t="shared" ca="1" si="55"/>
        <v>1</v>
      </c>
      <c r="CM59" s="3"/>
      <c r="CN59" s="1">
        <f t="shared" ca="1" si="56"/>
        <v>19.753490822492875</v>
      </c>
      <c r="CO59" s="1">
        <f t="shared" ca="1" si="57"/>
        <v>0.16684917254297887</v>
      </c>
      <c r="CP59" s="1">
        <f t="shared" ca="1" si="58"/>
        <v>2</v>
      </c>
      <c r="CV59" s="1">
        <f t="shared" ca="1" si="59"/>
        <v>6.7068148814796436</v>
      </c>
      <c r="CW59" s="1">
        <f t="shared" ca="1" si="60"/>
        <v>1853</v>
      </c>
      <c r="CX59" s="1">
        <f t="shared" ca="1" si="61"/>
        <v>5.1435355038661461E-3</v>
      </c>
      <c r="DH59" s="1">
        <f t="shared" ca="1" si="62"/>
        <v>192</v>
      </c>
      <c r="DI59" s="1">
        <f t="shared" ca="1" si="63"/>
        <v>0.84818259122040607</v>
      </c>
      <c r="DJ59" s="1">
        <f t="shared" ca="1" si="64"/>
        <v>12</v>
      </c>
      <c r="DL59" s="1">
        <f t="shared" ca="1" si="65"/>
        <v>4.0692147296558422E-2</v>
      </c>
      <c r="DM59" s="1">
        <f t="shared" ca="1" si="66"/>
        <v>255</v>
      </c>
      <c r="DN59" s="1">
        <f t="shared" ca="1" si="67"/>
        <v>5</v>
      </c>
      <c r="DW59" s="1">
        <f t="shared" ca="1" si="71"/>
        <v>446</v>
      </c>
      <c r="DX59" s="1">
        <f t="shared" ca="1" si="72"/>
        <v>14</v>
      </c>
      <c r="DY59" s="1">
        <f t="shared" ca="1" si="73"/>
        <v>4</v>
      </c>
    </row>
    <row r="60" spans="2:129" x14ac:dyDescent="0.25">
      <c r="B60">
        <f t="shared" ca="1" si="0"/>
        <v>418</v>
      </c>
      <c r="C60">
        <f t="shared" ca="1" si="1"/>
        <v>9</v>
      </c>
      <c r="D60">
        <f t="shared" ca="1" si="2"/>
        <v>1.3001039293500617E-2</v>
      </c>
      <c r="F60" s="1">
        <f t="shared" ca="1" si="3"/>
        <v>10</v>
      </c>
      <c r="G60" s="1">
        <f t="shared" ca="1" si="4"/>
        <v>15</v>
      </c>
      <c r="H60" s="1">
        <f t="shared" ca="1" si="5"/>
        <v>6</v>
      </c>
      <c r="I60" s="1"/>
      <c r="J60" s="1">
        <f t="shared" ca="1" si="6"/>
        <v>23</v>
      </c>
      <c r="K60" s="1">
        <f t="shared" ca="1" si="7"/>
        <v>1.4540886934295143</v>
      </c>
      <c r="L60" s="1">
        <f t="shared" ca="1" si="8"/>
        <v>7</v>
      </c>
      <c r="M60" s="1"/>
      <c r="N60" s="1">
        <f t="shared" ca="1" si="9"/>
        <v>157</v>
      </c>
      <c r="O60" s="1">
        <f t="shared" ca="1" si="10"/>
        <v>38</v>
      </c>
      <c r="P60" s="1"/>
      <c r="Q60" s="1">
        <f t="shared" ca="1" si="11"/>
        <v>0.10913231729234397</v>
      </c>
      <c r="R60" s="1">
        <f t="shared" ca="1" si="12"/>
        <v>496</v>
      </c>
      <c r="S60" s="1"/>
      <c r="T60" s="1">
        <f t="shared" ca="1" si="13"/>
        <v>4.3362505039307025E-2</v>
      </c>
      <c r="U60" s="1">
        <f t="shared" ca="1" si="14"/>
        <v>379</v>
      </c>
      <c r="V60" s="1">
        <f t="shared" ca="1" si="15"/>
        <v>46</v>
      </c>
      <c r="W60" s="1"/>
      <c r="X60" s="1">
        <f t="shared" ca="1" si="16"/>
        <v>5.7952596323414003</v>
      </c>
      <c r="Y60" s="1">
        <f t="shared" ca="1" si="17"/>
        <v>0.83866276572439069</v>
      </c>
      <c r="Z60" s="1">
        <f t="shared" ca="1" si="18"/>
        <v>550</v>
      </c>
      <c r="AB60" s="1">
        <f t="shared" ca="1" si="19"/>
        <v>0.63238869142365661</v>
      </c>
      <c r="AC60" s="1">
        <f t="shared" ca="1" si="20"/>
        <v>926</v>
      </c>
      <c r="AD60" s="1">
        <f t="shared" ca="1" si="21"/>
        <v>8.1034995353025177E-3</v>
      </c>
      <c r="AE60" s="1"/>
      <c r="AF60" s="1">
        <f t="shared" ca="1" si="22"/>
        <v>0.81191673144743781</v>
      </c>
      <c r="AG60" s="1">
        <f t="shared" ca="1" si="23"/>
        <v>939</v>
      </c>
      <c r="AH60" s="1">
        <f t="shared" ca="1" si="24"/>
        <v>4.8913563923750928E-3</v>
      </c>
      <c r="AJ60" s="1">
        <f t="shared" ca="1" si="25"/>
        <v>0.94749622643516573</v>
      </c>
      <c r="AK60" s="1">
        <f t="shared" ca="1" si="26"/>
        <v>2.3751407899322303E-3</v>
      </c>
      <c r="AL60" s="1"/>
      <c r="AM60" s="1">
        <f t="shared" ca="1" si="27"/>
        <v>0.15202609213640045</v>
      </c>
      <c r="AN60" s="1">
        <f t="shared" ca="1" si="28"/>
        <v>23</v>
      </c>
      <c r="AO60" s="1">
        <f t="shared" ca="1" si="29"/>
        <v>8</v>
      </c>
      <c r="AQ60" s="1">
        <f t="shared" ca="1" si="30"/>
        <v>195</v>
      </c>
      <c r="AR60" s="1">
        <f t="shared" ca="1" si="31"/>
        <v>5</v>
      </c>
      <c r="AS60" s="1">
        <f t="shared" ca="1" si="32"/>
        <v>13</v>
      </c>
      <c r="AU60" s="1">
        <f t="shared" ca="1" si="33"/>
        <v>356</v>
      </c>
      <c r="AV60" s="1">
        <f t="shared" ca="1" si="34"/>
        <v>7</v>
      </c>
      <c r="AW60" s="1">
        <f t="shared" ca="1" si="35"/>
        <v>0.14677839872039541</v>
      </c>
      <c r="AY60" s="1">
        <f t="shared" ca="1" si="36"/>
        <v>1.1814370077327772</v>
      </c>
      <c r="AZ60" s="1">
        <f t="shared" ca="1" si="37"/>
        <v>115</v>
      </c>
      <c r="BA60" s="1">
        <f t="shared" ca="1" si="38"/>
        <v>6.5603019957175632E-3</v>
      </c>
      <c r="BG60" s="1">
        <f t="shared" ca="1" si="39"/>
        <v>0.57344678000756499</v>
      </c>
      <c r="BH60" s="1">
        <f t="shared" ca="1" si="40"/>
        <v>0.17806753289268684</v>
      </c>
      <c r="BI60" s="1">
        <f t="shared" ca="1" si="41"/>
        <v>568</v>
      </c>
      <c r="BV60" s="1">
        <f t="shared" ca="1" si="42"/>
        <v>0.29594673160641494</v>
      </c>
      <c r="BW60" s="1">
        <f t="shared" ca="1" si="43"/>
        <v>672</v>
      </c>
      <c r="BX60" s="1">
        <f t="shared" ca="1" si="44"/>
        <v>3.3535735906959794E-4</v>
      </c>
      <c r="BY60" s="1">
        <f t="shared" ca="1" si="45"/>
        <v>2.4608050548828764E-3</v>
      </c>
      <c r="BZ60" s="1">
        <f t="shared" ca="1" si="46"/>
        <v>0.8728551964865866</v>
      </c>
      <c r="CB60" s="1">
        <f t="shared" ca="1" si="47"/>
        <v>157</v>
      </c>
      <c r="CC60" s="1">
        <f t="shared" ca="1" si="48"/>
        <v>11</v>
      </c>
      <c r="CD60" s="1">
        <f t="shared" ca="1" si="49"/>
        <v>0.26594951708449238</v>
      </c>
      <c r="CE60" s="1">
        <f t="shared" ca="1" si="74"/>
        <v>0.75505582583688502</v>
      </c>
      <c r="CF60" s="1">
        <f t="shared" ca="1" si="74"/>
        <v>0.64002622880504745</v>
      </c>
      <c r="CH60" s="3">
        <f t="shared" ca="1" si="51"/>
        <v>0.19721222728434037</v>
      </c>
      <c r="CI60" s="3">
        <f t="shared" ca="1" si="52"/>
        <v>4.605289669414437E-2</v>
      </c>
      <c r="CJ60" s="3">
        <f t="shared" ca="1" si="53"/>
        <v>1484</v>
      </c>
      <c r="CK60" s="3">
        <f t="shared" ca="1" si="54"/>
        <v>1.0633426258364176E-4</v>
      </c>
      <c r="CL60" s="3">
        <f t="shared" ca="1" si="55"/>
        <v>0</v>
      </c>
      <c r="CM60" s="3"/>
      <c r="CN60" s="1">
        <f t="shared" ca="1" si="56"/>
        <v>8.3160381734297175</v>
      </c>
      <c r="CO60" s="1">
        <f t="shared" ca="1" si="57"/>
        <v>0.34461109622574848</v>
      </c>
      <c r="CP60" s="1">
        <f t="shared" ca="1" si="58"/>
        <v>3</v>
      </c>
      <c r="CV60" s="1">
        <f t="shared" ca="1" si="59"/>
        <v>8.3042876369514662</v>
      </c>
      <c r="CW60" s="1">
        <f t="shared" ca="1" si="60"/>
        <v>202</v>
      </c>
      <c r="CX60" s="1">
        <f t="shared" ca="1" si="61"/>
        <v>9.2879638778128968E-3</v>
      </c>
      <c r="DH60" s="1">
        <f t="shared" ca="1" si="62"/>
        <v>799</v>
      </c>
      <c r="DI60" s="1">
        <f t="shared" ca="1" si="63"/>
        <v>0.83202556838678154</v>
      </c>
      <c r="DJ60" s="1">
        <f t="shared" ca="1" si="64"/>
        <v>19</v>
      </c>
      <c r="DL60" s="1">
        <f t="shared" ca="1" si="65"/>
        <v>0.17315670994473845</v>
      </c>
      <c r="DM60" s="1">
        <f t="shared" ca="1" si="66"/>
        <v>122</v>
      </c>
      <c r="DN60" s="1">
        <f t="shared" ca="1" si="67"/>
        <v>8</v>
      </c>
      <c r="DW60" s="1">
        <f t="shared" ca="1" si="71"/>
        <v>446</v>
      </c>
      <c r="DX60" s="1">
        <f t="shared" ca="1" si="72"/>
        <v>6</v>
      </c>
      <c r="DY60" s="1">
        <f t="shared" ca="1" si="73"/>
        <v>15</v>
      </c>
    </row>
    <row r="61" spans="2:129" x14ac:dyDescent="0.25">
      <c r="B61">
        <f t="shared" ca="1" si="0"/>
        <v>185</v>
      </c>
      <c r="C61">
        <f t="shared" ca="1" si="1"/>
        <v>42</v>
      </c>
      <c r="D61">
        <f t="shared" ca="1" si="2"/>
        <v>0.2904554962877543</v>
      </c>
      <c r="F61" s="1">
        <f t="shared" ca="1" si="3"/>
        <v>33</v>
      </c>
      <c r="G61" s="1">
        <f t="shared" ca="1" si="4"/>
        <v>29</v>
      </c>
      <c r="H61" s="1">
        <f t="shared" ca="1" si="5"/>
        <v>9</v>
      </c>
      <c r="I61" s="1"/>
      <c r="J61" s="1">
        <f t="shared" ca="1" si="6"/>
        <v>13</v>
      </c>
      <c r="K61" s="1">
        <f t="shared" ca="1" si="7"/>
        <v>1.067276861512418</v>
      </c>
      <c r="L61" s="1">
        <f t="shared" ca="1" si="8"/>
        <v>33</v>
      </c>
      <c r="M61" s="1"/>
      <c r="N61" s="1">
        <f t="shared" ca="1" si="9"/>
        <v>542</v>
      </c>
      <c r="O61" s="1">
        <f t="shared" ca="1" si="10"/>
        <v>45</v>
      </c>
      <c r="P61" s="1"/>
      <c r="Q61" s="1">
        <f t="shared" ca="1" si="11"/>
        <v>2.8875594581325785</v>
      </c>
      <c r="R61" s="1">
        <f t="shared" ca="1" si="12"/>
        <v>378</v>
      </c>
      <c r="S61" s="1"/>
      <c r="T61" s="1">
        <f t="shared" ca="1" si="13"/>
        <v>6.1348839071683745E-2</v>
      </c>
      <c r="U61" s="1">
        <f t="shared" ca="1" si="14"/>
        <v>171</v>
      </c>
      <c r="V61" s="1">
        <f t="shared" ca="1" si="15"/>
        <v>32</v>
      </c>
      <c r="W61" s="1"/>
      <c r="X61" s="1">
        <f t="shared" ca="1" si="16"/>
        <v>3.1511594108466983</v>
      </c>
      <c r="Y61" s="1">
        <f t="shared" ca="1" si="17"/>
        <v>0.71250534898405138</v>
      </c>
      <c r="Z61" s="1">
        <f t="shared" ca="1" si="18"/>
        <v>1607</v>
      </c>
      <c r="AB61" s="1">
        <f t="shared" ca="1" si="19"/>
        <v>0.86911371394231951</v>
      </c>
      <c r="AC61" s="1">
        <f t="shared" ca="1" si="20"/>
        <v>960</v>
      </c>
      <c r="AD61" s="1">
        <f t="shared" ca="1" si="21"/>
        <v>3.5316558797249724E-3</v>
      </c>
      <c r="AE61" s="1"/>
      <c r="AF61" s="1">
        <f t="shared" ca="1" si="22"/>
        <v>0.76002306377987594</v>
      </c>
      <c r="AG61" s="1">
        <f t="shared" ca="1" si="23"/>
        <v>330</v>
      </c>
      <c r="AH61" s="1">
        <f t="shared" ca="1" si="24"/>
        <v>5.1554443206627163E-3</v>
      </c>
      <c r="AJ61" s="1">
        <f t="shared" ca="1" si="25"/>
        <v>0.70938313114615903</v>
      </c>
      <c r="AK61" s="1">
        <f t="shared" ca="1" si="26"/>
        <v>1.269257814838293E-3</v>
      </c>
      <c r="AL61" s="1"/>
      <c r="AM61" s="1">
        <f t="shared" ca="1" si="27"/>
        <v>0.19034062774780483</v>
      </c>
      <c r="AN61" s="1">
        <f t="shared" ca="1" si="28"/>
        <v>44</v>
      </c>
      <c r="AO61" s="1">
        <f t="shared" ca="1" si="29"/>
        <v>0</v>
      </c>
      <c r="AQ61" s="1">
        <f t="shared" ca="1" si="30"/>
        <v>152</v>
      </c>
      <c r="AR61" s="1">
        <f t="shared" ca="1" si="31"/>
        <v>7</v>
      </c>
      <c r="AS61" s="1">
        <f t="shared" ca="1" si="32"/>
        <v>92</v>
      </c>
      <c r="AU61" s="1">
        <f t="shared" ca="1" si="33"/>
        <v>176</v>
      </c>
      <c r="AV61" s="1">
        <f t="shared" ca="1" si="34"/>
        <v>3</v>
      </c>
      <c r="AW61" s="1">
        <f t="shared" ca="1" si="35"/>
        <v>0.18132884983688241</v>
      </c>
      <c r="AY61" s="1">
        <f t="shared" ca="1" si="36"/>
        <v>1.6673790501959258</v>
      </c>
      <c r="AZ61" s="1">
        <f t="shared" ca="1" si="37"/>
        <v>182</v>
      </c>
      <c r="BA61" s="1">
        <f t="shared" ca="1" si="38"/>
        <v>4.0031647652438379E-3</v>
      </c>
      <c r="BG61" s="1">
        <f t="shared" ca="1" si="39"/>
        <v>0.12956519882157772</v>
      </c>
      <c r="BH61" s="1">
        <f t="shared" ca="1" si="40"/>
        <v>0.81291119191141981</v>
      </c>
      <c r="BI61" s="1">
        <f t="shared" ca="1" si="41"/>
        <v>794</v>
      </c>
      <c r="BV61" s="1">
        <f t="shared" ca="1" si="42"/>
        <v>0.29700525053417892</v>
      </c>
      <c r="BW61" s="1">
        <f t="shared" ca="1" si="43"/>
        <v>862</v>
      </c>
      <c r="BX61" s="1">
        <f t="shared" ca="1" si="44"/>
        <v>4.3014476235260209E-4</v>
      </c>
      <c r="BY61" s="1">
        <f t="shared" ca="1" si="45"/>
        <v>6.5098274635099623E-2</v>
      </c>
      <c r="BZ61" s="1">
        <f t="shared" ca="1" si="46"/>
        <v>0.11592902326238963</v>
      </c>
      <c r="CB61" s="1">
        <f t="shared" ca="1" si="47"/>
        <v>269</v>
      </c>
      <c r="CC61" s="1">
        <f t="shared" ca="1" si="48"/>
        <v>7</v>
      </c>
      <c r="CD61" s="1">
        <f t="shared" ca="1" si="49"/>
        <v>6.6256629344977253E-2</v>
      </c>
      <c r="CE61" s="1">
        <f t="shared" ca="1" si="74"/>
        <v>0.61211006566764681</v>
      </c>
      <c r="CF61" s="1">
        <f t="shared" ca="1" si="74"/>
        <v>0.84316449730275234</v>
      </c>
      <c r="CH61" s="3">
        <f t="shared" ca="1" si="51"/>
        <v>0.62034049541695035</v>
      </c>
      <c r="CI61" s="3">
        <f t="shared" ca="1" si="52"/>
        <v>0.45672874087582166</v>
      </c>
      <c r="CJ61" s="3">
        <f t="shared" ca="1" si="53"/>
        <v>1315</v>
      </c>
      <c r="CK61" s="3">
        <f t="shared" ca="1" si="54"/>
        <v>6.8798144886839125E-3</v>
      </c>
      <c r="CL61" s="3">
        <f t="shared" ca="1" si="55"/>
        <v>0</v>
      </c>
      <c r="CM61" s="3"/>
      <c r="CN61" s="1">
        <f t="shared" ca="1" si="56"/>
        <v>6.7785660505596281</v>
      </c>
      <c r="CO61" s="1">
        <f t="shared" ca="1" si="57"/>
        <v>0.49316304677592199</v>
      </c>
      <c r="CP61" s="1">
        <f t="shared" ca="1" si="58"/>
        <v>1</v>
      </c>
      <c r="CV61" s="1">
        <f t="shared" ca="1" si="59"/>
        <v>1.7055072323266256</v>
      </c>
      <c r="CW61" s="1">
        <f t="shared" ca="1" si="60"/>
        <v>1805</v>
      </c>
      <c r="CX61" s="1">
        <f t="shared" ca="1" si="61"/>
        <v>4.3740456994162402E-3</v>
      </c>
      <c r="DH61" s="1">
        <f t="shared" ca="1" si="62"/>
        <v>276</v>
      </c>
      <c r="DI61" s="1">
        <f t="shared" ca="1" si="63"/>
        <v>0.91993864869752029</v>
      </c>
      <c r="DJ61" s="1">
        <f t="shared" ca="1" si="64"/>
        <v>24</v>
      </c>
      <c r="DL61" s="1">
        <f t="shared" ca="1" si="65"/>
        <v>8.7542555856323784E-2</v>
      </c>
      <c r="DM61" s="1">
        <f t="shared" ca="1" si="66"/>
        <v>117</v>
      </c>
      <c r="DN61" s="1">
        <f t="shared" ca="1" si="67"/>
        <v>5</v>
      </c>
      <c r="DW61" s="1">
        <f t="shared" ca="1" si="71"/>
        <v>56</v>
      </c>
      <c r="DX61" s="1">
        <f t="shared" ca="1" si="72"/>
        <v>3</v>
      </c>
      <c r="DY61" s="1">
        <f t="shared" ca="1" si="73"/>
        <v>5</v>
      </c>
    </row>
    <row r="62" spans="2:129" x14ac:dyDescent="0.25">
      <c r="B62">
        <f t="shared" ca="1" si="0"/>
        <v>170</v>
      </c>
      <c r="C62">
        <f t="shared" ca="1" si="1"/>
        <v>37</v>
      </c>
      <c r="D62">
        <f t="shared" ca="1" si="2"/>
        <v>0.25205264242598879</v>
      </c>
      <c r="F62" s="1">
        <f t="shared" ca="1" si="3"/>
        <v>48</v>
      </c>
      <c r="G62" s="1">
        <f t="shared" ca="1" si="4"/>
        <v>18</v>
      </c>
      <c r="H62" s="1">
        <f t="shared" ca="1" si="5"/>
        <v>13</v>
      </c>
      <c r="I62" s="1"/>
      <c r="J62" s="1">
        <f t="shared" ca="1" si="6"/>
        <v>34</v>
      </c>
      <c r="K62" s="1">
        <f t="shared" ca="1" si="7"/>
        <v>1.2442980895928459</v>
      </c>
      <c r="L62" s="1">
        <f t="shared" ca="1" si="8"/>
        <v>21</v>
      </c>
      <c r="M62" s="1"/>
      <c r="N62" s="1">
        <f t="shared" ca="1" si="9"/>
        <v>456</v>
      </c>
      <c r="O62" s="1">
        <f t="shared" ca="1" si="10"/>
        <v>23</v>
      </c>
      <c r="P62" s="1"/>
      <c r="Q62" s="1">
        <f t="shared" ca="1" si="11"/>
        <v>2.8789649028255631</v>
      </c>
      <c r="R62" s="1">
        <f t="shared" ca="1" si="12"/>
        <v>398</v>
      </c>
      <c r="S62" s="1"/>
      <c r="T62" s="1">
        <f t="shared" ca="1" si="13"/>
        <v>5.7083961638869335E-2</v>
      </c>
      <c r="U62" s="1">
        <f t="shared" ca="1" si="14"/>
        <v>183</v>
      </c>
      <c r="V62" s="1">
        <f t="shared" ca="1" si="15"/>
        <v>34</v>
      </c>
      <c r="W62" s="1"/>
      <c r="X62" s="1">
        <f t="shared" ca="1" si="16"/>
        <v>9.4474303139911946</v>
      </c>
      <c r="Y62" s="1">
        <f t="shared" ca="1" si="17"/>
        <v>0.34173304356489348</v>
      </c>
      <c r="Z62" s="1">
        <f t="shared" ca="1" si="18"/>
        <v>1323</v>
      </c>
      <c r="AB62" s="1">
        <f t="shared" ca="1" si="19"/>
        <v>0.71682191451862398</v>
      </c>
      <c r="AC62" s="1">
        <f t="shared" ca="1" si="20"/>
        <v>492</v>
      </c>
      <c r="AD62" s="1">
        <f t="shared" ca="1" si="21"/>
        <v>5.2342428011351999E-3</v>
      </c>
      <c r="AE62" s="1"/>
      <c r="AF62" s="1">
        <f t="shared" ca="1" si="22"/>
        <v>0.38681832543841965</v>
      </c>
      <c r="AG62" s="1">
        <f t="shared" ca="1" si="23"/>
        <v>797</v>
      </c>
      <c r="AH62" s="1">
        <f t="shared" ca="1" si="24"/>
        <v>2.1670979337100509E-3</v>
      </c>
      <c r="AJ62" s="1">
        <f t="shared" ca="1" si="25"/>
        <v>0.61056343420413961</v>
      </c>
      <c r="AK62" s="1">
        <f t="shared" ca="1" si="26"/>
        <v>6.467531086192782E-4</v>
      </c>
      <c r="AL62" s="1"/>
      <c r="AM62" s="1">
        <f t="shared" ca="1" si="27"/>
        <v>0.10476764467600412</v>
      </c>
      <c r="AN62" s="1">
        <f t="shared" ca="1" si="28"/>
        <v>23</v>
      </c>
      <c r="AO62" s="1">
        <f t="shared" ca="1" si="29"/>
        <v>18</v>
      </c>
      <c r="AQ62" s="1">
        <f t="shared" ca="1" si="30"/>
        <v>94</v>
      </c>
      <c r="AR62" s="1">
        <f t="shared" ca="1" si="31"/>
        <v>6</v>
      </c>
      <c r="AS62" s="1">
        <f t="shared" ca="1" si="32"/>
        <v>8</v>
      </c>
      <c r="AU62" s="1">
        <f t="shared" ca="1" si="33"/>
        <v>183</v>
      </c>
      <c r="AV62" s="1">
        <f t="shared" ca="1" si="34"/>
        <v>3</v>
      </c>
      <c r="AW62" s="1">
        <f t="shared" ca="1" si="35"/>
        <v>0.15865390619923669</v>
      </c>
      <c r="AY62" s="1">
        <f t="shared" ca="1" si="36"/>
        <v>1.4276977753397251</v>
      </c>
      <c r="AZ62" s="1">
        <f t="shared" ca="1" si="37"/>
        <v>366</v>
      </c>
      <c r="BA62" s="1">
        <f t="shared" ca="1" si="38"/>
        <v>6.72021441734557E-3</v>
      </c>
      <c r="BG62" s="1">
        <f t="shared" ca="1" si="39"/>
        <v>0.25887235038862288</v>
      </c>
      <c r="BH62" s="1">
        <f t="shared" ca="1" si="40"/>
        <v>0.56293839000720158</v>
      </c>
      <c r="BI62" s="1">
        <f t="shared" ca="1" si="41"/>
        <v>315</v>
      </c>
      <c r="BV62" s="1">
        <f t="shared" ca="1" si="42"/>
        <v>0.17265932663196365</v>
      </c>
      <c r="BW62" s="1">
        <f t="shared" ca="1" si="43"/>
        <v>526</v>
      </c>
      <c r="BX62" s="1">
        <f t="shared" ca="1" si="44"/>
        <v>5.7418583730708839E-3</v>
      </c>
      <c r="BY62" s="1">
        <f t="shared" ca="1" si="45"/>
        <v>6.3723648606723707E-2</v>
      </c>
      <c r="BZ62" s="1">
        <f t="shared" ca="1" si="46"/>
        <v>1.1344603054343483E-2</v>
      </c>
      <c r="CB62" s="1">
        <f t="shared" ca="1" si="47"/>
        <v>376</v>
      </c>
      <c r="CC62" s="1">
        <f t="shared" ca="1" si="48"/>
        <v>13</v>
      </c>
      <c r="CD62" s="1">
        <f t="shared" ca="1" si="49"/>
        <v>0.13558968928028681</v>
      </c>
      <c r="CE62" s="1">
        <f t="shared" ca="1" si="74"/>
        <v>0.91551718136232307</v>
      </c>
      <c r="CF62" s="1">
        <f t="shared" ca="1" si="74"/>
        <v>0.71200817395134952</v>
      </c>
      <c r="CH62" s="3">
        <f t="shared" ca="1" si="51"/>
        <v>0.31242465011988613</v>
      </c>
      <c r="CI62" s="3">
        <f t="shared" ca="1" si="52"/>
        <v>0.31743819696021824</v>
      </c>
      <c r="CJ62" s="3">
        <f t="shared" ca="1" si="53"/>
        <v>1822</v>
      </c>
      <c r="CK62" s="3">
        <f t="shared" ca="1" si="54"/>
        <v>1.3357537064385061E-4</v>
      </c>
      <c r="CL62" s="3">
        <f t="shared" ca="1" si="55"/>
        <v>1</v>
      </c>
      <c r="CM62" s="3"/>
      <c r="CN62" s="1">
        <f t="shared" ca="1" si="56"/>
        <v>12.979949665785815</v>
      </c>
      <c r="CO62" s="1">
        <f t="shared" ca="1" si="57"/>
        <v>0.17561402962652495</v>
      </c>
      <c r="CP62" s="1">
        <f t="shared" ca="1" si="58"/>
        <v>3</v>
      </c>
      <c r="CV62" s="1">
        <f t="shared" ca="1" si="59"/>
        <v>4.6618396268980797</v>
      </c>
      <c r="CW62" s="1">
        <f t="shared" ca="1" si="60"/>
        <v>1015</v>
      </c>
      <c r="CX62" s="1">
        <f t="shared" ca="1" si="61"/>
        <v>7.9920232089728295E-3</v>
      </c>
      <c r="DH62" s="1">
        <f t="shared" ca="1" si="62"/>
        <v>590</v>
      </c>
      <c r="DI62" s="1">
        <f t="shared" ca="1" si="63"/>
        <v>3.272606522325662E-2</v>
      </c>
      <c r="DJ62" s="1">
        <f t="shared" ca="1" si="64"/>
        <v>22</v>
      </c>
      <c r="DL62" s="1">
        <f t="shared" ca="1" si="65"/>
        <v>8.7383940779805783E-2</v>
      </c>
      <c r="DM62" s="1">
        <f t="shared" ca="1" si="66"/>
        <v>224</v>
      </c>
      <c r="DN62" s="1">
        <f t="shared" ca="1" si="67"/>
        <v>8</v>
      </c>
      <c r="DW62" s="1">
        <f t="shared" ca="1" si="71"/>
        <v>318</v>
      </c>
      <c r="DX62" s="1">
        <f t="shared" ca="1" si="72"/>
        <v>3</v>
      </c>
      <c r="DY62" s="1">
        <f t="shared" ca="1" si="73"/>
        <v>9</v>
      </c>
    </row>
    <row r="63" spans="2:129" x14ac:dyDescent="0.25">
      <c r="B63">
        <f t="shared" ca="1" si="0"/>
        <v>890</v>
      </c>
      <c r="C63">
        <f t="shared" ca="1" si="1"/>
        <v>3</v>
      </c>
      <c r="D63">
        <f t="shared" ca="1" si="2"/>
        <v>0.12092835181248852</v>
      </c>
      <c r="F63" s="1">
        <f t="shared" ca="1" si="3"/>
        <v>10</v>
      </c>
      <c r="G63" s="1">
        <f t="shared" ca="1" si="4"/>
        <v>14</v>
      </c>
      <c r="H63" s="1">
        <f t="shared" ca="1" si="5"/>
        <v>5</v>
      </c>
      <c r="I63" s="1"/>
      <c r="J63" s="1">
        <f t="shared" ca="1" si="6"/>
        <v>24</v>
      </c>
      <c r="K63" s="1">
        <f t="shared" ca="1" si="7"/>
        <v>1.0967552979798527</v>
      </c>
      <c r="L63" s="1">
        <f t="shared" ca="1" si="8"/>
        <v>28</v>
      </c>
      <c r="M63" s="1"/>
      <c r="N63" s="1">
        <f t="shared" ca="1" si="9"/>
        <v>751</v>
      </c>
      <c r="O63" s="1">
        <f t="shared" ca="1" si="10"/>
        <v>31</v>
      </c>
      <c r="P63" s="1"/>
      <c r="Q63" s="1">
        <f t="shared" ca="1" si="11"/>
        <v>0.54939871626517212</v>
      </c>
      <c r="R63" s="1">
        <f t="shared" ca="1" si="12"/>
        <v>791</v>
      </c>
      <c r="S63" s="1"/>
      <c r="T63" s="1">
        <f t="shared" ca="1" si="13"/>
        <v>2.6982480907209984E-2</v>
      </c>
      <c r="U63" s="1">
        <f t="shared" ca="1" si="14"/>
        <v>375</v>
      </c>
      <c r="V63" s="1">
        <f t="shared" ca="1" si="15"/>
        <v>24</v>
      </c>
      <c r="W63" s="1"/>
      <c r="X63" s="1">
        <f t="shared" ca="1" si="16"/>
        <v>3.0714771935150584</v>
      </c>
      <c r="Y63" s="1">
        <f t="shared" ca="1" si="17"/>
        <v>0.17244245431465233</v>
      </c>
      <c r="Z63" s="1">
        <f t="shared" ca="1" si="18"/>
        <v>1261</v>
      </c>
      <c r="AB63" s="1">
        <f t="shared" ca="1" si="19"/>
        <v>0.54234015590121909</v>
      </c>
      <c r="AC63" s="1">
        <f t="shared" ca="1" si="20"/>
        <v>296</v>
      </c>
      <c r="AD63" s="1">
        <f t="shared" ca="1" si="21"/>
        <v>6.6439609061568448E-3</v>
      </c>
      <c r="AE63" s="1"/>
      <c r="AF63" s="1">
        <f t="shared" ca="1" si="22"/>
        <v>0.28946973025970363</v>
      </c>
      <c r="AG63" s="1">
        <f t="shared" ca="1" si="23"/>
        <v>710</v>
      </c>
      <c r="AH63" s="1">
        <f t="shared" ca="1" si="24"/>
        <v>7.1606188080085243E-3</v>
      </c>
      <c r="AJ63" s="1">
        <f t="shared" ca="1" si="25"/>
        <v>0.1422901801283093</v>
      </c>
      <c r="AK63" s="1">
        <f t="shared" ca="1" si="26"/>
        <v>7.9375447698857224E-3</v>
      </c>
      <c r="AL63" s="1"/>
      <c r="AM63" s="1">
        <f t="shared" ca="1" si="27"/>
        <v>0.12817237962269409</v>
      </c>
      <c r="AN63" s="1">
        <f t="shared" ca="1" si="28"/>
        <v>69</v>
      </c>
      <c r="AO63" s="1">
        <f t="shared" ca="1" si="29"/>
        <v>17</v>
      </c>
      <c r="AQ63" s="1">
        <f t="shared" ca="1" si="30"/>
        <v>191</v>
      </c>
      <c r="AR63" s="1">
        <f t="shared" ca="1" si="31"/>
        <v>2</v>
      </c>
      <c r="AS63" s="1">
        <f t="shared" ca="1" si="32"/>
        <v>73</v>
      </c>
      <c r="AU63" s="1">
        <f t="shared" ca="1" si="33"/>
        <v>124</v>
      </c>
      <c r="AV63" s="1">
        <f t="shared" ca="1" si="34"/>
        <v>10</v>
      </c>
      <c r="AW63" s="1">
        <f t="shared" ca="1" si="35"/>
        <v>0.11635212232959949</v>
      </c>
      <c r="AY63" s="1">
        <f t="shared" ca="1" si="36"/>
        <v>1.6400960157641458</v>
      </c>
      <c r="AZ63" s="1">
        <f t="shared" ca="1" si="37"/>
        <v>371</v>
      </c>
      <c r="BA63" s="1">
        <f t="shared" ca="1" si="38"/>
        <v>3.4469076730664987E-3</v>
      </c>
      <c r="BG63" s="1">
        <f t="shared" ca="1" si="39"/>
        <v>1.1776413268562132E-3</v>
      </c>
      <c r="BH63" s="1">
        <f t="shared" ca="1" si="40"/>
        <v>6.2947133059663152E-2</v>
      </c>
      <c r="BI63" s="1">
        <f t="shared" ca="1" si="41"/>
        <v>398</v>
      </c>
      <c r="BV63" s="1">
        <f t="shared" ca="1" si="42"/>
        <v>0.63495411913511723</v>
      </c>
      <c r="BW63" s="1">
        <f t="shared" ca="1" si="43"/>
        <v>992</v>
      </c>
      <c r="BX63" s="1">
        <f t="shared" ca="1" si="44"/>
        <v>4.4234159001167008E-3</v>
      </c>
      <c r="BY63" s="1">
        <f t="shared" ca="1" si="45"/>
        <v>4.6837029085665151E-3</v>
      </c>
      <c r="BZ63" s="1">
        <f t="shared" ca="1" si="46"/>
        <v>0.76089631356195808</v>
      </c>
      <c r="CB63" s="1">
        <f t="shared" ca="1" si="47"/>
        <v>438</v>
      </c>
      <c r="CC63" s="1">
        <f t="shared" ca="1" si="48"/>
        <v>7</v>
      </c>
      <c r="CD63" s="1">
        <f t="shared" ca="1" si="49"/>
        <v>0.16671866905094906</v>
      </c>
      <c r="CE63" s="1">
        <f t="shared" ca="1" si="74"/>
        <v>0.54771266190627466</v>
      </c>
      <c r="CF63" s="1">
        <f t="shared" ca="1" si="74"/>
        <v>0.99849084931593768</v>
      </c>
      <c r="CH63" s="3">
        <f t="shared" ca="1" si="51"/>
        <v>0.51791098763047139</v>
      </c>
      <c r="CI63" s="3">
        <f t="shared" ca="1" si="52"/>
        <v>0.20401654233332028</v>
      </c>
      <c r="CJ63" s="3">
        <f t="shared" ca="1" si="53"/>
        <v>556</v>
      </c>
      <c r="CK63" s="3">
        <f t="shared" ca="1" si="54"/>
        <v>4.0347643079693433E-3</v>
      </c>
      <c r="CL63" s="3">
        <f t="shared" ca="1" si="55"/>
        <v>1</v>
      </c>
      <c r="CM63" s="3"/>
      <c r="CN63" s="1">
        <f t="shared" ca="1" si="56"/>
        <v>18.064620929800348</v>
      </c>
      <c r="CO63" s="1">
        <f t="shared" ca="1" si="57"/>
        <v>0.2833251958864853</v>
      </c>
      <c r="CP63" s="1">
        <f t="shared" ca="1" si="58"/>
        <v>3</v>
      </c>
      <c r="CV63" s="1">
        <f t="shared" ca="1" si="59"/>
        <v>3.1513727210877489</v>
      </c>
      <c r="CW63" s="1">
        <f t="shared" ca="1" si="60"/>
        <v>568</v>
      </c>
      <c r="CX63" s="1">
        <f t="shared" ca="1" si="61"/>
        <v>1.9211840373671439E-3</v>
      </c>
      <c r="DH63" s="1">
        <f t="shared" ca="1" si="62"/>
        <v>553</v>
      </c>
      <c r="DI63" s="1">
        <f t="shared" ca="1" si="63"/>
        <v>0.8394576918861909</v>
      </c>
      <c r="DJ63" s="1">
        <f t="shared" ca="1" si="64"/>
        <v>15</v>
      </c>
      <c r="DL63" s="1">
        <f t="shared" ca="1" si="65"/>
        <v>9.7020988008825831E-2</v>
      </c>
      <c r="DM63" s="1">
        <f t="shared" ca="1" si="66"/>
        <v>215</v>
      </c>
      <c r="DN63" s="1">
        <f t="shared" ca="1" si="67"/>
        <v>1</v>
      </c>
      <c r="DW63" s="1">
        <f t="shared" ca="1" si="71"/>
        <v>351</v>
      </c>
      <c r="DX63" s="1">
        <f t="shared" ca="1" si="72"/>
        <v>6</v>
      </c>
      <c r="DY63" s="1">
        <f t="shared" ca="1" si="73"/>
        <v>14</v>
      </c>
    </row>
    <row r="64" spans="2:129" x14ac:dyDescent="0.25">
      <c r="B64">
        <f t="shared" ca="1" si="0"/>
        <v>952</v>
      </c>
      <c r="C64">
        <f t="shared" ca="1" si="1"/>
        <v>42</v>
      </c>
      <c r="D64">
        <f t="shared" ca="1" si="2"/>
        <v>0.24493051691481219</v>
      </c>
      <c r="F64" s="1">
        <f t="shared" ca="1" si="3"/>
        <v>36</v>
      </c>
      <c r="G64" s="1">
        <f t="shared" ca="1" si="4"/>
        <v>27</v>
      </c>
      <c r="H64" s="1">
        <f t="shared" ca="1" si="5"/>
        <v>1</v>
      </c>
      <c r="I64" s="1"/>
      <c r="J64" s="1">
        <f t="shared" ca="1" si="6"/>
        <v>30</v>
      </c>
      <c r="K64" s="1">
        <f t="shared" ca="1" si="7"/>
        <v>1.2149589700123393</v>
      </c>
      <c r="L64" s="1">
        <f t="shared" ca="1" si="8"/>
        <v>31</v>
      </c>
      <c r="M64" s="1"/>
      <c r="N64" s="1">
        <f t="shared" ca="1" si="9"/>
        <v>891</v>
      </c>
      <c r="O64" s="1">
        <f t="shared" ca="1" si="10"/>
        <v>5</v>
      </c>
      <c r="P64" s="1"/>
      <c r="Q64" s="1">
        <f t="shared" ca="1" si="11"/>
        <v>2.4539362216429224</v>
      </c>
      <c r="R64" s="1">
        <f t="shared" ca="1" si="12"/>
        <v>911</v>
      </c>
      <c r="S64" s="1"/>
      <c r="T64" s="1">
        <f t="shared" ca="1" si="13"/>
        <v>0.18223329306120212</v>
      </c>
      <c r="U64" s="1">
        <f t="shared" ca="1" si="14"/>
        <v>310</v>
      </c>
      <c r="V64" s="1">
        <f t="shared" ca="1" si="15"/>
        <v>41</v>
      </c>
      <c r="W64" s="1"/>
      <c r="X64" s="1">
        <f t="shared" ca="1" si="16"/>
        <v>3.6299440468800261</v>
      </c>
      <c r="Y64" s="1">
        <f t="shared" ca="1" si="17"/>
        <v>0.33654083406702096</v>
      </c>
      <c r="Z64" s="1">
        <f t="shared" ca="1" si="18"/>
        <v>452</v>
      </c>
      <c r="AB64" s="1">
        <f t="shared" ca="1" si="19"/>
        <v>0.90490715951633505</v>
      </c>
      <c r="AC64" s="1">
        <f t="shared" ca="1" si="20"/>
        <v>845</v>
      </c>
      <c r="AD64" s="1">
        <f t="shared" ca="1" si="21"/>
        <v>1.2489258970929957E-3</v>
      </c>
      <c r="AE64" s="1"/>
      <c r="AF64" s="1">
        <f t="shared" ca="1" si="22"/>
        <v>0.65219971545558253</v>
      </c>
      <c r="AG64" s="1">
        <f t="shared" ca="1" si="23"/>
        <v>732</v>
      </c>
      <c r="AH64" s="1">
        <f t="shared" ca="1" si="24"/>
        <v>6.2620060675753347E-3</v>
      </c>
      <c r="AJ64" s="1">
        <f t="shared" ca="1" si="25"/>
        <v>0.16258010693357927</v>
      </c>
      <c r="AK64" s="1">
        <f t="shared" ca="1" si="26"/>
        <v>5.1213764902076015E-3</v>
      </c>
      <c r="AL64" s="1"/>
      <c r="AM64" s="1">
        <f t="shared" ca="1" si="27"/>
        <v>0.15953057865440207</v>
      </c>
      <c r="AN64" s="1">
        <f t="shared" ca="1" si="28"/>
        <v>32</v>
      </c>
      <c r="AO64" s="1">
        <f t="shared" ca="1" si="29"/>
        <v>7</v>
      </c>
      <c r="AQ64" s="1">
        <f t="shared" ca="1" si="30"/>
        <v>90</v>
      </c>
      <c r="AR64" s="1">
        <f t="shared" ca="1" si="31"/>
        <v>3</v>
      </c>
      <c r="AS64" s="1">
        <f t="shared" ca="1" si="32"/>
        <v>20</v>
      </c>
      <c r="AU64" s="1">
        <f t="shared" ca="1" si="33"/>
        <v>135</v>
      </c>
      <c r="AV64" s="1">
        <f t="shared" ca="1" si="34"/>
        <v>8</v>
      </c>
      <c r="AW64" s="1">
        <f t="shared" ca="1" si="35"/>
        <v>0.1297614851752778</v>
      </c>
      <c r="AY64" s="1">
        <f t="shared" ca="1" si="36"/>
        <v>1.4499979466515034</v>
      </c>
      <c r="AZ64" s="1">
        <f t="shared" ca="1" si="37"/>
        <v>158</v>
      </c>
      <c r="BA64" s="1">
        <f t="shared" ca="1" si="38"/>
        <v>7.3533701168078981E-3</v>
      </c>
      <c r="BG64" s="1">
        <f t="shared" ca="1" si="39"/>
        <v>6.8949547737301567E-2</v>
      </c>
      <c r="BH64" s="1">
        <f t="shared" ca="1" si="40"/>
        <v>0.18094824334600434</v>
      </c>
      <c r="BI64" s="1">
        <f t="shared" ca="1" si="41"/>
        <v>516</v>
      </c>
      <c r="BV64" s="1">
        <f t="shared" ca="1" si="42"/>
        <v>0.93699139514964536</v>
      </c>
      <c r="BW64" s="1">
        <f t="shared" ca="1" si="43"/>
        <v>154</v>
      </c>
      <c r="BX64" s="1">
        <f t="shared" ca="1" si="44"/>
        <v>5.8909336715141127E-3</v>
      </c>
      <c r="BY64" s="1">
        <f t="shared" ca="1" si="45"/>
        <v>9.1829183456900304E-2</v>
      </c>
      <c r="BZ64" s="1">
        <f t="shared" ca="1" si="46"/>
        <v>0.8712289490685371</v>
      </c>
      <c r="CB64" s="1">
        <f t="shared" ca="1" si="47"/>
        <v>92</v>
      </c>
      <c r="CC64" s="1">
        <f t="shared" ca="1" si="48"/>
        <v>9</v>
      </c>
      <c r="CD64" s="1">
        <f t="shared" ca="1" si="49"/>
        <v>0.21834254838657777</v>
      </c>
      <c r="CE64" s="1">
        <f t="shared" ca="1" si="74"/>
        <v>0.58901615929409001</v>
      </c>
      <c r="CF64" s="1">
        <f t="shared" ca="1" si="74"/>
        <v>0.85892443796602769</v>
      </c>
      <c r="CH64" s="3">
        <f t="shared" ca="1" si="51"/>
        <v>0.26017837075733219</v>
      </c>
      <c r="CI64" s="3">
        <f t="shared" ca="1" si="52"/>
        <v>0.15714385038804971</v>
      </c>
      <c r="CJ64" s="3">
        <f t="shared" ca="1" si="53"/>
        <v>251</v>
      </c>
      <c r="CK64" s="3">
        <f t="shared" ca="1" si="54"/>
        <v>5.2994662572838159E-3</v>
      </c>
      <c r="CL64" s="3">
        <f t="shared" ca="1" si="55"/>
        <v>1</v>
      </c>
      <c r="CM64" s="3"/>
      <c r="CN64" s="1">
        <f t="shared" ca="1" si="56"/>
        <v>6.4566039765847982</v>
      </c>
      <c r="CO64" s="1">
        <f t="shared" ca="1" si="57"/>
        <v>3.3866321463556275E-2</v>
      </c>
      <c r="CP64" s="1">
        <f t="shared" ca="1" si="58"/>
        <v>3</v>
      </c>
      <c r="CV64" s="1">
        <f t="shared" ca="1" si="59"/>
        <v>1.9231356832790045</v>
      </c>
      <c r="CW64" s="1">
        <f t="shared" ca="1" si="60"/>
        <v>642</v>
      </c>
      <c r="CX64" s="1">
        <f t="shared" ca="1" si="61"/>
        <v>4.0135609848860635E-3</v>
      </c>
      <c r="DH64" s="1">
        <f t="shared" ca="1" si="62"/>
        <v>104</v>
      </c>
      <c r="DI64" s="1">
        <f t="shared" ca="1" si="63"/>
        <v>0.89425903463764611</v>
      </c>
      <c r="DJ64" s="1">
        <f t="shared" ca="1" si="64"/>
        <v>28</v>
      </c>
      <c r="DL64" s="1">
        <f t="shared" ca="1" si="65"/>
        <v>0.1643165488838278</v>
      </c>
      <c r="DM64" s="1">
        <f t="shared" ca="1" si="66"/>
        <v>207</v>
      </c>
      <c r="DN64" s="1">
        <f t="shared" ca="1" si="67"/>
        <v>3</v>
      </c>
      <c r="DW64" s="1">
        <f t="shared" ca="1" si="71"/>
        <v>65</v>
      </c>
      <c r="DX64" s="1">
        <f t="shared" ca="1" si="72"/>
        <v>19</v>
      </c>
      <c r="DY64" s="1">
        <f t="shared" ca="1" si="73"/>
        <v>8</v>
      </c>
    </row>
    <row r="65" spans="2:129" x14ac:dyDescent="0.25">
      <c r="B65">
        <f t="shared" ca="1" si="0"/>
        <v>713</v>
      </c>
      <c r="C65">
        <f t="shared" ca="1" si="1"/>
        <v>15</v>
      </c>
      <c r="D65">
        <f t="shared" ca="1" si="2"/>
        <v>0.23506795350209136</v>
      </c>
      <c r="F65" s="1">
        <f t="shared" ca="1" si="3"/>
        <v>26</v>
      </c>
      <c r="G65" s="1">
        <f t="shared" ca="1" si="4"/>
        <v>6</v>
      </c>
      <c r="H65" s="1">
        <f t="shared" ca="1" si="5"/>
        <v>8</v>
      </c>
      <c r="I65" s="1"/>
      <c r="J65" s="1">
        <f t="shared" ca="1" si="6"/>
        <v>19</v>
      </c>
      <c r="K65" s="1">
        <f t="shared" ca="1" si="7"/>
        <v>1.4024586491963615</v>
      </c>
      <c r="L65" s="1">
        <f t="shared" ca="1" si="8"/>
        <v>23</v>
      </c>
      <c r="M65" s="1"/>
      <c r="N65" s="1">
        <f t="shared" ca="1" si="9"/>
        <v>567</v>
      </c>
      <c r="O65" s="1">
        <f t="shared" ca="1" si="10"/>
        <v>8</v>
      </c>
      <c r="P65" s="1"/>
      <c r="Q65" s="1">
        <f t="shared" ca="1" si="11"/>
        <v>1.7067749132315382</v>
      </c>
      <c r="R65" s="1">
        <f t="shared" ca="1" si="12"/>
        <v>525</v>
      </c>
      <c r="S65" s="1"/>
      <c r="T65" s="1">
        <f t="shared" ca="1" si="13"/>
        <v>0.13295163577187838</v>
      </c>
      <c r="U65" s="1">
        <f t="shared" ca="1" si="14"/>
        <v>235</v>
      </c>
      <c r="V65" s="1">
        <f t="shared" ca="1" si="15"/>
        <v>45</v>
      </c>
      <c r="W65" s="1"/>
      <c r="X65" s="1">
        <f t="shared" ca="1" si="16"/>
        <v>9.7175850202019873</v>
      </c>
      <c r="Y65" s="1">
        <f t="shared" ca="1" si="17"/>
        <v>0.59412182939493197</v>
      </c>
      <c r="Z65" s="1">
        <f t="shared" ca="1" si="18"/>
        <v>636</v>
      </c>
      <c r="AB65" s="1">
        <f t="shared" ca="1" si="19"/>
        <v>0.67616808406569828</v>
      </c>
      <c r="AC65" s="1">
        <f t="shared" ca="1" si="20"/>
        <v>291</v>
      </c>
      <c r="AD65" s="1">
        <f t="shared" ca="1" si="21"/>
        <v>2.1902566078657671E-3</v>
      </c>
      <c r="AE65" s="1"/>
      <c r="AF65" s="1">
        <f t="shared" ca="1" si="22"/>
        <v>0.54391734600100339</v>
      </c>
      <c r="AG65" s="1">
        <f t="shared" ca="1" si="23"/>
        <v>486</v>
      </c>
      <c r="AH65" s="1">
        <f t="shared" ca="1" si="24"/>
        <v>6.4920319466693771E-3</v>
      </c>
      <c r="AJ65" s="1">
        <f t="shared" ca="1" si="25"/>
        <v>5.6358109920867983E-2</v>
      </c>
      <c r="AK65" s="1">
        <f t="shared" ca="1" si="26"/>
        <v>2.6208595645431741E-3</v>
      </c>
      <c r="AL65" s="1"/>
      <c r="AM65" s="1">
        <f t="shared" ca="1" si="27"/>
        <v>0.19766937449244454</v>
      </c>
      <c r="AN65" s="1">
        <f t="shared" ca="1" si="28"/>
        <v>64</v>
      </c>
      <c r="AO65" s="1">
        <f t="shared" ca="1" si="29"/>
        <v>18</v>
      </c>
      <c r="AQ65" s="1">
        <f t="shared" ca="1" si="30"/>
        <v>38</v>
      </c>
      <c r="AR65" s="1">
        <f t="shared" ca="1" si="31"/>
        <v>3</v>
      </c>
      <c r="AS65" s="1">
        <f t="shared" ca="1" si="32"/>
        <v>53</v>
      </c>
      <c r="AU65" s="1">
        <f t="shared" ca="1" si="33"/>
        <v>398</v>
      </c>
      <c r="AV65" s="1">
        <f t="shared" ca="1" si="34"/>
        <v>4</v>
      </c>
      <c r="AW65" s="1">
        <f t="shared" ca="1" si="35"/>
        <v>3.4984448212036244E-2</v>
      </c>
      <c r="AY65" s="1">
        <f t="shared" ca="1" si="36"/>
        <v>1.1082330965355669</v>
      </c>
      <c r="AZ65" s="1">
        <f t="shared" ca="1" si="37"/>
        <v>258</v>
      </c>
      <c r="BA65" s="1">
        <f t="shared" ca="1" si="38"/>
        <v>1.0605581154438657E-4</v>
      </c>
      <c r="BG65" s="1">
        <f t="shared" ca="1" si="39"/>
        <v>0.52625493499774334</v>
      </c>
      <c r="BH65" s="1">
        <f t="shared" ca="1" si="40"/>
        <v>3.8182439764689047E-3</v>
      </c>
      <c r="BI65" s="1">
        <f t="shared" ca="1" si="41"/>
        <v>224</v>
      </c>
      <c r="BV65" s="1">
        <f t="shared" ca="1" si="42"/>
        <v>0.16042385559425443</v>
      </c>
      <c r="BW65" s="1">
        <f t="shared" ca="1" si="43"/>
        <v>508</v>
      </c>
      <c r="BX65" s="1">
        <f t="shared" ca="1" si="44"/>
        <v>6.6974780920475872E-3</v>
      </c>
      <c r="BY65" s="1">
        <f t="shared" ca="1" si="45"/>
        <v>7.3635651202711566E-2</v>
      </c>
      <c r="BZ65" s="1">
        <f t="shared" ca="1" si="46"/>
        <v>0.29010395825526758</v>
      </c>
      <c r="CB65" s="1">
        <f t="shared" ca="1" si="47"/>
        <v>289</v>
      </c>
      <c r="CC65" s="1">
        <f t="shared" ca="1" si="48"/>
        <v>9</v>
      </c>
      <c r="CD65" s="1">
        <f t="shared" ca="1" si="49"/>
        <v>0.20468941117990649</v>
      </c>
      <c r="CE65" s="1">
        <f t="shared" ca="1" si="74"/>
        <v>0.69035068677075451</v>
      </c>
      <c r="CF65" s="1">
        <f t="shared" ca="1" si="74"/>
        <v>0.50427895792037258</v>
      </c>
      <c r="CH65" s="3">
        <f t="shared" ca="1" si="51"/>
        <v>0.35328512075084123</v>
      </c>
      <c r="CI65" s="3">
        <f t="shared" ca="1" si="52"/>
        <v>7.2783956362353644E-2</v>
      </c>
      <c r="CJ65" s="3">
        <f t="shared" ca="1" si="53"/>
        <v>1171</v>
      </c>
      <c r="CK65" s="3">
        <f t="shared" ca="1" si="54"/>
        <v>7.6087996218472346E-3</v>
      </c>
      <c r="CL65" s="3">
        <f t="shared" ca="1" si="55"/>
        <v>0</v>
      </c>
      <c r="CM65" s="3"/>
      <c r="CN65" s="1">
        <f t="shared" ca="1" si="56"/>
        <v>4.2954784999100095</v>
      </c>
      <c r="CO65" s="1">
        <f t="shared" ca="1" si="57"/>
        <v>0.42601345110562894</v>
      </c>
      <c r="CP65" s="1">
        <f t="shared" ca="1" si="58"/>
        <v>5</v>
      </c>
      <c r="CV65" s="1">
        <f t="shared" ca="1" si="59"/>
        <v>0.75307200070983726</v>
      </c>
      <c r="CW65" s="1">
        <f t="shared" ca="1" si="60"/>
        <v>1987</v>
      </c>
      <c r="CX65" s="1">
        <f t="shared" ca="1" si="61"/>
        <v>2.1826133019217692E-3</v>
      </c>
      <c r="DH65" s="1">
        <f t="shared" ca="1" si="62"/>
        <v>601</v>
      </c>
      <c r="DI65" s="1">
        <f t="shared" ca="1" si="63"/>
        <v>0.40942648651456365</v>
      </c>
      <c r="DJ65" s="1">
        <f t="shared" ca="1" si="64"/>
        <v>30</v>
      </c>
      <c r="DL65" s="1">
        <f t="shared" ca="1" si="65"/>
        <v>3.9569877992147902E-2</v>
      </c>
      <c r="DM65" s="1">
        <f t="shared" ca="1" si="66"/>
        <v>126</v>
      </c>
      <c r="DN65" s="1">
        <f t="shared" ca="1" si="67"/>
        <v>10</v>
      </c>
      <c r="DW65" s="1">
        <f t="shared" ca="1" si="71"/>
        <v>262</v>
      </c>
      <c r="DX65" s="1">
        <f t="shared" ca="1" si="72"/>
        <v>11</v>
      </c>
      <c r="DY65" s="1">
        <f t="shared" ca="1" si="73"/>
        <v>10</v>
      </c>
    </row>
    <row r="66" spans="2:129" x14ac:dyDescent="0.25">
      <c r="B66">
        <f t="shared" ca="1" si="0"/>
        <v>479</v>
      </c>
      <c r="C66">
        <f t="shared" ca="1" si="1"/>
        <v>44</v>
      </c>
      <c r="D66">
        <f t="shared" ca="1" si="2"/>
        <v>1.0201427259522795E-2</v>
      </c>
      <c r="F66" s="1">
        <f t="shared" ca="1" si="3"/>
        <v>8</v>
      </c>
      <c r="G66" s="1">
        <f t="shared" ca="1" si="4"/>
        <v>8</v>
      </c>
      <c r="H66" s="1">
        <f t="shared" ca="1" si="5"/>
        <v>9</v>
      </c>
      <c r="I66" s="1"/>
      <c r="J66" s="1">
        <f t="shared" ca="1" si="6"/>
        <v>36</v>
      </c>
      <c r="K66" s="1">
        <f t="shared" ca="1" si="7"/>
        <v>1.8569751492062778</v>
      </c>
      <c r="L66" s="1">
        <f t="shared" ca="1" si="8"/>
        <v>5</v>
      </c>
      <c r="M66" s="1"/>
      <c r="N66" s="1">
        <f t="shared" ca="1" si="9"/>
        <v>44</v>
      </c>
      <c r="O66" s="1">
        <f t="shared" ca="1" si="10"/>
        <v>32</v>
      </c>
      <c r="P66" s="1"/>
      <c r="Q66" s="1">
        <f t="shared" ca="1" si="11"/>
        <v>1.2452906214056043</v>
      </c>
      <c r="R66" s="1">
        <f t="shared" ca="1" si="12"/>
        <v>781</v>
      </c>
      <c r="S66" s="1"/>
      <c r="T66" s="1">
        <f t="shared" ca="1" si="13"/>
        <v>3.4408763316947463E-2</v>
      </c>
      <c r="U66" s="1">
        <f t="shared" ca="1" si="14"/>
        <v>205</v>
      </c>
      <c r="V66" s="1">
        <f t="shared" ca="1" si="15"/>
        <v>42</v>
      </c>
      <c r="W66" s="1"/>
      <c r="X66" s="1">
        <f t="shared" ca="1" si="16"/>
        <v>2.9657304690019024</v>
      </c>
      <c r="Y66" s="1">
        <f t="shared" ca="1" si="17"/>
        <v>6.98652763893889E-2</v>
      </c>
      <c r="Z66" s="1">
        <f t="shared" ca="1" si="18"/>
        <v>1438</v>
      </c>
      <c r="AB66" s="1">
        <f t="shared" ca="1" si="19"/>
        <v>0.32145155375688556</v>
      </c>
      <c r="AC66" s="1">
        <f t="shared" ca="1" si="20"/>
        <v>828</v>
      </c>
      <c r="AD66" s="1">
        <f t="shared" ca="1" si="21"/>
        <v>2.3101530804653199E-3</v>
      </c>
      <c r="AE66" s="1"/>
      <c r="AF66" s="1">
        <f t="shared" ca="1" si="22"/>
        <v>0.86300564587744699</v>
      </c>
      <c r="AG66" s="1">
        <f t="shared" ca="1" si="23"/>
        <v>361</v>
      </c>
      <c r="AH66" s="1">
        <f t="shared" ca="1" si="24"/>
        <v>3.161316232250121E-3</v>
      </c>
      <c r="AJ66" s="1">
        <f t="shared" ca="1" si="25"/>
        <v>0.31918599194646025</v>
      </c>
      <c r="AK66" s="1">
        <f t="shared" ca="1" si="26"/>
        <v>5.9980239952919477E-3</v>
      </c>
      <c r="AL66" s="1"/>
      <c r="AM66" s="1">
        <f t="shared" ca="1" si="27"/>
        <v>3.4852788941277087E-2</v>
      </c>
      <c r="AN66" s="1">
        <f t="shared" ca="1" si="28"/>
        <v>51</v>
      </c>
      <c r="AO66" s="1">
        <f t="shared" ca="1" si="29"/>
        <v>6</v>
      </c>
      <c r="AQ66" s="1">
        <f t="shared" ca="1" si="30"/>
        <v>127</v>
      </c>
      <c r="AR66" s="1">
        <f t="shared" ca="1" si="31"/>
        <v>10</v>
      </c>
      <c r="AS66" s="1">
        <f t="shared" ca="1" si="32"/>
        <v>84</v>
      </c>
      <c r="AU66" s="1">
        <f t="shared" ca="1" si="33"/>
        <v>311</v>
      </c>
      <c r="AV66" s="1">
        <f t="shared" ca="1" si="34"/>
        <v>9</v>
      </c>
      <c r="AW66" s="1">
        <f t="shared" ca="1" si="35"/>
        <v>0.10645263178826321</v>
      </c>
      <c r="AY66" s="1">
        <f t="shared" ca="1" si="36"/>
        <v>1.3508916280133982</v>
      </c>
      <c r="AZ66" s="1">
        <f t="shared" ca="1" si="37"/>
        <v>397</v>
      </c>
      <c r="BA66" s="1">
        <f t="shared" ca="1" si="38"/>
        <v>3.8171679124428606E-4</v>
      </c>
      <c r="BG66" s="1">
        <f t="shared" ca="1" si="39"/>
        <v>0.63114790437142243</v>
      </c>
      <c r="BH66" s="1">
        <f t="shared" ca="1" si="40"/>
        <v>0.14403626960354443</v>
      </c>
      <c r="BI66" s="1">
        <f t="shared" ca="1" si="41"/>
        <v>608</v>
      </c>
      <c r="BV66" s="1">
        <f t="shared" ca="1" si="42"/>
        <v>0.82227201012183793</v>
      </c>
      <c r="BW66" s="1">
        <f t="shared" ca="1" si="43"/>
        <v>640</v>
      </c>
      <c r="BX66" s="1">
        <f t="shared" ca="1" si="44"/>
        <v>9.0069297771561817E-3</v>
      </c>
      <c r="BY66" s="1">
        <f t="shared" ca="1" si="45"/>
        <v>7.840874645838565E-2</v>
      </c>
      <c r="BZ66" s="1">
        <f t="shared" ca="1" si="46"/>
        <v>0.964103506092711</v>
      </c>
      <c r="CB66" s="1">
        <f t="shared" ca="1" si="47"/>
        <v>482</v>
      </c>
      <c r="CC66" s="1">
        <f t="shared" ca="1" si="48"/>
        <v>11</v>
      </c>
      <c r="CD66" s="1">
        <f t="shared" ca="1" si="49"/>
        <v>1.7316843174635957E-2</v>
      </c>
      <c r="CE66" s="1">
        <f t="shared" ca="1" si="74"/>
        <v>0.66833557707481628</v>
      </c>
      <c r="CF66" s="1">
        <f t="shared" ca="1" si="74"/>
        <v>0.68353375116436577</v>
      </c>
      <c r="CH66" s="3">
        <f t="shared" ca="1" si="51"/>
        <v>0.11079067719023747</v>
      </c>
      <c r="CI66" s="3">
        <f t="shared" ca="1" si="52"/>
        <v>0.57083135722229783</v>
      </c>
      <c r="CJ66" s="3">
        <f t="shared" ca="1" si="53"/>
        <v>1828</v>
      </c>
      <c r="CK66" s="3">
        <f t="shared" ca="1" si="54"/>
        <v>9.6608582847828445E-3</v>
      </c>
      <c r="CL66" s="3">
        <f t="shared" ca="1" si="55"/>
        <v>1</v>
      </c>
      <c r="CM66" s="3"/>
      <c r="CN66" s="1">
        <f t="shared" ca="1" si="56"/>
        <v>3.3958999006827288</v>
      </c>
      <c r="CO66" s="1">
        <f t="shared" ca="1" si="57"/>
        <v>0.20365631818810917</v>
      </c>
      <c r="CP66" s="1">
        <f t="shared" ca="1" si="58"/>
        <v>4</v>
      </c>
      <c r="CV66" s="1">
        <f t="shared" ca="1" si="59"/>
        <v>8.4011933601049247</v>
      </c>
      <c r="CW66" s="1">
        <f t="shared" ca="1" si="60"/>
        <v>907</v>
      </c>
      <c r="CX66" s="1">
        <f t="shared" ca="1" si="61"/>
        <v>7.6188765727218757E-4</v>
      </c>
      <c r="DH66" s="1">
        <f t="shared" ca="1" si="62"/>
        <v>330</v>
      </c>
      <c r="DI66" s="1">
        <f t="shared" ca="1" si="63"/>
        <v>0.48122286859521762</v>
      </c>
      <c r="DJ66" s="1">
        <f t="shared" ca="1" si="64"/>
        <v>29</v>
      </c>
      <c r="DL66" s="1">
        <f t="shared" ca="1" si="65"/>
        <v>7.2428019241803115E-2</v>
      </c>
      <c r="DM66" s="1">
        <f t="shared" ca="1" si="66"/>
        <v>138</v>
      </c>
      <c r="DN66" s="1">
        <f t="shared" ca="1" si="67"/>
        <v>7</v>
      </c>
      <c r="DW66" s="1">
        <f t="shared" ca="1" si="71"/>
        <v>423</v>
      </c>
      <c r="DX66" s="1">
        <f t="shared" ca="1" si="72"/>
        <v>16</v>
      </c>
      <c r="DY66" s="1">
        <f t="shared" ca="1" si="73"/>
        <v>11</v>
      </c>
    </row>
    <row r="67" spans="2:129" x14ac:dyDescent="0.25">
      <c r="B67">
        <f t="shared" ca="1" si="0"/>
        <v>921</v>
      </c>
      <c r="C67">
        <f t="shared" ca="1" si="1"/>
        <v>6</v>
      </c>
      <c r="D67">
        <f t="shared" ca="1" si="2"/>
        <v>9.7455633716888368E-2</v>
      </c>
      <c r="F67" s="1">
        <f t="shared" ca="1" si="3"/>
        <v>26</v>
      </c>
      <c r="G67" s="1">
        <f t="shared" ca="1" si="4"/>
        <v>19</v>
      </c>
      <c r="H67" s="1">
        <f t="shared" ca="1" si="5"/>
        <v>3</v>
      </c>
      <c r="I67" s="1"/>
      <c r="J67" s="1">
        <f t="shared" ca="1" si="6"/>
        <v>19</v>
      </c>
      <c r="K67" s="1">
        <f t="shared" ca="1" si="7"/>
        <v>2.2336803894607682</v>
      </c>
      <c r="L67" s="1">
        <f t="shared" ca="1" si="8"/>
        <v>28</v>
      </c>
      <c r="M67" s="1"/>
      <c r="N67" s="1">
        <f t="shared" ca="1" si="9"/>
        <v>871</v>
      </c>
      <c r="O67" s="1">
        <f t="shared" ca="1" si="10"/>
        <v>49</v>
      </c>
      <c r="P67" s="1"/>
      <c r="Q67" s="1">
        <f t="shared" ca="1" si="11"/>
        <v>1.892632585037094</v>
      </c>
      <c r="R67" s="1">
        <f t="shared" ca="1" si="12"/>
        <v>478</v>
      </c>
      <c r="S67" s="1"/>
      <c r="T67" s="1">
        <f t="shared" ca="1" si="13"/>
        <v>3.8208573391244595E-2</v>
      </c>
      <c r="U67" s="1">
        <f t="shared" ca="1" si="14"/>
        <v>189</v>
      </c>
      <c r="V67" s="1">
        <f t="shared" ca="1" si="15"/>
        <v>33</v>
      </c>
      <c r="W67" s="1"/>
      <c r="X67" s="1">
        <f t="shared" ca="1" si="16"/>
        <v>1.3462192540316282</v>
      </c>
      <c r="Y67" s="1">
        <f t="shared" ca="1" si="17"/>
        <v>0.51572856549735746</v>
      </c>
      <c r="Z67" s="1">
        <f t="shared" ca="1" si="18"/>
        <v>149</v>
      </c>
      <c r="AB67" s="1">
        <f t="shared" ca="1" si="19"/>
        <v>0.7583834515321447</v>
      </c>
      <c r="AC67" s="1">
        <f t="shared" ca="1" si="20"/>
        <v>447</v>
      </c>
      <c r="AD67" s="1">
        <f t="shared" ca="1" si="21"/>
        <v>7.5815023503172062E-3</v>
      </c>
      <c r="AE67" s="1"/>
      <c r="AF67" s="1">
        <f t="shared" ca="1" si="22"/>
        <v>0.50281116263103498</v>
      </c>
      <c r="AG67" s="1">
        <f t="shared" ca="1" si="23"/>
        <v>264</v>
      </c>
      <c r="AH67" s="1">
        <f t="shared" ca="1" si="24"/>
        <v>6.5743718343640074E-3</v>
      </c>
      <c r="AJ67" s="1">
        <f t="shared" ca="1" si="25"/>
        <v>6.8013331247465336E-2</v>
      </c>
      <c r="AK67" s="1">
        <f t="shared" ca="1" si="26"/>
        <v>1.8832419067029102E-4</v>
      </c>
      <c r="AL67" s="1"/>
      <c r="AM67" s="1">
        <f t="shared" ca="1" si="27"/>
        <v>6.9588777438293239E-2</v>
      </c>
      <c r="AN67" s="1">
        <f t="shared" ca="1" si="28"/>
        <v>28</v>
      </c>
      <c r="AO67" s="1">
        <f t="shared" ca="1" si="29"/>
        <v>9</v>
      </c>
      <c r="AQ67" s="1">
        <f t="shared" ca="1" si="30"/>
        <v>74</v>
      </c>
      <c r="AR67" s="1">
        <f t="shared" ca="1" si="31"/>
        <v>4</v>
      </c>
      <c r="AS67" s="1">
        <f t="shared" ca="1" si="32"/>
        <v>12</v>
      </c>
      <c r="AU67" s="1">
        <f t="shared" ca="1" si="33"/>
        <v>251</v>
      </c>
      <c r="AV67" s="1">
        <f t="shared" ca="1" si="34"/>
        <v>6</v>
      </c>
      <c r="AW67" s="1">
        <f t="shared" ca="1" si="35"/>
        <v>0.13682927785348775</v>
      </c>
      <c r="AY67" s="1">
        <f t="shared" ca="1" si="36"/>
        <v>1.6405083162890981</v>
      </c>
      <c r="AZ67" s="1">
        <f t="shared" ca="1" si="37"/>
        <v>122</v>
      </c>
      <c r="BA67" s="1">
        <f t="shared" ca="1" si="38"/>
        <v>6.9799625133513173E-3</v>
      </c>
      <c r="BG67" s="1">
        <f t="shared" ca="1" si="39"/>
        <v>0.6939496884605274</v>
      </c>
      <c r="BH67" s="1">
        <f t="shared" ca="1" si="40"/>
        <v>0.61843893686931561</v>
      </c>
      <c r="BI67" s="1">
        <f t="shared" ca="1" si="41"/>
        <v>272</v>
      </c>
      <c r="BV67" s="1">
        <f t="shared" ca="1" si="42"/>
        <v>7.3793118684069375E-2</v>
      </c>
      <c r="BW67" s="1">
        <f t="shared" ca="1" si="43"/>
        <v>685</v>
      </c>
      <c r="BX67" s="1">
        <f t="shared" ca="1" si="44"/>
        <v>4.5581567947952146E-4</v>
      </c>
      <c r="BY67" s="1">
        <f t="shared" ca="1" si="45"/>
        <v>6.5759944680692531E-2</v>
      </c>
      <c r="BZ67" s="1">
        <f t="shared" ca="1" si="46"/>
        <v>0.68191923928803522</v>
      </c>
      <c r="CB67" s="1">
        <f t="shared" ca="1" si="47"/>
        <v>281</v>
      </c>
      <c r="CC67" s="1">
        <f t="shared" ca="1" si="48"/>
        <v>13</v>
      </c>
      <c r="CD67" s="1">
        <f t="shared" ca="1" si="49"/>
        <v>0.29939690870641483</v>
      </c>
      <c r="CE67" s="1">
        <f t="shared" ca="1" si="74"/>
        <v>0.63034618660783137</v>
      </c>
      <c r="CF67" s="1">
        <f t="shared" ca="1" si="74"/>
        <v>0.86161344961234065</v>
      </c>
      <c r="CH67" s="3">
        <f t="shared" ca="1" si="51"/>
        <v>0.90481722205142567</v>
      </c>
      <c r="CI67" s="3">
        <f t="shared" ca="1" si="52"/>
        <v>0.57041135127914944</v>
      </c>
      <c r="CJ67" s="3">
        <f t="shared" ca="1" si="53"/>
        <v>1752</v>
      </c>
      <c r="CK67" s="3">
        <f t="shared" ca="1" si="54"/>
        <v>1.4545419394981975E-3</v>
      </c>
      <c r="CL67" s="3">
        <f t="shared" ca="1" si="55"/>
        <v>0</v>
      </c>
      <c r="CM67" s="3"/>
      <c r="CN67" s="1">
        <f t="shared" ca="1" si="56"/>
        <v>5.7916740330611622</v>
      </c>
      <c r="CO67" s="1">
        <f t="shared" ca="1" si="57"/>
        <v>0.25745771206212636</v>
      </c>
      <c r="CP67" s="1">
        <f t="shared" ca="1" si="58"/>
        <v>2</v>
      </c>
      <c r="CV67" s="1">
        <f t="shared" ca="1" si="59"/>
        <v>9.6319427625587082</v>
      </c>
      <c r="CW67" s="1">
        <f t="shared" ca="1" si="60"/>
        <v>692</v>
      </c>
      <c r="CX67" s="1">
        <f t="shared" ca="1" si="61"/>
        <v>4.3888125466875413E-3</v>
      </c>
      <c r="DH67" s="1">
        <f t="shared" ca="1" si="62"/>
        <v>768</v>
      </c>
      <c r="DI67" s="1">
        <f t="shared" ca="1" si="63"/>
        <v>0.72948552301728531</v>
      </c>
      <c r="DJ67" s="1">
        <f t="shared" ca="1" si="64"/>
        <v>12</v>
      </c>
      <c r="DL67" s="1">
        <f t="shared" ca="1" si="65"/>
        <v>0.18660996575077224</v>
      </c>
      <c r="DM67" s="1">
        <f t="shared" ca="1" si="66"/>
        <v>264</v>
      </c>
      <c r="DN67" s="1">
        <f t="shared" ca="1" si="67"/>
        <v>9</v>
      </c>
      <c r="DW67" s="1">
        <f t="shared" ca="1" si="71"/>
        <v>110</v>
      </c>
      <c r="DX67" s="1">
        <f t="shared" ca="1" si="72"/>
        <v>4</v>
      </c>
      <c r="DY67" s="1">
        <f t="shared" ca="1" si="73"/>
        <v>8</v>
      </c>
    </row>
    <row r="68" spans="2:129" x14ac:dyDescent="0.25">
      <c r="B68">
        <f t="shared" ref="B68:B131" ca="1" si="75">RANDBETWEEN(15,1000)</f>
        <v>997</v>
      </c>
      <c r="C68">
        <f t="shared" ref="C68:C131" ca="1" si="76">RANDBETWEEN(2,52)</f>
        <v>31</v>
      </c>
      <c r="D68">
        <f t="shared" ref="D68:D131" ca="1" si="77">RAND()*(0.3-0.01)+0.01</f>
        <v>0.16109226369691634</v>
      </c>
      <c r="F68" s="1">
        <f t="shared" ref="F68:F131" ca="1" si="78">RANDBETWEEN(2,52)</f>
        <v>49</v>
      </c>
      <c r="G68" s="1">
        <f t="shared" ref="G68:G131" ca="1" si="79">RANDBETWEEN(2,30)</f>
        <v>17</v>
      </c>
      <c r="H68" s="1">
        <f t="shared" ref="H68:H131" ca="1" si="80">RANDBETWEEN(1,15)</f>
        <v>3</v>
      </c>
      <c r="I68" s="1"/>
      <c r="J68" s="1">
        <f t="shared" ref="J68:J131" ca="1" si="81">RANDBETWEEN(1,39)</f>
        <v>33</v>
      </c>
      <c r="K68" s="1">
        <f t="shared" ref="K68:K131" ca="1" si="82">RAND()*(3-1)+1</f>
        <v>1.0163483683693229</v>
      </c>
      <c r="L68" s="1">
        <f t="shared" ref="L68:L131" ca="1" si="83">RANDBETWEEN(2,35)</f>
        <v>22</v>
      </c>
      <c r="M68" s="1"/>
      <c r="N68" s="1">
        <f t="shared" ref="N68:N131" ca="1" si="84">RANDBETWEEN(15,1000)</f>
        <v>871</v>
      </c>
      <c r="O68" s="1">
        <f t="shared" ref="O68:O131" ca="1" si="85">RANDBETWEEN(2,52)</f>
        <v>15</v>
      </c>
      <c r="P68" s="1"/>
      <c r="Q68" s="1">
        <f t="shared" ref="Q68:Q131" ca="1" si="86">RAND()*(5-0.01)+0.01</f>
        <v>2.4572601718251481</v>
      </c>
      <c r="R68" s="1">
        <f t="shared" ref="R68:R131" ca="1" si="87">RANDBETWEEN(200,1200)</f>
        <v>399</v>
      </c>
      <c r="S68" s="1"/>
      <c r="T68" s="1">
        <f t="shared" ref="T68:T131" ca="1" si="88">RAND()*(0.2-0.01)+0.01</f>
        <v>2.3846065772112811E-2</v>
      </c>
      <c r="U68" s="1">
        <f t="shared" ref="U68:U131" ca="1" si="89">RANDBETWEEN(50,450)</f>
        <v>335</v>
      </c>
      <c r="V68" s="1">
        <f t="shared" ref="V68:V131" ca="1" si="90">RANDBETWEEN(2,52)</f>
        <v>37</v>
      </c>
      <c r="W68" s="1"/>
      <c r="X68" s="1">
        <f t="shared" ref="X68:X131" ca="1" si="91">RAND()*(10-0.01)+0.01</f>
        <v>7.6671530182736367</v>
      </c>
      <c r="Y68" s="1">
        <f t="shared" ref="Y68:Y131" ca="1" si="92">RAND()*(1-0.0001)+0.0001</f>
        <v>6.6756246473920242E-2</v>
      </c>
      <c r="Z68" s="1">
        <f t="shared" ref="Z68:Z131" ca="1" si="93">RANDBETWEEN(100,2000)</f>
        <v>299</v>
      </c>
      <c r="AB68" s="1">
        <f t="shared" ref="AB68:AB131" ca="1" si="94">RAND()*(1-0.0001)+0.0001</f>
        <v>0.84741473247315735</v>
      </c>
      <c r="AC68" s="1">
        <f t="shared" ref="AC68:AC131" ca="1" si="95">RANDBETWEEN(100,1000)</f>
        <v>172</v>
      </c>
      <c r="AD68" s="1">
        <f t="shared" ref="AD68:AD131" ca="1" si="96">RAND()*(0.01-0.00001)+0.00001</f>
        <v>3.2703695106894525E-3</v>
      </c>
      <c r="AE68" s="1"/>
      <c r="AF68" s="1">
        <f t="shared" ref="AF68:AF131" ca="1" si="97">RAND()*(0.9-0.1)+0.1</f>
        <v>0.52774413931451469</v>
      </c>
      <c r="AG68" s="1">
        <f t="shared" ref="AG68:AG131" ca="1" si="98">RANDBETWEEN(100,1000)</f>
        <v>203</v>
      </c>
      <c r="AH68" s="1">
        <f t="shared" ref="AH68:AH131" ca="1" si="99">RAND()*(0.01-0.00001)+0.00001</f>
        <v>7.6558851114600012E-3</v>
      </c>
      <c r="AJ68" s="1">
        <f t="shared" ref="AJ68:AJ131" ca="1" si="100">RAND()*(1-0)+0</f>
        <v>0.79759784412627244</v>
      </c>
      <c r="AK68" s="1">
        <f t="shared" ref="AK68:AK131" ca="1" si="101">RAND()*(0.01-0.00001)+0.00001</f>
        <v>9.6154210098590102E-3</v>
      </c>
      <c r="AL68" s="1"/>
      <c r="AM68" s="1">
        <f t="shared" ref="AM68:AM131" ca="1" si="102">RAND()*(0.2-0.005)+0.005</f>
        <v>0.16083937069180476</v>
      </c>
      <c r="AN68" s="1">
        <f t="shared" ref="AN68:AN131" ca="1" si="103">RANDBETWEEN(10,80)</f>
        <v>17</v>
      </c>
      <c r="AO68" s="1">
        <f t="shared" ref="AO68:AO131" ca="1" si="104">RANDBETWEEN(-1,20)</f>
        <v>6</v>
      </c>
      <c r="AQ68" s="1">
        <f t="shared" ref="AQ68:AQ131" ca="1" si="105">RANDBETWEEN(10,200)</f>
        <v>88</v>
      </c>
      <c r="AR68" s="1">
        <f t="shared" ref="AR68:AR131" ca="1" si="106">RANDBETWEEN(0,10)</f>
        <v>0</v>
      </c>
      <c r="AS68" s="1">
        <f t="shared" ref="AS68:AS131" ca="1" si="107">RANDBETWEEN(1,100)</f>
        <v>26</v>
      </c>
      <c r="AU68" s="1">
        <f t="shared" ref="AU68:AU131" ca="1" si="108">RANDBETWEEN(50,400)</f>
        <v>193</v>
      </c>
      <c r="AV68" s="1">
        <f t="shared" ref="AV68:AV131" ca="1" si="109">RANDBETWEEN(2,10)</f>
        <v>3</v>
      </c>
      <c r="AW68" s="1">
        <f t="shared" ref="AW68:AW131" ca="1" si="110">RAND()*(0.2-0.01)+0.01</f>
        <v>1.3394749133592385E-2</v>
      </c>
      <c r="AY68" s="1">
        <f t="shared" ref="AY68:AY131" ca="1" si="111">RAND()*(2-1.1)+1.1</f>
        <v>1.7188780078394428</v>
      </c>
      <c r="AZ68" s="1">
        <f t="shared" ref="AZ68:AZ131" ca="1" si="112">RANDBETWEEN(50,500)</f>
        <v>91</v>
      </c>
      <c r="BA68" s="1">
        <f t="shared" ref="BA68:BA131" ca="1" si="113">RAND()*(0.01-0.00001)+0.00001</f>
        <v>7.0237080037376829E-3</v>
      </c>
      <c r="BG68" s="1">
        <f t="shared" ref="BG68:BG131" ca="1" si="114">RAND()*(1-0.0001)+0.0001</f>
        <v>0.23567574558881185</v>
      </c>
      <c r="BH68" s="1">
        <f t="shared" ref="BH68:BH131" ca="1" si="115">RAND()*(1-0)+0</f>
        <v>2.2102044373754071E-2</v>
      </c>
      <c r="BI68" s="1">
        <f t="shared" ref="BI68:BI131" ca="1" si="116">RANDBETWEEN(100,1000)</f>
        <v>661</v>
      </c>
      <c r="BV68" s="1">
        <f t="shared" ref="BV68:BV131" ca="1" si="117">RAND()*(1-0.0001)+0.0001</f>
        <v>0.39347937886647238</v>
      </c>
      <c r="BW68" s="1">
        <f t="shared" ref="BW68:BW131" ca="1" si="118">RANDBETWEEN(100,1000)</f>
        <v>926</v>
      </c>
      <c r="BX68" s="1">
        <f t="shared" ref="BX68:BX131" ca="1" si="119">RAND()*(0.01-0.00001)+0.00001</f>
        <v>4.7897926366420344E-3</v>
      </c>
      <c r="BY68" s="1">
        <f t="shared" ref="BY68:BY131" ca="1" si="120">RAND()*(0.1-0.0001)+0.0001</f>
        <v>6.4536190245082729E-3</v>
      </c>
      <c r="BZ68" s="1">
        <f t="shared" ref="BZ68:BZ131" ca="1" si="121">RAND()*(1-0)+0</f>
        <v>0.41448187543102177</v>
      </c>
      <c r="CB68" s="1">
        <f t="shared" ref="CB68:CB131" ca="1" si="122">RANDBETWEEN(50,500)</f>
        <v>252</v>
      </c>
      <c r="CC68" s="1">
        <f t="shared" ref="CC68:CC131" ca="1" si="123">RANDBETWEEN(3,15)</f>
        <v>12</v>
      </c>
      <c r="CD68" s="1">
        <f t="shared" ref="CD68:CD131" ca="1" si="124">RAND()*(0.3-0.01)+0.01</f>
        <v>9.4964502270426882E-2</v>
      </c>
      <c r="CE68" s="1">
        <f t="shared" ref="CE68:CF99" ca="1" si="125">RAND()*(1-0.5)+0.5</f>
        <v>0.8337919786177419</v>
      </c>
      <c r="CF68" s="1">
        <f t="shared" ca="1" si="125"/>
        <v>0.98690074094372682</v>
      </c>
      <c r="CH68" s="3">
        <f t="shared" ref="CH68:CH131" ca="1" si="126">RAND()*(1-0.0001)+0.0001</f>
        <v>0.12552162342371803</v>
      </c>
      <c r="CI68" s="3">
        <f t="shared" ref="CI68:CI131" ca="1" si="127">RAND()*(0.99-0.01)+0.01</f>
        <v>0.75292183381024647</v>
      </c>
      <c r="CJ68" s="3">
        <f t="shared" ref="CJ68:CJ131" ca="1" si="128">RANDBETWEEN(100,2000)</f>
        <v>1822</v>
      </c>
      <c r="CK68" s="3">
        <f t="shared" ref="CK68:CK131" ca="1" si="129">RAND()*(0.01-0.000001)+0.000001</f>
        <v>9.4603024315704255E-3</v>
      </c>
      <c r="CL68" s="3">
        <f t="shared" ref="CL68:CL131" ca="1" si="130">RANDBETWEEN(0,1)</f>
        <v>1</v>
      </c>
      <c r="CM68" s="3"/>
      <c r="CN68" s="1">
        <f t="shared" ref="CN68:CN131" ca="1" si="131">RAND()*(20-0.1)+0.1</f>
        <v>6.921853019720615</v>
      </c>
      <c r="CO68" s="1">
        <f t="shared" ref="CO68:CO131" ca="1" si="132">RAND()*(0.5-0.001)+0.001</f>
        <v>0.20329244415511588</v>
      </c>
      <c r="CP68" s="1">
        <f t="shared" ref="CP68:CP131" ca="1" si="133">RANDBETWEEN(1,5)</f>
        <v>3</v>
      </c>
      <c r="CV68" s="1">
        <f t="shared" ref="CV68:CV131" ca="1" si="134">RAND()*(10-0.0001)+0.0001</f>
        <v>2.4537136044666332</v>
      </c>
      <c r="CW68" s="1">
        <f t="shared" ref="CW68:CW131" ca="1" si="135">RANDBETWEEN(100,2000)</f>
        <v>233</v>
      </c>
      <c r="CX68" s="1">
        <f t="shared" ref="CX68:CX131" ca="1" si="136">RAND()*(0.01-0.000001)+0.000001</f>
        <v>2.3944363991407966E-3</v>
      </c>
      <c r="DH68" s="1">
        <f t="shared" ref="DH68:DH131" ca="1" si="137">RANDBETWEEN(10,900)</f>
        <v>175</v>
      </c>
      <c r="DI68" s="1">
        <f t="shared" ref="DI68:DI131" ca="1" si="138">RAND()*(1-0.001)+0.001</f>
        <v>0.25034784249123515</v>
      </c>
      <c r="DJ68" s="1">
        <f t="shared" ref="DJ68:DJ131" ca="1" si="139">RANDBETWEEN(1,30)</f>
        <v>26</v>
      </c>
      <c r="DL68" s="1">
        <f t="shared" ref="DL68:DL131" ca="1" si="140">RAND()*(0.2-0.01)+0.01</f>
        <v>0.12356545789125928</v>
      </c>
      <c r="DM68" s="1">
        <f t="shared" ref="DM68:DM131" ca="1" si="141">RANDBETWEEN(50,300)</f>
        <v>79</v>
      </c>
      <c r="DN68" s="1">
        <f t="shared" ref="DN68:DN131" ca="1" si="142">RANDBETWEEN(1,10)</f>
        <v>4</v>
      </c>
      <c r="DW68" s="1">
        <f t="shared" ref="DW68:DW131" ca="1" si="143">RANDBETWEEN(50,500)</f>
        <v>105</v>
      </c>
      <c r="DX68" s="1">
        <f t="shared" ref="DX68:DX131" ca="1" si="144">RANDBETWEEN(3,20)</f>
        <v>12</v>
      </c>
      <c r="DY68" s="1">
        <f t="shared" ref="DY68:DY131" ca="1" si="145">RANDBETWEEN(2,20)</f>
        <v>11</v>
      </c>
    </row>
    <row r="69" spans="2:129" x14ac:dyDescent="0.25">
      <c r="B69">
        <f t="shared" ca="1" si="75"/>
        <v>196</v>
      </c>
      <c r="C69">
        <f t="shared" ca="1" si="76"/>
        <v>31</v>
      </c>
      <c r="D69">
        <f t="shared" ca="1" si="77"/>
        <v>4.9618961621198061E-2</v>
      </c>
      <c r="F69" s="1">
        <f t="shared" ca="1" si="78"/>
        <v>30</v>
      </c>
      <c r="G69" s="1">
        <f t="shared" ca="1" si="79"/>
        <v>23</v>
      </c>
      <c r="H69" s="1">
        <f t="shared" ca="1" si="80"/>
        <v>10</v>
      </c>
      <c r="I69" s="1"/>
      <c r="J69" s="1">
        <f t="shared" ca="1" si="81"/>
        <v>4</v>
      </c>
      <c r="K69" s="1">
        <f t="shared" ca="1" si="82"/>
        <v>2.9325908730648926</v>
      </c>
      <c r="L69" s="1">
        <f t="shared" ca="1" si="83"/>
        <v>15</v>
      </c>
      <c r="M69" s="1"/>
      <c r="N69" s="1">
        <f t="shared" ca="1" si="84"/>
        <v>290</v>
      </c>
      <c r="O69" s="1">
        <f t="shared" ca="1" si="85"/>
        <v>10</v>
      </c>
      <c r="P69" s="1"/>
      <c r="Q69" s="1">
        <f t="shared" ca="1" si="86"/>
        <v>1.5916975057188703</v>
      </c>
      <c r="R69" s="1">
        <f t="shared" ca="1" si="87"/>
        <v>269</v>
      </c>
      <c r="S69" s="1"/>
      <c r="T69" s="1">
        <f t="shared" ca="1" si="88"/>
        <v>4.1533829820969516E-2</v>
      </c>
      <c r="U69" s="1">
        <f t="shared" ca="1" si="89"/>
        <v>353</v>
      </c>
      <c r="V69" s="1">
        <f t="shared" ca="1" si="90"/>
        <v>17</v>
      </c>
      <c r="W69" s="1"/>
      <c r="X69" s="1">
        <f t="shared" ca="1" si="91"/>
        <v>5.7638671479444969</v>
      </c>
      <c r="Y69" s="1">
        <f t="shared" ca="1" si="92"/>
        <v>0.43405264358463524</v>
      </c>
      <c r="Z69" s="1">
        <f t="shared" ca="1" si="93"/>
        <v>994</v>
      </c>
      <c r="AB69" s="1">
        <f t="shared" ca="1" si="94"/>
        <v>0.47076204644434083</v>
      </c>
      <c r="AC69" s="1">
        <f t="shared" ca="1" si="95"/>
        <v>728</v>
      </c>
      <c r="AD69" s="1">
        <f t="shared" ca="1" si="96"/>
        <v>7.2814125117926067E-3</v>
      </c>
      <c r="AE69" s="1"/>
      <c r="AF69" s="1">
        <f t="shared" ca="1" si="97"/>
        <v>0.55272596081940406</v>
      </c>
      <c r="AG69" s="1">
        <f t="shared" ca="1" si="98"/>
        <v>435</v>
      </c>
      <c r="AH69" s="1">
        <f t="shared" ca="1" si="99"/>
        <v>8.0027327201848599E-3</v>
      </c>
      <c r="AJ69" s="1">
        <f t="shared" ca="1" si="100"/>
        <v>6.9857234419247516E-2</v>
      </c>
      <c r="AK69" s="1">
        <f t="shared" ca="1" si="101"/>
        <v>2.7788176955853439E-3</v>
      </c>
      <c r="AL69" s="1"/>
      <c r="AM69" s="1">
        <f t="shared" ca="1" si="102"/>
        <v>2.4433723857201002E-2</v>
      </c>
      <c r="AN69" s="1">
        <f t="shared" ca="1" si="103"/>
        <v>37</v>
      </c>
      <c r="AO69" s="1">
        <f t="shared" ca="1" si="104"/>
        <v>13</v>
      </c>
      <c r="AQ69" s="1">
        <f t="shared" ca="1" si="105"/>
        <v>24</v>
      </c>
      <c r="AR69" s="1">
        <f t="shared" ca="1" si="106"/>
        <v>9</v>
      </c>
      <c r="AS69" s="1">
        <f t="shared" ca="1" si="107"/>
        <v>38</v>
      </c>
      <c r="AU69" s="1">
        <f t="shared" ca="1" si="108"/>
        <v>148</v>
      </c>
      <c r="AV69" s="1">
        <f t="shared" ca="1" si="109"/>
        <v>5</v>
      </c>
      <c r="AW69" s="1">
        <f t="shared" ca="1" si="110"/>
        <v>6.2391102674164776E-2</v>
      </c>
      <c r="AY69" s="1">
        <f t="shared" ca="1" si="111"/>
        <v>1.1912273248258907</v>
      </c>
      <c r="AZ69" s="1">
        <f t="shared" ca="1" si="112"/>
        <v>143</v>
      </c>
      <c r="BA69" s="1">
        <f t="shared" ca="1" si="113"/>
        <v>3.2449461376196328E-4</v>
      </c>
      <c r="BG69" s="1">
        <f t="shared" ca="1" si="114"/>
        <v>4.5114468881794961E-2</v>
      </c>
      <c r="BH69" s="1">
        <f t="shared" ca="1" si="115"/>
        <v>0.2598707391959747</v>
      </c>
      <c r="BI69" s="1">
        <f t="shared" ca="1" si="116"/>
        <v>772</v>
      </c>
      <c r="BV69" s="1">
        <f t="shared" ca="1" si="117"/>
        <v>0.4291725770453006</v>
      </c>
      <c r="BW69" s="1">
        <f t="shared" ca="1" si="118"/>
        <v>894</v>
      </c>
      <c r="BX69" s="1">
        <f t="shared" ca="1" si="119"/>
        <v>1.2824111487114243E-3</v>
      </c>
      <c r="BY69" s="1">
        <f t="shared" ca="1" si="120"/>
        <v>7.399768800762492E-2</v>
      </c>
      <c r="BZ69" s="1">
        <f t="shared" ca="1" si="121"/>
        <v>4.2130350509413383E-2</v>
      </c>
      <c r="CB69" s="1">
        <f t="shared" ca="1" si="122"/>
        <v>394</v>
      </c>
      <c r="CC69" s="1">
        <f t="shared" ca="1" si="123"/>
        <v>8</v>
      </c>
      <c r="CD69" s="1">
        <f t="shared" ca="1" si="124"/>
        <v>0.20912612862214874</v>
      </c>
      <c r="CE69" s="1">
        <f t="shared" ca="1" si="125"/>
        <v>0.5286469853218656</v>
      </c>
      <c r="CF69" s="1">
        <f t="shared" ca="1" si="125"/>
        <v>0.8323038903716472</v>
      </c>
      <c r="CH69" s="3">
        <f t="shared" ca="1" si="126"/>
        <v>2.4148114733787869E-2</v>
      </c>
      <c r="CI69" s="3">
        <f t="shared" ca="1" si="127"/>
        <v>0.38127312891494131</v>
      </c>
      <c r="CJ69" s="3">
        <f t="shared" ca="1" si="128"/>
        <v>1511</v>
      </c>
      <c r="CK69" s="3">
        <f t="shared" ca="1" si="129"/>
        <v>2.9437675379770161E-3</v>
      </c>
      <c r="CL69" s="3">
        <f t="shared" ca="1" si="130"/>
        <v>0</v>
      </c>
      <c r="CM69" s="3"/>
      <c r="CN69" s="1">
        <f t="shared" ca="1" si="131"/>
        <v>3.9685409631289756</v>
      </c>
      <c r="CO69" s="1">
        <f t="shared" ca="1" si="132"/>
        <v>0.37900795129066056</v>
      </c>
      <c r="CP69" s="1">
        <f t="shared" ca="1" si="133"/>
        <v>5</v>
      </c>
      <c r="CV69" s="1">
        <f t="shared" ca="1" si="134"/>
        <v>6.5689600475216796</v>
      </c>
      <c r="CW69" s="1">
        <f t="shared" ca="1" si="135"/>
        <v>1561</v>
      </c>
      <c r="CX69" s="1">
        <f t="shared" ca="1" si="136"/>
        <v>7.9344014018264269E-3</v>
      </c>
      <c r="DH69" s="1">
        <f t="shared" ca="1" si="137"/>
        <v>647</v>
      </c>
      <c r="DI69" s="1">
        <f t="shared" ca="1" si="138"/>
        <v>0.996339130285948</v>
      </c>
      <c r="DJ69" s="1">
        <f t="shared" ca="1" si="139"/>
        <v>26</v>
      </c>
      <c r="DL69" s="1">
        <f t="shared" ca="1" si="140"/>
        <v>0.19504897436353655</v>
      </c>
      <c r="DM69" s="1">
        <f t="shared" ca="1" si="141"/>
        <v>165</v>
      </c>
      <c r="DN69" s="1">
        <f t="shared" ca="1" si="142"/>
        <v>7</v>
      </c>
      <c r="DW69" s="1">
        <f t="shared" ca="1" si="143"/>
        <v>397</v>
      </c>
      <c r="DX69" s="1">
        <f t="shared" ca="1" si="144"/>
        <v>19</v>
      </c>
      <c r="DY69" s="1">
        <f t="shared" ca="1" si="145"/>
        <v>20</v>
      </c>
    </row>
    <row r="70" spans="2:129" x14ac:dyDescent="0.25">
      <c r="B70">
        <f t="shared" ca="1" si="75"/>
        <v>324</v>
      </c>
      <c r="C70">
        <f t="shared" ca="1" si="76"/>
        <v>30</v>
      </c>
      <c r="D70">
        <f t="shared" ca="1" si="77"/>
        <v>4.2697627620661698E-2</v>
      </c>
      <c r="F70" s="1">
        <f t="shared" ca="1" si="78"/>
        <v>32</v>
      </c>
      <c r="G70" s="1">
        <f t="shared" ca="1" si="79"/>
        <v>7</v>
      </c>
      <c r="H70" s="1">
        <f t="shared" ca="1" si="80"/>
        <v>1</v>
      </c>
      <c r="I70" s="1"/>
      <c r="J70" s="1">
        <f t="shared" ca="1" si="81"/>
        <v>26</v>
      </c>
      <c r="K70" s="1">
        <f t="shared" ca="1" si="82"/>
        <v>1.9352682433609683</v>
      </c>
      <c r="L70" s="1">
        <f t="shared" ca="1" si="83"/>
        <v>32</v>
      </c>
      <c r="M70" s="1"/>
      <c r="N70" s="1">
        <f t="shared" ca="1" si="84"/>
        <v>877</v>
      </c>
      <c r="O70" s="1">
        <f t="shared" ca="1" si="85"/>
        <v>34</v>
      </c>
      <c r="P70" s="1"/>
      <c r="Q70" s="1">
        <f t="shared" ca="1" si="86"/>
        <v>4.8249450794029336</v>
      </c>
      <c r="R70" s="1">
        <f t="shared" ca="1" si="87"/>
        <v>660</v>
      </c>
      <c r="S70" s="1"/>
      <c r="T70" s="1">
        <f t="shared" ca="1" si="88"/>
        <v>0.1218570164537338</v>
      </c>
      <c r="U70" s="1">
        <f t="shared" ca="1" si="89"/>
        <v>412</v>
      </c>
      <c r="V70" s="1">
        <f t="shared" ca="1" si="90"/>
        <v>49</v>
      </c>
      <c r="W70" s="1"/>
      <c r="X70" s="1">
        <f t="shared" ca="1" si="91"/>
        <v>2.059131999747061</v>
      </c>
      <c r="Y70" s="1">
        <f t="shared" ca="1" si="92"/>
        <v>0.48944480769956955</v>
      </c>
      <c r="Z70" s="1">
        <f t="shared" ca="1" si="93"/>
        <v>368</v>
      </c>
      <c r="AB70" s="1">
        <f t="shared" ca="1" si="94"/>
        <v>0.5672241288246308</v>
      </c>
      <c r="AC70" s="1">
        <f t="shared" ca="1" si="95"/>
        <v>435</v>
      </c>
      <c r="AD70" s="1">
        <f t="shared" ca="1" si="96"/>
        <v>8.3532366267458791E-3</v>
      </c>
      <c r="AE70" s="1"/>
      <c r="AF70" s="1">
        <f t="shared" ca="1" si="97"/>
        <v>0.5891165626820366</v>
      </c>
      <c r="AG70" s="1">
        <f t="shared" ca="1" si="98"/>
        <v>672</v>
      </c>
      <c r="AH70" s="1">
        <f t="shared" ca="1" si="99"/>
        <v>8.9328701866415502E-3</v>
      </c>
      <c r="AJ70" s="1">
        <f t="shared" ca="1" si="100"/>
        <v>0.80609655557459059</v>
      </c>
      <c r="AK70" s="1">
        <f t="shared" ca="1" si="101"/>
        <v>1.4340525542328056E-3</v>
      </c>
      <c r="AL70" s="1"/>
      <c r="AM70" s="1">
        <f t="shared" ca="1" si="102"/>
        <v>0.18255251205646947</v>
      </c>
      <c r="AN70" s="1">
        <f t="shared" ca="1" si="103"/>
        <v>34</v>
      </c>
      <c r="AO70" s="1">
        <f t="shared" ca="1" si="104"/>
        <v>15</v>
      </c>
      <c r="AQ70" s="1">
        <f t="shared" ca="1" si="105"/>
        <v>48</v>
      </c>
      <c r="AR70" s="1">
        <f t="shared" ca="1" si="106"/>
        <v>5</v>
      </c>
      <c r="AS70" s="1">
        <f t="shared" ca="1" si="107"/>
        <v>31</v>
      </c>
      <c r="AU70" s="1">
        <f t="shared" ca="1" si="108"/>
        <v>135</v>
      </c>
      <c r="AV70" s="1">
        <f t="shared" ca="1" si="109"/>
        <v>2</v>
      </c>
      <c r="AW70" s="1">
        <f t="shared" ca="1" si="110"/>
        <v>0.14238900843661423</v>
      </c>
      <c r="AY70" s="1">
        <f t="shared" ca="1" si="111"/>
        <v>1.8828355502738678</v>
      </c>
      <c r="AZ70" s="1">
        <f t="shared" ca="1" si="112"/>
        <v>347</v>
      </c>
      <c r="BA70" s="1">
        <f t="shared" ca="1" si="113"/>
        <v>8.20105447888414E-3</v>
      </c>
      <c r="BG70" s="1">
        <f t="shared" ca="1" si="114"/>
        <v>0.58413781967013823</v>
      </c>
      <c r="BH70" s="1">
        <f t="shared" ca="1" si="115"/>
        <v>0.80908984958413199</v>
      </c>
      <c r="BI70" s="1">
        <f t="shared" ca="1" si="116"/>
        <v>489</v>
      </c>
      <c r="BV70" s="1">
        <f t="shared" ca="1" si="117"/>
        <v>0.6659819899706465</v>
      </c>
      <c r="BW70" s="1">
        <f t="shared" ca="1" si="118"/>
        <v>342</v>
      </c>
      <c r="BX70" s="1">
        <f t="shared" ca="1" si="119"/>
        <v>1.3903517957134788E-3</v>
      </c>
      <c r="BY70" s="1">
        <f t="shared" ca="1" si="120"/>
        <v>9.2838272505781673E-3</v>
      </c>
      <c r="BZ70" s="1">
        <f t="shared" ca="1" si="121"/>
        <v>0.33798032519166799</v>
      </c>
      <c r="CB70" s="1">
        <f t="shared" ca="1" si="122"/>
        <v>86</v>
      </c>
      <c r="CC70" s="1">
        <f t="shared" ca="1" si="123"/>
        <v>4</v>
      </c>
      <c r="CD70" s="1">
        <f t="shared" ca="1" si="124"/>
        <v>0.1800789417746711</v>
      </c>
      <c r="CE70" s="1">
        <f t="shared" ca="1" si="125"/>
        <v>0.98848526915449408</v>
      </c>
      <c r="CF70" s="1">
        <f t="shared" ca="1" si="125"/>
        <v>0.50996512260303317</v>
      </c>
      <c r="CH70" s="3">
        <f t="shared" ca="1" si="126"/>
        <v>0.22664941861572085</v>
      </c>
      <c r="CI70" s="3">
        <f t="shared" ca="1" si="127"/>
        <v>0.94913639553496421</v>
      </c>
      <c r="CJ70" s="3">
        <f t="shared" ca="1" si="128"/>
        <v>1871</v>
      </c>
      <c r="CK70" s="3">
        <f t="shared" ca="1" si="129"/>
        <v>8.2517410809470493E-3</v>
      </c>
      <c r="CL70" s="3">
        <f t="shared" ca="1" si="130"/>
        <v>0</v>
      </c>
      <c r="CM70" s="3"/>
      <c r="CN70" s="1">
        <f t="shared" ca="1" si="131"/>
        <v>6.1203018976732713</v>
      </c>
      <c r="CO70" s="1">
        <f t="shared" ca="1" si="132"/>
        <v>0.38452412637941918</v>
      </c>
      <c r="CP70" s="1">
        <f t="shared" ca="1" si="133"/>
        <v>5</v>
      </c>
      <c r="CV70" s="1">
        <f t="shared" ca="1" si="134"/>
        <v>5.2706092496238535</v>
      </c>
      <c r="CW70" s="1">
        <f t="shared" ca="1" si="135"/>
        <v>869</v>
      </c>
      <c r="CX70" s="1">
        <f t="shared" ca="1" si="136"/>
        <v>8.3800887772738867E-3</v>
      </c>
      <c r="DH70" s="1">
        <f t="shared" ca="1" si="137"/>
        <v>225</v>
      </c>
      <c r="DI70" s="1">
        <f t="shared" ca="1" si="138"/>
        <v>0.84677886390019019</v>
      </c>
      <c r="DJ70" s="1">
        <f t="shared" ca="1" si="139"/>
        <v>1</v>
      </c>
      <c r="DL70" s="1">
        <f t="shared" ca="1" si="140"/>
        <v>0.14546382314942338</v>
      </c>
      <c r="DM70" s="1">
        <f t="shared" ca="1" si="141"/>
        <v>270</v>
      </c>
      <c r="DN70" s="1">
        <f t="shared" ca="1" si="142"/>
        <v>5</v>
      </c>
      <c r="DW70" s="1">
        <f t="shared" ca="1" si="143"/>
        <v>117</v>
      </c>
      <c r="DX70" s="1">
        <f t="shared" ca="1" si="144"/>
        <v>5</v>
      </c>
      <c r="DY70" s="1">
        <f t="shared" ca="1" si="145"/>
        <v>9</v>
      </c>
    </row>
    <row r="71" spans="2:129" x14ac:dyDescent="0.25">
      <c r="B71">
        <f t="shared" ca="1" si="75"/>
        <v>322</v>
      </c>
      <c r="C71">
        <f t="shared" ca="1" si="76"/>
        <v>24</v>
      </c>
      <c r="D71">
        <f t="shared" ca="1" si="77"/>
        <v>3.486460262653044E-2</v>
      </c>
      <c r="F71" s="1">
        <f t="shared" ca="1" si="78"/>
        <v>25</v>
      </c>
      <c r="G71" s="1">
        <f t="shared" ca="1" si="79"/>
        <v>3</v>
      </c>
      <c r="H71" s="1">
        <f t="shared" ca="1" si="80"/>
        <v>14</v>
      </c>
      <c r="I71" s="1"/>
      <c r="J71" s="1">
        <f t="shared" ca="1" si="81"/>
        <v>38</v>
      </c>
      <c r="K71" s="1">
        <f t="shared" ca="1" si="82"/>
        <v>1.1658959855564528</v>
      </c>
      <c r="L71" s="1">
        <f t="shared" ca="1" si="83"/>
        <v>25</v>
      </c>
      <c r="M71" s="1"/>
      <c r="N71" s="1">
        <f t="shared" ca="1" si="84"/>
        <v>91</v>
      </c>
      <c r="O71" s="1">
        <f t="shared" ca="1" si="85"/>
        <v>30</v>
      </c>
      <c r="P71" s="1"/>
      <c r="Q71" s="1">
        <f t="shared" ca="1" si="86"/>
        <v>3.0483267064038486</v>
      </c>
      <c r="R71" s="1">
        <f t="shared" ca="1" si="87"/>
        <v>755</v>
      </c>
      <c r="S71" s="1"/>
      <c r="T71" s="1">
        <f t="shared" ca="1" si="88"/>
        <v>0.18017103774974799</v>
      </c>
      <c r="U71" s="1">
        <f t="shared" ca="1" si="89"/>
        <v>380</v>
      </c>
      <c r="V71" s="1">
        <f t="shared" ca="1" si="90"/>
        <v>34</v>
      </c>
      <c r="W71" s="1"/>
      <c r="X71" s="1">
        <f t="shared" ca="1" si="91"/>
        <v>3.2800010619986084</v>
      </c>
      <c r="Y71" s="1">
        <f t="shared" ca="1" si="92"/>
        <v>0.92728899157225075</v>
      </c>
      <c r="Z71" s="1">
        <f t="shared" ca="1" si="93"/>
        <v>107</v>
      </c>
      <c r="AB71" s="1">
        <f t="shared" ca="1" si="94"/>
        <v>0.13084063877950863</v>
      </c>
      <c r="AC71" s="1">
        <f t="shared" ca="1" si="95"/>
        <v>729</v>
      </c>
      <c r="AD71" s="1">
        <f t="shared" ca="1" si="96"/>
        <v>2.3313329145432313E-3</v>
      </c>
      <c r="AE71" s="1"/>
      <c r="AF71" s="1">
        <f t="shared" ca="1" si="97"/>
        <v>0.74980199316027141</v>
      </c>
      <c r="AG71" s="1">
        <f t="shared" ca="1" si="98"/>
        <v>343</v>
      </c>
      <c r="AH71" s="1">
        <f t="shared" ca="1" si="99"/>
        <v>7.3566000320100227E-3</v>
      </c>
      <c r="AJ71" s="1">
        <f t="shared" ca="1" si="100"/>
        <v>0.70440891592257693</v>
      </c>
      <c r="AK71" s="1">
        <f t="shared" ca="1" si="101"/>
        <v>6.5403252361352004E-3</v>
      </c>
      <c r="AL71" s="1"/>
      <c r="AM71" s="1">
        <f t="shared" ca="1" si="102"/>
        <v>0.11134756242259032</v>
      </c>
      <c r="AN71" s="1">
        <f t="shared" ca="1" si="103"/>
        <v>64</v>
      </c>
      <c r="AO71" s="1">
        <f t="shared" ca="1" si="104"/>
        <v>2</v>
      </c>
      <c r="AQ71" s="1">
        <f t="shared" ca="1" si="105"/>
        <v>136</v>
      </c>
      <c r="AR71" s="1">
        <f t="shared" ca="1" si="106"/>
        <v>5</v>
      </c>
      <c r="AS71" s="1">
        <f t="shared" ca="1" si="107"/>
        <v>69</v>
      </c>
      <c r="AU71" s="1">
        <f t="shared" ca="1" si="108"/>
        <v>204</v>
      </c>
      <c r="AV71" s="1">
        <f t="shared" ca="1" si="109"/>
        <v>10</v>
      </c>
      <c r="AW71" s="1">
        <f t="shared" ca="1" si="110"/>
        <v>6.7328546499191608E-2</v>
      </c>
      <c r="AY71" s="1">
        <f t="shared" ca="1" si="111"/>
        <v>1.5128902350462934</v>
      </c>
      <c r="AZ71" s="1">
        <f t="shared" ca="1" si="112"/>
        <v>239</v>
      </c>
      <c r="BA71" s="1">
        <f t="shared" ca="1" si="113"/>
        <v>2.4762735316082567E-3</v>
      </c>
      <c r="BG71" s="1">
        <f t="shared" ca="1" si="114"/>
        <v>0.76283817366454709</v>
      </c>
      <c r="BH71" s="1">
        <f t="shared" ca="1" si="115"/>
        <v>0.74583565015927533</v>
      </c>
      <c r="BI71" s="1">
        <f t="shared" ca="1" si="116"/>
        <v>524</v>
      </c>
      <c r="BV71" s="1">
        <f t="shared" ca="1" si="117"/>
        <v>0.67808444397144441</v>
      </c>
      <c r="BW71" s="1">
        <f t="shared" ca="1" si="118"/>
        <v>405</v>
      </c>
      <c r="BX71" s="1">
        <f t="shared" ca="1" si="119"/>
        <v>4.834709325494479E-3</v>
      </c>
      <c r="BY71" s="1">
        <f t="shared" ca="1" si="120"/>
        <v>4.2918833151044632E-2</v>
      </c>
      <c r="BZ71" s="1">
        <f t="shared" ca="1" si="121"/>
        <v>0.80187020877230919</v>
      </c>
      <c r="CB71" s="1">
        <f t="shared" ca="1" si="122"/>
        <v>345</v>
      </c>
      <c r="CC71" s="1">
        <f t="shared" ca="1" si="123"/>
        <v>10</v>
      </c>
      <c r="CD71" s="1">
        <f t="shared" ca="1" si="124"/>
        <v>0.12095070632341663</v>
      </c>
      <c r="CE71" s="1">
        <f t="shared" ca="1" si="125"/>
        <v>0.52929976606816487</v>
      </c>
      <c r="CF71" s="1">
        <f t="shared" ca="1" si="125"/>
        <v>0.9064235062282846</v>
      </c>
      <c r="CH71" s="3">
        <f t="shared" ca="1" si="126"/>
        <v>0.67827205433515914</v>
      </c>
      <c r="CI71" s="3">
        <f t="shared" ca="1" si="127"/>
        <v>7.1561976588807225E-2</v>
      </c>
      <c r="CJ71" s="3">
        <f t="shared" ca="1" si="128"/>
        <v>536</v>
      </c>
      <c r="CK71" s="3">
        <f t="shared" ca="1" si="129"/>
        <v>6.3980472019696576E-3</v>
      </c>
      <c r="CL71" s="3">
        <f t="shared" ca="1" si="130"/>
        <v>1</v>
      </c>
      <c r="CM71" s="3"/>
      <c r="CN71" s="1">
        <f t="shared" ca="1" si="131"/>
        <v>16.973997596770555</v>
      </c>
      <c r="CO71" s="1">
        <f t="shared" ca="1" si="132"/>
        <v>0.45663405272785351</v>
      </c>
      <c r="CP71" s="1">
        <f t="shared" ca="1" si="133"/>
        <v>1</v>
      </c>
      <c r="CV71" s="1">
        <f t="shared" ca="1" si="134"/>
        <v>8.3548821665917874</v>
      </c>
      <c r="CW71" s="1">
        <f t="shared" ca="1" si="135"/>
        <v>650</v>
      </c>
      <c r="CX71" s="1">
        <f t="shared" ca="1" si="136"/>
        <v>5.2619392253811454E-3</v>
      </c>
      <c r="DH71" s="1">
        <f t="shared" ca="1" si="137"/>
        <v>497</v>
      </c>
      <c r="DI71" s="1">
        <f t="shared" ca="1" si="138"/>
        <v>0.78673801049046421</v>
      </c>
      <c r="DJ71" s="1">
        <f t="shared" ca="1" si="139"/>
        <v>17</v>
      </c>
      <c r="DL71" s="1">
        <f t="shared" ca="1" si="140"/>
        <v>8.4524788079774427E-2</v>
      </c>
      <c r="DM71" s="1">
        <f t="shared" ca="1" si="141"/>
        <v>217</v>
      </c>
      <c r="DN71" s="1">
        <f t="shared" ca="1" si="142"/>
        <v>2</v>
      </c>
      <c r="DW71" s="1">
        <f t="shared" ca="1" si="143"/>
        <v>312</v>
      </c>
      <c r="DX71" s="1">
        <f t="shared" ca="1" si="144"/>
        <v>12</v>
      </c>
      <c r="DY71" s="1">
        <f t="shared" ca="1" si="145"/>
        <v>6</v>
      </c>
    </row>
    <row r="72" spans="2:129" x14ac:dyDescent="0.25">
      <c r="B72">
        <f t="shared" ca="1" si="75"/>
        <v>845</v>
      </c>
      <c r="C72">
        <f t="shared" ca="1" si="76"/>
        <v>6</v>
      </c>
      <c r="D72">
        <f t="shared" ca="1" si="77"/>
        <v>6.5934220264723245E-2</v>
      </c>
      <c r="F72" s="1">
        <f t="shared" ca="1" si="78"/>
        <v>42</v>
      </c>
      <c r="G72" s="1">
        <f t="shared" ca="1" si="79"/>
        <v>4</v>
      </c>
      <c r="H72" s="1">
        <f t="shared" ca="1" si="80"/>
        <v>12</v>
      </c>
      <c r="I72" s="1"/>
      <c r="J72" s="1">
        <f t="shared" ca="1" si="81"/>
        <v>5</v>
      </c>
      <c r="K72" s="1">
        <f t="shared" ca="1" si="82"/>
        <v>2.2843924330346939</v>
      </c>
      <c r="L72" s="1">
        <f t="shared" ca="1" si="83"/>
        <v>32</v>
      </c>
      <c r="M72" s="1"/>
      <c r="N72" s="1">
        <f t="shared" ca="1" si="84"/>
        <v>555</v>
      </c>
      <c r="O72" s="1">
        <f t="shared" ca="1" si="85"/>
        <v>4</v>
      </c>
      <c r="P72" s="1"/>
      <c r="Q72" s="1">
        <f t="shared" ca="1" si="86"/>
        <v>0.61588607606825263</v>
      </c>
      <c r="R72" s="1">
        <f t="shared" ca="1" si="87"/>
        <v>1049</v>
      </c>
      <c r="S72" s="1"/>
      <c r="T72" s="1">
        <f t="shared" ca="1" si="88"/>
        <v>0.13634362909127426</v>
      </c>
      <c r="U72" s="1">
        <f t="shared" ca="1" si="89"/>
        <v>382</v>
      </c>
      <c r="V72" s="1">
        <f t="shared" ca="1" si="90"/>
        <v>6</v>
      </c>
      <c r="W72" s="1"/>
      <c r="X72" s="1">
        <f t="shared" ca="1" si="91"/>
        <v>1.709659841578737</v>
      </c>
      <c r="Y72" s="1">
        <f t="shared" ca="1" si="92"/>
        <v>8.8686670835378775E-2</v>
      </c>
      <c r="Z72" s="1">
        <f t="shared" ca="1" si="93"/>
        <v>151</v>
      </c>
      <c r="AB72" s="1">
        <f t="shared" ca="1" si="94"/>
        <v>0.64503220084417368</v>
      </c>
      <c r="AC72" s="1">
        <f t="shared" ca="1" si="95"/>
        <v>719</v>
      </c>
      <c r="AD72" s="1">
        <f t="shared" ca="1" si="96"/>
        <v>5.4248292443190346E-3</v>
      </c>
      <c r="AE72" s="1"/>
      <c r="AF72" s="1">
        <f t="shared" ca="1" si="97"/>
        <v>0.21775832292159747</v>
      </c>
      <c r="AG72" s="1">
        <f t="shared" ca="1" si="98"/>
        <v>306</v>
      </c>
      <c r="AH72" s="1">
        <f t="shared" ca="1" si="99"/>
        <v>4.942494749866912E-3</v>
      </c>
      <c r="AJ72" s="1">
        <f t="shared" ca="1" si="100"/>
        <v>0.71566252961690535</v>
      </c>
      <c r="AK72" s="1">
        <f t="shared" ca="1" si="101"/>
        <v>2.9639371049966557E-3</v>
      </c>
      <c r="AL72" s="1"/>
      <c r="AM72" s="1">
        <f t="shared" ca="1" si="102"/>
        <v>9.0773981266447479E-2</v>
      </c>
      <c r="AN72" s="1">
        <f t="shared" ca="1" si="103"/>
        <v>65</v>
      </c>
      <c r="AO72" s="1">
        <f t="shared" ca="1" si="104"/>
        <v>10</v>
      </c>
      <c r="AQ72" s="1">
        <f t="shared" ca="1" si="105"/>
        <v>85</v>
      </c>
      <c r="AR72" s="1">
        <f t="shared" ca="1" si="106"/>
        <v>10</v>
      </c>
      <c r="AS72" s="1">
        <f t="shared" ca="1" si="107"/>
        <v>91</v>
      </c>
      <c r="AU72" s="1">
        <f t="shared" ca="1" si="108"/>
        <v>137</v>
      </c>
      <c r="AV72" s="1">
        <f t="shared" ca="1" si="109"/>
        <v>7</v>
      </c>
      <c r="AW72" s="1">
        <f t="shared" ca="1" si="110"/>
        <v>6.9336967581956135E-2</v>
      </c>
      <c r="AY72" s="1">
        <f t="shared" ca="1" si="111"/>
        <v>1.6674697271714658</v>
      </c>
      <c r="AZ72" s="1">
        <f t="shared" ca="1" si="112"/>
        <v>429</v>
      </c>
      <c r="BA72" s="1">
        <f t="shared" ca="1" si="113"/>
        <v>5.0668563215185746E-3</v>
      </c>
      <c r="BG72" s="1">
        <f t="shared" ca="1" si="114"/>
        <v>0.43836234629965209</v>
      </c>
      <c r="BH72" s="1">
        <f t="shared" ca="1" si="115"/>
        <v>0.82278216626691891</v>
      </c>
      <c r="BI72" s="1">
        <f t="shared" ca="1" si="116"/>
        <v>130</v>
      </c>
      <c r="BV72" s="1">
        <f t="shared" ca="1" si="117"/>
        <v>9.0203740561720355E-2</v>
      </c>
      <c r="BW72" s="1">
        <f t="shared" ca="1" si="118"/>
        <v>994</v>
      </c>
      <c r="BX72" s="1">
        <f t="shared" ca="1" si="119"/>
        <v>7.832550853185254E-3</v>
      </c>
      <c r="BY72" s="1">
        <f t="shared" ca="1" si="120"/>
        <v>4.0976518128972995E-2</v>
      </c>
      <c r="BZ72" s="1">
        <f t="shared" ca="1" si="121"/>
        <v>0.51423773002879847</v>
      </c>
      <c r="CB72" s="1">
        <f t="shared" ca="1" si="122"/>
        <v>303</v>
      </c>
      <c r="CC72" s="1">
        <f t="shared" ca="1" si="123"/>
        <v>9</v>
      </c>
      <c r="CD72" s="1">
        <f t="shared" ca="1" si="124"/>
        <v>0.1317573555918081</v>
      </c>
      <c r="CE72" s="1">
        <f t="shared" ca="1" si="125"/>
        <v>0.64431499797992253</v>
      </c>
      <c r="CF72" s="1">
        <f t="shared" ca="1" si="125"/>
        <v>0.75384129454594706</v>
      </c>
      <c r="CH72" s="3">
        <f t="shared" ca="1" si="126"/>
        <v>5.4682708992604419E-2</v>
      </c>
      <c r="CI72" s="3">
        <f t="shared" ca="1" si="127"/>
        <v>0.18756132762135935</v>
      </c>
      <c r="CJ72" s="3">
        <f t="shared" ca="1" si="128"/>
        <v>1735</v>
      </c>
      <c r="CK72" s="3">
        <f t="shared" ca="1" si="129"/>
        <v>7.9981146811821079E-3</v>
      </c>
      <c r="CL72" s="3">
        <f t="shared" ca="1" si="130"/>
        <v>1</v>
      </c>
      <c r="CM72" s="3"/>
      <c r="CN72" s="1">
        <f t="shared" ca="1" si="131"/>
        <v>17.368471480932051</v>
      </c>
      <c r="CO72" s="1">
        <f t="shared" ca="1" si="132"/>
        <v>0.20209287227493453</v>
      </c>
      <c r="CP72" s="1">
        <f t="shared" ca="1" si="133"/>
        <v>2</v>
      </c>
      <c r="CV72" s="1">
        <f t="shared" ca="1" si="134"/>
        <v>9.9551976856924558</v>
      </c>
      <c r="CW72" s="1">
        <f t="shared" ca="1" si="135"/>
        <v>325</v>
      </c>
      <c r="CX72" s="1">
        <f t="shared" ca="1" si="136"/>
        <v>2.3565365112751974E-4</v>
      </c>
      <c r="DH72" s="1">
        <f t="shared" ca="1" si="137"/>
        <v>628</v>
      </c>
      <c r="DI72" s="1">
        <f t="shared" ca="1" si="138"/>
        <v>0.33604238980455142</v>
      </c>
      <c r="DJ72" s="1">
        <f t="shared" ca="1" si="139"/>
        <v>5</v>
      </c>
      <c r="DL72" s="1">
        <f t="shared" ca="1" si="140"/>
        <v>9.7983255584922505E-2</v>
      </c>
      <c r="DM72" s="1">
        <f t="shared" ca="1" si="141"/>
        <v>282</v>
      </c>
      <c r="DN72" s="1">
        <f t="shared" ca="1" si="142"/>
        <v>3</v>
      </c>
      <c r="DW72" s="1">
        <f t="shared" ca="1" si="143"/>
        <v>279</v>
      </c>
      <c r="DX72" s="1">
        <f t="shared" ca="1" si="144"/>
        <v>12</v>
      </c>
      <c r="DY72" s="1">
        <f t="shared" ca="1" si="145"/>
        <v>7</v>
      </c>
    </row>
    <row r="73" spans="2:129" x14ac:dyDescent="0.25">
      <c r="B73">
        <f t="shared" ca="1" si="75"/>
        <v>535</v>
      </c>
      <c r="C73">
        <f t="shared" ca="1" si="76"/>
        <v>13</v>
      </c>
      <c r="D73">
        <f t="shared" ca="1" si="77"/>
        <v>0.14223201427936472</v>
      </c>
      <c r="F73" s="1">
        <f t="shared" ca="1" si="78"/>
        <v>12</v>
      </c>
      <c r="G73" s="1">
        <f t="shared" ca="1" si="79"/>
        <v>17</v>
      </c>
      <c r="H73" s="1">
        <f t="shared" ca="1" si="80"/>
        <v>3</v>
      </c>
      <c r="I73" s="1"/>
      <c r="J73" s="1">
        <f t="shared" ca="1" si="81"/>
        <v>14</v>
      </c>
      <c r="K73" s="1">
        <f t="shared" ca="1" si="82"/>
        <v>1.8851392415857184</v>
      </c>
      <c r="L73" s="1">
        <f t="shared" ca="1" si="83"/>
        <v>2</v>
      </c>
      <c r="M73" s="1"/>
      <c r="N73" s="1">
        <f t="shared" ca="1" si="84"/>
        <v>68</v>
      </c>
      <c r="O73" s="1">
        <f t="shared" ca="1" si="85"/>
        <v>22</v>
      </c>
      <c r="P73" s="1"/>
      <c r="Q73" s="1">
        <f t="shared" ca="1" si="86"/>
        <v>0.51903303943738888</v>
      </c>
      <c r="R73" s="1">
        <f t="shared" ca="1" si="87"/>
        <v>768</v>
      </c>
      <c r="S73" s="1"/>
      <c r="T73" s="1">
        <f t="shared" ca="1" si="88"/>
        <v>4.8529171417194969E-2</v>
      </c>
      <c r="U73" s="1">
        <f t="shared" ca="1" si="89"/>
        <v>146</v>
      </c>
      <c r="V73" s="1">
        <f t="shared" ca="1" si="90"/>
        <v>28</v>
      </c>
      <c r="W73" s="1"/>
      <c r="X73" s="1">
        <f t="shared" ca="1" si="91"/>
        <v>3.7191629187211941</v>
      </c>
      <c r="Y73" s="1">
        <f t="shared" ca="1" si="92"/>
        <v>0.47337563952950257</v>
      </c>
      <c r="Z73" s="1">
        <f t="shared" ca="1" si="93"/>
        <v>1183</v>
      </c>
      <c r="AB73" s="1">
        <f t="shared" ca="1" si="94"/>
        <v>0.84165096970631015</v>
      </c>
      <c r="AC73" s="1">
        <f t="shared" ca="1" si="95"/>
        <v>542</v>
      </c>
      <c r="AD73" s="1">
        <f t="shared" ca="1" si="96"/>
        <v>8.6284731513724088E-4</v>
      </c>
      <c r="AE73" s="1"/>
      <c r="AF73" s="1">
        <f t="shared" ca="1" si="97"/>
        <v>0.67618008967647969</v>
      </c>
      <c r="AG73" s="1">
        <f t="shared" ca="1" si="98"/>
        <v>263</v>
      </c>
      <c r="AH73" s="1">
        <f t="shared" ca="1" si="99"/>
        <v>1.9262642678539811E-4</v>
      </c>
      <c r="AJ73" s="1">
        <f t="shared" ca="1" si="100"/>
        <v>0.82700997182689151</v>
      </c>
      <c r="AK73" s="1">
        <f t="shared" ca="1" si="101"/>
        <v>9.9473763574954507E-3</v>
      </c>
      <c r="AL73" s="1"/>
      <c r="AM73" s="1">
        <f t="shared" ca="1" si="102"/>
        <v>0.13345188538306516</v>
      </c>
      <c r="AN73" s="1">
        <f t="shared" ca="1" si="103"/>
        <v>50</v>
      </c>
      <c r="AO73" s="1">
        <f t="shared" ca="1" si="104"/>
        <v>17</v>
      </c>
      <c r="AQ73" s="1">
        <f t="shared" ca="1" si="105"/>
        <v>100</v>
      </c>
      <c r="AR73" s="1">
        <f t="shared" ca="1" si="106"/>
        <v>3</v>
      </c>
      <c r="AS73" s="1">
        <f t="shared" ca="1" si="107"/>
        <v>63</v>
      </c>
      <c r="AU73" s="1">
        <f t="shared" ca="1" si="108"/>
        <v>267</v>
      </c>
      <c r="AV73" s="1">
        <f t="shared" ca="1" si="109"/>
        <v>7</v>
      </c>
      <c r="AW73" s="1">
        <f t="shared" ca="1" si="110"/>
        <v>0.14902959125446802</v>
      </c>
      <c r="AY73" s="1">
        <f t="shared" ca="1" si="111"/>
        <v>1.3066174602905225</v>
      </c>
      <c r="AZ73" s="1">
        <f t="shared" ca="1" si="112"/>
        <v>158</v>
      </c>
      <c r="BA73" s="1">
        <f t="shared" ca="1" si="113"/>
        <v>1.0847467022519017E-3</v>
      </c>
      <c r="BG73" s="1">
        <f t="shared" ca="1" si="114"/>
        <v>0.12696516585142281</v>
      </c>
      <c r="BH73" s="1">
        <f t="shared" ca="1" si="115"/>
        <v>0.89249397985916512</v>
      </c>
      <c r="BI73" s="1">
        <f t="shared" ca="1" si="116"/>
        <v>894</v>
      </c>
      <c r="BV73" s="1">
        <f t="shared" ca="1" si="117"/>
        <v>0.84184891360167091</v>
      </c>
      <c r="BW73" s="1">
        <f t="shared" ca="1" si="118"/>
        <v>276</v>
      </c>
      <c r="BX73" s="1">
        <f t="shared" ca="1" si="119"/>
        <v>5.5913902557114979E-3</v>
      </c>
      <c r="BY73" s="1">
        <f t="shared" ca="1" si="120"/>
        <v>7.5384232087534739E-2</v>
      </c>
      <c r="BZ73" s="1">
        <f t="shared" ca="1" si="121"/>
        <v>0.51055326528382527</v>
      </c>
      <c r="CB73" s="1">
        <f t="shared" ca="1" si="122"/>
        <v>391</v>
      </c>
      <c r="CC73" s="1">
        <f t="shared" ca="1" si="123"/>
        <v>15</v>
      </c>
      <c r="CD73" s="1">
        <f t="shared" ca="1" si="124"/>
        <v>0.28476953193561416</v>
      </c>
      <c r="CE73" s="1">
        <f t="shared" ca="1" si="125"/>
        <v>0.64780797743270091</v>
      </c>
      <c r="CF73" s="1">
        <f t="shared" ca="1" si="125"/>
        <v>0.6995868507538332</v>
      </c>
      <c r="CH73" s="3">
        <f t="shared" ca="1" si="126"/>
        <v>0.40900399872535559</v>
      </c>
      <c r="CI73" s="3">
        <f t="shared" ca="1" si="127"/>
        <v>0.92694527310975094</v>
      </c>
      <c r="CJ73" s="3">
        <f t="shared" ca="1" si="128"/>
        <v>604</v>
      </c>
      <c r="CK73" s="3">
        <f t="shared" ca="1" si="129"/>
        <v>4.684254016339609E-3</v>
      </c>
      <c r="CL73" s="3">
        <f t="shared" ca="1" si="130"/>
        <v>1</v>
      </c>
      <c r="CM73" s="3"/>
      <c r="CN73" s="1">
        <f t="shared" ca="1" si="131"/>
        <v>2.9848734334231102</v>
      </c>
      <c r="CO73" s="1">
        <f t="shared" ca="1" si="132"/>
        <v>0.31069394421501928</v>
      </c>
      <c r="CP73" s="1">
        <f t="shared" ca="1" si="133"/>
        <v>2</v>
      </c>
      <c r="CV73" s="1">
        <f t="shared" ca="1" si="134"/>
        <v>7.5049266209956027</v>
      </c>
      <c r="CW73" s="1">
        <f t="shared" ca="1" si="135"/>
        <v>1043</v>
      </c>
      <c r="CX73" s="1">
        <f t="shared" ca="1" si="136"/>
        <v>2.5396007810380171E-4</v>
      </c>
      <c r="DH73" s="1">
        <f t="shared" ca="1" si="137"/>
        <v>739</v>
      </c>
      <c r="DI73" s="1">
        <f t="shared" ca="1" si="138"/>
        <v>0.70693007221963722</v>
      </c>
      <c r="DJ73" s="1">
        <f t="shared" ca="1" si="139"/>
        <v>3</v>
      </c>
      <c r="DL73" s="1">
        <f t="shared" ca="1" si="140"/>
        <v>0.15977061193621389</v>
      </c>
      <c r="DM73" s="1">
        <f t="shared" ca="1" si="141"/>
        <v>91</v>
      </c>
      <c r="DN73" s="1">
        <f t="shared" ca="1" si="142"/>
        <v>9</v>
      </c>
      <c r="DW73" s="1">
        <f t="shared" ca="1" si="143"/>
        <v>387</v>
      </c>
      <c r="DX73" s="1">
        <f t="shared" ca="1" si="144"/>
        <v>4</v>
      </c>
      <c r="DY73" s="1">
        <f t="shared" ca="1" si="145"/>
        <v>20</v>
      </c>
    </row>
    <row r="74" spans="2:129" x14ac:dyDescent="0.25">
      <c r="B74">
        <f t="shared" ca="1" si="75"/>
        <v>41</v>
      </c>
      <c r="C74">
        <f t="shared" ca="1" si="76"/>
        <v>43</v>
      </c>
      <c r="D74">
        <f t="shared" ca="1" si="77"/>
        <v>0.13933578047261055</v>
      </c>
      <c r="F74" s="1">
        <f t="shared" ca="1" si="78"/>
        <v>42</v>
      </c>
      <c r="G74" s="1">
        <f t="shared" ca="1" si="79"/>
        <v>20</v>
      </c>
      <c r="H74" s="1">
        <f t="shared" ca="1" si="80"/>
        <v>9</v>
      </c>
      <c r="I74" s="1"/>
      <c r="J74" s="1">
        <f t="shared" ca="1" si="81"/>
        <v>37</v>
      </c>
      <c r="K74" s="1">
        <f t="shared" ca="1" si="82"/>
        <v>1.6990258750953959</v>
      </c>
      <c r="L74" s="1">
        <f t="shared" ca="1" si="83"/>
        <v>8</v>
      </c>
      <c r="M74" s="1"/>
      <c r="N74" s="1">
        <f t="shared" ca="1" si="84"/>
        <v>459</v>
      </c>
      <c r="O74" s="1">
        <f t="shared" ca="1" si="85"/>
        <v>36</v>
      </c>
      <c r="P74" s="1"/>
      <c r="Q74" s="1">
        <f t="shared" ca="1" si="86"/>
        <v>1.098073147369099</v>
      </c>
      <c r="R74" s="1">
        <f t="shared" ca="1" si="87"/>
        <v>348</v>
      </c>
      <c r="S74" s="1"/>
      <c r="T74" s="1">
        <f t="shared" ca="1" si="88"/>
        <v>5.4238604745682539E-2</v>
      </c>
      <c r="U74" s="1">
        <f t="shared" ca="1" si="89"/>
        <v>219</v>
      </c>
      <c r="V74" s="1">
        <f t="shared" ca="1" si="90"/>
        <v>5</v>
      </c>
      <c r="W74" s="1"/>
      <c r="X74" s="1">
        <f t="shared" ca="1" si="91"/>
        <v>3.2706385741715103</v>
      </c>
      <c r="Y74" s="1">
        <f t="shared" ca="1" si="92"/>
        <v>0.98879213741579419</v>
      </c>
      <c r="Z74" s="1">
        <f t="shared" ca="1" si="93"/>
        <v>1738</v>
      </c>
      <c r="AB74" s="1">
        <f t="shared" ca="1" si="94"/>
        <v>0.47019636372396223</v>
      </c>
      <c r="AC74" s="1">
        <f t="shared" ca="1" si="95"/>
        <v>945</v>
      </c>
      <c r="AD74" s="1">
        <f t="shared" ca="1" si="96"/>
        <v>3.0508407240493929E-3</v>
      </c>
      <c r="AE74" s="1"/>
      <c r="AF74" s="1">
        <f t="shared" ca="1" si="97"/>
        <v>0.74762316627070158</v>
      </c>
      <c r="AG74" s="1">
        <f t="shared" ca="1" si="98"/>
        <v>964</v>
      </c>
      <c r="AH74" s="1">
        <f t="shared" ca="1" si="99"/>
        <v>1.544446899153891E-3</v>
      </c>
      <c r="AJ74" s="1">
        <f t="shared" ca="1" si="100"/>
        <v>0.15426230400874696</v>
      </c>
      <c r="AK74" s="1">
        <f t="shared" ca="1" si="101"/>
        <v>9.0835668016290595E-3</v>
      </c>
      <c r="AL74" s="1"/>
      <c r="AM74" s="1">
        <f t="shared" ca="1" si="102"/>
        <v>0.15447612053516874</v>
      </c>
      <c r="AN74" s="1">
        <f t="shared" ca="1" si="103"/>
        <v>76</v>
      </c>
      <c r="AO74" s="1">
        <f t="shared" ca="1" si="104"/>
        <v>15</v>
      </c>
      <c r="AQ74" s="1">
        <f t="shared" ca="1" si="105"/>
        <v>75</v>
      </c>
      <c r="AR74" s="1">
        <f t="shared" ca="1" si="106"/>
        <v>8</v>
      </c>
      <c r="AS74" s="1">
        <f t="shared" ca="1" si="107"/>
        <v>84</v>
      </c>
      <c r="AU74" s="1">
        <f t="shared" ca="1" si="108"/>
        <v>70</v>
      </c>
      <c r="AV74" s="1">
        <f t="shared" ca="1" si="109"/>
        <v>4</v>
      </c>
      <c r="AW74" s="1">
        <f t="shared" ca="1" si="110"/>
        <v>0.1809475998582136</v>
      </c>
      <c r="AY74" s="1">
        <f t="shared" ca="1" si="111"/>
        <v>1.740554813318208</v>
      </c>
      <c r="AZ74" s="1">
        <f t="shared" ca="1" si="112"/>
        <v>277</v>
      </c>
      <c r="BA74" s="1">
        <f t="shared" ca="1" si="113"/>
        <v>4.25534914537847E-3</v>
      </c>
      <c r="BG74" s="1">
        <f t="shared" ca="1" si="114"/>
        <v>0.46291869670351904</v>
      </c>
      <c r="BH74" s="1">
        <f t="shared" ca="1" si="115"/>
        <v>0.53209361817890932</v>
      </c>
      <c r="BI74" s="1">
        <f t="shared" ca="1" si="116"/>
        <v>566</v>
      </c>
      <c r="BV74" s="1">
        <f t="shared" ca="1" si="117"/>
        <v>0.96020632027018227</v>
      </c>
      <c r="BW74" s="1">
        <f t="shared" ca="1" si="118"/>
        <v>353</v>
      </c>
      <c r="BX74" s="1">
        <f t="shared" ca="1" si="119"/>
        <v>2.4937700252540096E-3</v>
      </c>
      <c r="BY74" s="1">
        <f t="shared" ca="1" si="120"/>
        <v>9.9326123878517414E-2</v>
      </c>
      <c r="BZ74" s="1">
        <f t="shared" ca="1" si="121"/>
        <v>0.9204532666192351</v>
      </c>
      <c r="CB74" s="1">
        <f t="shared" ca="1" si="122"/>
        <v>301</v>
      </c>
      <c r="CC74" s="1">
        <f t="shared" ca="1" si="123"/>
        <v>4</v>
      </c>
      <c r="CD74" s="1">
        <f t="shared" ca="1" si="124"/>
        <v>0.22926918409666189</v>
      </c>
      <c r="CE74" s="1">
        <f t="shared" ca="1" si="125"/>
        <v>0.97820930423241648</v>
      </c>
      <c r="CF74" s="1">
        <f t="shared" ca="1" si="125"/>
        <v>0.56366122488545345</v>
      </c>
      <c r="CH74" s="3">
        <f t="shared" ca="1" si="126"/>
        <v>9.5845169260490318E-2</v>
      </c>
      <c r="CI74" s="3">
        <f t="shared" ca="1" si="127"/>
        <v>0.93922421721695859</v>
      </c>
      <c r="CJ74" s="3">
        <f t="shared" ca="1" si="128"/>
        <v>194</v>
      </c>
      <c r="CK74" s="3">
        <f t="shared" ca="1" si="129"/>
        <v>7.6418324832816407E-3</v>
      </c>
      <c r="CL74" s="3">
        <f t="shared" ca="1" si="130"/>
        <v>1</v>
      </c>
      <c r="CM74" s="3"/>
      <c r="CN74" s="1">
        <f t="shared" ca="1" si="131"/>
        <v>18.799552349924738</v>
      </c>
      <c r="CO74" s="1">
        <f t="shared" ca="1" si="132"/>
        <v>8.0716898879429927E-2</v>
      </c>
      <c r="CP74" s="1">
        <f t="shared" ca="1" si="133"/>
        <v>4</v>
      </c>
      <c r="CV74" s="1">
        <f t="shared" ca="1" si="134"/>
        <v>6.1354814390423424</v>
      </c>
      <c r="CW74" s="1">
        <f t="shared" ca="1" si="135"/>
        <v>1905</v>
      </c>
      <c r="CX74" s="1">
        <f t="shared" ca="1" si="136"/>
        <v>4.6036497902249675E-3</v>
      </c>
      <c r="DH74" s="1">
        <f t="shared" ca="1" si="137"/>
        <v>860</v>
      </c>
      <c r="DI74" s="1">
        <f t="shared" ca="1" si="138"/>
        <v>0.40411053121012863</v>
      </c>
      <c r="DJ74" s="1">
        <f t="shared" ca="1" si="139"/>
        <v>26</v>
      </c>
      <c r="DL74" s="1">
        <f t="shared" ca="1" si="140"/>
        <v>2.4956180365399018E-2</v>
      </c>
      <c r="DM74" s="1">
        <f t="shared" ca="1" si="141"/>
        <v>50</v>
      </c>
      <c r="DN74" s="1">
        <f t="shared" ca="1" si="142"/>
        <v>8</v>
      </c>
      <c r="DW74" s="1">
        <f t="shared" ca="1" si="143"/>
        <v>129</v>
      </c>
      <c r="DX74" s="1">
        <f t="shared" ca="1" si="144"/>
        <v>12</v>
      </c>
      <c r="DY74" s="1">
        <f t="shared" ca="1" si="145"/>
        <v>14</v>
      </c>
    </row>
    <row r="75" spans="2:129" x14ac:dyDescent="0.25">
      <c r="B75">
        <f t="shared" ca="1" si="75"/>
        <v>441</v>
      </c>
      <c r="C75">
        <f t="shared" ca="1" si="76"/>
        <v>24</v>
      </c>
      <c r="D75">
        <f t="shared" ca="1" si="77"/>
        <v>6.7772848899712301E-2</v>
      </c>
      <c r="F75" s="1">
        <f t="shared" ca="1" si="78"/>
        <v>42</v>
      </c>
      <c r="G75" s="1">
        <f t="shared" ca="1" si="79"/>
        <v>12</v>
      </c>
      <c r="H75" s="1">
        <f t="shared" ca="1" si="80"/>
        <v>11</v>
      </c>
      <c r="I75" s="1"/>
      <c r="J75" s="1">
        <f t="shared" ca="1" si="81"/>
        <v>19</v>
      </c>
      <c r="K75" s="1">
        <f t="shared" ca="1" si="82"/>
        <v>1.2076818048918834</v>
      </c>
      <c r="L75" s="1">
        <f t="shared" ca="1" si="83"/>
        <v>17</v>
      </c>
      <c r="M75" s="1"/>
      <c r="N75" s="1">
        <f t="shared" ca="1" si="84"/>
        <v>255</v>
      </c>
      <c r="O75" s="1">
        <f t="shared" ca="1" si="85"/>
        <v>37</v>
      </c>
      <c r="P75" s="1"/>
      <c r="Q75" s="1">
        <f t="shared" ca="1" si="86"/>
        <v>4.6958179385119783</v>
      </c>
      <c r="R75" s="1">
        <f t="shared" ca="1" si="87"/>
        <v>369</v>
      </c>
      <c r="S75" s="1"/>
      <c r="T75" s="1">
        <f t="shared" ca="1" si="88"/>
        <v>0.18286877054454156</v>
      </c>
      <c r="U75" s="1">
        <f t="shared" ca="1" si="89"/>
        <v>294</v>
      </c>
      <c r="V75" s="1">
        <f t="shared" ca="1" si="90"/>
        <v>25</v>
      </c>
      <c r="W75" s="1"/>
      <c r="X75" s="1">
        <f t="shared" ca="1" si="91"/>
        <v>6.9600234807470569</v>
      </c>
      <c r="Y75" s="1">
        <f t="shared" ca="1" si="92"/>
        <v>0.11678115260889932</v>
      </c>
      <c r="Z75" s="1">
        <f t="shared" ca="1" si="93"/>
        <v>1314</v>
      </c>
      <c r="AB75" s="1">
        <f t="shared" ca="1" si="94"/>
        <v>0.66361813888866328</v>
      </c>
      <c r="AC75" s="1">
        <f t="shared" ca="1" si="95"/>
        <v>164</v>
      </c>
      <c r="AD75" s="1">
        <f t="shared" ca="1" si="96"/>
        <v>1.7166989037447739E-3</v>
      </c>
      <c r="AE75" s="1"/>
      <c r="AF75" s="1">
        <f t="shared" ca="1" si="97"/>
        <v>0.19810147201401807</v>
      </c>
      <c r="AG75" s="1">
        <f t="shared" ca="1" si="98"/>
        <v>524</v>
      </c>
      <c r="AH75" s="1">
        <f t="shared" ca="1" si="99"/>
        <v>7.7889732858882612E-3</v>
      </c>
      <c r="AJ75" s="1">
        <f t="shared" ca="1" si="100"/>
        <v>7.3310425708178473E-3</v>
      </c>
      <c r="AK75" s="1">
        <f t="shared" ca="1" si="101"/>
        <v>2.3335061352301235E-3</v>
      </c>
      <c r="AL75" s="1"/>
      <c r="AM75" s="1">
        <f t="shared" ca="1" si="102"/>
        <v>0.13401378746704207</v>
      </c>
      <c r="AN75" s="1">
        <f t="shared" ca="1" si="103"/>
        <v>59</v>
      </c>
      <c r="AO75" s="1">
        <f t="shared" ca="1" si="104"/>
        <v>18</v>
      </c>
      <c r="AQ75" s="1">
        <f t="shared" ca="1" si="105"/>
        <v>154</v>
      </c>
      <c r="AR75" s="1">
        <f t="shared" ca="1" si="106"/>
        <v>2</v>
      </c>
      <c r="AS75" s="1">
        <f t="shared" ca="1" si="107"/>
        <v>69</v>
      </c>
      <c r="AU75" s="1">
        <f t="shared" ca="1" si="108"/>
        <v>70</v>
      </c>
      <c r="AV75" s="1">
        <f t="shared" ca="1" si="109"/>
        <v>2</v>
      </c>
      <c r="AW75" s="1">
        <f t="shared" ca="1" si="110"/>
        <v>0.16692020288382736</v>
      </c>
      <c r="AY75" s="1">
        <f t="shared" ca="1" si="111"/>
        <v>1.9038738625504557</v>
      </c>
      <c r="AZ75" s="1">
        <f t="shared" ca="1" si="112"/>
        <v>499</v>
      </c>
      <c r="BA75" s="1">
        <f t="shared" ca="1" si="113"/>
        <v>5.0692503012440037E-3</v>
      </c>
      <c r="BG75" s="1">
        <f t="shared" ca="1" si="114"/>
        <v>0.36799424876978942</v>
      </c>
      <c r="BH75" s="1">
        <f t="shared" ca="1" si="115"/>
        <v>0.88027645459317383</v>
      </c>
      <c r="BI75" s="1">
        <f t="shared" ca="1" si="116"/>
        <v>906</v>
      </c>
      <c r="BV75" s="1">
        <f t="shared" ca="1" si="117"/>
        <v>0.2925677626324899</v>
      </c>
      <c r="BW75" s="1">
        <f t="shared" ca="1" si="118"/>
        <v>417</v>
      </c>
      <c r="BX75" s="1">
        <f t="shared" ca="1" si="119"/>
        <v>4.6751315073207808E-3</v>
      </c>
      <c r="BY75" s="1">
        <f t="shared" ca="1" si="120"/>
        <v>4.7013638136899918E-2</v>
      </c>
      <c r="BZ75" s="1">
        <f t="shared" ca="1" si="121"/>
        <v>0.43865244707479778</v>
      </c>
      <c r="CB75" s="1">
        <f t="shared" ca="1" si="122"/>
        <v>385</v>
      </c>
      <c r="CC75" s="1">
        <f t="shared" ca="1" si="123"/>
        <v>6</v>
      </c>
      <c r="CD75" s="1">
        <f t="shared" ca="1" si="124"/>
        <v>0.251981124173703</v>
      </c>
      <c r="CE75" s="1">
        <f t="shared" ca="1" si="125"/>
        <v>0.74197324229598793</v>
      </c>
      <c r="CF75" s="1">
        <f t="shared" ca="1" si="125"/>
        <v>0.8297376762406492</v>
      </c>
      <c r="CH75" s="3">
        <f t="shared" ca="1" si="126"/>
        <v>0.98872706642105379</v>
      </c>
      <c r="CI75" s="3">
        <f t="shared" ca="1" si="127"/>
        <v>0.53105956447174241</v>
      </c>
      <c r="CJ75" s="3">
        <f t="shared" ca="1" si="128"/>
        <v>1708</v>
      </c>
      <c r="CK75" s="3">
        <f t="shared" ca="1" si="129"/>
        <v>7.4583929123747447E-3</v>
      </c>
      <c r="CL75" s="3">
        <f t="shared" ca="1" si="130"/>
        <v>1</v>
      </c>
      <c r="CM75" s="3"/>
      <c r="CN75" s="1">
        <f t="shared" ca="1" si="131"/>
        <v>18.11418728183822</v>
      </c>
      <c r="CO75" s="1">
        <f t="shared" ca="1" si="132"/>
        <v>0.44577264962955937</v>
      </c>
      <c r="CP75" s="1">
        <f t="shared" ca="1" si="133"/>
        <v>4</v>
      </c>
      <c r="CV75" s="1">
        <f t="shared" ca="1" si="134"/>
        <v>3.3471520272258481</v>
      </c>
      <c r="CW75" s="1">
        <f t="shared" ca="1" si="135"/>
        <v>770</v>
      </c>
      <c r="CX75" s="1">
        <f t="shared" ca="1" si="136"/>
        <v>9.0205063114676479E-3</v>
      </c>
      <c r="DH75" s="1">
        <f t="shared" ca="1" si="137"/>
        <v>517</v>
      </c>
      <c r="DI75" s="1">
        <f t="shared" ca="1" si="138"/>
        <v>1.2649845661001084E-3</v>
      </c>
      <c r="DJ75" s="1">
        <f t="shared" ca="1" si="139"/>
        <v>13</v>
      </c>
      <c r="DL75" s="1">
        <f t="shared" ca="1" si="140"/>
        <v>2.2495248375475552E-2</v>
      </c>
      <c r="DM75" s="1">
        <f t="shared" ca="1" si="141"/>
        <v>160</v>
      </c>
      <c r="DN75" s="1">
        <f t="shared" ca="1" si="142"/>
        <v>2</v>
      </c>
      <c r="DW75" s="1">
        <f t="shared" ca="1" si="143"/>
        <v>129</v>
      </c>
      <c r="DX75" s="1">
        <f t="shared" ca="1" si="144"/>
        <v>13</v>
      </c>
      <c r="DY75" s="1">
        <f t="shared" ca="1" si="145"/>
        <v>13</v>
      </c>
    </row>
    <row r="76" spans="2:129" x14ac:dyDescent="0.25">
      <c r="B76">
        <f t="shared" ca="1" si="75"/>
        <v>550</v>
      </c>
      <c r="C76">
        <f t="shared" ca="1" si="76"/>
        <v>35</v>
      </c>
      <c r="D76">
        <f t="shared" ca="1" si="77"/>
        <v>1.1659423344392662E-2</v>
      </c>
      <c r="F76" s="1">
        <f t="shared" ca="1" si="78"/>
        <v>8</v>
      </c>
      <c r="G76" s="1">
        <f t="shared" ca="1" si="79"/>
        <v>29</v>
      </c>
      <c r="H76" s="1">
        <f t="shared" ca="1" si="80"/>
        <v>4</v>
      </c>
      <c r="I76" s="1"/>
      <c r="J76" s="1">
        <f t="shared" ca="1" si="81"/>
        <v>24</v>
      </c>
      <c r="K76" s="1">
        <f t="shared" ca="1" si="82"/>
        <v>2.1044931619188074</v>
      </c>
      <c r="L76" s="1">
        <f t="shared" ca="1" si="83"/>
        <v>12</v>
      </c>
      <c r="M76" s="1"/>
      <c r="N76" s="1">
        <f t="shared" ca="1" si="84"/>
        <v>960</v>
      </c>
      <c r="O76" s="1">
        <f t="shared" ca="1" si="85"/>
        <v>39</v>
      </c>
      <c r="P76" s="1"/>
      <c r="Q76" s="1">
        <f t="shared" ca="1" si="86"/>
        <v>3.6709900390771408</v>
      </c>
      <c r="R76" s="1">
        <f t="shared" ca="1" si="87"/>
        <v>1108</v>
      </c>
      <c r="S76" s="1"/>
      <c r="T76" s="1">
        <f t="shared" ca="1" si="88"/>
        <v>8.0347534001957335E-2</v>
      </c>
      <c r="U76" s="1">
        <f t="shared" ca="1" si="89"/>
        <v>326</v>
      </c>
      <c r="V76" s="1">
        <f t="shared" ca="1" si="90"/>
        <v>41</v>
      </c>
      <c r="W76" s="1"/>
      <c r="X76" s="1">
        <f t="shared" ca="1" si="91"/>
        <v>0.43583575698670857</v>
      </c>
      <c r="Y76" s="1">
        <f t="shared" ca="1" si="92"/>
        <v>0.69110951554600919</v>
      </c>
      <c r="Z76" s="1">
        <f t="shared" ca="1" si="93"/>
        <v>1718</v>
      </c>
      <c r="AB76" s="1">
        <f t="shared" ca="1" si="94"/>
        <v>0.79852454126920147</v>
      </c>
      <c r="AC76" s="1">
        <f t="shared" ca="1" si="95"/>
        <v>547</v>
      </c>
      <c r="AD76" s="1">
        <f t="shared" ca="1" si="96"/>
        <v>4.3767305795108548E-3</v>
      </c>
      <c r="AE76" s="1"/>
      <c r="AF76" s="1">
        <f t="shared" ca="1" si="97"/>
        <v>0.81931387167309999</v>
      </c>
      <c r="AG76" s="1">
        <f t="shared" ca="1" si="98"/>
        <v>736</v>
      </c>
      <c r="AH76" s="1">
        <f t="shared" ca="1" si="99"/>
        <v>6.0853761429586397E-3</v>
      </c>
      <c r="AJ76" s="1">
        <f t="shared" ca="1" si="100"/>
        <v>0.13367582515488508</v>
      </c>
      <c r="AK76" s="1">
        <f t="shared" ca="1" si="101"/>
        <v>2.070142126544109E-3</v>
      </c>
      <c r="AL76" s="1"/>
      <c r="AM76" s="1">
        <f t="shared" ca="1" si="102"/>
        <v>8.9547108144373139E-2</v>
      </c>
      <c r="AN76" s="1">
        <f t="shared" ca="1" si="103"/>
        <v>49</v>
      </c>
      <c r="AO76" s="1">
        <f t="shared" ca="1" si="104"/>
        <v>10</v>
      </c>
      <c r="AQ76" s="1">
        <f t="shared" ca="1" si="105"/>
        <v>97</v>
      </c>
      <c r="AR76" s="1">
        <f t="shared" ca="1" si="106"/>
        <v>8</v>
      </c>
      <c r="AS76" s="1">
        <f t="shared" ca="1" si="107"/>
        <v>16</v>
      </c>
      <c r="AU76" s="1">
        <f t="shared" ca="1" si="108"/>
        <v>291</v>
      </c>
      <c r="AV76" s="1">
        <f t="shared" ca="1" si="109"/>
        <v>2</v>
      </c>
      <c r="AW76" s="1">
        <f t="shared" ca="1" si="110"/>
        <v>0.18200695948525877</v>
      </c>
      <c r="AY76" s="1">
        <f t="shared" ca="1" si="111"/>
        <v>1.2342044471284139</v>
      </c>
      <c r="AZ76" s="1">
        <f t="shared" ca="1" si="112"/>
        <v>442</v>
      </c>
      <c r="BA76" s="1">
        <f t="shared" ca="1" si="113"/>
        <v>5.2309610256980098E-3</v>
      </c>
      <c r="BG76" s="1">
        <f t="shared" ca="1" si="114"/>
        <v>0.58798437383349988</v>
      </c>
      <c r="BH76" s="1">
        <f t="shared" ca="1" si="115"/>
        <v>0.85964350583676274</v>
      </c>
      <c r="BI76" s="1">
        <f t="shared" ca="1" si="116"/>
        <v>625</v>
      </c>
      <c r="BV76" s="1">
        <f t="shared" ca="1" si="117"/>
        <v>0.60127937519461838</v>
      </c>
      <c r="BW76" s="1">
        <f t="shared" ca="1" si="118"/>
        <v>531</v>
      </c>
      <c r="BX76" s="1">
        <f t="shared" ca="1" si="119"/>
        <v>5.6065214289608024E-3</v>
      </c>
      <c r="BY76" s="1">
        <f t="shared" ca="1" si="120"/>
        <v>1.2071485549956393E-2</v>
      </c>
      <c r="BZ76" s="1">
        <f t="shared" ca="1" si="121"/>
        <v>0.23187609290598687</v>
      </c>
      <c r="CB76" s="1">
        <f t="shared" ca="1" si="122"/>
        <v>359</v>
      </c>
      <c r="CC76" s="1">
        <f t="shared" ca="1" si="123"/>
        <v>10</v>
      </c>
      <c r="CD76" s="1">
        <f t="shared" ca="1" si="124"/>
        <v>0.24337620825180165</v>
      </c>
      <c r="CE76" s="1">
        <f t="shared" ca="1" si="125"/>
        <v>0.62673997768215262</v>
      </c>
      <c r="CF76" s="1">
        <f t="shared" ca="1" si="125"/>
        <v>0.61068009968364589</v>
      </c>
      <c r="CH76" s="3">
        <f t="shared" ca="1" si="126"/>
        <v>0.65647746080179137</v>
      </c>
      <c r="CI76" s="3">
        <f t="shared" ca="1" si="127"/>
        <v>0.43917583754565737</v>
      </c>
      <c r="CJ76" s="3">
        <f t="shared" ca="1" si="128"/>
        <v>1187</v>
      </c>
      <c r="CK76" s="3">
        <f t="shared" ca="1" si="129"/>
        <v>8.8479139821887407E-3</v>
      </c>
      <c r="CL76" s="3">
        <f t="shared" ca="1" si="130"/>
        <v>1</v>
      </c>
      <c r="CM76" s="3"/>
      <c r="CN76" s="1">
        <f t="shared" ca="1" si="131"/>
        <v>8.536758416555406</v>
      </c>
      <c r="CO76" s="1">
        <f t="shared" ca="1" si="132"/>
        <v>0.48670635462889628</v>
      </c>
      <c r="CP76" s="1">
        <f t="shared" ca="1" si="133"/>
        <v>1</v>
      </c>
      <c r="CV76" s="1">
        <f t="shared" ca="1" si="134"/>
        <v>4.908771367062009</v>
      </c>
      <c r="CW76" s="1">
        <f t="shared" ca="1" si="135"/>
        <v>137</v>
      </c>
      <c r="CX76" s="1">
        <f t="shared" ca="1" si="136"/>
        <v>7.7249068080189661E-3</v>
      </c>
      <c r="DH76" s="1">
        <f t="shared" ca="1" si="137"/>
        <v>208</v>
      </c>
      <c r="DI76" s="1">
        <f t="shared" ca="1" si="138"/>
        <v>0.67536408836987294</v>
      </c>
      <c r="DJ76" s="1">
        <f t="shared" ca="1" si="139"/>
        <v>19</v>
      </c>
      <c r="DL76" s="1">
        <f t="shared" ca="1" si="140"/>
        <v>8.3612943037886883E-2</v>
      </c>
      <c r="DM76" s="1">
        <f t="shared" ca="1" si="141"/>
        <v>193</v>
      </c>
      <c r="DN76" s="1">
        <f t="shared" ca="1" si="142"/>
        <v>10</v>
      </c>
      <c r="DW76" s="1">
        <f t="shared" ca="1" si="143"/>
        <v>288</v>
      </c>
      <c r="DX76" s="1">
        <f t="shared" ca="1" si="144"/>
        <v>18</v>
      </c>
      <c r="DY76" s="1">
        <f t="shared" ca="1" si="145"/>
        <v>18</v>
      </c>
    </row>
    <row r="77" spans="2:129" x14ac:dyDescent="0.25">
      <c r="B77">
        <f t="shared" ca="1" si="75"/>
        <v>713</v>
      </c>
      <c r="C77">
        <f t="shared" ca="1" si="76"/>
        <v>19</v>
      </c>
      <c r="D77">
        <f t="shared" ca="1" si="77"/>
        <v>8.3575853673923908E-2</v>
      </c>
      <c r="F77" s="1">
        <f t="shared" ca="1" si="78"/>
        <v>13</v>
      </c>
      <c r="G77" s="1">
        <f t="shared" ca="1" si="79"/>
        <v>30</v>
      </c>
      <c r="H77" s="1">
        <f t="shared" ca="1" si="80"/>
        <v>3</v>
      </c>
      <c r="I77" s="1"/>
      <c r="J77" s="1">
        <f t="shared" ca="1" si="81"/>
        <v>8</v>
      </c>
      <c r="K77" s="1">
        <f t="shared" ca="1" si="82"/>
        <v>2.4880296665237371</v>
      </c>
      <c r="L77" s="1">
        <f t="shared" ca="1" si="83"/>
        <v>7</v>
      </c>
      <c r="M77" s="1"/>
      <c r="N77" s="1">
        <f t="shared" ca="1" si="84"/>
        <v>262</v>
      </c>
      <c r="O77" s="1">
        <f t="shared" ca="1" si="85"/>
        <v>6</v>
      </c>
      <c r="P77" s="1"/>
      <c r="Q77" s="1">
        <f t="shared" ca="1" si="86"/>
        <v>3.6191027164037344</v>
      </c>
      <c r="R77" s="1">
        <f t="shared" ca="1" si="87"/>
        <v>1035</v>
      </c>
      <c r="S77" s="1"/>
      <c r="T77" s="1">
        <f t="shared" ca="1" si="88"/>
        <v>3.4963233869976261E-2</v>
      </c>
      <c r="U77" s="1">
        <f t="shared" ca="1" si="89"/>
        <v>51</v>
      </c>
      <c r="V77" s="1">
        <f t="shared" ca="1" si="90"/>
        <v>22</v>
      </c>
      <c r="W77" s="1"/>
      <c r="X77" s="1">
        <f t="shared" ca="1" si="91"/>
        <v>5.23636673997364</v>
      </c>
      <c r="Y77" s="1">
        <f t="shared" ca="1" si="92"/>
        <v>0.42452954066510168</v>
      </c>
      <c r="Z77" s="1">
        <f t="shared" ca="1" si="93"/>
        <v>788</v>
      </c>
      <c r="AB77" s="1">
        <f t="shared" ca="1" si="94"/>
        <v>0.43329288864052051</v>
      </c>
      <c r="AC77" s="1">
        <f t="shared" ca="1" si="95"/>
        <v>266</v>
      </c>
      <c r="AD77" s="1">
        <f t="shared" ca="1" si="96"/>
        <v>4.4200924287490072E-3</v>
      </c>
      <c r="AE77" s="1"/>
      <c r="AF77" s="1">
        <f t="shared" ca="1" si="97"/>
        <v>0.69039557351980185</v>
      </c>
      <c r="AG77" s="1">
        <f t="shared" ca="1" si="98"/>
        <v>405</v>
      </c>
      <c r="AH77" s="1">
        <f t="shared" ca="1" si="99"/>
        <v>7.0651085142724055E-3</v>
      </c>
      <c r="AJ77" s="1">
        <f t="shared" ca="1" si="100"/>
        <v>9.4620601786200798E-2</v>
      </c>
      <c r="AK77" s="1">
        <f t="shared" ca="1" si="101"/>
        <v>9.1118006590711603E-3</v>
      </c>
      <c r="AL77" s="1"/>
      <c r="AM77" s="1">
        <f t="shared" ca="1" si="102"/>
        <v>0.19315757943404438</v>
      </c>
      <c r="AN77" s="1">
        <f t="shared" ca="1" si="103"/>
        <v>50</v>
      </c>
      <c r="AO77" s="1">
        <f t="shared" ca="1" si="104"/>
        <v>10</v>
      </c>
      <c r="AQ77" s="1">
        <f t="shared" ca="1" si="105"/>
        <v>16</v>
      </c>
      <c r="AR77" s="1">
        <f t="shared" ca="1" si="106"/>
        <v>10</v>
      </c>
      <c r="AS77" s="1">
        <f t="shared" ca="1" si="107"/>
        <v>59</v>
      </c>
      <c r="AU77" s="1">
        <f t="shared" ca="1" si="108"/>
        <v>395</v>
      </c>
      <c r="AV77" s="1">
        <f t="shared" ca="1" si="109"/>
        <v>2</v>
      </c>
      <c r="AW77" s="1">
        <f t="shared" ca="1" si="110"/>
        <v>7.862892665856118E-2</v>
      </c>
      <c r="AY77" s="1">
        <f t="shared" ca="1" si="111"/>
        <v>1.3271589953916421</v>
      </c>
      <c r="AZ77" s="1">
        <f t="shared" ca="1" si="112"/>
        <v>126</v>
      </c>
      <c r="BA77" s="1">
        <f t="shared" ca="1" si="113"/>
        <v>2.7876561959883565E-3</v>
      </c>
      <c r="BG77" s="1">
        <f t="shared" ca="1" si="114"/>
        <v>0.40270717415306606</v>
      </c>
      <c r="BH77" s="1">
        <f t="shared" ca="1" si="115"/>
        <v>4.2837909261267515E-2</v>
      </c>
      <c r="BI77" s="1">
        <f t="shared" ca="1" si="116"/>
        <v>841</v>
      </c>
      <c r="BV77" s="1">
        <f t="shared" ca="1" si="117"/>
        <v>0.45819536193495564</v>
      </c>
      <c r="BW77" s="1">
        <f t="shared" ca="1" si="118"/>
        <v>986</v>
      </c>
      <c r="BX77" s="1">
        <f t="shared" ca="1" si="119"/>
        <v>8.5632602778217392E-3</v>
      </c>
      <c r="BY77" s="1">
        <f t="shared" ca="1" si="120"/>
        <v>5.6738988129056617E-2</v>
      </c>
      <c r="BZ77" s="1">
        <f t="shared" ca="1" si="121"/>
        <v>0.19825138521533092</v>
      </c>
      <c r="CB77" s="1">
        <f t="shared" ca="1" si="122"/>
        <v>238</v>
      </c>
      <c r="CC77" s="1">
        <f t="shared" ca="1" si="123"/>
        <v>6</v>
      </c>
      <c r="CD77" s="1">
        <f t="shared" ca="1" si="124"/>
        <v>9.7475963635630408E-2</v>
      </c>
      <c r="CE77" s="1">
        <f t="shared" ca="1" si="125"/>
        <v>0.99824898340230672</v>
      </c>
      <c r="CF77" s="1">
        <f t="shared" ca="1" si="125"/>
        <v>0.51857263442635237</v>
      </c>
      <c r="CH77" s="3">
        <f t="shared" ca="1" si="126"/>
        <v>0.2039298760853113</v>
      </c>
      <c r="CI77" s="3">
        <f t="shared" ca="1" si="127"/>
        <v>0.7948326699557352</v>
      </c>
      <c r="CJ77" s="3">
        <f t="shared" ca="1" si="128"/>
        <v>278</v>
      </c>
      <c r="CK77" s="3">
        <f t="shared" ca="1" si="129"/>
        <v>1.6565793816296565E-3</v>
      </c>
      <c r="CL77" s="3">
        <f t="shared" ca="1" si="130"/>
        <v>1</v>
      </c>
      <c r="CM77" s="3"/>
      <c r="CN77" s="1">
        <f t="shared" ca="1" si="131"/>
        <v>4.6363622580247297</v>
      </c>
      <c r="CO77" s="1">
        <f t="shared" ca="1" si="132"/>
        <v>0.1550667726833955</v>
      </c>
      <c r="CP77" s="1">
        <f t="shared" ca="1" si="133"/>
        <v>4</v>
      </c>
      <c r="CV77" s="1">
        <f t="shared" ca="1" si="134"/>
        <v>2.0305386420706113</v>
      </c>
      <c r="CW77" s="1">
        <f t="shared" ca="1" si="135"/>
        <v>115</v>
      </c>
      <c r="CX77" s="1">
        <f t="shared" ca="1" si="136"/>
        <v>2.283947720467445E-3</v>
      </c>
      <c r="DH77" s="1">
        <f t="shared" ca="1" si="137"/>
        <v>338</v>
      </c>
      <c r="DI77" s="1">
        <f t="shared" ca="1" si="138"/>
        <v>0.29321881487146195</v>
      </c>
      <c r="DJ77" s="1">
        <f t="shared" ca="1" si="139"/>
        <v>15</v>
      </c>
      <c r="DL77" s="1">
        <f t="shared" ca="1" si="140"/>
        <v>0.19107226377450229</v>
      </c>
      <c r="DM77" s="1">
        <f t="shared" ca="1" si="141"/>
        <v>298</v>
      </c>
      <c r="DN77" s="1">
        <f t="shared" ca="1" si="142"/>
        <v>3</v>
      </c>
      <c r="DW77" s="1">
        <f t="shared" ca="1" si="143"/>
        <v>152</v>
      </c>
      <c r="DX77" s="1">
        <f t="shared" ca="1" si="144"/>
        <v>9</v>
      </c>
      <c r="DY77" s="1">
        <f t="shared" ca="1" si="145"/>
        <v>18</v>
      </c>
    </row>
    <row r="78" spans="2:129" x14ac:dyDescent="0.25">
      <c r="B78">
        <f t="shared" ca="1" si="75"/>
        <v>832</v>
      </c>
      <c r="C78">
        <f t="shared" ca="1" si="76"/>
        <v>18</v>
      </c>
      <c r="D78">
        <f t="shared" ca="1" si="77"/>
        <v>0.15389844973380473</v>
      </c>
      <c r="F78" s="1">
        <f t="shared" ca="1" si="78"/>
        <v>24</v>
      </c>
      <c r="G78" s="1">
        <f t="shared" ca="1" si="79"/>
        <v>2</v>
      </c>
      <c r="H78" s="1">
        <f t="shared" ca="1" si="80"/>
        <v>4</v>
      </c>
      <c r="I78" s="1"/>
      <c r="J78" s="1">
        <f t="shared" ca="1" si="81"/>
        <v>2</v>
      </c>
      <c r="K78" s="1">
        <f t="shared" ca="1" si="82"/>
        <v>2.942925086712473</v>
      </c>
      <c r="L78" s="1">
        <f t="shared" ca="1" si="83"/>
        <v>30</v>
      </c>
      <c r="M78" s="1"/>
      <c r="N78" s="1">
        <f t="shared" ca="1" si="84"/>
        <v>665</v>
      </c>
      <c r="O78" s="1">
        <f t="shared" ca="1" si="85"/>
        <v>8</v>
      </c>
      <c r="P78" s="1"/>
      <c r="Q78" s="1">
        <f t="shared" ca="1" si="86"/>
        <v>4.0788208878383276</v>
      </c>
      <c r="R78" s="1">
        <f t="shared" ca="1" si="87"/>
        <v>991</v>
      </c>
      <c r="S78" s="1"/>
      <c r="T78" s="1">
        <f t="shared" ca="1" si="88"/>
        <v>6.642154792305402E-2</v>
      </c>
      <c r="U78" s="1">
        <f t="shared" ca="1" si="89"/>
        <v>63</v>
      </c>
      <c r="V78" s="1">
        <f t="shared" ca="1" si="90"/>
        <v>25</v>
      </c>
      <c r="W78" s="1"/>
      <c r="X78" s="1">
        <f t="shared" ca="1" si="91"/>
        <v>4.3280204194431704</v>
      </c>
      <c r="Y78" s="1">
        <f t="shared" ca="1" si="92"/>
        <v>4.9804437804653212E-2</v>
      </c>
      <c r="Z78" s="1">
        <f t="shared" ca="1" si="93"/>
        <v>1715</v>
      </c>
      <c r="AB78" s="1">
        <f t="shared" ca="1" si="94"/>
        <v>0.2495033275572919</v>
      </c>
      <c r="AC78" s="1">
        <f t="shared" ca="1" si="95"/>
        <v>992</v>
      </c>
      <c r="AD78" s="1">
        <f t="shared" ca="1" si="96"/>
        <v>7.110701167578874E-3</v>
      </c>
      <c r="AE78" s="1"/>
      <c r="AF78" s="1">
        <f t="shared" ca="1" si="97"/>
        <v>0.84392393738684879</v>
      </c>
      <c r="AG78" s="1">
        <f t="shared" ca="1" si="98"/>
        <v>211</v>
      </c>
      <c r="AH78" s="1">
        <f t="shared" ca="1" si="99"/>
        <v>3.0023982253458486E-3</v>
      </c>
      <c r="AJ78" s="1">
        <f t="shared" ca="1" si="100"/>
        <v>3.4909256381641218E-2</v>
      </c>
      <c r="AK78" s="1">
        <f t="shared" ca="1" si="101"/>
        <v>2.1415982536771841E-3</v>
      </c>
      <c r="AL78" s="1"/>
      <c r="AM78" s="1">
        <f t="shared" ca="1" si="102"/>
        <v>0.12024638914298551</v>
      </c>
      <c r="AN78" s="1">
        <f t="shared" ca="1" si="103"/>
        <v>71</v>
      </c>
      <c r="AO78" s="1">
        <f t="shared" ca="1" si="104"/>
        <v>17</v>
      </c>
      <c r="AQ78" s="1">
        <f t="shared" ca="1" si="105"/>
        <v>151</v>
      </c>
      <c r="AR78" s="1">
        <f t="shared" ca="1" si="106"/>
        <v>8</v>
      </c>
      <c r="AS78" s="1">
        <f t="shared" ca="1" si="107"/>
        <v>45</v>
      </c>
      <c r="AU78" s="1">
        <f t="shared" ca="1" si="108"/>
        <v>69</v>
      </c>
      <c r="AV78" s="1">
        <f t="shared" ca="1" si="109"/>
        <v>10</v>
      </c>
      <c r="AW78" s="1">
        <f t="shared" ca="1" si="110"/>
        <v>0.10915129292207072</v>
      </c>
      <c r="AY78" s="1">
        <f t="shared" ca="1" si="111"/>
        <v>1.4498276637101697</v>
      </c>
      <c r="AZ78" s="1">
        <f t="shared" ca="1" si="112"/>
        <v>365</v>
      </c>
      <c r="BA78" s="1">
        <f t="shared" ca="1" si="113"/>
        <v>9.0912147433876295E-3</v>
      </c>
      <c r="BG78" s="1">
        <f t="shared" ca="1" si="114"/>
        <v>0.60847321922180242</v>
      </c>
      <c r="BH78" s="1">
        <f t="shared" ca="1" si="115"/>
        <v>0.96339417273278583</v>
      </c>
      <c r="BI78" s="1">
        <f t="shared" ca="1" si="116"/>
        <v>469</v>
      </c>
      <c r="BV78" s="1">
        <f t="shared" ca="1" si="117"/>
        <v>3.9227585412514067E-2</v>
      </c>
      <c r="BW78" s="1">
        <f t="shared" ca="1" si="118"/>
        <v>847</v>
      </c>
      <c r="BX78" s="1">
        <f t="shared" ca="1" si="119"/>
        <v>8.2509625326136517E-3</v>
      </c>
      <c r="BY78" s="1">
        <f t="shared" ca="1" si="120"/>
        <v>6.7554117802702887E-2</v>
      </c>
      <c r="BZ78" s="1">
        <f t="shared" ca="1" si="121"/>
        <v>0.70007343568020386</v>
      </c>
      <c r="CB78" s="1">
        <f t="shared" ca="1" si="122"/>
        <v>299</v>
      </c>
      <c r="CC78" s="1">
        <f t="shared" ca="1" si="123"/>
        <v>5</v>
      </c>
      <c r="CD78" s="1">
        <f t="shared" ca="1" si="124"/>
        <v>0.20627181495771216</v>
      </c>
      <c r="CE78" s="1">
        <f t="shared" ca="1" si="125"/>
        <v>0.61813093004458586</v>
      </c>
      <c r="CF78" s="1">
        <f t="shared" ca="1" si="125"/>
        <v>0.72912229431796716</v>
      </c>
      <c r="CH78" s="3">
        <f t="shared" ca="1" si="126"/>
        <v>0.47983844083576804</v>
      </c>
      <c r="CI78" s="3">
        <f t="shared" ca="1" si="127"/>
        <v>3.9357804085616767E-2</v>
      </c>
      <c r="CJ78" s="3">
        <f t="shared" ca="1" si="128"/>
        <v>219</v>
      </c>
      <c r="CK78" s="3">
        <f t="shared" ca="1" si="129"/>
        <v>2.6519676737118874E-3</v>
      </c>
      <c r="CL78" s="3">
        <f t="shared" ca="1" si="130"/>
        <v>0</v>
      </c>
      <c r="CM78" s="3"/>
      <c r="CN78" s="1">
        <f t="shared" ca="1" si="131"/>
        <v>14.165201273401504</v>
      </c>
      <c r="CO78" s="1">
        <f t="shared" ca="1" si="132"/>
        <v>0.31693607875891971</v>
      </c>
      <c r="CP78" s="1">
        <f t="shared" ca="1" si="133"/>
        <v>4</v>
      </c>
      <c r="CV78" s="1">
        <f t="shared" ca="1" si="134"/>
        <v>9.8141858533043678</v>
      </c>
      <c r="CW78" s="1">
        <f t="shared" ca="1" si="135"/>
        <v>126</v>
      </c>
      <c r="CX78" s="1">
        <f t="shared" ca="1" si="136"/>
        <v>8.5245677457492317E-3</v>
      </c>
      <c r="DH78" s="1">
        <f t="shared" ca="1" si="137"/>
        <v>859</v>
      </c>
      <c r="DI78" s="1">
        <f t="shared" ca="1" si="138"/>
        <v>0.39938348843299076</v>
      </c>
      <c r="DJ78" s="1">
        <f t="shared" ca="1" si="139"/>
        <v>27</v>
      </c>
      <c r="DL78" s="1">
        <f t="shared" ca="1" si="140"/>
        <v>3.5565307850843407E-2</v>
      </c>
      <c r="DM78" s="1">
        <f t="shared" ca="1" si="141"/>
        <v>231</v>
      </c>
      <c r="DN78" s="1">
        <f t="shared" ca="1" si="142"/>
        <v>9</v>
      </c>
      <c r="DW78" s="1">
        <f t="shared" ca="1" si="143"/>
        <v>380</v>
      </c>
      <c r="DX78" s="1">
        <f t="shared" ca="1" si="144"/>
        <v>20</v>
      </c>
      <c r="DY78" s="1">
        <f t="shared" ca="1" si="145"/>
        <v>16</v>
      </c>
    </row>
    <row r="79" spans="2:129" x14ac:dyDescent="0.25">
      <c r="B79">
        <f t="shared" ca="1" si="75"/>
        <v>633</v>
      </c>
      <c r="C79">
        <f t="shared" ca="1" si="76"/>
        <v>23</v>
      </c>
      <c r="D79">
        <f t="shared" ca="1" si="77"/>
        <v>7.6459919600121481E-2</v>
      </c>
      <c r="F79" s="1">
        <f t="shared" ca="1" si="78"/>
        <v>9</v>
      </c>
      <c r="G79" s="1">
        <f t="shared" ca="1" si="79"/>
        <v>7</v>
      </c>
      <c r="H79" s="1">
        <f t="shared" ca="1" si="80"/>
        <v>11</v>
      </c>
      <c r="I79" s="1"/>
      <c r="J79" s="1">
        <f t="shared" ca="1" si="81"/>
        <v>9</v>
      </c>
      <c r="K79" s="1">
        <f t="shared" ca="1" si="82"/>
        <v>2.520405149404815</v>
      </c>
      <c r="L79" s="1">
        <f t="shared" ca="1" si="83"/>
        <v>25</v>
      </c>
      <c r="M79" s="1"/>
      <c r="N79" s="1">
        <f t="shared" ca="1" si="84"/>
        <v>573</v>
      </c>
      <c r="O79" s="1">
        <f t="shared" ca="1" si="85"/>
        <v>5</v>
      </c>
      <c r="P79" s="1"/>
      <c r="Q79" s="1">
        <f t="shared" ca="1" si="86"/>
        <v>4.6571006051421353</v>
      </c>
      <c r="R79" s="1">
        <f t="shared" ca="1" si="87"/>
        <v>962</v>
      </c>
      <c r="S79" s="1"/>
      <c r="T79" s="1">
        <f t="shared" ca="1" si="88"/>
        <v>0.1216936205828895</v>
      </c>
      <c r="U79" s="1">
        <f t="shared" ca="1" si="89"/>
        <v>192</v>
      </c>
      <c r="V79" s="1">
        <f t="shared" ca="1" si="90"/>
        <v>11</v>
      </c>
      <c r="W79" s="1"/>
      <c r="X79" s="1">
        <f t="shared" ca="1" si="91"/>
        <v>1.8317878853020704</v>
      </c>
      <c r="Y79" s="1">
        <f t="shared" ca="1" si="92"/>
        <v>0.95600394214701334</v>
      </c>
      <c r="Z79" s="1">
        <f t="shared" ca="1" si="93"/>
        <v>882</v>
      </c>
      <c r="AB79" s="1">
        <f t="shared" ca="1" si="94"/>
        <v>0.14719980698058893</v>
      </c>
      <c r="AC79" s="1">
        <f t="shared" ca="1" si="95"/>
        <v>379</v>
      </c>
      <c r="AD79" s="1">
        <f t="shared" ca="1" si="96"/>
        <v>2.3653594954438665E-3</v>
      </c>
      <c r="AE79" s="1"/>
      <c r="AF79" s="1">
        <f t="shared" ca="1" si="97"/>
        <v>0.84575066564497448</v>
      </c>
      <c r="AG79" s="1">
        <f t="shared" ca="1" si="98"/>
        <v>817</v>
      </c>
      <c r="AH79" s="1">
        <f t="shared" ca="1" si="99"/>
        <v>7.1812586791508686E-3</v>
      </c>
      <c r="AJ79" s="1">
        <f t="shared" ca="1" si="100"/>
        <v>8.8166553305904394E-2</v>
      </c>
      <c r="AK79" s="1">
        <f t="shared" ca="1" si="101"/>
        <v>8.1707161772259264E-3</v>
      </c>
      <c r="AL79" s="1"/>
      <c r="AM79" s="1">
        <f t="shared" ca="1" si="102"/>
        <v>3.053550193369426E-2</v>
      </c>
      <c r="AN79" s="1">
        <f t="shared" ca="1" si="103"/>
        <v>50</v>
      </c>
      <c r="AO79" s="1">
        <f t="shared" ca="1" si="104"/>
        <v>13</v>
      </c>
      <c r="AQ79" s="1">
        <f t="shared" ca="1" si="105"/>
        <v>169</v>
      </c>
      <c r="AR79" s="1">
        <f t="shared" ca="1" si="106"/>
        <v>2</v>
      </c>
      <c r="AS79" s="1">
        <f t="shared" ca="1" si="107"/>
        <v>83</v>
      </c>
      <c r="AU79" s="1">
        <f t="shared" ca="1" si="108"/>
        <v>118</v>
      </c>
      <c r="AV79" s="1">
        <f t="shared" ca="1" si="109"/>
        <v>5</v>
      </c>
      <c r="AW79" s="1">
        <f t="shared" ca="1" si="110"/>
        <v>0.18129357600102736</v>
      </c>
      <c r="AY79" s="1">
        <f t="shared" ca="1" si="111"/>
        <v>1.1068143330991023</v>
      </c>
      <c r="AZ79" s="1">
        <f t="shared" ca="1" si="112"/>
        <v>101</v>
      </c>
      <c r="BA79" s="1">
        <f t="shared" ca="1" si="113"/>
        <v>6.2001376671600569E-3</v>
      </c>
      <c r="BG79" s="1">
        <f t="shared" ca="1" si="114"/>
        <v>0.21408017048996403</v>
      </c>
      <c r="BH79" s="1">
        <f t="shared" ca="1" si="115"/>
        <v>0.93284912570990697</v>
      </c>
      <c r="BI79" s="1">
        <f t="shared" ca="1" si="116"/>
        <v>259</v>
      </c>
      <c r="BV79" s="1">
        <f t="shared" ca="1" si="117"/>
        <v>0.15789526317417107</v>
      </c>
      <c r="BW79" s="1">
        <f t="shared" ca="1" si="118"/>
        <v>607</v>
      </c>
      <c r="BX79" s="1">
        <f t="shared" ca="1" si="119"/>
        <v>9.7115529584640148E-3</v>
      </c>
      <c r="BY79" s="1">
        <f t="shared" ca="1" si="120"/>
        <v>5.3064218461113866E-2</v>
      </c>
      <c r="BZ79" s="1">
        <f t="shared" ca="1" si="121"/>
        <v>0.29345358345333794</v>
      </c>
      <c r="CB79" s="1">
        <f t="shared" ca="1" si="122"/>
        <v>120</v>
      </c>
      <c r="CC79" s="1">
        <f t="shared" ca="1" si="123"/>
        <v>6</v>
      </c>
      <c r="CD79" s="1">
        <f t="shared" ca="1" si="124"/>
        <v>0.10188538866486566</v>
      </c>
      <c r="CE79" s="1">
        <f t="shared" ca="1" si="125"/>
        <v>0.73605894975195429</v>
      </c>
      <c r="CF79" s="1">
        <f t="shared" ca="1" si="125"/>
        <v>0.88429253151953935</v>
      </c>
      <c r="CH79" s="3">
        <f t="shared" ca="1" si="126"/>
        <v>0.25278442655408229</v>
      </c>
      <c r="CI79" s="3">
        <f t="shared" ca="1" si="127"/>
        <v>0.28533368360266564</v>
      </c>
      <c r="CJ79" s="3">
        <f t="shared" ca="1" si="128"/>
        <v>1080</v>
      </c>
      <c r="CK79" s="3">
        <f t="shared" ca="1" si="129"/>
        <v>3.1703434505976993E-3</v>
      </c>
      <c r="CL79" s="3">
        <f t="shared" ca="1" si="130"/>
        <v>1</v>
      </c>
      <c r="CM79" s="3"/>
      <c r="CN79" s="1">
        <f t="shared" ca="1" si="131"/>
        <v>14.595635416541462</v>
      </c>
      <c r="CO79" s="1">
        <f t="shared" ca="1" si="132"/>
        <v>0.16783945621366614</v>
      </c>
      <c r="CP79" s="1">
        <f t="shared" ca="1" si="133"/>
        <v>4</v>
      </c>
      <c r="CV79" s="1">
        <f t="shared" ca="1" si="134"/>
        <v>3.2324057899456595</v>
      </c>
      <c r="CW79" s="1">
        <f t="shared" ca="1" si="135"/>
        <v>1724</v>
      </c>
      <c r="CX79" s="1">
        <f t="shared" ca="1" si="136"/>
        <v>7.7282876180479925E-3</v>
      </c>
      <c r="DH79" s="1">
        <f t="shared" ca="1" si="137"/>
        <v>754</v>
      </c>
      <c r="DI79" s="1">
        <f t="shared" ca="1" si="138"/>
        <v>4.1444921990790098E-2</v>
      </c>
      <c r="DJ79" s="1">
        <f t="shared" ca="1" si="139"/>
        <v>20</v>
      </c>
      <c r="DL79" s="1">
        <f t="shared" ca="1" si="140"/>
        <v>0.1733284677588571</v>
      </c>
      <c r="DM79" s="1">
        <f t="shared" ca="1" si="141"/>
        <v>226</v>
      </c>
      <c r="DN79" s="1">
        <f t="shared" ca="1" si="142"/>
        <v>8</v>
      </c>
      <c r="DW79" s="1">
        <f t="shared" ca="1" si="143"/>
        <v>313</v>
      </c>
      <c r="DX79" s="1">
        <f t="shared" ca="1" si="144"/>
        <v>11</v>
      </c>
      <c r="DY79" s="1">
        <f t="shared" ca="1" si="145"/>
        <v>18</v>
      </c>
    </row>
    <row r="80" spans="2:129" x14ac:dyDescent="0.25">
      <c r="B80">
        <f t="shared" ca="1" si="75"/>
        <v>418</v>
      </c>
      <c r="C80">
        <f t="shared" ca="1" si="76"/>
        <v>44</v>
      </c>
      <c r="D80">
        <f t="shared" ca="1" si="77"/>
        <v>5.83622148912748E-2</v>
      </c>
      <c r="F80" s="1">
        <f t="shared" ca="1" si="78"/>
        <v>28</v>
      </c>
      <c r="G80" s="1">
        <f t="shared" ca="1" si="79"/>
        <v>27</v>
      </c>
      <c r="H80" s="1">
        <f t="shared" ca="1" si="80"/>
        <v>2</v>
      </c>
      <c r="I80" s="1"/>
      <c r="J80" s="1">
        <f t="shared" ca="1" si="81"/>
        <v>18</v>
      </c>
      <c r="K80" s="1">
        <f t="shared" ca="1" si="82"/>
        <v>1.6224300040909037</v>
      </c>
      <c r="L80" s="1">
        <f t="shared" ca="1" si="83"/>
        <v>19</v>
      </c>
      <c r="M80" s="1"/>
      <c r="N80" s="1">
        <f t="shared" ca="1" si="84"/>
        <v>838</v>
      </c>
      <c r="O80" s="1">
        <f t="shared" ca="1" si="85"/>
        <v>17</v>
      </c>
      <c r="P80" s="1"/>
      <c r="Q80" s="1">
        <f t="shared" ca="1" si="86"/>
        <v>1.6351255780348644</v>
      </c>
      <c r="R80" s="1">
        <f t="shared" ca="1" si="87"/>
        <v>203</v>
      </c>
      <c r="S80" s="1"/>
      <c r="T80" s="1">
        <f t="shared" ca="1" si="88"/>
        <v>0.17285007080535575</v>
      </c>
      <c r="U80" s="1">
        <f t="shared" ca="1" si="89"/>
        <v>56</v>
      </c>
      <c r="V80" s="1">
        <f t="shared" ca="1" si="90"/>
        <v>49</v>
      </c>
      <c r="W80" s="1"/>
      <c r="X80" s="1">
        <f t="shared" ca="1" si="91"/>
        <v>5.1875981188423905</v>
      </c>
      <c r="Y80" s="1">
        <f t="shared" ca="1" si="92"/>
        <v>0.68432797355089825</v>
      </c>
      <c r="Z80" s="1">
        <f t="shared" ca="1" si="93"/>
        <v>1997</v>
      </c>
      <c r="AB80" s="1">
        <f t="shared" ca="1" si="94"/>
        <v>0.35505135516700081</v>
      </c>
      <c r="AC80" s="1">
        <f t="shared" ca="1" si="95"/>
        <v>428</v>
      </c>
      <c r="AD80" s="1">
        <f t="shared" ca="1" si="96"/>
        <v>1.3649181379291446E-3</v>
      </c>
      <c r="AE80" s="1"/>
      <c r="AF80" s="1">
        <f t="shared" ca="1" si="97"/>
        <v>0.78321154657022352</v>
      </c>
      <c r="AG80" s="1">
        <f t="shared" ca="1" si="98"/>
        <v>862</v>
      </c>
      <c r="AH80" s="1">
        <f t="shared" ca="1" si="99"/>
        <v>8.2086527441493622E-3</v>
      </c>
      <c r="AJ80" s="1">
        <f t="shared" ca="1" si="100"/>
        <v>0.15214836186267222</v>
      </c>
      <c r="AK80" s="1">
        <f t="shared" ca="1" si="101"/>
        <v>6.8031019558704251E-3</v>
      </c>
      <c r="AL80" s="1"/>
      <c r="AM80" s="1">
        <f t="shared" ca="1" si="102"/>
        <v>0.18868049691387953</v>
      </c>
      <c r="AN80" s="1">
        <f t="shared" ca="1" si="103"/>
        <v>62</v>
      </c>
      <c r="AO80" s="1">
        <f t="shared" ca="1" si="104"/>
        <v>12</v>
      </c>
      <c r="AQ80" s="1">
        <f t="shared" ca="1" si="105"/>
        <v>161</v>
      </c>
      <c r="AR80" s="1">
        <f t="shared" ca="1" si="106"/>
        <v>3</v>
      </c>
      <c r="AS80" s="1">
        <f t="shared" ca="1" si="107"/>
        <v>88</v>
      </c>
      <c r="AU80" s="1">
        <f t="shared" ca="1" si="108"/>
        <v>133</v>
      </c>
      <c r="AV80" s="1">
        <f t="shared" ca="1" si="109"/>
        <v>3</v>
      </c>
      <c r="AW80" s="1">
        <f t="shared" ca="1" si="110"/>
        <v>1.7377906409139478E-2</v>
      </c>
      <c r="AY80" s="1">
        <f t="shared" ca="1" si="111"/>
        <v>1.5655073186228601</v>
      </c>
      <c r="AZ80" s="1">
        <f t="shared" ca="1" si="112"/>
        <v>327</v>
      </c>
      <c r="BA80" s="1">
        <f t="shared" ca="1" si="113"/>
        <v>4.6441115627930615E-3</v>
      </c>
      <c r="BG80" s="1">
        <f t="shared" ca="1" si="114"/>
        <v>0.35355967526370125</v>
      </c>
      <c r="BH80" s="1">
        <f t="shared" ca="1" si="115"/>
        <v>0.46003582260645071</v>
      </c>
      <c r="BI80" s="1">
        <f t="shared" ca="1" si="116"/>
        <v>722</v>
      </c>
      <c r="BV80" s="1">
        <f t="shared" ca="1" si="117"/>
        <v>0.56058938627464505</v>
      </c>
      <c r="BW80" s="1">
        <f t="shared" ca="1" si="118"/>
        <v>648</v>
      </c>
      <c r="BX80" s="1">
        <f t="shared" ca="1" si="119"/>
        <v>3.3117216095606338E-3</v>
      </c>
      <c r="BY80" s="1">
        <f t="shared" ca="1" si="120"/>
        <v>4.1127821322159912E-2</v>
      </c>
      <c r="BZ80" s="1">
        <f t="shared" ca="1" si="121"/>
        <v>0.80900468889672983</v>
      </c>
      <c r="CB80" s="1">
        <f t="shared" ca="1" si="122"/>
        <v>52</v>
      </c>
      <c r="CC80" s="1">
        <f t="shared" ca="1" si="123"/>
        <v>10</v>
      </c>
      <c r="CD80" s="1">
        <f t="shared" ca="1" si="124"/>
        <v>0.23403665716981292</v>
      </c>
      <c r="CE80" s="1">
        <f t="shared" ca="1" si="125"/>
        <v>0.93906640486508652</v>
      </c>
      <c r="CF80" s="1">
        <f t="shared" ca="1" si="125"/>
        <v>0.72686315290834447</v>
      </c>
      <c r="CH80" s="3">
        <f t="shared" ca="1" si="126"/>
        <v>0.69696951062328893</v>
      </c>
      <c r="CI80" s="3">
        <f t="shared" ca="1" si="127"/>
        <v>0.60582756979355712</v>
      </c>
      <c r="CJ80" s="3">
        <f t="shared" ca="1" si="128"/>
        <v>1955</v>
      </c>
      <c r="CK80" s="3">
        <f t="shared" ca="1" si="129"/>
        <v>4.2654982117582251E-3</v>
      </c>
      <c r="CL80" s="3">
        <f t="shared" ca="1" si="130"/>
        <v>0</v>
      </c>
      <c r="CM80" s="3"/>
      <c r="CN80" s="1">
        <f t="shared" ca="1" si="131"/>
        <v>7.7975306154871182</v>
      </c>
      <c r="CO80" s="1">
        <f t="shared" ca="1" si="132"/>
        <v>0.23898027890600262</v>
      </c>
      <c r="CP80" s="1">
        <f t="shared" ca="1" si="133"/>
        <v>4</v>
      </c>
      <c r="CV80" s="1">
        <f t="shared" ca="1" si="134"/>
        <v>3.684512195737029</v>
      </c>
      <c r="CW80" s="1">
        <f t="shared" ca="1" si="135"/>
        <v>657</v>
      </c>
      <c r="CX80" s="1">
        <f t="shared" ca="1" si="136"/>
        <v>1.6819563357623867E-3</v>
      </c>
      <c r="DH80" s="1">
        <f t="shared" ca="1" si="137"/>
        <v>415</v>
      </c>
      <c r="DI80" s="1">
        <f t="shared" ca="1" si="138"/>
        <v>0.52137292051962514</v>
      </c>
      <c r="DJ80" s="1">
        <f t="shared" ca="1" si="139"/>
        <v>25</v>
      </c>
      <c r="DL80" s="1">
        <f t="shared" ca="1" si="140"/>
        <v>1.2316961720437773E-2</v>
      </c>
      <c r="DM80" s="1">
        <f t="shared" ca="1" si="141"/>
        <v>189</v>
      </c>
      <c r="DN80" s="1">
        <f t="shared" ca="1" si="142"/>
        <v>2</v>
      </c>
      <c r="DW80" s="1">
        <f t="shared" ca="1" si="143"/>
        <v>332</v>
      </c>
      <c r="DX80" s="1">
        <f t="shared" ca="1" si="144"/>
        <v>20</v>
      </c>
      <c r="DY80" s="1">
        <f t="shared" ca="1" si="145"/>
        <v>3</v>
      </c>
    </row>
    <row r="81" spans="2:129" x14ac:dyDescent="0.25">
      <c r="B81">
        <f t="shared" ca="1" si="75"/>
        <v>764</v>
      </c>
      <c r="C81">
        <f t="shared" ca="1" si="76"/>
        <v>13</v>
      </c>
      <c r="D81">
        <f t="shared" ca="1" si="77"/>
        <v>0.14602669775627078</v>
      </c>
      <c r="F81" s="1">
        <f t="shared" ca="1" si="78"/>
        <v>44</v>
      </c>
      <c r="G81" s="1">
        <f t="shared" ca="1" si="79"/>
        <v>29</v>
      </c>
      <c r="H81" s="1">
        <f t="shared" ca="1" si="80"/>
        <v>13</v>
      </c>
      <c r="I81" s="1"/>
      <c r="J81" s="1">
        <f t="shared" ca="1" si="81"/>
        <v>14</v>
      </c>
      <c r="K81" s="1">
        <f t="shared" ca="1" si="82"/>
        <v>1.8521519078450155</v>
      </c>
      <c r="L81" s="1">
        <f t="shared" ca="1" si="83"/>
        <v>10</v>
      </c>
      <c r="M81" s="1"/>
      <c r="N81" s="1">
        <f t="shared" ca="1" si="84"/>
        <v>847</v>
      </c>
      <c r="O81" s="1">
        <f t="shared" ca="1" si="85"/>
        <v>11</v>
      </c>
      <c r="P81" s="1"/>
      <c r="Q81" s="1">
        <f t="shared" ca="1" si="86"/>
        <v>2.3615694254011625</v>
      </c>
      <c r="R81" s="1">
        <f t="shared" ca="1" si="87"/>
        <v>244</v>
      </c>
      <c r="S81" s="1"/>
      <c r="T81" s="1">
        <f t="shared" ca="1" si="88"/>
        <v>9.1842568196241162E-2</v>
      </c>
      <c r="U81" s="1">
        <f t="shared" ca="1" si="89"/>
        <v>438</v>
      </c>
      <c r="V81" s="1">
        <f t="shared" ca="1" si="90"/>
        <v>33</v>
      </c>
      <c r="W81" s="1"/>
      <c r="X81" s="1">
        <f t="shared" ca="1" si="91"/>
        <v>4.3832961831693975</v>
      </c>
      <c r="Y81" s="1">
        <f t="shared" ca="1" si="92"/>
        <v>0.4474624259814608</v>
      </c>
      <c r="Z81" s="1">
        <f t="shared" ca="1" si="93"/>
        <v>1092</v>
      </c>
      <c r="AB81" s="1">
        <f t="shared" ca="1" si="94"/>
        <v>0.57888561975804187</v>
      </c>
      <c r="AC81" s="1">
        <f t="shared" ca="1" si="95"/>
        <v>553</v>
      </c>
      <c r="AD81" s="1">
        <f t="shared" ca="1" si="96"/>
        <v>5.0020253751141925E-3</v>
      </c>
      <c r="AE81" s="1"/>
      <c r="AF81" s="1">
        <f t="shared" ca="1" si="97"/>
        <v>0.48244802107977713</v>
      </c>
      <c r="AG81" s="1">
        <f t="shared" ca="1" si="98"/>
        <v>261</v>
      </c>
      <c r="AH81" s="1">
        <f t="shared" ca="1" si="99"/>
        <v>8.0919328853397889E-3</v>
      </c>
      <c r="AJ81" s="1">
        <f t="shared" ca="1" si="100"/>
        <v>0.98226214146488411</v>
      </c>
      <c r="AK81" s="1">
        <f t="shared" ca="1" si="101"/>
        <v>6.096511900279108E-3</v>
      </c>
      <c r="AL81" s="1"/>
      <c r="AM81" s="1">
        <f t="shared" ca="1" si="102"/>
        <v>5.3834691028852993E-3</v>
      </c>
      <c r="AN81" s="1">
        <f t="shared" ca="1" si="103"/>
        <v>36</v>
      </c>
      <c r="AO81" s="1">
        <f t="shared" ca="1" si="104"/>
        <v>15</v>
      </c>
      <c r="AQ81" s="1">
        <f t="shared" ca="1" si="105"/>
        <v>184</v>
      </c>
      <c r="AR81" s="1">
        <f t="shared" ca="1" si="106"/>
        <v>1</v>
      </c>
      <c r="AS81" s="1">
        <f t="shared" ca="1" si="107"/>
        <v>26</v>
      </c>
      <c r="AU81" s="1">
        <f t="shared" ca="1" si="108"/>
        <v>153</v>
      </c>
      <c r="AV81" s="1">
        <f t="shared" ca="1" si="109"/>
        <v>6</v>
      </c>
      <c r="AW81" s="1">
        <f t="shared" ca="1" si="110"/>
        <v>6.1347210049930302E-2</v>
      </c>
      <c r="AY81" s="1">
        <f t="shared" ca="1" si="111"/>
        <v>1.8812711939797881</v>
      </c>
      <c r="AZ81" s="1">
        <f t="shared" ca="1" si="112"/>
        <v>440</v>
      </c>
      <c r="BA81" s="1">
        <f t="shared" ca="1" si="113"/>
        <v>5.5409922452650728E-3</v>
      </c>
      <c r="BG81" s="1">
        <f t="shared" ca="1" si="114"/>
        <v>0.60092297196771882</v>
      </c>
      <c r="BH81" s="1">
        <f t="shared" ca="1" si="115"/>
        <v>0.85792146848074191</v>
      </c>
      <c r="BI81" s="1">
        <f t="shared" ca="1" si="116"/>
        <v>525</v>
      </c>
      <c r="BV81" s="1">
        <f t="shared" ca="1" si="117"/>
        <v>0.15553355391691079</v>
      </c>
      <c r="BW81" s="1">
        <f t="shared" ca="1" si="118"/>
        <v>217</v>
      </c>
      <c r="BX81" s="1">
        <f t="shared" ca="1" si="119"/>
        <v>4.7989193633710759E-3</v>
      </c>
      <c r="BY81" s="1">
        <f t="shared" ca="1" si="120"/>
        <v>4.9131666076727212E-2</v>
      </c>
      <c r="BZ81" s="1">
        <f t="shared" ca="1" si="121"/>
        <v>0.96806526093500256</v>
      </c>
      <c r="CB81" s="1">
        <f t="shared" ca="1" si="122"/>
        <v>481</v>
      </c>
      <c r="CC81" s="1">
        <f t="shared" ca="1" si="123"/>
        <v>11</v>
      </c>
      <c r="CD81" s="1">
        <f t="shared" ca="1" si="124"/>
        <v>6.8636774281744597E-2</v>
      </c>
      <c r="CE81" s="1">
        <f t="shared" ca="1" si="125"/>
        <v>0.87432962748382392</v>
      </c>
      <c r="CF81" s="1">
        <f t="shared" ca="1" si="125"/>
        <v>0.84204077750220208</v>
      </c>
      <c r="CH81" s="3">
        <f t="shared" ca="1" si="126"/>
        <v>0.25251252143630826</v>
      </c>
      <c r="CI81" s="3">
        <f t="shared" ca="1" si="127"/>
        <v>1.7063700968616861E-2</v>
      </c>
      <c r="CJ81" s="3">
        <f t="shared" ca="1" si="128"/>
        <v>857</v>
      </c>
      <c r="CK81" s="3">
        <f t="shared" ca="1" si="129"/>
        <v>1.371168709386504E-3</v>
      </c>
      <c r="CL81" s="3">
        <f t="shared" ca="1" si="130"/>
        <v>0</v>
      </c>
      <c r="CM81" s="3"/>
      <c r="CN81" s="1">
        <f t="shared" ca="1" si="131"/>
        <v>6.9652066264723551</v>
      </c>
      <c r="CO81" s="1">
        <f t="shared" ca="1" si="132"/>
        <v>0.33346357989920133</v>
      </c>
      <c r="CP81" s="1">
        <f t="shared" ca="1" si="133"/>
        <v>3</v>
      </c>
      <c r="CV81" s="1">
        <f t="shared" ca="1" si="134"/>
        <v>7.8950839987576291</v>
      </c>
      <c r="CW81" s="1">
        <f t="shared" ca="1" si="135"/>
        <v>1220</v>
      </c>
      <c r="CX81" s="1">
        <f t="shared" ca="1" si="136"/>
        <v>1.4632884118396621E-3</v>
      </c>
      <c r="DH81" s="1">
        <f t="shared" ca="1" si="137"/>
        <v>786</v>
      </c>
      <c r="DI81" s="1">
        <f t="shared" ca="1" si="138"/>
        <v>0.53523714077282991</v>
      </c>
      <c r="DJ81" s="1">
        <f t="shared" ca="1" si="139"/>
        <v>22</v>
      </c>
      <c r="DL81" s="1">
        <f t="shared" ca="1" si="140"/>
        <v>3.2832345085468513E-2</v>
      </c>
      <c r="DM81" s="1">
        <f t="shared" ca="1" si="141"/>
        <v>59</v>
      </c>
      <c r="DN81" s="1">
        <f t="shared" ca="1" si="142"/>
        <v>2</v>
      </c>
      <c r="DW81" s="1">
        <f t="shared" ca="1" si="143"/>
        <v>476</v>
      </c>
      <c r="DX81" s="1">
        <f t="shared" ca="1" si="144"/>
        <v>4</v>
      </c>
      <c r="DY81" s="1">
        <f t="shared" ca="1" si="145"/>
        <v>11</v>
      </c>
    </row>
    <row r="82" spans="2:129" x14ac:dyDescent="0.25">
      <c r="B82">
        <f t="shared" ca="1" si="75"/>
        <v>500</v>
      </c>
      <c r="C82">
        <f t="shared" ca="1" si="76"/>
        <v>14</v>
      </c>
      <c r="D82">
        <f t="shared" ca="1" si="77"/>
        <v>0.20963811786827227</v>
      </c>
      <c r="F82" s="1">
        <f t="shared" ca="1" si="78"/>
        <v>21</v>
      </c>
      <c r="G82" s="1">
        <f t="shared" ca="1" si="79"/>
        <v>28</v>
      </c>
      <c r="H82" s="1">
        <f t="shared" ca="1" si="80"/>
        <v>3</v>
      </c>
      <c r="I82" s="1"/>
      <c r="J82" s="1">
        <f t="shared" ca="1" si="81"/>
        <v>28</v>
      </c>
      <c r="K82" s="1">
        <f t="shared" ca="1" si="82"/>
        <v>2.8161073030419681</v>
      </c>
      <c r="L82" s="1">
        <f t="shared" ca="1" si="83"/>
        <v>18</v>
      </c>
      <c r="M82" s="1"/>
      <c r="N82" s="1">
        <f t="shared" ca="1" si="84"/>
        <v>599</v>
      </c>
      <c r="O82" s="1">
        <f t="shared" ca="1" si="85"/>
        <v>51</v>
      </c>
      <c r="P82" s="1"/>
      <c r="Q82" s="1">
        <f t="shared" ca="1" si="86"/>
        <v>1.2707221485013873</v>
      </c>
      <c r="R82" s="1">
        <f t="shared" ca="1" si="87"/>
        <v>1134</v>
      </c>
      <c r="S82" s="1"/>
      <c r="T82" s="1">
        <f t="shared" ca="1" si="88"/>
        <v>4.7806609210833399E-2</v>
      </c>
      <c r="U82" s="1">
        <f t="shared" ca="1" si="89"/>
        <v>313</v>
      </c>
      <c r="V82" s="1">
        <f t="shared" ca="1" si="90"/>
        <v>37</v>
      </c>
      <c r="W82" s="1"/>
      <c r="X82" s="1">
        <f t="shared" ca="1" si="91"/>
        <v>7.5677291338861954</v>
      </c>
      <c r="Y82" s="1">
        <f t="shared" ca="1" si="92"/>
        <v>0.97395426855953016</v>
      </c>
      <c r="Z82" s="1">
        <f t="shared" ca="1" si="93"/>
        <v>400</v>
      </c>
      <c r="AB82" s="1">
        <f t="shared" ca="1" si="94"/>
        <v>0.399492771432577</v>
      </c>
      <c r="AC82" s="1">
        <f t="shared" ca="1" si="95"/>
        <v>775</v>
      </c>
      <c r="AD82" s="1">
        <f t="shared" ca="1" si="96"/>
        <v>7.2098617438624999E-3</v>
      </c>
      <c r="AE82" s="1"/>
      <c r="AF82" s="1">
        <f t="shared" ca="1" si="97"/>
        <v>0.58555963587309179</v>
      </c>
      <c r="AG82" s="1">
        <f t="shared" ca="1" si="98"/>
        <v>536</v>
      </c>
      <c r="AH82" s="1">
        <f t="shared" ca="1" si="99"/>
        <v>3.7817103881327844E-3</v>
      </c>
      <c r="AJ82" s="1">
        <f t="shared" ca="1" si="100"/>
        <v>0.45468340453289213</v>
      </c>
      <c r="AK82" s="1">
        <f t="shared" ca="1" si="101"/>
        <v>8.0758867144061462E-3</v>
      </c>
      <c r="AL82" s="1"/>
      <c r="AM82" s="1">
        <f t="shared" ca="1" si="102"/>
        <v>1.8905523718909824E-2</v>
      </c>
      <c r="AN82" s="1">
        <f t="shared" ca="1" si="103"/>
        <v>12</v>
      </c>
      <c r="AO82" s="1">
        <f t="shared" ca="1" si="104"/>
        <v>-1</v>
      </c>
      <c r="AQ82" s="1">
        <f t="shared" ca="1" si="105"/>
        <v>104</v>
      </c>
      <c r="AR82" s="1">
        <f t="shared" ca="1" si="106"/>
        <v>4</v>
      </c>
      <c r="AS82" s="1">
        <f t="shared" ca="1" si="107"/>
        <v>61</v>
      </c>
      <c r="AU82" s="1">
        <f t="shared" ca="1" si="108"/>
        <v>384</v>
      </c>
      <c r="AV82" s="1">
        <f t="shared" ca="1" si="109"/>
        <v>3</v>
      </c>
      <c r="AW82" s="1">
        <f t="shared" ca="1" si="110"/>
        <v>0.11870753123749216</v>
      </c>
      <c r="AY82" s="1">
        <f t="shared" ca="1" si="111"/>
        <v>1.6559458831022686</v>
      </c>
      <c r="AZ82" s="1">
        <f t="shared" ca="1" si="112"/>
        <v>207</v>
      </c>
      <c r="BA82" s="1">
        <f t="shared" ca="1" si="113"/>
        <v>1.4003047897895517E-3</v>
      </c>
      <c r="BG82" s="1">
        <f t="shared" ca="1" si="114"/>
        <v>0.27007373074778362</v>
      </c>
      <c r="BH82" s="1">
        <f t="shared" ca="1" si="115"/>
        <v>0.69278148707811571</v>
      </c>
      <c r="BI82" s="1">
        <f t="shared" ca="1" si="116"/>
        <v>660</v>
      </c>
      <c r="BV82" s="1">
        <f t="shared" ca="1" si="117"/>
        <v>0.1772108084946791</v>
      </c>
      <c r="BW82" s="1">
        <f t="shared" ca="1" si="118"/>
        <v>438</v>
      </c>
      <c r="BX82" s="1">
        <f t="shared" ca="1" si="119"/>
        <v>6.8188114532499158E-4</v>
      </c>
      <c r="BY82" s="1">
        <f t="shared" ca="1" si="120"/>
        <v>6.4332244298683741E-2</v>
      </c>
      <c r="BZ82" s="1">
        <f t="shared" ca="1" si="121"/>
        <v>0.82063920528287726</v>
      </c>
      <c r="CB82" s="1">
        <f t="shared" ca="1" si="122"/>
        <v>435</v>
      </c>
      <c r="CC82" s="1">
        <f t="shared" ca="1" si="123"/>
        <v>7</v>
      </c>
      <c r="CD82" s="1">
        <f t="shared" ca="1" si="124"/>
        <v>0.2542532227798413</v>
      </c>
      <c r="CE82" s="1">
        <f t="shared" ca="1" si="125"/>
        <v>0.52943457103975233</v>
      </c>
      <c r="CF82" s="1">
        <f t="shared" ca="1" si="125"/>
        <v>0.96426852477544078</v>
      </c>
      <c r="CH82" s="3">
        <f t="shared" ca="1" si="126"/>
        <v>0.81041451353036409</v>
      </c>
      <c r="CI82" s="3">
        <f t="shared" ca="1" si="127"/>
        <v>0.84236524185592043</v>
      </c>
      <c r="CJ82" s="3">
        <f t="shared" ca="1" si="128"/>
        <v>353</v>
      </c>
      <c r="CK82" s="3">
        <f t="shared" ca="1" si="129"/>
        <v>4.5757305351923263E-3</v>
      </c>
      <c r="CL82" s="3">
        <f t="shared" ca="1" si="130"/>
        <v>0</v>
      </c>
      <c r="CM82" s="3"/>
      <c r="CN82" s="1">
        <f t="shared" ca="1" si="131"/>
        <v>13.617581475113154</v>
      </c>
      <c r="CO82" s="1">
        <f t="shared" ca="1" si="132"/>
        <v>0.35653473890979936</v>
      </c>
      <c r="CP82" s="1">
        <f t="shared" ca="1" si="133"/>
        <v>5</v>
      </c>
      <c r="CV82" s="1">
        <f t="shared" ca="1" si="134"/>
        <v>5.4180189434183985</v>
      </c>
      <c r="CW82" s="1">
        <f t="shared" ca="1" si="135"/>
        <v>231</v>
      </c>
      <c r="CX82" s="1">
        <f t="shared" ca="1" si="136"/>
        <v>2.020193635229337E-3</v>
      </c>
      <c r="DH82" s="1">
        <f t="shared" ca="1" si="137"/>
        <v>178</v>
      </c>
      <c r="DI82" s="1">
        <f t="shared" ca="1" si="138"/>
        <v>0.24224231420289091</v>
      </c>
      <c r="DJ82" s="1">
        <f t="shared" ca="1" si="139"/>
        <v>4</v>
      </c>
      <c r="DL82" s="1">
        <f t="shared" ca="1" si="140"/>
        <v>0.12505562387122957</v>
      </c>
      <c r="DM82" s="1">
        <f t="shared" ca="1" si="141"/>
        <v>189</v>
      </c>
      <c r="DN82" s="1">
        <f t="shared" ca="1" si="142"/>
        <v>10</v>
      </c>
      <c r="DW82" s="1">
        <f t="shared" ca="1" si="143"/>
        <v>326</v>
      </c>
      <c r="DX82" s="1">
        <f t="shared" ca="1" si="144"/>
        <v>19</v>
      </c>
      <c r="DY82" s="1">
        <f t="shared" ca="1" si="145"/>
        <v>16</v>
      </c>
    </row>
    <row r="83" spans="2:129" x14ac:dyDescent="0.25">
      <c r="B83">
        <f t="shared" ca="1" si="75"/>
        <v>32</v>
      </c>
      <c r="C83">
        <f t="shared" ca="1" si="76"/>
        <v>44</v>
      </c>
      <c r="D83">
        <f t="shared" ca="1" si="77"/>
        <v>7.59487866540631E-2</v>
      </c>
      <c r="F83" s="1">
        <f t="shared" ca="1" si="78"/>
        <v>5</v>
      </c>
      <c r="G83" s="1">
        <f t="shared" ca="1" si="79"/>
        <v>30</v>
      </c>
      <c r="H83" s="1">
        <f t="shared" ca="1" si="80"/>
        <v>6</v>
      </c>
      <c r="I83" s="1"/>
      <c r="J83" s="1">
        <f t="shared" ca="1" si="81"/>
        <v>3</v>
      </c>
      <c r="K83" s="1">
        <f t="shared" ca="1" si="82"/>
        <v>2.3437327034986253</v>
      </c>
      <c r="L83" s="1">
        <f t="shared" ca="1" si="83"/>
        <v>23</v>
      </c>
      <c r="M83" s="1"/>
      <c r="N83" s="1">
        <f t="shared" ca="1" si="84"/>
        <v>880</v>
      </c>
      <c r="O83" s="1">
        <f t="shared" ca="1" si="85"/>
        <v>24</v>
      </c>
      <c r="P83" s="1"/>
      <c r="Q83" s="1">
        <f t="shared" ca="1" si="86"/>
        <v>3.7525610849928004</v>
      </c>
      <c r="R83" s="1">
        <f t="shared" ca="1" si="87"/>
        <v>1157</v>
      </c>
      <c r="S83" s="1"/>
      <c r="T83" s="1">
        <f t="shared" ca="1" si="88"/>
        <v>9.2112216648143341E-2</v>
      </c>
      <c r="U83" s="1">
        <f t="shared" ca="1" si="89"/>
        <v>319</v>
      </c>
      <c r="V83" s="1">
        <f t="shared" ca="1" si="90"/>
        <v>39</v>
      </c>
      <c r="W83" s="1"/>
      <c r="X83" s="1">
        <f t="shared" ca="1" si="91"/>
        <v>6.7967607476943019</v>
      </c>
      <c r="Y83" s="1">
        <f t="shared" ca="1" si="92"/>
        <v>8.6764363145392487E-2</v>
      </c>
      <c r="Z83" s="1">
        <f t="shared" ca="1" si="93"/>
        <v>1226</v>
      </c>
      <c r="AB83" s="1">
        <f t="shared" ca="1" si="94"/>
        <v>0.25679798872520526</v>
      </c>
      <c r="AC83" s="1">
        <f t="shared" ca="1" si="95"/>
        <v>131</v>
      </c>
      <c r="AD83" s="1">
        <f t="shared" ca="1" si="96"/>
        <v>3.5053207128236431E-3</v>
      </c>
      <c r="AE83" s="1"/>
      <c r="AF83" s="1">
        <f t="shared" ca="1" si="97"/>
        <v>0.68711002932185872</v>
      </c>
      <c r="AG83" s="1">
        <f t="shared" ca="1" si="98"/>
        <v>229</v>
      </c>
      <c r="AH83" s="1">
        <f t="shared" ca="1" si="99"/>
        <v>2.3831807505974995E-4</v>
      </c>
      <c r="AJ83" s="1">
        <f t="shared" ca="1" si="100"/>
        <v>0.77468712989359434</v>
      </c>
      <c r="AK83" s="1">
        <f t="shared" ca="1" si="101"/>
        <v>6.4746743463613976E-3</v>
      </c>
      <c r="AL83" s="1"/>
      <c r="AM83" s="1">
        <f t="shared" ca="1" si="102"/>
        <v>9.3963555819709624E-2</v>
      </c>
      <c r="AN83" s="1">
        <f t="shared" ca="1" si="103"/>
        <v>21</v>
      </c>
      <c r="AO83" s="1">
        <f t="shared" ca="1" si="104"/>
        <v>19</v>
      </c>
      <c r="AQ83" s="1">
        <f t="shared" ca="1" si="105"/>
        <v>18</v>
      </c>
      <c r="AR83" s="1">
        <f t="shared" ca="1" si="106"/>
        <v>3</v>
      </c>
      <c r="AS83" s="1">
        <f t="shared" ca="1" si="107"/>
        <v>57</v>
      </c>
      <c r="AU83" s="1">
        <f t="shared" ca="1" si="108"/>
        <v>236</v>
      </c>
      <c r="AV83" s="1">
        <f t="shared" ca="1" si="109"/>
        <v>9</v>
      </c>
      <c r="AW83" s="1">
        <f t="shared" ca="1" si="110"/>
        <v>0.11028441235772674</v>
      </c>
      <c r="AY83" s="1">
        <f t="shared" ca="1" si="111"/>
        <v>1.5107975942715428</v>
      </c>
      <c r="AZ83" s="1">
        <f t="shared" ca="1" si="112"/>
        <v>489</v>
      </c>
      <c r="BA83" s="1">
        <f t="shared" ca="1" si="113"/>
        <v>5.2091024180441498E-3</v>
      </c>
      <c r="BG83" s="1">
        <f t="shared" ca="1" si="114"/>
        <v>0.70831470819931297</v>
      </c>
      <c r="BH83" s="1">
        <f t="shared" ca="1" si="115"/>
        <v>0.16807830593305917</v>
      </c>
      <c r="BI83" s="1">
        <f t="shared" ca="1" si="116"/>
        <v>168</v>
      </c>
      <c r="BV83" s="1">
        <f t="shared" ca="1" si="117"/>
        <v>0.7483654461347391</v>
      </c>
      <c r="BW83" s="1">
        <f t="shared" ca="1" si="118"/>
        <v>165</v>
      </c>
      <c r="BX83" s="1">
        <f t="shared" ca="1" si="119"/>
        <v>1.6891255959750023E-3</v>
      </c>
      <c r="BY83" s="1">
        <f t="shared" ca="1" si="120"/>
        <v>8.6446703019292345E-2</v>
      </c>
      <c r="BZ83" s="1">
        <f t="shared" ca="1" si="121"/>
        <v>0.31283191382223752</v>
      </c>
      <c r="CB83" s="1">
        <f t="shared" ca="1" si="122"/>
        <v>149</v>
      </c>
      <c r="CC83" s="1">
        <f t="shared" ca="1" si="123"/>
        <v>14</v>
      </c>
      <c r="CD83" s="1">
        <f t="shared" ca="1" si="124"/>
        <v>0.24735057867841201</v>
      </c>
      <c r="CE83" s="1">
        <f t="shared" ca="1" si="125"/>
        <v>0.57595804072184809</v>
      </c>
      <c r="CF83" s="1">
        <f t="shared" ca="1" si="125"/>
        <v>0.54695985831552407</v>
      </c>
      <c r="CH83" s="3">
        <f t="shared" ca="1" si="126"/>
        <v>0.19384818728367509</v>
      </c>
      <c r="CI83" s="3">
        <f t="shared" ca="1" si="127"/>
        <v>0.51468458842523379</v>
      </c>
      <c r="CJ83" s="3">
        <f t="shared" ca="1" si="128"/>
        <v>1611</v>
      </c>
      <c r="CK83" s="3">
        <f t="shared" ca="1" si="129"/>
        <v>6.1904289013485067E-3</v>
      </c>
      <c r="CL83" s="3">
        <f t="shared" ca="1" si="130"/>
        <v>0</v>
      </c>
      <c r="CM83" s="3"/>
      <c r="CN83" s="1">
        <f t="shared" ca="1" si="131"/>
        <v>2.3884347089614444</v>
      </c>
      <c r="CO83" s="1">
        <f t="shared" ca="1" si="132"/>
        <v>0.11438351425778509</v>
      </c>
      <c r="CP83" s="1">
        <f t="shared" ca="1" si="133"/>
        <v>4</v>
      </c>
      <c r="CV83" s="1">
        <f t="shared" ca="1" si="134"/>
        <v>4.1326895785374465</v>
      </c>
      <c r="CW83" s="1">
        <f t="shared" ca="1" si="135"/>
        <v>240</v>
      </c>
      <c r="CX83" s="1">
        <f t="shared" ca="1" si="136"/>
        <v>7.79272264719672E-3</v>
      </c>
      <c r="DH83" s="1">
        <f t="shared" ca="1" si="137"/>
        <v>69</v>
      </c>
      <c r="DI83" s="1">
        <f t="shared" ca="1" si="138"/>
        <v>0.77940283463045423</v>
      </c>
      <c r="DJ83" s="1">
        <f t="shared" ca="1" si="139"/>
        <v>22</v>
      </c>
      <c r="DL83" s="1">
        <f t="shared" ca="1" si="140"/>
        <v>0.14201621725702637</v>
      </c>
      <c r="DM83" s="1">
        <f t="shared" ca="1" si="141"/>
        <v>118</v>
      </c>
      <c r="DN83" s="1">
        <f t="shared" ca="1" si="142"/>
        <v>6</v>
      </c>
      <c r="DW83" s="1">
        <f t="shared" ca="1" si="143"/>
        <v>302</v>
      </c>
      <c r="DX83" s="1">
        <f t="shared" ca="1" si="144"/>
        <v>14</v>
      </c>
      <c r="DY83" s="1">
        <f t="shared" ca="1" si="145"/>
        <v>19</v>
      </c>
    </row>
    <row r="84" spans="2:129" x14ac:dyDescent="0.25">
      <c r="B84">
        <f t="shared" ca="1" si="75"/>
        <v>73</v>
      </c>
      <c r="C84">
        <f t="shared" ca="1" si="76"/>
        <v>38</v>
      </c>
      <c r="D84">
        <f t="shared" ca="1" si="77"/>
        <v>5.7066511438339872E-2</v>
      </c>
      <c r="F84" s="1">
        <f t="shared" ca="1" si="78"/>
        <v>52</v>
      </c>
      <c r="G84" s="1">
        <f t="shared" ca="1" si="79"/>
        <v>23</v>
      </c>
      <c r="H84" s="1">
        <f t="shared" ca="1" si="80"/>
        <v>11</v>
      </c>
      <c r="I84" s="1"/>
      <c r="J84" s="1">
        <f t="shared" ca="1" si="81"/>
        <v>11</v>
      </c>
      <c r="K84" s="1">
        <f t="shared" ca="1" si="82"/>
        <v>2.3936415301514065</v>
      </c>
      <c r="L84" s="1">
        <f t="shared" ca="1" si="83"/>
        <v>31</v>
      </c>
      <c r="M84" s="1"/>
      <c r="N84" s="1">
        <f t="shared" ca="1" si="84"/>
        <v>718</v>
      </c>
      <c r="O84" s="1">
        <f t="shared" ca="1" si="85"/>
        <v>35</v>
      </c>
      <c r="P84" s="1"/>
      <c r="Q84" s="1">
        <f t="shared" ca="1" si="86"/>
        <v>1.7718181563576665</v>
      </c>
      <c r="R84" s="1">
        <f t="shared" ca="1" si="87"/>
        <v>786</v>
      </c>
      <c r="S84" s="1"/>
      <c r="T84" s="1">
        <f t="shared" ca="1" si="88"/>
        <v>0.17330163730667769</v>
      </c>
      <c r="U84" s="1">
        <f t="shared" ca="1" si="89"/>
        <v>98</v>
      </c>
      <c r="V84" s="1">
        <f t="shared" ca="1" si="90"/>
        <v>41</v>
      </c>
      <c r="W84" s="1"/>
      <c r="X84" s="1">
        <f t="shared" ca="1" si="91"/>
        <v>1.0817184137601561</v>
      </c>
      <c r="Y84" s="1">
        <f t="shared" ca="1" si="92"/>
        <v>0.95212541431992948</v>
      </c>
      <c r="Z84" s="1">
        <f t="shared" ca="1" si="93"/>
        <v>640</v>
      </c>
      <c r="AB84" s="1">
        <f t="shared" ca="1" si="94"/>
        <v>0.51294721921482067</v>
      </c>
      <c r="AC84" s="1">
        <f t="shared" ca="1" si="95"/>
        <v>515</v>
      </c>
      <c r="AD84" s="1">
        <f t="shared" ca="1" si="96"/>
        <v>9.7977227313262635E-3</v>
      </c>
      <c r="AE84" s="1"/>
      <c r="AF84" s="1">
        <f t="shared" ca="1" si="97"/>
        <v>0.18254389128719703</v>
      </c>
      <c r="AG84" s="1">
        <f t="shared" ca="1" si="98"/>
        <v>695</v>
      </c>
      <c r="AH84" s="1">
        <f t="shared" ca="1" si="99"/>
        <v>5.6739741406521048E-4</v>
      </c>
      <c r="AJ84" s="1">
        <f t="shared" ca="1" si="100"/>
        <v>7.764937623466539E-2</v>
      </c>
      <c r="AK84" s="1">
        <f t="shared" ca="1" si="101"/>
        <v>9.4191696071028765E-3</v>
      </c>
      <c r="AL84" s="1"/>
      <c r="AM84" s="1">
        <f t="shared" ca="1" si="102"/>
        <v>8.9552515068218319E-2</v>
      </c>
      <c r="AN84" s="1">
        <f t="shared" ca="1" si="103"/>
        <v>50</v>
      </c>
      <c r="AO84" s="1">
        <f t="shared" ca="1" si="104"/>
        <v>18</v>
      </c>
      <c r="AQ84" s="1">
        <f t="shared" ca="1" si="105"/>
        <v>101</v>
      </c>
      <c r="AR84" s="1">
        <f t="shared" ca="1" si="106"/>
        <v>5</v>
      </c>
      <c r="AS84" s="1">
        <f t="shared" ca="1" si="107"/>
        <v>96</v>
      </c>
      <c r="AU84" s="1">
        <f t="shared" ca="1" si="108"/>
        <v>129</v>
      </c>
      <c r="AV84" s="1">
        <f t="shared" ca="1" si="109"/>
        <v>6</v>
      </c>
      <c r="AW84" s="1">
        <f t="shared" ca="1" si="110"/>
        <v>0.15787158963501269</v>
      </c>
      <c r="AY84" s="1">
        <f t="shared" ca="1" si="111"/>
        <v>1.6854937435071262</v>
      </c>
      <c r="AZ84" s="1">
        <f t="shared" ca="1" si="112"/>
        <v>407</v>
      </c>
      <c r="BA84" s="1">
        <f t="shared" ca="1" si="113"/>
        <v>5.279317064940732E-3</v>
      </c>
      <c r="BG84" s="1">
        <f t="shared" ca="1" si="114"/>
        <v>0.44083099773075413</v>
      </c>
      <c r="BH84" s="1">
        <f t="shared" ca="1" si="115"/>
        <v>0.59343384075589067</v>
      </c>
      <c r="BI84" s="1">
        <f t="shared" ca="1" si="116"/>
        <v>960</v>
      </c>
      <c r="BV84" s="1">
        <f t="shared" ca="1" si="117"/>
        <v>0.1534902036536073</v>
      </c>
      <c r="BW84" s="1">
        <f t="shared" ca="1" si="118"/>
        <v>535</v>
      </c>
      <c r="BX84" s="1">
        <f t="shared" ca="1" si="119"/>
        <v>1.795190330084034E-3</v>
      </c>
      <c r="BY84" s="1">
        <f t="shared" ca="1" si="120"/>
        <v>5.9801690491270272E-2</v>
      </c>
      <c r="BZ84" s="1">
        <f t="shared" ca="1" si="121"/>
        <v>0.84548134826813393</v>
      </c>
      <c r="CB84" s="1">
        <f t="shared" ca="1" si="122"/>
        <v>386</v>
      </c>
      <c r="CC84" s="1">
        <f t="shared" ca="1" si="123"/>
        <v>11</v>
      </c>
      <c r="CD84" s="1">
        <f t="shared" ca="1" si="124"/>
        <v>0.14789490458407065</v>
      </c>
      <c r="CE84" s="1">
        <f t="shared" ca="1" si="125"/>
        <v>0.88561990948873692</v>
      </c>
      <c r="CF84" s="1">
        <f t="shared" ca="1" si="125"/>
        <v>0.88695264024274834</v>
      </c>
      <c r="CH84" s="3">
        <f t="shared" ca="1" si="126"/>
        <v>0.87038692189103162</v>
      </c>
      <c r="CI84" s="3">
        <f t="shared" ca="1" si="127"/>
        <v>0.90476659198443476</v>
      </c>
      <c r="CJ84" s="3">
        <f t="shared" ca="1" si="128"/>
        <v>402</v>
      </c>
      <c r="CK84" s="3">
        <f t="shared" ca="1" si="129"/>
        <v>4.5822947671133926E-3</v>
      </c>
      <c r="CL84" s="3">
        <f t="shared" ca="1" si="130"/>
        <v>1</v>
      </c>
      <c r="CM84" s="3"/>
      <c r="CN84" s="1">
        <f t="shared" ca="1" si="131"/>
        <v>12.458925806504519</v>
      </c>
      <c r="CO84" s="1">
        <f t="shared" ca="1" si="132"/>
        <v>0.18174511845224425</v>
      </c>
      <c r="CP84" s="1">
        <f t="shared" ca="1" si="133"/>
        <v>5</v>
      </c>
      <c r="CV84" s="1">
        <f t="shared" ca="1" si="134"/>
        <v>2.2313833446175542</v>
      </c>
      <c r="CW84" s="1">
        <f t="shared" ca="1" si="135"/>
        <v>140</v>
      </c>
      <c r="CX84" s="1">
        <f t="shared" ca="1" si="136"/>
        <v>2.7371001921941305E-3</v>
      </c>
      <c r="DH84" s="1">
        <f t="shared" ca="1" si="137"/>
        <v>300</v>
      </c>
      <c r="DI84" s="1">
        <f t="shared" ca="1" si="138"/>
        <v>0.5697312334013509</v>
      </c>
      <c r="DJ84" s="1">
        <f t="shared" ca="1" si="139"/>
        <v>10</v>
      </c>
      <c r="DL84" s="1">
        <f t="shared" ca="1" si="140"/>
        <v>8.6596804359656859E-2</v>
      </c>
      <c r="DM84" s="1">
        <f t="shared" ca="1" si="141"/>
        <v>128</v>
      </c>
      <c r="DN84" s="1">
        <f t="shared" ca="1" si="142"/>
        <v>3</v>
      </c>
      <c r="DW84" s="1">
        <f t="shared" ca="1" si="143"/>
        <v>281</v>
      </c>
      <c r="DX84" s="1">
        <f t="shared" ca="1" si="144"/>
        <v>13</v>
      </c>
      <c r="DY84" s="1">
        <f t="shared" ca="1" si="145"/>
        <v>19</v>
      </c>
    </row>
    <row r="85" spans="2:129" x14ac:dyDescent="0.25">
      <c r="B85">
        <f t="shared" ca="1" si="75"/>
        <v>312</v>
      </c>
      <c r="C85">
        <f t="shared" ca="1" si="76"/>
        <v>37</v>
      </c>
      <c r="D85">
        <f t="shared" ca="1" si="77"/>
        <v>9.2226653275206572E-2</v>
      </c>
      <c r="F85" s="1">
        <f t="shared" ca="1" si="78"/>
        <v>25</v>
      </c>
      <c r="G85" s="1">
        <f t="shared" ca="1" si="79"/>
        <v>25</v>
      </c>
      <c r="H85" s="1">
        <f t="shared" ca="1" si="80"/>
        <v>7</v>
      </c>
      <c r="I85" s="1"/>
      <c r="J85" s="1">
        <f t="shared" ca="1" si="81"/>
        <v>3</v>
      </c>
      <c r="K85" s="1">
        <f t="shared" ca="1" si="82"/>
        <v>1.4383660065572073</v>
      </c>
      <c r="L85" s="1">
        <f t="shared" ca="1" si="83"/>
        <v>22</v>
      </c>
      <c r="M85" s="1"/>
      <c r="N85" s="1">
        <f t="shared" ca="1" si="84"/>
        <v>559</v>
      </c>
      <c r="O85" s="1">
        <f t="shared" ca="1" si="85"/>
        <v>50</v>
      </c>
      <c r="P85" s="1"/>
      <c r="Q85" s="1">
        <f t="shared" ca="1" si="86"/>
        <v>2.0050587526199832</v>
      </c>
      <c r="R85" s="1">
        <f t="shared" ca="1" si="87"/>
        <v>1086</v>
      </c>
      <c r="S85" s="1"/>
      <c r="T85" s="1">
        <f t="shared" ca="1" si="88"/>
        <v>0.14043549043377876</v>
      </c>
      <c r="U85" s="1">
        <f t="shared" ca="1" si="89"/>
        <v>108</v>
      </c>
      <c r="V85" s="1">
        <f t="shared" ca="1" si="90"/>
        <v>44</v>
      </c>
      <c r="W85" s="1"/>
      <c r="X85" s="1">
        <f t="shared" ca="1" si="91"/>
        <v>4.4486532766979661</v>
      </c>
      <c r="Y85" s="1">
        <f t="shared" ca="1" si="92"/>
        <v>7.3001562577497056E-3</v>
      </c>
      <c r="Z85" s="1">
        <f t="shared" ca="1" si="93"/>
        <v>1628</v>
      </c>
      <c r="AB85" s="1">
        <f t="shared" ca="1" si="94"/>
        <v>0.47667545393890737</v>
      </c>
      <c r="AC85" s="1">
        <f t="shared" ca="1" si="95"/>
        <v>800</v>
      </c>
      <c r="AD85" s="1">
        <f t="shared" ca="1" si="96"/>
        <v>5.4122243581704848E-3</v>
      </c>
      <c r="AE85" s="1"/>
      <c r="AF85" s="1">
        <f t="shared" ca="1" si="97"/>
        <v>0.75108349455326029</v>
      </c>
      <c r="AG85" s="1">
        <f t="shared" ca="1" si="98"/>
        <v>971</v>
      </c>
      <c r="AH85" s="1">
        <f t="shared" ca="1" si="99"/>
        <v>7.1697238576152499E-3</v>
      </c>
      <c r="AJ85" s="1">
        <f t="shared" ca="1" si="100"/>
        <v>0.30522110387926149</v>
      </c>
      <c r="AK85" s="1">
        <f t="shared" ca="1" si="101"/>
        <v>6.764473549460236E-3</v>
      </c>
      <c r="AL85" s="1"/>
      <c r="AM85" s="1">
        <f t="shared" ca="1" si="102"/>
        <v>2.2143431508715845E-2</v>
      </c>
      <c r="AN85" s="1">
        <f t="shared" ca="1" si="103"/>
        <v>53</v>
      </c>
      <c r="AO85" s="1">
        <f t="shared" ca="1" si="104"/>
        <v>15</v>
      </c>
      <c r="AQ85" s="1">
        <f t="shared" ca="1" si="105"/>
        <v>76</v>
      </c>
      <c r="AR85" s="1">
        <f t="shared" ca="1" si="106"/>
        <v>6</v>
      </c>
      <c r="AS85" s="1">
        <f t="shared" ca="1" si="107"/>
        <v>36</v>
      </c>
      <c r="AU85" s="1">
        <f t="shared" ca="1" si="108"/>
        <v>123</v>
      </c>
      <c r="AV85" s="1">
        <f t="shared" ca="1" si="109"/>
        <v>3</v>
      </c>
      <c r="AW85" s="1">
        <f t="shared" ca="1" si="110"/>
        <v>0.12757217361850531</v>
      </c>
      <c r="AY85" s="1">
        <f t="shared" ca="1" si="111"/>
        <v>1.638304189509723</v>
      </c>
      <c r="AZ85" s="1">
        <f t="shared" ca="1" si="112"/>
        <v>57</v>
      </c>
      <c r="BA85" s="1">
        <f t="shared" ca="1" si="113"/>
        <v>1.9488891353796486E-3</v>
      </c>
      <c r="BG85" s="1">
        <f t="shared" ca="1" si="114"/>
        <v>0.73236461530062869</v>
      </c>
      <c r="BH85" s="1">
        <f t="shared" ca="1" si="115"/>
        <v>0.82680192180465217</v>
      </c>
      <c r="BI85" s="1">
        <f t="shared" ca="1" si="116"/>
        <v>147</v>
      </c>
      <c r="BV85" s="1">
        <f t="shared" ca="1" si="117"/>
        <v>0.57064454551344856</v>
      </c>
      <c r="BW85" s="1">
        <f t="shared" ca="1" si="118"/>
        <v>109</v>
      </c>
      <c r="BX85" s="1">
        <f t="shared" ca="1" si="119"/>
        <v>6.3555781587484889E-3</v>
      </c>
      <c r="BY85" s="1">
        <f t="shared" ca="1" si="120"/>
        <v>9.3081488247957991E-2</v>
      </c>
      <c r="BZ85" s="1">
        <f t="shared" ca="1" si="121"/>
        <v>0.48175586521345981</v>
      </c>
      <c r="CB85" s="1">
        <f t="shared" ca="1" si="122"/>
        <v>289</v>
      </c>
      <c r="CC85" s="1">
        <f t="shared" ca="1" si="123"/>
        <v>15</v>
      </c>
      <c r="CD85" s="1">
        <f t="shared" ca="1" si="124"/>
        <v>6.1017189291990993E-2</v>
      </c>
      <c r="CE85" s="1">
        <f t="shared" ca="1" si="125"/>
        <v>0.50322865457832056</v>
      </c>
      <c r="CF85" s="1">
        <f t="shared" ca="1" si="125"/>
        <v>0.59845934985134863</v>
      </c>
      <c r="CH85" s="3">
        <f t="shared" ca="1" si="126"/>
        <v>0.30765478686463099</v>
      </c>
      <c r="CI85" s="3">
        <f t="shared" ca="1" si="127"/>
        <v>0.13121292138712218</v>
      </c>
      <c r="CJ85" s="3">
        <f t="shared" ca="1" si="128"/>
        <v>638</v>
      </c>
      <c r="CK85" s="3">
        <f t="shared" ca="1" si="129"/>
        <v>7.3910246414753194E-3</v>
      </c>
      <c r="CL85" s="3">
        <f t="shared" ca="1" si="130"/>
        <v>1</v>
      </c>
      <c r="CM85" s="3"/>
      <c r="CN85" s="1">
        <f t="shared" ca="1" si="131"/>
        <v>14.172415234072663</v>
      </c>
      <c r="CO85" s="1">
        <f t="shared" ca="1" si="132"/>
        <v>0.12107541866262489</v>
      </c>
      <c r="CP85" s="1">
        <f t="shared" ca="1" si="133"/>
        <v>3</v>
      </c>
      <c r="CV85" s="1">
        <f t="shared" ca="1" si="134"/>
        <v>5.748835355697814</v>
      </c>
      <c r="CW85" s="1">
        <f t="shared" ca="1" si="135"/>
        <v>1527</v>
      </c>
      <c r="CX85" s="1">
        <f t="shared" ca="1" si="136"/>
        <v>5.6055584945754943E-3</v>
      </c>
      <c r="DH85" s="1">
        <f t="shared" ca="1" si="137"/>
        <v>561</v>
      </c>
      <c r="DI85" s="1">
        <f t="shared" ca="1" si="138"/>
        <v>0.85044298041574129</v>
      </c>
      <c r="DJ85" s="1">
        <f t="shared" ca="1" si="139"/>
        <v>19</v>
      </c>
      <c r="DL85" s="1">
        <f t="shared" ca="1" si="140"/>
        <v>0.17217025312744275</v>
      </c>
      <c r="DM85" s="1">
        <f t="shared" ca="1" si="141"/>
        <v>166</v>
      </c>
      <c r="DN85" s="1">
        <f t="shared" ca="1" si="142"/>
        <v>2</v>
      </c>
      <c r="DW85" s="1">
        <f t="shared" ca="1" si="143"/>
        <v>188</v>
      </c>
      <c r="DX85" s="1">
        <f t="shared" ca="1" si="144"/>
        <v>11</v>
      </c>
      <c r="DY85" s="1">
        <f t="shared" ca="1" si="145"/>
        <v>16</v>
      </c>
    </row>
    <row r="86" spans="2:129" x14ac:dyDescent="0.25">
      <c r="B86">
        <f t="shared" ca="1" si="75"/>
        <v>149</v>
      </c>
      <c r="C86">
        <f t="shared" ca="1" si="76"/>
        <v>25</v>
      </c>
      <c r="D86">
        <f t="shared" ca="1" si="77"/>
        <v>0.22950958957202566</v>
      </c>
      <c r="F86" s="1">
        <f t="shared" ca="1" si="78"/>
        <v>52</v>
      </c>
      <c r="G86" s="1">
        <f t="shared" ca="1" si="79"/>
        <v>19</v>
      </c>
      <c r="H86" s="1">
        <f t="shared" ca="1" si="80"/>
        <v>11</v>
      </c>
      <c r="I86" s="1"/>
      <c r="J86" s="1">
        <f t="shared" ca="1" si="81"/>
        <v>24</v>
      </c>
      <c r="K86" s="1">
        <f t="shared" ca="1" si="82"/>
        <v>2.4089512876548023</v>
      </c>
      <c r="L86" s="1">
        <f t="shared" ca="1" si="83"/>
        <v>27</v>
      </c>
      <c r="M86" s="1"/>
      <c r="N86" s="1">
        <f t="shared" ca="1" si="84"/>
        <v>429</v>
      </c>
      <c r="O86" s="1">
        <f t="shared" ca="1" si="85"/>
        <v>26</v>
      </c>
      <c r="P86" s="1"/>
      <c r="Q86" s="1">
        <f t="shared" ca="1" si="86"/>
        <v>0.99719701901479463</v>
      </c>
      <c r="R86" s="1">
        <f t="shared" ca="1" si="87"/>
        <v>391</v>
      </c>
      <c r="S86" s="1"/>
      <c r="T86" s="1">
        <f t="shared" ca="1" si="88"/>
        <v>0.13437772021640923</v>
      </c>
      <c r="U86" s="1">
        <f t="shared" ca="1" si="89"/>
        <v>402</v>
      </c>
      <c r="V86" s="1">
        <f t="shared" ca="1" si="90"/>
        <v>32</v>
      </c>
      <c r="W86" s="1"/>
      <c r="X86" s="1">
        <f t="shared" ca="1" si="91"/>
        <v>3.8130844298731499</v>
      </c>
      <c r="Y86" s="1">
        <f t="shared" ca="1" si="92"/>
        <v>0.94516000615424534</v>
      </c>
      <c r="Z86" s="1">
        <f t="shared" ca="1" si="93"/>
        <v>1461</v>
      </c>
      <c r="AB86" s="1">
        <f t="shared" ca="1" si="94"/>
        <v>0.54068265966921103</v>
      </c>
      <c r="AC86" s="1">
        <f t="shared" ca="1" si="95"/>
        <v>923</v>
      </c>
      <c r="AD86" s="1">
        <f t="shared" ca="1" si="96"/>
        <v>5.0483363201559556E-4</v>
      </c>
      <c r="AE86" s="1"/>
      <c r="AF86" s="1">
        <f t="shared" ca="1" si="97"/>
        <v>0.68128372013278693</v>
      </c>
      <c r="AG86" s="1">
        <f t="shared" ca="1" si="98"/>
        <v>850</v>
      </c>
      <c r="AH86" s="1">
        <f t="shared" ca="1" si="99"/>
        <v>1.1779649896112546E-3</v>
      </c>
      <c r="AJ86" s="1">
        <f t="shared" ca="1" si="100"/>
        <v>9.7300554729150335E-2</v>
      </c>
      <c r="AK86" s="1">
        <f t="shared" ca="1" si="101"/>
        <v>7.5770798820819685E-4</v>
      </c>
      <c r="AL86" s="1"/>
      <c r="AM86" s="1">
        <f t="shared" ca="1" si="102"/>
        <v>5.3675010947499185E-2</v>
      </c>
      <c r="AN86" s="1">
        <f t="shared" ca="1" si="103"/>
        <v>28</v>
      </c>
      <c r="AO86" s="1">
        <f t="shared" ca="1" si="104"/>
        <v>18</v>
      </c>
      <c r="AQ86" s="1">
        <f t="shared" ca="1" si="105"/>
        <v>72</v>
      </c>
      <c r="AR86" s="1">
        <f t="shared" ca="1" si="106"/>
        <v>5</v>
      </c>
      <c r="AS86" s="1">
        <f t="shared" ca="1" si="107"/>
        <v>48</v>
      </c>
      <c r="AU86" s="1">
        <f t="shared" ca="1" si="108"/>
        <v>206</v>
      </c>
      <c r="AV86" s="1">
        <f t="shared" ca="1" si="109"/>
        <v>6</v>
      </c>
      <c r="AW86" s="1">
        <f t="shared" ca="1" si="110"/>
        <v>6.0444439626456542E-2</v>
      </c>
      <c r="AY86" s="1">
        <f t="shared" ca="1" si="111"/>
        <v>1.542177849953648</v>
      </c>
      <c r="AZ86" s="1">
        <f t="shared" ca="1" si="112"/>
        <v>295</v>
      </c>
      <c r="BA86" s="1">
        <f t="shared" ca="1" si="113"/>
        <v>1.5158399384417665E-3</v>
      </c>
      <c r="BG86" s="1">
        <f t="shared" ca="1" si="114"/>
        <v>0.56198185238500575</v>
      </c>
      <c r="BH86" s="1">
        <f t="shared" ca="1" si="115"/>
        <v>4.3462029351976184E-2</v>
      </c>
      <c r="BI86" s="1">
        <f t="shared" ca="1" si="116"/>
        <v>249</v>
      </c>
      <c r="BV86" s="1">
        <f t="shared" ca="1" si="117"/>
        <v>0.25619295313924079</v>
      </c>
      <c r="BW86" s="1">
        <f t="shared" ca="1" si="118"/>
        <v>403</v>
      </c>
      <c r="BX86" s="1">
        <f t="shared" ca="1" si="119"/>
        <v>2.5088892239750831E-4</v>
      </c>
      <c r="BY86" s="1">
        <f t="shared" ca="1" si="120"/>
        <v>2.113960748536443E-2</v>
      </c>
      <c r="BZ86" s="1">
        <f t="shared" ca="1" si="121"/>
        <v>0.94839010384275269</v>
      </c>
      <c r="CB86" s="1">
        <f t="shared" ca="1" si="122"/>
        <v>494</v>
      </c>
      <c r="CC86" s="1">
        <f t="shared" ca="1" si="123"/>
        <v>3</v>
      </c>
      <c r="CD86" s="1">
        <f t="shared" ca="1" si="124"/>
        <v>0.23997170130021686</v>
      </c>
      <c r="CE86" s="1">
        <f t="shared" ca="1" si="125"/>
        <v>0.7299488954426645</v>
      </c>
      <c r="CF86" s="1">
        <f t="shared" ca="1" si="125"/>
        <v>0.72449176159303708</v>
      </c>
      <c r="CH86" s="3">
        <f t="shared" ca="1" si="126"/>
        <v>0.14311360653927713</v>
      </c>
      <c r="CI86" s="3">
        <f t="shared" ca="1" si="127"/>
        <v>0.5648489993754916</v>
      </c>
      <c r="CJ86" s="3">
        <f t="shared" ca="1" si="128"/>
        <v>1318</v>
      </c>
      <c r="CK86" s="3">
        <f t="shared" ca="1" si="129"/>
        <v>9.3044403976604451E-3</v>
      </c>
      <c r="CL86" s="3">
        <f t="shared" ca="1" si="130"/>
        <v>0</v>
      </c>
      <c r="CM86" s="3"/>
      <c r="CN86" s="1">
        <f t="shared" ca="1" si="131"/>
        <v>11.268255637130078</v>
      </c>
      <c r="CO86" s="1">
        <f t="shared" ca="1" si="132"/>
        <v>0.30069897473680074</v>
      </c>
      <c r="CP86" s="1">
        <f t="shared" ca="1" si="133"/>
        <v>2</v>
      </c>
      <c r="CV86" s="1">
        <f t="shared" ca="1" si="134"/>
        <v>9.911140121023589</v>
      </c>
      <c r="CW86" s="1">
        <f t="shared" ca="1" si="135"/>
        <v>1327</v>
      </c>
      <c r="CX86" s="1">
        <f t="shared" ca="1" si="136"/>
        <v>4.8503179717593013E-3</v>
      </c>
      <c r="DH86" s="1">
        <f t="shared" ca="1" si="137"/>
        <v>161</v>
      </c>
      <c r="DI86" s="1">
        <f t="shared" ca="1" si="138"/>
        <v>0.83938575232814205</v>
      </c>
      <c r="DJ86" s="1">
        <f t="shared" ca="1" si="139"/>
        <v>15</v>
      </c>
      <c r="DL86" s="1">
        <f t="shared" ca="1" si="140"/>
        <v>9.6094059489917186E-2</v>
      </c>
      <c r="DM86" s="1">
        <f t="shared" ca="1" si="141"/>
        <v>155</v>
      </c>
      <c r="DN86" s="1">
        <f t="shared" ca="1" si="142"/>
        <v>9</v>
      </c>
      <c r="DW86" s="1">
        <f t="shared" ca="1" si="143"/>
        <v>52</v>
      </c>
      <c r="DX86" s="1">
        <f t="shared" ca="1" si="144"/>
        <v>8</v>
      </c>
      <c r="DY86" s="1">
        <f t="shared" ca="1" si="145"/>
        <v>12</v>
      </c>
    </row>
    <row r="87" spans="2:129" x14ac:dyDescent="0.25">
      <c r="B87">
        <f t="shared" ca="1" si="75"/>
        <v>491</v>
      </c>
      <c r="C87">
        <f t="shared" ca="1" si="76"/>
        <v>49</v>
      </c>
      <c r="D87">
        <f t="shared" ca="1" si="77"/>
        <v>0.15397977807880248</v>
      </c>
      <c r="F87" s="1">
        <f t="shared" ca="1" si="78"/>
        <v>16</v>
      </c>
      <c r="G87" s="1">
        <f t="shared" ca="1" si="79"/>
        <v>30</v>
      </c>
      <c r="H87" s="1">
        <f t="shared" ca="1" si="80"/>
        <v>14</v>
      </c>
      <c r="I87" s="1"/>
      <c r="J87" s="1">
        <f t="shared" ca="1" si="81"/>
        <v>30</v>
      </c>
      <c r="K87" s="1">
        <f t="shared" ca="1" si="82"/>
        <v>2.7711743434734877</v>
      </c>
      <c r="L87" s="1">
        <f t="shared" ca="1" si="83"/>
        <v>30</v>
      </c>
      <c r="M87" s="1"/>
      <c r="N87" s="1">
        <f t="shared" ca="1" si="84"/>
        <v>453</v>
      </c>
      <c r="O87" s="1">
        <f t="shared" ca="1" si="85"/>
        <v>34</v>
      </c>
      <c r="P87" s="1"/>
      <c r="Q87" s="1">
        <f t="shared" ca="1" si="86"/>
        <v>2.7448902611966357</v>
      </c>
      <c r="R87" s="1">
        <f t="shared" ca="1" si="87"/>
        <v>1140</v>
      </c>
      <c r="S87" s="1"/>
      <c r="T87" s="1">
        <f t="shared" ca="1" si="88"/>
        <v>9.1230401679809003E-2</v>
      </c>
      <c r="U87" s="1">
        <f t="shared" ca="1" si="89"/>
        <v>332</v>
      </c>
      <c r="V87" s="1">
        <f t="shared" ca="1" si="90"/>
        <v>35</v>
      </c>
      <c r="W87" s="1"/>
      <c r="X87" s="1">
        <f t="shared" ca="1" si="91"/>
        <v>7.4749045606371123</v>
      </c>
      <c r="Y87" s="1">
        <f t="shared" ca="1" si="92"/>
        <v>0.29823414204812543</v>
      </c>
      <c r="Z87" s="1">
        <f t="shared" ca="1" si="93"/>
        <v>1420</v>
      </c>
      <c r="AB87" s="1">
        <f t="shared" ca="1" si="94"/>
        <v>0.85753441830689747</v>
      </c>
      <c r="AC87" s="1">
        <f t="shared" ca="1" si="95"/>
        <v>827</v>
      </c>
      <c r="AD87" s="1">
        <f t="shared" ca="1" si="96"/>
        <v>1.9919774228312251E-3</v>
      </c>
      <c r="AE87" s="1"/>
      <c r="AF87" s="1">
        <f t="shared" ca="1" si="97"/>
        <v>0.30857962689640517</v>
      </c>
      <c r="AG87" s="1">
        <f t="shared" ca="1" si="98"/>
        <v>329</v>
      </c>
      <c r="AH87" s="1">
        <f t="shared" ca="1" si="99"/>
        <v>5.2454510749416136E-3</v>
      </c>
      <c r="AJ87" s="1">
        <f t="shared" ca="1" si="100"/>
        <v>0.1441298809665903</v>
      </c>
      <c r="AK87" s="1">
        <f t="shared" ca="1" si="101"/>
        <v>5.0146381297260928E-3</v>
      </c>
      <c r="AL87" s="1"/>
      <c r="AM87" s="1">
        <f t="shared" ca="1" si="102"/>
        <v>2.4986796067942938E-2</v>
      </c>
      <c r="AN87" s="1">
        <f t="shared" ca="1" si="103"/>
        <v>42</v>
      </c>
      <c r="AO87" s="1">
        <f t="shared" ca="1" si="104"/>
        <v>20</v>
      </c>
      <c r="AQ87" s="1">
        <f t="shared" ca="1" si="105"/>
        <v>189</v>
      </c>
      <c r="AR87" s="1">
        <f t="shared" ca="1" si="106"/>
        <v>3</v>
      </c>
      <c r="AS87" s="1">
        <f t="shared" ca="1" si="107"/>
        <v>39</v>
      </c>
      <c r="AU87" s="1">
        <f t="shared" ca="1" si="108"/>
        <v>195</v>
      </c>
      <c r="AV87" s="1">
        <f t="shared" ca="1" si="109"/>
        <v>5</v>
      </c>
      <c r="AW87" s="1">
        <f t="shared" ca="1" si="110"/>
        <v>1.0128830478675983E-2</v>
      </c>
      <c r="AY87" s="1">
        <f t="shared" ca="1" si="111"/>
        <v>1.1034974748544393</v>
      </c>
      <c r="AZ87" s="1">
        <f t="shared" ca="1" si="112"/>
        <v>238</v>
      </c>
      <c r="BA87" s="1">
        <f t="shared" ca="1" si="113"/>
        <v>1.6530023600305722E-3</v>
      </c>
      <c r="BG87" s="1">
        <f t="shared" ca="1" si="114"/>
        <v>0.97849709251957329</v>
      </c>
      <c r="BH87" s="1">
        <f t="shared" ca="1" si="115"/>
        <v>0.86253138706923194</v>
      </c>
      <c r="BI87" s="1">
        <f t="shared" ca="1" si="116"/>
        <v>654</v>
      </c>
      <c r="BV87" s="1">
        <f t="shared" ca="1" si="117"/>
        <v>0.87523343976492385</v>
      </c>
      <c r="BW87" s="1">
        <f t="shared" ca="1" si="118"/>
        <v>751</v>
      </c>
      <c r="BX87" s="1">
        <f t="shared" ca="1" si="119"/>
        <v>5.2984719434257237E-3</v>
      </c>
      <c r="BY87" s="1">
        <f t="shared" ca="1" si="120"/>
        <v>1.371178599541747E-2</v>
      </c>
      <c r="BZ87" s="1">
        <f t="shared" ca="1" si="121"/>
        <v>0.21772267045486082</v>
      </c>
      <c r="CB87" s="1">
        <f t="shared" ca="1" si="122"/>
        <v>315</v>
      </c>
      <c r="CC87" s="1">
        <f t="shared" ca="1" si="123"/>
        <v>10</v>
      </c>
      <c r="CD87" s="1">
        <f t="shared" ca="1" si="124"/>
        <v>0.1206611072485772</v>
      </c>
      <c r="CE87" s="1">
        <f t="shared" ca="1" si="125"/>
        <v>0.73141952351257111</v>
      </c>
      <c r="CF87" s="1">
        <f t="shared" ca="1" si="125"/>
        <v>0.9326412321256552</v>
      </c>
      <c r="CH87" s="3">
        <f t="shared" ca="1" si="126"/>
        <v>0.21838694016697321</v>
      </c>
      <c r="CI87" s="3">
        <f t="shared" ca="1" si="127"/>
        <v>0.17276363941599299</v>
      </c>
      <c r="CJ87" s="3">
        <f t="shared" ca="1" si="128"/>
        <v>1189</v>
      </c>
      <c r="CK87" s="3">
        <f t="shared" ca="1" si="129"/>
        <v>3.1514393682938518E-3</v>
      </c>
      <c r="CL87" s="3">
        <f t="shared" ca="1" si="130"/>
        <v>1</v>
      </c>
      <c r="CM87" s="3"/>
      <c r="CN87" s="1">
        <f t="shared" ca="1" si="131"/>
        <v>13.490770434936316</v>
      </c>
      <c r="CO87" s="1">
        <f t="shared" ca="1" si="132"/>
        <v>0.23389650232916123</v>
      </c>
      <c r="CP87" s="1">
        <f t="shared" ca="1" si="133"/>
        <v>4</v>
      </c>
      <c r="CV87" s="1">
        <f t="shared" ca="1" si="134"/>
        <v>3.9144170475879601</v>
      </c>
      <c r="CW87" s="1">
        <f t="shared" ca="1" si="135"/>
        <v>201</v>
      </c>
      <c r="CX87" s="1">
        <f t="shared" ca="1" si="136"/>
        <v>3.0275946928732768E-3</v>
      </c>
      <c r="DH87" s="1">
        <f t="shared" ca="1" si="137"/>
        <v>398</v>
      </c>
      <c r="DI87" s="1">
        <f t="shared" ca="1" si="138"/>
        <v>4.8136570621901145E-2</v>
      </c>
      <c r="DJ87" s="1">
        <f t="shared" ca="1" si="139"/>
        <v>28</v>
      </c>
      <c r="DL87" s="1">
        <f t="shared" ca="1" si="140"/>
        <v>8.826597652446283E-2</v>
      </c>
      <c r="DM87" s="1">
        <f t="shared" ca="1" si="141"/>
        <v>55</v>
      </c>
      <c r="DN87" s="1">
        <f t="shared" ca="1" si="142"/>
        <v>10</v>
      </c>
      <c r="DW87" s="1">
        <f t="shared" ca="1" si="143"/>
        <v>337</v>
      </c>
      <c r="DX87" s="1">
        <f t="shared" ca="1" si="144"/>
        <v>10</v>
      </c>
      <c r="DY87" s="1">
        <f t="shared" ca="1" si="145"/>
        <v>20</v>
      </c>
    </row>
    <row r="88" spans="2:129" x14ac:dyDescent="0.25">
      <c r="B88">
        <f t="shared" ca="1" si="75"/>
        <v>889</v>
      </c>
      <c r="C88">
        <f t="shared" ca="1" si="76"/>
        <v>10</v>
      </c>
      <c r="D88">
        <f t="shared" ca="1" si="77"/>
        <v>0.17832662085207615</v>
      </c>
      <c r="F88" s="1">
        <f t="shared" ca="1" si="78"/>
        <v>29</v>
      </c>
      <c r="G88" s="1">
        <f t="shared" ca="1" si="79"/>
        <v>10</v>
      </c>
      <c r="H88" s="1">
        <f t="shared" ca="1" si="80"/>
        <v>3</v>
      </c>
      <c r="I88" s="1"/>
      <c r="J88" s="1">
        <f t="shared" ca="1" si="81"/>
        <v>14</v>
      </c>
      <c r="K88" s="1">
        <f t="shared" ca="1" si="82"/>
        <v>1.213603791310925</v>
      </c>
      <c r="L88" s="1">
        <f t="shared" ca="1" si="83"/>
        <v>10</v>
      </c>
      <c r="M88" s="1"/>
      <c r="N88" s="1">
        <f t="shared" ca="1" si="84"/>
        <v>825</v>
      </c>
      <c r="O88" s="1">
        <f t="shared" ca="1" si="85"/>
        <v>42</v>
      </c>
      <c r="P88" s="1"/>
      <c r="Q88" s="1">
        <f t="shared" ca="1" si="86"/>
        <v>1.4124471481137226</v>
      </c>
      <c r="R88" s="1">
        <f t="shared" ca="1" si="87"/>
        <v>621</v>
      </c>
      <c r="S88" s="1"/>
      <c r="T88" s="1">
        <f t="shared" ca="1" si="88"/>
        <v>4.7033408025382376E-2</v>
      </c>
      <c r="U88" s="1">
        <f t="shared" ca="1" si="89"/>
        <v>345</v>
      </c>
      <c r="V88" s="1">
        <f t="shared" ca="1" si="90"/>
        <v>52</v>
      </c>
      <c r="W88" s="1"/>
      <c r="X88" s="1">
        <f t="shared" ca="1" si="91"/>
        <v>1.6443608223839972</v>
      </c>
      <c r="Y88" s="1">
        <f t="shared" ca="1" si="92"/>
        <v>0.43235956713571772</v>
      </c>
      <c r="Z88" s="1">
        <f t="shared" ca="1" si="93"/>
        <v>164</v>
      </c>
      <c r="AB88" s="1">
        <f t="shared" ca="1" si="94"/>
        <v>0.75569413700688537</v>
      </c>
      <c r="AC88" s="1">
        <f t="shared" ca="1" si="95"/>
        <v>246</v>
      </c>
      <c r="AD88" s="1">
        <f t="shared" ca="1" si="96"/>
        <v>4.4574391131003499E-3</v>
      </c>
      <c r="AE88" s="1"/>
      <c r="AF88" s="1">
        <f t="shared" ca="1" si="97"/>
        <v>0.48841683605001984</v>
      </c>
      <c r="AG88" s="1">
        <f t="shared" ca="1" si="98"/>
        <v>211</v>
      </c>
      <c r="AH88" s="1">
        <f t="shared" ca="1" si="99"/>
        <v>2.8062971231631651E-3</v>
      </c>
      <c r="AJ88" s="1">
        <f t="shared" ca="1" si="100"/>
        <v>0.37348607813405943</v>
      </c>
      <c r="AK88" s="1">
        <f t="shared" ca="1" si="101"/>
        <v>2.363714630259757E-3</v>
      </c>
      <c r="AL88" s="1"/>
      <c r="AM88" s="1">
        <f t="shared" ca="1" si="102"/>
        <v>0.12835421304367683</v>
      </c>
      <c r="AN88" s="1">
        <f t="shared" ca="1" si="103"/>
        <v>41</v>
      </c>
      <c r="AO88" s="1">
        <f t="shared" ca="1" si="104"/>
        <v>-1</v>
      </c>
      <c r="AQ88" s="1">
        <f t="shared" ca="1" si="105"/>
        <v>81</v>
      </c>
      <c r="AR88" s="1">
        <f t="shared" ca="1" si="106"/>
        <v>9</v>
      </c>
      <c r="AS88" s="1">
        <f t="shared" ca="1" si="107"/>
        <v>91</v>
      </c>
      <c r="AU88" s="1">
        <f t="shared" ca="1" si="108"/>
        <v>185</v>
      </c>
      <c r="AV88" s="1">
        <f t="shared" ca="1" si="109"/>
        <v>8</v>
      </c>
      <c r="AW88" s="1">
        <f t="shared" ca="1" si="110"/>
        <v>0.12555018689776101</v>
      </c>
      <c r="AY88" s="1">
        <f t="shared" ca="1" si="111"/>
        <v>1.14821138609345</v>
      </c>
      <c r="AZ88" s="1">
        <f t="shared" ca="1" si="112"/>
        <v>135</v>
      </c>
      <c r="BA88" s="1">
        <f t="shared" ca="1" si="113"/>
        <v>6.9811950670965158E-3</v>
      </c>
      <c r="BG88" s="1">
        <f t="shared" ca="1" si="114"/>
        <v>0.31675001396055413</v>
      </c>
      <c r="BH88" s="1">
        <f t="shared" ca="1" si="115"/>
        <v>0.3914138276800877</v>
      </c>
      <c r="BI88" s="1">
        <f t="shared" ca="1" si="116"/>
        <v>125</v>
      </c>
      <c r="BV88" s="1">
        <f t="shared" ca="1" si="117"/>
        <v>0.49978095654274085</v>
      </c>
      <c r="BW88" s="1">
        <f t="shared" ca="1" si="118"/>
        <v>655</v>
      </c>
      <c r="BX88" s="1">
        <f t="shared" ca="1" si="119"/>
        <v>3.1817617531132844E-3</v>
      </c>
      <c r="BY88" s="1">
        <f t="shared" ca="1" si="120"/>
        <v>4.2893688996280641E-2</v>
      </c>
      <c r="BZ88" s="1">
        <f t="shared" ca="1" si="121"/>
        <v>0.70905555381214014</v>
      </c>
      <c r="CB88" s="1">
        <f t="shared" ca="1" si="122"/>
        <v>211</v>
      </c>
      <c r="CC88" s="1">
        <f t="shared" ca="1" si="123"/>
        <v>8</v>
      </c>
      <c r="CD88" s="1">
        <f t="shared" ca="1" si="124"/>
        <v>0.15321626461361837</v>
      </c>
      <c r="CE88" s="1">
        <f t="shared" ca="1" si="125"/>
        <v>0.59069920205356019</v>
      </c>
      <c r="CF88" s="1">
        <f t="shared" ca="1" si="125"/>
        <v>0.74687332839286524</v>
      </c>
      <c r="CH88" s="3">
        <f t="shared" ca="1" si="126"/>
        <v>0.29721877534666941</v>
      </c>
      <c r="CI88" s="3">
        <f t="shared" ca="1" si="127"/>
        <v>0.27079583201214985</v>
      </c>
      <c r="CJ88" s="3">
        <f t="shared" ca="1" si="128"/>
        <v>1646</v>
      </c>
      <c r="CK88" s="3">
        <f t="shared" ca="1" si="129"/>
        <v>2.5441460945840461E-3</v>
      </c>
      <c r="CL88" s="3">
        <f t="shared" ca="1" si="130"/>
        <v>0</v>
      </c>
      <c r="CM88" s="3"/>
      <c r="CN88" s="1">
        <f t="shared" ca="1" si="131"/>
        <v>8.9588605885810342</v>
      </c>
      <c r="CO88" s="1">
        <f t="shared" ca="1" si="132"/>
        <v>0.39152233111151702</v>
      </c>
      <c r="CP88" s="1">
        <f t="shared" ca="1" si="133"/>
        <v>2</v>
      </c>
      <c r="CV88" s="1">
        <f t="shared" ca="1" si="134"/>
        <v>4.2711017601101995</v>
      </c>
      <c r="CW88" s="1">
        <f t="shared" ca="1" si="135"/>
        <v>1750</v>
      </c>
      <c r="CX88" s="1">
        <f t="shared" ca="1" si="136"/>
        <v>3.330569955116157E-3</v>
      </c>
      <c r="DH88" s="1">
        <f t="shared" ca="1" si="137"/>
        <v>411</v>
      </c>
      <c r="DI88" s="1">
        <f t="shared" ca="1" si="138"/>
        <v>0.53568671095572939</v>
      </c>
      <c r="DJ88" s="1">
        <f t="shared" ca="1" si="139"/>
        <v>6</v>
      </c>
      <c r="DL88" s="1">
        <f t="shared" ca="1" si="140"/>
        <v>4.4444269875092951E-2</v>
      </c>
      <c r="DM88" s="1">
        <f t="shared" ca="1" si="141"/>
        <v>242</v>
      </c>
      <c r="DN88" s="1">
        <f t="shared" ca="1" si="142"/>
        <v>1</v>
      </c>
      <c r="DW88" s="1">
        <f t="shared" ca="1" si="143"/>
        <v>93</v>
      </c>
      <c r="DX88" s="1">
        <f t="shared" ca="1" si="144"/>
        <v>18</v>
      </c>
      <c r="DY88" s="1">
        <f t="shared" ca="1" si="145"/>
        <v>4</v>
      </c>
    </row>
    <row r="89" spans="2:129" x14ac:dyDescent="0.25">
      <c r="B89">
        <f t="shared" ca="1" si="75"/>
        <v>36</v>
      </c>
      <c r="C89">
        <f t="shared" ca="1" si="76"/>
        <v>14</v>
      </c>
      <c r="D89">
        <f t="shared" ca="1" si="77"/>
        <v>0.28606996540670232</v>
      </c>
      <c r="F89" s="1">
        <f t="shared" ca="1" si="78"/>
        <v>6</v>
      </c>
      <c r="G89" s="1">
        <f t="shared" ca="1" si="79"/>
        <v>2</v>
      </c>
      <c r="H89" s="1">
        <f t="shared" ca="1" si="80"/>
        <v>1</v>
      </c>
      <c r="I89" s="1"/>
      <c r="J89" s="1">
        <f t="shared" ca="1" si="81"/>
        <v>17</v>
      </c>
      <c r="K89" s="1">
        <f t="shared" ca="1" si="82"/>
        <v>2.3049695718318057</v>
      </c>
      <c r="L89" s="1">
        <f t="shared" ca="1" si="83"/>
        <v>29</v>
      </c>
      <c r="M89" s="1"/>
      <c r="N89" s="1">
        <f t="shared" ca="1" si="84"/>
        <v>836</v>
      </c>
      <c r="O89" s="1">
        <f t="shared" ca="1" si="85"/>
        <v>43</v>
      </c>
      <c r="P89" s="1"/>
      <c r="Q89" s="1">
        <f t="shared" ca="1" si="86"/>
        <v>0.70980556643635684</v>
      </c>
      <c r="R89" s="1">
        <f t="shared" ca="1" si="87"/>
        <v>295</v>
      </c>
      <c r="S89" s="1"/>
      <c r="T89" s="1">
        <f t="shared" ca="1" si="88"/>
        <v>7.4020956598324361E-2</v>
      </c>
      <c r="U89" s="1">
        <f t="shared" ca="1" si="89"/>
        <v>138</v>
      </c>
      <c r="V89" s="1">
        <f t="shared" ca="1" si="90"/>
        <v>38</v>
      </c>
      <c r="W89" s="1"/>
      <c r="X89" s="1">
        <f t="shared" ca="1" si="91"/>
        <v>4.5505637443767517</v>
      </c>
      <c r="Y89" s="1">
        <f t="shared" ca="1" si="92"/>
        <v>0.6432787060315982</v>
      </c>
      <c r="Z89" s="1">
        <f t="shared" ca="1" si="93"/>
        <v>1258</v>
      </c>
      <c r="AB89" s="1">
        <f t="shared" ca="1" si="94"/>
        <v>0.38367532085060929</v>
      </c>
      <c r="AC89" s="1">
        <f t="shared" ca="1" si="95"/>
        <v>266</v>
      </c>
      <c r="AD89" s="1">
        <f t="shared" ca="1" si="96"/>
        <v>4.3423758128448607E-3</v>
      </c>
      <c r="AE89" s="1"/>
      <c r="AF89" s="1">
        <f t="shared" ca="1" si="97"/>
        <v>0.88283474763627889</v>
      </c>
      <c r="AG89" s="1">
        <f t="shared" ca="1" si="98"/>
        <v>824</v>
      </c>
      <c r="AH89" s="1">
        <f t="shared" ca="1" si="99"/>
        <v>4.6381545454216274E-3</v>
      </c>
      <c r="AJ89" s="1">
        <f t="shared" ca="1" si="100"/>
        <v>0.77564356606275853</v>
      </c>
      <c r="AK89" s="1">
        <f t="shared" ca="1" si="101"/>
        <v>7.7951881374848393E-3</v>
      </c>
      <c r="AL89" s="1"/>
      <c r="AM89" s="1">
        <f t="shared" ca="1" si="102"/>
        <v>0.17161732988689143</v>
      </c>
      <c r="AN89" s="1">
        <f t="shared" ca="1" si="103"/>
        <v>16</v>
      </c>
      <c r="AO89" s="1">
        <f t="shared" ca="1" si="104"/>
        <v>15</v>
      </c>
      <c r="AQ89" s="1">
        <f t="shared" ca="1" si="105"/>
        <v>190</v>
      </c>
      <c r="AR89" s="1">
        <f t="shared" ca="1" si="106"/>
        <v>2</v>
      </c>
      <c r="AS89" s="1">
        <f t="shared" ca="1" si="107"/>
        <v>41</v>
      </c>
      <c r="AU89" s="1">
        <f t="shared" ca="1" si="108"/>
        <v>247</v>
      </c>
      <c r="AV89" s="1">
        <f t="shared" ca="1" si="109"/>
        <v>10</v>
      </c>
      <c r="AW89" s="1">
        <f t="shared" ca="1" si="110"/>
        <v>0.11739141196403806</v>
      </c>
      <c r="AY89" s="1">
        <f t="shared" ca="1" si="111"/>
        <v>1.8071900078226073</v>
      </c>
      <c r="AZ89" s="1">
        <f t="shared" ca="1" si="112"/>
        <v>209</v>
      </c>
      <c r="BA89" s="1">
        <f t="shared" ca="1" si="113"/>
        <v>1.330923509825512E-3</v>
      </c>
      <c r="BG89" s="1">
        <f t="shared" ca="1" si="114"/>
        <v>0.70841682617951784</v>
      </c>
      <c r="BH89" s="1">
        <f t="shared" ca="1" si="115"/>
        <v>2.0406559233538513E-2</v>
      </c>
      <c r="BI89" s="1">
        <f t="shared" ca="1" si="116"/>
        <v>188</v>
      </c>
      <c r="BV89" s="1">
        <f t="shared" ca="1" si="117"/>
        <v>0.60255786281009605</v>
      </c>
      <c r="BW89" s="1">
        <f t="shared" ca="1" si="118"/>
        <v>587</v>
      </c>
      <c r="BX89" s="1">
        <f t="shared" ca="1" si="119"/>
        <v>6.469238843873946E-3</v>
      </c>
      <c r="BY89" s="1">
        <f t="shared" ca="1" si="120"/>
        <v>5.5743914207341108E-2</v>
      </c>
      <c r="BZ89" s="1">
        <f t="shared" ca="1" si="121"/>
        <v>0.15571889471352995</v>
      </c>
      <c r="CB89" s="1">
        <f t="shared" ca="1" si="122"/>
        <v>419</v>
      </c>
      <c r="CC89" s="1">
        <f t="shared" ca="1" si="123"/>
        <v>7</v>
      </c>
      <c r="CD89" s="1">
        <f t="shared" ca="1" si="124"/>
        <v>3.8041594307670075E-2</v>
      </c>
      <c r="CE89" s="1">
        <f t="shared" ca="1" si="125"/>
        <v>0.88076365045400329</v>
      </c>
      <c r="CF89" s="1">
        <f t="shared" ca="1" si="125"/>
        <v>0.98276179177084599</v>
      </c>
      <c r="CH89" s="3">
        <f t="shared" ca="1" si="126"/>
        <v>0.73472731736849617</v>
      </c>
      <c r="CI89" s="3">
        <f t="shared" ca="1" si="127"/>
        <v>0.53036151882031224</v>
      </c>
      <c r="CJ89" s="3">
        <f t="shared" ca="1" si="128"/>
        <v>1988</v>
      </c>
      <c r="CK89" s="3">
        <f t="shared" ca="1" si="129"/>
        <v>5.9093393756355214E-3</v>
      </c>
      <c r="CL89" s="3">
        <f t="shared" ca="1" si="130"/>
        <v>0</v>
      </c>
      <c r="CM89" s="3"/>
      <c r="CN89" s="1">
        <f t="shared" ca="1" si="131"/>
        <v>6.0464838375150967</v>
      </c>
      <c r="CO89" s="1">
        <f t="shared" ca="1" si="132"/>
        <v>3.8540586009356323E-2</v>
      </c>
      <c r="CP89" s="1">
        <f t="shared" ca="1" si="133"/>
        <v>1</v>
      </c>
      <c r="CV89" s="1">
        <f t="shared" ca="1" si="134"/>
        <v>0.91489245493924343</v>
      </c>
      <c r="CW89" s="1">
        <f t="shared" ca="1" si="135"/>
        <v>375</v>
      </c>
      <c r="CX89" s="1">
        <f t="shared" ca="1" si="136"/>
        <v>3.7365837143180005E-3</v>
      </c>
      <c r="DH89" s="1">
        <f t="shared" ca="1" si="137"/>
        <v>399</v>
      </c>
      <c r="DI89" s="1">
        <f t="shared" ca="1" si="138"/>
        <v>0.9770199848878599</v>
      </c>
      <c r="DJ89" s="1">
        <f t="shared" ca="1" si="139"/>
        <v>25</v>
      </c>
      <c r="DL89" s="1">
        <f t="shared" ca="1" si="140"/>
        <v>0.16060828780934619</v>
      </c>
      <c r="DM89" s="1">
        <f t="shared" ca="1" si="141"/>
        <v>94</v>
      </c>
      <c r="DN89" s="1">
        <f t="shared" ca="1" si="142"/>
        <v>8</v>
      </c>
      <c r="DW89" s="1">
        <f t="shared" ca="1" si="143"/>
        <v>448</v>
      </c>
      <c r="DX89" s="1">
        <f t="shared" ca="1" si="144"/>
        <v>8</v>
      </c>
      <c r="DY89" s="1">
        <f t="shared" ca="1" si="145"/>
        <v>20</v>
      </c>
    </row>
    <row r="90" spans="2:129" x14ac:dyDescent="0.25">
      <c r="B90">
        <f t="shared" ca="1" si="75"/>
        <v>293</v>
      </c>
      <c r="C90">
        <f t="shared" ca="1" si="76"/>
        <v>11</v>
      </c>
      <c r="D90">
        <f t="shared" ca="1" si="77"/>
        <v>3.1730554521956243E-2</v>
      </c>
      <c r="F90" s="1">
        <f t="shared" ca="1" si="78"/>
        <v>13</v>
      </c>
      <c r="G90" s="1">
        <f t="shared" ca="1" si="79"/>
        <v>4</v>
      </c>
      <c r="H90" s="1">
        <f t="shared" ca="1" si="80"/>
        <v>8</v>
      </c>
      <c r="I90" s="1"/>
      <c r="J90" s="1">
        <f t="shared" ca="1" si="81"/>
        <v>4</v>
      </c>
      <c r="K90" s="1">
        <f t="shared" ca="1" si="82"/>
        <v>2.7563874296602475</v>
      </c>
      <c r="L90" s="1">
        <f t="shared" ca="1" si="83"/>
        <v>20</v>
      </c>
      <c r="M90" s="1"/>
      <c r="N90" s="1">
        <f t="shared" ca="1" si="84"/>
        <v>975</v>
      </c>
      <c r="O90" s="1">
        <f t="shared" ca="1" si="85"/>
        <v>10</v>
      </c>
      <c r="P90" s="1"/>
      <c r="Q90" s="1">
        <f t="shared" ca="1" si="86"/>
        <v>0.47671571461283896</v>
      </c>
      <c r="R90" s="1">
        <f t="shared" ca="1" si="87"/>
        <v>580</v>
      </c>
      <c r="S90" s="1"/>
      <c r="T90" s="1">
        <f t="shared" ca="1" si="88"/>
        <v>7.4896985502559854E-2</v>
      </c>
      <c r="U90" s="1">
        <f t="shared" ca="1" si="89"/>
        <v>159</v>
      </c>
      <c r="V90" s="1">
        <f t="shared" ca="1" si="90"/>
        <v>21</v>
      </c>
      <c r="W90" s="1"/>
      <c r="X90" s="1">
        <f t="shared" ca="1" si="91"/>
        <v>9.2775224843096034</v>
      </c>
      <c r="Y90" s="1">
        <f t="shared" ca="1" si="92"/>
        <v>0.31973150293770802</v>
      </c>
      <c r="Z90" s="1">
        <f t="shared" ca="1" si="93"/>
        <v>1246</v>
      </c>
      <c r="AB90" s="1">
        <f t="shared" ca="1" si="94"/>
        <v>0.3210232641081624</v>
      </c>
      <c r="AC90" s="1">
        <f t="shared" ca="1" si="95"/>
        <v>631</v>
      </c>
      <c r="AD90" s="1">
        <f t="shared" ca="1" si="96"/>
        <v>3.3384536018507475E-3</v>
      </c>
      <c r="AE90" s="1"/>
      <c r="AF90" s="1">
        <f t="shared" ca="1" si="97"/>
        <v>0.71662077336892405</v>
      </c>
      <c r="AG90" s="1">
        <f t="shared" ca="1" si="98"/>
        <v>494</v>
      </c>
      <c r="AH90" s="1">
        <f t="shared" ca="1" si="99"/>
        <v>5.7749755142534774E-3</v>
      </c>
      <c r="AJ90" s="1">
        <f t="shared" ca="1" si="100"/>
        <v>0.20508001595034331</v>
      </c>
      <c r="AK90" s="1">
        <f t="shared" ca="1" si="101"/>
        <v>9.580059101834756E-3</v>
      </c>
      <c r="AL90" s="1"/>
      <c r="AM90" s="1">
        <f t="shared" ca="1" si="102"/>
        <v>4.2480624236210789E-2</v>
      </c>
      <c r="AN90" s="1">
        <f t="shared" ca="1" si="103"/>
        <v>38</v>
      </c>
      <c r="AO90" s="1">
        <f t="shared" ca="1" si="104"/>
        <v>9</v>
      </c>
      <c r="AQ90" s="1">
        <f t="shared" ca="1" si="105"/>
        <v>100</v>
      </c>
      <c r="AR90" s="1">
        <f t="shared" ca="1" si="106"/>
        <v>1</v>
      </c>
      <c r="AS90" s="1">
        <f t="shared" ca="1" si="107"/>
        <v>36</v>
      </c>
      <c r="AU90" s="1">
        <f t="shared" ca="1" si="108"/>
        <v>395</v>
      </c>
      <c r="AV90" s="1">
        <f t="shared" ca="1" si="109"/>
        <v>6</v>
      </c>
      <c r="AW90" s="1">
        <f t="shared" ca="1" si="110"/>
        <v>1.409009824865869E-2</v>
      </c>
      <c r="AY90" s="1">
        <f t="shared" ca="1" si="111"/>
        <v>1.2592735173175456</v>
      </c>
      <c r="AZ90" s="1">
        <f t="shared" ca="1" si="112"/>
        <v>263</v>
      </c>
      <c r="BA90" s="1">
        <f t="shared" ca="1" si="113"/>
        <v>5.5702866782653508E-3</v>
      </c>
      <c r="BG90" s="1">
        <f t="shared" ca="1" si="114"/>
        <v>1.898244016652522E-2</v>
      </c>
      <c r="BH90" s="1">
        <f t="shared" ca="1" si="115"/>
        <v>0.30234782883986078</v>
      </c>
      <c r="BI90" s="1">
        <f t="shared" ca="1" si="116"/>
        <v>515</v>
      </c>
      <c r="BV90" s="1">
        <f t="shared" ca="1" si="117"/>
        <v>0.54750375645383353</v>
      </c>
      <c r="BW90" s="1">
        <f t="shared" ca="1" si="118"/>
        <v>433</v>
      </c>
      <c r="BX90" s="1">
        <f t="shared" ca="1" si="119"/>
        <v>9.5070054442393387E-3</v>
      </c>
      <c r="BY90" s="1">
        <f t="shared" ca="1" si="120"/>
        <v>8.356943746425816E-4</v>
      </c>
      <c r="BZ90" s="1">
        <f t="shared" ca="1" si="121"/>
        <v>0.25250357654273359</v>
      </c>
      <c r="CB90" s="1">
        <f t="shared" ca="1" si="122"/>
        <v>225</v>
      </c>
      <c r="CC90" s="1">
        <f t="shared" ca="1" si="123"/>
        <v>7</v>
      </c>
      <c r="CD90" s="1">
        <f t="shared" ca="1" si="124"/>
        <v>0.29853318168919174</v>
      </c>
      <c r="CE90" s="1">
        <f t="shared" ca="1" si="125"/>
        <v>0.5680669800432363</v>
      </c>
      <c r="CF90" s="1">
        <f t="shared" ca="1" si="125"/>
        <v>0.58888767601912528</v>
      </c>
      <c r="CH90" s="3">
        <f t="shared" ca="1" si="126"/>
        <v>0.27934836788642503</v>
      </c>
      <c r="CI90" s="3">
        <f t="shared" ca="1" si="127"/>
        <v>0.95389834502567317</v>
      </c>
      <c r="CJ90" s="3">
        <f t="shared" ca="1" si="128"/>
        <v>1347</v>
      </c>
      <c r="CK90" s="3">
        <f t="shared" ca="1" si="129"/>
        <v>2.6968046809820161E-3</v>
      </c>
      <c r="CL90" s="3">
        <f t="shared" ca="1" si="130"/>
        <v>0</v>
      </c>
      <c r="CM90" s="3"/>
      <c r="CN90" s="1">
        <f t="shared" ca="1" si="131"/>
        <v>2.4883267038949972</v>
      </c>
      <c r="CO90" s="1">
        <f t="shared" ca="1" si="132"/>
        <v>0.34593572475092776</v>
      </c>
      <c r="CP90" s="1">
        <f t="shared" ca="1" si="133"/>
        <v>4</v>
      </c>
      <c r="CV90" s="1">
        <f t="shared" ca="1" si="134"/>
        <v>0.29555939881440751</v>
      </c>
      <c r="CW90" s="1">
        <f t="shared" ca="1" si="135"/>
        <v>877</v>
      </c>
      <c r="CX90" s="1">
        <f t="shared" ca="1" si="136"/>
        <v>6.9504217821206929E-3</v>
      </c>
      <c r="DH90" s="1">
        <f t="shared" ca="1" si="137"/>
        <v>355</v>
      </c>
      <c r="DI90" s="1">
        <f t="shared" ca="1" si="138"/>
        <v>0.35948877456944051</v>
      </c>
      <c r="DJ90" s="1">
        <f t="shared" ca="1" si="139"/>
        <v>8</v>
      </c>
      <c r="DL90" s="1">
        <f t="shared" ca="1" si="140"/>
        <v>0.15944680140450035</v>
      </c>
      <c r="DM90" s="1">
        <f t="shared" ca="1" si="141"/>
        <v>228</v>
      </c>
      <c r="DN90" s="1">
        <f t="shared" ca="1" si="142"/>
        <v>1</v>
      </c>
      <c r="DW90" s="1">
        <f t="shared" ca="1" si="143"/>
        <v>406</v>
      </c>
      <c r="DX90" s="1">
        <f t="shared" ca="1" si="144"/>
        <v>7</v>
      </c>
      <c r="DY90" s="1">
        <f t="shared" ca="1" si="145"/>
        <v>13</v>
      </c>
    </row>
    <row r="91" spans="2:129" x14ac:dyDescent="0.25">
      <c r="B91">
        <f t="shared" ca="1" si="75"/>
        <v>916</v>
      </c>
      <c r="C91">
        <f t="shared" ca="1" si="76"/>
        <v>36</v>
      </c>
      <c r="D91">
        <f t="shared" ca="1" si="77"/>
        <v>6.5599593078177545E-2</v>
      </c>
      <c r="F91" s="1">
        <f t="shared" ca="1" si="78"/>
        <v>34</v>
      </c>
      <c r="G91" s="1">
        <f t="shared" ca="1" si="79"/>
        <v>26</v>
      </c>
      <c r="H91" s="1">
        <f t="shared" ca="1" si="80"/>
        <v>6</v>
      </c>
      <c r="I91" s="1"/>
      <c r="J91" s="1">
        <f t="shared" ca="1" si="81"/>
        <v>39</v>
      </c>
      <c r="K91" s="1">
        <f t="shared" ca="1" si="82"/>
        <v>2.9443409307481985</v>
      </c>
      <c r="L91" s="1">
        <f t="shared" ca="1" si="83"/>
        <v>11</v>
      </c>
      <c r="M91" s="1"/>
      <c r="N91" s="1">
        <f t="shared" ca="1" si="84"/>
        <v>610</v>
      </c>
      <c r="O91" s="1">
        <f t="shared" ca="1" si="85"/>
        <v>28</v>
      </c>
      <c r="P91" s="1"/>
      <c r="Q91" s="1">
        <f t="shared" ca="1" si="86"/>
        <v>4.7247981104026291</v>
      </c>
      <c r="R91" s="1">
        <f t="shared" ca="1" si="87"/>
        <v>534</v>
      </c>
      <c r="S91" s="1"/>
      <c r="T91" s="1">
        <f t="shared" ca="1" si="88"/>
        <v>7.0843731333051163E-2</v>
      </c>
      <c r="U91" s="1">
        <f t="shared" ca="1" si="89"/>
        <v>88</v>
      </c>
      <c r="V91" s="1">
        <f t="shared" ca="1" si="90"/>
        <v>12</v>
      </c>
      <c r="W91" s="1"/>
      <c r="X91" s="1">
        <f t="shared" ca="1" si="91"/>
        <v>4.558753980395732</v>
      </c>
      <c r="Y91" s="1">
        <f t="shared" ca="1" si="92"/>
        <v>0.3379176844900213</v>
      </c>
      <c r="Z91" s="1">
        <f t="shared" ca="1" si="93"/>
        <v>741</v>
      </c>
      <c r="AB91" s="1">
        <f t="shared" ca="1" si="94"/>
        <v>0.6557633962900995</v>
      </c>
      <c r="AC91" s="1">
        <f t="shared" ca="1" si="95"/>
        <v>175</v>
      </c>
      <c r="AD91" s="1">
        <f t="shared" ca="1" si="96"/>
        <v>4.3103588674993192E-3</v>
      </c>
      <c r="AE91" s="1"/>
      <c r="AF91" s="1">
        <f t="shared" ca="1" si="97"/>
        <v>0.51652378306861391</v>
      </c>
      <c r="AG91" s="1">
        <f t="shared" ca="1" si="98"/>
        <v>583</v>
      </c>
      <c r="AH91" s="1">
        <f t="shared" ca="1" si="99"/>
        <v>1.6025083829471244E-3</v>
      </c>
      <c r="AJ91" s="1">
        <f t="shared" ca="1" si="100"/>
        <v>0.60250483802705546</v>
      </c>
      <c r="AK91" s="1">
        <f t="shared" ca="1" si="101"/>
        <v>3.1833014202251879E-3</v>
      </c>
      <c r="AL91" s="1"/>
      <c r="AM91" s="1">
        <f t="shared" ca="1" si="102"/>
        <v>0.15330446841420237</v>
      </c>
      <c r="AN91" s="1">
        <f t="shared" ca="1" si="103"/>
        <v>77</v>
      </c>
      <c r="AO91" s="1">
        <f t="shared" ca="1" si="104"/>
        <v>4</v>
      </c>
      <c r="AQ91" s="1">
        <f t="shared" ca="1" si="105"/>
        <v>183</v>
      </c>
      <c r="AR91" s="1">
        <f t="shared" ca="1" si="106"/>
        <v>0</v>
      </c>
      <c r="AS91" s="1">
        <f t="shared" ca="1" si="107"/>
        <v>99</v>
      </c>
      <c r="AU91" s="1">
        <f t="shared" ca="1" si="108"/>
        <v>199</v>
      </c>
      <c r="AV91" s="1">
        <f t="shared" ca="1" si="109"/>
        <v>5</v>
      </c>
      <c r="AW91" s="1">
        <f t="shared" ca="1" si="110"/>
        <v>0.17132541548320587</v>
      </c>
      <c r="AY91" s="1">
        <f t="shared" ca="1" si="111"/>
        <v>1.9627811445877457</v>
      </c>
      <c r="AZ91" s="1">
        <f t="shared" ca="1" si="112"/>
        <v>195</v>
      </c>
      <c r="BA91" s="1">
        <f t="shared" ca="1" si="113"/>
        <v>3.8994217741417769E-3</v>
      </c>
      <c r="BG91" s="1">
        <f t="shared" ca="1" si="114"/>
        <v>0.36358695814936359</v>
      </c>
      <c r="BH91" s="1">
        <f t="shared" ca="1" si="115"/>
        <v>0.65683271658885656</v>
      </c>
      <c r="BI91" s="1">
        <f t="shared" ca="1" si="116"/>
        <v>574</v>
      </c>
      <c r="BV91" s="1">
        <f t="shared" ca="1" si="117"/>
        <v>9.2969387890734279E-2</v>
      </c>
      <c r="BW91" s="1">
        <f t="shared" ca="1" si="118"/>
        <v>576</v>
      </c>
      <c r="BX91" s="1">
        <f t="shared" ca="1" si="119"/>
        <v>8.288303594860897E-3</v>
      </c>
      <c r="BY91" s="1">
        <f t="shared" ca="1" si="120"/>
        <v>2.2264066227831541E-2</v>
      </c>
      <c r="BZ91" s="1">
        <f t="shared" ca="1" si="121"/>
        <v>0.55618241551000658</v>
      </c>
      <c r="CB91" s="1">
        <f t="shared" ca="1" si="122"/>
        <v>373</v>
      </c>
      <c r="CC91" s="1">
        <f t="shared" ca="1" si="123"/>
        <v>4</v>
      </c>
      <c r="CD91" s="1">
        <f t="shared" ca="1" si="124"/>
        <v>0.285448975572831</v>
      </c>
      <c r="CE91" s="1">
        <f t="shared" ca="1" si="125"/>
        <v>0.82255073387009414</v>
      </c>
      <c r="CF91" s="1">
        <f t="shared" ca="1" si="125"/>
        <v>0.91039215845831389</v>
      </c>
      <c r="CH91" s="3">
        <f t="shared" ca="1" si="126"/>
        <v>0.89533158660719636</v>
      </c>
      <c r="CI91" s="3">
        <f t="shared" ca="1" si="127"/>
        <v>4.5135369643643938E-2</v>
      </c>
      <c r="CJ91" s="3">
        <f t="shared" ca="1" si="128"/>
        <v>376</v>
      </c>
      <c r="CK91" s="3">
        <f t="shared" ca="1" si="129"/>
        <v>2.0726918276309969E-3</v>
      </c>
      <c r="CL91" s="3">
        <f t="shared" ca="1" si="130"/>
        <v>1</v>
      </c>
      <c r="CM91" s="3"/>
      <c r="CN91" s="1">
        <f t="shared" ca="1" si="131"/>
        <v>18.465375561085938</v>
      </c>
      <c r="CO91" s="1">
        <f t="shared" ca="1" si="132"/>
        <v>0.42843500284408942</v>
      </c>
      <c r="CP91" s="1">
        <f t="shared" ca="1" si="133"/>
        <v>5</v>
      </c>
      <c r="CV91" s="1">
        <f t="shared" ca="1" si="134"/>
        <v>0.86220299830987934</v>
      </c>
      <c r="CW91" s="1">
        <f t="shared" ca="1" si="135"/>
        <v>608</v>
      </c>
      <c r="CX91" s="1">
        <f t="shared" ca="1" si="136"/>
        <v>5.0343647830608435E-5</v>
      </c>
      <c r="DH91" s="1">
        <f t="shared" ca="1" si="137"/>
        <v>13</v>
      </c>
      <c r="DI91" s="1">
        <f t="shared" ca="1" si="138"/>
        <v>0.82809586962540216</v>
      </c>
      <c r="DJ91" s="1">
        <f t="shared" ca="1" si="139"/>
        <v>5</v>
      </c>
      <c r="DL91" s="1">
        <f t="shared" ca="1" si="140"/>
        <v>9.0857072509789749E-2</v>
      </c>
      <c r="DM91" s="1">
        <f t="shared" ca="1" si="141"/>
        <v>130</v>
      </c>
      <c r="DN91" s="1">
        <f t="shared" ca="1" si="142"/>
        <v>10</v>
      </c>
      <c r="DW91" s="1">
        <f t="shared" ca="1" si="143"/>
        <v>170</v>
      </c>
      <c r="DX91" s="1">
        <f t="shared" ca="1" si="144"/>
        <v>11</v>
      </c>
      <c r="DY91" s="1">
        <f t="shared" ca="1" si="145"/>
        <v>6</v>
      </c>
    </row>
    <row r="92" spans="2:129" x14ac:dyDescent="0.25">
      <c r="B92">
        <f t="shared" ca="1" si="75"/>
        <v>456</v>
      </c>
      <c r="C92">
        <f t="shared" ca="1" si="76"/>
        <v>16</v>
      </c>
      <c r="D92">
        <f t="shared" ca="1" si="77"/>
        <v>0.27939096991564433</v>
      </c>
      <c r="F92" s="1">
        <f t="shared" ca="1" si="78"/>
        <v>30</v>
      </c>
      <c r="G92" s="1">
        <f t="shared" ca="1" si="79"/>
        <v>15</v>
      </c>
      <c r="H92" s="1">
        <f t="shared" ca="1" si="80"/>
        <v>1</v>
      </c>
      <c r="I92" s="1"/>
      <c r="J92" s="1">
        <f t="shared" ca="1" si="81"/>
        <v>17</v>
      </c>
      <c r="K92" s="1">
        <f t="shared" ca="1" si="82"/>
        <v>1.6484775640052318</v>
      </c>
      <c r="L92" s="1">
        <f t="shared" ca="1" si="83"/>
        <v>12</v>
      </c>
      <c r="M92" s="1"/>
      <c r="N92" s="1">
        <f t="shared" ca="1" si="84"/>
        <v>857</v>
      </c>
      <c r="O92" s="1">
        <f t="shared" ca="1" si="85"/>
        <v>8</v>
      </c>
      <c r="P92" s="1"/>
      <c r="Q92" s="1">
        <f t="shared" ca="1" si="86"/>
        <v>3.022621519865067</v>
      </c>
      <c r="R92" s="1">
        <f t="shared" ca="1" si="87"/>
        <v>266</v>
      </c>
      <c r="S92" s="1"/>
      <c r="T92" s="1">
        <f t="shared" ca="1" si="88"/>
        <v>5.456001515114256E-2</v>
      </c>
      <c r="U92" s="1">
        <f t="shared" ca="1" si="89"/>
        <v>420</v>
      </c>
      <c r="V92" s="1">
        <f t="shared" ca="1" si="90"/>
        <v>36</v>
      </c>
      <c r="W92" s="1"/>
      <c r="X92" s="1">
        <f t="shared" ca="1" si="91"/>
        <v>3.8529018139251683</v>
      </c>
      <c r="Y92" s="1">
        <f t="shared" ca="1" si="92"/>
        <v>0.32137869085318344</v>
      </c>
      <c r="Z92" s="1">
        <f t="shared" ca="1" si="93"/>
        <v>1098</v>
      </c>
      <c r="AB92" s="1">
        <f t="shared" ca="1" si="94"/>
        <v>0.32176763468900471</v>
      </c>
      <c r="AC92" s="1">
        <f t="shared" ca="1" si="95"/>
        <v>433</v>
      </c>
      <c r="AD92" s="1">
        <f t="shared" ca="1" si="96"/>
        <v>6.3529282970632072E-3</v>
      </c>
      <c r="AE92" s="1"/>
      <c r="AF92" s="1">
        <f t="shared" ca="1" si="97"/>
        <v>0.89558501354747722</v>
      </c>
      <c r="AG92" s="1">
        <f t="shared" ca="1" si="98"/>
        <v>208</v>
      </c>
      <c r="AH92" s="1">
        <f t="shared" ca="1" si="99"/>
        <v>5.9515716872101309E-3</v>
      </c>
      <c r="AJ92" s="1">
        <f t="shared" ca="1" si="100"/>
        <v>0.36997703345949029</v>
      </c>
      <c r="AK92" s="1">
        <f t="shared" ca="1" si="101"/>
        <v>5.2950758487718668E-3</v>
      </c>
      <c r="AL92" s="1"/>
      <c r="AM92" s="1">
        <f t="shared" ca="1" si="102"/>
        <v>7.3544199511214173E-2</v>
      </c>
      <c r="AN92" s="1">
        <f t="shared" ca="1" si="103"/>
        <v>39</v>
      </c>
      <c r="AO92" s="1">
        <f t="shared" ca="1" si="104"/>
        <v>20</v>
      </c>
      <c r="AQ92" s="1">
        <f t="shared" ca="1" si="105"/>
        <v>149</v>
      </c>
      <c r="AR92" s="1">
        <f t="shared" ca="1" si="106"/>
        <v>9</v>
      </c>
      <c r="AS92" s="1">
        <f t="shared" ca="1" si="107"/>
        <v>20</v>
      </c>
      <c r="AU92" s="1">
        <f t="shared" ca="1" si="108"/>
        <v>83</v>
      </c>
      <c r="AV92" s="1">
        <f t="shared" ca="1" si="109"/>
        <v>3</v>
      </c>
      <c r="AW92" s="1">
        <f t="shared" ca="1" si="110"/>
        <v>3.5560194254451075E-2</v>
      </c>
      <c r="AY92" s="1">
        <f t="shared" ca="1" si="111"/>
        <v>1.1872785872528611</v>
      </c>
      <c r="AZ92" s="1">
        <f t="shared" ca="1" si="112"/>
        <v>256</v>
      </c>
      <c r="BA92" s="1">
        <f t="shared" ca="1" si="113"/>
        <v>2.1631573314293438E-3</v>
      </c>
      <c r="BG92" s="1">
        <f t="shared" ca="1" si="114"/>
        <v>0.86872918612462346</v>
      </c>
      <c r="BH92" s="1">
        <f t="shared" ca="1" si="115"/>
        <v>0.35480387510652456</v>
      </c>
      <c r="BI92" s="1">
        <f t="shared" ca="1" si="116"/>
        <v>405</v>
      </c>
      <c r="BV92" s="1">
        <f t="shared" ca="1" si="117"/>
        <v>0.41447814527392079</v>
      </c>
      <c r="BW92" s="1">
        <f t="shared" ca="1" si="118"/>
        <v>719</v>
      </c>
      <c r="BX92" s="1">
        <f t="shared" ca="1" si="119"/>
        <v>5.5761940262277054E-3</v>
      </c>
      <c r="BY92" s="1">
        <f t="shared" ca="1" si="120"/>
        <v>4.1179318931941017E-2</v>
      </c>
      <c r="BZ92" s="1">
        <f t="shared" ca="1" si="121"/>
        <v>0.25139548973393699</v>
      </c>
      <c r="CB92" s="1">
        <f t="shared" ca="1" si="122"/>
        <v>272</v>
      </c>
      <c r="CC92" s="1">
        <f t="shared" ca="1" si="123"/>
        <v>4</v>
      </c>
      <c r="CD92" s="1">
        <f t="shared" ca="1" si="124"/>
        <v>0.23727493780857437</v>
      </c>
      <c r="CE92" s="1">
        <f t="shared" ca="1" si="125"/>
        <v>0.99776417831685493</v>
      </c>
      <c r="CF92" s="1">
        <f t="shared" ca="1" si="125"/>
        <v>0.83268852344688149</v>
      </c>
      <c r="CH92" s="3">
        <f t="shared" ca="1" si="126"/>
        <v>0.93640306103462034</v>
      </c>
      <c r="CI92" s="3">
        <f t="shared" ca="1" si="127"/>
        <v>0.41088871874024635</v>
      </c>
      <c r="CJ92" s="3">
        <f t="shared" ca="1" si="128"/>
        <v>1457</v>
      </c>
      <c r="CK92" s="3">
        <f t="shared" ca="1" si="129"/>
        <v>1.5067006554869481E-3</v>
      </c>
      <c r="CL92" s="3">
        <f t="shared" ca="1" si="130"/>
        <v>0</v>
      </c>
      <c r="CM92" s="3"/>
      <c r="CN92" s="1">
        <f t="shared" ca="1" si="131"/>
        <v>9.2188836957221429</v>
      </c>
      <c r="CO92" s="1">
        <f t="shared" ca="1" si="132"/>
        <v>0.33355823102699989</v>
      </c>
      <c r="CP92" s="1">
        <f t="shared" ca="1" si="133"/>
        <v>1</v>
      </c>
      <c r="CV92" s="1">
        <f t="shared" ca="1" si="134"/>
        <v>4.4898257499167347</v>
      </c>
      <c r="CW92" s="1">
        <f t="shared" ca="1" si="135"/>
        <v>1289</v>
      </c>
      <c r="CX92" s="1">
        <f t="shared" ca="1" si="136"/>
        <v>5.8500249546084059E-3</v>
      </c>
      <c r="DH92" s="1">
        <f t="shared" ca="1" si="137"/>
        <v>291</v>
      </c>
      <c r="DI92" s="1">
        <f t="shared" ca="1" si="138"/>
        <v>0.29123874636436453</v>
      </c>
      <c r="DJ92" s="1">
        <f t="shared" ca="1" si="139"/>
        <v>12</v>
      </c>
      <c r="DL92" s="1">
        <f t="shared" ca="1" si="140"/>
        <v>8.7597713257984516E-2</v>
      </c>
      <c r="DM92" s="1">
        <f t="shared" ca="1" si="141"/>
        <v>70</v>
      </c>
      <c r="DN92" s="1">
        <f t="shared" ca="1" si="142"/>
        <v>4</v>
      </c>
      <c r="DW92" s="1">
        <f t="shared" ca="1" si="143"/>
        <v>292</v>
      </c>
      <c r="DX92" s="1">
        <f t="shared" ca="1" si="144"/>
        <v>19</v>
      </c>
      <c r="DY92" s="1">
        <f t="shared" ca="1" si="145"/>
        <v>15</v>
      </c>
    </row>
    <row r="93" spans="2:129" x14ac:dyDescent="0.25">
      <c r="B93">
        <f t="shared" ca="1" si="75"/>
        <v>339</v>
      </c>
      <c r="C93">
        <f t="shared" ca="1" si="76"/>
        <v>36</v>
      </c>
      <c r="D93">
        <f t="shared" ca="1" si="77"/>
        <v>7.5188568956616658E-2</v>
      </c>
      <c r="F93" s="1">
        <f t="shared" ca="1" si="78"/>
        <v>22</v>
      </c>
      <c r="G93" s="1">
        <f t="shared" ca="1" si="79"/>
        <v>30</v>
      </c>
      <c r="H93" s="1">
        <f t="shared" ca="1" si="80"/>
        <v>12</v>
      </c>
      <c r="I93" s="1"/>
      <c r="J93" s="1">
        <f t="shared" ca="1" si="81"/>
        <v>33</v>
      </c>
      <c r="K93" s="1">
        <f t="shared" ca="1" si="82"/>
        <v>2.7286633732667047</v>
      </c>
      <c r="L93" s="1">
        <f t="shared" ca="1" si="83"/>
        <v>23</v>
      </c>
      <c r="M93" s="1"/>
      <c r="N93" s="1">
        <f t="shared" ca="1" si="84"/>
        <v>229</v>
      </c>
      <c r="O93" s="1">
        <f t="shared" ca="1" si="85"/>
        <v>23</v>
      </c>
      <c r="P93" s="1"/>
      <c r="Q93" s="1">
        <f t="shared" ca="1" si="86"/>
        <v>2.0308392068625092</v>
      </c>
      <c r="R93" s="1">
        <f t="shared" ca="1" si="87"/>
        <v>955</v>
      </c>
      <c r="S93" s="1"/>
      <c r="T93" s="1">
        <f t="shared" ca="1" si="88"/>
        <v>3.7489102449535232E-2</v>
      </c>
      <c r="U93" s="1">
        <f t="shared" ca="1" si="89"/>
        <v>89</v>
      </c>
      <c r="V93" s="1">
        <f t="shared" ca="1" si="90"/>
        <v>33</v>
      </c>
      <c r="W93" s="1"/>
      <c r="X93" s="1">
        <f t="shared" ca="1" si="91"/>
        <v>2.863507253658431</v>
      </c>
      <c r="Y93" s="1">
        <f t="shared" ca="1" si="92"/>
        <v>0.37931289681000041</v>
      </c>
      <c r="Z93" s="1">
        <f t="shared" ca="1" si="93"/>
        <v>1789</v>
      </c>
      <c r="AB93" s="1">
        <f t="shared" ca="1" si="94"/>
        <v>0.94641822995632097</v>
      </c>
      <c r="AC93" s="1">
        <f t="shared" ca="1" si="95"/>
        <v>865</v>
      </c>
      <c r="AD93" s="1">
        <f t="shared" ca="1" si="96"/>
        <v>9.9835468322220181E-3</v>
      </c>
      <c r="AE93" s="1"/>
      <c r="AF93" s="1">
        <f t="shared" ca="1" si="97"/>
        <v>0.14276479357039751</v>
      </c>
      <c r="AG93" s="1">
        <f t="shared" ca="1" si="98"/>
        <v>714</v>
      </c>
      <c r="AH93" s="1">
        <f t="shared" ca="1" si="99"/>
        <v>1.9823200889151436E-3</v>
      </c>
      <c r="AJ93" s="1">
        <f t="shared" ca="1" si="100"/>
        <v>0.30802573196238114</v>
      </c>
      <c r="AK93" s="1">
        <f t="shared" ca="1" si="101"/>
        <v>1.0779423884358964E-3</v>
      </c>
      <c r="AL93" s="1"/>
      <c r="AM93" s="1">
        <f t="shared" ca="1" si="102"/>
        <v>6.8844693950770239E-2</v>
      </c>
      <c r="AN93" s="1">
        <f t="shared" ca="1" si="103"/>
        <v>19</v>
      </c>
      <c r="AO93" s="1">
        <f t="shared" ca="1" si="104"/>
        <v>5</v>
      </c>
      <c r="AQ93" s="1">
        <f t="shared" ca="1" si="105"/>
        <v>113</v>
      </c>
      <c r="AR93" s="1">
        <f t="shared" ca="1" si="106"/>
        <v>2</v>
      </c>
      <c r="AS93" s="1">
        <f t="shared" ca="1" si="107"/>
        <v>56</v>
      </c>
      <c r="AU93" s="1">
        <f t="shared" ca="1" si="108"/>
        <v>146</v>
      </c>
      <c r="AV93" s="1">
        <f t="shared" ca="1" si="109"/>
        <v>8</v>
      </c>
      <c r="AW93" s="1">
        <f t="shared" ca="1" si="110"/>
        <v>5.4094067067909417E-2</v>
      </c>
      <c r="AY93" s="1">
        <f t="shared" ca="1" si="111"/>
        <v>1.1556423560288884</v>
      </c>
      <c r="AZ93" s="1">
        <f t="shared" ca="1" si="112"/>
        <v>386</v>
      </c>
      <c r="BA93" s="1">
        <f t="shared" ca="1" si="113"/>
        <v>3.5255304607059819E-3</v>
      </c>
      <c r="BG93" s="1">
        <f t="shared" ca="1" si="114"/>
        <v>0.33633865549942493</v>
      </c>
      <c r="BH93" s="1">
        <f t="shared" ca="1" si="115"/>
        <v>0.86137768309436324</v>
      </c>
      <c r="BI93" s="1">
        <f t="shared" ca="1" si="116"/>
        <v>765</v>
      </c>
      <c r="BV93" s="1">
        <f t="shared" ca="1" si="117"/>
        <v>0.78932529675787022</v>
      </c>
      <c r="BW93" s="1">
        <f t="shared" ca="1" si="118"/>
        <v>931</v>
      </c>
      <c r="BX93" s="1">
        <f t="shared" ca="1" si="119"/>
        <v>5.8082568749451965E-3</v>
      </c>
      <c r="BY93" s="1">
        <f t="shared" ca="1" si="120"/>
        <v>4.6554106400344818E-2</v>
      </c>
      <c r="BZ93" s="1">
        <f t="shared" ca="1" si="121"/>
        <v>0.47668187729061251</v>
      </c>
      <c r="CB93" s="1">
        <f t="shared" ca="1" si="122"/>
        <v>368</v>
      </c>
      <c r="CC93" s="1">
        <f t="shared" ca="1" si="123"/>
        <v>3</v>
      </c>
      <c r="CD93" s="1">
        <f t="shared" ca="1" si="124"/>
        <v>0.15014343604731234</v>
      </c>
      <c r="CE93" s="1">
        <f t="shared" ca="1" si="125"/>
        <v>0.64134754676588668</v>
      </c>
      <c r="CF93" s="1">
        <f t="shared" ca="1" si="125"/>
        <v>0.74462402668928673</v>
      </c>
      <c r="CH93" s="3">
        <f t="shared" ca="1" si="126"/>
        <v>0.45214023218249699</v>
      </c>
      <c r="CI93" s="3">
        <f t="shared" ca="1" si="127"/>
        <v>0.6448625124738192</v>
      </c>
      <c r="CJ93" s="3">
        <f t="shared" ca="1" si="128"/>
        <v>132</v>
      </c>
      <c r="CK93" s="3">
        <f t="shared" ca="1" si="129"/>
        <v>4.0240883904690833E-4</v>
      </c>
      <c r="CL93" s="3">
        <f t="shared" ca="1" si="130"/>
        <v>0</v>
      </c>
      <c r="CM93" s="3"/>
      <c r="CN93" s="1">
        <f t="shared" ca="1" si="131"/>
        <v>0.65400576214963801</v>
      </c>
      <c r="CO93" s="1">
        <f t="shared" ca="1" si="132"/>
        <v>0.47499074628584337</v>
      </c>
      <c r="CP93" s="1">
        <f t="shared" ca="1" si="133"/>
        <v>1</v>
      </c>
      <c r="CV93" s="1">
        <f t="shared" ca="1" si="134"/>
        <v>2.6997381667934301</v>
      </c>
      <c r="CW93" s="1">
        <f t="shared" ca="1" si="135"/>
        <v>587</v>
      </c>
      <c r="CX93" s="1">
        <f t="shared" ca="1" si="136"/>
        <v>1.9357612712405535E-3</v>
      </c>
      <c r="DH93" s="1">
        <f t="shared" ca="1" si="137"/>
        <v>203</v>
      </c>
      <c r="DI93" s="1">
        <f t="shared" ca="1" si="138"/>
        <v>0.25724449677643724</v>
      </c>
      <c r="DJ93" s="1">
        <f t="shared" ca="1" si="139"/>
        <v>4</v>
      </c>
      <c r="DL93" s="1">
        <f t="shared" ca="1" si="140"/>
        <v>0.18086977105418547</v>
      </c>
      <c r="DM93" s="1">
        <f t="shared" ca="1" si="141"/>
        <v>133</v>
      </c>
      <c r="DN93" s="1">
        <f t="shared" ca="1" si="142"/>
        <v>5</v>
      </c>
      <c r="DW93" s="1">
        <f t="shared" ca="1" si="143"/>
        <v>139</v>
      </c>
      <c r="DX93" s="1">
        <f t="shared" ca="1" si="144"/>
        <v>15</v>
      </c>
      <c r="DY93" s="1">
        <f t="shared" ca="1" si="145"/>
        <v>8</v>
      </c>
    </row>
    <row r="94" spans="2:129" x14ac:dyDescent="0.25">
      <c r="B94">
        <f t="shared" ca="1" si="75"/>
        <v>679</v>
      </c>
      <c r="C94">
        <f t="shared" ca="1" si="76"/>
        <v>20</v>
      </c>
      <c r="D94">
        <f t="shared" ca="1" si="77"/>
        <v>0.19993451654242583</v>
      </c>
      <c r="F94" s="1">
        <f t="shared" ca="1" si="78"/>
        <v>28</v>
      </c>
      <c r="G94" s="1">
        <f t="shared" ca="1" si="79"/>
        <v>15</v>
      </c>
      <c r="H94" s="1">
        <f t="shared" ca="1" si="80"/>
        <v>7</v>
      </c>
      <c r="I94" s="1"/>
      <c r="J94" s="1">
        <f t="shared" ca="1" si="81"/>
        <v>24</v>
      </c>
      <c r="K94" s="1">
        <f t="shared" ca="1" si="82"/>
        <v>2.3163039810016186</v>
      </c>
      <c r="L94" s="1">
        <f t="shared" ca="1" si="83"/>
        <v>29</v>
      </c>
      <c r="M94" s="1"/>
      <c r="N94" s="1">
        <f t="shared" ca="1" si="84"/>
        <v>581</v>
      </c>
      <c r="O94" s="1">
        <f t="shared" ca="1" si="85"/>
        <v>13</v>
      </c>
      <c r="P94" s="1"/>
      <c r="Q94" s="1">
        <f t="shared" ca="1" si="86"/>
        <v>0.75612556869990011</v>
      </c>
      <c r="R94" s="1">
        <f t="shared" ca="1" si="87"/>
        <v>443</v>
      </c>
      <c r="S94" s="1"/>
      <c r="T94" s="1">
        <f t="shared" ca="1" si="88"/>
        <v>0.19316593893890599</v>
      </c>
      <c r="U94" s="1">
        <f t="shared" ca="1" si="89"/>
        <v>256</v>
      </c>
      <c r="V94" s="1">
        <f t="shared" ca="1" si="90"/>
        <v>14</v>
      </c>
      <c r="W94" s="1"/>
      <c r="X94" s="1">
        <f t="shared" ca="1" si="91"/>
        <v>6.7857358614500338</v>
      </c>
      <c r="Y94" s="1">
        <f t="shared" ca="1" si="92"/>
        <v>0.41036706448866228</v>
      </c>
      <c r="Z94" s="1">
        <f t="shared" ca="1" si="93"/>
        <v>319</v>
      </c>
      <c r="AB94" s="1">
        <f t="shared" ca="1" si="94"/>
        <v>0.3329162079614027</v>
      </c>
      <c r="AC94" s="1">
        <f t="shared" ca="1" si="95"/>
        <v>211</v>
      </c>
      <c r="AD94" s="1">
        <f t="shared" ca="1" si="96"/>
        <v>3.1277155969707355E-3</v>
      </c>
      <c r="AE94" s="1"/>
      <c r="AF94" s="1">
        <f t="shared" ca="1" si="97"/>
        <v>0.19840508480784946</v>
      </c>
      <c r="AG94" s="1">
        <f t="shared" ca="1" si="98"/>
        <v>576</v>
      </c>
      <c r="AH94" s="1">
        <f t="shared" ca="1" si="99"/>
        <v>8.015892406209351E-3</v>
      </c>
      <c r="AJ94" s="1">
        <f t="shared" ca="1" si="100"/>
        <v>0.67881139047160355</v>
      </c>
      <c r="AK94" s="1">
        <f t="shared" ca="1" si="101"/>
        <v>9.1463639357564387E-3</v>
      </c>
      <c r="AL94" s="1"/>
      <c r="AM94" s="1">
        <f t="shared" ca="1" si="102"/>
        <v>0.13261200870589629</v>
      </c>
      <c r="AN94" s="1">
        <f t="shared" ca="1" si="103"/>
        <v>70</v>
      </c>
      <c r="AO94" s="1">
        <f t="shared" ca="1" si="104"/>
        <v>9</v>
      </c>
      <c r="AQ94" s="1">
        <f t="shared" ca="1" si="105"/>
        <v>185</v>
      </c>
      <c r="AR94" s="1">
        <f t="shared" ca="1" si="106"/>
        <v>4</v>
      </c>
      <c r="AS94" s="1">
        <f t="shared" ca="1" si="107"/>
        <v>78</v>
      </c>
      <c r="AU94" s="1">
        <f t="shared" ca="1" si="108"/>
        <v>50</v>
      </c>
      <c r="AV94" s="1">
        <f t="shared" ca="1" si="109"/>
        <v>3</v>
      </c>
      <c r="AW94" s="1">
        <f t="shared" ca="1" si="110"/>
        <v>0.18967609234274269</v>
      </c>
      <c r="AY94" s="1">
        <f t="shared" ca="1" si="111"/>
        <v>1.4086638277654999</v>
      </c>
      <c r="AZ94" s="1">
        <f t="shared" ca="1" si="112"/>
        <v>352</v>
      </c>
      <c r="BA94" s="1">
        <f t="shared" ca="1" si="113"/>
        <v>7.0772125610696641E-3</v>
      </c>
      <c r="BG94" s="1">
        <f t="shared" ca="1" si="114"/>
        <v>0.94791895168505613</v>
      </c>
      <c r="BH94" s="1">
        <f t="shared" ca="1" si="115"/>
        <v>0.53384715194362753</v>
      </c>
      <c r="BI94" s="1">
        <f t="shared" ca="1" si="116"/>
        <v>924</v>
      </c>
      <c r="BV94" s="1">
        <f t="shared" ca="1" si="117"/>
        <v>0.29869672569283295</v>
      </c>
      <c r="BW94" s="1">
        <f t="shared" ca="1" si="118"/>
        <v>851</v>
      </c>
      <c r="BX94" s="1">
        <f t="shared" ca="1" si="119"/>
        <v>8.1501513351114364E-3</v>
      </c>
      <c r="BY94" s="1">
        <f t="shared" ca="1" si="120"/>
        <v>9.0278745956699866E-2</v>
      </c>
      <c r="BZ94" s="1">
        <f t="shared" ca="1" si="121"/>
        <v>0.81263525816822169</v>
      </c>
      <c r="CB94" s="1">
        <f t="shared" ca="1" si="122"/>
        <v>390</v>
      </c>
      <c r="CC94" s="1">
        <f t="shared" ca="1" si="123"/>
        <v>8</v>
      </c>
      <c r="CD94" s="1">
        <f t="shared" ca="1" si="124"/>
        <v>2.8117366150727345E-2</v>
      </c>
      <c r="CE94" s="1">
        <f t="shared" ca="1" si="125"/>
        <v>0.99901904026315791</v>
      </c>
      <c r="CF94" s="1">
        <f t="shared" ca="1" si="125"/>
        <v>0.96591594089721311</v>
      </c>
      <c r="CH94" s="3">
        <f t="shared" ca="1" si="126"/>
        <v>0.82902968972955615</v>
      </c>
      <c r="CI94" s="3">
        <f t="shared" ca="1" si="127"/>
        <v>0.21781822215108809</v>
      </c>
      <c r="CJ94" s="3">
        <f t="shared" ca="1" si="128"/>
        <v>1899</v>
      </c>
      <c r="CK94" s="3">
        <f t="shared" ca="1" si="129"/>
        <v>5.8866734165517014E-3</v>
      </c>
      <c r="CL94" s="3">
        <f t="shared" ca="1" si="130"/>
        <v>0</v>
      </c>
      <c r="CM94" s="3"/>
      <c r="CN94" s="1">
        <f t="shared" ca="1" si="131"/>
        <v>14.279540597181931</v>
      </c>
      <c r="CO94" s="1">
        <f t="shared" ca="1" si="132"/>
        <v>0.11947998747859209</v>
      </c>
      <c r="CP94" s="1">
        <f t="shared" ca="1" si="133"/>
        <v>1</v>
      </c>
      <c r="CV94" s="1">
        <f t="shared" ca="1" si="134"/>
        <v>0.88583011484913299</v>
      </c>
      <c r="CW94" s="1">
        <f t="shared" ca="1" si="135"/>
        <v>1506</v>
      </c>
      <c r="CX94" s="1">
        <f t="shared" ca="1" si="136"/>
        <v>5.5139259749069384E-3</v>
      </c>
      <c r="DH94" s="1">
        <f t="shared" ca="1" si="137"/>
        <v>563</v>
      </c>
      <c r="DI94" s="1">
        <f t="shared" ca="1" si="138"/>
        <v>0.98962854127520483</v>
      </c>
      <c r="DJ94" s="1">
        <f t="shared" ca="1" si="139"/>
        <v>5</v>
      </c>
      <c r="DL94" s="1">
        <f t="shared" ca="1" si="140"/>
        <v>2.4175373587325348E-2</v>
      </c>
      <c r="DM94" s="1">
        <f t="shared" ca="1" si="141"/>
        <v>275</v>
      </c>
      <c r="DN94" s="1">
        <f t="shared" ca="1" si="142"/>
        <v>9</v>
      </c>
      <c r="DW94" s="1">
        <f t="shared" ca="1" si="143"/>
        <v>496</v>
      </c>
      <c r="DX94" s="1">
        <f t="shared" ca="1" si="144"/>
        <v>17</v>
      </c>
      <c r="DY94" s="1">
        <f t="shared" ca="1" si="145"/>
        <v>16</v>
      </c>
    </row>
    <row r="95" spans="2:129" x14ac:dyDescent="0.25">
      <c r="B95">
        <f t="shared" ca="1" si="75"/>
        <v>34</v>
      </c>
      <c r="C95">
        <f t="shared" ca="1" si="76"/>
        <v>29</v>
      </c>
      <c r="D95">
        <f t="shared" ca="1" si="77"/>
        <v>9.4558667368770333E-2</v>
      </c>
      <c r="F95" s="1">
        <f t="shared" ca="1" si="78"/>
        <v>23</v>
      </c>
      <c r="G95" s="1">
        <f t="shared" ca="1" si="79"/>
        <v>9</v>
      </c>
      <c r="H95" s="1">
        <f t="shared" ca="1" si="80"/>
        <v>7</v>
      </c>
      <c r="I95" s="1"/>
      <c r="J95" s="1">
        <f t="shared" ca="1" si="81"/>
        <v>4</v>
      </c>
      <c r="K95" s="1">
        <f t="shared" ca="1" si="82"/>
        <v>1.8375223504731837</v>
      </c>
      <c r="L95" s="1">
        <f t="shared" ca="1" si="83"/>
        <v>5</v>
      </c>
      <c r="M95" s="1"/>
      <c r="N95" s="1">
        <f t="shared" ca="1" si="84"/>
        <v>629</v>
      </c>
      <c r="O95" s="1">
        <f t="shared" ca="1" si="85"/>
        <v>50</v>
      </c>
      <c r="P95" s="1"/>
      <c r="Q95" s="1">
        <f t="shared" ca="1" si="86"/>
        <v>2.391010556048756</v>
      </c>
      <c r="R95" s="1">
        <f t="shared" ca="1" si="87"/>
        <v>1044</v>
      </c>
      <c r="S95" s="1"/>
      <c r="T95" s="1">
        <f t="shared" ca="1" si="88"/>
        <v>0.16278144386228946</v>
      </c>
      <c r="U95" s="1">
        <f t="shared" ca="1" si="89"/>
        <v>67</v>
      </c>
      <c r="V95" s="1">
        <f t="shared" ca="1" si="90"/>
        <v>51</v>
      </c>
      <c r="W95" s="1"/>
      <c r="X95" s="1">
        <f t="shared" ca="1" si="91"/>
        <v>1.1981133934358899</v>
      </c>
      <c r="Y95" s="1">
        <f t="shared" ca="1" si="92"/>
        <v>0.16340262833966912</v>
      </c>
      <c r="Z95" s="1">
        <f t="shared" ca="1" si="93"/>
        <v>341</v>
      </c>
      <c r="AB95" s="1">
        <f t="shared" ca="1" si="94"/>
        <v>0.96999638586779446</v>
      </c>
      <c r="AC95" s="1">
        <f t="shared" ca="1" si="95"/>
        <v>316</v>
      </c>
      <c r="AD95" s="1">
        <f t="shared" ca="1" si="96"/>
        <v>7.8714146286854875E-3</v>
      </c>
      <c r="AE95" s="1"/>
      <c r="AF95" s="1">
        <f t="shared" ca="1" si="97"/>
        <v>0.51756389115027879</v>
      </c>
      <c r="AG95" s="1">
        <f t="shared" ca="1" si="98"/>
        <v>170</v>
      </c>
      <c r="AH95" s="1">
        <f t="shared" ca="1" si="99"/>
        <v>4.3407039672991666E-3</v>
      </c>
      <c r="AJ95" s="1">
        <f t="shared" ca="1" si="100"/>
        <v>0.64958985570734473</v>
      </c>
      <c r="AK95" s="1">
        <f t="shared" ca="1" si="101"/>
        <v>1.0352420871417513E-3</v>
      </c>
      <c r="AL95" s="1"/>
      <c r="AM95" s="1">
        <f t="shared" ca="1" si="102"/>
        <v>0.18847619659401918</v>
      </c>
      <c r="AN95" s="1">
        <f t="shared" ca="1" si="103"/>
        <v>54</v>
      </c>
      <c r="AO95" s="1">
        <f t="shared" ca="1" si="104"/>
        <v>4</v>
      </c>
      <c r="AQ95" s="1">
        <f t="shared" ca="1" si="105"/>
        <v>29</v>
      </c>
      <c r="AR95" s="1">
        <f t="shared" ca="1" si="106"/>
        <v>0</v>
      </c>
      <c r="AS95" s="1">
        <f t="shared" ca="1" si="107"/>
        <v>63</v>
      </c>
      <c r="AU95" s="1">
        <f t="shared" ca="1" si="108"/>
        <v>119</v>
      </c>
      <c r="AV95" s="1">
        <f t="shared" ca="1" si="109"/>
        <v>10</v>
      </c>
      <c r="AW95" s="1">
        <f t="shared" ca="1" si="110"/>
        <v>0.13387940168206261</v>
      </c>
      <c r="AY95" s="1">
        <f t="shared" ca="1" si="111"/>
        <v>1.7751290897271126</v>
      </c>
      <c r="AZ95" s="1">
        <f t="shared" ca="1" si="112"/>
        <v>212</v>
      </c>
      <c r="BA95" s="1">
        <f t="shared" ca="1" si="113"/>
        <v>2.524150221779869E-3</v>
      </c>
      <c r="BG95" s="1">
        <f t="shared" ca="1" si="114"/>
        <v>0.33175816169345668</v>
      </c>
      <c r="BH95" s="1">
        <f t="shared" ca="1" si="115"/>
        <v>0.22090990508310471</v>
      </c>
      <c r="BI95" s="1">
        <f t="shared" ca="1" si="116"/>
        <v>459</v>
      </c>
      <c r="BV95" s="1">
        <f t="shared" ca="1" si="117"/>
        <v>0.50098248159689318</v>
      </c>
      <c r="BW95" s="1">
        <f t="shared" ca="1" si="118"/>
        <v>748</v>
      </c>
      <c r="BX95" s="1">
        <f t="shared" ca="1" si="119"/>
        <v>7.3095540657571291E-4</v>
      </c>
      <c r="BY95" s="1">
        <f t="shared" ca="1" si="120"/>
        <v>7.7448821559301273E-2</v>
      </c>
      <c r="BZ95" s="1">
        <f t="shared" ca="1" si="121"/>
        <v>0.37372088797702296</v>
      </c>
      <c r="CB95" s="1">
        <f t="shared" ca="1" si="122"/>
        <v>145</v>
      </c>
      <c r="CC95" s="1">
        <f t="shared" ca="1" si="123"/>
        <v>5</v>
      </c>
      <c r="CD95" s="1">
        <f t="shared" ca="1" si="124"/>
        <v>0.13930058637873857</v>
      </c>
      <c r="CE95" s="1">
        <f t="shared" ca="1" si="125"/>
        <v>0.93879837757872808</v>
      </c>
      <c r="CF95" s="1">
        <f t="shared" ca="1" si="125"/>
        <v>0.79328915204020456</v>
      </c>
      <c r="CH95" s="3">
        <f t="shared" ca="1" si="126"/>
        <v>0.32335316853021784</v>
      </c>
      <c r="CI95" s="3">
        <f t="shared" ca="1" si="127"/>
        <v>0.59083081166569384</v>
      </c>
      <c r="CJ95" s="3">
        <f t="shared" ca="1" si="128"/>
        <v>1926</v>
      </c>
      <c r="CK95" s="3">
        <f t="shared" ca="1" si="129"/>
        <v>8.6270499034276759E-3</v>
      </c>
      <c r="CL95" s="3">
        <f t="shared" ca="1" si="130"/>
        <v>1</v>
      </c>
      <c r="CM95" s="3"/>
      <c r="CN95" s="1">
        <f t="shared" ca="1" si="131"/>
        <v>17.870034419406945</v>
      </c>
      <c r="CO95" s="1">
        <f t="shared" ca="1" si="132"/>
        <v>1.5233525856489818E-2</v>
      </c>
      <c r="CP95" s="1">
        <f t="shared" ca="1" si="133"/>
        <v>2</v>
      </c>
      <c r="CV95" s="1">
        <f t="shared" ca="1" si="134"/>
        <v>3.8156613724854642</v>
      </c>
      <c r="CW95" s="1">
        <f t="shared" ca="1" si="135"/>
        <v>754</v>
      </c>
      <c r="CX95" s="1">
        <f t="shared" ca="1" si="136"/>
        <v>7.3890165015898833E-3</v>
      </c>
      <c r="DH95" s="1">
        <f t="shared" ca="1" si="137"/>
        <v>116</v>
      </c>
      <c r="DI95" s="1">
        <f t="shared" ca="1" si="138"/>
        <v>0.98612356509668031</v>
      </c>
      <c r="DJ95" s="1">
        <f t="shared" ca="1" si="139"/>
        <v>6</v>
      </c>
      <c r="DL95" s="1">
        <f t="shared" ca="1" si="140"/>
        <v>0.18145629528742094</v>
      </c>
      <c r="DM95" s="1">
        <f t="shared" ca="1" si="141"/>
        <v>276</v>
      </c>
      <c r="DN95" s="1">
        <f t="shared" ca="1" si="142"/>
        <v>6</v>
      </c>
      <c r="DW95" s="1">
        <f t="shared" ca="1" si="143"/>
        <v>205</v>
      </c>
      <c r="DX95" s="1">
        <f t="shared" ca="1" si="144"/>
        <v>10</v>
      </c>
      <c r="DY95" s="1">
        <f t="shared" ca="1" si="145"/>
        <v>4</v>
      </c>
    </row>
    <row r="96" spans="2:129" x14ac:dyDescent="0.25">
      <c r="B96">
        <f t="shared" ca="1" si="75"/>
        <v>900</v>
      </c>
      <c r="C96">
        <f t="shared" ca="1" si="76"/>
        <v>6</v>
      </c>
      <c r="D96">
        <f t="shared" ca="1" si="77"/>
        <v>1.9360245605687287E-2</v>
      </c>
      <c r="F96" s="1">
        <f t="shared" ca="1" si="78"/>
        <v>7</v>
      </c>
      <c r="G96" s="1">
        <f t="shared" ca="1" si="79"/>
        <v>18</v>
      </c>
      <c r="H96" s="1">
        <f t="shared" ca="1" si="80"/>
        <v>6</v>
      </c>
      <c r="I96" s="1"/>
      <c r="J96" s="1">
        <f t="shared" ca="1" si="81"/>
        <v>7</v>
      </c>
      <c r="K96" s="1">
        <f t="shared" ca="1" si="82"/>
        <v>1.5360904623860565</v>
      </c>
      <c r="L96" s="1">
        <f t="shared" ca="1" si="83"/>
        <v>29</v>
      </c>
      <c r="M96" s="1"/>
      <c r="N96" s="1">
        <f t="shared" ca="1" si="84"/>
        <v>326</v>
      </c>
      <c r="O96" s="1">
        <f t="shared" ca="1" si="85"/>
        <v>3</v>
      </c>
      <c r="P96" s="1"/>
      <c r="Q96" s="1">
        <f t="shared" ca="1" si="86"/>
        <v>4.1797287464381148</v>
      </c>
      <c r="R96" s="1">
        <f t="shared" ca="1" si="87"/>
        <v>836</v>
      </c>
      <c r="S96" s="1"/>
      <c r="T96" s="1">
        <f t="shared" ca="1" si="88"/>
        <v>8.3512468766519521E-2</v>
      </c>
      <c r="U96" s="1">
        <f t="shared" ca="1" si="89"/>
        <v>371</v>
      </c>
      <c r="V96" s="1">
        <f t="shared" ca="1" si="90"/>
        <v>11</v>
      </c>
      <c r="W96" s="1"/>
      <c r="X96" s="1">
        <f t="shared" ca="1" si="91"/>
        <v>8.3941194029670854</v>
      </c>
      <c r="Y96" s="1">
        <f t="shared" ca="1" si="92"/>
        <v>3.9024767561721331E-2</v>
      </c>
      <c r="Z96" s="1">
        <f t="shared" ca="1" si="93"/>
        <v>200</v>
      </c>
      <c r="AB96" s="1">
        <f t="shared" ca="1" si="94"/>
        <v>0.6132006465343226</v>
      </c>
      <c r="AC96" s="1">
        <f t="shared" ca="1" si="95"/>
        <v>234</v>
      </c>
      <c r="AD96" s="1">
        <f t="shared" ca="1" si="96"/>
        <v>6.8034225083721273E-3</v>
      </c>
      <c r="AE96" s="1"/>
      <c r="AF96" s="1">
        <f t="shared" ca="1" si="97"/>
        <v>0.43179132621146998</v>
      </c>
      <c r="AG96" s="1">
        <f t="shared" ca="1" si="98"/>
        <v>585</v>
      </c>
      <c r="AH96" s="1">
        <f t="shared" ca="1" si="99"/>
        <v>1.7220026975602238E-3</v>
      </c>
      <c r="AJ96" s="1">
        <f t="shared" ca="1" si="100"/>
        <v>0.12190801318291766</v>
      </c>
      <c r="AK96" s="1">
        <f t="shared" ca="1" si="101"/>
        <v>2.6597610261914206E-3</v>
      </c>
      <c r="AL96" s="1"/>
      <c r="AM96" s="1">
        <f t="shared" ca="1" si="102"/>
        <v>0.11802341295313734</v>
      </c>
      <c r="AN96" s="1">
        <f t="shared" ca="1" si="103"/>
        <v>25</v>
      </c>
      <c r="AO96" s="1">
        <f t="shared" ca="1" si="104"/>
        <v>12</v>
      </c>
      <c r="AQ96" s="1">
        <f t="shared" ca="1" si="105"/>
        <v>117</v>
      </c>
      <c r="AR96" s="1">
        <f t="shared" ca="1" si="106"/>
        <v>7</v>
      </c>
      <c r="AS96" s="1">
        <f t="shared" ca="1" si="107"/>
        <v>98</v>
      </c>
      <c r="AU96" s="1">
        <f t="shared" ca="1" si="108"/>
        <v>175</v>
      </c>
      <c r="AV96" s="1">
        <f t="shared" ca="1" si="109"/>
        <v>9</v>
      </c>
      <c r="AW96" s="1">
        <f t="shared" ca="1" si="110"/>
        <v>2.8132629067314847E-2</v>
      </c>
      <c r="AY96" s="1">
        <f t="shared" ca="1" si="111"/>
        <v>1.3732738336167758</v>
      </c>
      <c r="AZ96" s="1">
        <f t="shared" ca="1" si="112"/>
        <v>247</v>
      </c>
      <c r="BA96" s="1">
        <f t="shared" ca="1" si="113"/>
        <v>1.42626212093716E-3</v>
      </c>
      <c r="BG96" s="1">
        <f t="shared" ca="1" si="114"/>
        <v>0.58442681189758894</v>
      </c>
      <c r="BH96" s="1">
        <f t="shared" ca="1" si="115"/>
        <v>0.40124952031268146</v>
      </c>
      <c r="BI96" s="1">
        <f t="shared" ca="1" si="116"/>
        <v>832</v>
      </c>
      <c r="BV96" s="1">
        <f t="shared" ca="1" si="117"/>
        <v>0.315622197423582</v>
      </c>
      <c r="BW96" s="1">
        <f t="shared" ca="1" si="118"/>
        <v>489</v>
      </c>
      <c r="BX96" s="1">
        <f t="shared" ca="1" si="119"/>
        <v>2.1357573315393318E-4</v>
      </c>
      <c r="BY96" s="1">
        <f t="shared" ca="1" si="120"/>
        <v>4.3338329314359561E-2</v>
      </c>
      <c r="BZ96" s="1">
        <f t="shared" ca="1" si="121"/>
        <v>0.94803649875199869</v>
      </c>
      <c r="CB96" s="1">
        <f t="shared" ca="1" si="122"/>
        <v>483</v>
      </c>
      <c r="CC96" s="1">
        <f t="shared" ca="1" si="123"/>
        <v>7</v>
      </c>
      <c r="CD96" s="1">
        <f t="shared" ca="1" si="124"/>
        <v>7.4310071159419788E-2</v>
      </c>
      <c r="CE96" s="1">
        <f t="shared" ca="1" si="125"/>
        <v>0.9724947953693448</v>
      </c>
      <c r="CF96" s="1">
        <f t="shared" ca="1" si="125"/>
        <v>0.73680513775795664</v>
      </c>
      <c r="CH96" s="3">
        <f t="shared" ca="1" si="126"/>
        <v>0.72543377161580691</v>
      </c>
      <c r="CI96" s="3">
        <f t="shared" ca="1" si="127"/>
        <v>0.11203783925293309</v>
      </c>
      <c r="CJ96" s="3">
        <f t="shared" ca="1" si="128"/>
        <v>460</v>
      </c>
      <c r="CK96" s="3">
        <f t="shared" ca="1" si="129"/>
        <v>2.0555270318146071E-3</v>
      </c>
      <c r="CL96" s="3">
        <f t="shared" ca="1" si="130"/>
        <v>0</v>
      </c>
      <c r="CM96" s="3"/>
      <c r="CN96" s="1">
        <f t="shared" ca="1" si="131"/>
        <v>13.30613151777502</v>
      </c>
      <c r="CO96" s="1">
        <f t="shared" ca="1" si="132"/>
        <v>5.0369700238882355E-2</v>
      </c>
      <c r="CP96" s="1">
        <f t="shared" ca="1" si="133"/>
        <v>4</v>
      </c>
      <c r="CV96" s="1">
        <f t="shared" ca="1" si="134"/>
        <v>4.0124148470265313</v>
      </c>
      <c r="CW96" s="1">
        <f t="shared" ca="1" si="135"/>
        <v>320</v>
      </c>
      <c r="CX96" s="1">
        <f t="shared" ca="1" si="136"/>
        <v>5.4099103927854513E-3</v>
      </c>
      <c r="DH96" s="1">
        <f t="shared" ca="1" si="137"/>
        <v>464</v>
      </c>
      <c r="DI96" s="1">
        <f t="shared" ca="1" si="138"/>
        <v>0.63512092885690841</v>
      </c>
      <c r="DJ96" s="1">
        <f t="shared" ca="1" si="139"/>
        <v>30</v>
      </c>
      <c r="DL96" s="1">
        <f t="shared" ca="1" si="140"/>
        <v>2.4523543154239082E-2</v>
      </c>
      <c r="DM96" s="1">
        <f t="shared" ca="1" si="141"/>
        <v>92</v>
      </c>
      <c r="DN96" s="1">
        <f t="shared" ca="1" si="142"/>
        <v>8</v>
      </c>
      <c r="DW96" s="1">
        <f t="shared" ca="1" si="143"/>
        <v>256</v>
      </c>
      <c r="DX96" s="1">
        <f t="shared" ca="1" si="144"/>
        <v>10</v>
      </c>
      <c r="DY96" s="1">
        <f t="shared" ca="1" si="145"/>
        <v>7</v>
      </c>
    </row>
    <row r="97" spans="2:129" x14ac:dyDescent="0.25">
      <c r="B97">
        <f t="shared" ca="1" si="75"/>
        <v>416</v>
      </c>
      <c r="C97">
        <f t="shared" ca="1" si="76"/>
        <v>18</v>
      </c>
      <c r="D97">
        <f t="shared" ca="1" si="77"/>
        <v>0.22569924916145015</v>
      </c>
      <c r="F97" s="1">
        <f t="shared" ca="1" si="78"/>
        <v>7</v>
      </c>
      <c r="G97" s="1">
        <f t="shared" ca="1" si="79"/>
        <v>16</v>
      </c>
      <c r="H97" s="1">
        <f t="shared" ca="1" si="80"/>
        <v>13</v>
      </c>
      <c r="I97" s="1"/>
      <c r="J97" s="1">
        <f t="shared" ca="1" si="81"/>
        <v>14</v>
      </c>
      <c r="K97" s="1">
        <f t="shared" ca="1" si="82"/>
        <v>1.5158283021227377</v>
      </c>
      <c r="L97" s="1">
        <f t="shared" ca="1" si="83"/>
        <v>17</v>
      </c>
      <c r="M97" s="1"/>
      <c r="N97" s="1">
        <f t="shared" ca="1" si="84"/>
        <v>818</v>
      </c>
      <c r="O97" s="1">
        <f t="shared" ca="1" si="85"/>
        <v>14</v>
      </c>
      <c r="P97" s="1"/>
      <c r="Q97" s="1">
        <f t="shared" ca="1" si="86"/>
        <v>1.7374942356763134</v>
      </c>
      <c r="R97" s="1">
        <f t="shared" ca="1" si="87"/>
        <v>1153</v>
      </c>
      <c r="S97" s="1"/>
      <c r="T97" s="1">
        <f t="shared" ca="1" si="88"/>
        <v>7.4933787809462984E-2</v>
      </c>
      <c r="U97" s="1">
        <f t="shared" ca="1" si="89"/>
        <v>237</v>
      </c>
      <c r="V97" s="1">
        <f t="shared" ca="1" si="90"/>
        <v>6</v>
      </c>
      <c r="W97" s="1"/>
      <c r="X97" s="1">
        <f t="shared" ca="1" si="91"/>
        <v>3.8360968343944295</v>
      </c>
      <c r="Y97" s="1">
        <f t="shared" ca="1" si="92"/>
        <v>0.94152136073243253</v>
      </c>
      <c r="Z97" s="1">
        <f t="shared" ca="1" si="93"/>
        <v>1252</v>
      </c>
      <c r="AB97" s="1">
        <f t="shared" ca="1" si="94"/>
        <v>0.54711630826961599</v>
      </c>
      <c r="AC97" s="1">
        <f t="shared" ca="1" si="95"/>
        <v>460</v>
      </c>
      <c r="AD97" s="1">
        <f t="shared" ca="1" si="96"/>
        <v>9.7979903885739832E-3</v>
      </c>
      <c r="AE97" s="1"/>
      <c r="AF97" s="1">
        <f t="shared" ca="1" si="97"/>
        <v>0.10940299854530044</v>
      </c>
      <c r="AG97" s="1">
        <f t="shared" ca="1" si="98"/>
        <v>768</v>
      </c>
      <c r="AH97" s="1">
        <f t="shared" ca="1" si="99"/>
        <v>8.8673729209715068E-5</v>
      </c>
      <c r="AJ97" s="1">
        <f t="shared" ca="1" si="100"/>
        <v>0.4133168359290722</v>
      </c>
      <c r="AK97" s="1">
        <f t="shared" ca="1" si="101"/>
        <v>1.007475228248556E-3</v>
      </c>
      <c r="AL97" s="1"/>
      <c r="AM97" s="1">
        <f t="shared" ca="1" si="102"/>
        <v>2.245341944194116E-2</v>
      </c>
      <c r="AN97" s="1">
        <f t="shared" ca="1" si="103"/>
        <v>10</v>
      </c>
      <c r="AO97" s="1">
        <f t="shared" ca="1" si="104"/>
        <v>16</v>
      </c>
      <c r="AQ97" s="1">
        <f t="shared" ca="1" si="105"/>
        <v>101</v>
      </c>
      <c r="AR97" s="1">
        <f t="shared" ca="1" si="106"/>
        <v>4</v>
      </c>
      <c r="AS97" s="1">
        <f t="shared" ca="1" si="107"/>
        <v>50</v>
      </c>
      <c r="AU97" s="1">
        <f t="shared" ca="1" si="108"/>
        <v>191</v>
      </c>
      <c r="AV97" s="1">
        <f t="shared" ca="1" si="109"/>
        <v>10</v>
      </c>
      <c r="AW97" s="1">
        <f t="shared" ca="1" si="110"/>
        <v>0.13588141508307677</v>
      </c>
      <c r="AY97" s="1">
        <f t="shared" ca="1" si="111"/>
        <v>1.113224290295636</v>
      </c>
      <c r="AZ97" s="1">
        <f t="shared" ca="1" si="112"/>
        <v>114</v>
      </c>
      <c r="BA97" s="1">
        <f t="shared" ca="1" si="113"/>
        <v>9.4280963677577986E-3</v>
      </c>
      <c r="BG97" s="1">
        <f t="shared" ca="1" si="114"/>
        <v>0.16869499834986643</v>
      </c>
      <c r="BH97" s="1">
        <f t="shared" ca="1" si="115"/>
        <v>0.70844258180555186</v>
      </c>
      <c r="BI97" s="1">
        <f t="shared" ca="1" si="116"/>
        <v>724</v>
      </c>
      <c r="BV97" s="1">
        <f t="shared" ca="1" si="117"/>
        <v>0.2044439359585758</v>
      </c>
      <c r="BW97" s="1">
        <f t="shared" ca="1" si="118"/>
        <v>476</v>
      </c>
      <c r="BX97" s="1">
        <f t="shared" ca="1" si="119"/>
        <v>2.1424805775368261E-3</v>
      </c>
      <c r="BY97" s="1">
        <f t="shared" ca="1" si="120"/>
        <v>9.0166136168677094E-2</v>
      </c>
      <c r="BZ97" s="1">
        <f t="shared" ca="1" si="121"/>
        <v>0.72321333353909112</v>
      </c>
      <c r="CB97" s="1">
        <f t="shared" ca="1" si="122"/>
        <v>224</v>
      </c>
      <c r="CC97" s="1">
        <f t="shared" ca="1" si="123"/>
        <v>14</v>
      </c>
      <c r="CD97" s="1">
        <f t="shared" ca="1" si="124"/>
        <v>4.1380946124920319E-2</v>
      </c>
      <c r="CE97" s="1">
        <f t="shared" ca="1" si="125"/>
        <v>0.75101903885102039</v>
      </c>
      <c r="CF97" s="1">
        <f t="shared" ca="1" si="125"/>
        <v>0.83638519695819857</v>
      </c>
      <c r="CH97" s="3">
        <f t="shared" ca="1" si="126"/>
        <v>0.51957832688982819</v>
      </c>
      <c r="CI97" s="3">
        <f t="shared" ca="1" si="127"/>
        <v>3.0793102140126462E-2</v>
      </c>
      <c r="CJ97" s="3">
        <f t="shared" ca="1" si="128"/>
        <v>189</v>
      </c>
      <c r="CK97" s="3">
        <f t="shared" ca="1" si="129"/>
        <v>8.5932804829070338E-3</v>
      </c>
      <c r="CL97" s="3">
        <f t="shared" ca="1" si="130"/>
        <v>1</v>
      </c>
      <c r="CM97" s="3"/>
      <c r="CN97" s="1">
        <f t="shared" ca="1" si="131"/>
        <v>12.121538749931341</v>
      </c>
      <c r="CO97" s="1">
        <f t="shared" ca="1" si="132"/>
        <v>0.12724290759902282</v>
      </c>
      <c r="CP97" s="1">
        <f t="shared" ca="1" si="133"/>
        <v>3</v>
      </c>
      <c r="CV97" s="1">
        <f t="shared" ca="1" si="134"/>
        <v>2.0119558735417198</v>
      </c>
      <c r="CW97" s="1">
        <f t="shared" ca="1" si="135"/>
        <v>570</v>
      </c>
      <c r="CX97" s="1">
        <f t="shared" ca="1" si="136"/>
        <v>8.6599913115908891E-4</v>
      </c>
      <c r="DH97" s="1">
        <f t="shared" ca="1" si="137"/>
        <v>733</v>
      </c>
      <c r="DI97" s="1">
        <f t="shared" ca="1" si="138"/>
        <v>0.80028102280486846</v>
      </c>
      <c r="DJ97" s="1">
        <f t="shared" ca="1" si="139"/>
        <v>4</v>
      </c>
      <c r="DL97" s="1">
        <f t="shared" ca="1" si="140"/>
        <v>6.823387063001192E-2</v>
      </c>
      <c r="DM97" s="1">
        <f t="shared" ca="1" si="141"/>
        <v>138</v>
      </c>
      <c r="DN97" s="1">
        <f t="shared" ca="1" si="142"/>
        <v>3</v>
      </c>
      <c r="DW97" s="1">
        <f t="shared" ca="1" si="143"/>
        <v>110</v>
      </c>
      <c r="DX97" s="1">
        <f t="shared" ca="1" si="144"/>
        <v>13</v>
      </c>
      <c r="DY97" s="1">
        <f t="shared" ca="1" si="145"/>
        <v>5</v>
      </c>
    </row>
    <row r="98" spans="2:129" x14ac:dyDescent="0.25">
      <c r="B98">
        <f t="shared" ca="1" si="75"/>
        <v>64</v>
      </c>
      <c r="C98">
        <f t="shared" ca="1" si="76"/>
        <v>46</v>
      </c>
      <c r="D98">
        <f t="shared" ca="1" si="77"/>
        <v>0.20178539442674784</v>
      </c>
      <c r="F98" s="1">
        <f t="shared" ca="1" si="78"/>
        <v>9</v>
      </c>
      <c r="G98" s="1">
        <f t="shared" ca="1" si="79"/>
        <v>24</v>
      </c>
      <c r="H98" s="1">
        <f t="shared" ca="1" si="80"/>
        <v>5</v>
      </c>
      <c r="I98" s="1"/>
      <c r="J98" s="1">
        <f t="shared" ca="1" si="81"/>
        <v>9</v>
      </c>
      <c r="K98" s="1">
        <f t="shared" ca="1" si="82"/>
        <v>1.3516204746183438</v>
      </c>
      <c r="L98" s="1">
        <f t="shared" ca="1" si="83"/>
        <v>26</v>
      </c>
      <c r="M98" s="1"/>
      <c r="N98" s="1">
        <f t="shared" ca="1" si="84"/>
        <v>896</v>
      </c>
      <c r="O98" s="1">
        <f t="shared" ca="1" si="85"/>
        <v>24</v>
      </c>
      <c r="P98" s="1"/>
      <c r="Q98" s="1">
        <f t="shared" ca="1" si="86"/>
        <v>4.8193080830728814</v>
      </c>
      <c r="R98" s="1">
        <f t="shared" ca="1" si="87"/>
        <v>949</v>
      </c>
      <c r="S98" s="1"/>
      <c r="T98" s="1">
        <f t="shared" ca="1" si="88"/>
        <v>0.15671086478703602</v>
      </c>
      <c r="U98" s="1">
        <f t="shared" ca="1" si="89"/>
        <v>136</v>
      </c>
      <c r="V98" s="1">
        <f t="shared" ca="1" si="90"/>
        <v>38</v>
      </c>
      <c r="W98" s="1"/>
      <c r="X98" s="1">
        <f t="shared" ca="1" si="91"/>
        <v>4.4408184695260111</v>
      </c>
      <c r="Y98" s="1">
        <f t="shared" ca="1" si="92"/>
        <v>5.7836254517416419E-2</v>
      </c>
      <c r="Z98" s="1">
        <f t="shared" ca="1" si="93"/>
        <v>1900</v>
      </c>
      <c r="AB98" s="1">
        <f t="shared" ca="1" si="94"/>
        <v>0.2686386861321805</v>
      </c>
      <c r="AC98" s="1">
        <f t="shared" ca="1" si="95"/>
        <v>444</v>
      </c>
      <c r="AD98" s="1">
        <f t="shared" ca="1" si="96"/>
        <v>8.9128805639289901E-3</v>
      </c>
      <c r="AE98" s="1"/>
      <c r="AF98" s="1">
        <f t="shared" ca="1" si="97"/>
        <v>0.57088078735105041</v>
      </c>
      <c r="AG98" s="1">
        <f t="shared" ca="1" si="98"/>
        <v>117</v>
      </c>
      <c r="AH98" s="1">
        <f t="shared" ca="1" si="99"/>
        <v>4.7706123808152904E-3</v>
      </c>
      <c r="AJ98" s="1">
        <f t="shared" ca="1" si="100"/>
        <v>0.83870256456844372</v>
      </c>
      <c r="AK98" s="1">
        <f t="shared" ca="1" si="101"/>
        <v>5.6637603344554437E-3</v>
      </c>
      <c r="AL98" s="1"/>
      <c r="AM98" s="1">
        <f t="shared" ca="1" si="102"/>
        <v>1.9022830001816076E-2</v>
      </c>
      <c r="AN98" s="1">
        <f t="shared" ca="1" si="103"/>
        <v>78</v>
      </c>
      <c r="AO98" s="1">
        <f t="shared" ca="1" si="104"/>
        <v>18</v>
      </c>
      <c r="AQ98" s="1">
        <f t="shared" ca="1" si="105"/>
        <v>138</v>
      </c>
      <c r="AR98" s="1">
        <f t="shared" ca="1" si="106"/>
        <v>10</v>
      </c>
      <c r="AS98" s="1">
        <f t="shared" ca="1" si="107"/>
        <v>97</v>
      </c>
      <c r="AU98" s="1">
        <f t="shared" ca="1" si="108"/>
        <v>361</v>
      </c>
      <c r="AV98" s="1">
        <f t="shared" ca="1" si="109"/>
        <v>10</v>
      </c>
      <c r="AW98" s="1">
        <f t="shared" ca="1" si="110"/>
        <v>0.18680901687715745</v>
      </c>
      <c r="AY98" s="1">
        <f t="shared" ca="1" si="111"/>
        <v>1.2296231885391329</v>
      </c>
      <c r="AZ98" s="1">
        <f t="shared" ca="1" si="112"/>
        <v>177</v>
      </c>
      <c r="BA98" s="1">
        <f t="shared" ca="1" si="113"/>
        <v>3.1979738424812946E-3</v>
      </c>
      <c r="BG98" s="1">
        <f t="shared" ca="1" si="114"/>
        <v>0.73079210749043932</v>
      </c>
      <c r="BH98" s="1">
        <f t="shared" ca="1" si="115"/>
        <v>0.99066204504926936</v>
      </c>
      <c r="BI98" s="1">
        <f t="shared" ca="1" si="116"/>
        <v>536</v>
      </c>
      <c r="BV98" s="1">
        <f t="shared" ca="1" si="117"/>
        <v>0.11917291193051149</v>
      </c>
      <c r="BW98" s="1">
        <f t="shared" ca="1" si="118"/>
        <v>645</v>
      </c>
      <c r="BX98" s="1">
        <f t="shared" ca="1" si="119"/>
        <v>9.616548738520218E-3</v>
      </c>
      <c r="BY98" s="1">
        <f t="shared" ca="1" si="120"/>
        <v>2.3677717232633674E-2</v>
      </c>
      <c r="BZ98" s="1">
        <f t="shared" ca="1" si="121"/>
        <v>0.91096779747874357</v>
      </c>
      <c r="CB98" s="1">
        <f t="shared" ca="1" si="122"/>
        <v>96</v>
      </c>
      <c r="CC98" s="1">
        <f t="shared" ca="1" si="123"/>
        <v>8</v>
      </c>
      <c r="CD98" s="1">
        <f t="shared" ca="1" si="124"/>
        <v>7.5256347047869834E-2</v>
      </c>
      <c r="CE98" s="1">
        <f t="shared" ca="1" si="125"/>
        <v>0.95581507279410638</v>
      </c>
      <c r="CF98" s="1">
        <f t="shared" ca="1" si="125"/>
        <v>0.7729015922453395</v>
      </c>
      <c r="CH98" s="3">
        <f t="shared" ca="1" si="126"/>
        <v>0.30887186866514299</v>
      </c>
      <c r="CI98" s="3">
        <f t="shared" ca="1" si="127"/>
        <v>0.92441889935388721</v>
      </c>
      <c r="CJ98" s="3">
        <f t="shared" ca="1" si="128"/>
        <v>619</v>
      </c>
      <c r="CK98" s="3">
        <f t="shared" ca="1" si="129"/>
        <v>5.9937571382887526E-3</v>
      </c>
      <c r="CL98" s="3">
        <f t="shared" ca="1" si="130"/>
        <v>1</v>
      </c>
      <c r="CM98" s="3"/>
      <c r="CN98" s="1">
        <f t="shared" ca="1" si="131"/>
        <v>7.7739016074995346</v>
      </c>
      <c r="CO98" s="1">
        <f t="shared" ca="1" si="132"/>
        <v>0.11370133352255035</v>
      </c>
      <c r="CP98" s="1">
        <f t="shared" ca="1" si="133"/>
        <v>2</v>
      </c>
      <c r="CV98" s="1">
        <f t="shared" ca="1" si="134"/>
        <v>1.7365574603032268</v>
      </c>
      <c r="CW98" s="1">
        <f t="shared" ca="1" si="135"/>
        <v>675</v>
      </c>
      <c r="CX98" s="1">
        <f t="shared" ca="1" si="136"/>
        <v>9.1240112538173938E-3</v>
      </c>
      <c r="DH98" s="1">
        <f t="shared" ca="1" si="137"/>
        <v>880</v>
      </c>
      <c r="DI98" s="1">
        <f t="shared" ca="1" si="138"/>
        <v>0.31892828712658167</v>
      </c>
      <c r="DJ98" s="1">
        <f t="shared" ca="1" si="139"/>
        <v>18</v>
      </c>
      <c r="DL98" s="1">
        <f t="shared" ca="1" si="140"/>
        <v>0.17486883018707977</v>
      </c>
      <c r="DM98" s="1">
        <f t="shared" ca="1" si="141"/>
        <v>87</v>
      </c>
      <c r="DN98" s="1">
        <f t="shared" ca="1" si="142"/>
        <v>7</v>
      </c>
      <c r="DW98" s="1">
        <f t="shared" ca="1" si="143"/>
        <v>153</v>
      </c>
      <c r="DX98" s="1">
        <f t="shared" ca="1" si="144"/>
        <v>16</v>
      </c>
      <c r="DY98" s="1">
        <f t="shared" ca="1" si="145"/>
        <v>8</v>
      </c>
    </row>
    <row r="99" spans="2:129" x14ac:dyDescent="0.25">
      <c r="B99">
        <f t="shared" ca="1" si="75"/>
        <v>188</v>
      </c>
      <c r="C99">
        <f t="shared" ca="1" si="76"/>
        <v>37</v>
      </c>
      <c r="D99">
        <f t="shared" ca="1" si="77"/>
        <v>2.6547937242943527E-2</v>
      </c>
      <c r="F99" s="1">
        <f t="shared" ca="1" si="78"/>
        <v>16</v>
      </c>
      <c r="G99" s="1">
        <f t="shared" ca="1" si="79"/>
        <v>17</v>
      </c>
      <c r="H99" s="1">
        <f t="shared" ca="1" si="80"/>
        <v>4</v>
      </c>
      <c r="I99" s="1"/>
      <c r="J99" s="1">
        <f t="shared" ca="1" si="81"/>
        <v>2</v>
      </c>
      <c r="K99" s="1">
        <f t="shared" ca="1" si="82"/>
        <v>2.6265590426096428</v>
      </c>
      <c r="L99" s="1">
        <f t="shared" ca="1" si="83"/>
        <v>32</v>
      </c>
      <c r="M99" s="1"/>
      <c r="N99" s="1">
        <f t="shared" ca="1" si="84"/>
        <v>652</v>
      </c>
      <c r="O99" s="1">
        <f t="shared" ca="1" si="85"/>
        <v>40</v>
      </c>
      <c r="P99" s="1"/>
      <c r="Q99" s="1">
        <f t="shared" ca="1" si="86"/>
        <v>2.4485029098850979</v>
      </c>
      <c r="R99" s="1">
        <f t="shared" ca="1" si="87"/>
        <v>740</v>
      </c>
      <c r="S99" s="1"/>
      <c r="T99" s="1">
        <f t="shared" ca="1" si="88"/>
        <v>0.11626359641539001</v>
      </c>
      <c r="U99" s="1">
        <f t="shared" ca="1" si="89"/>
        <v>445</v>
      </c>
      <c r="V99" s="1">
        <f t="shared" ca="1" si="90"/>
        <v>51</v>
      </c>
      <c r="W99" s="1"/>
      <c r="X99" s="1">
        <f t="shared" ca="1" si="91"/>
        <v>8.7966982009266399</v>
      </c>
      <c r="Y99" s="1">
        <f t="shared" ca="1" si="92"/>
        <v>7.1756403680612049E-2</v>
      </c>
      <c r="Z99" s="1">
        <f t="shared" ca="1" si="93"/>
        <v>1164</v>
      </c>
      <c r="AB99" s="1">
        <f t="shared" ca="1" si="94"/>
        <v>3.5003574819605129E-2</v>
      </c>
      <c r="AC99" s="1">
        <f t="shared" ca="1" si="95"/>
        <v>918</v>
      </c>
      <c r="AD99" s="1">
        <f t="shared" ca="1" si="96"/>
        <v>1.2062822005246246E-3</v>
      </c>
      <c r="AE99" s="1"/>
      <c r="AF99" s="1">
        <f t="shared" ca="1" si="97"/>
        <v>0.53360143806459126</v>
      </c>
      <c r="AG99" s="1">
        <f t="shared" ca="1" si="98"/>
        <v>995</v>
      </c>
      <c r="AH99" s="1">
        <f t="shared" ca="1" si="99"/>
        <v>7.0922761021442911E-3</v>
      </c>
      <c r="AJ99" s="1">
        <f t="shared" ca="1" si="100"/>
        <v>0.83522086142261098</v>
      </c>
      <c r="AK99" s="1">
        <f t="shared" ca="1" si="101"/>
        <v>7.2969162559395123E-3</v>
      </c>
      <c r="AL99" s="1"/>
      <c r="AM99" s="1">
        <f t="shared" ca="1" si="102"/>
        <v>8.1445258861349984E-2</v>
      </c>
      <c r="AN99" s="1">
        <f t="shared" ca="1" si="103"/>
        <v>51</v>
      </c>
      <c r="AO99" s="1">
        <f t="shared" ca="1" si="104"/>
        <v>10</v>
      </c>
      <c r="AQ99" s="1">
        <f t="shared" ca="1" si="105"/>
        <v>71</v>
      </c>
      <c r="AR99" s="1">
        <f t="shared" ca="1" si="106"/>
        <v>6</v>
      </c>
      <c r="AS99" s="1">
        <f t="shared" ca="1" si="107"/>
        <v>7</v>
      </c>
      <c r="AU99" s="1">
        <f t="shared" ca="1" si="108"/>
        <v>236</v>
      </c>
      <c r="AV99" s="1">
        <f t="shared" ca="1" si="109"/>
        <v>10</v>
      </c>
      <c r="AW99" s="1">
        <f t="shared" ca="1" si="110"/>
        <v>0.13123163658769174</v>
      </c>
      <c r="AY99" s="1">
        <f t="shared" ca="1" si="111"/>
        <v>1.8597428071179112</v>
      </c>
      <c r="AZ99" s="1">
        <f t="shared" ca="1" si="112"/>
        <v>198</v>
      </c>
      <c r="BA99" s="1">
        <f t="shared" ca="1" si="113"/>
        <v>3.2037991602844071E-3</v>
      </c>
      <c r="BG99" s="1">
        <f t="shared" ca="1" si="114"/>
        <v>0.55225868723646765</v>
      </c>
      <c r="BH99" s="1">
        <f t="shared" ca="1" si="115"/>
        <v>0.42604187711560404</v>
      </c>
      <c r="BI99" s="1">
        <f t="shared" ca="1" si="116"/>
        <v>104</v>
      </c>
      <c r="BV99" s="1">
        <f t="shared" ca="1" si="117"/>
        <v>0.46392112864958734</v>
      </c>
      <c r="BW99" s="1">
        <f t="shared" ca="1" si="118"/>
        <v>359</v>
      </c>
      <c r="BX99" s="1">
        <f t="shared" ca="1" si="119"/>
        <v>7.2819463139084609E-3</v>
      </c>
      <c r="BY99" s="1">
        <f t="shared" ca="1" si="120"/>
        <v>4.1111305296832962E-2</v>
      </c>
      <c r="BZ99" s="1">
        <f t="shared" ca="1" si="121"/>
        <v>0.40184210978267387</v>
      </c>
      <c r="CB99" s="1">
        <f t="shared" ca="1" si="122"/>
        <v>444</v>
      </c>
      <c r="CC99" s="1">
        <f t="shared" ca="1" si="123"/>
        <v>7</v>
      </c>
      <c r="CD99" s="1">
        <f t="shared" ca="1" si="124"/>
        <v>0.20661819791551594</v>
      </c>
      <c r="CE99" s="1">
        <f t="shared" ca="1" si="125"/>
        <v>0.814072919134607</v>
      </c>
      <c r="CF99" s="1">
        <f t="shared" ca="1" si="125"/>
        <v>0.88338038903861971</v>
      </c>
      <c r="CH99" s="3">
        <f t="shared" ca="1" si="126"/>
        <v>0.91170884872435198</v>
      </c>
      <c r="CI99" s="3">
        <f t="shared" ca="1" si="127"/>
        <v>0.69706939915240573</v>
      </c>
      <c r="CJ99" s="3">
        <f t="shared" ca="1" si="128"/>
        <v>166</v>
      </c>
      <c r="CK99" s="3">
        <f t="shared" ca="1" si="129"/>
        <v>1.5849228732555819E-3</v>
      </c>
      <c r="CL99" s="3">
        <f t="shared" ca="1" si="130"/>
        <v>0</v>
      </c>
      <c r="CM99" s="3"/>
      <c r="CN99" s="1">
        <f t="shared" ca="1" si="131"/>
        <v>19.257738457142469</v>
      </c>
      <c r="CO99" s="1">
        <f t="shared" ca="1" si="132"/>
        <v>0.4371366550730707</v>
      </c>
      <c r="CP99" s="1">
        <f t="shared" ca="1" si="133"/>
        <v>5</v>
      </c>
      <c r="CV99" s="1">
        <f t="shared" ca="1" si="134"/>
        <v>9.5042584362813027</v>
      </c>
      <c r="CW99" s="1">
        <f t="shared" ca="1" si="135"/>
        <v>861</v>
      </c>
      <c r="CX99" s="1">
        <f t="shared" ca="1" si="136"/>
        <v>2.349264008887996E-3</v>
      </c>
      <c r="DH99" s="1">
        <f t="shared" ca="1" si="137"/>
        <v>161</v>
      </c>
      <c r="DI99" s="1">
        <f t="shared" ca="1" si="138"/>
        <v>7.2986122587487615E-2</v>
      </c>
      <c r="DJ99" s="1">
        <f t="shared" ca="1" si="139"/>
        <v>29</v>
      </c>
      <c r="DL99" s="1">
        <f t="shared" ca="1" si="140"/>
        <v>0.10050871314832958</v>
      </c>
      <c r="DM99" s="1">
        <f t="shared" ca="1" si="141"/>
        <v>139</v>
      </c>
      <c r="DN99" s="1">
        <f t="shared" ca="1" si="142"/>
        <v>3</v>
      </c>
      <c r="DW99" s="1">
        <f t="shared" ca="1" si="143"/>
        <v>252</v>
      </c>
      <c r="DX99" s="1">
        <f t="shared" ca="1" si="144"/>
        <v>11</v>
      </c>
      <c r="DY99" s="1">
        <f t="shared" ca="1" si="145"/>
        <v>20</v>
      </c>
    </row>
    <row r="100" spans="2:129" x14ac:dyDescent="0.25">
      <c r="B100">
        <f t="shared" ca="1" si="75"/>
        <v>921</v>
      </c>
      <c r="C100">
        <f t="shared" ca="1" si="76"/>
        <v>27</v>
      </c>
      <c r="D100">
        <f t="shared" ca="1" si="77"/>
        <v>3.0701270592789057E-2</v>
      </c>
      <c r="F100" s="1">
        <f t="shared" ca="1" si="78"/>
        <v>41</v>
      </c>
      <c r="G100" s="1">
        <f t="shared" ca="1" si="79"/>
        <v>13</v>
      </c>
      <c r="H100" s="1">
        <f t="shared" ca="1" si="80"/>
        <v>15</v>
      </c>
      <c r="I100" s="1"/>
      <c r="J100" s="1">
        <f t="shared" ca="1" si="81"/>
        <v>17</v>
      </c>
      <c r="K100" s="1">
        <f t="shared" ca="1" si="82"/>
        <v>2.8941763854253271</v>
      </c>
      <c r="L100" s="1">
        <f t="shared" ca="1" si="83"/>
        <v>14</v>
      </c>
      <c r="M100" s="1"/>
      <c r="N100" s="1">
        <f t="shared" ca="1" si="84"/>
        <v>171</v>
      </c>
      <c r="O100" s="1">
        <f t="shared" ca="1" si="85"/>
        <v>17</v>
      </c>
      <c r="P100" s="1"/>
      <c r="Q100" s="1">
        <f t="shared" ca="1" si="86"/>
        <v>4.7620790426522515</v>
      </c>
      <c r="R100" s="1">
        <f t="shared" ca="1" si="87"/>
        <v>681</v>
      </c>
      <c r="S100" s="1"/>
      <c r="T100" s="1">
        <f t="shared" ca="1" si="88"/>
        <v>4.6819220312474687E-2</v>
      </c>
      <c r="U100" s="1">
        <f t="shared" ca="1" si="89"/>
        <v>223</v>
      </c>
      <c r="V100" s="1">
        <f t="shared" ca="1" si="90"/>
        <v>24</v>
      </c>
      <c r="W100" s="1"/>
      <c r="X100" s="1">
        <f t="shared" ca="1" si="91"/>
        <v>0.42492767490874706</v>
      </c>
      <c r="Y100" s="1">
        <f t="shared" ca="1" si="92"/>
        <v>0.83336464488579176</v>
      </c>
      <c r="Z100" s="1">
        <f t="shared" ca="1" si="93"/>
        <v>1613</v>
      </c>
      <c r="AB100" s="1">
        <f t="shared" ca="1" si="94"/>
        <v>0.81810125086179697</v>
      </c>
      <c r="AC100" s="1">
        <f t="shared" ca="1" si="95"/>
        <v>847</v>
      </c>
      <c r="AD100" s="1">
        <f t="shared" ca="1" si="96"/>
        <v>7.3786702226674185E-4</v>
      </c>
      <c r="AE100" s="1"/>
      <c r="AF100" s="1">
        <f t="shared" ca="1" si="97"/>
        <v>0.69243651780753068</v>
      </c>
      <c r="AG100" s="1">
        <f t="shared" ca="1" si="98"/>
        <v>347</v>
      </c>
      <c r="AH100" s="1">
        <f t="shared" ca="1" si="99"/>
        <v>9.0819716439922756E-3</v>
      </c>
      <c r="AJ100" s="1">
        <f t="shared" ca="1" si="100"/>
        <v>0.90330711421186816</v>
      </c>
      <c r="AK100" s="1">
        <f t="shared" ca="1" si="101"/>
        <v>1.443966701704423E-3</v>
      </c>
      <c r="AL100" s="1"/>
      <c r="AM100" s="1">
        <f t="shared" ca="1" si="102"/>
        <v>9.2112225192857528E-2</v>
      </c>
      <c r="AN100" s="1">
        <f t="shared" ca="1" si="103"/>
        <v>57</v>
      </c>
      <c r="AO100" s="1">
        <f t="shared" ca="1" si="104"/>
        <v>13</v>
      </c>
      <c r="AQ100" s="1">
        <f t="shared" ca="1" si="105"/>
        <v>199</v>
      </c>
      <c r="AR100" s="1">
        <f t="shared" ca="1" si="106"/>
        <v>9</v>
      </c>
      <c r="AS100" s="1">
        <f t="shared" ca="1" si="107"/>
        <v>89</v>
      </c>
      <c r="AU100" s="1">
        <f t="shared" ca="1" si="108"/>
        <v>152</v>
      </c>
      <c r="AV100" s="1">
        <f t="shared" ca="1" si="109"/>
        <v>3</v>
      </c>
      <c r="AW100" s="1">
        <f t="shared" ca="1" si="110"/>
        <v>7.7209107493711335E-2</v>
      </c>
      <c r="AY100" s="1">
        <f t="shared" ca="1" si="111"/>
        <v>1.1301848232392997</v>
      </c>
      <c r="AZ100" s="1">
        <f t="shared" ca="1" si="112"/>
        <v>139</v>
      </c>
      <c r="BA100" s="1">
        <f t="shared" ca="1" si="113"/>
        <v>3.524456297545837E-3</v>
      </c>
      <c r="BG100" s="1">
        <f t="shared" ca="1" si="114"/>
        <v>0.81278206742382386</v>
      </c>
      <c r="BH100" s="1">
        <f t="shared" ca="1" si="115"/>
        <v>0.73894524391975158</v>
      </c>
      <c r="BI100" s="1">
        <f t="shared" ca="1" si="116"/>
        <v>503</v>
      </c>
      <c r="BV100" s="1">
        <f t="shared" ca="1" si="117"/>
        <v>0.91292835840428843</v>
      </c>
      <c r="BW100" s="1">
        <f t="shared" ca="1" si="118"/>
        <v>865</v>
      </c>
      <c r="BX100" s="1">
        <f t="shared" ca="1" si="119"/>
        <v>6.8422022668665249E-3</v>
      </c>
      <c r="BY100" s="1">
        <f t="shared" ca="1" si="120"/>
        <v>6.546521409122448E-2</v>
      </c>
      <c r="BZ100" s="1">
        <f t="shared" ca="1" si="121"/>
        <v>0.60797112642006179</v>
      </c>
      <c r="CB100" s="1">
        <f t="shared" ca="1" si="122"/>
        <v>467</v>
      </c>
      <c r="CC100" s="1">
        <f t="shared" ca="1" si="123"/>
        <v>6</v>
      </c>
      <c r="CD100" s="1">
        <f t="shared" ca="1" si="124"/>
        <v>1.4673086409964658E-2</v>
      </c>
      <c r="CE100" s="1">
        <f t="shared" ref="CE100:CF131" ca="1" si="146">RAND()*(1-0.5)+0.5</f>
        <v>0.64199022056544597</v>
      </c>
      <c r="CF100" s="1">
        <f t="shared" ca="1" si="146"/>
        <v>0.7547567851459076</v>
      </c>
      <c r="CH100" s="3">
        <f t="shared" ca="1" si="126"/>
        <v>0.84436348182762222</v>
      </c>
      <c r="CI100" s="3">
        <f t="shared" ca="1" si="127"/>
        <v>0.67796919017135115</v>
      </c>
      <c r="CJ100" s="3">
        <f t="shared" ca="1" si="128"/>
        <v>1071</v>
      </c>
      <c r="CK100" s="3">
        <f t="shared" ca="1" si="129"/>
        <v>4.0574021433009708E-3</v>
      </c>
      <c r="CL100" s="3">
        <f t="shared" ca="1" si="130"/>
        <v>1</v>
      </c>
      <c r="CM100" s="3"/>
      <c r="CN100" s="1">
        <f t="shared" ca="1" si="131"/>
        <v>19.094497621636872</v>
      </c>
      <c r="CO100" s="1">
        <f t="shared" ca="1" si="132"/>
        <v>0.22595823674784218</v>
      </c>
      <c r="CP100" s="1">
        <f t="shared" ca="1" si="133"/>
        <v>4</v>
      </c>
      <c r="CV100" s="1">
        <f t="shared" ca="1" si="134"/>
        <v>1.2304714157142311</v>
      </c>
      <c r="CW100" s="1">
        <f t="shared" ca="1" si="135"/>
        <v>276</v>
      </c>
      <c r="CX100" s="1">
        <f t="shared" ca="1" si="136"/>
        <v>6.3866916734481973E-3</v>
      </c>
      <c r="DH100" s="1">
        <f t="shared" ca="1" si="137"/>
        <v>385</v>
      </c>
      <c r="DI100" s="1">
        <f t="shared" ca="1" si="138"/>
        <v>0.8256817339810214</v>
      </c>
      <c r="DJ100" s="1">
        <f t="shared" ca="1" si="139"/>
        <v>10</v>
      </c>
      <c r="DL100" s="1">
        <f t="shared" ca="1" si="140"/>
        <v>0.13067402168894515</v>
      </c>
      <c r="DM100" s="1">
        <f t="shared" ca="1" si="141"/>
        <v>94</v>
      </c>
      <c r="DN100" s="1">
        <f t="shared" ca="1" si="142"/>
        <v>9</v>
      </c>
      <c r="DW100" s="1">
        <f t="shared" ca="1" si="143"/>
        <v>140</v>
      </c>
      <c r="DX100" s="1">
        <f t="shared" ca="1" si="144"/>
        <v>3</v>
      </c>
      <c r="DY100" s="1">
        <f t="shared" ca="1" si="145"/>
        <v>3</v>
      </c>
    </row>
    <row r="101" spans="2:129" x14ac:dyDescent="0.25">
      <c r="B101">
        <f t="shared" ca="1" si="75"/>
        <v>971</v>
      </c>
      <c r="C101">
        <f t="shared" ca="1" si="76"/>
        <v>7</v>
      </c>
      <c r="D101">
        <f t="shared" ca="1" si="77"/>
        <v>0.21264011660947363</v>
      </c>
      <c r="F101" s="1">
        <f t="shared" ca="1" si="78"/>
        <v>31</v>
      </c>
      <c r="G101" s="1">
        <f t="shared" ca="1" si="79"/>
        <v>26</v>
      </c>
      <c r="H101" s="1">
        <f t="shared" ca="1" si="80"/>
        <v>10</v>
      </c>
      <c r="I101" s="1"/>
      <c r="J101" s="1">
        <f t="shared" ca="1" si="81"/>
        <v>35</v>
      </c>
      <c r="K101" s="1">
        <f t="shared" ca="1" si="82"/>
        <v>1.2006210475471479</v>
      </c>
      <c r="L101" s="1">
        <f t="shared" ca="1" si="83"/>
        <v>8</v>
      </c>
      <c r="M101" s="1"/>
      <c r="N101" s="1">
        <f t="shared" ca="1" si="84"/>
        <v>555</v>
      </c>
      <c r="O101" s="1">
        <f t="shared" ca="1" si="85"/>
        <v>33</v>
      </c>
      <c r="P101" s="1"/>
      <c r="Q101" s="1">
        <f t="shared" ca="1" si="86"/>
        <v>1.7896978022433336</v>
      </c>
      <c r="R101" s="1">
        <f t="shared" ca="1" si="87"/>
        <v>1083</v>
      </c>
      <c r="S101" s="1"/>
      <c r="T101" s="1">
        <f t="shared" ca="1" si="88"/>
        <v>0.12456697842285674</v>
      </c>
      <c r="U101" s="1">
        <f t="shared" ca="1" si="89"/>
        <v>94</v>
      </c>
      <c r="V101" s="1">
        <f t="shared" ca="1" si="90"/>
        <v>45</v>
      </c>
      <c r="W101" s="1"/>
      <c r="X101" s="1">
        <f t="shared" ca="1" si="91"/>
        <v>7.8801313733787497</v>
      </c>
      <c r="Y101" s="1">
        <f t="shared" ca="1" si="92"/>
        <v>0.82537201587425868</v>
      </c>
      <c r="Z101" s="1">
        <f t="shared" ca="1" si="93"/>
        <v>902</v>
      </c>
      <c r="AB101" s="1">
        <f t="shared" ca="1" si="94"/>
        <v>0.18694323243830352</v>
      </c>
      <c r="AC101" s="1">
        <f t="shared" ca="1" si="95"/>
        <v>448</v>
      </c>
      <c r="AD101" s="1">
        <f t="shared" ca="1" si="96"/>
        <v>6.2742536106702163E-3</v>
      </c>
      <c r="AE101" s="1"/>
      <c r="AF101" s="1">
        <f t="shared" ca="1" si="97"/>
        <v>0.73020025716649661</v>
      </c>
      <c r="AG101" s="1">
        <f t="shared" ca="1" si="98"/>
        <v>298</v>
      </c>
      <c r="AH101" s="1">
        <f t="shared" ca="1" si="99"/>
        <v>9.7348075793194568E-3</v>
      </c>
      <c r="AJ101" s="1">
        <f t="shared" ca="1" si="100"/>
        <v>9.1950332124194234E-2</v>
      </c>
      <c r="AK101" s="1">
        <f t="shared" ca="1" si="101"/>
        <v>4.9248365420318145E-3</v>
      </c>
      <c r="AL101" s="1"/>
      <c r="AM101" s="1">
        <f t="shared" ca="1" si="102"/>
        <v>0.17837425872161256</v>
      </c>
      <c r="AN101" s="1">
        <f t="shared" ca="1" si="103"/>
        <v>44</v>
      </c>
      <c r="AO101" s="1">
        <f t="shared" ca="1" si="104"/>
        <v>19</v>
      </c>
      <c r="AQ101" s="1">
        <f t="shared" ca="1" si="105"/>
        <v>116</v>
      </c>
      <c r="AR101" s="1">
        <f t="shared" ca="1" si="106"/>
        <v>3</v>
      </c>
      <c r="AS101" s="1">
        <f t="shared" ca="1" si="107"/>
        <v>46</v>
      </c>
      <c r="AU101" s="1">
        <f t="shared" ca="1" si="108"/>
        <v>185</v>
      </c>
      <c r="AV101" s="1">
        <f t="shared" ca="1" si="109"/>
        <v>6</v>
      </c>
      <c r="AW101" s="1">
        <f t="shared" ca="1" si="110"/>
        <v>8.1898101151889072E-2</v>
      </c>
      <c r="AY101" s="1">
        <f t="shared" ca="1" si="111"/>
        <v>1.1955309381775014</v>
      </c>
      <c r="AZ101" s="1">
        <f t="shared" ca="1" si="112"/>
        <v>239</v>
      </c>
      <c r="BA101" s="1">
        <f t="shared" ca="1" si="113"/>
        <v>9.5375221062407728E-3</v>
      </c>
      <c r="BG101" s="1">
        <f t="shared" ca="1" si="114"/>
        <v>0.1763911281879324</v>
      </c>
      <c r="BH101" s="1">
        <f t="shared" ca="1" si="115"/>
        <v>0.39528965608005362</v>
      </c>
      <c r="BI101" s="1">
        <f t="shared" ca="1" si="116"/>
        <v>569</v>
      </c>
      <c r="BV101" s="1">
        <f t="shared" ca="1" si="117"/>
        <v>7.4386687746596306E-2</v>
      </c>
      <c r="BW101" s="1">
        <f t="shared" ca="1" si="118"/>
        <v>193</v>
      </c>
      <c r="BX101" s="1">
        <f t="shared" ca="1" si="119"/>
        <v>1.9349708727241343E-3</v>
      </c>
      <c r="BY101" s="1">
        <f t="shared" ca="1" si="120"/>
        <v>2.2679703598036539E-2</v>
      </c>
      <c r="BZ101" s="1">
        <f t="shared" ca="1" si="121"/>
        <v>0.9231140274044608</v>
      </c>
      <c r="CB101" s="1">
        <f t="shared" ca="1" si="122"/>
        <v>95</v>
      </c>
      <c r="CC101" s="1">
        <f t="shared" ca="1" si="123"/>
        <v>3</v>
      </c>
      <c r="CD101" s="1">
        <f t="shared" ca="1" si="124"/>
        <v>9.0181241425985423E-2</v>
      </c>
      <c r="CE101" s="1">
        <f t="shared" ca="1" si="146"/>
        <v>0.54625407511762814</v>
      </c>
      <c r="CF101" s="1">
        <f t="shared" ca="1" si="146"/>
        <v>0.98752032533412848</v>
      </c>
      <c r="CH101" s="3">
        <f t="shared" ca="1" si="126"/>
        <v>5.2988747256002972E-3</v>
      </c>
      <c r="CI101" s="3">
        <f t="shared" ca="1" si="127"/>
        <v>0.2032229790802654</v>
      </c>
      <c r="CJ101" s="3">
        <f t="shared" ca="1" si="128"/>
        <v>1286</v>
      </c>
      <c r="CK101" s="3">
        <f t="shared" ca="1" si="129"/>
        <v>6.5376886401065345E-3</v>
      </c>
      <c r="CL101" s="3">
        <f t="shared" ca="1" si="130"/>
        <v>0</v>
      </c>
      <c r="CM101" s="3"/>
      <c r="CN101" s="1">
        <f t="shared" ca="1" si="131"/>
        <v>14.409450070824297</v>
      </c>
      <c r="CO101" s="1">
        <f t="shared" ca="1" si="132"/>
        <v>0.26370388752724405</v>
      </c>
      <c r="CP101" s="1">
        <f t="shared" ca="1" si="133"/>
        <v>1</v>
      </c>
      <c r="CV101" s="1">
        <f t="shared" ca="1" si="134"/>
        <v>4.1207766450366945</v>
      </c>
      <c r="CW101" s="1">
        <f t="shared" ca="1" si="135"/>
        <v>638</v>
      </c>
      <c r="CX101" s="1">
        <f t="shared" ca="1" si="136"/>
        <v>3.3439044174817124E-3</v>
      </c>
      <c r="DH101" s="1">
        <f t="shared" ca="1" si="137"/>
        <v>584</v>
      </c>
      <c r="DI101" s="1">
        <f t="shared" ca="1" si="138"/>
        <v>0.56422787417329168</v>
      </c>
      <c r="DJ101" s="1">
        <f t="shared" ca="1" si="139"/>
        <v>16</v>
      </c>
      <c r="DL101" s="1">
        <f t="shared" ca="1" si="140"/>
        <v>8.9582102701570993E-2</v>
      </c>
      <c r="DM101" s="1">
        <f t="shared" ca="1" si="141"/>
        <v>265</v>
      </c>
      <c r="DN101" s="1">
        <f t="shared" ca="1" si="142"/>
        <v>2</v>
      </c>
      <c r="DW101" s="1">
        <f t="shared" ca="1" si="143"/>
        <v>345</v>
      </c>
      <c r="DX101" s="1">
        <f t="shared" ca="1" si="144"/>
        <v>18</v>
      </c>
      <c r="DY101" s="1">
        <f t="shared" ca="1" si="145"/>
        <v>16</v>
      </c>
    </row>
    <row r="102" spans="2:129" x14ac:dyDescent="0.25">
      <c r="B102">
        <f t="shared" ca="1" si="75"/>
        <v>129</v>
      </c>
      <c r="C102">
        <f t="shared" ca="1" si="76"/>
        <v>41</v>
      </c>
      <c r="D102">
        <f t="shared" ca="1" si="77"/>
        <v>0.14061057040884797</v>
      </c>
      <c r="F102" s="1">
        <f t="shared" ca="1" si="78"/>
        <v>3</v>
      </c>
      <c r="G102" s="1">
        <f t="shared" ca="1" si="79"/>
        <v>14</v>
      </c>
      <c r="H102" s="1">
        <f t="shared" ca="1" si="80"/>
        <v>1</v>
      </c>
      <c r="I102" s="1"/>
      <c r="J102" s="1">
        <f t="shared" ca="1" si="81"/>
        <v>16</v>
      </c>
      <c r="K102" s="1">
        <f t="shared" ca="1" si="82"/>
        <v>1.2950930324582066</v>
      </c>
      <c r="L102" s="1">
        <f t="shared" ca="1" si="83"/>
        <v>24</v>
      </c>
      <c r="M102" s="1"/>
      <c r="N102" s="1">
        <f t="shared" ca="1" si="84"/>
        <v>880</v>
      </c>
      <c r="O102" s="1">
        <f t="shared" ca="1" si="85"/>
        <v>47</v>
      </c>
      <c r="P102" s="1"/>
      <c r="Q102" s="1">
        <f t="shared" ca="1" si="86"/>
        <v>0.37559366210968881</v>
      </c>
      <c r="R102" s="1">
        <f t="shared" ca="1" si="87"/>
        <v>904</v>
      </c>
      <c r="S102" s="1"/>
      <c r="T102" s="1">
        <f t="shared" ca="1" si="88"/>
        <v>9.1129489699178209E-2</v>
      </c>
      <c r="U102" s="1">
        <f t="shared" ca="1" si="89"/>
        <v>78</v>
      </c>
      <c r="V102" s="1">
        <f t="shared" ca="1" si="90"/>
        <v>19</v>
      </c>
      <c r="W102" s="1"/>
      <c r="X102" s="1">
        <f t="shared" ca="1" si="91"/>
        <v>1.1642084631611103</v>
      </c>
      <c r="Y102" s="1">
        <f t="shared" ca="1" si="92"/>
        <v>0.83937659704993339</v>
      </c>
      <c r="Z102" s="1">
        <f t="shared" ca="1" si="93"/>
        <v>1900</v>
      </c>
      <c r="AB102" s="1">
        <f t="shared" ca="1" si="94"/>
        <v>0.58687464510585496</v>
      </c>
      <c r="AC102" s="1">
        <f t="shared" ca="1" si="95"/>
        <v>954</v>
      </c>
      <c r="AD102" s="1">
        <f t="shared" ca="1" si="96"/>
        <v>6.8608825681803287E-3</v>
      </c>
      <c r="AE102" s="1"/>
      <c r="AF102" s="1">
        <f t="shared" ca="1" si="97"/>
        <v>0.61539948049553239</v>
      </c>
      <c r="AG102" s="1">
        <f t="shared" ca="1" si="98"/>
        <v>211</v>
      </c>
      <c r="AH102" s="1">
        <f t="shared" ca="1" si="99"/>
        <v>8.3257649674679992E-3</v>
      </c>
      <c r="AJ102" s="1">
        <f t="shared" ca="1" si="100"/>
        <v>0.19346758194654312</v>
      </c>
      <c r="AK102" s="1">
        <f t="shared" ca="1" si="101"/>
        <v>7.0783832634177916E-3</v>
      </c>
      <c r="AL102" s="1"/>
      <c r="AM102" s="1">
        <f t="shared" ca="1" si="102"/>
        <v>6.2446223206552159E-2</v>
      </c>
      <c r="AN102" s="1">
        <f t="shared" ca="1" si="103"/>
        <v>80</v>
      </c>
      <c r="AO102" s="1">
        <f t="shared" ca="1" si="104"/>
        <v>9</v>
      </c>
      <c r="AQ102" s="1">
        <f t="shared" ca="1" si="105"/>
        <v>20</v>
      </c>
      <c r="AR102" s="1">
        <f t="shared" ca="1" si="106"/>
        <v>7</v>
      </c>
      <c r="AS102" s="1">
        <f t="shared" ca="1" si="107"/>
        <v>93</v>
      </c>
      <c r="AU102" s="1">
        <f t="shared" ca="1" si="108"/>
        <v>234</v>
      </c>
      <c r="AV102" s="1">
        <f t="shared" ca="1" si="109"/>
        <v>8</v>
      </c>
      <c r="AW102" s="1">
        <f t="shared" ca="1" si="110"/>
        <v>9.8856853865479086E-2</v>
      </c>
      <c r="AY102" s="1">
        <f t="shared" ca="1" si="111"/>
        <v>1.8831069727073551</v>
      </c>
      <c r="AZ102" s="1">
        <f t="shared" ca="1" si="112"/>
        <v>130</v>
      </c>
      <c r="BA102" s="1">
        <f t="shared" ca="1" si="113"/>
        <v>2.891140000037918E-3</v>
      </c>
      <c r="BG102" s="1">
        <f t="shared" ca="1" si="114"/>
        <v>0.77147586650566424</v>
      </c>
      <c r="BH102" s="1">
        <f t="shared" ca="1" si="115"/>
        <v>0.32879737099784712</v>
      </c>
      <c r="BI102" s="1">
        <f t="shared" ca="1" si="116"/>
        <v>474</v>
      </c>
      <c r="BV102" s="1">
        <f t="shared" ca="1" si="117"/>
        <v>0.92837520615134161</v>
      </c>
      <c r="BW102" s="1">
        <f t="shared" ca="1" si="118"/>
        <v>467</v>
      </c>
      <c r="BX102" s="1">
        <f t="shared" ca="1" si="119"/>
        <v>6.6819936851471202E-3</v>
      </c>
      <c r="BY102" s="1">
        <f t="shared" ca="1" si="120"/>
        <v>5.1263035286458758E-3</v>
      </c>
      <c r="BZ102" s="1">
        <f t="shared" ca="1" si="121"/>
        <v>0.70609597123281054</v>
      </c>
      <c r="CB102" s="1">
        <f t="shared" ca="1" si="122"/>
        <v>378</v>
      </c>
      <c r="CC102" s="1">
        <f t="shared" ca="1" si="123"/>
        <v>6</v>
      </c>
      <c r="CD102" s="1">
        <f t="shared" ca="1" si="124"/>
        <v>0.22843436350782295</v>
      </c>
      <c r="CE102" s="1">
        <f t="shared" ca="1" si="146"/>
        <v>0.98085465130396177</v>
      </c>
      <c r="CF102" s="1">
        <f t="shared" ca="1" si="146"/>
        <v>0.60242302626649236</v>
      </c>
      <c r="CH102" s="3">
        <f t="shared" ca="1" si="126"/>
        <v>0.19690221779868039</v>
      </c>
      <c r="CI102" s="3">
        <f t="shared" ca="1" si="127"/>
        <v>0.85604476595843038</v>
      </c>
      <c r="CJ102" s="3">
        <f t="shared" ca="1" si="128"/>
        <v>1434</v>
      </c>
      <c r="CK102" s="3">
        <f t="shared" ca="1" si="129"/>
        <v>9.3699406325082023E-3</v>
      </c>
      <c r="CL102" s="3">
        <f t="shared" ca="1" si="130"/>
        <v>0</v>
      </c>
      <c r="CM102" s="3"/>
      <c r="CN102" s="1">
        <f t="shared" ca="1" si="131"/>
        <v>11.68131473644149</v>
      </c>
      <c r="CO102" s="1">
        <f t="shared" ca="1" si="132"/>
        <v>3.1835093426500864E-2</v>
      </c>
      <c r="CP102" s="1">
        <f t="shared" ca="1" si="133"/>
        <v>3</v>
      </c>
      <c r="CV102" s="1">
        <f t="shared" ca="1" si="134"/>
        <v>5.4748206147679266</v>
      </c>
      <c r="CW102" s="1">
        <f t="shared" ca="1" si="135"/>
        <v>560</v>
      </c>
      <c r="CX102" s="1">
        <f t="shared" ca="1" si="136"/>
        <v>6.3964343694271895E-4</v>
      </c>
      <c r="DH102" s="1">
        <f t="shared" ca="1" si="137"/>
        <v>785</v>
      </c>
      <c r="DI102" s="1">
        <f t="shared" ca="1" si="138"/>
        <v>0.60926387239740509</v>
      </c>
      <c r="DJ102" s="1">
        <f t="shared" ca="1" si="139"/>
        <v>3</v>
      </c>
      <c r="DL102" s="1">
        <f t="shared" ca="1" si="140"/>
        <v>7.4693308086905982E-2</v>
      </c>
      <c r="DM102" s="1">
        <f t="shared" ca="1" si="141"/>
        <v>183</v>
      </c>
      <c r="DN102" s="1">
        <f t="shared" ca="1" si="142"/>
        <v>5</v>
      </c>
      <c r="DW102" s="1">
        <f t="shared" ca="1" si="143"/>
        <v>350</v>
      </c>
      <c r="DX102" s="1">
        <f t="shared" ca="1" si="144"/>
        <v>17</v>
      </c>
      <c r="DY102" s="1">
        <f t="shared" ca="1" si="145"/>
        <v>17</v>
      </c>
    </row>
    <row r="103" spans="2:129" x14ac:dyDescent="0.25">
      <c r="B103">
        <f t="shared" ca="1" si="75"/>
        <v>194</v>
      </c>
      <c r="C103">
        <f t="shared" ca="1" si="76"/>
        <v>17</v>
      </c>
      <c r="D103">
        <f t="shared" ca="1" si="77"/>
        <v>0.21581169041475412</v>
      </c>
      <c r="F103" s="1">
        <f t="shared" ca="1" si="78"/>
        <v>18</v>
      </c>
      <c r="G103" s="1">
        <f t="shared" ca="1" si="79"/>
        <v>11</v>
      </c>
      <c r="H103" s="1">
        <f t="shared" ca="1" si="80"/>
        <v>8</v>
      </c>
      <c r="I103" s="1"/>
      <c r="J103" s="1">
        <f t="shared" ca="1" si="81"/>
        <v>19</v>
      </c>
      <c r="K103" s="1">
        <f t="shared" ca="1" si="82"/>
        <v>1.196135564120095</v>
      </c>
      <c r="L103" s="1">
        <f t="shared" ca="1" si="83"/>
        <v>14</v>
      </c>
      <c r="M103" s="1"/>
      <c r="N103" s="1">
        <f t="shared" ca="1" si="84"/>
        <v>997</v>
      </c>
      <c r="O103" s="1">
        <f t="shared" ca="1" si="85"/>
        <v>27</v>
      </c>
      <c r="P103" s="1"/>
      <c r="Q103" s="1">
        <f t="shared" ca="1" si="86"/>
        <v>0.36039044773245682</v>
      </c>
      <c r="R103" s="1">
        <f t="shared" ca="1" si="87"/>
        <v>862</v>
      </c>
      <c r="S103" s="1"/>
      <c r="T103" s="1">
        <f t="shared" ca="1" si="88"/>
        <v>0.14286761092366035</v>
      </c>
      <c r="U103" s="1">
        <f t="shared" ca="1" si="89"/>
        <v>270</v>
      </c>
      <c r="V103" s="1">
        <f t="shared" ca="1" si="90"/>
        <v>38</v>
      </c>
      <c r="W103" s="1"/>
      <c r="X103" s="1">
        <f t="shared" ca="1" si="91"/>
        <v>2.487380795600171</v>
      </c>
      <c r="Y103" s="1">
        <f t="shared" ca="1" si="92"/>
        <v>0.15856185717203716</v>
      </c>
      <c r="Z103" s="1">
        <f t="shared" ca="1" si="93"/>
        <v>1213</v>
      </c>
      <c r="AB103" s="1">
        <f t="shared" ca="1" si="94"/>
        <v>0.72657375360566989</v>
      </c>
      <c r="AC103" s="1">
        <f t="shared" ca="1" si="95"/>
        <v>280</v>
      </c>
      <c r="AD103" s="1">
        <f t="shared" ca="1" si="96"/>
        <v>5.5509495447550574E-3</v>
      </c>
      <c r="AE103" s="1"/>
      <c r="AF103" s="1">
        <f t="shared" ca="1" si="97"/>
        <v>0.67404137932216013</v>
      </c>
      <c r="AG103" s="1">
        <f t="shared" ca="1" si="98"/>
        <v>689</v>
      </c>
      <c r="AH103" s="1">
        <f t="shared" ca="1" si="99"/>
        <v>3.1488342575094891E-3</v>
      </c>
      <c r="AJ103" s="1">
        <f t="shared" ca="1" si="100"/>
        <v>0.31432643299068441</v>
      </c>
      <c r="AK103" s="1">
        <f t="shared" ca="1" si="101"/>
        <v>5.3706813239922787E-3</v>
      </c>
      <c r="AL103" s="1"/>
      <c r="AM103" s="1">
        <f t="shared" ca="1" si="102"/>
        <v>5.1528330541671788E-2</v>
      </c>
      <c r="AN103" s="1">
        <f t="shared" ca="1" si="103"/>
        <v>64</v>
      </c>
      <c r="AO103" s="1">
        <f t="shared" ca="1" si="104"/>
        <v>19</v>
      </c>
      <c r="AQ103" s="1">
        <f t="shared" ca="1" si="105"/>
        <v>132</v>
      </c>
      <c r="AR103" s="1">
        <f t="shared" ca="1" si="106"/>
        <v>8</v>
      </c>
      <c r="AS103" s="1">
        <f t="shared" ca="1" si="107"/>
        <v>66</v>
      </c>
      <c r="AU103" s="1">
        <f t="shared" ca="1" si="108"/>
        <v>387</v>
      </c>
      <c r="AV103" s="1">
        <f t="shared" ca="1" si="109"/>
        <v>7</v>
      </c>
      <c r="AW103" s="1">
        <f t="shared" ca="1" si="110"/>
        <v>2.3781843082557819E-2</v>
      </c>
      <c r="AY103" s="1">
        <f t="shared" ca="1" si="111"/>
        <v>1.9259126644476583</v>
      </c>
      <c r="AZ103" s="1">
        <f t="shared" ca="1" si="112"/>
        <v>60</v>
      </c>
      <c r="BA103" s="1">
        <f t="shared" ca="1" si="113"/>
        <v>7.8792866165758989E-3</v>
      </c>
      <c r="BG103" s="1">
        <f t="shared" ca="1" si="114"/>
        <v>0.15024987309649959</v>
      </c>
      <c r="BH103" s="1">
        <f t="shared" ca="1" si="115"/>
        <v>8.9349500332221998E-2</v>
      </c>
      <c r="BI103" s="1">
        <f t="shared" ca="1" si="116"/>
        <v>890</v>
      </c>
      <c r="BV103" s="1">
        <f t="shared" ca="1" si="117"/>
        <v>0.20012134360181966</v>
      </c>
      <c r="BW103" s="1">
        <f t="shared" ca="1" si="118"/>
        <v>755</v>
      </c>
      <c r="BX103" s="1">
        <f t="shared" ca="1" si="119"/>
        <v>3.4956793702827886E-3</v>
      </c>
      <c r="BY103" s="1">
        <f t="shared" ca="1" si="120"/>
        <v>8.2423617492973139E-2</v>
      </c>
      <c r="BZ103" s="1">
        <f t="shared" ca="1" si="121"/>
        <v>0.88668743246186321</v>
      </c>
      <c r="CB103" s="1">
        <f t="shared" ca="1" si="122"/>
        <v>481</v>
      </c>
      <c r="CC103" s="1">
        <f t="shared" ca="1" si="123"/>
        <v>10</v>
      </c>
      <c r="CD103" s="1">
        <f t="shared" ca="1" si="124"/>
        <v>4.0323262014057747E-2</v>
      </c>
      <c r="CE103" s="1">
        <f t="shared" ca="1" si="146"/>
        <v>0.67893012288413779</v>
      </c>
      <c r="CF103" s="1">
        <f t="shared" ca="1" si="146"/>
        <v>0.65513456062969566</v>
      </c>
      <c r="CH103" s="3">
        <f t="shared" ca="1" si="126"/>
        <v>0.83316925607993286</v>
      </c>
      <c r="CI103" s="3">
        <f t="shared" ca="1" si="127"/>
        <v>5.1636743145167828E-2</v>
      </c>
      <c r="CJ103" s="3">
        <f t="shared" ca="1" si="128"/>
        <v>765</v>
      </c>
      <c r="CK103" s="3">
        <f t="shared" ca="1" si="129"/>
        <v>5.640233468039937E-4</v>
      </c>
      <c r="CL103" s="3">
        <f t="shared" ca="1" si="130"/>
        <v>1</v>
      </c>
      <c r="CM103" s="3"/>
      <c r="CN103" s="1">
        <f t="shared" ca="1" si="131"/>
        <v>3.335479716146537</v>
      </c>
      <c r="CO103" s="1">
        <f t="shared" ca="1" si="132"/>
        <v>0.30240437155053412</v>
      </c>
      <c r="CP103" s="1">
        <f t="shared" ca="1" si="133"/>
        <v>3</v>
      </c>
      <c r="CV103" s="1">
        <f t="shared" ca="1" si="134"/>
        <v>3.7487931040952422</v>
      </c>
      <c r="CW103" s="1">
        <f t="shared" ca="1" si="135"/>
        <v>538</v>
      </c>
      <c r="CX103" s="1">
        <f t="shared" ca="1" si="136"/>
        <v>5.9039481384347732E-3</v>
      </c>
      <c r="DH103" s="1">
        <f t="shared" ca="1" si="137"/>
        <v>362</v>
      </c>
      <c r="DI103" s="1">
        <f t="shared" ca="1" si="138"/>
        <v>0.6938844963350802</v>
      </c>
      <c r="DJ103" s="1">
        <f t="shared" ca="1" si="139"/>
        <v>10</v>
      </c>
      <c r="DL103" s="1">
        <f t="shared" ca="1" si="140"/>
        <v>0.18547465429652835</v>
      </c>
      <c r="DM103" s="1">
        <f t="shared" ca="1" si="141"/>
        <v>146</v>
      </c>
      <c r="DN103" s="1">
        <f t="shared" ca="1" si="142"/>
        <v>3</v>
      </c>
      <c r="DW103" s="1">
        <f t="shared" ca="1" si="143"/>
        <v>450</v>
      </c>
      <c r="DX103" s="1">
        <f t="shared" ca="1" si="144"/>
        <v>17</v>
      </c>
      <c r="DY103" s="1">
        <f t="shared" ca="1" si="145"/>
        <v>4</v>
      </c>
    </row>
    <row r="104" spans="2:129" x14ac:dyDescent="0.25">
      <c r="B104">
        <f t="shared" ca="1" si="75"/>
        <v>509</v>
      </c>
      <c r="C104">
        <f t="shared" ca="1" si="76"/>
        <v>8</v>
      </c>
      <c r="D104">
        <f t="shared" ca="1" si="77"/>
        <v>0.29582505765641121</v>
      </c>
      <c r="F104" s="1">
        <f t="shared" ca="1" si="78"/>
        <v>4</v>
      </c>
      <c r="G104" s="1">
        <f t="shared" ca="1" si="79"/>
        <v>29</v>
      </c>
      <c r="H104" s="1">
        <f t="shared" ca="1" si="80"/>
        <v>11</v>
      </c>
      <c r="I104" s="1"/>
      <c r="J104" s="1">
        <f t="shared" ca="1" si="81"/>
        <v>2</v>
      </c>
      <c r="K104" s="1">
        <f t="shared" ca="1" si="82"/>
        <v>2.4026198235962264</v>
      </c>
      <c r="L104" s="1">
        <f t="shared" ca="1" si="83"/>
        <v>25</v>
      </c>
      <c r="M104" s="1"/>
      <c r="N104" s="1">
        <f t="shared" ca="1" si="84"/>
        <v>576</v>
      </c>
      <c r="O104" s="1">
        <f t="shared" ca="1" si="85"/>
        <v>42</v>
      </c>
      <c r="P104" s="1"/>
      <c r="Q104" s="1">
        <f t="shared" ca="1" si="86"/>
        <v>4.9513210187027283</v>
      </c>
      <c r="R104" s="1">
        <f t="shared" ca="1" si="87"/>
        <v>712</v>
      </c>
      <c r="S104" s="1"/>
      <c r="T104" s="1">
        <f t="shared" ca="1" si="88"/>
        <v>1.8918641695810159E-2</v>
      </c>
      <c r="U104" s="1">
        <f t="shared" ca="1" si="89"/>
        <v>364</v>
      </c>
      <c r="V104" s="1">
        <f t="shared" ca="1" si="90"/>
        <v>24</v>
      </c>
      <c r="W104" s="1"/>
      <c r="X104" s="1">
        <f t="shared" ca="1" si="91"/>
        <v>2.5910252066802557</v>
      </c>
      <c r="Y104" s="1">
        <f t="shared" ca="1" si="92"/>
        <v>7.3034971457261066E-2</v>
      </c>
      <c r="Z104" s="1">
        <f t="shared" ca="1" si="93"/>
        <v>555</v>
      </c>
      <c r="AB104" s="1">
        <f t="shared" ca="1" si="94"/>
        <v>0.99015454255407032</v>
      </c>
      <c r="AC104" s="1">
        <f t="shared" ca="1" si="95"/>
        <v>292</v>
      </c>
      <c r="AD104" s="1">
        <f t="shared" ca="1" si="96"/>
        <v>2.5606783020182971E-4</v>
      </c>
      <c r="AE104" s="1"/>
      <c r="AF104" s="1">
        <f t="shared" ca="1" si="97"/>
        <v>0.81043104876804228</v>
      </c>
      <c r="AG104" s="1">
        <f t="shared" ca="1" si="98"/>
        <v>670</v>
      </c>
      <c r="AH104" s="1">
        <f t="shared" ca="1" si="99"/>
        <v>7.8237380972035649E-3</v>
      </c>
      <c r="AJ104" s="1">
        <f t="shared" ca="1" si="100"/>
        <v>0.98894593519685781</v>
      </c>
      <c r="AK104" s="1">
        <f t="shared" ca="1" si="101"/>
        <v>8.796598155499635E-3</v>
      </c>
      <c r="AL104" s="1"/>
      <c r="AM104" s="1">
        <f t="shared" ca="1" si="102"/>
        <v>3.0886007159549311E-2</v>
      </c>
      <c r="AN104" s="1">
        <f t="shared" ca="1" si="103"/>
        <v>59</v>
      </c>
      <c r="AO104" s="1">
        <f t="shared" ca="1" si="104"/>
        <v>10</v>
      </c>
      <c r="AQ104" s="1">
        <f t="shared" ca="1" si="105"/>
        <v>24</v>
      </c>
      <c r="AR104" s="1">
        <f t="shared" ca="1" si="106"/>
        <v>0</v>
      </c>
      <c r="AS104" s="1">
        <f t="shared" ca="1" si="107"/>
        <v>99</v>
      </c>
      <c r="AU104" s="1">
        <f t="shared" ca="1" si="108"/>
        <v>327</v>
      </c>
      <c r="AV104" s="1">
        <f t="shared" ca="1" si="109"/>
        <v>6</v>
      </c>
      <c r="AW104" s="1">
        <f t="shared" ca="1" si="110"/>
        <v>6.6592631257917784E-2</v>
      </c>
      <c r="AY104" s="1">
        <f t="shared" ca="1" si="111"/>
        <v>1.4705627040982239</v>
      </c>
      <c r="AZ104" s="1">
        <f t="shared" ca="1" si="112"/>
        <v>292</v>
      </c>
      <c r="BA104" s="1">
        <f t="shared" ca="1" si="113"/>
        <v>1.2063536355016522E-3</v>
      </c>
      <c r="BG104" s="1">
        <f t="shared" ca="1" si="114"/>
        <v>0.14932023171947992</v>
      </c>
      <c r="BH104" s="1">
        <f t="shared" ca="1" si="115"/>
        <v>0.2685786915305296</v>
      </c>
      <c r="BI104" s="1">
        <f t="shared" ca="1" si="116"/>
        <v>649</v>
      </c>
      <c r="BV104" s="1">
        <f t="shared" ca="1" si="117"/>
        <v>0.80038740490021443</v>
      </c>
      <c r="BW104" s="1">
        <f t="shared" ca="1" si="118"/>
        <v>639</v>
      </c>
      <c r="BX104" s="1">
        <f t="shared" ca="1" si="119"/>
        <v>5.9911520976804085E-3</v>
      </c>
      <c r="BY104" s="1">
        <f t="shared" ca="1" si="120"/>
        <v>6.2214170140557093E-2</v>
      </c>
      <c r="BZ104" s="1">
        <f t="shared" ca="1" si="121"/>
        <v>0.37075948391856361</v>
      </c>
      <c r="CB104" s="1">
        <f t="shared" ca="1" si="122"/>
        <v>430</v>
      </c>
      <c r="CC104" s="1">
        <f t="shared" ca="1" si="123"/>
        <v>11</v>
      </c>
      <c r="CD104" s="1">
        <f t="shared" ca="1" si="124"/>
        <v>0.13100202598962443</v>
      </c>
      <c r="CE104" s="1">
        <f t="shared" ca="1" si="146"/>
        <v>0.66696122591962059</v>
      </c>
      <c r="CF104" s="1">
        <f t="shared" ca="1" si="146"/>
        <v>0.81536911072177265</v>
      </c>
      <c r="CH104" s="3">
        <f t="shared" ca="1" si="126"/>
        <v>4.9703332509475354E-2</v>
      </c>
      <c r="CI104" s="3">
        <f t="shared" ca="1" si="127"/>
        <v>0.43432430601715416</v>
      </c>
      <c r="CJ104" s="3">
        <f t="shared" ca="1" si="128"/>
        <v>1780</v>
      </c>
      <c r="CK104" s="3">
        <f t="shared" ca="1" si="129"/>
        <v>7.6812777350820363E-3</v>
      </c>
      <c r="CL104" s="3">
        <f t="shared" ca="1" si="130"/>
        <v>1</v>
      </c>
      <c r="CM104" s="3"/>
      <c r="CN104" s="1">
        <f t="shared" ca="1" si="131"/>
        <v>16.725745983852402</v>
      </c>
      <c r="CO104" s="1">
        <f t="shared" ca="1" si="132"/>
        <v>0.40442072792440298</v>
      </c>
      <c r="CP104" s="1">
        <f t="shared" ca="1" si="133"/>
        <v>4</v>
      </c>
      <c r="CV104" s="1">
        <f t="shared" ca="1" si="134"/>
        <v>5.2537311872731376</v>
      </c>
      <c r="CW104" s="1">
        <f t="shared" ca="1" si="135"/>
        <v>1359</v>
      </c>
      <c r="CX104" s="1">
        <f t="shared" ca="1" si="136"/>
        <v>8.1307689001331243E-3</v>
      </c>
      <c r="DH104" s="1">
        <f t="shared" ca="1" si="137"/>
        <v>636</v>
      </c>
      <c r="DI104" s="1">
        <f t="shared" ca="1" si="138"/>
        <v>0.80605328184203873</v>
      </c>
      <c r="DJ104" s="1">
        <f t="shared" ca="1" si="139"/>
        <v>25</v>
      </c>
      <c r="DL104" s="1">
        <f t="shared" ca="1" si="140"/>
        <v>0.13681806658060369</v>
      </c>
      <c r="DM104" s="1">
        <f t="shared" ca="1" si="141"/>
        <v>172</v>
      </c>
      <c r="DN104" s="1">
        <f t="shared" ca="1" si="142"/>
        <v>7</v>
      </c>
      <c r="DW104" s="1">
        <f t="shared" ca="1" si="143"/>
        <v>96</v>
      </c>
      <c r="DX104" s="1">
        <f t="shared" ca="1" si="144"/>
        <v>4</v>
      </c>
      <c r="DY104" s="1">
        <f t="shared" ca="1" si="145"/>
        <v>17</v>
      </c>
    </row>
    <row r="105" spans="2:129" x14ac:dyDescent="0.25">
      <c r="B105">
        <f t="shared" ca="1" si="75"/>
        <v>586</v>
      </c>
      <c r="C105">
        <f t="shared" ca="1" si="76"/>
        <v>11</v>
      </c>
      <c r="D105">
        <f t="shared" ca="1" si="77"/>
        <v>0.14603136325308444</v>
      </c>
      <c r="F105" s="1">
        <f t="shared" ca="1" si="78"/>
        <v>17</v>
      </c>
      <c r="G105" s="1">
        <f t="shared" ca="1" si="79"/>
        <v>27</v>
      </c>
      <c r="H105" s="1">
        <f t="shared" ca="1" si="80"/>
        <v>11</v>
      </c>
      <c r="I105" s="1"/>
      <c r="J105" s="1">
        <f t="shared" ca="1" si="81"/>
        <v>19</v>
      </c>
      <c r="K105" s="1">
        <f t="shared" ca="1" si="82"/>
        <v>2.2773198099789855</v>
      </c>
      <c r="L105" s="1">
        <f t="shared" ca="1" si="83"/>
        <v>22</v>
      </c>
      <c r="M105" s="1"/>
      <c r="N105" s="1">
        <f t="shared" ca="1" si="84"/>
        <v>525</v>
      </c>
      <c r="O105" s="1">
        <f t="shared" ca="1" si="85"/>
        <v>27</v>
      </c>
      <c r="P105" s="1"/>
      <c r="Q105" s="1">
        <f t="shared" ca="1" si="86"/>
        <v>4.0638425264875977</v>
      </c>
      <c r="R105" s="1">
        <f t="shared" ca="1" si="87"/>
        <v>563</v>
      </c>
      <c r="S105" s="1"/>
      <c r="T105" s="1">
        <f t="shared" ca="1" si="88"/>
        <v>0.18624875184569539</v>
      </c>
      <c r="U105" s="1">
        <f t="shared" ca="1" si="89"/>
        <v>129</v>
      </c>
      <c r="V105" s="1">
        <f t="shared" ca="1" si="90"/>
        <v>45</v>
      </c>
      <c r="W105" s="1"/>
      <c r="X105" s="1">
        <f t="shared" ca="1" si="91"/>
        <v>0.72522642460627462</v>
      </c>
      <c r="Y105" s="1">
        <f t="shared" ca="1" si="92"/>
        <v>0.89088365594247132</v>
      </c>
      <c r="Z105" s="1">
        <f t="shared" ca="1" si="93"/>
        <v>1481</v>
      </c>
      <c r="AB105" s="1">
        <f t="shared" ca="1" si="94"/>
        <v>0.55752354415320715</v>
      </c>
      <c r="AC105" s="1">
        <f t="shared" ca="1" si="95"/>
        <v>732</v>
      </c>
      <c r="AD105" s="1">
        <f t="shared" ca="1" si="96"/>
        <v>9.9986011322928912E-3</v>
      </c>
      <c r="AE105" s="1"/>
      <c r="AF105" s="1">
        <f t="shared" ca="1" si="97"/>
        <v>0.85186515086737868</v>
      </c>
      <c r="AG105" s="1">
        <f t="shared" ca="1" si="98"/>
        <v>836</v>
      </c>
      <c r="AH105" s="1">
        <f t="shared" ca="1" si="99"/>
        <v>2.378654727609667E-3</v>
      </c>
      <c r="AJ105" s="1">
        <f t="shared" ca="1" si="100"/>
        <v>0.53669321623839916</v>
      </c>
      <c r="AK105" s="1">
        <f t="shared" ca="1" si="101"/>
        <v>2.884311559939201E-3</v>
      </c>
      <c r="AL105" s="1"/>
      <c r="AM105" s="1">
        <f t="shared" ca="1" si="102"/>
        <v>6.945972470013888E-3</v>
      </c>
      <c r="AN105" s="1">
        <f t="shared" ca="1" si="103"/>
        <v>35</v>
      </c>
      <c r="AO105" s="1">
        <f t="shared" ca="1" si="104"/>
        <v>4</v>
      </c>
      <c r="AQ105" s="1">
        <f t="shared" ca="1" si="105"/>
        <v>60</v>
      </c>
      <c r="AR105" s="1">
        <f t="shared" ca="1" si="106"/>
        <v>10</v>
      </c>
      <c r="AS105" s="1">
        <f t="shared" ca="1" si="107"/>
        <v>82</v>
      </c>
      <c r="AU105" s="1">
        <f t="shared" ca="1" si="108"/>
        <v>357</v>
      </c>
      <c r="AV105" s="1">
        <f t="shared" ca="1" si="109"/>
        <v>7</v>
      </c>
      <c r="AW105" s="1">
        <f t="shared" ca="1" si="110"/>
        <v>0.18335528039359886</v>
      </c>
      <c r="AY105" s="1">
        <f t="shared" ca="1" si="111"/>
        <v>1.6492510062564729</v>
      </c>
      <c r="AZ105" s="1">
        <f t="shared" ca="1" si="112"/>
        <v>363</v>
      </c>
      <c r="BA105" s="1">
        <f t="shared" ca="1" si="113"/>
        <v>1.9543203270679594E-3</v>
      </c>
      <c r="BG105" s="1">
        <f t="shared" ca="1" si="114"/>
        <v>0.31047426500302489</v>
      </c>
      <c r="BH105" s="1">
        <f t="shared" ca="1" si="115"/>
        <v>0.31850005813370941</v>
      </c>
      <c r="BI105" s="1">
        <f t="shared" ca="1" si="116"/>
        <v>556</v>
      </c>
      <c r="BV105" s="1">
        <f t="shared" ca="1" si="117"/>
        <v>0.28629287906842199</v>
      </c>
      <c r="BW105" s="1">
        <f t="shared" ca="1" si="118"/>
        <v>942</v>
      </c>
      <c r="BX105" s="1">
        <f t="shared" ca="1" si="119"/>
        <v>7.1731142653740226E-3</v>
      </c>
      <c r="BY105" s="1">
        <f t="shared" ca="1" si="120"/>
        <v>7.0270817101016514E-2</v>
      </c>
      <c r="BZ105" s="1">
        <f t="shared" ca="1" si="121"/>
        <v>0.81026882585505966</v>
      </c>
      <c r="CB105" s="1">
        <f t="shared" ca="1" si="122"/>
        <v>368</v>
      </c>
      <c r="CC105" s="1">
        <f t="shared" ca="1" si="123"/>
        <v>3</v>
      </c>
      <c r="CD105" s="1">
        <f t="shared" ca="1" si="124"/>
        <v>4.9702298796706915E-2</v>
      </c>
      <c r="CE105" s="1">
        <f t="shared" ca="1" si="146"/>
        <v>0.64187290427750976</v>
      </c>
      <c r="CF105" s="1">
        <f t="shared" ca="1" si="146"/>
        <v>0.58209394255640567</v>
      </c>
      <c r="CH105" s="3">
        <f t="shared" ca="1" si="126"/>
        <v>0.25538589051229715</v>
      </c>
      <c r="CI105" s="3">
        <f t="shared" ca="1" si="127"/>
        <v>0.15970778835859578</v>
      </c>
      <c r="CJ105" s="3">
        <f t="shared" ca="1" si="128"/>
        <v>1888</v>
      </c>
      <c r="CK105" s="3">
        <f t="shared" ca="1" si="129"/>
        <v>1.6008718211195617E-3</v>
      </c>
      <c r="CL105" s="3">
        <f t="shared" ca="1" si="130"/>
        <v>0</v>
      </c>
      <c r="CM105" s="3"/>
      <c r="CN105" s="1">
        <f t="shared" ca="1" si="131"/>
        <v>16.964645210899995</v>
      </c>
      <c r="CO105" s="1">
        <f t="shared" ca="1" si="132"/>
        <v>9.353041178027769E-3</v>
      </c>
      <c r="CP105" s="1">
        <f t="shared" ca="1" si="133"/>
        <v>1</v>
      </c>
      <c r="CV105" s="1">
        <f t="shared" ca="1" si="134"/>
        <v>3.5631499827339312</v>
      </c>
      <c r="CW105" s="1">
        <f t="shared" ca="1" si="135"/>
        <v>1113</v>
      </c>
      <c r="CX105" s="1">
        <f t="shared" ca="1" si="136"/>
        <v>5.2574360002952403E-3</v>
      </c>
      <c r="DH105" s="1">
        <f t="shared" ca="1" si="137"/>
        <v>358</v>
      </c>
      <c r="DI105" s="1">
        <f t="shared" ca="1" si="138"/>
        <v>4.5271707339066034E-2</v>
      </c>
      <c r="DJ105" s="1">
        <f t="shared" ca="1" si="139"/>
        <v>24</v>
      </c>
      <c r="DL105" s="1">
        <f t="shared" ca="1" si="140"/>
        <v>3.6815892592421372E-2</v>
      </c>
      <c r="DM105" s="1">
        <f t="shared" ca="1" si="141"/>
        <v>130</v>
      </c>
      <c r="DN105" s="1">
        <f t="shared" ca="1" si="142"/>
        <v>4</v>
      </c>
      <c r="DW105" s="1">
        <f t="shared" ca="1" si="143"/>
        <v>106</v>
      </c>
      <c r="DX105" s="1">
        <f t="shared" ca="1" si="144"/>
        <v>11</v>
      </c>
      <c r="DY105" s="1">
        <f t="shared" ca="1" si="145"/>
        <v>17</v>
      </c>
    </row>
    <row r="106" spans="2:129" x14ac:dyDescent="0.25">
      <c r="B106">
        <f t="shared" ca="1" si="75"/>
        <v>49</v>
      </c>
      <c r="C106">
        <f t="shared" ca="1" si="76"/>
        <v>28</v>
      </c>
      <c r="D106">
        <f t="shared" ca="1" si="77"/>
        <v>6.6121092770861797E-2</v>
      </c>
      <c r="F106" s="1">
        <f t="shared" ca="1" si="78"/>
        <v>42</v>
      </c>
      <c r="G106" s="1">
        <f t="shared" ca="1" si="79"/>
        <v>3</v>
      </c>
      <c r="H106" s="1">
        <f t="shared" ca="1" si="80"/>
        <v>4</v>
      </c>
      <c r="I106" s="1"/>
      <c r="J106" s="1">
        <f t="shared" ca="1" si="81"/>
        <v>22</v>
      </c>
      <c r="K106" s="1">
        <f t="shared" ca="1" si="82"/>
        <v>1.4774143619268032</v>
      </c>
      <c r="L106" s="1">
        <f t="shared" ca="1" si="83"/>
        <v>33</v>
      </c>
      <c r="M106" s="1"/>
      <c r="N106" s="1">
        <f t="shared" ca="1" si="84"/>
        <v>273</v>
      </c>
      <c r="O106" s="1">
        <f t="shared" ca="1" si="85"/>
        <v>51</v>
      </c>
      <c r="P106" s="1"/>
      <c r="Q106" s="1">
        <f t="shared" ca="1" si="86"/>
        <v>4.3181075477642166</v>
      </c>
      <c r="R106" s="1">
        <f t="shared" ca="1" si="87"/>
        <v>424</v>
      </c>
      <c r="S106" s="1"/>
      <c r="T106" s="1">
        <f t="shared" ca="1" si="88"/>
        <v>0.19136702042224071</v>
      </c>
      <c r="U106" s="1">
        <f t="shared" ca="1" si="89"/>
        <v>337</v>
      </c>
      <c r="V106" s="1">
        <f t="shared" ca="1" si="90"/>
        <v>24</v>
      </c>
      <c r="W106" s="1"/>
      <c r="X106" s="1">
        <f t="shared" ca="1" si="91"/>
        <v>1.8014430902581138</v>
      </c>
      <c r="Y106" s="1">
        <f t="shared" ca="1" si="92"/>
        <v>0.78383323555582451</v>
      </c>
      <c r="Z106" s="1">
        <f t="shared" ca="1" si="93"/>
        <v>813</v>
      </c>
      <c r="AB106" s="1">
        <f t="shared" ca="1" si="94"/>
        <v>0.95323380756751874</v>
      </c>
      <c r="AC106" s="1">
        <f t="shared" ca="1" si="95"/>
        <v>720</v>
      </c>
      <c r="AD106" s="1">
        <f t="shared" ca="1" si="96"/>
        <v>2.2141562833555483E-3</v>
      </c>
      <c r="AE106" s="1"/>
      <c r="AF106" s="1">
        <f t="shared" ca="1" si="97"/>
        <v>0.64792344057595497</v>
      </c>
      <c r="AG106" s="1">
        <f t="shared" ca="1" si="98"/>
        <v>303</v>
      </c>
      <c r="AH106" s="1">
        <f t="shared" ca="1" si="99"/>
        <v>5.2582587764866016E-3</v>
      </c>
      <c r="AJ106" s="1">
        <f t="shared" ca="1" si="100"/>
        <v>0.23300445324268315</v>
      </c>
      <c r="AK106" s="1">
        <f t="shared" ca="1" si="101"/>
        <v>5.1581779726686391E-3</v>
      </c>
      <c r="AL106" s="1"/>
      <c r="AM106" s="1">
        <f t="shared" ca="1" si="102"/>
        <v>6.1731420649097569E-2</v>
      </c>
      <c r="AN106" s="1">
        <f t="shared" ca="1" si="103"/>
        <v>28</v>
      </c>
      <c r="AO106" s="1">
        <f t="shared" ca="1" si="104"/>
        <v>3</v>
      </c>
      <c r="AQ106" s="1">
        <f t="shared" ca="1" si="105"/>
        <v>177</v>
      </c>
      <c r="AR106" s="1">
        <f t="shared" ca="1" si="106"/>
        <v>9</v>
      </c>
      <c r="AS106" s="1">
        <f t="shared" ca="1" si="107"/>
        <v>74</v>
      </c>
      <c r="AU106" s="1">
        <f t="shared" ca="1" si="108"/>
        <v>248</v>
      </c>
      <c r="AV106" s="1">
        <f t="shared" ca="1" si="109"/>
        <v>6</v>
      </c>
      <c r="AW106" s="1">
        <f t="shared" ca="1" si="110"/>
        <v>0.15384657822822995</v>
      </c>
      <c r="AY106" s="1">
        <f t="shared" ca="1" si="111"/>
        <v>1.2839956080055819</v>
      </c>
      <c r="AZ106" s="1">
        <f t="shared" ca="1" si="112"/>
        <v>103</v>
      </c>
      <c r="BA106" s="1">
        <f t="shared" ca="1" si="113"/>
        <v>3.9430333606216448E-3</v>
      </c>
      <c r="BG106" s="1">
        <f t="shared" ca="1" si="114"/>
        <v>0.4722302859669345</v>
      </c>
      <c r="BH106" s="1">
        <f t="shared" ca="1" si="115"/>
        <v>0.19291648518982318</v>
      </c>
      <c r="BI106" s="1">
        <f t="shared" ca="1" si="116"/>
        <v>806</v>
      </c>
      <c r="BV106" s="1">
        <f t="shared" ca="1" si="117"/>
        <v>0.68765470184370425</v>
      </c>
      <c r="BW106" s="1">
        <f t="shared" ca="1" si="118"/>
        <v>472</v>
      </c>
      <c r="BX106" s="1">
        <f t="shared" ca="1" si="119"/>
        <v>9.8431391501304089E-3</v>
      </c>
      <c r="BY106" s="1">
        <f t="shared" ca="1" si="120"/>
        <v>8.1497264723456822E-2</v>
      </c>
      <c r="BZ106" s="1">
        <f t="shared" ca="1" si="121"/>
        <v>0.58888952459614197</v>
      </c>
      <c r="CB106" s="1">
        <f t="shared" ca="1" si="122"/>
        <v>204</v>
      </c>
      <c r="CC106" s="1">
        <f t="shared" ca="1" si="123"/>
        <v>14</v>
      </c>
      <c r="CD106" s="1">
        <f t="shared" ca="1" si="124"/>
        <v>0.24320659057583127</v>
      </c>
      <c r="CE106" s="1">
        <f t="shared" ca="1" si="146"/>
        <v>0.53033160861526207</v>
      </c>
      <c r="CF106" s="1">
        <f t="shared" ca="1" si="146"/>
        <v>0.67434981408711403</v>
      </c>
      <c r="CH106" s="3">
        <f t="shared" ca="1" si="126"/>
        <v>0.18337843008528346</v>
      </c>
      <c r="CI106" s="3">
        <f t="shared" ca="1" si="127"/>
        <v>0.69170152729176493</v>
      </c>
      <c r="CJ106" s="3">
        <f t="shared" ca="1" si="128"/>
        <v>523</v>
      </c>
      <c r="CK106" s="3">
        <f t="shared" ca="1" si="129"/>
        <v>3.6651348150101471E-3</v>
      </c>
      <c r="CL106" s="3">
        <f t="shared" ca="1" si="130"/>
        <v>0</v>
      </c>
      <c r="CM106" s="3"/>
      <c r="CN106" s="1">
        <f t="shared" ca="1" si="131"/>
        <v>13.424853967154675</v>
      </c>
      <c r="CO106" s="1">
        <f t="shared" ca="1" si="132"/>
        <v>0.22406361898855107</v>
      </c>
      <c r="CP106" s="1">
        <f t="shared" ca="1" si="133"/>
        <v>3</v>
      </c>
      <c r="CV106" s="1">
        <f t="shared" ca="1" si="134"/>
        <v>8.3971714292939286</v>
      </c>
      <c r="CW106" s="1">
        <f t="shared" ca="1" si="135"/>
        <v>1051</v>
      </c>
      <c r="CX106" s="1">
        <f t="shared" ca="1" si="136"/>
        <v>5.4487423957744899E-3</v>
      </c>
      <c r="DH106" s="1">
        <f t="shared" ca="1" si="137"/>
        <v>246</v>
      </c>
      <c r="DI106" s="1">
        <f t="shared" ca="1" si="138"/>
        <v>0.25386787472943895</v>
      </c>
      <c r="DJ106" s="1">
        <f t="shared" ca="1" si="139"/>
        <v>26</v>
      </c>
      <c r="DL106" s="1">
        <f t="shared" ca="1" si="140"/>
        <v>0.15264851850871461</v>
      </c>
      <c r="DM106" s="1">
        <f t="shared" ca="1" si="141"/>
        <v>158</v>
      </c>
      <c r="DN106" s="1">
        <f t="shared" ca="1" si="142"/>
        <v>2</v>
      </c>
      <c r="DW106" s="1">
        <f t="shared" ca="1" si="143"/>
        <v>382</v>
      </c>
      <c r="DX106" s="1">
        <f t="shared" ca="1" si="144"/>
        <v>20</v>
      </c>
      <c r="DY106" s="1">
        <f t="shared" ca="1" si="145"/>
        <v>18</v>
      </c>
    </row>
    <row r="107" spans="2:129" x14ac:dyDescent="0.25">
      <c r="B107">
        <f t="shared" ca="1" si="75"/>
        <v>595</v>
      </c>
      <c r="C107">
        <f t="shared" ca="1" si="76"/>
        <v>44</v>
      </c>
      <c r="D107">
        <f t="shared" ca="1" si="77"/>
        <v>0.10023540780672591</v>
      </c>
      <c r="F107" s="1">
        <f t="shared" ca="1" si="78"/>
        <v>46</v>
      </c>
      <c r="G107" s="1">
        <f t="shared" ca="1" si="79"/>
        <v>19</v>
      </c>
      <c r="H107" s="1">
        <f t="shared" ca="1" si="80"/>
        <v>7</v>
      </c>
      <c r="I107" s="1"/>
      <c r="J107" s="1">
        <f t="shared" ca="1" si="81"/>
        <v>4</v>
      </c>
      <c r="K107" s="1">
        <f t="shared" ca="1" si="82"/>
        <v>1.3307229247277914</v>
      </c>
      <c r="L107" s="1">
        <f t="shared" ca="1" si="83"/>
        <v>34</v>
      </c>
      <c r="M107" s="1"/>
      <c r="N107" s="1">
        <f t="shared" ca="1" si="84"/>
        <v>721</v>
      </c>
      <c r="O107" s="1">
        <f t="shared" ca="1" si="85"/>
        <v>15</v>
      </c>
      <c r="P107" s="1"/>
      <c r="Q107" s="1">
        <f t="shared" ca="1" si="86"/>
        <v>0.91145968243471054</v>
      </c>
      <c r="R107" s="1">
        <f t="shared" ca="1" si="87"/>
        <v>600</v>
      </c>
      <c r="S107" s="1"/>
      <c r="T107" s="1">
        <f t="shared" ca="1" si="88"/>
        <v>9.4757296465459662E-2</v>
      </c>
      <c r="U107" s="1">
        <f t="shared" ca="1" si="89"/>
        <v>332</v>
      </c>
      <c r="V107" s="1">
        <f t="shared" ca="1" si="90"/>
        <v>7</v>
      </c>
      <c r="W107" s="1"/>
      <c r="X107" s="1">
        <f t="shared" ca="1" si="91"/>
        <v>5.9617373235153091</v>
      </c>
      <c r="Y107" s="1">
        <f t="shared" ca="1" si="92"/>
        <v>0.31177756597540257</v>
      </c>
      <c r="Z107" s="1">
        <f t="shared" ca="1" si="93"/>
        <v>1636</v>
      </c>
      <c r="AB107" s="1">
        <f t="shared" ca="1" si="94"/>
        <v>0.81670099232233262</v>
      </c>
      <c r="AC107" s="1">
        <f t="shared" ca="1" si="95"/>
        <v>550</v>
      </c>
      <c r="AD107" s="1">
        <f t="shared" ca="1" si="96"/>
        <v>5.7738069076131431E-4</v>
      </c>
      <c r="AE107" s="1"/>
      <c r="AF107" s="1">
        <f t="shared" ca="1" si="97"/>
        <v>0.65116588427715705</v>
      </c>
      <c r="AG107" s="1">
        <f t="shared" ca="1" si="98"/>
        <v>278</v>
      </c>
      <c r="AH107" s="1">
        <f t="shared" ca="1" si="99"/>
        <v>6.8641276027701014E-3</v>
      </c>
      <c r="AJ107" s="1">
        <f t="shared" ca="1" si="100"/>
        <v>0.53616551958585701</v>
      </c>
      <c r="AK107" s="1">
        <f t="shared" ca="1" si="101"/>
        <v>1.0292305913073921E-3</v>
      </c>
      <c r="AL107" s="1"/>
      <c r="AM107" s="1">
        <f t="shared" ca="1" si="102"/>
        <v>6.4818441712025596E-3</v>
      </c>
      <c r="AN107" s="1">
        <f t="shared" ca="1" si="103"/>
        <v>79</v>
      </c>
      <c r="AO107" s="1">
        <f t="shared" ca="1" si="104"/>
        <v>15</v>
      </c>
      <c r="AQ107" s="1">
        <f t="shared" ca="1" si="105"/>
        <v>51</v>
      </c>
      <c r="AR107" s="1">
        <f t="shared" ca="1" si="106"/>
        <v>10</v>
      </c>
      <c r="AS107" s="1">
        <f t="shared" ca="1" si="107"/>
        <v>14</v>
      </c>
      <c r="AU107" s="1">
        <f t="shared" ca="1" si="108"/>
        <v>230</v>
      </c>
      <c r="AV107" s="1">
        <f t="shared" ca="1" si="109"/>
        <v>10</v>
      </c>
      <c r="AW107" s="1">
        <f t="shared" ca="1" si="110"/>
        <v>0.14149486268770442</v>
      </c>
      <c r="AY107" s="1">
        <f t="shared" ca="1" si="111"/>
        <v>1.1995448055590545</v>
      </c>
      <c r="AZ107" s="1">
        <f t="shared" ca="1" si="112"/>
        <v>220</v>
      </c>
      <c r="BA107" s="1">
        <f t="shared" ca="1" si="113"/>
        <v>2.7322875666213218E-3</v>
      </c>
      <c r="BG107" s="1">
        <f t="shared" ca="1" si="114"/>
        <v>0.18954270254123409</v>
      </c>
      <c r="BH107" s="1">
        <f t="shared" ca="1" si="115"/>
        <v>0.78516254726184198</v>
      </c>
      <c r="BI107" s="1">
        <f t="shared" ca="1" si="116"/>
        <v>770</v>
      </c>
      <c r="BV107" s="1">
        <f t="shared" ca="1" si="117"/>
        <v>6.9675160770147709E-2</v>
      </c>
      <c r="BW107" s="1">
        <f t="shared" ca="1" si="118"/>
        <v>289</v>
      </c>
      <c r="BX107" s="1">
        <f t="shared" ca="1" si="119"/>
        <v>5.7564687690563584E-3</v>
      </c>
      <c r="BY107" s="1">
        <f t="shared" ca="1" si="120"/>
        <v>4.3643090455943341E-2</v>
      </c>
      <c r="BZ107" s="1">
        <f t="shared" ca="1" si="121"/>
        <v>0.35586282386903989</v>
      </c>
      <c r="CB107" s="1">
        <f t="shared" ca="1" si="122"/>
        <v>257</v>
      </c>
      <c r="CC107" s="1">
        <f t="shared" ca="1" si="123"/>
        <v>12</v>
      </c>
      <c r="CD107" s="1">
        <f t="shared" ca="1" si="124"/>
        <v>0.22496843077859585</v>
      </c>
      <c r="CE107" s="1">
        <f t="shared" ca="1" si="146"/>
        <v>0.87005861520719907</v>
      </c>
      <c r="CF107" s="1">
        <f t="shared" ca="1" si="146"/>
        <v>0.90940078088494891</v>
      </c>
      <c r="CH107" s="3">
        <f t="shared" ca="1" si="126"/>
        <v>0.55923025232987722</v>
      </c>
      <c r="CI107" s="3">
        <f t="shared" ca="1" si="127"/>
        <v>0.91993149594681412</v>
      </c>
      <c r="CJ107" s="3">
        <f t="shared" ca="1" si="128"/>
        <v>1490</v>
      </c>
      <c r="CK107" s="3">
        <f t="shared" ca="1" si="129"/>
        <v>1.0692656762057798E-3</v>
      </c>
      <c r="CL107" s="3">
        <f t="shared" ca="1" si="130"/>
        <v>1</v>
      </c>
      <c r="CM107" s="3"/>
      <c r="CN107" s="1">
        <f t="shared" ca="1" si="131"/>
        <v>5.9985790576317113</v>
      </c>
      <c r="CO107" s="1">
        <f t="shared" ca="1" si="132"/>
        <v>1.8473528898470971E-2</v>
      </c>
      <c r="CP107" s="1">
        <f t="shared" ca="1" si="133"/>
        <v>1</v>
      </c>
      <c r="CV107" s="1">
        <f t="shared" ca="1" si="134"/>
        <v>7.2126654564328003</v>
      </c>
      <c r="CW107" s="1">
        <f t="shared" ca="1" si="135"/>
        <v>1779</v>
      </c>
      <c r="CX107" s="1">
        <f t="shared" ca="1" si="136"/>
        <v>6.1675497826851619E-3</v>
      </c>
      <c r="DH107" s="1">
        <f t="shared" ca="1" si="137"/>
        <v>41</v>
      </c>
      <c r="DI107" s="1">
        <f t="shared" ca="1" si="138"/>
        <v>0.55328459276960806</v>
      </c>
      <c r="DJ107" s="1">
        <f t="shared" ca="1" si="139"/>
        <v>12</v>
      </c>
      <c r="DL107" s="1">
        <f t="shared" ca="1" si="140"/>
        <v>5.0549533946405371E-2</v>
      </c>
      <c r="DM107" s="1">
        <f t="shared" ca="1" si="141"/>
        <v>285</v>
      </c>
      <c r="DN107" s="1">
        <f t="shared" ca="1" si="142"/>
        <v>9</v>
      </c>
      <c r="DW107" s="1">
        <f t="shared" ca="1" si="143"/>
        <v>416</v>
      </c>
      <c r="DX107" s="1">
        <f t="shared" ca="1" si="144"/>
        <v>11</v>
      </c>
      <c r="DY107" s="1">
        <f t="shared" ca="1" si="145"/>
        <v>3</v>
      </c>
    </row>
    <row r="108" spans="2:129" x14ac:dyDescent="0.25">
      <c r="B108">
        <f t="shared" ca="1" si="75"/>
        <v>783</v>
      </c>
      <c r="C108">
        <f t="shared" ca="1" si="76"/>
        <v>23</v>
      </c>
      <c r="D108">
        <f t="shared" ca="1" si="77"/>
        <v>0.21705291958762704</v>
      </c>
      <c r="F108" s="1">
        <f t="shared" ca="1" si="78"/>
        <v>33</v>
      </c>
      <c r="G108" s="1">
        <f t="shared" ca="1" si="79"/>
        <v>5</v>
      </c>
      <c r="H108" s="1">
        <f t="shared" ca="1" si="80"/>
        <v>12</v>
      </c>
      <c r="I108" s="1"/>
      <c r="J108" s="1">
        <f t="shared" ca="1" si="81"/>
        <v>30</v>
      </c>
      <c r="K108" s="1">
        <f t="shared" ca="1" si="82"/>
        <v>2.3801961989677403</v>
      </c>
      <c r="L108" s="1">
        <f t="shared" ca="1" si="83"/>
        <v>20</v>
      </c>
      <c r="M108" s="1"/>
      <c r="N108" s="1">
        <f t="shared" ca="1" si="84"/>
        <v>847</v>
      </c>
      <c r="O108" s="1">
        <f t="shared" ca="1" si="85"/>
        <v>19</v>
      </c>
      <c r="P108" s="1"/>
      <c r="Q108" s="1">
        <f t="shared" ca="1" si="86"/>
        <v>4.5058082881681072</v>
      </c>
      <c r="R108" s="1">
        <f t="shared" ca="1" si="87"/>
        <v>447</v>
      </c>
      <c r="S108" s="1"/>
      <c r="T108" s="1">
        <f t="shared" ca="1" si="88"/>
        <v>1.1877776287045923E-2</v>
      </c>
      <c r="U108" s="1">
        <f t="shared" ca="1" si="89"/>
        <v>380</v>
      </c>
      <c r="V108" s="1">
        <f t="shared" ca="1" si="90"/>
        <v>3</v>
      </c>
      <c r="W108" s="1"/>
      <c r="X108" s="1">
        <f t="shared" ca="1" si="91"/>
        <v>5.43006734557658</v>
      </c>
      <c r="Y108" s="1">
        <f t="shared" ca="1" si="92"/>
        <v>0.54810139929785218</v>
      </c>
      <c r="Z108" s="1">
        <f t="shared" ca="1" si="93"/>
        <v>615</v>
      </c>
      <c r="AB108" s="1">
        <f t="shared" ca="1" si="94"/>
        <v>0.88069044701887433</v>
      </c>
      <c r="AC108" s="1">
        <f t="shared" ca="1" si="95"/>
        <v>769</v>
      </c>
      <c r="AD108" s="1">
        <f t="shared" ca="1" si="96"/>
        <v>9.4807708352636962E-3</v>
      </c>
      <c r="AE108" s="1"/>
      <c r="AF108" s="1">
        <f t="shared" ca="1" si="97"/>
        <v>0.80566894238529463</v>
      </c>
      <c r="AG108" s="1">
        <f t="shared" ca="1" si="98"/>
        <v>338</v>
      </c>
      <c r="AH108" s="1">
        <f t="shared" ca="1" si="99"/>
        <v>6.2210801779640119E-3</v>
      </c>
      <c r="AJ108" s="1">
        <f t="shared" ca="1" si="100"/>
        <v>0.85350509105176453</v>
      </c>
      <c r="AK108" s="1">
        <f t="shared" ca="1" si="101"/>
        <v>3.1459477740787209E-3</v>
      </c>
      <c r="AL108" s="1"/>
      <c r="AM108" s="1">
        <f t="shared" ca="1" si="102"/>
        <v>4.900161728439123E-2</v>
      </c>
      <c r="AN108" s="1">
        <f t="shared" ca="1" si="103"/>
        <v>37</v>
      </c>
      <c r="AO108" s="1">
        <f t="shared" ca="1" si="104"/>
        <v>15</v>
      </c>
      <c r="AQ108" s="1">
        <f t="shared" ca="1" si="105"/>
        <v>90</v>
      </c>
      <c r="AR108" s="1">
        <f t="shared" ca="1" si="106"/>
        <v>1</v>
      </c>
      <c r="AS108" s="1">
        <f t="shared" ca="1" si="107"/>
        <v>81</v>
      </c>
      <c r="AU108" s="1">
        <f t="shared" ca="1" si="108"/>
        <v>241</v>
      </c>
      <c r="AV108" s="1">
        <f t="shared" ca="1" si="109"/>
        <v>8</v>
      </c>
      <c r="AW108" s="1">
        <f t="shared" ca="1" si="110"/>
        <v>3.2363730559450445E-2</v>
      </c>
      <c r="AY108" s="1">
        <f t="shared" ca="1" si="111"/>
        <v>1.8412827556208438</v>
      </c>
      <c r="AZ108" s="1">
        <f t="shared" ca="1" si="112"/>
        <v>467</v>
      </c>
      <c r="BA108" s="1">
        <f t="shared" ca="1" si="113"/>
        <v>7.9295193287912252E-5</v>
      </c>
      <c r="BG108" s="1">
        <f t="shared" ca="1" si="114"/>
        <v>0.60564032097570553</v>
      </c>
      <c r="BH108" s="1">
        <f t="shared" ca="1" si="115"/>
        <v>3.0616121084947601E-3</v>
      </c>
      <c r="BI108" s="1">
        <f t="shared" ca="1" si="116"/>
        <v>111</v>
      </c>
      <c r="BV108" s="1">
        <f t="shared" ca="1" si="117"/>
        <v>3.6017671020904057E-2</v>
      </c>
      <c r="BW108" s="1">
        <f t="shared" ca="1" si="118"/>
        <v>478</v>
      </c>
      <c r="BX108" s="1">
        <f t="shared" ca="1" si="119"/>
        <v>4.1371043068305644E-3</v>
      </c>
      <c r="BY108" s="1">
        <f t="shared" ca="1" si="120"/>
        <v>5.8875399964357297E-2</v>
      </c>
      <c r="BZ108" s="1">
        <f t="shared" ca="1" si="121"/>
        <v>0.29861954358178933</v>
      </c>
      <c r="CB108" s="1">
        <f t="shared" ca="1" si="122"/>
        <v>360</v>
      </c>
      <c r="CC108" s="1">
        <f t="shared" ca="1" si="123"/>
        <v>3</v>
      </c>
      <c r="CD108" s="1">
        <f t="shared" ca="1" si="124"/>
        <v>0.20056240749107268</v>
      </c>
      <c r="CE108" s="1">
        <f t="shared" ca="1" si="146"/>
        <v>0.76588660811898479</v>
      </c>
      <c r="CF108" s="1">
        <f t="shared" ca="1" si="146"/>
        <v>0.66356338650731927</v>
      </c>
      <c r="CH108" s="3">
        <f t="shared" ca="1" si="126"/>
        <v>0.94317745697898814</v>
      </c>
      <c r="CI108" s="3">
        <f t="shared" ca="1" si="127"/>
        <v>0.71339092002311433</v>
      </c>
      <c r="CJ108" s="3">
        <f t="shared" ca="1" si="128"/>
        <v>902</v>
      </c>
      <c r="CK108" s="3">
        <f t="shared" ca="1" si="129"/>
        <v>8.1445361348982549E-3</v>
      </c>
      <c r="CL108" s="3">
        <f t="shared" ca="1" si="130"/>
        <v>1</v>
      </c>
      <c r="CM108" s="3"/>
      <c r="CN108" s="1">
        <f t="shared" ca="1" si="131"/>
        <v>19.841817969245341</v>
      </c>
      <c r="CO108" s="1">
        <f t="shared" ca="1" si="132"/>
        <v>5.6121851159293473E-3</v>
      </c>
      <c r="CP108" s="1">
        <f t="shared" ca="1" si="133"/>
        <v>1</v>
      </c>
      <c r="CV108" s="1">
        <f t="shared" ca="1" si="134"/>
        <v>5.4247997643402037</v>
      </c>
      <c r="CW108" s="1">
        <f t="shared" ca="1" si="135"/>
        <v>399</v>
      </c>
      <c r="CX108" s="1">
        <f t="shared" ca="1" si="136"/>
        <v>5.8199765683499766E-3</v>
      </c>
      <c r="DH108" s="1">
        <f t="shared" ca="1" si="137"/>
        <v>487</v>
      </c>
      <c r="DI108" s="1">
        <f t="shared" ca="1" si="138"/>
        <v>0.44923197831381906</v>
      </c>
      <c r="DJ108" s="1">
        <f t="shared" ca="1" si="139"/>
        <v>17</v>
      </c>
      <c r="DL108" s="1">
        <f t="shared" ca="1" si="140"/>
        <v>0.10025747550381163</v>
      </c>
      <c r="DM108" s="1">
        <f t="shared" ca="1" si="141"/>
        <v>82</v>
      </c>
      <c r="DN108" s="1">
        <f t="shared" ca="1" si="142"/>
        <v>5</v>
      </c>
      <c r="DW108" s="1">
        <f t="shared" ca="1" si="143"/>
        <v>307</v>
      </c>
      <c r="DX108" s="1">
        <f t="shared" ca="1" si="144"/>
        <v>14</v>
      </c>
      <c r="DY108" s="1">
        <f t="shared" ca="1" si="145"/>
        <v>14</v>
      </c>
    </row>
    <row r="109" spans="2:129" x14ac:dyDescent="0.25">
      <c r="B109">
        <f t="shared" ca="1" si="75"/>
        <v>120</v>
      </c>
      <c r="C109">
        <f t="shared" ca="1" si="76"/>
        <v>38</v>
      </c>
      <c r="D109">
        <f t="shared" ca="1" si="77"/>
        <v>0.27719066517692315</v>
      </c>
      <c r="F109" s="1">
        <f t="shared" ca="1" si="78"/>
        <v>13</v>
      </c>
      <c r="G109" s="1">
        <f t="shared" ca="1" si="79"/>
        <v>22</v>
      </c>
      <c r="H109" s="1">
        <f t="shared" ca="1" si="80"/>
        <v>6</v>
      </c>
      <c r="I109" s="1"/>
      <c r="J109" s="1">
        <f t="shared" ca="1" si="81"/>
        <v>6</v>
      </c>
      <c r="K109" s="1">
        <f t="shared" ca="1" si="82"/>
        <v>2.7271970804297179</v>
      </c>
      <c r="L109" s="1">
        <f t="shared" ca="1" si="83"/>
        <v>30</v>
      </c>
      <c r="M109" s="1"/>
      <c r="N109" s="1">
        <f t="shared" ca="1" si="84"/>
        <v>304</v>
      </c>
      <c r="O109" s="1">
        <f t="shared" ca="1" si="85"/>
        <v>37</v>
      </c>
      <c r="P109" s="1"/>
      <c r="Q109" s="1">
        <f t="shared" ca="1" si="86"/>
        <v>0.16624901053115748</v>
      </c>
      <c r="R109" s="1">
        <f t="shared" ca="1" si="87"/>
        <v>913</v>
      </c>
      <c r="S109" s="1"/>
      <c r="T109" s="1">
        <f t="shared" ca="1" si="88"/>
        <v>8.7831798661490254E-2</v>
      </c>
      <c r="U109" s="1">
        <f t="shared" ca="1" si="89"/>
        <v>329</v>
      </c>
      <c r="V109" s="1">
        <f t="shared" ca="1" si="90"/>
        <v>33</v>
      </c>
      <c r="W109" s="1"/>
      <c r="X109" s="1">
        <f t="shared" ca="1" si="91"/>
        <v>5.7010466027067972</v>
      </c>
      <c r="Y109" s="1">
        <f t="shared" ca="1" si="92"/>
        <v>0.68444003459795466</v>
      </c>
      <c r="Z109" s="1">
        <f t="shared" ca="1" si="93"/>
        <v>607</v>
      </c>
      <c r="AB109" s="1">
        <f t="shared" ca="1" si="94"/>
        <v>6.1650954063486939E-2</v>
      </c>
      <c r="AC109" s="1">
        <f t="shared" ca="1" si="95"/>
        <v>159</v>
      </c>
      <c r="AD109" s="1">
        <f t="shared" ca="1" si="96"/>
        <v>1.4680689360065829E-3</v>
      </c>
      <c r="AE109" s="1"/>
      <c r="AF109" s="1">
        <f t="shared" ca="1" si="97"/>
        <v>0.23895165973849455</v>
      </c>
      <c r="AG109" s="1">
        <f t="shared" ca="1" si="98"/>
        <v>730</v>
      </c>
      <c r="AH109" s="1">
        <f t="shared" ca="1" si="99"/>
        <v>1.7445484831306543E-3</v>
      </c>
      <c r="AJ109" s="1">
        <f t="shared" ca="1" si="100"/>
        <v>0.65587417415588911</v>
      </c>
      <c r="AK109" s="1">
        <f t="shared" ca="1" si="101"/>
        <v>1.6354186784564265E-3</v>
      </c>
      <c r="AL109" s="1"/>
      <c r="AM109" s="1">
        <f t="shared" ca="1" si="102"/>
        <v>6.3296819784758526E-2</v>
      </c>
      <c r="AN109" s="1">
        <f t="shared" ca="1" si="103"/>
        <v>43</v>
      </c>
      <c r="AO109" s="1">
        <f t="shared" ca="1" si="104"/>
        <v>9</v>
      </c>
      <c r="AQ109" s="1">
        <f t="shared" ca="1" si="105"/>
        <v>138</v>
      </c>
      <c r="AR109" s="1">
        <f t="shared" ca="1" si="106"/>
        <v>9</v>
      </c>
      <c r="AS109" s="1">
        <f t="shared" ca="1" si="107"/>
        <v>34</v>
      </c>
      <c r="AU109" s="1">
        <f t="shared" ca="1" si="108"/>
        <v>176</v>
      </c>
      <c r="AV109" s="1">
        <f t="shared" ca="1" si="109"/>
        <v>3</v>
      </c>
      <c r="AW109" s="1">
        <f t="shared" ca="1" si="110"/>
        <v>9.1294263632190495E-2</v>
      </c>
      <c r="AY109" s="1">
        <f t="shared" ca="1" si="111"/>
        <v>1.3553088422889115</v>
      </c>
      <c r="AZ109" s="1">
        <f t="shared" ca="1" si="112"/>
        <v>67</v>
      </c>
      <c r="BA109" s="1">
        <f t="shared" ca="1" si="113"/>
        <v>2.5294918840149255E-3</v>
      </c>
      <c r="BG109" s="1">
        <f t="shared" ca="1" si="114"/>
        <v>0.90748710076899985</v>
      </c>
      <c r="BH109" s="1">
        <f t="shared" ca="1" si="115"/>
        <v>0.57285054343075836</v>
      </c>
      <c r="BI109" s="1">
        <f t="shared" ca="1" si="116"/>
        <v>541</v>
      </c>
      <c r="BV109" s="1">
        <f t="shared" ca="1" si="117"/>
        <v>0.28805331363154185</v>
      </c>
      <c r="BW109" s="1">
        <f t="shared" ca="1" si="118"/>
        <v>837</v>
      </c>
      <c r="BX109" s="1">
        <f t="shared" ca="1" si="119"/>
        <v>5.7668701420147128E-3</v>
      </c>
      <c r="BY109" s="1">
        <f t="shared" ca="1" si="120"/>
        <v>6.1135879422905721E-2</v>
      </c>
      <c r="BZ109" s="1">
        <f t="shared" ca="1" si="121"/>
        <v>0.6575464815112303</v>
      </c>
      <c r="CB109" s="1">
        <f t="shared" ca="1" si="122"/>
        <v>264</v>
      </c>
      <c r="CC109" s="1">
        <f t="shared" ca="1" si="123"/>
        <v>9</v>
      </c>
      <c r="CD109" s="1">
        <f t="shared" ca="1" si="124"/>
        <v>0.26832644592206617</v>
      </c>
      <c r="CE109" s="1">
        <f t="shared" ca="1" si="146"/>
        <v>0.96850714336685551</v>
      </c>
      <c r="CF109" s="1">
        <f t="shared" ca="1" si="146"/>
        <v>0.8389491328634795</v>
      </c>
      <c r="CH109" s="3">
        <f t="shared" ca="1" si="126"/>
        <v>0.96443920892147339</v>
      </c>
      <c r="CI109" s="3">
        <f t="shared" ca="1" si="127"/>
        <v>0.75048754191544631</v>
      </c>
      <c r="CJ109" s="3">
        <f t="shared" ca="1" si="128"/>
        <v>660</v>
      </c>
      <c r="CK109" s="3">
        <f t="shared" ca="1" si="129"/>
        <v>2.1948657803041319E-3</v>
      </c>
      <c r="CL109" s="3">
        <f t="shared" ca="1" si="130"/>
        <v>1</v>
      </c>
      <c r="CM109" s="3"/>
      <c r="CN109" s="1">
        <f t="shared" ca="1" si="131"/>
        <v>3.9841822245259428</v>
      </c>
      <c r="CO109" s="1">
        <f t="shared" ca="1" si="132"/>
        <v>0.4706097106167399</v>
      </c>
      <c r="CP109" s="1">
        <f t="shared" ca="1" si="133"/>
        <v>4</v>
      </c>
      <c r="CV109" s="1">
        <f t="shared" ca="1" si="134"/>
        <v>6.688404628247131</v>
      </c>
      <c r="CW109" s="1">
        <f t="shared" ca="1" si="135"/>
        <v>1419</v>
      </c>
      <c r="CX109" s="1">
        <f t="shared" ca="1" si="136"/>
        <v>9.6834159576617233E-3</v>
      </c>
      <c r="DH109" s="1">
        <f t="shared" ca="1" si="137"/>
        <v>464</v>
      </c>
      <c r="DI109" s="1">
        <f t="shared" ca="1" si="138"/>
        <v>0.5301025097312444</v>
      </c>
      <c r="DJ109" s="1">
        <f t="shared" ca="1" si="139"/>
        <v>13</v>
      </c>
      <c r="DL109" s="1">
        <f t="shared" ca="1" si="140"/>
        <v>0.18382730799217567</v>
      </c>
      <c r="DM109" s="1">
        <f t="shared" ca="1" si="141"/>
        <v>227</v>
      </c>
      <c r="DN109" s="1">
        <f t="shared" ca="1" si="142"/>
        <v>4</v>
      </c>
      <c r="DW109" s="1">
        <f t="shared" ca="1" si="143"/>
        <v>96</v>
      </c>
      <c r="DX109" s="1">
        <f t="shared" ca="1" si="144"/>
        <v>15</v>
      </c>
      <c r="DY109" s="1">
        <f t="shared" ca="1" si="145"/>
        <v>20</v>
      </c>
    </row>
    <row r="110" spans="2:129" x14ac:dyDescent="0.25">
      <c r="B110">
        <f t="shared" ca="1" si="75"/>
        <v>683</v>
      </c>
      <c r="C110">
        <f t="shared" ca="1" si="76"/>
        <v>39</v>
      </c>
      <c r="D110">
        <f t="shared" ca="1" si="77"/>
        <v>0.15328326689898786</v>
      </c>
      <c r="F110" s="1">
        <f t="shared" ca="1" si="78"/>
        <v>8</v>
      </c>
      <c r="G110" s="1">
        <f t="shared" ca="1" si="79"/>
        <v>8</v>
      </c>
      <c r="H110" s="1">
        <f t="shared" ca="1" si="80"/>
        <v>5</v>
      </c>
      <c r="I110" s="1"/>
      <c r="J110" s="1">
        <f t="shared" ca="1" si="81"/>
        <v>12</v>
      </c>
      <c r="K110" s="1">
        <f t="shared" ca="1" si="82"/>
        <v>2.247623495656641</v>
      </c>
      <c r="L110" s="1">
        <f t="shared" ca="1" si="83"/>
        <v>20</v>
      </c>
      <c r="M110" s="1"/>
      <c r="N110" s="1">
        <f t="shared" ca="1" si="84"/>
        <v>599</v>
      </c>
      <c r="O110" s="1">
        <f t="shared" ca="1" si="85"/>
        <v>29</v>
      </c>
      <c r="P110" s="1"/>
      <c r="Q110" s="1">
        <f t="shared" ca="1" si="86"/>
        <v>3.8015294166385805</v>
      </c>
      <c r="R110" s="1">
        <f t="shared" ca="1" si="87"/>
        <v>447</v>
      </c>
      <c r="S110" s="1"/>
      <c r="T110" s="1">
        <f t="shared" ca="1" si="88"/>
        <v>0.13864161908554068</v>
      </c>
      <c r="U110" s="1">
        <f t="shared" ca="1" si="89"/>
        <v>176</v>
      </c>
      <c r="V110" s="1">
        <f t="shared" ca="1" si="90"/>
        <v>40</v>
      </c>
      <c r="W110" s="1"/>
      <c r="X110" s="1">
        <f t="shared" ca="1" si="91"/>
        <v>7.3386887861054992</v>
      </c>
      <c r="Y110" s="1">
        <f t="shared" ca="1" si="92"/>
        <v>0.44574231050736207</v>
      </c>
      <c r="Z110" s="1">
        <f t="shared" ca="1" si="93"/>
        <v>1055</v>
      </c>
      <c r="AB110" s="1">
        <f t="shared" ca="1" si="94"/>
        <v>5.3895272962061522E-2</v>
      </c>
      <c r="AC110" s="1">
        <f t="shared" ca="1" si="95"/>
        <v>484</v>
      </c>
      <c r="AD110" s="1">
        <f t="shared" ca="1" si="96"/>
        <v>3.2928802443126571E-3</v>
      </c>
      <c r="AE110" s="1"/>
      <c r="AF110" s="1">
        <f t="shared" ca="1" si="97"/>
        <v>0.33219228726374828</v>
      </c>
      <c r="AG110" s="1">
        <f t="shared" ca="1" si="98"/>
        <v>315</v>
      </c>
      <c r="AH110" s="1">
        <f t="shared" ca="1" si="99"/>
        <v>8.1323357645562738E-4</v>
      </c>
      <c r="AJ110" s="1">
        <f t="shared" ca="1" si="100"/>
        <v>8.8306940470753714E-2</v>
      </c>
      <c r="AK110" s="1">
        <f t="shared" ca="1" si="101"/>
        <v>3.2959565415078161E-3</v>
      </c>
      <c r="AL110" s="1"/>
      <c r="AM110" s="1">
        <f t="shared" ca="1" si="102"/>
        <v>6.6800930682210744E-3</v>
      </c>
      <c r="AN110" s="1">
        <f t="shared" ca="1" si="103"/>
        <v>26</v>
      </c>
      <c r="AO110" s="1">
        <f t="shared" ca="1" si="104"/>
        <v>3</v>
      </c>
      <c r="AQ110" s="1">
        <f t="shared" ca="1" si="105"/>
        <v>178</v>
      </c>
      <c r="AR110" s="1">
        <f t="shared" ca="1" si="106"/>
        <v>4</v>
      </c>
      <c r="AS110" s="1">
        <f t="shared" ca="1" si="107"/>
        <v>64</v>
      </c>
      <c r="AU110" s="1">
        <f t="shared" ca="1" si="108"/>
        <v>293</v>
      </c>
      <c r="AV110" s="1">
        <f t="shared" ca="1" si="109"/>
        <v>8</v>
      </c>
      <c r="AW110" s="1">
        <f t="shared" ca="1" si="110"/>
        <v>6.6932418292904028E-2</v>
      </c>
      <c r="AY110" s="1">
        <f t="shared" ca="1" si="111"/>
        <v>1.9211881954522054</v>
      </c>
      <c r="AZ110" s="1">
        <f t="shared" ca="1" si="112"/>
        <v>70</v>
      </c>
      <c r="BA110" s="1">
        <f t="shared" ca="1" si="113"/>
        <v>3.2041986472159019E-4</v>
      </c>
      <c r="BG110" s="1">
        <f t="shared" ca="1" si="114"/>
        <v>0.42036689931201926</v>
      </c>
      <c r="BH110" s="1">
        <f t="shared" ca="1" si="115"/>
        <v>0.96178851947702071</v>
      </c>
      <c r="BI110" s="1">
        <f t="shared" ca="1" si="116"/>
        <v>262</v>
      </c>
      <c r="BV110" s="1">
        <f t="shared" ca="1" si="117"/>
        <v>0.6034945790460482</v>
      </c>
      <c r="BW110" s="1">
        <f t="shared" ca="1" si="118"/>
        <v>986</v>
      </c>
      <c r="BX110" s="1">
        <f t="shared" ca="1" si="119"/>
        <v>8.6962681129858412E-3</v>
      </c>
      <c r="BY110" s="1">
        <f t="shared" ca="1" si="120"/>
        <v>3.0952241030577702E-2</v>
      </c>
      <c r="BZ110" s="1">
        <f t="shared" ca="1" si="121"/>
        <v>0.57112477734712663</v>
      </c>
      <c r="CB110" s="1">
        <f t="shared" ca="1" si="122"/>
        <v>388</v>
      </c>
      <c r="CC110" s="1">
        <f t="shared" ca="1" si="123"/>
        <v>15</v>
      </c>
      <c r="CD110" s="1">
        <f t="shared" ca="1" si="124"/>
        <v>0.15997972538293073</v>
      </c>
      <c r="CE110" s="1">
        <f t="shared" ca="1" si="146"/>
        <v>0.9838034989943869</v>
      </c>
      <c r="CF110" s="1">
        <f t="shared" ca="1" si="146"/>
        <v>0.9936483187507551</v>
      </c>
      <c r="CH110" s="3">
        <f t="shared" ca="1" si="126"/>
        <v>0.27216621909465044</v>
      </c>
      <c r="CI110" s="3">
        <f t="shared" ca="1" si="127"/>
        <v>0.24269794728958821</v>
      </c>
      <c r="CJ110" s="3">
        <f t="shared" ca="1" si="128"/>
        <v>149</v>
      </c>
      <c r="CK110" s="3">
        <f t="shared" ca="1" si="129"/>
        <v>2.3082006353999343E-3</v>
      </c>
      <c r="CL110" s="3">
        <f t="shared" ca="1" si="130"/>
        <v>1</v>
      </c>
      <c r="CM110" s="3"/>
      <c r="CN110" s="1">
        <f t="shared" ca="1" si="131"/>
        <v>14.540617079481025</v>
      </c>
      <c r="CO110" s="1">
        <f t="shared" ca="1" si="132"/>
        <v>0.36881790620923172</v>
      </c>
      <c r="CP110" s="1">
        <f t="shared" ca="1" si="133"/>
        <v>1</v>
      </c>
      <c r="CV110" s="1">
        <f t="shared" ca="1" si="134"/>
        <v>4.7632924356979878</v>
      </c>
      <c r="CW110" s="1">
        <f t="shared" ca="1" si="135"/>
        <v>1163</v>
      </c>
      <c r="CX110" s="1">
        <f t="shared" ca="1" si="136"/>
        <v>5.8608948082486088E-3</v>
      </c>
      <c r="DH110" s="1">
        <f t="shared" ca="1" si="137"/>
        <v>849</v>
      </c>
      <c r="DI110" s="1">
        <f t="shared" ca="1" si="138"/>
        <v>0.2918418733056633</v>
      </c>
      <c r="DJ110" s="1">
        <f t="shared" ca="1" si="139"/>
        <v>4</v>
      </c>
      <c r="DL110" s="1">
        <f t="shared" ca="1" si="140"/>
        <v>4.4547512714085934E-2</v>
      </c>
      <c r="DM110" s="1">
        <f t="shared" ca="1" si="141"/>
        <v>77</v>
      </c>
      <c r="DN110" s="1">
        <f t="shared" ca="1" si="142"/>
        <v>5</v>
      </c>
      <c r="DW110" s="1">
        <f t="shared" ca="1" si="143"/>
        <v>455</v>
      </c>
      <c r="DX110" s="1">
        <f t="shared" ca="1" si="144"/>
        <v>10</v>
      </c>
      <c r="DY110" s="1">
        <f t="shared" ca="1" si="145"/>
        <v>14</v>
      </c>
    </row>
    <row r="111" spans="2:129" x14ac:dyDescent="0.25">
      <c r="B111">
        <f t="shared" ca="1" si="75"/>
        <v>476</v>
      </c>
      <c r="C111">
        <f t="shared" ca="1" si="76"/>
        <v>14</v>
      </c>
      <c r="D111">
        <f t="shared" ca="1" si="77"/>
        <v>0.28850466452331969</v>
      </c>
      <c r="F111" s="1">
        <f t="shared" ca="1" si="78"/>
        <v>31</v>
      </c>
      <c r="G111" s="1">
        <f t="shared" ca="1" si="79"/>
        <v>4</v>
      </c>
      <c r="H111" s="1">
        <f t="shared" ca="1" si="80"/>
        <v>15</v>
      </c>
      <c r="I111" s="1"/>
      <c r="J111" s="1">
        <f t="shared" ca="1" si="81"/>
        <v>25</v>
      </c>
      <c r="K111" s="1">
        <f t="shared" ca="1" si="82"/>
        <v>1.6021963731966649</v>
      </c>
      <c r="L111" s="1">
        <f t="shared" ca="1" si="83"/>
        <v>23</v>
      </c>
      <c r="M111" s="1"/>
      <c r="N111" s="1">
        <f t="shared" ca="1" si="84"/>
        <v>394</v>
      </c>
      <c r="O111" s="1">
        <f t="shared" ca="1" si="85"/>
        <v>34</v>
      </c>
      <c r="P111" s="1"/>
      <c r="Q111" s="1">
        <f t="shared" ca="1" si="86"/>
        <v>3.3378819713799697</v>
      </c>
      <c r="R111" s="1">
        <f t="shared" ca="1" si="87"/>
        <v>809</v>
      </c>
      <c r="S111" s="1"/>
      <c r="T111" s="1">
        <f t="shared" ca="1" si="88"/>
        <v>0.13839299652133738</v>
      </c>
      <c r="U111" s="1">
        <f t="shared" ca="1" si="89"/>
        <v>431</v>
      </c>
      <c r="V111" s="1">
        <f t="shared" ca="1" si="90"/>
        <v>39</v>
      </c>
      <c r="W111" s="1"/>
      <c r="X111" s="1">
        <f t="shared" ca="1" si="91"/>
        <v>9.3063483099363165</v>
      </c>
      <c r="Y111" s="1">
        <f t="shared" ca="1" si="92"/>
        <v>0.90154949114064864</v>
      </c>
      <c r="Z111" s="1">
        <f t="shared" ca="1" si="93"/>
        <v>1438</v>
      </c>
      <c r="AB111" s="1">
        <f t="shared" ca="1" si="94"/>
        <v>1.5237097839244153E-2</v>
      </c>
      <c r="AC111" s="1">
        <f t="shared" ca="1" si="95"/>
        <v>875</v>
      </c>
      <c r="AD111" s="1">
        <f t="shared" ca="1" si="96"/>
        <v>3.6504135177938884E-3</v>
      </c>
      <c r="AE111" s="1"/>
      <c r="AF111" s="1">
        <f t="shared" ca="1" si="97"/>
        <v>0.60333867925858498</v>
      </c>
      <c r="AG111" s="1">
        <f t="shared" ca="1" si="98"/>
        <v>546</v>
      </c>
      <c r="AH111" s="1">
        <f t="shared" ca="1" si="99"/>
        <v>9.3194393301197463E-3</v>
      </c>
      <c r="AJ111" s="1">
        <f t="shared" ca="1" si="100"/>
        <v>0.67157550465860216</v>
      </c>
      <c r="AK111" s="1">
        <f t="shared" ca="1" si="101"/>
        <v>1.5774972130097363E-3</v>
      </c>
      <c r="AL111" s="1"/>
      <c r="AM111" s="1">
        <f t="shared" ca="1" si="102"/>
        <v>0.14188153026116945</v>
      </c>
      <c r="AN111" s="1">
        <f t="shared" ca="1" si="103"/>
        <v>28</v>
      </c>
      <c r="AO111" s="1">
        <f t="shared" ca="1" si="104"/>
        <v>11</v>
      </c>
      <c r="AQ111" s="1">
        <f t="shared" ca="1" si="105"/>
        <v>119</v>
      </c>
      <c r="AR111" s="1">
        <f t="shared" ca="1" si="106"/>
        <v>9</v>
      </c>
      <c r="AS111" s="1">
        <f t="shared" ca="1" si="107"/>
        <v>28</v>
      </c>
      <c r="AU111" s="1">
        <f t="shared" ca="1" si="108"/>
        <v>322</v>
      </c>
      <c r="AV111" s="1">
        <f t="shared" ca="1" si="109"/>
        <v>9</v>
      </c>
      <c r="AW111" s="1">
        <f t="shared" ca="1" si="110"/>
        <v>0.16921234823732711</v>
      </c>
      <c r="AY111" s="1">
        <f t="shared" ca="1" si="111"/>
        <v>1.4607747889430469</v>
      </c>
      <c r="AZ111" s="1">
        <f t="shared" ca="1" si="112"/>
        <v>128</v>
      </c>
      <c r="BA111" s="1">
        <f t="shared" ca="1" si="113"/>
        <v>6.9876431931180231E-4</v>
      </c>
      <c r="BG111" s="1">
        <f t="shared" ca="1" si="114"/>
        <v>0.60181197160866839</v>
      </c>
      <c r="BH111" s="1">
        <f t="shared" ca="1" si="115"/>
        <v>0.33225424132445236</v>
      </c>
      <c r="BI111" s="1">
        <f t="shared" ca="1" si="116"/>
        <v>495</v>
      </c>
      <c r="BV111" s="1">
        <f t="shared" ca="1" si="117"/>
        <v>0.11987164224655816</v>
      </c>
      <c r="BW111" s="1">
        <f t="shared" ca="1" si="118"/>
        <v>162</v>
      </c>
      <c r="BX111" s="1">
        <f t="shared" ca="1" si="119"/>
        <v>1.2313493315252145E-3</v>
      </c>
      <c r="BY111" s="1">
        <f t="shared" ca="1" si="120"/>
        <v>5.49817384716524E-2</v>
      </c>
      <c r="BZ111" s="1">
        <f t="shared" ca="1" si="121"/>
        <v>0.74108565879969235</v>
      </c>
      <c r="CB111" s="1">
        <f t="shared" ca="1" si="122"/>
        <v>59</v>
      </c>
      <c r="CC111" s="1">
        <f t="shared" ca="1" si="123"/>
        <v>7</v>
      </c>
      <c r="CD111" s="1">
        <f t="shared" ca="1" si="124"/>
        <v>0.1592710381453519</v>
      </c>
      <c r="CE111" s="1">
        <f t="shared" ca="1" si="146"/>
        <v>0.54405526171531671</v>
      </c>
      <c r="CF111" s="1">
        <f t="shared" ca="1" si="146"/>
        <v>0.59570123450046619</v>
      </c>
      <c r="CH111" s="3">
        <f t="shared" ca="1" si="126"/>
        <v>0.24769631977916115</v>
      </c>
      <c r="CI111" s="3">
        <f t="shared" ca="1" si="127"/>
        <v>0.65169467975949502</v>
      </c>
      <c r="CJ111" s="3">
        <f t="shared" ca="1" si="128"/>
        <v>1753</v>
      </c>
      <c r="CK111" s="3">
        <f t="shared" ca="1" si="129"/>
        <v>2.6231387513371367E-3</v>
      </c>
      <c r="CL111" s="3">
        <f t="shared" ca="1" si="130"/>
        <v>0</v>
      </c>
      <c r="CM111" s="3"/>
      <c r="CN111" s="1">
        <f t="shared" ca="1" si="131"/>
        <v>0.59830948628482405</v>
      </c>
      <c r="CO111" s="1">
        <f t="shared" ca="1" si="132"/>
        <v>0.12719094582046345</v>
      </c>
      <c r="CP111" s="1">
        <f t="shared" ca="1" si="133"/>
        <v>1</v>
      </c>
      <c r="CV111" s="1">
        <f t="shared" ca="1" si="134"/>
        <v>4.6084551511194745</v>
      </c>
      <c r="CW111" s="1">
        <f t="shared" ca="1" si="135"/>
        <v>110</v>
      </c>
      <c r="CX111" s="1">
        <f t="shared" ca="1" si="136"/>
        <v>1.2687341208960843E-3</v>
      </c>
      <c r="DH111" s="1">
        <f t="shared" ca="1" si="137"/>
        <v>691</v>
      </c>
      <c r="DI111" s="1">
        <f t="shared" ca="1" si="138"/>
        <v>0.75021710472314895</v>
      </c>
      <c r="DJ111" s="1">
        <f t="shared" ca="1" si="139"/>
        <v>27</v>
      </c>
      <c r="DL111" s="1">
        <f t="shared" ca="1" si="140"/>
        <v>0.19065496376673699</v>
      </c>
      <c r="DM111" s="1">
        <f t="shared" ca="1" si="141"/>
        <v>278</v>
      </c>
      <c r="DN111" s="1">
        <f t="shared" ca="1" si="142"/>
        <v>10</v>
      </c>
      <c r="DW111" s="1">
        <f t="shared" ca="1" si="143"/>
        <v>415</v>
      </c>
      <c r="DX111" s="1">
        <f t="shared" ca="1" si="144"/>
        <v>16</v>
      </c>
      <c r="DY111" s="1">
        <f t="shared" ca="1" si="145"/>
        <v>11</v>
      </c>
    </row>
    <row r="112" spans="2:129" x14ac:dyDescent="0.25">
      <c r="B112">
        <f t="shared" ca="1" si="75"/>
        <v>323</v>
      </c>
      <c r="C112">
        <f t="shared" ca="1" si="76"/>
        <v>11</v>
      </c>
      <c r="D112">
        <f t="shared" ca="1" si="77"/>
        <v>2.5636782637697038E-2</v>
      </c>
      <c r="F112" s="1">
        <f t="shared" ca="1" si="78"/>
        <v>37</v>
      </c>
      <c r="G112" s="1">
        <f t="shared" ca="1" si="79"/>
        <v>12</v>
      </c>
      <c r="H112" s="1">
        <f t="shared" ca="1" si="80"/>
        <v>15</v>
      </c>
      <c r="I112" s="1"/>
      <c r="J112" s="1">
        <f t="shared" ca="1" si="81"/>
        <v>18</v>
      </c>
      <c r="K112" s="1">
        <f t="shared" ca="1" si="82"/>
        <v>2.961902559482251</v>
      </c>
      <c r="L112" s="1">
        <f t="shared" ca="1" si="83"/>
        <v>35</v>
      </c>
      <c r="M112" s="1"/>
      <c r="N112" s="1">
        <f t="shared" ca="1" si="84"/>
        <v>936</v>
      </c>
      <c r="O112" s="1">
        <f t="shared" ca="1" si="85"/>
        <v>3</v>
      </c>
      <c r="P112" s="1"/>
      <c r="Q112" s="1">
        <f t="shared" ca="1" si="86"/>
        <v>0.37043914992779475</v>
      </c>
      <c r="R112" s="1">
        <f t="shared" ca="1" si="87"/>
        <v>758</v>
      </c>
      <c r="S112" s="1"/>
      <c r="T112" s="1">
        <f t="shared" ca="1" si="88"/>
        <v>0.18849195946389227</v>
      </c>
      <c r="U112" s="1">
        <f t="shared" ca="1" si="89"/>
        <v>390</v>
      </c>
      <c r="V112" s="1">
        <f t="shared" ca="1" si="90"/>
        <v>44</v>
      </c>
      <c r="W112" s="1"/>
      <c r="X112" s="1">
        <f t="shared" ca="1" si="91"/>
        <v>3.5718072928844262</v>
      </c>
      <c r="Y112" s="1">
        <f t="shared" ca="1" si="92"/>
        <v>0.77841136433672897</v>
      </c>
      <c r="Z112" s="1">
        <f t="shared" ca="1" si="93"/>
        <v>193</v>
      </c>
      <c r="AB112" s="1">
        <f t="shared" ca="1" si="94"/>
        <v>0.8262522942367847</v>
      </c>
      <c r="AC112" s="1">
        <f t="shared" ca="1" si="95"/>
        <v>694</v>
      </c>
      <c r="AD112" s="1">
        <f t="shared" ca="1" si="96"/>
        <v>3.9946893251559569E-3</v>
      </c>
      <c r="AE112" s="1"/>
      <c r="AF112" s="1">
        <f t="shared" ca="1" si="97"/>
        <v>0.50999564784735441</v>
      </c>
      <c r="AG112" s="1">
        <f t="shared" ca="1" si="98"/>
        <v>923</v>
      </c>
      <c r="AH112" s="1">
        <f t="shared" ca="1" si="99"/>
        <v>2.2659781943468174E-3</v>
      </c>
      <c r="AJ112" s="1">
        <f t="shared" ca="1" si="100"/>
        <v>0.85072525590851966</v>
      </c>
      <c r="AK112" s="1">
        <f t="shared" ca="1" si="101"/>
        <v>6.8156398469188268E-3</v>
      </c>
      <c r="AL112" s="1"/>
      <c r="AM112" s="1">
        <f t="shared" ca="1" si="102"/>
        <v>0.1845935932182069</v>
      </c>
      <c r="AN112" s="1">
        <f t="shared" ca="1" si="103"/>
        <v>22</v>
      </c>
      <c r="AO112" s="1">
        <f t="shared" ca="1" si="104"/>
        <v>8</v>
      </c>
      <c r="AQ112" s="1">
        <f t="shared" ca="1" si="105"/>
        <v>133</v>
      </c>
      <c r="AR112" s="1">
        <f t="shared" ca="1" si="106"/>
        <v>0</v>
      </c>
      <c r="AS112" s="1">
        <f t="shared" ca="1" si="107"/>
        <v>85</v>
      </c>
      <c r="AU112" s="1">
        <f t="shared" ca="1" si="108"/>
        <v>355</v>
      </c>
      <c r="AV112" s="1">
        <f t="shared" ca="1" si="109"/>
        <v>10</v>
      </c>
      <c r="AW112" s="1">
        <f t="shared" ca="1" si="110"/>
        <v>6.1577516632945292E-2</v>
      </c>
      <c r="AY112" s="1">
        <f t="shared" ca="1" si="111"/>
        <v>1.2033470215422997</v>
      </c>
      <c r="AZ112" s="1">
        <f t="shared" ca="1" si="112"/>
        <v>205</v>
      </c>
      <c r="BA112" s="1">
        <f t="shared" ca="1" si="113"/>
        <v>8.1619263001854493E-3</v>
      </c>
      <c r="BG112" s="1">
        <f t="shared" ca="1" si="114"/>
        <v>0.38383080123764873</v>
      </c>
      <c r="BH112" s="1">
        <f t="shared" ca="1" si="115"/>
        <v>0.22164538071521855</v>
      </c>
      <c r="BI112" s="1">
        <f t="shared" ca="1" si="116"/>
        <v>801</v>
      </c>
      <c r="BV112" s="1">
        <f t="shared" ca="1" si="117"/>
        <v>0.46658771317534908</v>
      </c>
      <c r="BW112" s="1">
        <f t="shared" ca="1" si="118"/>
        <v>835</v>
      </c>
      <c r="BX112" s="1">
        <f t="shared" ca="1" si="119"/>
        <v>2.9408074473518449E-4</v>
      </c>
      <c r="BY112" s="1">
        <f t="shared" ca="1" si="120"/>
        <v>1.7072290016753991E-2</v>
      </c>
      <c r="BZ112" s="1">
        <f t="shared" ca="1" si="121"/>
        <v>0.55838666857187969</v>
      </c>
      <c r="CB112" s="1">
        <f t="shared" ca="1" si="122"/>
        <v>110</v>
      </c>
      <c r="CC112" s="1">
        <f t="shared" ca="1" si="123"/>
        <v>3</v>
      </c>
      <c r="CD112" s="1">
        <f t="shared" ca="1" si="124"/>
        <v>2.9044334330946837E-2</v>
      </c>
      <c r="CE112" s="1">
        <f t="shared" ca="1" si="146"/>
        <v>0.86327768891038492</v>
      </c>
      <c r="CF112" s="1">
        <f t="shared" ca="1" si="146"/>
        <v>0.69984446927194432</v>
      </c>
      <c r="CH112" s="3">
        <f t="shared" ca="1" si="126"/>
        <v>0.69065654384028985</v>
      </c>
      <c r="CI112" s="3">
        <f t="shared" ca="1" si="127"/>
        <v>6.2016205666581087E-2</v>
      </c>
      <c r="CJ112" s="3">
        <f t="shared" ca="1" si="128"/>
        <v>1282</v>
      </c>
      <c r="CK112" s="3">
        <f t="shared" ca="1" si="129"/>
        <v>6.1357422404895059E-4</v>
      </c>
      <c r="CL112" s="3">
        <f t="shared" ca="1" si="130"/>
        <v>0</v>
      </c>
      <c r="CM112" s="3"/>
      <c r="CN112" s="1">
        <f t="shared" ca="1" si="131"/>
        <v>12.434413949663146</v>
      </c>
      <c r="CO112" s="1">
        <f t="shared" ca="1" si="132"/>
        <v>0.36151008515577421</v>
      </c>
      <c r="CP112" s="1">
        <f t="shared" ca="1" si="133"/>
        <v>2</v>
      </c>
      <c r="CV112" s="1">
        <f t="shared" ca="1" si="134"/>
        <v>6.1132249791520898</v>
      </c>
      <c r="CW112" s="1">
        <f t="shared" ca="1" si="135"/>
        <v>670</v>
      </c>
      <c r="CX112" s="1">
        <f t="shared" ca="1" si="136"/>
        <v>9.7608041554363128E-3</v>
      </c>
      <c r="DH112" s="1">
        <f t="shared" ca="1" si="137"/>
        <v>32</v>
      </c>
      <c r="DI112" s="1">
        <f t="shared" ca="1" si="138"/>
        <v>0.15622782671364435</v>
      </c>
      <c r="DJ112" s="1">
        <f t="shared" ca="1" si="139"/>
        <v>30</v>
      </c>
      <c r="DL112" s="1">
        <f t="shared" ca="1" si="140"/>
        <v>0.19718668229179004</v>
      </c>
      <c r="DM112" s="1">
        <f t="shared" ca="1" si="141"/>
        <v>253</v>
      </c>
      <c r="DN112" s="1">
        <f t="shared" ca="1" si="142"/>
        <v>2</v>
      </c>
      <c r="DW112" s="1">
        <f t="shared" ca="1" si="143"/>
        <v>221</v>
      </c>
      <c r="DX112" s="1">
        <f t="shared" ca="1" si="144"/>
        <v>9</v>
      </c>
      <c r="DY112" s="1">
        <f t="shared" ca="1" si="145"/>
        <v>10</v>
      </c>
    </row>
    <row r="113" spans="2:129" x14ac:dyDescent="0.25">
      <c r="B113">
        <f t="shared" ca="1" si="75"/>
        <v>289</v>
      </c>
      <c r="C113">
        <f t="shared" ca="1" si="76"/>
        <v>41</v>
      </c>
      <c r="D113">
        <f t="shared" ca="1" si="77"/>
        <v>0.14680142170057861</v>
      </c>
      <c r="F113" s="1">
        <f t="shared" ca="1" si="78"/>
        <v>37</v>
      </c>
      <c r="G113" s="1">
        <f t="shared" ca="1" si="79"/>
        <v>9</v>
      </c>
      <c r="H113" s="1">
        <f t="shared" ca="1" si="80"/>
        <v>15</v>
      </c>
      <c r="I113" s="1"/>
      <c r="J113" s="1">
        <f t="shared" ca="1" si="81"/>
        <v>12</v>
      </c>
      <c r="K113" s="1">
        <f t="shared" ca="1" si="82"/>
        <v>2.3106593612818651</v>
      </c>
      <c r="L113" s="1">
        <f t="shared" ca="1" si="83"/>
        <v>13</v>
      </c>
      <c r="M113" s="1"/>
      <c r="N113" s="1">
        <f t="shared" ca="1" si="84"/>
        <v>130</v>
      </c>
      <c r="O113" s="1">
        <f t="shared" ca="1" si="85"/>
        <v>18</v>
      </c>
      <c r="P113" s="1"/>
      <c r="Q113" s="1">
        <f t="shared" ca="1" si="86"/>
        <v>4.4761888727095878</v>
      </c>
      <c r="R113" s="1">
        <f t="shared" ca="1" si="87"/>
        <v>621</v>
      </c>
      <c r="S113" s="1"/>
      <c r="T113" s="1">
        <f t="shared" ca="1" si="88"/>
        <v>6.7869404638938799E-2</v>
      </c>
      <c r="U113" s="1">
        <f t="shared" ca="1" si="89"/>
        <v>396</v>
      </c>
      <c r="V113" s="1">
        <f t="shared" ca="1" si="90"/>
        <v>16</v>
      </c>
      <c r="W113" s="1"/>
      <c r="X113" s="1">
        <f t="shared" ca="1" si="91"/>
        <v>6.9976864594039796</v>
      </c>
      <c r="Y113" s="1">
        <f t="shared" ca="1" si="92"/>
        <v>0.62307665826691871</v>
      </c>
      <c r="Z113" s="1">
        <f t="shared" ca="1" si="93"/>
        <v>1518</v>
      </c>
      <c r="AB113" s="1">
        <f t="shared" ca="1" si="94"/>
        <v>9.8099671547702466E-2</v>
      </c>
      <c r="AC113" s="1">
        <f t="shared" ca="1" si="95"/>
        <v>960</v>
      </c>
      <c r="AD113" s="1">
        <f t="shared" ca="1" si="96"/>
        <v>3.3628920985575425E-3</v>
      </c>
      <c r="AE113" s="1"/>
      <c r="AF113" s="1">
        <f t="shared" ca="1" si="97"/>
        <v>0.66604426836434982</v>
      </c>
      <c r="AG113" s="1">
        <f t="shared" ca="1" si="98"/>
        <v>211</v>
      </c>
      <c r="AH113" s="1">
        <f t="shared" ca="1" si="99"/>
        <v>9.8665712803599481E-3</v>
      </c>
      <c r="AJ113" s="1">
        <f t="shared" ca="1" si="100"/>
        <v>0.65305636972519898</v>
      </c>
      <c r="AK113" s="1">
        <f t="shared" ca="1" si="101"/>
        <v>2.3028378803251078E-3</v>
      </c>
      <c r="AL113" s="1"/>
      <c r="AM113" s="1">
        <f t="shared" ca="1" si="102"/>
        <v>0.12917450428086624</v>
      </c>
      <c r="AN113" s="1">
        <f t="shared" ca="1" si="103"/>
        <v>68</v>
      </c>
      <c r="AO113" s="1">
        <f t="shared" ca="1" si="104"/>
        <v>5</v>
      </c>
      <c r="AQ113" s="1">
        <f t="shared" ca="1" si="105"/>
        <v>24</v>
      </c>
      <c r="AR113" s="1">
        <f t="shared" ca="1" si="106"/>
        <v>6</v>
      </c>
      <c r="AS113" s="1">
        <f t="shared" ca="1" si="107"/>
        <v>38</v>
      </c>
      <c r="AU113" s="1">
        <f t="shared" ca="1" si="108"/>
        <v>247</v>
      </c>
      <c r="AV113" s="1">
        <f t="shared" ca="1" si="109"/>
        <v>6</v>
      </c>
      <c r="AW113" s="1">
        <f t="shared" ca="1" si="110"/>
        <v>0.16318251706790707</v>
      </c>
      <c r="AY113" s="1">
        <f t="shared" ca="1" si="111"/>
        <v>1.2724514513112088</v>
      </c>
      <c r="AZ113" s="1">
        <f t="shared" ca="1" si="112"/>
        <v>107</v>
      </c>
      <c r="BA113" s="1">
        <f t="shared" ca="1" si="113"/>
        <v>8.5609926414886399E-3</v>
      </c>
      <c r="BG113" s="1">
        <f t="shared" ca="1" si="114"/>
        <v>0.33865695793008888</v>
      </c>
      <c r="BH113" s="1">
        <f t="shared" ca="1" si="115"/>
        <v>0.6273081435398985</v>
      </c>
      <c r="BI113" s="1">
        <f t="shared" ca="1" si="116"/>
        <v>753</v>
      </c>
      <c r="BV113" s="1">
        <f t="shared" ca="1" si="117"/>
        <v>0.25102582250314104</v>
      </c>
      <c r="BW113" s="1">
        <f t="shared" ca="1" si="118"/>
        <v>426</v>
      </c>
      <c r="BX113" s="1">
        <f t="shared" ca="1" si="119"/>
        <v>8.6851980221569116E-3</v>
      </c>
      <c r="BY113" s="1">
        <f t="shared" ca="1" si="120"/>
        <v>2.6241724875436367E-2</v>
      </c>
      <c r="BZ113" s="1">
        <f t="shared" ca="1" si="121"/>
        <v>0.19950597844034401</v>
      </c>
      <c r="CB113" s="1">
        <f t="shared" ca="1" si="122"/>
        <v>281</v>
      </c>
      <c r="CC113" s="1">
        <f t="shared" ca="1" si="123"/>
        <v>10</v>
      </c>
      <c r="CD113" s="1">
        <f t="shared" ca="1" si="124"/>
        <v>0.10325111441551975</v>
      </c>
      <c r="CE113" s="1">
        <f t="shared" ca="1" si="146"/>
        <v>0.77482975230136286</v>
      </c>
      <c r="CF113" s="1">
        <f t="shared" ca="1" si="146"/>
        <v>0.62035471784256591</v>
      </c>
      <c r="CH113" s="3">
        <f t="shared" ca="1" si="126"/>
        <v>3.466811228349178E-2</v>
      </c>
      <c r="CI113" s="3">
        <f t="shared" ca="1" si="127"/>
        <v>0.50748415430433735</v>
      </c>
      <c r="CJ113" s="3">
        <f t="shared" ca="1" si="128"/>
        <v>916</v>
      </c>
      <c r="CK113" s="3">
        <f t="shared" ca="1" si="129"/>
        <v>7.4490268637777295E-4</v>
      </c>
      <c r="CL113" s="3">
        <f t="shared" ca="1" si="130"/>
        <v>0</v>
      </c>
      <c r="CM113" s="3"/>
      <c r="CN113" s="1">
        <f t="shared" ca="1" si="131"/>
        <v>10.442011814965639</v>
      </c>
      <c r="CO113" s="1">
        <f t="shared" ca="1" si="132"/>
        <v>0.48696846142249189</v>
      </c>
      <c r="CP113" s="1">
        <f t="shared" ca="1" si="133"/>
        <v>3</v>
      </c>
      <c r="CV113" s="1">
        <f t="shared" ca="1" si="134"/>
        <v>0.59905314606723892</v>
      </c>
      <c r="CW113" s="1">
        <f t="shared" ca="1" si="135"/>
        <v>1629</v>
      </c>
      <c r="CX113" s="1">
        <f t="shared" ca="1" si="136"/>
        <v>8.1172306703920817E-3</v>
      </c>
      <c r="DH113" s="1">
        <f t="shared" ca="1" si="137"/>
        <v>333</v>
      </c>
      <c r="DI113" s="1">
        <f t="shared" ca="1" si="138"/>
        <v>0.65779294546971601</v>
      </c>
      <c r="DJ113" s="1">
        <f t="shared" ca="1" si="139"/>
        <v>28</v>
      </c>
      <c r="DL113" s="1">
        <f t="shared" ca="1" si="140"/>
        <v>9.7779467807110804E-2</v>
      </c>
      <c r="DM113" s="1">
        <f t="shared" ca="1" si="141"/>
        <v>188</v>
      </c>
      <c r="DN113" s="1">
        <f t="shared" ca="1" si="142"/>
        <v>7</v>
      </c>
      <c r="DW113" s="1">
        <f t="shared" ca="1" si="143"/>
        <v>406</v>
      </c>
      <c r="DX113" s="1">
        <f t="shared" ca="1" si="144"/>
        <v>15</v>
      </c>
      <c r="DY113" s="1">
        <f t="shared" ca="1" si="145"/>
        <v>11</v>
      </c>
    </row>
    <row r="114" spans="2:129" x14ac:dyDescent="0.25">
      <c r="B114">
        <f t="shared" ca="1" si="75"/>
        <v>651</v>
      </c>
      <c r="C114">
        <f t="shared" ca="1" si="76"/>
        <v>18</v>
      </c>
      <c r="D114">
        <f t="shared" ca="1" si="77"/>
        <v>0.29693551053053369</v>
      </c>
      <c r="F114" s="1">
        <f t="shared" ca="1" si="78"/>
        <v>42</v>
      </c>
      <c r="G114" s="1">
        <f t="shared" ca="1" si="79"/>
        <v>12</v>
      </c>
      <c r="H114" s="1">
        <f t="shared" ca="1" si="80"/>
        <v>9</v>
      </c>
      <c r="I114" s="1"/>
      <c r="J114" s="1">
        <f t="shared" ca="1" si="81"/>
        <v>9</v>
      </c>
      <c r="K114" s="1">
        <f t="shared" ca="1" si="82"/>
        <v>2.9296105258085747</v>
      </c>
      <c r="L114" s="1">
        <f t="shared" ca="1" si="83"/>
        <v>8</v>
      </c>
      <c r="M114" s="1"/>
      <c r="N114" s="1">
        <f t="shared" ca="1" si="84"/>
        <v>157</v>
      </c>
      <c r="O114" s="1">
        <f t="shared" ca="1" si="85"/>
        <v>39</v>
      </c>
      <c r="P114" s="1"/>
      <c r="Q114" s="1">
        <f t="shared" ca="1" si="86"/>
        <v>1.3187490399895265</v>
      </c>
      <c r="R114" s="1">
        <f t="shared" ca="1" si="87"/>
        <v>339</v>
      </c>
      <c r="S114" s="1"/>
      <c r="T114" s="1">
        <f t="shared" ca="1" si="88"/>
        <v>0.12829196080433419</v>
      </c>
      <c r="U114" s="1">
        <f t="shared" ca="1" si="89"/>
        <v>379</v>
      </c>
      <c r="V114" s="1">
        <f t="shared" ca="1" si="90"/>
        <v>52</v>
      </c>
      <c r="W114" s="1"/>
      <c r="X114" s="1">
        <f t="shared" ca="1" si="91"/>
        <v>3.5816663569618274</v>
      </c>
      <c r="Y114" s="1">
        <f t="shared" ca="1" si="92"/>
        <v>0.68013410935390617</v>
      </c>
      <c r="Z114" s="1">
        <f t="shared" ca="1" si="93"/>
        <v>1447</v>
      </c>
      <c r="AB114" s="1">
        <f t="shared" ca="1" si="94"/>
        <v>0.83860088183198489</v>
      </c>
      <c r="AC114" s="1">
        <f t="shared" ca="1" si="95"/>
        <v>462</v>
      </c>
      <c r="AD114" s="1">
        <f t="shared" ca="1" si="96"/>
        <v>6.7041638342169845E-3</v>
      </c>
      <c r="AE114" s="1"/>
      <c r="AF114" s="1">
        <f t="shared" ca="1" si="97"/>
        <v>0.43126086272571085</v>
      </c>
      <c r="AG114" s="1">
        <f t="shared" ca="1" si="98"/>
        <v>962</v>
      </c>
      <c r="AH114" s="1">
        <f t="shared" ca="1" si="99"/>
        <v>8.3050028174355272E-4</v>
      </c>
      <c r="AJ114" s="1">
        <f t="shared" ca="1" si="100"/>
        <v>0.56856396518299646</v>
      </c>
      <c r="AK114" s="1">
        <f t="shared" ca="1" si="101"/>
        <v>4.2341490605397637E-3</v>
      </c>
      <c r="AL114" s="1"/>
      <c r="AM114" s="1">
        <f t="shared" ca="1" si="102"/>
        <v>5.3901742225050599E-2</v>
      </c>
      <c r="AN114" s="1">
        <f t="shared" ca="1" si="103"/>
        <v>57</v>
      </c>
      <c r="AO114" s="1">
        <f t="shared" ca="1" si="104"/>
        <v>12</v>
      </c>
      <c r="AQ114" s="1">
        <f t="shared" ca="1" si="105"/>
        <v>52</v>
      </c>
      <c r="AR114" s="1">
        <f t="shared" ca="1" si="106"/>
        <v>3</v>
      </c>
      <c r="AS114" s="1">
        <f t="shared" ca="1" si="107"/>
        <v>99</v>
      </c>
      <c r="AU114" s="1">
        <f t="shared" ca="1" si="108"/>
        <v>288</v>
      </c>
      <c r="AV114" s="1">
        <f t="shared" ca="1" si="109"/>
        <v>2</v>
      </c>
      <c r="AW114" s="1">
        <f t="shared" ca="1" si="110"/>
        <v>0.16176140381785648</v>
      </c>
      <c r="AY114" s="1">
        <f t="shared" ca="1" si="111"/>
        <v>1.2960160566958374</v>
      </c>
      <c r="AZ114" s="1">
        <f t="shared" ca="1" si="112"/>
        <v>380</v>
      </c>
      <c r="BA114" s="1">
        <f t="shared" ca="1" si="113"/>
        <v>4.1980765325860198E-3</v>
      </c>
      <c r="BG114" s="1">
        <f t="shared" ca="1" si="114"/>
        <v>0.59545415495420806</v>
      </c>
      <c r="BH114" s="1">
        <f t="shared" ca="1" si="115"/>
        <v>0.32782151722732844</v>
      </c>
      <c r="BI114" s="1">
        <f t="shared" ca="1" si="116"/>
        <v>469</v>
      </c>
      <c r="BV114" s="1">
        <f t="shared" ca="1" si="117"/>
        <v>0.46132491260667691</v>
      </c>
      <c r="BW114" s="1">
        <f t="shared" ca="1" si="118"/>
        <v>899</v>
      </c>
      <c r="BX114" s="1">
        <f t="shared" ca="1" si="119"/>
        <v>6.8880272617832597E-3</v>
      </c>
      <c r="BY114" s="1">
        <f t="shared" ca="1" si="120"/>
        <v>7.4393724378194748E-2</v>
      </c>
      <c r="BZ114" s="1">
        <f t="shared" ca="1" si="121"/>
        <v>0.11674829079042548</v>
      </c>
      <c r="CB114" s="1">
        <f t="shared" ca="1" si="122"/>
        <v>470</v>
      </c>
      <c r="CC114" s="1">
        <f t="shared" ca="1" si="123"/>
        <v>11</v>
      </c>
      <c r="CD114" s="1">
        <f t="shared" ca="1" si="124"/>
        <v>0.2284373151521131</v>
      </c>
      <c r="CE114" s="1">
        <f t="shared" ca="1" si="146"/>
        <v>0.89160419914372913</v>
      </c>
      <c r="CF114" s="1">
        <f t="shared" ca="1" si="146"/>
        <v>0.88109881424509739</v>
      </c>
      <c r="CH114" s="3">
        <f t="shared" ca="1" si="126"/>
        <v>0.76033785494728678</v>
      </c>
      <c r="CI114" s="3">
        <f t="shared" ca="1" si="127"/>
        <v>0.25215165665692874</v>
      </c>
      <c r="CJ114" s="3">
        <f t="shared" ca="1" si="128"/>
        <v>765</v>
      </c>
      <c r="CK114" s="3">
        <f t="shared" ca="1" si="129"/>
        <v>2.424976207320349E-3</v>
      </c>
      <c r="CL114" s="3">
        <f t="shared" ca="1" si="130"/>
        <v>1</v>
      </c>
      <c r="CM114" s="3"/>
      <c r="CN114" s="1">
        <f t="shared" ca="1" si="131"/>
        <v>8.2679434553356383</v>
      </c>
      <c r="CO114" s="1">
        <f t="shared" ca="1" si="132"/>
        <v>0.14175524748118476</v>
      </c>
      <c r="CP114" s="1">
        <f t="shared" ca="1" si="133"/>
        <v>2</v>
      </c>
      <c r="CV114" s="1">
        <f t="shared" ca="1" si="134"/>
        <v>2.212971522083103</v>
      </c>
      <c r="CW114" s="1">
        <f t="shared" ca="1" si="135"/>
        <v>525</v>
      </c>
      <c r="CX114" s="1">
        <f t="shared" ca="1" si="136"/>
        <v>7.3438115342813462E-3</v>
      </c>
      <c r="DH114" s="1">
        <f t="shared" ca="1" si="137"/>
        <v>681</v>
      </c>
      <c r="DI114" s="1">
        <f t="shared" ca="1" si="138"/>
        <v>0.53131188313037869</v>
      </c>
      <c r="DJ114" s="1">
        <f t="shared" ca="1" si="139"/>
        <v>23</v>
      </c>
      <c r="DL114" s="1">
        <f t="shared" ca="1" si="140"/>
        <v>4.879902175483905E-2</v>
      </c>
      <c r="DM114" s="1">
        <f t="shared" ca="1" si="141"/>
        <v>250</v>
      </c>
      <c r="DN114" s="1">
        <f t="shared" ca="1" si="142"/>
        <v>10</v>
      </c>
      <c r="DW114" s="1">
        <f t="shared" ca="1" si="143"/>
        <v>468</v>
      </c>
      <c r="DX114" s="1">
        <f t="shared" ca="1" si="144"/>
        <v>10</v>
      </c>
      <c r="DY114" s="1">
        <f t="shared" ca="1" si="145"/>
        <v>20</v>
      </c>
    </row>
    <row r="115" spans="2:129" x14ac:dyDescent="0.25">
      <c r="B115">
        <f t="shared" ca="1" si="75"/>
        <v>940</v>
      </c>
      <c r="C115">
        <f t="shared" ca="1" si="76"/>
        <v>19</v>
      </c>
      <c r="D115">
        <f t="shared" ca="1" si="77"/>
        <v>2.694743275194704E-2</v>
      </c>
      <c r="F115" s="1">
        <f t="shared" ca="1" si="78"/>
        <v>47</v>
      </c>
      <c r="G115" s="1">
        <f t="shared" ca="1" si="79"/>
        <v>23</v>
      </c>
      <c r="H115" s="1">
        <f t="shared" ca="1" si="80"/>
        <v>7</v>
      </c>
      <c r="I115" s="1"/>
      <c r="J115" s="1">
        <f t="shared" ca="1" si="81"/>
        <v>26</v>
      </c>
      <c r="K115" s="1">
        <f t="shared" ca="1" si="82"/>
        <v>2.3714308508342214</v>
      </c>
      <c r="L115" s="1">
        <f t="shared" ca="1" si="83"/>
        <v>22</v>
      </c>
      <c r="M115" s="1"/>
      <c r="N115" s="1">
        <f t="shared" ca="1" si="84"/>
        <v>898</v>
      </c>
      <c r="O115" s="1">
        <f t="shared" ca="1" si="85"/>
        <v>26</v>
      </c>
      <c r="P115" s="1"/>
      <c r="Q115" s="1">
        <f t="shared" ca="1" si="86"/>
        <v>2.0488331872426313</v>
      </c>
      <c r="R115" s="1">
        <f t="shared" ca="1" si="87"/>
        <v>500</v>
      </c>
      <c r="S115" s="1"/>
      <c r="T115" s="1">
        <f t="shared" ca="1" si="88"/>
        <v>4.3239417459000513E-2</v>
      </c>
      <c r="U115" s="1">
        <f t="shared" ca="1" si="89"/>
        <v>355</v>
      </c>
      <c r="V115" s="1">
        <f t="shared" ca="1" si="90"/>
        <v>29</v>
      </c>
      <c r="W115" s="1"/>
      <c r="X115" s="1">
        <f t="shared" ca="1" si="91"/>
        <v>2.9398266576865537</v>
      </c>
      <c r="Y115" s="1">
        <f t="shared" ca="1" si="92"/>
        <v>0.41671920501609183</v>
      </c>
      <c r="Z115" s="1">
        <f t="shared" ca="1" si="93"/>
        <v>679</v>
      </c>
      <c r="AB115" s="1">
        <f t="shared" ca="1" si="94"/>
        <v>0.69932899894637346</v>
      </c>
      <c r="AC115" s="1">
        <f t="shared" ca="1" si="95"/>
        <v>618</v>
      </c>
      <c r="AD115" s="1">
        <f t="shared" ca="1" si="96"/>
        <v>9.740847348813227E-3</v>
      </c>
      <c r="AE115" s="1"/>
      <c r="AF115" s="1">
        <f t="shared" ca="1" si="97"/>
        <v>0.28263381401104171</v>
      </c>
      <c r="AG115" s="1">
        <f t="shared" ca="1" si="98"/>
        <v>444</v>
      </c>
      <c r="AH115" s="1">
        <f t="shared" ca="1" si="99"/>
        <v>5.8502493578494463E-3</v>
      </c>
      <c r="AJ115" s="1">
        <f t="shared" ca="1" si="100"/>
        <v>9.7093278748895284E-2</v>
      </c>
      <c r="AK115" s="1">
        <f t="shared" ca="1" si="101"/>
        <v>7.9442329353700773E-3</v>
      </c>
      <c r="AL115" s="1"/>
      <c r="AM115" s="1">
        <f t="shared" ca="1" si="102"/>
        <v>0.15699039763483788</v>
      </c>
      <c r="AN115" s="1">
        <f t="shared" ca="1" si="103"/>
        <v>79</v>
      </c>
      <c r="AO115" s="1">
        <f t="shared" ca="1" si="104"/>
        <v>5</v>
      </c>
      <c r="AQ115" s="1">
        <f t="shared" ca="1" si="105"/>
        <v>169</v>
      </c>
      <c r="AR115" s="1">
        <f t="shared" ca="1" si="106"/>
        <v>6</v>
      </c>
      <c r="AS115" s="1">
        <f t="shared" ca="1" si="107"/>
        <v>57</v>
      </c>
      <c r="AU115" s="1">
        <f t="shared" ca="1" si="108"/>
        <v>100</v>
      </c>
      <c r="AV115" s="1">
        <f t="shared" ca="1" si="109"/>
        <v>5</v>
      </c>
      <c r="AW115" s="1">
        <f t="shared" ca="1" si="110"/>
        <v>0.10339624756712232</v>
      </c>
      <c r="AY115" s="1">
        <f t="shared" ca="1" si="111"/>
        <v>1.7193889909246072</v>
      </c>
      <c r="AZ115" s="1">
        <f t="shared" ca="1" si="112"/>
        <v>437</v>
      </c>
      <c r="BA115" s="1">
        <f t="shared" ca="1" si="113"/>
        <v>9.172852935821766E-3</v>
      </c>
      <c r="BG115" s="1">
        <f t="shared" ca="1" si="114"/>
        <v>0.22083586938442973</v>
      </c>
      <c r="BH115" s="1">
        <f t="shared" ca="1" si="115"/>
        <v>0.24964909093643328</v>
      </c>
      <c r="BI115" s="1">
        <f t="shared" ca="1" si="116"/>
        <v>106</v>
      </c>
      <c r="BV115" s="1">
        <f t="shared" ca="1" si="117"/>
        <v>0.84464792358421015</v>
      </c>
      <c r="BW115" s="1">
        <f t="shared" ca="1" si="118"/>
        <v>403</v>
      </c>
      <c r="BX115" s="1">
        <f t="shared" ca="1" si="119"/>
        <v>6.6519490692312291E-3</v>
      </c>
      <c r="BY115" s="1">
        <f t="shared" ca="1" si="120"/>
        <v>7.8796442595339466E-2</v>
      </c>
      <c r="BZ115" s="1">
        <f t="shared" ca="1" si="121"/>
        <v>9.3683401873502326E-2</v>
      </c>
      <c r="CB115" s="1">
        <f t="shared" ca="1" si="122"/>
        <v>58</v>
      </c>
      <c r="CC115" s="1">
        <f t="shared" ca="1" si="123"/>
        <v>8</v>
      </c>
      <c r="CD115" s="1">
        <f t="shared" ca="1" si="124"/>
        <v>0.16963106917012444</v>
      </c>
      <c r="CE115" s="1">
        <f t="shared" ca="1" si="146"/>
        <v>0.79904311112483373</v>
      </c>
      <c r="CF115" s="1">
        <f t="shared" ca="1" si="146"/>
        <v>0.51407705121623659</v>
      </c>
      <c r="CH115" s="3">
        <f t="shared" ca="1" si="126"/>
        <v>9.3089263095766425E-3</v>
      </c>
      <c r="CI115" s="3">
        <f t="shared" ca="1" si="127"/>
        <v>0.30904563682059871</v>
      </c>
      <c r="CJ115" s="3">
        <f t="shared" ca="1" si="128"/>
        <v>559</v>
      </c>
      <c r="CK115" s="3">
        <f t="shared" ca="1" si="129"/>
        <v>1.7731940618078157E-3</v>
      </c>
      <c r="CL115" s="3">
        <f t="shared" ca="1" si="130"/>
        <v>1</v>
      </c>
      <c r="CM115" s="3"/>
      <c r="CN115" s="1">
        <f t="shared" ca="1" si="131"/>
        <v>1.2435054079217058</v>
      </c>
      <c r="CO115" s="1">
        <f t="shared" ca="1" si="132"/>
        <v>0.3598086030794107</v>
      </c>
      <c r="CP115" s="1">
        <f t="shared" ca="1" si="133"/>
        <v>3</v>
      </c>
      <c r="CV115" s="1">
        <f t="shared" ca="1" si="134"/>
        <v>7.9569650737168578</v>
      </c>
      <c r="CW115" s="1">
        <f t="shared" ca="1" si="135"/>
        <v>582</v>
      </c>
      <c r="CX115" s="1">
        <f t="shared" ca="1" si="136"/>
        <v>6.127797645810785E-3</v>
      </c>
      <c r="DH115" s="1">
        <f t="shared" ca="1" si="137"/>
        <v>792</v>
      </c>
      <c r="DI115" s="1">
        <f t="shared" ca="1" si="138"/>
        <v>0.32000633487012126</v>
      </c>
      <c r="DJ115" s="1">
        <f t="shared" ca="1" si="139"/>
        <v>18</v>
      </c>
      <c r="DL115" s="1">
        <f t="shared" ca="1" si="140"/>
        <v>0.1630634955974736</v>
      </c>
      <c r="DM115" s="1">
        <f t="shared" ca="1" si="141"/>
        <v>92</v>
      </c>
      <c r="DN115" s="1">
        <f t="shared" ca="1" si="142"/>
        <v>6</v>
      </c>
      <c r="DW115" s="1">
        <f t="shared" ca="1" si="143"/>
        <v>321</v>
      </c>
      <c r="DX115" s="1">
        <f t="shared" ca="1" si="144"/>
        <v>6</v>
      </c>
      <c r="DY115" s="1">
        <f t="shared" ca="1" si="145"/>
        <v>12</v>
      </c>
    </row>
    <row r="116" spans="2:129" x14ac:dyDescent="0.25">
      <c r="B116">
        <f t="shared" ca="1" si="75"/>
        <v>326</v>
      </c>
      <c r="C116">
        <f t="shared" ca="1" si="76"/>
        <v>38</v>
      </c>
      <c r="D116">
        <f t="shared" ca="1" si="77"/>
        <v>0.10453661473484858</v>
      </c>
      <c r="F116" s="1">
        <f t="shared" ca="1" si="78"/>
        <v>27</v>
      </c>
      <c r="G116" s="1">
        <f t="shared" ca="1" si="79"/>
        <v>13</v>
      </c>
      <c r="H116" s="1">
        <f t="shared" ca="1" si="80"/>
        <v>5</v>
      </c>
      <c r="I116" s="1"/>
      <c r="J116" s="1">
        <f t="shared" ca="1" si="81"/>
        <v>38</v>
      </c>
      <c r="K116" s="1">
        <f t="shared" ca="1" si="82"/>
        <v>1.4387294612395485</v>
      </c>
      <c r="L116" s="1">
        <f t="shared" ca="1" si="83"/>
        <v>30</v>
      </c>
      <c r="M116" s="1"/>
      <c r="N116" s="1">
        <f t="shared" ca="1" si="84"/>
        <v>431</v>
      </c>
      <c r="O116" s="1">
        <f t="shared" ca="1" si="85"/>
        <v>29</v>
      </c>
      <c r="P116" s="1"/>
      <c r="Q116" s="1">
        <f t="shared" ca="1" si="86"/>
        <v>2.9158470059316617</v>
      </c>
      <c r="R116" s="1">
        <f t="shared" ca="1" si="87"/>
        <v>833</v>
      </c>
      <c r="S116" s="1"/>
      <c r="T116" s="1">
        <f t="shared" ca="1" si="88"/>
        <v>0.13869744135053091</v>
      </c>
      <c r="U116" s="1">
        <f t="shared" ca="1" si="89"/>
        <v>78</v>
      </c>
      <c r="V116" s="1">
        <f t="shared" ca="1" si="90"/>
        <v>4</v>
      </c>
      <c r="W116" s="1"/>
      <c r="X116" s="1">
        <f t="shared" ca="1" si="91"/>
        <v>7.1382691066321167</v>
      </c>
      <c r="Y116" s="1">
        <f t="shared" ca="1" si="92"/>
        <v>0.45387256273352949</v>
      </c>
      <c r="Z116" s="1">
        <f t="shared" ca="1" si="93"/>
        <v>1730</v>
      </c>
      <c r="AB116" s="1">
        <f t="shared" ca="1" si="94"/>
        <v>0.41713054829289098</v>
      </c>
      <c r="AC116" s="1">
        <f t="shared" ca="1" si="95"/>
        <v>928</v>
      </c>
      <c r="AD116" s="1">
        <f t="shared" ca="1" si="96"/>
        <v>5.3380974978046803E-3</v>
      </c>
      <c r="AE116" s="1"/>
      <c r="AF116" s="1">
        <f t="shared" ca="1" si="97"/>
        <v>0.52293973082699352</v>
      </c>
      <c r="AG116" s="1">
        <f t="shared" ca="1" si="98"/>
        <v>681</v>
      </c>
      <c r="AH116" s="1">
        <f t="shared" ca="1" si="99"/>
        <v>2.2273401914103402E-3</v>
      </c>
      <c r="AJ116" s="1">
        <f t="shared" ca="1" si="100"/>
        <v>0.74743188489205026</v>
      </c>
      <c r="AK116" s="1">
        <f t="shared" ca="1" si="101"/>
        <v>2.8689113164568759E-3</v>
      </c>
      <c r="AL116" s="1"/>
      <c r="AM116" s="1">
        <f t="shared" ca="1" si="102"/>
        <v>0.14013036327965972</v>
      </c>
      <c r="AN116" s="1">
        <f t="shared" ca="1" si="103"/>
        <v>41</v>
      </c>
      <c r="AO116" s="1">
        <f t="shared" ca="1" si="104"/>
        <v>5</v>
      </c>
      <c r="AQ116" s="1">
        <f t="shared" ca="1" si="105"/>
        <v>185</v>
      </c>
      <c r="AR116" s="1">
        <f t="shared" ca="1" si="106"/>
        <v>10</v>
      </c>
      <c r="AS116" s="1">
        <f t="shared" ca="1" si="107"/>
        <v>15</v>
      </c>
      <c r="AU116" s="1">
        <f t="shared" ca="1" si="108"/>
        <v>185</v>
      </c>
      <c r="AV116" s="1">
        <f t="shared" ca="1" si="109"/>
        <v>2</v>
      </c>
      <c r="AW116" s="1">
        <f t="shared" ca="1" si="110"/>
        <v>0.14657571936632027</v>
      </c>
      <c r="AY116" s="1">
        <f t="shared" ca="1" si="111"/>
        <v>1.9827962700309087</v>
      </c>
      <c r="AZ116" s="1">
        <f t="shared" ca="1" si="112"/>
        <v>300</v>
      </c>
      <c r="BA116" s="1">
        <f t="shared" ca="1" si="113"/>
        <v>8.0710018672708259E-3</v>
      </c>
      <c r="BG116" s="1">
        <f t="shared" ca="1" si="114"/>
        <v>0.85086582979998349</v>
      </c>
      <c r="BH116" s="1">
        <f t="shared" ca="1" si="115"/>
        <v>0.19144279538241593</v>
      </c>
      <c r="BI116" s="1">
        <f t="shared" ca="1" si="116"/>
        <v>118</v>
      </c>
      <c r="BV116" s="1">
        <f t="shared" ca="1" si="117"/>
        <v>0.36753493400131981</v>
      </c>
      <c r="BW116" s="1">
        <f t="shared" ca="1" si="118"/>
        <v>364</v>
      </c>
      <c r="BX116" s="1">
        <f t="shared" ca="1" si="119"/>
        <v>5.4787755576216823E-3</v>
      </c>
      <c r="BY116" s="1">
        <f t="shared" ca="1" si="120"/>
        <v>8.2146855649520512E-2</v>
      </c>
      <c r="BZ116" s="1">
        <f t="shared" ca="1" si="121"/>
        <v>0.75956439263238718</v>
      </c>
      <c r="CB116" s="1">
        <f t="shared" ca="1" si="122"/>
        <v>103</v>
      </c>
      <c r="CC116" s="1">
        <f t="shared" ca="1" si="123"/>
        <v>3</v>
      </c>
      <c r="CD116" s="1">
        <f t="shared" ca="1" si="124"/>
        <v>3.5159384898966743E-2</v>
      </c>
      <c r="CE116" s="1">
        <f t="shared" ca="1" si="146"/>
        <v>0.96349519638658743</v>
      </c>
      <c r="CF116" s="1">
        <f t="shared" ca="1" si="146"/>
        <v>0.62318921174425279</v>
      </c>
      <c r="CH116" s="3">
        <f t="shared" ca="1" si="126"/>
        <v>0.17322796457321152</v>
      </c>
      <c r="CI116" s="3">
        <f t="shared" ca="1" si="127"/>
        <v>0.60902517191396699</v>
      </c>
      <c r="CJ116" s="3">
        <f t="shared" ca="1" si="128"/>
        <v>561</v>
      </c>
      <c r="CK116" s="3">
        <f t="shared" ca="1" si="129"/>
        <v>3.0408955124603368E-3</v>
      </c>
      <c r="CL116" s="3">
        <f t="shared" ca="1" si="130"/>
        <v>0</v>
      </c>
      <c r="CM116" s="3"/>
      <c r="CN116" s="1">
        <f t="shared" ca="1" si="131"/>
        <v>16.913251880484456</v>
      </c>
      <c r="CO116" s="1">
        <f t="shared" ca="1" si="132"/>
        <v>0.35635293605287122</v>
      </c>
      <c r="CP116" s="1">
        <f t="shared" ca="1" si="133"/>
        <v>1</v>
      </c>
      <c r="CV116" s="1">
        <f t="shared" ca="1" si="134"/>
        <v>5.2475142906714307</v>
      </c>
      <c r="CW116" s="1">
        <f t="shared" ca="1" si="135"/>
        <v>356</v>
      </c>
      <c r="CX116" s="1">
        <f t="shared" ca="1" si="136"/>
        <v>3.4842163965851385E-3</v>
      </c>
      <c r="DH116" s="1">
        <f t="shared" ca="1" si="137"/>
        <v>725</v>
      </c>
      <c r="DI116" s="1">
        <f t="shared" ca="1" si="138"/>
        <v>0.11124944452906603</v>
      </c>
      <c r="DJ116" s="1">
        <f t="shared" ca="1" si="139"/>
        <v>3</v>
      </c>
      <c r="DL116" s="1">
        <f t="shared" ca="1" si="140"/>
        <v>4.7495962087549623E-2</v>
      </c>
      <c r="DM116" s="1">
        <f t="shared" ca="1" si="141"/>
        <v>57</v>
      </c>
      <c r="DN116" s="1">
        <f t="shared" ca="1" si="142"/>
        <v>8</v>
      </c>
      <c r="DW116" s="1">
        <f t="shared" ca="1" si="143"/>
        <v>482</v>
      </c>
      <c r="DX116" s="1">
        <f t="shared" ca="1" si="144"/>
        <v>13</v>
      </c>
      <c r="DY116" s="1">
        <f t="shared" ca="1" si="145"/>
        <v>4</v>
      </c>
    </row>
    <row r="117" spans="2:129" x14ac:dyDescent="0.25">
      <c r="B117">
        <f t="shared" ca="1" si="75"/>
        <v>620</v>
      </c>
      <c r="C117">
        <f t="shared" ca="1" si="76"/>
        <v>21</v>
      </c>
      <c r="D117">
        <f t="shared" ca="1" si="77"/>
        <v>0.23815197451254783</v>
      </c>
      <c r="F117" s="1">
        <f t="shared" ca="1" si="78"/>
        <v>3</v>
      </c>
      <c r="G117" s="1">
        <f t="shared" ca="1" si="79"/>
        <v>28</v>
      </c>
      <c r="H117" s="1">
        <f t="shared" ca="1" si="80"/>
        <v>10</v>
      </c>
      <c r="I117" s="1"/>
      <c r="J117" s="1">
        <f t="shared" ca="1" si="81"/>
        <v>20</v>
      </c>
      <c r="K117" s="1">
        <f t="shared" ca="1" si="82"/>
        <v>1.6467518421438458</v>
      </c>
      <c r="L117" s="1">
        <f t="shared" ca="1" si="83"/>
        <v>2</v>
      </c>
      <c r="M117" s="1"/>
      <c r="N117" s="1">
        <f t="shared" ca="1" si="84"/>
        <v>545</v>
      </c>
      <c r="O117" s="1">
        <f t="shared" ca="1" si="85"/>
        <v>7</v>
      </c>
      <c r="P117" s="1"/>
      <c r="Q117" s="1">
        <f t="shared" ca="1" si="86"/>
        <v>1.4281374425341491</v>
      </c>
      <c r="R117" s="1">
        <f t="shared" ca="1" si="87"/>
        <v>521</v>
      </c>
      <c r="S117" s="1"/>
      <c r="T117" s="1">
        <f t="shared" ca="1" si="88"/>
        <v>4.6203038849160993E-2</v>
      </c>
      <c r="U117" s="1">
        <f t="shared" ca="1" si="89"/>
        <v>297</v>
      </c>
      <c r="V117" s="1">
        <f t="shared" ca="1" si="90"/>
        <v>48</v>
      </c>
      <c r="W117" s="1"/>
      <c r="X117" s="1">
        <f t="shared" ca="1" si="91"/>
        <v>0.95036142330515117</v>
      </c>
      <c r="Y117" s="1">
        <f t="shared" ca="1" si="92"/>
        <v>0.45726715236003007</v>
      </c>
      <c r="Z117" s="1">
        <f t="shared" ca="1" si="93"/>
        <v>1659</v>
      </c>
      <c r="AB117" s="1">
        <f t="shared" ca="1" si="94"/>
        <v>0.44061272654433453</v>
      </c>
      <c r="AC117" s="1">
        <f t="shared" ca="1" si="95"/>
        <v>137</v>
      </c>
      <c r="AD117" s="1">
        <f t="shared" ca="1" si="96"/>
        <v>9.4999448833364142E-3</v>
      </c>
      <c r="AE117" s="1"/>
      <c r="AF117" s="1">
        <f t="shared" ca="1" si="97"/>
        <v>0.62389445962103907</v>
      </c>
      <c r="AG117" s="1">
        <f t="shared" ca="1" si="98"/>
        <v>375</v>
      </c>
      <c r="AH117" s="1">
        <f t="shared" ca="1" si="99"/>
        <v>9.298140711084495E-3</v>
      </c>
      <c r="AJ117" s="1">
        <f t="shared" ca="1" si="100"/>
        <v>0.5863719161750337</v>
      </c>
      <c r="AK117" s="1">
        <f t="shared" ca="1" si="101"/>
        <v>2.9932060867624804E-3</v>
      </c>
      <c r="AL117" s="1"/>
      <c r="AM117" s="1">
        <f t="shared" ca="1" si="102"/>
        <v>7.3006143918465369E-2</v>
      </c>
      <c r="AN117" s="1">
        <f t="shared" ca="1" si="103"/>
        <v>57</v>
      </c>
      <c r="AO117" s="1">
        <f t="shared" ca="1" si="104"/>
        <v>20</v>
      </c>
      <c r="AQ117" s="1">
        <f t="shared" ca="1" si="105"/>
        <v>119</v>
      </c>
      <c r="AR117" s="1">
        <f t="shared" ca="1" si="106"/>
        <v>7</v>
      </c>
      <c r="AS117" s="1">
        <f t="shared" ca="1" si="107"/>
        <v>65</v>
      </c>
      <c r="AU117" s="1">
        <f t="shared" ca="1" si="108"/>
        <v>194</v>
      </c>
      <c r="AV117" s="1">
        <f t="shared" ca="1" si="109"/>
        <v>9</v>
      </c>
      <c r="AW117" s="1">
        <f t="shared" ca="1" si="110"/>
        <v>0.19941635870418367</v>
      </c>
      <c r="AY117" s="1">
        <f t="shared" ca="1" si="111"/>
        <v>1.771213240212155</v>
      </c>
      <c r="AZ117" s="1">
        <f t="shared" ca="1" si="112"/>
        <v>137</v>
      </c>
      <c r="BA117" s="1">
        <f t="shared" ca="1" si="113"/>
        <v>1.3414821445635347E-3</v>
      </c>
      <c r="BG117" s="1">
        <f t="shared" ca="1" si="114"/>
        <v>0.26283014467275767</v>
      </c>
      <c r="BH117" s="1">
        <f t="shared" ca="1" si="115"/>
        <v>0.54986752491606172</v>
      </c>
      <c r="BI117" s="1">
        <f t="shared" ca="1" si="116"/>
        <v>251</v>
      </c>
      <c r="BV117" s="1">
        <f t="shared" ca="1" si="117"/>
        <v>0.32242805244762679</v>
      </c>
      <c r="BW117" s="1">
        <f t="shared" ca="1" si="118"/>
        <v>816</v>
      </c>
      <c r="BX117" s="1">
        <f t="shared" ca="1" si="119"/>
        <v>9.3835861630021111E-3</v>
      </c>
      <c r="BY117" s="1">
        <f t="shared" ca="1" si="120"/>
        <v>7.2185936397970579E-2</v>
      </c>
      <c r="BZ117" s="1">
        <f t="shared" ca="1" si="121"/>
        <v>0.77771734355182032</v>
      </c>
      <c r="CB117" s="1">
        <f t="shared" ca="1" si="122"/>
        <v>288</v>
      </c>
      <c r="CC117" s="1">
        <f t="shared" ca="1" si="123"/>
        <v>9</v>
      </c>
      <c r="CD117" s="1">
        <f t="shared" ca="1" si="124"/>
        <v>9.6810612095254475E-2</v>
      </c>
      <c r="CE117" s="1">
        <f t="shared" ca="1" si="146"/>
        <v>0.63371076154511785</v>
      </c>
      <c r="CF117" s="1">
        <f t="shared" ca="1" si="146"/>
        <v>0.76905290099799783</v>
      </c>
      <c r="CH117" s="3">
        <f t="shared" ca="1" si="126"/>
        <v>0.46402768370823466</v>
      </c>
      <c r="CI117" s="3">
        <f t="shared" ca="1" si="127"/>
        <v>0.10177258310421856</v>
      </c>
      <c r="CJ117" s="3">
        <f t="shared" ca="1" si="128"/>
        <v>455</v>
      </c>
      <c r="CK117" s="3">
        <f t="shared" ca="1" si="129"/>
        <v>1.1571775566942809E-3</v>
      </c>
      <c r="CL117" s="3">
        <f t="shared" ca="1" si="130"/>
        <v>0</v>
      </c>
      <c r="CM117" s="3"/>
      <c r="CN117" s="1">
        <f t="shared" ca="1" si="131"/>
        <v>18.289444964598097</v>
      </c>
      <c r="CO117" s="1">
        <f t="shared" ca="1" si="132"/>
        <v>0.11868849412552071</v>
      </c>
      <c r="CP117" s="1">
        <f t="shared" ca="1" si="133"/>
        <v>2</v>
      </c>
      <c r="CV117" s="1">
        <f t="shared" ca="1" si="134"/>
        <v>9.7094298624410822</v>
      </c>
      <c r="CW117" s="1">
        <f t="shared" ca="1" si="135"/>
        <v>1093</v>
      </c>
      <c r="CX117" s="1">
        <f t="shared" ca="1" si="136"/>
        <v>3.6769531256005596E-3</v>
      </c>
      <c r="DH117" s="1">
        <f t="shared" ca="1" si="137"/>
        <v>273</v>
      </c>
      <c r="DI117" s="1">
        <f t="shared" ca="1" si="138"/>
        <v>2.9523823640748539E-2</v>
      </c>
      <c r="DJ117" s="1">
        <f t="shared" ca="1" si="139"/>
        <v>18</v>
      </c>
      <c r="DL117" s="1">
        <f t="shared" ca="1" si="140"/>
        <v>0.11507673341202972</v>
      </c>
      <c r="DM117" s="1">
        <f t="shared" ca="1" si="141"/>
        <v>177</v>
      </c>
      <c r="DN117" s="1">
        <f t="shared" ca="1" si="142"/>
        <v>5</v>
      </c>
      <c r="DW117" s="1">
        <f t="shared" ca="1" si="143"/>
        <v>69</v>
      </c>
      <c r="DX117" s="1">
        <f t="shared" ca="1" si="144"/>
        <v>7</v>
      </c>
      <c r="DY117" s="1">
        <f t="shared" ca="1" si="145"/>
        <v>18</v>
      </c>
    </row>
    <row r="118" spans="2:129" x14ac:dyDescent="0.25">
      <c r="B118">
        <f t="shared" ca="1" si="75"/>
        <v>843</v>
      </c>
      <c r="C118">
        <f t="shared" ca="1" si="76"/>
        <v>23</v>
      </c>
      <c r="D118">
        <f t="shared" ca="1" si="77"/>
        <v>0.17185617626852068</v>
      </c>
      <c r="F118" s="1">
        <f t="shared" ca="1" si="78"/>
        <v>43</v>
      </c>
      <c r="G118" s="1">
        <f t="shared" ca="1" si="79"/>
        <v>14</v>
      </c>
      <c r="H118" s="1">
        <f t="shared" ca="1" si="80"/>
        <v>7</v>
      </c>
      <c r="I118" s="1"/>
      <c r="J118" s="1">
        <f t="shared" ca="1" si="81"/>
        <v>4</v>
      </c>
      <c r="K118" s="1">
        <f t="shared" ca="1" si="82"/>
        <v>1.1361349127988831</v>
      </c>
      <c r="L118" s="1">
        <f t="shared" ca="1" si="83"/>
        <v>33</v>
      </c>
      <c r="M118" s="1"/>
      <c r="N118" s="1">
        <f t="shared" ca="1" si="84"/>
        <v>346</v>
      </c>
      <c r="O118" s="1">
        <f t="shared" ca="1" si="85"/>
        <v>21</v>
      </c>
      <c r="P118" s="1"/>
      <c r="Q118" s="1">
        <f t="shared" ca="1" si="86"/>
        <v>4.2415281637443698</v>
      </c>
      <c r="R118" s="1">
        <f t="shared" ca="1" si="87"/>
        <v>349</v>
      </c>
      <c r="S118" s="1"/>
      <c r="T118" s="1">
        <f t="shared" ca="1" si="88"/>
        <v>0.14165307381710882</v>
      </c>
      <c r="U118" s="1">
        <f t="shared" ca="1" si="89"/>
        <v>264</v>
      </c>
      <c r="V118" s="1">
        <f t="shared" ca="1" si="90"/>
        <v>32</v>
      </c>
      <c r="W118" s="1"/>
      <c r="X118" s="1">
        <f t="shared" ca="1" si="91"/>
        <v>0.22124418060639855</v>
      </c>
      <c r="Y118" s="1">
        <f t="shared" ca="1" si="92"/>
        <v>0.46468694652507619</v>
      </c>
      <c r="Z118" s="1">
        <f t="shared" ca="1" si="93"/>
        <v>584</v>
      </c>
      <c r="AB118" s="1">
        <f t="shared" ca="1" si="94"/>
        <v>8.8157691066962252E-2</v>
      </c>
      <c r="AC118" s="1">
        <f t="shared" ca="1" si="95"/>
        <v>575</v>
      </c>
      <c r="AD118" s="1">
        <f t="shared" ca="1" si="96"/>
        <v>5.9379364697859692E-3</v>
      </c>
      <c r="AE118" s="1"/>
      <c r="AF118" s="1">
        <f t="shared" ca="1" si="97"/>
        <v>0.20247908782290702</v>
      </c>
      <c r="AG118" s="1">
        <f t="shared" ca="1" si="98"/>
        <v>681</v>
      </c>
      <c r="AH118" s="1">
        <f t="shared" ca="1" si="99"/>
        <v>1.7446099981591164E-3</v>
      </c>
      <c r="AJ118" s="1">
        <f t="shared" ca="1" si="100"/>
        <v>0.1646581990086331</v>
      </c>
      <c r="AK118" s="1">
        <f t="shared" ca="1" si="101"/>
        <v>1.7294798323768965E-3</v>
      </c>
      <c r="AL118" s="1"/>
      <c r="AM118" s="1">
        <f t="shared" ca="1" si="102"/>
        <v>0.18372225028535097</v>
      </c>
      <c r="AN118" s="1">
        <f t="shared" ca="1" si="103"/>
        <v>79</v>
      </c>
      <c r="AO118" s="1">
        <f t="shared" ca="1" si="104"/>
        <v>17</v>
      </c>
      <c r="AQ118" s="1">
        <f t="shared" ca="1" si="105"/>
        <v>161</v>
      </c>
      <c r="AR118" s="1">
        <f t="shared" ca="1" si="106"/>
        <v>2</v>
      </c>
      <c r="AS118" s="1">
        <f t="shared" ca="1" si="107"/>
        <v>65</v>
      </c>
      <c r="AU118" s="1">
        <f t="shared" ca="1" si="108"/>
        <v>305</v>
      </c>
      <c r="AV118" s="1">
        <f t="shared" ca="1" si="109"/>
        <v>6</v>
      </c>
      <c r="AW118" s="1">
        <f t="shared" ca="1" si="110"/>
        <v>5.4340253281063178E-2</v>
      </c>
      <c r="AY118" s="1">
        <f t="shared" ca="1" si="111"/>
        <v>1.6056880835146641</v>
      </c>
      <c r="AZ118" s="1">
        <f t="shared" ca="1" si="112"/>
        <v>361</v>
      </c>
      <c r="BA118" s="1">
        <f t="shared" ca="1" si="113"/>
        <v>1.9278650957989629E-3</v>
      </c>
      <c r="BG118" s="1">
        <f t="shared" ca="1" si="114"/>
        <v>0.85895536656800686</v>
      </c>
      <c r="BH118" s="1">
        <f t="shared" ca="1" si="115"/>
        <v>0.65915270386519476</v>
      </c>
      <c r="BI118" s="1">
        <f t="shared" ca="1" si="116"/>
        <v>791</v>
      </c>
      <c r="BV118" s="1">
        <f t="shared" ca="1" si="117"/>
        <v>0.42966966789686473</v>
      </c>
      <c r="BW118" s="1">
        <f t="shared" ca="1" si="118"/>
        <v>637</v>
      </c>
      <c r="BX118" s="1">
        <f t="shared" ca="1" si="119"/>
        <v>9.5716950327677016E-3</v>
      </c>
      <c r="BY118" s="1">
        <f t="shared" ca="1" si="120"/>
        <v>2.2143985298392191E-2</v>
      </c>
      <c r="BZ118" s="1">
        <f t="shared" ca="1" si="121"/>
        <v>0.77588057374500996</v>
      </c>
      <c r="CB118" s="1">
        <f t="shared" ca="1" si="122"/>
        <v>196</v>
      </c>
      <c r="CC118" s="1">
        <f t="shared" ca="1" si="123"/>
        <v>11</v>
      </c>
      <c r="CD118" s="1">
        <f t="shared" ca="1" si="124"/>
        <v>0.20535599867127521</v>
      </c>
      <c r="CE118" s="1">
        <f t="shared" ca="1" si="146"/>
        <v>0.67014235469328609</v>
      </c>
      <c r="CF118" s="1">
        <f t="shared" ca="1" si="146"/>
        <v>0.78026948757067227</v>
      </c>
      <c r="CH118" s="3">
        <f t="shared" ca="1" si="126"/>
        <v>0.3584451700252686</v>
      </c>
      <c r="CI118" s="3">
        <f t="shared" ca="1" si="127"/>
        <v>0.5903706399256734</v>
      </c>
      <c r="CJ118" s="3">
        <f t="shared" ca="1" si="128"/>
        <v>1292</v>
      </c>
      <c r="CK118" s="3">
        <f t="shared" ca="1" si="129"/>
        <v>6.8057394784653462E-3</v>
      </c>
      <c r="CL118" s="3">
        <f t="shared" ca="1" si="130"/>
        <v>1</v>
      </c>
      <c r="CM118" s="3"/>
      <c r="CN118" s="1">
        <f t="shared" ca="1" si="131"/>
        <v>1.3699787842293691</v>
      </c>
      <c r="CO118" s="1">
        <f t="shared" ca="1" si="132"/>
        <v>0.39629789254541098</v>
      </c>
      <c r="CP118" s="1">
        <f t="shared" ca="1" si="133"/>
        <v>2</v>
      </c>
      <c r="CV118" s="1">
        <f t="shared" ca="1" si="134"/>
        <v>2.2350669641579843</v>
      </c>
      <c r="CW118" s="1">
        <f t="shared" ca="1" si="135"/>
        <v>1401</v>
      </c>
      <c r="CX118" s="1">
        <f t="shared" ca="1" si="136"/>
        <v>8.2845150266820933E-3</v>
      </c>
      <c r="DH118" s="1">
        <f t="shared" ca="1" si="137"/>
        <v>219</v>
      </c>
      <c r="DI118" s="1">
        <f t="shared" ca="1" si="138"/>
        <v>0.76298836360047129</v>
      </c>
      <c r="DJ118" s="1">
        <f t="shared" ca="1" si="139"/>
        <v>18</v>
      </c>
      <c r="DL118" s="1">
        <f t="shared" ca="1" si="140"/>
        <v>1.1452531311598098E-2</v>
      </c>
      <c r="DM118" s="1">
        <f t="shared" ca="1" si="141"/>
        <v>240</v>
      </c>
      <c r="DN118" s="1">
        <f t="shared" ca="1" si="142"/>
        <v>3</v>
      </c>
      <c r="DW118" s="1">
        <f t="shared" ca="1" si="143"/>
        <v>479</v>
      </c>
      <c r="DX118" s="1">
        <f t="shared" ca="1" si="144"/>
        <v>19</v>
      </c>
      <c r="DY118" s="1">
        <f t="shared" ca="1" si="145"/>
        <v>12</v>
      </c>
    </row>
    <row r="119" spans="2:129" x14ac:dyDescent="0.25">
      <c r="B119">
        <f t="shared" ca="1" si="75"/>
        <v>651</v>
      </c>
      <c r="C119">
        <f t="shared" ca="1" si="76"/>
        <v>12</v>
      </c>
      <c r="D119">
        <f t="shared" ca="1" si="77"/>
        <v>1.9596673276435349E-2</v>
      </c>
      <c r="F119" s="1">
        <f t="shared" ca="1" si="78"/>
        <v>49</v>
      </c>
      <c r="G119" s="1">
        <f t="shared" ca="1" si="79"/>
        <v>26</v>
      </c>
      <c r="H119" s="1">
        <f t="shared" ca="1" si="80"/>
        <v>3</v>
      </c>
      <c r="I119" s="1"/>
      <c r="J119" s="1">
        <f t="shared" ca="1" si="81"/>
        <v>6</v>
      </c>
      <c r="K119" s="1">
        <f t="shared" ca="1" si="82"/>
        <v>1.6925332743224279</v>
      </c>
      <c r="L119" s="1">
        <f t="shared" ca="1" si="83"/>
        <v>26</v>
      </c>
      <c r="M119" s="1"/>
      <c r="N119" s="1">
        <f t="shared" ca="1" si="84"/>
        <v>70</v>
      </c>
      <c r="O119" s="1">
        <f t="shared" ca="1" si="85"/>
        <v>52</v>
      </c>
      <c r="P119" s="1"/>
      <c r="Q119" s="1">
        <f t="shared" ca="1" si="86"/>
        <v>2.0535612704021191</v>
      </c>
      <c r="R119" s="1">
        <f t="shared" ca="1" si="87"/>
        <v>745</v>
      </c>
      <c r="S119" s="1"/>
      <c r="T119" s="1">
        <f t="shared" ca="1" si="88"/>
        <v>3.0585728894192213E-2</v>
      </c>
      <c r="U119" s="1">
        <f t="shared" ca="1" si="89"/>
        <v>109</v>
      </c>
      <c r="V119" s="1">
        <f t="shared" ca="1" si="90"/>
        <v>7</v>
      </c>
      <c r="W119" s="1"/>
      <c r="X119" s="1">
        <f t="shared" ca="1" si="91"/>
        <v>2.3502032657763845</v>
      </c>
      <c r="Y119" s="1">
        <f t="shared" ca="1" si="92"/>
        <v>0.73507078787420355</v>
      </c>
      <c r="Z119" s="1">
        <f t="shared" ca="1" si="93"/>
        <v>1516</v>
      </c>
      <c r="AB119" s="1">
        <f t="shared" ca="1" si="94"/>
        <v>0.67412874579228999</v>
      </c>
      <c r="AC119" s="1">
        <f t="shared" ca="1" si="95"/>
        <v>299</v>
      </c>
      <c r="AD119" s="1">
        <f t="shared" ca="1" si="96"/>
        <v>7.4827764547622461E-3</v>
      </c>
      <c r="AE119" s="1"/>
      <c r="AF119" s="1">
        <f t="shared" ca="1" si="97"/>
        <v>0.40657928645771302</v>
      </c>
      <c r="AG119" s="1">
        <f t="shared" ca="1" si="98"/>
        <v>393</v>
      </c>
      <c r="AH119" s="1">
        <f t="shared" ca="1" si="99"/>
        <v>6.7489056171857083E-3</v>
      </c>
      <c r="AJ119" s="1">
        <f t="shared" ca="1" si="100"/>
        <v>0.80658993309767635</v>
      </c>
      <c r="AK119" s="1">
        <f t="shared" ca="1" si="101"/>
        <v>3.0430963889488249E-3</v>
      </c>
      <c r="AL119" s="1"/>
      <c r="AM119" s="1">
        <f t="shared" ca="1" si="102"/>
        <v>1.5401338752038436E-2</v>
      </c>
      <c r="AN119" s="1">
        <f t="shared" ca="1" si="103"/>
        <v>10</v>
      </c>
      <c r="AO119" s="1">
        <f t="shared" ca="1" si="104"/>
        <v>5</v>
      </c>
      <c r="AQ119" s="1">
        <f t="shared" ca="1" si="105"/>
        <v>22</v>
      </c>
      <c r="AR119" s="1">
        <f t="shared" ca="1" si="106"/>
        <v>7</v>
      </c>
      <c r="AS119" s="1">
        <f t="shared" ca="1" si="107"/>
        <v>12</v>
      </c>
      <c r="AU119" s="1">
        <f t="shared" ca="1" si="108"/>
        <v>125</v>
      </c>
      <c r="AV119" s="1">
        <f t="shared" ca="1" si="109"/>
        <v>9</v>
      </c>
      <c r="AW119" s="1">
        <f t="shared" ca="1" si="110"/>
        <v>7.4788580969102042E-2</v>
      </c>
      <c r="AY119" s="1">
        <f t="shared" ca="1" si="111"/>
        <v>1.5875741231524436</v>
      </c>
      <c r="AZ119" s="1">
        <f t="shared" ca="1" si="112"/>
        <v>452</v>
      </c>
      <c r="BA119" s="1">
        <f t="shared" ca="1" si="113"/>
        <v>1.9902568272131839E-3</v>
      </c>
      <c r="BG119" s="1">
        <f t="shared" ca="1" si="114"/>
        <v>0.44035190369835409</v>
      </c>
      <c r="BH119" s="1">
        <f t="shared" ca="1" si="115"/>
        <v>0.3824165175018297</v>
      </c>
      <c r="BI119" s="1">
        <f t="shared" ca="1" si="116"/>
        <v>705</v>
      </c>
      <c r="BV119" s="1">
        <f t="shared" ca="1" si="117"/>
        <v>0.6603662212669823</v>
      </c>
      <c r="BW119" s="1">
        <f t="shared" ca="1" si="118"/>
        <v>162</v>
      </c>
      <c r="BX119" s="1">
        <f t="shared" ca="1" si="119"/>
        <v>4.0295249901657389E-3</v>
      </c>
      <c r="BY119" s="1">
        <f t="shared" ca="1" si="120"/>
        <v>3.4549568273996391E-2</v>
      </c>
      <c r="BZ119" s="1">
        <f t="shared" ca="1" si="121"/>
        <v>0.28722357028979539</v>
      </c>
      <c r="CB119" s="1">
        <f t="shared" ca="1" si="122"/>
        <v>216</v>
      </c>
      <c r="CC119" s="1">
        <f t="shared" ca="1" si="123"/>
        <v>10</v>
      </c>
      <c r="CD119" s="1">
        <f t="shared" ca="1" si="124"/>
        <v>3.0929459886287668E-2</v>
      </c>
      <c r="CE119" s="1">
        <f t="shared" ca="1" si="146"/>
        <v>0.58847952933976178</v>
      </c>
      <c r="CF119" s="1">
        <f t="shared" ca="1" si="146"/>
        <v>0.8730568031221273</v>
      </c>
      <c r="CH119" s="3">
        <f t="shared" ca="1" si="126"/>
        <v>0.66466640733318738</v>
      </c>
      <c r="CI119" s="3">
        <f t="shared" ca="1" si="127"/>
        <v>0.43647383022844777</v>
      </c>
      <c r="CJ119" s="3">
        <f t="shared" ca="1" si="128"/>
        <v>1918</v>
      </c>
      <c r="CK119" s="3">
        <f t="shared" ca="1" si="129"/>
        <v>7.3482277218785419E-3</v>
      </c>
      <c r="CL119" s="3">
        <f t="shared" ca="1" si="130"/>
        <v>0</v>
      </c>
      <c r="CM119" s="3"/>
      <c r="CN119" s="1">
        <f t="shared" ca="1" si="131"/>
        <v>13.739103117862022</v>
      </c>
      <c r="CO119" s="1">
        <f t="shared" ca="1" si="132"/>
        <v>0.13666647397759515</v>
      </c>
      <c r="CP119" s="1">
        <f t="shared" ca="1" si="133"/>
        <v>1</v>
      </c>
      <c r="CV119" s="1">
        <f t="shared" ca="1" si="134"/>
        <v>8.903330306605115</v>
      </c>
      <c r="CW119" s="1">
        <f t="shared" ca="1" si="135"/>
        <v>1622</v>
      </c>
      <c r="CX119" s="1">
        <f t="shared" ca="1" si="136"/>
        <v>6.0066419548480462E-3</v>
      </c>
      <c r="DH119" s="1">
        <f t="shared" ca="1" si="137"/>
        <v>322</v>
      </c>
      <c r="DI119" s="1">
        <f t="shared" ca="1" si="138"/>
        <v>0.51627434485112755</v>
      </c>
      <c r="DJ119" s="1">
        <f t="shared" ca="1" si="139"/>
        <v>7</v>
      </c>
      <c r="DL119" s="1">
        <f t="shared" ca="1" si="140"/>
        <v>2.6733076706435065E-2</v>
      </c>
      <c r="DM119" s="1">
        <f t="shared" ca="1" si="141"/>
        <v>62</v>
      </c>
      <c r="DN119" s="1">
        <f t="shared" ca="1" si="142"/>
        <v>1</v>
      </c>
      <c r="DW119" s="1">
        <f t="shared" ca="1" si="143"/>
        <v>51</v>
      </c>
      <c r="DX119" s="1">
        <f t="shared" ca="1" si="144"/>
        <v>20</v>
      </c>
      <c r="DY119" s="1">
        <f t="shared" ca="1" si="145"/>
        <v>5</v>
      </c>
    </row>
    <row r="120" spans="2:129" x14ac:dyDescent="0.25">
      <c r="B120">
        <f t="shared" ca="1" si="75"/>
        <v>451</v>
      </c>
      <c r="C120">
        <f t="shared" ca="1" si="76"/>
        <v>51</v>
      </c>
      <c r="D120">
        <f t="shared" ca="1" si="77"/>
        <v>7.2173871548635957E-2</v>
      </c>
      <c r="F120" s="1">
        <f t="shared" ca="1" si="78"/>
        <v>30</v>
      </c>
      <c r="G120" s="1">
        <f t="shared" ca="1" si="79"/>
        <v>28</v>
      </c>
      <c r="H120" s="1">
        <f t="shared" ca="1" si="80"/>
        <v>14</v>
      </c>
      <c r="I120" s="1"/>
      <c r="J120" s="1">
        <f t="shared" ca="1" si="81"/>
        <v>12</v>
      </c>
      <c r="K120" s="1">
        <f t="shared" ca="1" si="82"/>
        <v>1.1769195999537949</v>
      </c>
      <c r="L120" s="1">
        <f t="shared" ca="1" si="83"/>
        <v>7</v>
      </c>
      <c r="M120" s="1"/>
      <c r="N120" s="1">
        <f t="shared" ca="1" si="84"/>
        <v>272</v>
      </c>
      <c r="O120" s="1">
        <f t="shared" ca="1" si="85"/>
        <v>38</v>
      </c>
      <c r="P120" s="1"/>
      <c r="Q120" s="1">
        <f t="shared" ca="1" si="86"/>
        <v>3.5534564818924905</v>
      </c>
      <c r="R120" s="1">
        <f t="shared" ca="1" si="87"/>
        <v>746</v>
      </c>
      <c r="S120" s="1"/>
      <c r="T120" s="1">
        <f t="shared" ca="1" si="88"/>
        <v>0.12871144337992488</v>
      </c>
      <c r="U120" s="1">
        <f t="shared" ca="1" si="89"/>
        <v>107</v>
      </c>
      <c r="V120" s="1">
        <f t="shared" ca="1" si="90"/>
        <v>6</v>
      </c>
      <c r="W120" s="1"/>
      <c r="X120" s="1">
        <f t="shared" ca="1" si="91"/>
        <v>8.1375251676865474</v>
      </c>
      <c r="Y120" s="1">
        <f t="shared" ca="1" si="92"/>
        <v>0.2815699440005543</v>
      </c>
      <c r="Z120" s="1">
        <f t="shared" ca="1" si="93"/>
        <v>714</v>
      </c>
      <c r="AB120" s="1">
        <f t="shared" ca="1" si="94"/>
        <v>4.5393101812216383E-2</v>
      </c>
      <c r="AC120" s="1">
        <f t="shared" ca="1" si="95"/>
        <v>725</v>
      </c>
      <c r="AD120" s="1">
        <f t="shared" ca="1" si="96"/>
        <v>7.8309376875383488E-3</v>
      </c>
      <c r="AE120" s="1"/>
      <c r="AF120" s="1">
        <f t="shared" ca="1" si="97"/>
        <v>0.86189293966145031</v>
      </c>
      <c r="AG120" s="1">
        <f t="shared" ca="1" si="98"/>
        <v>315</v>
      </c>
      <c r="AH120" s="1">
        <f t="shared" ca="1" si="99"/>
        <v>1.1969031686120378E-3</v>
      </c>
      <c r="AJ120" s="1">
        <f t="shared" ca="1" si="100"/>
        <v>0.26391681497898622</v>
      </c>
      <c r="AK120" s="1">
        <f t="shared" ca="1" si="101"/>
        <v>7.7378894960371059E-3</v>
      </c>
      <c r="AL120" s="1"/>
      <c r="AM120" s="1">
        <f t="shared" ca="1" si="102"/>
        <v>0.14498681627754104</v>
      </c>
      <c r="AN120" s="1">
        <f t="shared" ca="1" si="103"/>
        <v>61</v>
      </c>
      <c r="AO120" s="1">
        <f t="shared" ca="1" si="104"/>
        <v>2</v>
      </c>
      <c r="AQ120" s="1">
        <f t="shared" ca="1" si="105"/>
        <v>43</v>
      </c>
      <c r="AR120" s="1">
        <f t="shared" ca="1" si="106"/>
        <v>4</v>
      </c>
      <c r="AS120" s="1">
        <f t="shared" ca="1" si="107"/>
        <v>49</v>
      </c>
      <c r="AU120" s="1">
        <f t="shared" ca="1" si="108"/>
        <v>91</v>
      </c>
      <c r="AV120" s="1">
        <f t="shared" ca="1" si="109"/>
        <v>6</v>
      </c>
      <c r="AW120" s="1">
        <f t="shared" ca="1" si="110"/>
        <v>7.8950007101787706E-2</v>
      </c>
      <c r="AY120" s="1">
        <f t="shared" ca="1" si="111"/>
        <v>1.2234653074481943</v>
      </c>
      <c r="AZ120" s="1">
        <f t="shared" ca="1" si="112"/>
        <v>458</v>
      </c>
      <c r="BA120" s="1">
        <f t="shared" ca="1" si="113"/>
        <v>4.5790487604388573E-3</v>
      </c>
      <c r="BG120" s="1">
        <f t="shared" ca="1" si="114"/>
        <v>5.082984132526696E-2</v>
      </c>
      <c r="BH120" s="1">
        <f t="shared" ca="1" si="115"/>
        <v>0.4595229152520699</v>
      </c>
      <c r="BI120" s="1">
        <f t="shared" ca="1" si="116"/>
        <v>330</v>
      </c>
      <c r="BV120" s="1">
        <f t="shared" ca="1" si="117"/>
        <v>0.1188608373922314</v>
      </c>
      <c r="BW120" s="1">
        <f t="shared" ca="1" si="118"/>
        <v>645</v>
      </c>
      <c r="BX120" s="1">
        <f t="shared" ca="1" si="119"/>
        <v>7.0010753635248307E-3</v>
      </c>
      <c r="BY120" s="1">
        <f t="shared" ca="1" si="120"/>
        <v>1.6224771804315551E-2</v>
      </c>
      <c r="BZ120" s="1">
        <f t="shared" ca="1" si="121"/>
        <v>0.8985268030321425</v>
      </c>
      <c r="CB120" s="1">
        <f t="shared" ca="1" si="122"/>
        <v>149</v>
      </c>
      <c r="CC120" s="1">
        <f t="shared" ca="1" si="123"/>
        <v>12</v>
      </c>
      <c r="CD120" s="1">
        <f t="shared" ca="1" si="124"/>
        <v>0.24438691320663836</v>
      </c>
      <c r="CE120" s="1">
        <f t="shared" ca="1" si="146"/>
        <v>0.56616687484166173</v>
      </c>
      <c r="CF120" s="1">
        <f t="shared" ca="1" si="146"/>
        <v>0.62237578436038576</v>
      </c>
      <c r="CH120" s="3">
        <f t="shared" ca="1" si="126"/>
        <v>0.91848351157910613</v>
      </c>
      <c r="CI120" s="3">
        <f t="shared" ca="1" si="127"/>
        <v>0.30071466568664362</v>
      </c>
      <c r="CJ120" s="3">
        <f t="shared" ca="1" si="128"/>
        <v>1253</v>
      </c>
      <c r="CK120" s="3">
        <f t="shared" ca="1" si="129"/>
        <v>4.30910286940131E-3</v>
      </c>
      <c r="CL120" s="3">
        <f t="shared" ca="1" si="130"/>
        <v>1</v>
      </c>
      <c r="CM120" s="3"/>
      <c r="CN120" s="1">
        <f t="shared" ca="1" si="131"/>
        <v>5.8360165519626799</v>
      </c>
      <c r="CO120" s="1">
        <f t="shared" ca="1" si="132"/>
        <v>0.19841985693807046</v>
      </c>
      <c r="CP120" s="1">
        <f t="shared" ca="1" si="133"/>
        <v>2</v>
      </c>
      <c r="CV120" s="1">
        <f t="shared" ca="1" si="134"/>
        <v>5.4059810488875364</v>
      </c>
      <c r="CW120" s="1">
        <f t="shared" ca="1" si="135"/>
        <v>318</v>
      </c>
      <c r="CX120" s="1">
        <f t="shared" ca="1" si="136"/>
        <v>6.3636510004145327E-3</v>
      </c>
      <c r="DH120" s="1">
        <f t="shared" ca="1" si="137"/>
        <v>280</v>
      </c>
      <c r="DI120" s="1">
        <f t="shared" ca="1" si="138"/>
        <v>0.45725332132117735</v>
      </c>
      <c r="DJ120" s="1">
        <f t="shared" ca="1" si="139"/>
        <v>21</v>
      </c>
      <c r="DL120" s="1">
        <f t="shared" ca="1" si="140"/>
        <v>4.2374747549648296E-2</v>
      </c>
      <c r="DM120" s="1">
        <f t="shared" ca="1" si="141"/>
        <v>254</v>
      </c>
      <c r="DN120" s="1">
        <f t="shared" ca="1" si="142"/>
        <v>3</v>
      </c>
      <c r="DW120" s="1">
        <f t="shared" ca="1" si="143"/>
        <v>244</v>
      </c>
      <c r="DX120" s="1">
        <f t="shared" ca="1" si="144"/>
        <v>15</v>
      </c>
      <c r="DY120" s="1">
        <f t="shared" ca="1" si="145"/>
        <v>4</v>
      </c>
    </row>
    <row r="121" spans="2:129" x14ac:dyDescent="0.25">
      <c r="B121">
        <f t="shared" ca="1" si="75"/>
        <v>316</v>
      </c>
      <c r="C121">
        <f t="shared" ca="1" si="76"/>
        <v>37</v>
      </c>
      <c r="D121">
        <f t="shared" ca="1" si="77"/>
        <v>0.16542904537866912</v>
      </c>
      <c r="F121" s="1">
        <f t="shared" ca="1" si="78"/>
        <v>20</v>
      </c>
      <c r="G121" s="1">
        <f t="shared" ca="1" si="79"/>
        <v>10</v>
      </c>
      <c r="H121" s="1">
        <f t="shared" ca="1" si="80"/>
        <v>2</v>
      </c>
      <c r="I121" s="1"/>
      <c r="J121" s="1">
        <f t="shared" ca="1" si="81"/>
        <v>16</v>
      </c>
      <c r="K121" s="1">
        <f t="shared" ca="1" si="82"/>
        <v>2.0556636432052491</v>
      </c>
      <c r="L121" s="1">
        <f t="shared" ca="1" si="83"/>
        <v>2</v>
      </c>
      <c r="M121" s="1"/>
      <c r="N121" s="1">
        <f t="shared" ca="1" si="84"/>
        <v>167</v>
      </c>
      <c r="O121" s="1">
        <f t="shared" ca="1" si="85"/>
        <v>4</v>
      </c>
      <c r="P121" s="1"/>
      <c r="Q121" s="1">
        <f t="shared" ca="1" si="86"/>
        <v>0.32039424878837924</v>
      </c>
      <c r="R121" s="1">
        <f t="shared" ca="1" si="87"/>
        <v>1045</v>
      </c>
      <c r="S121" s="1"/>
      <c r="T121" s="1">
        <f t="shared" ca="1" si="88"/>
        <v>0.18803379517885205</v>
      </c>
      <c r="U121" s="1">
        <f t="shared" ca="1" si="89"/>
        <v>326</v>
      </c>
      <c r="V121" s="1">
        <f t="shared" ca="1" si="90"/>
        <v>16</v>
      </c>
      <c r="W121" s="1"/>
      <c r="X121" s="1">
        <f t="shared" ca="1" si="91"/>
        <v>1.201994755838246</v>
      </c>
      <c r="Y121" s="1">
        <f t="shared" ca="1" si="92"/>
        <v>0.23180545209105194</v>
      </c>
      <c r="Z121" s="1">
        <f t="shared" ca="1" si="93"/>
        <v>1102</v>
      </c>
      <c r="AB121" s="1">
        <f t="shared" ca="1" si="94"/>
        <v>0.30365110511387461</v>
      </c>
      <c r="AC121" s="1">
        <f t="shared" ca="1" si="95"/>
        <v>747</v>
      </c>
      <c r="AD121" s="1">
        <f t="shared" ca="1" si="96"/>
        <v>2.176589070787422E-3</v>
      </c>
      <c r="AE121" s="1"/>
      <c r="AF121" s="1">
        <f t="shared" ca="1" si="97"/>
        <v>0.64604678170138308</v>
      </c>
      <c r="AG121" s="1">
        <f t="shared" ca="1" si="98"/>
        <v>727</v>
      </c>
      <c r="AH121" s="1">
        <f t="shared" ca="1" si="99"/>
        <v>2.7028344693769864E-3</v>
      </c>
      <c r="AJ121" s="1">
        <f t="shared" ca="1" si="100"/>
        <v>0.88280626423943087</v>
      </c>
      <c r="AK121" s="1">
        <f t="shared" ca="1" si="101"/>
        <v>6.7550054162079974E-3</v>
      </c>
      <c r="AL121" s="1"/>
      <c r="AM121" s="1">
        <f t="shared" ca="1" si="102"/>
        <v>0.1148230301807399</v>
      </c>
      <c r="AN121" s="1">
        <f t="shared" ca="1" si="103"/>
        <v>30</v>
      </c>
      <c r="AO121" s="1">
        <f t="shared" ca="1" si="104"/>
        <v>-1</v>
      </c>
      <c r="AQ121" s="1">
        <f t="shared" ca="1" si="105"/>
        <v>175</v>
      </c>
      <c r="AR121" s="1">
        <f t="shared" ca="1" si="106"/>
        <v>0</v>
      </c>
      <c r="AS121" s="1">
        <f t="shared" ca="1" si="107"/>
        <v>11</v>
      </c>
      <c r="AU121" s="1">
        <f t="shared" ca="1" si="108"/>
        <v>217</v>
      </c>
      <c r="AV121" s="1">
        <f t="shared" ca="1" si="109"/>
        <v>7</v>
      </c>
      <c r="AW121" s="1">
        <f t="shared" ca="1" si="110"/>
        <v>0.17647882501705306</v>
      </c>
      <c r="AY121" s="1">
        <f t="shared" ca="1" si="111"/>
        <v>1.4156527441186919</v>
      </c>
      <c r="AZ121" s="1">
        <f t="shared" ca="1" si="112"/>
        <v>351</v>
      </c>
      <c r="BA121" s="1">
        <f t="shared" ca="1" si="113"/>
        <v>4.8679587222886173E-3</v>
      </c>
      <c r="BG121" s="1">
        <f t="shared" ca="1" si="114"/>
        <v>0.39851369975490669</v>
      </c>
      <c r="BH121" s="1">
        <f t="shared" ca="1" si="115"/>
        <v>0.39256433881522468</v>
      </c>
      <c r="BI121" s="1">
        <f t="shared" ca="1" si="116"/>
        <v>485</v>
      </c>
      <c r="BV121" s="1">
        <f t="shared" ca="1" si="117"/>
        <v>0.32755433554819363</v>
      </c>
      <c r="BW121" s="1">
        <f t="shared" ca="1" si="118"/>
        <v>268</v>
      </c>
      <c r="BX121" s="1">
        <f t="shared" ca="1" si="119"/>
        <v>4.98074431958552E-3</v>
      </c>
      <c r="BY121" s="1">
        <f t="shared" ca="1" si="120"/>
        <v>8.3377694859370577E-2</v>
      </c>
      <c r="BZ121" s="1">
        <f t="shared" ca="1" si="121"/>
        <v>0.76537795565693434</v>
      </c>
      <c r="CB121" s="1">
        <f t="shared" ca="1" si="122"/>
        <v>423</v>
      </c>
      <c r="CC121" s="1">
        <f t="shared" ca="1" si="123"/>
        <v>4</v>
      </c>
      <c r="CD121" s="1">
        <f t="shared" ca="1" si="124"/>
        <v>3.0620518967401311E-2</v>
      </c>
      <c r="CE121" s="1">
        <f t="shared" ca="1" si="146"/>
        <v>0.5047451250995092</v>
      </c>
      <c r="CF121" s="1">
        <f t="shared" ca="1" si="146"/>
        <v>0.5573466033897031</v>
      </c>
      <c r="CH121" s="3">
        <f t="shared" ca="1" si="126"/>
        <v>0.40773971427465527</v>
      </c>
      <c r="CI121" s="3">
        <f t="shared" ca="1" si="127"/>
        <v>0.21577460623865471</v>
      </c>
      <c r="CJ121" s="3">
        <f t="shared" ca="1" si="128"/>
        <v>530</v>
      </c>
      <c r="CK121" s="3">
        <f t="shared" ca="1" si="129"/>
        <v>5.1827951417068498E-3</v>
      </c>
      <c r="CL121" s="3">
        <f t="shared" ca="1" si="130"/>
        <v>1</v>
      </c>
      <c r="CM121" s="3"/>
      <c r="CN121" s="1">
        <f t="shared" ca="1" si="131"/>
        <v>9.9443168485855402</v>
      </c>
      <c r="CO121" s="1">
        <f t="shared" ca="1" si="132"/>
        <v>0.37167477237430879</v>
      </c>
      <c r="CP121" s="1">
        <f t="shared" ca="1" si="133"/>
        <v>2</v>
      </c>
      <c r="CV121" s="1">
        <f t="shared" ca="1" si="134"/>
        <v>7.8957593349513679</v>
      </c>
      <c r="CW121" s="1">
        <f t="shared" ca="1" si="135"/>
        <v>887</v>
      </c>
      <c r="CX121" s="1">
        <f t="shared" ca="1" si="136"/>
        <v>2.1740539066172882E-4</v>
      </c>
      <c r="DH121" s="1">
        <f t="shared" ca="1" si="137"/>
        <v>530</v>
      </c>
      <c r="DI121" s="1">
        <f t="shared" ca="1" si="138"/>
        <v>0.66981199197629526</v>
      </c>
      <c r="DJ121" s="1">
        <f t="shared" ca="1" si="139"/>
        <v>29</v>
      </c>
      <c r="DL121" s="1">
        <f t="shared" ca="1" si="140"/>
        <v>0.15618376396641934</v>
      </c>
      <c r="DM121" s="1">
        <f t="shared" ca="1" si="141"/>
        <v>299</v>
      </c>
      <c r="DN121" s="1">
        <f t="shared" ca="1" si="142"/>
        <v>10</v>
      </c>
      <c r="DW121" s="1">
        <f t="shared" ca="1" si="143"/>
        <v>499</v>
      </c>
      <c r="DX121" s="1">
        <f t="shared" ca="1" si="144"/>
        <v>16</v>
      </c>
      <c r="DY121" s="1">
        <f t="shared" ca="1" si="145"/>
        <v>3</v>
      </c>
    </row>
    <row r="122" spans="2:129" x14ac:dyDescent="0.25">
      <c r="B122">
        <f t="shared" ca="1" si="75"/>
        <v>727</v>
      </c>
      <c r="C122">
        <f t="shared" ca="1" si="76"/>
        <v>31</v>
      </c>
      <c r="D122">
        <f t="shared" ca="1" si="77"/>
        <v>5.6993563416199468E-2</v>
      </c>
      <c r="F122" s="1">
        <f t="shared" ca="1" si="78"/>
        <v>47</v>
      </c>
      <c r="G122" s="1">
        <f t="shared" ca="1" si="79"/>
        <v>25</v>
      </c>
      <c r="H122" s="1">
        <f t="shared" ca="1" si="80"/>
        <v>8</v>
      </c>
      <c r="I122" s="1"/>
      <c r="J122" s="1">
        <f t="shared" ca="1" si="81"/>
        <v>3</v>
      </c>
      <c r="K122" s="1">
        <f t="shared" ca="1" si="82"/>
        <v>2.8414171310918883</v>
      </c>
      <c r="L122" s="1">
        <f t="shared" ca="1" si="83"/>
        <v>6</v>
      </c>
      <c r="M122" s="1"/>
      <c r="N122" s="1">
        <f t="shared" ca="1" si="84"/>
        <v>646</v>
      </c>
      <c r="O122" s="1">
        <f t="shared" ca="1" si="85"/>
        <v>12</v>
      </c>
      <c r="P122" s="1"/>
      <c r="Q122" s="1">
        <f t="shared" ca="1" si="86"/>
        <v>4.3038371498971122</v>
      </c>
      <c r="R122" s="1">
        <f t="shared" ca="1" si="87"/>
        <v>730</v>
      </c>
      <c r="S122" s="1"/>
      <c r="T122" s="1">
        <f t="shared" ca="1" si="88"/>
        <v>0.17725661712661842</v>
      </c>
      <c r="U122" s="1">
        <f t="shared" ca="1" si="89"/>
        <v>247</v>
      </c>
      <c r="V122" s="1">
        <f t="shared" ca="1" si="90"/>
        <v>38</v>
      </c>
      <c r="W122" s="1"/>
      <c r="X122" s="1">
        <f t="shared" ca="1" si="91"/>
        <v>5.1869177431886015</v>
      </c>
      <c r="Y122" s="1">
        <f t="shared" ca="1" si="92"/>
        <v>0.35797918185325922</v>
      </c>
      <c r="Z122" s="1">
        <f t="shared" ca="1" si="93"/>
        <v>125</v>
      </c>
      <c r="AB122" s="1">
        <f t="shared" ca="1" si="94"/>
        <v>0.3643937647745521</v>
      </c>
      <c r="AC122" s="1">
        <f t="shared" ca="1" si="95"/>
        <v>278</v>
      </c>
      <c r="AD122" s="1">
        <f t="shared" ca="1" si="96"/>
        <v>8.9384268232199672E-3</v>
      </c>
      <c r="AE122" s="1"/>
      <c r="AF122" s="1">
        <f t="shared" ca="1" si="97"/>
        <v>0.71911323492618584</v>
      </c>
      <c r="AG122" s="1">
        <f t="shared" ca="1" si="98"/>
        <v>709</v>
      </c>
      <c r="AH122" s="1">
        <f t="shared" ca="1" si="99"/>
        <v>5.6625891299869691E-3</v>
      </c>
      <c r="AJ122" s="1">
        <f t="shared" ca="1" si="100"/>
        <v>0.14819692942131157</v>
      </c>
      <c r="AK122" s="1">
        <f t="shared" ca="1" si="101"/>
        <v>3.1974197943256859E-3</v>
      </c>
      <c r="AL122" s="1"/>
      <c r="AM122" s="1">
        <f t="shared" ca="1" si="102"/>
        <v>0.19839989256449561</v>
      </c>
      <c r="AN122" s="1">
        <f t="shared" ca="1" si="103"/>
        <v>26</v>
      </c>
      <c r="AO122" s="1">
        <f t="shared" ca="1" si="104"/>
        <v>18</v>
      </c>
      <c r="AQ122" s="1">
        <f t="shared" ca="1" si="105"/>
        <v>109</v>
      </c>
      <c r="AR122" s="1">
        <f t="shared" ca="1" si="106"/>
        <v>1</v>
      </c>
      <c r="AS122" s="1">
        <f t="shared" ca="1" si="107"/>
        <v>18</v>
      </c>
      <c r="AU122" s="1">
        <f t="shared" ca="1" si="108"/>
        <v>225</v>
      </c>
      <c r="AV122" s="1">
        <f t="shared" ca="1" si="109"/>
        <v>10</v>
      </c>
      <c r="AW122" s="1">
        <f t="shared" ca="1" si="110"/>
        <v>0.18266154149276626</v>
      </c>
      <c r="AY122" s="1">
        <f t="shared" ca="1" si="111"/>
        <v>1.6968607649099534</v>
      </c>
      <c r="AZ122" s="1">
        <f t="shared" ca="1" si="112"/>
        <v>133</v>
      </c>
      <c r="BA122" s="1">
        <f t="shared" ca="1" si="113"/>
        <v>1.0946968878388595E-3</v>
      </c>
      <c r="BG122" s="1">
        <f t="shared" ca="1" si="114"/>
        <v>0.38209250671495587</v>
      </c>
      <c r="BH122" s="1">
        <f t="shared" ca="1" si="115"/>
        <v>0.99565790241900121</v>
      </c>
      <c r="BI122" s="1">
        <f t="shared" ca="1" si="116"/>
        <v>316</v>
      </c>
      <c r="BV122" s="1">
        <f t="shared" ca="1" si="117"/>
        <v>0.60322429604476391</v>
      </c>
      <c r="BW122" s="1">
        <f t="shared" ca="1" si="118"/>
        <v>715</v>
      </c>
      <c r="BX122" s="1">
        <f t="shared" ca="1" si="119"/>
        <v>5.1627637806487825E-3</v>
      </c>
      <c r="BY122" s="1">
        <f t="shared" ca="1" si="120"/>
        <v>5.8602309421776924E-2</v>
      </c>
      <c r="BZ122" s="1">
        <f t="shared" ca="1" si="121"/>
        <v>0.36057001969368518</v>
      </c>
      <c r="CB122" s="1">
        <f t="shared" ca="1" si="122"/>
        <v>436</v>
      </c>
      <c r="CC122" s="1">
        <f t="shared" ca="1" si="123"/>
        <v>5</v>
      </c>
      <c r="CD122" s="1">
        <f t="shared" ca="1" si="124"/>
        <v>0.23096741234445742</v>
      </c>
      <c r="CE122" s="1">
        <f t="shared" ca="1" si="146"/>
        <v>0.78524823886863537</v>
      </c>
      <c r="CF122" s="1">
        <f t="shared" ca="1" si="146"/>
        <v>0.55452123459576297</v>
      </c>
      <c r="CH122" s="3">
        <f t="shared" ca="1" si="126"/>
        <v>6.4206735348062441E-2</v>
      </c>
      <c r="CI122" s="3">
        <f t="shared" ca="1" si="127"/>
        <v>3.0251661767197978E-2</v>
      </c>
      <c r="CJ122" s="3">
        <f t="shared" ca="1" si="128"/>
        <v>1761</v>
      </c>
      <c r="CK122" s="3">
        <f t="shared" ca="1" si="129"/>
        <v>4.1431354446053501E-4</v>
      </c>
      <c r="CL122" s="3">
        <f t="shared" ca="1" si="130"/>
        <v>0</v>
      </c>
      <c r="CM122" s="3"/>
      <c r="CN122" s="1">
        <f t="shared" ca="1" si="131"/>
        <v>2.9004117848310815</v>
      </c>
      <c r="CO122" s="1">
        <f t="shared" ca="1" si="132"/>
        <v>0.1916981268353149</v>
      </c>
      <c r="CP122" s="1">
        <f t="shared" ca="1" si="133"/>
        <v>3</v>
      </c>
      <c r="CV122" s="1">
        <f t="shared" ca="1" si="134"/>
        <v>8.8393402561700487</v>
      </c>
      <c r="CW122" s="1">
        <f t="shared" ca="1" si="135"/>
        <v>150</v>
      </c>
      <c r="CX122" s="1">
        <f t="shared" ca="1" si="136"/>
        <v>7.3777162110747361E-3</v>
      </c>
      <c r="DH122" s="1">
        <f t="shared" ca="1" si="137"/>
        <v>462</v>
      </c>
      <c r="DI122" s="1">
        <f t="shared" ca="1" si="138"/>
        <v>0.7866259067778949</v>
      </c>
      <c r="DJ122" s="1">
        <f t="shared" ca="1" si="139"/>
        <v>20</v>
      </c>
      <c r="DL122" s="1">
        <f t="shared" ca="1" si="140"/>
        <v>7.7997508948921074E-2</v>
      </c>
      <c r="DM122" s="1">
        <f t="shared" ca="1" si="141"/>
        <v>77</v>
      </c>
      <c r="DN122" s="1">
        <f t="shared" ca="1" si="142"/>
        <v>8</v>
      </c>
      <c r="DW122" s="1">
        <f t="shared" ca="1" si="143"/>
        <v>440</v>
      </c>
      <c r="DX122" s="1">
        <f t="shared" ca="1" si="144"/>
        <v>12</v>
      </c>
      <c r="DY122" s="1">
        <f t="shared" ca="1" si="145"/>
        <v>12</v>
      </c>
    </row>
    <row r="123" spans="2:129" x14ac:dyDescent="0.25">
      <c r="B123">
        <f t="shared" ca="1" si="75"/>
        <v>521</v>
      </c>
      <c r="C123">
        <f t="shared" ca="1" si="76"/>
        <v>28</v>
      </c>
      <c r="D123">
        <f t="shared" ca="1" si="77"/>
        <v>8.4786877585730822E-2</v>
      </c>
      <c r="F123" s="1">
        <f t="shared" ca="1" si="78"/>
        <v>30</v>
      </c>
      <c r="G123" s="1">
        <f t="shared" ca="1" si="79"/>
        <v>28</v>
      </c>
      <c r="H123" s="1">
        <f t="shared" ca="1" si="80"/>
        <v>9</v>
      </c>
      <c r="I123" s="1"/>
      <c r="J123" s="1">
        <f t="shared" ca="1" si="81"/>
        <v>36</v>
      </c>
      <c r="K123" s="1">
        <f t="shared" ca="1" si="82"/>
        <v>1.9956431788726099</v>
      </c>
      <c r="L123" s="1">
        <f t="shared" ca="1" si="83"/>
        <v>7</v>
      </c>
      <c r="M123" s="1"/>
      <c r="N123" s="1">
        <f t="shared" ca="1" si="84"/>
        <v>756</v>
      </c>
      <c r="O123" s="1">
        <f t="shared" ca="1" si="85"/>
        <v>28</v>
      </c>
      <c r="P123" s="1"/>
      <c r="Q123" s="1">
        <f t="shared" ca="1" si="86"/>
        <v>0.83925345835866261</v>
      </c>
      <c r="R123" s="1">
        <f t="shared" ca="1" si="87"/>
        <v>720</v>
      </c>
      <c r="S123" s="1"/>
      <c r="T123" s="1">
        <f t="shared" ca="1" si="88"/>
        <v>0.17965979808719834</v>
      </c>
      <c r="U123" s="1">
        <f t="shared" ca="1" si="89"/>
        <v>347</v>
      </c>
      <c r="V123" s="1">
        <f t="shared" ca="1" si="90"/>
        <v>33</v>
      </c>
      <c r="W123" s="1"/>
      <c r="X123" s="1">
        <f t="shared" ca="1" si="91"/>
        <v>7.4006720972098403</v>
      </c>
      <c r="Y123" s="1">
        <f t="shared" ca="1" si="92"/>
        <v>0.82093369726181353</v>
      </c>
      <c r="Z123" s="1">
        <f t="shared" ca="1" si="93"/>
        <v>274</v>
      </c>
      <c r="AB123" s="1">
        <f t="shared" ca="1" si="94"/>
        <v>0.53453010016767344</v>
      </c>
      <c r="AC123" s="1">
        <f t="shared" ca="1" si="95"/>
        <v>298</v>
      </c>
      <c r="AD123" s="1">
        <f t="shared" ca="1" si="96"/>
        <v>6.7998727887640005E-3</v>
      </c>
      <c r="AE123" s="1"/>
      <c r="AF123" s="1">
        <f t="shared" ca="1" si="97"/>
        <v>0.7132507297446059</v>
      </c>
      <c r="AG123" s="1">
        <f t="shared" ca="1" si="98"/>
        <v>807</v>
      </c>
      <c r="AH123" s="1">
        <f t="shared" ca="1" si="99"/>
        <v>9.7400828354477532E-3</v>
      </c>
      <c r="AJ123" s="1">
        <f t="shared" ca="1" si="100"/>
        <v>0.26753913731911383</v>
      </c>
      <c r="AK123" s="1">
        <f t="shared" ca="1" si="101"/>
        <v>5.9468078484796009E-3</v>
      </c>
      <c r="AL123" s="1"/>
      <c r="AM123" s="1">
        <f t="shared" ca="1" si="102"/>
        <v>6.7485090701861802E-2</v>
      </c>
      <c r="AN123" s="1">
        <f t="shared" ca="1" si="103"/>
        <v>76</v>
      </c>
      <c r="AO123" s="1">
        <f t="shared" ca="1" si="104"/>
        <v>18</v>
      </c>
      <c r="AQ123" s="1">
        <f t="shared" ca="1" si="105"/>
        <v>195</v>
      </c>
      <c r="AR123" s="1">
        <f t="shared" ca="1" si="106"/>
        <v>7</v>
      </c>
      <c r="AS123" s="1">
        <f t="shared" ca="1" si="107"/>
        <v>76</v>
      </c>
      <c r="AU123" s="1">
        <f t="shared" ca="1" si="108"/>
        <v>149</v>
      </c>
      <c r="AV123" s="1">
        <f t="shared" ca="1" si="109"/>
        <v>3</v>
      </c>
      <c r="AW123" s="1">
        <f t="shared" ca="1" si="110"/>
        <v>7.5278157157607814E-2</v>
      </c>
      <c r="AY123" s="1">
        <f t="shared" ca="1" si="111"/>
        <v>1.5472354575236771</v>
      </c>
      <c r="AZ123" s="1">
        <f t="shared" ca="1" si="112"/>
        <v>456</v>
      </c>
      <c r="BA123" s="1">
        <f t="shared" ca="1" si="113"/>
        <v>1.466661767655506E-3</v>
      </c>
      <c r="BG123" s="1">
        <f t="shared" ca="1" si="114"/>
        <v>0.85172044641162425</v>
      </c>
      <c r="BH123" s="1">
        <f t="shared" ca="1" si="115"/>
        <v>0.58810569522977274</v>
      </c>
      <c r="BI123" s="1">
        <f t="shared" ca="1" si="116"/>
        <v>415</v>
      </c>
      <c r="BV123" s="1">
        <f t="shared" ca="1" si="117"/>
        <v>0.67329915988671174</v>
      </c>
      <c r="BW123" s="1">
        <f t="shared" ca="1" si="118"/>
        <v>798</v>
      </c>
      <c r="BX123" s="1">
        <f t="shared" ca="1" si="119"/>
        <v>6.6642085949212568E-3</v>
      </c>
      <c r="BY123" s="1">
        <f t="shared" ca="1" si="120"/>
        <v>3.0749183764836246E-2</v>
      </c>
      <c r="BZ123" s="1">
        <f t="shared" ca="1" si="121"/>
        <v>0.98738846099249322</v>
      </c>
      <c r="CB123" s="1">
        <f t="shared" ca="1" si="122"/>
        <v>126</v>
      </c>
      <c r="CC123" s="1">
        <f t="shared" ca="1" si="123"/>
        <v>9</v>
      </c>
      <c r="CD123" s="1">
        <f t="shared" ca="1" si="124"/>
        <v>5.1533474847552108E-2</v>
      </c>
      <c r="CE123" s="1">
        <f t="shared" ca="1" si="146"/>
        <v>0.89615890392889086</v>
      </c>
      <c r="CF123" s="1">
        <f t="shared" ca="1" si="146"/>
        <v>0.99841735588320213</v>
      </c>
      <c r="CH123" s="3">
        <f t="shared" ca="1" si="126"/>
        <v>0.4691761649777581</v>
      </c>
      <c r="CI123" s="3">
        <f t="shared" ca="1" si="127"/>
        <v>0.88639906775311572</v>
      </c>
      <c r="CJ123" s="3">
        <f t="shared" ca="1" si="128"/>
        <v>1241</v>
      </c>
      <c r="CK123" s="3">
        <f t="shared" ca="1" si="129"/>
        <v>5.6885362773981254E-3</v>
      </c>
      <c r="CL123" s="3">
        <f t="shared" ca="1" si="130"/>
        <v>1</v>
      </c>
      <c r="CM123" s="3"/>
      <c r="CN123" s="1">
        <f t="shared" ca="1" si="131"/>
        <v>13.359680553891668</v>
      </c>
      <c r="CO123" s="1">
        <f t="shared" ca="1" si="132"/>
        <v>0.32715486275819461</v>
      </c>
      <c r="CP123" s="1">
        <f t="shared" ca="1" si="133"/>
        <v>2</v>
      </c>
      <c r="CV123" s="1">
        <f t="shared" ca="1" si="134"/>
        <v>1.9674854188111748</v>
      </c>
      <c r="CW123" s="1">
        <f t="shared" ca="1" si="135"/>
        <v>1725</v>
      </c>
      <c r="CX123" s="1">
        <f t="shared" ca="1" si="136"/>
        <v>3.7938649116010378E-3</v>
      </c>
      <c r="DH123" s="1">
        <f t="shared" ca="1" si="137"/>
        <v>314</v>
      </c>
      <c r="DI123" s="1">
        <f t="shared" ca="1" si="138"/>
        <v>9.44356277167724E-2</v>
      </c>
      <c r="DJ123" s="1">
        <f t="shared" ca="1" si="139"/>
        <v>29</v>
      </c>
      <c r="DL123" s="1">
        <f t="shared" ca="1" si="140"/>
        <v>9.024263184937957E-2</v>
      </c>
      <c r="DM123" s="1">
        <f t="shared" ca="1" si="141"/>
        <v>94</v>
      </c>
      <c r="DN123" s="1">
        <f t="shared" ca="1" si="142"/>
        <v>5</v>
      </c>
      <c r="DW123" s="1">
        <f t="shared" ca="1" si="143"/>
        <v>383</v>
      </c>
      <c r="DX123" s="1">
        <f t="shared" ca="1" si="144"/>
        <v>14</v>
      </c>
      <c r="DY123" s="1">
        <f t="shared" ca="1" si="145"/>
        <v>15</v>
      </c>
    </row>
    <row r="124" spans="2:129" x14ac:dyDescent="0.25">
      <c r="B124">
        <f t="shared" ca="1" si="75"/>
        <v>717</v>
      </c>
      <c r="C124">
        <f t="shared" ca="1" si="76"/>
        <v>51</v>
      </c>
      <c r="D124">
        <f t="shared" ca="1" si="77"/>
        <v>9.2476918474946879E-2</v>
      </c>
      <c r="F124" s="1">
        <f t="shared" ca="1" si="78"/>
        <v>45</v>
      </c>
      <c r="G124" s="1">
        <f t="shared" ca="1" si="79"/>
        <v>22</v>
      </c>
      <c r="H124" s="1">
        <f t="shared" ca="1" si="80"/>
        <v>13</v>
      </c>
      <c r="I124" s="1"/>
      <c r="J124" s="1">
        <f t="shared" ca="1" si="81"/>
        <v>21</v>
      </c>
      <c r="K124" s="1">
        <f t="shared" ca="1" si="82"/>
        <v>1.2529097766128465</v>
      </c>
      <c r="L124" s="1">
        <f t="shared" ca="1" si="83"/>
        <v>33</v>
      </c>
      <c r="M124" s="1"/>
      <c r="N124" s="1">
        <f t="shared" ca="1" si="84"/>
        <v>256</v>
      </c>
      <c r="O124" s="1">
        <f t="shared" ca="1" si="85"/>
        <v>24</v>
      </c>
      <c r="P124" s="1"/>
      <c r="Q124" s="1">
        <f t="shared" ca="1" si="86"/>
        <v>4.466462354896489</v>
      </c>
      <c r="R124" s="1">
        <f t="shared" ca="1" si="87"/>
        <v>696</v>
      </c>
      <c r="S124" s="1"/>
      <c r="T124" s="1">
        <f t="shared" ca="1" si="88"/>
        <v>0.14694462454416532</v>
      </c>
      <c r="U124" s="1">
        <f t="shared" ca="1" si="89"/>
        <v>205</v>
      </c>
      <c r="V124" s="1">
        <f t="shared" ca="1" si="90"/>
        <v>3</v>
      </c>
      <c r="W124" s="1"/>
      <c r="X124" s="1">
        <f t="shared" ca="1" si="91"/>
        <v>8.3476166358571433</v>
      </c>
      <c r="Y124" s="1">
        <f t="shared" ca="1" si="92"/>
        <v>0.79375365102223761</v>
      </c>
      <c r="Z124" s="1">
        <f t="shared" ca="1" si="93"/>
        <v>1794</v>
      </c>
      <c r="AB124" s="1">
        <f t="shared" ca="1" si="94"/>
        <v>0.62378186147271841</v>
      </c>
      <c r="AC124" s="1">
        <f t="shared" ca="1" si="95"/>
        <v>373</v>
      </c>
      <c r="AD124" s="1">
        <f t="shared" ca="1" si="96"/>
        <v>2.7526707384337534E-3</v>
      </c>
      <c r="AE124" s="1"/>
      <c r="AF124" s="1">
        <f t="shared" ca="1" si="97"/>
        <v>0.40926251544759196</v>
      </c>
      <c r="AG124" s="1">
        <f t="shared" ca="1" si="98"/>
        <v>403</v>
      </c>
      <c r="AH124" s="1">
        <f t="shared" ca="1" si="99"/>
        <v>3.6133695105052661E-3</v>
      </c>
      <c r="AJ124" s="1">
        <f t="shared" ca="1" si="100"/>
        <v>0.26953300183569295</v>
      </c>
      <c r="AK124" s="1">
        <f t="shared" ca="1" si="101"/>
        <v>9.9961498282506046E-3</v>
      </c>
      <c r="AL124" s="1"/>
      <c r="AM124" s="1">
        <f t="shared" ca="1" si="102"/>
        <v>8.0750558512180964E-2</v>
      </c>
      <c r="AN124" s="1">
        <f t="shared" ca="1" si="103"/>
        <v>16</v>
      </c>
      <c r="AO124" s="1">
        <f t="shared" ca="1" si="104"/>
        <v>18</v>
      </c>
      <c r="AQ124" s="1">
        <f t="shared" ca="1" si="105"/>
        <v>42</v>
      </c>
      <c r="AR124" s="1">
        <f t="shared" ca="1" si="106"/>
        <v>0</v>
      </c>
      <c r="AS124" s="1">
        <f t="shared" ca="1" si="107"/>
        <v>78</v>
      </c>
      <c r="AU124" s="1">
        <f t="shared" ca="1" si="108"/>
        <v>147</v>
      </c>
      <c r="AV124" s="1">
        <f t="shared" ca="1" si="109"/>
        <v>2</v>
      </c>
      <c r="AW124" s="1">
        <f t="shared" ca="1" si="110"/>
        <v>0.12687209357882673</v>
      </c>
      <c r="AY124" s="1">
        <f t="shared" ca="1" si="111"/>
        <v>1.5401596610856712</v>
      </c>
      <c r="AZ124" s="1">
        <f t="shared" ca="1" si="112"/>
        <v>233</v>
      </c>
      <c r="BA124" s="1">
        <f t="shared" ca="1" si="113"/>
        <v>4.461406551338299E-3</v>
      </c>
      <c r="BG124" s="1">
        <f t="shared" ca="1" si="114"/>
        <v>0.54091560955026197</v>
      </c>
      <c r="BH124" s="1">
        <f t="shared" ca="1" si="115"/>
        <v>0.52413056768109256</v>
      </c>
      <c r="BI124" s="1">
        <f t="shared" ca="1" si="116"/>
        <v>760</v>
      </c>
      <c r="BV124" s="1">
        <f t="shared" ca="1" si="117"/>
        <v>0.96871130957655949</v>
      </c>
      <c r="BW124" s="1">
        <f t="shared" ca="1" si="118"/>
        <v>461</v>
      </c>
      <c r="BX124" s="1">
        <f t="shared" ca="1" si="119"/>
        <v>3.796320397353942E-3</v>
      </c>
      <c r="BY124" s="1">
        <f t="shared" ca="1" si="120"/>
        <v>9.5928752414235919E-3</v>
      </c>
      <c r="BZ124" s="1">
        <f t="shared" ca="1" si="121"/>
        <v>0.60182400086601617</v>
      </c>
      <c r="CB124" s="1">
        <f t="shared" ca="1" si="122"/>
        <v>255</v>
      </c>
      <c r="CC124" s="1">
        <f t="shared" ca="1" si="123"/>
        <v>10</v>
      </c>
      <c r="CD124" s="1">
        <f t="shared" ca="1" si="124"/>
        <v>0.22487718811878615</v>
      </c>
      <c r="CE124" s="1">
        <f t="shared" ca="1" si="146"/>
        <v>0.7758922951714432</v>
      </c>
      <c r="CF124" s="1">
        <f t="shared" ca="1" si="146"/>
        <v>0.87125450806571569</v>
      </c>
      <c r="CH124" s="3">
        <f t="shared" ca="1" si="126"/>
        <v>6.0740276137739455E-2</v>
      </c>
      <c r="CI124" s="3">
        <f t="shared" ca="1" si="127"/>
        <v>0.53860712350533635</v>
      </c>
      <c r="CJ124" s="3">
        <f t="shared" ca="1" si="128"/>
        <v>820</v>
      </c>
      <c r="CK124" s="3">
        <f t="shared" ca="1" si="129"/>
        <v>1.3647358581226439E-3</v>
      </c>
      <c r="CL124" s="3">
        <f t="shared" ca="1" si="130"/>
        <v>0</v>
      </c>
      <c r="CM124" s="3"/>
      <c r="CN124" s="1">
        <f t="shared" ca="1" si="131"/>
        <v>4.3980761311272989</v>
      </c>
      <c r="CO124" s="1">
        <f t="shared" ca="1" si="132"/>
        <v>9.2037488462013858E-2</v>
      </c>
      <c r="CP124" s="1">
        <f t="shared" ca="1" si="133"/>
        <v>3</v>
      </c>
      <c r="CV124" s="1">
        <f t="shared" ca="1" si="134"/>
        <v>2.8618725022658054</v>
      </c>
      <c r="CW124" s="1">
        <f t="shared" ca="1" si="135"/>
        <v>375</v>
      </c>
      <c r="CX124" s="1">
        <f t="shared" ca="1" si="136"/>
        <v>1.0179796968344292E-3</v>
      </c>
      <c r="DH124" s="1">
        <f t="shared" ca="1" si="137"/>
        <v>727</v>
      </c>
      <c r="DI124" s="1">
        <f t="shared" ca="1" si="138"/>
        <v>0.71537077666517224</v>
      </c>
      <c r="DJ124" s="1">
        <f t="shared" ca="1" si="139"/>
        <v>3</v>
      </c>
      <c r="DL124" s="1">
        <f t="shared" ca="1" si="140"/>
        <v>4.4184719818550475E-2</v>
      </c>
      <c r="DM124" s="1">
        <f t="shared" ca="1" si="141"/>
        <v>297</v>
      </c>
      <c r="DN124" s="1">
        <f t="shared" ca="1" si="142"/>
        <v>8</v>
      </c>
      <c r="DW124" s="1">
        <f t="shared" ca="1" si="143"/>
        <v>293</v>
      </c>
      <c r="DX124" s="1">
        <f t="shared" ca="1" si="144"/>
        <v>15</v>
      </c>
      <c r="DY124" s="1">
        <f t="shared" ca="1" si="145"/>
        <v>8</v>
      </c>
    </row>
    <row r="125" spans="2:129" x14ac:dyDescent="0.25">
      <c r="B125">
        <f t="shared" ca="1" si="75"/>
        <v>87</v>
      </c>
      <c r="C125">
        <f t="shared" ca="1" si="76"/>
        <v>27</v>
      </c>
      <c r="D125">
        <f t="shared" ca="1" si="77"/>
        <v>0.28329509564866945</v>
      </c>
      <c r="F125" s="1">
        <f t="shared" ca="1" si="78"/>
        <v>3</v>
      </c>
      <c r="G125" s="1">
        <f t="shared" ca="1" si="79"/>
        <v>15</v>
      </c>
      <c r="H125" s="1">
        <f t="shared" ca="1" si="80"/>
        <v>11</v>
      </c>
      <c r="I125" s="1"/>
      <c r="J125" s="1">
        <f t="shared" ca="1" si="81"/>
        <v>4</v>
      </c>
      <c r="K125" s="1">
        <f t="shared" ca="1" si="82"/>
        <v>1.1209325268586257</v>
      </c>
      <c r="L125" s="1">
        <f t="shared" ca="1" si="83"/>
        <v>2</v>
      </c>
      <c r="M125" s="1"/>
      <c r="N125" s="1">
        <f t="shared" ca="1" si="84"/>
        <v>301</v>
      </c>
      <c r="O125" s="1">
        <f t="shared" ca="1" si="85"/>
        <v>48</v>
      </c>
      <c r="P125" s="1"/>
      <c r="Q125" s="1">
        <f t="shared" ca="1" si="86"/>
        <v>1.2416804256549467</v>
      </c>
      <c r="R125" s="1">
        <f t="shared" ca="1" si="87"/>
        <v>226</v>
      </c>
      <c r="S125" s="1"/>
      <c r="T125" s="1">
        <f t="shared" ca="1" si="88"/>
        <v>7.2180003742305779E-2</v>
      </c>
      <c r="U125" s="1">
        <f t="shared" ca="1" si="89"/>
        <v>393</v>
      </c>
      <c r="V125" s="1">
        <f t="shared" ca="1" si="90"/>
        <v>44</v>
      </c>
      <c r="W125" s="1"/>
      <c r="X125" s="1">
        <f t="shared" ca="1" si="91"/>
        <v>2.7758370819743146</v>
      </c>
      <c r="Y125" s="1">
        <f t="shared" ca="1" si="92"/>
        <v>7.3242233374083152E-3</v>
      </c>
      <c r="Z125" s="1">
        <f t="shared" ca="1" si="93"/>
        <v>988</v>
      </c>
      <c r="AB125" s="1">
        <f t="shared" ca="1" si="94"/>
        <v>0.91900387234678904</v>
      </c>
      <c r="AC125" s="1">
        <f t="shared" ca="1" si="95"/>
        <v>505</v>
      </c>
      <c r="AD125" s="1">
        <f t="shared" ca="1" si="96"/>
        <v>8.1051905341355101E-3</v>
      </c>
      <c r="AE125" s="1"/>
      <c r="AF125" s="1">
        <f t="shared" ca="1" si="97"/>
        <v>0.65910158397036533</v>
      </c>
      <c r="AG125" s="1">
        <f t="shared" ca="1" si="98"/>
        <v>256</v>
      </c>
      <c r="AH125" s="1">
        <f t="shared" ca="1" si="99"/>
        <v>8.8164753101564238E-3</v>
      </c>
      <c r="AJ125" s="1">
        <f t="shared" ca="1" si="100"/>
        <v>0.4010517726639915</v>
      </c>
      <c r="AK125" s="1">
        <f t="shared" ca="1" si="101"/>
        <v>8.6501241695003082E-3</v>
      </c>
      <c r="AL125" s="1"/>
      <c r="AM125" s="1">
        <f t="shared" ca="1" si="102"/>
        <v>0.18819375345623576</v>
      </c>
      <c r="AN125" s="1">
        <f t="shared" ca="1" si="103"/>
        <v>50</v>
      </c>
      <c r="AO125" s="1">
        <f t="shared" ca="1" si="104"/>
        <v>7</v>
      </c>
      <c r="AQ125" s="1">
        <f t="shared" ca="1" si="105"/>
        <v>107</v>
      </c>
      <c r="AR125" s="1">
        <f t="shared" ca="1" si="106"/>
        <v>7</v>
      </c>
      <c r="AS125" s="1">
        <f t="shared" ca="1" si="107"/>
        <v>25</v>
      </c>
      <c r="AU125" s="1">
        <f t="shared" ca="1" si="108"/>
        <v>204</v>
      </c>
      <c r="AV125" s="1">
        <f t="shared" ca="1" si="109"/>
        <v>5</v>
      </c>
      <c r="AW125" s="1">
        <f t="shared" ca="1" si="110"/>
        <v>0.10146572341180649</v>
      </c>
      <c r="AY125" s="1">
        <f t="shared" ca="1" si="111"/>
        <v>1.3860707954559011</v>
      </c>
      <c r="AZ125" s="1">
        <f t="shared" ca="1" si="112"/>
        <v>105</v>
      </c>
      <c r="BA125" s="1">
        <f t="shared" ca="1" si="113"/>
        <v>4.3736950462718738E-3</v>
      </c>
      <c r="BG125" s="1">
        <f t="shared" ca="1" si="114"/>
        <v>1.2051183326259273E-2</v>
      </c>
      <c r="BH125" s="1">
        <f t="shared" ca="1" si="115"/>
        <v>0.48324938143665752</v>
      </c>
      <c r="BI125" s="1">
        <f t="shared" ca="1" si="116"/>
        <v>304</v>
      </c>
      <c r="BV125" s="1">
        <f t="shared" ca="1" si="117"/>
        <v>0.66675265750837176</v>
      </c>
      <c r="BW125" s="1">
        <f t="shared" ca="1" si="118"/>
        <v>474</v>
      </c>
      <c r="BX125" s="1">
        <f t="shared" ca="1" si="119"/>
        <v>4.0521946150419976E-3</v>
      </c>
      <c r="BY125" s="1">
        <f t="shared" ca="1" si="120"/>
        <v>9.0626458899694964E-2</v>
      </c>
      <c r="BZ125" s="1">
        <f t="shared" ca="1" si="121"/>
        <v>0.87306938291020197</v>
      </c>
      <c r="CB125" s="1">
        <f t="shared" ca="1" si="122"/>
        <v>212</v>
      </c>
      <c r="CC125" s="1">
        <f t="shared" ca="1" si="123"/>
        <v>4</v>
      </c>
      <c r="CD125" s="1">
        <f t="shared" ca="1" si="124"/>
        <v>0.21045496488176252</v>
      </c>
      <c r="CE125" s="1">
        <f t="shared" ca="1" si="146"/>
        <v>0.83372118429238851</v>
      </c>
      <c r="CF125" s="1">
        <f t="shared" ca="1" si="146"/>
        <v>0.65710625725075089</v>
      </c>
      <c r="CH125" s="3">
        <f t="shared" ca="1" si="126"/>
        <v>0.60402470290496457</v>
      </c>
      <c r="CI125" s="3">
        <f t="shared" ca="1" si="127"/>
        <v>0.22441723667097549</v>
      </c>
      <c r="CJ125" s="3">
        <f t="shared" ca="1" si="128"/>
        <v>1088</v>
      </c>
      <c r="CK125" s="3">
        <f t="shared" ca="1" si="129"/>
        <v>7.2371769000555758E-3</v>
      </c>
      <c r="CL125" s="3">
        <f t="shared" ca="1" si="130"/>
        <v>1</v>
      </c>
      <c r="CM125" s="3"/>
      <c r="CN125" s="1">
        <f t="shared" ca="1" si="131"/>
        <v>6.004302817618588</v>
      </c>
      <c r="CO125" s="1">
        <f t="shared" ca="1" si="132"/>
        <v>0.43276541157647735</v>
      </c>
      <c r="CP125" s="1">
        <f t="shared" ca="1" si="133"/>
        <v>5</v>
      </c>
      <c r="CV125" s="1">
        <f t="shared" ca="1" si="134"/>
        <v>3.1457340423858504</v>
      </c>
      <c r="CW125" s="1">
        <f t="shared" ca="1" si="135"/>
        <v>1032</v>
      </c>
      <c r="CX125" s="1">
        <f t="shared" ca="1" si="136"/>
        <v>9.5361390350920446E-3</v>
      </c>
      <c r="DH125" s="1">
        <f t="shared" ca="1" si="137"/>
        <v>877</v>
      </c>
      <c r="DI125" s="1">
        <f t="shared" ca="1" si="138"/>
        <v>0.83529239064478344</v>
      </c>
      <c r="DJ125" s="1">
        <f t="shared" ca="1" si="139"/>
        <v>27</v>
      </c>
      <c r="DL125" s="1">
        <f t="shared" ca="1" si="140"/>
        <v>3.2935960567618591E-2</v>
      </c>
      <c r="DM125" s="1">
        <f t="shared" ca="1" si="141"/>
        <v>239</v>
      </c>
      <c r="DN125" s="1">
        <f t="shared" ca="1" si="142"/>
        <v>4</v>
      </c>
      <c r="DW125" s="1">
        <f t="shared" ca="1" si="143"/>
        <v>153</v>
      </c>
      <c r="DX125" s="1">
        <f t="shared" ca="1" si="144"/>
        <v>19</v>
      </c>
      <c r="DY125" s="1">
        <f t="shared" ca="1" si="145"/>
        <v>17</v>
      </c>
    </row>
    <row r="126" spans="2:129" x14ac:dyDescent="0.25">
      <c r="B126">
        <f t="shared" ca="1" si="75"/>
        <v>160</v>
      </c>
      <c r="C126">
        <f t="shared" ca="1" si="76"/>
        <v>4</v>
      </c>
      <c r="D126">
        <f t="shared" ca="1" si="77"/>
        <v>0.25837471033215759</v>
      </c>
      <c r="F126" s="1">
        <f t="shared" ca="1" si="78"/>
        <v>45</v>
      </c>
      <c r="G126" s="1">
        <f t="shared" ca="1" si="79"/>
        <v>22</v>
      </c>
      <c r="H126" s="1">
        <f t="shared" ca="1" si="80"/>
        <v>2</v>
      </c>
      <c r="I126" s="1"/>
      <c r="J126" s="1">
        <f t="shared" ca="1" si="81"/>
        <v>5</v>
      </c>
      <c r="K126" s="1">
        <f t="shared" ca="1" si="82"/>
        <v>1.4186893277395276</v>
      </c>
      <c r="L126" s="1">
        <f t="shared" ca="1" si="83"/>
        <v>12</v>
      </c>
      <c r="M126" s="1"/>
      <c r="N126" s="1">
        <f t="shared" ca="1" si="84"/>
        <v>393</v>
      </c>
      <c r="O126" s="1">
        <f t="shared" ca="1" si="85"/>
        <v>39</v>
      </c>
      <c r="P126" s="1"/>
      <c r="Q126" s="1">
        <f t="shared" ca="1" si="86"/>
        <v>4.3964138210114303</v>
      </c>
      <c r="R126" s="1">
        <f t="shared" ca="1" si="87"/>
        <v>463</v>
      </c>
      <c r="S126" s="1"/>
      <c r="T126" s="1">
        <f t="shared" ca="1" si="88"/>
        <v>0.14419663367004609</v>
      </c>
      <c r="U126" s="1">
        <f t="shared" ca="1" si="89"/>
        <v>360</v>
      </c>
      <c r="V126" s="1">
        <f t="shared" ca="1" si="90"/>
        <v>52</v>
      </c>
      <c r="W126" s="1"/>
      <c r="X126" s="1">
        <f t="shared" ca="1" si="91"/>
        <v>8.9279368130817129</v>
      </c>
      <c r="Y126" s="1">
        <f t="shared" ca="1" si="92"/>
        <v>0.79951976799763458</v>
      </c>
      <c r="Z126" s="1">
        <f t="shared" ca="1" si="93"/>
        <v>1105</v>
      </c>
      <c r="AB126" s="1">
        <f t="shared" ca="1" si="94"/>
        <v>3.0432110513002153E-2</v>
      </c>
      <c r="AC126" s="1">
        <f t="shared" ca="1" si="95"/>
        <v>535</v>
      </c>
      <c r="AD126" s="1">
        <f t="shared" ca="1" si="96"/>
        <v>2.7196317392802812E-3</v>
      </c>
      <c r="AE126" s="1"/>
      <c r="AF126" s="1">
        <f t="shared" ca="1" si="97"/>
        <v>0.74343842256598769</v>
      </c>
      <c r="AG126" s="1">
        <f t="shared" ca="1" si="98"/>
        <v>151</v>
      </c>
      <c r="AH126" s="1">
        <f t="shared" ca="1" si="99"/>
        <v>5.0853737209552376E-4</v>
      </c>
      <c r="AJ126" s="1">
        <f t="shared" ca="1" si="100"/>
        <v>1.8182844207508486E-2</v>
      </c>
      <c r="AK126" s="1">
        <f t="shared" ca="1" si="101"/>
        <v>4.5417663442895835E-4</v>
      </c>
      <c r="AL126" s="1"/>
      <c r="AM126" s="1">
        <f t="shared" ca="1" si="102"/>
        <v>0.10133025126357754</v>
      </c>
      <c r="AN126" s="1">
        <f t="shared" ca="1" si="103"/>
        <v>55</v>
      </c>
      <c r="AO126" s="1">
        <f t="shared" ca="1" si="104"/>
        <v>2</v>
      </c>
      <c r="AQ126" s="1">
        <f t="shared" ca="1" si="105"/>
        <v>170</v>
      </c>
      <c r="AR126" s="1">
        <f t="shared" ca="1" si="106"/>
        <v>10</v>
      </c>
      <c r="AS126" s="1">
        <f t="shared" ca="1" si="107"/>
        <v>82</v>
      </c>
      <c r="AU126" s="1">
        <f t="shared" ca="1" si="108"/>
        <v>90</v>
      </c>
      <c r="AV126" s="1">
        <f t="shared" ca="1" si="109"/>
        <v>2</v>
      </c>
      <c r="AW126" s="1">
        <f t="shared" ca="1" si="110"/>
        <v>0.10022516027051138</v>
      </c>
      <c r="AY126" s="1">
        <f t="shared" ca="1" si="111"/>
        <v>1.7127802819927114</v>
      </c>
      <c r="AZ126" s="1">
        <f t="shared" ca="1" si="112"/>
        <v>482</v>
      </c>
      <c r="BA126" s="1">
        <f t="shared" ca="1" si="113"/>
        <v>5.0711488089548147E-3</v>
      </c>
      <c r="BG126" s="1">
        <f t="shared" ca="1" si="114"/>
        <v>0.59103832610395934</v>
      </c>
      <c r="BH126" s="1">
        <f t="shared" ca="1" si="115"/>
        <v>3.2514921139423891E-2</v>
      </c>
      <c r="BI126" s="1">
        <f t="shared" ca="1" si="116"/>
        <v>236</v>
      </c>
      <c r="BV126" s="1">
        <f t="shared" ca="1" si="117"/>
        <v>0.86034918372024594</v>
      </c>
      <c r="BW126" s="1">
        <f t="shared" ca="1" si="118"/>
        <v>372</v>
      </c>
      <c r="BX126" s="1">
        <f t="shared" ca="1" si="119"/>
        <v>2.3456863353374237E-3</v>
      </c>
      <c r="BY126" s="1">
        <f t="shared" ca="1" si="120"/>
        <v>6.6171060515502075E-2</v>
      </c>
      <c r="BZ126" s="1">
        <f t="shared" ca="1" si="121"/>
        <v>0.27803696151998958</v>
      </c>
      <c r="CB126" s="1">
        <f t="shared" ca="1" si="122"/>
        <v>238</v>
      </c>
      <c r="CC126" s="1">
        <f t="shared" ca="1" si="123"/>
        <v>3</v>
      </c>
      <c r="CD126" s="1">
        <f t="shared" ca="1" si="124"/>
        <v>0.29013272024433573</v>
      </c>
      <c r="CE126" s="1">
        <f t="shared" ca="1" si="146"/>
        <v>0.82262939731666873</v>
      </c>
      <c r="CF126" s="1">
        <f t="shared" ca="1" si="146"/>
        <v>0.88685231340141946</v>
      </c>
      <c r="CH126" s="3">
        <f t="shared" ca="1" si="126"/>
        <v>0.55071856017786303</v>
      </c>
      <c r="CI126" s="3">
        <f t="shared" ca="1" si="127"/>
        <v>0.15506889530388696</v>
      </c>
      <c r="CJ126" s="3">
        <f t="shared" ca="1" si="128"/>
        <v>575</v>
      </c>
      <c r="CK126" s="3">
        <f t="shared" ca="1" si="129"/>
        <v>3.7238194803985727E-3</v>
      </c>
      <c r="CL126" s="3">
        <f t="shared" ca="1" si="130"/>
        <v>0</v>
      </c>
      <c r="CM126" s="3"/>
      <c r="CN126" s="1">
        <f t="shared" ca="1" si="131"/>
        <v>15.438548732387691</v>
      </c>
      <c r="CO126" s="1">
        <f t="shared" ca="1" si="132"/>
        <v>7.0059164090070222E-2</v>
      </c>
      <c r="CP126" s="1">
        <f t="shared" ca="1" si="133"/>
        <v>5</v>
      </c>
      <c r="CV126" s="1">
        <f t="shared" ca="1" si="134"/>
        <v>2.7625697313929733</v>
      </c>
      <c r="CW126" s="1">
        <f t="shared" ca="1" si="135"/>
        <v>709</v>
      </c>
      <c r="CX126" s="1">
        <f t="shared" ca="1" si="136"/>
        <v>2.7993414378010362E-4</v>
      </c>
      <c r="DH126" s="1">
        <f t="shared" ca="1" si="137"/>
        <v>709</v>
      </c>
      <c r="DI126" s="1">
        <f t="shared" ca="1" si="138"/>
        <v>0.56841121422772578</v>
      </c>
      <c r="DJ126" s="1">
        <f t="shared" ca="1" si="139"/>
        <v>6</v>
      </c>
      <c r="DL126" s="1">
        <f t="shared" ca="1" si="140"/>
        <v>0.10566206791879944</v>
      </c>
      <c r="DM126" s="1">
        <f t="shared" ca="1" si="141"/>
        <v>192</v>
      </c>
      <c r="DN126" s="1">
        <f t="shared" ca="1" si="142"/>
        <v>3</v>
      </c>
      <c r="DW126" s="1">
        <f t="shared" ca="1" si="143"/>
        <v>227</v>
      </c>
      <c r="DX126" s="1">
        <f t="shared" ca="1" si="144"/>
        <v>13</v>
      </c>
      <c r="DY126" s="1">
        <f t="shared" ca="1" si="145"/>
        <v>17</v>
      </c>
    </row>
    <row r="127" spans="2:129" x14ac:dyDescent="0.25">
      <c r="B127">
        <f t="shared" ca="1" si="75"/>
        <v>283</v>
      </c>
      <c r="C127">
        <f t="shared" ca="1" si="76"/>
        <v>26</v>
      </c>
      <c r="D127">
        <f t="shared" ca="1" si="77"/>
        <v>0.21882635133820566</v>
      </c>
      <c r="F127" s="1">
        <f t="shared" ca="1" si="78"/>
        <v>9</v>
      </c>
      <c r="G127" s="1">
        <f t="shared" ca="1" si="79"/>
        <v>22</v>
      </c>
      <c r="H127" s="1">
        <f t="shared" ca="1" si="80"/>
        <v>12</v>
      </c>
      <c r="I127" s="1"/>
      <c r="J127" s="1">
        <f t="shared" ca="1" si="81"/>
        <v>33</v>
      </c>
      <c r="K127" s="1">
        <f t="shared" ca="1" si="82"/>
        <v>2.0267943354623861</v>
      </c>
      <c r="L127" s="1">
        <f t="shared" ca="1" si="83"/>
        <v>3</v>
      </c>
      <c r="M127" s="1"/>
      <c r="N127" s="1">
        <f t="shared" ca="1" si="84"/>
        <v>756</v>
      </c>
      <c r="O127" s="1">
        <f t="shared" ca="1" si="85"/>
        <v>28</v>
      </c>
      <c r="P127" s="1"/>
      <c r="Q127" s="1">
        <f t="shared" ca="1" si="86"/>
        <v>4.763416390593366</v>
      </c>
      <c r="R127" s="1">
        <f t="shared" ca="1" si="87"/>
        <v>234</v>
      </c>
      <c r="S127" s="1"/>
      <c r="T127" s="1">
        <f t="shared" ca="1" si="88"/>
        <v>0.10167600492773335</v>
      </c>
      <c r="U127" s="1">
        <f t="shared" ca="1" si="89"/>
        <v>64</v>
      </c>
      <c r="V127" s="1">
        <f t="shared" ca="1" si="90"/>
        <v>24</v>
      </c>
      <c r="W127" s="1"/>
      <c r="X127" s="1">
        <f t="shared" ca="1" si="91"/>
        <v>1.5520256512318842</v>
      </c>
      <c r="Y127" s="1">
        <f t="shared" ca="1" si="92"/>
        <v>6.2928219429976354E-2</v>
      </c>
      <c r="Z127" s="1">
        <f t="shared" ca="1" si="93"/>
        <v>1573</v>
      </c>
      <c r="AB127" s="1">
        <f t="shared" ca="1" si="94"/>
        <v>0.12311114663852787</v>
      </c>
      <c r="AC127" s="1">
        <f t="shared" ca="1" si="95"/>
        <v>657</v>
      </c>
      <c r="AD127" s="1">
        <f t="shared" ca="1" si="96"/>
        <v>6.3163618332631507E-3</v>
      </c>
      <c r="AE127" s="1"/>
      <c r="AF127" s="1">
        <f t="shared" ca="1" si="97"/>
        <v>0.69555886781164744</v>
      </c>
      <c r="AG127" s="1">
        <f t="shared" ca="1" si="98"/>
        <v>263</v>
      </c>
      <c r="AH127" s="1">
        <f t="shared" ca="1" si="99"/>
        <v>2.5019727557038553E-3</v>
      </c>
      <c r="AJ127" s="1">
        <f t="shared" ca="1" si="100"/>
        <v>0.36521119126053392</v>
      </c>
      <c r="AK127" s="1">
        <f t="shared" ca="1" si="101"/>
        <v>1.1882714061151641E-3</v>
      </c>
      <c r="AL127" s="1"/>
      <c r="AM127" s="1">
        <f t="shared" ca="1" si="102"/>
        <v>1.4302854010707595E-2</v>
      </c>
      <c r="AN127" s="1">
        <f t="shared" ca="1" si="103"/>
        <v>33</v>
      </c>
      <c r="AO127" s="1">
        <f t="shared" ca="1" si="104"/>
        <v>5</v>
      </c>
      <c r="AQ127" s="1">
        <f t="shared" ca="1" si="105"/>
        <v>17</v>
      </c>
      <c r="AR127" s="1">
        <f t="shared" ca="1" si="106"/>
        <v>8</v>
      </c>
      <c r="AS127" s="1">
        <f t="shared" ca="1" si="107"/>
        <v>60</v>
      </c>
      <c r="AU127" s="1">
        <f t="shared" ca="1" si="108"/>
        <v>394</v>
      </c>
      <c r="AV127" s="1">
        <f t="shared" ca="1" si="109"/>
        <v>9</v>
      </c>
      <c r="AW127" s="1">
        <f t="shared" ca="1" si="110"/>
        <v>0.13972234217098128</v>
      </c>
      <c r="AY127" s="1">
        <f t="shared" ca="1" si="111"/>
        <v>1.3920400273563343</v>
      </c>
      <c r="AZ127" s="1">
        <f t="shared" ca="1" si="112"/>
        <v>62</v>
      </c>
      <c r="BA127" s="1">
        <f t="shared" ca="1" si="113"/>
        <v>4.3095298467810137E-3</v>
      </c>
      <c r="BG127" s="1">
        <f t="shared" ca="1" si="114"/>
        <v>0.17600478704464845</v>
      </c>
      <c r="BH127" s="1">
        <f t="shared" ca="1" si="115"/>
        <v>0.26555352195921678</v>
      </c>
      <c r="BI127" s="1">
        <f t="shared" ca="1" si="116"/>
        <v>104</v>
      </c>
      <c r="BV127" s="1">
        <f t="shared" ca="1" si="117"/>
        <v>0.13372385186930996</v>
      </c>
      <c r="BW127" s="1">
        <f t="shared" ca="1" si="118"/>
        <v>642</v>
      </c>
      <c r="BX127" s="1">
        <f t="shared" ca="1" si="119"/>
        <v>6.8180167277317703E-3</v>
      </c>
      <c r="BY127" s="1">
        <f t="shared" ca="1" si="120"/>
        <v>9.450773069622094E-2</v>
      </c>
      <c r="BZ127" s="1">
        <f t="shared" ca="1" si="121"/>
        <v>0.36030484978189226</v>
      </c>
      <c r="CB127" s="1">
        <f t="shared" ca="1" si="122"/>
        <v>188</v>
      </c>
      <c r="CC127" s="1">
        <f t="shared" ca="1" si="123"/>
        <v>13</v>
      </c>
      <c r="CD127" s="1">
        <f t="shared" ca="1" si="124"/>
        <v>0.20175335464524738</v>
      </c>
      <c r="CE127" s="1">
        <f t="shared" ca="1" si="146"/>
        <v>0.66605045189315537</v>
      </c>
      <c r="CF127" s="1">
        <f t="shared" ca="1" si="146"/>
        <v>0.58413819865783756</v>
      </c>
      <c r="CH127" s="3">
        <f t="shared" ca="1" si="126"/>
        <v>0.1019815001499829</v>
      </c>
      <c r="CI127" s="3">
        <f t="shared" ca="1" si="127"/>
        <v>0.42434590670155875</v>
      </c>
      <c r="CJ127" s="3">
        <f t="shared" ca="1" si="128"/>
        <v>534</v>
      </c>
      <c r="CK127" s="3">
        <f t="shared" ca="1" si="129"/>
        <v>6.859029294342513E-3</v>
      </c>
      <c r="CL127" s="3">
        <f t="shared" ca="1" si="130"/>
        <v>1</v>
      </c>
      <c r="CM127" s="3"/>
      <c r="CN127" s="1">
        <f t="shared" ca="1" si="131"/>
        <v>2.0059201053167635</v>
      </c>
      <c r="CO127" s="1">
        <f t="shared" ca="1" si="132"/>
        <v>0.15325992195161062</v>
      </c>
      <c r="CP127" s="1">
        <f t="shared" ca="1" si="133"/>
        <v>5</v>
      </c>
      <c r="CV127" s="1">
        <f t="shared" ca="1" si="134"/>
        <v>0.9632844243460964</v>
      </c>
      <c r="CW127" s="1">
        <f t="shared" ca="1" si="135"/>
        <v>539</v>
      </c>
      <c r="CX127" s="1">
        <f t="shared" ca="1" si="136"/>
        <v>1.312752344352999E-3</v>
      </c>
      <c r="DH127" s="1">
        <f t="shared" ca="1" si="137"/>
        <v>207</v>
      </c>
      <c r="DI127" s="1">
        <f t="shared" ca="1" si="138"/>
        <v>0.43057921181876463</v>
      </c>
      <c r="DJ127" s="1">
        <f t="shared" ca="1" si="139"/>
        <v>1</v>
      </c>
      <c r="DL127" s="1">
        <f t="shared" ca="1" si="140"/>
        <v>0.15505675357041898</v>
      </c>
      <c r="DM127" s="1">
        <f t="shared" ca="1" si="141"/>
        <v>230</v>
      </c>
      <c r="DN127" s="1">
        <f t="shared" ca="1" si="142"/>
        <v>6</v>
      </c>
      <c r="DW127" s="1">
        <f t="shared" ca="1" si="143"/>
        <v>292</v>
      </c>
      <c r="DX127" s="1">
        <f t="shared" ca="1" si="144"/>
        <v>20</v>
      </c>
      <c r="DY127" s="1">
        <f t="shared" ca="1" si="145"/>
        <v>18</v>
      </c>
    </row>
    <row r="128" spans="2:129" x14ac:dyDescent="0.25">
      <c r="B128">
        <f t="shared" ca="1" si="75"/>
        <v>312</v>
      </c>
      <c r="C128">
        <f t="shared" ca="1" si="76"/>
        <v>49</v>
      </c>
      <c r="D128">
        <f t="shared" ca="1" si="77"/>
        <v>6.3545877755508989E-2</v>
      </c>
      <c r="F128" s="1">
        <f t="shared" ca="1" si="78"/>
        <v>21</v>
      </c>
      <c r="G128" s="1">
        <f t="shared" ca="1" si="79"/>
        <v>2</v>
      </c>
      <c r="H128" s="1">
        <f t="shared" ca="1" si="80"/>
        <v>4</v>
      </c>
      <c r="I128" s="1"/>
      <c r="J128" s="1">
        <f t="shared" ca="1" si="81"/>
        <v>28</v>
      </c>
      <c r="K128" s="1">
        <f t="shared" ca="1" si="82"/>
        <v>2.5670222490857966</v>
      </c>
      <c r="L128" s="1">
        <f t="shared" ca="1" si="83"/>
        <v>8</v>
      </c>
      <c r="M128" s="1"/>
      <c r="N128" s="1">
        <f t="shared" ca="1" si="84"/>
        <v>15</v>
      </c>
      <c r="O128" s="1">
        <f t="shared" ca="1" si="85"/>
        <v>43</v>
      </c>
      <c r="P128" s="1"/>
      <c r="Q128" s="1">
        <f t="shared" ca="1" si="86"/>
        <v>2.0780812536985032</v>
      </c>
      <c r="R128" s="1">
        <f t="shared" ca="1" si="87"/>
        <v>216</v>
      </c>
      <c r="S128" s="1"/>
      <c r="T128" s="1">
        <f t="shared" ca="1" si="88"/>
        <v>0.10751590704150066</v>
      </c>
      <c r="U128" s="1">
        <f t="shared" ca="1" si="89"/>
        <v>295</v>
      </c>
      <c r="V128" s="1">
        <f t="shared" ca="1" si="90"/>
        <v>47</v>
      </c>
      <c r="W128" s="1"/>
      <c r="X128" s="1">
        <f t="shared" ca="1" si="91"/>
        <v>0.95487512588828904</v>
      </c>
      <c r="Y128" s="1">
        <f t="shared" ca="1" si="92"/>
        <v>0.1061220570072392</v>
      </c>
      <c r="Z128" s="1">
        <f t="shared" ca="1" si="93"/>
        <v>497</v>
      </c>
      <c r="AB128" s="1">
        <f t="shared" ca="1" si="94"/>
        <v>0.93367723202096176</v>
      </c>
      <c r="AC128" s="1">
        <f t="shared" ca="1" si="95"/>
        <v>555</v>
      </c>
      <c r="AD128" s="1">
        <f t="shared" ca="1" si="96"/>
        <v>6.4878938194130832E-3</v>
      </c>
      <c r="AE128" s="1"/>
      <c r="AF128" s="1">
        <f t="shared" ca="1" si="97"/>
        <v>0.37643848085609999</v>
      </c>
      <c r="AG128" s="1">
        <f t="shared" ca="1" si="98"/>
        <v>316</v>
      </c>
      <c r="AH128" s="1">
        <f t="shared" ca="1" si="99"/>
        <v>2.4426895437767737E-3</v>
      </c>
      <c r="AJ128" s="1">
        <f t="shared" ca="1" si="100"/>
        <v>0.55380682310426788</v>
      </c>
      <c r="AK128" s="1">
        <f t="shared" ca="1" si="101"/>
        <v>4.2729566386045387E-3</v>
      </c>
      <c r="AL128" s="1"/>
      <c r="AM128" s="1">
        <f t="shared" ca="1" si="102"/>
        <v>7.9769638498233902E-2</v>
      </c>
      <c r="AN128" s="1">
        <f t="shared" ca="1" si="103"/>
        <v>73</v>
      </c>
      <c r="AO128" s="1">
        <f t="shared" ca="1" si="104"/>
        <v>13</v>
      </c>
      <c r="AQ128" s="1">
        <f t="shared" ca="1" si="105"/>
        <v>110</v>
      </c>
      <c r="AR128" s="1">
        <f t="shared" ca="1" si="106"/>
        <v>7</v>
      </c>
      <c r="AS128" s="1">
        <f t="shared" ca="1" si="107"/>
        <v>46</v>
      </c>
      <c r="AU128" s="1">
        <f t="shared" ca="1" si="108"/>
        <v>69</v>
      </c>
      <c r="AV128" s="1">
        <f t="shared" ca="1" si="109"/>
        <v>6</v>
      </c>
      <c r="AW128" s="1">
        <f t="shared" ca="1" si="110"/>
        <v>0.12380393479654436</v>
      </c>
      <c r="AY128" s="1">
        <f t="shared" ca="1" si="111"/>
        <v>1.696716007420628</v>
      </c>
      <c r="AZ128" s="1">
        <f t="shared" ca="1" si="112"/>
        <v>100</v>
      </c>
      <c r="BA128" s="1">
        <f t="shared" ca="1" si="113"/>
        <v>5.9926355774862234E-3</v>
      </c>
      <c r="BG128" s="1">
        <f t="shared" ca="1" si="114"/>
        <v>0.45158069746976348</v>
      </c>
      <c r="BH128" s="1">
        <f t="shared" ca="1" si="115"/>
        <v>0.23944428237151905</v>
      </c>
      <c r="BI128" s="1">
        <f t="shared" ca="1" si="116"/>
        <v>324</v>
      </c>
      <c r="BV128" s="1">
        <f t="shared" ca="1" si="117"/>
        <v>0.24394284156334783</v>
      </c>
      <c r="BW128" s="1">
        <f t="shared" ca="1" si="118"/>
        <v>487</v>
      </c>
      <c r="BX128" s="1">
        <f t="shared" ca="1" si="119"/>
        <v>2.8280026636914204E-3</v>
      </c>
      <c r="BY128" s="1">
        <f t="shared" ca="1" si="120"/>
        <v>8.6173154728354198E-2</v>
      </c>
      <c r="BZ128" s="1">
        <f t="shared" ca="1" si="121"/>
        <v>0.85503411994550593</v>
      </c>
      <c r="CB128" s="1">
        <f t="shared" ca="1" si="122"/>
        <v>254</v>
      </c>
      <c r="CC128" s="1">
        <f t="shared" ca="1" si="123"/>
        <v>15</v>
      </c>
      <c r="CD128" s="1">
        <f t="shared" ca="1" si="124"/>
        <v>1.1166373191739855E-2</v>
      </c>
      <c r="CE128" s="1">
        <f t="shared" ca="1" si="146"/>
        <v>0.77055734065695713</v>
      </c>
      <c r="CF128" s="1">
        <f t="shared" ca="1" si="146"/>
        <v>0.60628488034475181</v>
      </c>
      <c r="CH128" s="3">
        <f t="shared" ca="1" si="126"/>
        <v>0.35067634105011602</v>
      </c>
      <c r="CI128" s="3">
        <f t="shared" ca="1" si="127"/>
        <v>0.35900305938114674</v>
      </c>
      <c r="CJ128" s="3">
        <f t="shared" ca="1" si="128"/>
        <v>1861</v>
      </c>
      <c r="CK128" s="3">
        <f t="shared" ca="1" si="129"/>
        <v>3.3737090761615062E-4</v>
      </c>
      <c r="CL128" s="3">
        <f t="shared" ca="1" si="130"/>
        <v>0</v>
      </c>
      <c r="CM128" s="3"/>
      <c r="CN128" s="1">
        <f t="shared" ca="1" si="131"/>
        <v>6.3963131145320142</v>
      </c>
      <c r="CO128" s="1">
        <f t="shared" ca="1" si="132"/>
        <v>8.8105582624723441E-2</v>
      </c>
      <c r="CP128" s="1">
        <f t="shared" ca="1" si="133"/>
        <v>3</v>
      </c>
      <c r="CV128" s="1">
        <f t="shared" ca="1" si="134"/>
        <v>3.5486690179413047</v>
      </c>
      <c r="CW128" s="1">
        <f t="shared" ca="1" si="135"/>
        <v>874</v>
      </c>
      <c r="CX128" s="1">
        <f t="shared" ca="1" si="136"/>
        <v>6.0600931286272806E-3</v>
      </c>
      <c r="DH128" s="1">
        <f t="shared" ca="1" si="137"/>
        <v>58</v>
      </c>
      <c r="DI128" s="1">
        <f t="shared" ca="1" si="138"/>
        <v>0.45180218154484103</v>
      </c>
      <c r="DJ128" s="1">
        <f t="shared" ca="1" si="139"/>
        <v>17</v>
      </c>
      <c r="DL128" s="1">
        <f t="shared" ca="1" si="140"/>
        <v>0.12978704408418637</v>
      </c>
      <c r="DM128" s="1">
        <f t="shared" ca="1" si="141"/>
        <v>281</v>
      </c>
      <c r="DN128" s="1">
        <f t="shared" ca="1" si="142"/>
        <v>10</v>
      </c>
      <c r="DW128" s="1">
        <f t="shared" ca="1" si="143"/>
        <v>153</v>
      </c>
      <c r="DX128" s="1">
        <f t="shared" ca="1" si="144"/>
        <v>10</v>
      </c>
      <c r="DY128" s="1">
        <f t="shared" ca="1" si="145"/>
        <v>16</v>
      </c>
    </row>
    <row r="129" spans="2:129" x14ac:dyDescent="0.25">
      <c r="B129">
        <f t="shared" ca="1" si="75"/>
        <v>43</v>
      </c>
      <c r="C129">
        <f t="shared" ca="1" si="76"/>
        <v>24</v>
      </c>
      <c r="D129">
        <f t="shared" ca="1" si="77"/>
        <v>0.1542752883363728</v>
      </c>
      <c r="F129" s="1">
        <f t="shared" ca="1" si="78"/>
        <v>31</v>
      </c>
      <c r="G129" s="1">
        <f t="shared" ca="1" si="79"/>
        <v>17</v>
      </c>
      <c r="H129" s="1">
        <f t="shared" ca="1" si="80"/>
        <v>11</v>
      </c>
      <c r="I129" s="1"/>
      <c r="J129" s="1">
        <f t="shared" ca="1" si="81"/>
        <v>29</v>
      </c>
      <c r="K129" s="1">
        <f t="shared" ca="1" si="82"/>
        <v>1.9692746308615094</v>
      </c>
      <c r="L129" s="1">
        <f t="shared" ca="1" si="83"/>
        <v>34</v>
      </c>
      <c r="M129" s="1"/>
      <c r="N129" s="1">
        <f t="shared" ca="1" si="84"/>
        <v>448</v>
      </c>
      <c r="O129" s="1">
        <f t="shared" ca="1" si="85"/>
        <v>11</v>
      </c>
      <c r="P129" s="1"/>
      <c r="Q129" s="1">
        <f t="shared" ca="1" si="86"/>
        <v>2.9122399330040869</v>
      </c>
      <c r="R129" s="1">
        <f t="shared" ca="1" si="87"/>
        <v>537</v>
      </c>
      <c r="S129" s="1"/>
      <c r="T129" s="1">
        <f t="shared" ca="1" si="88"/>
        <v>3.4455813869508779E-2</v>
      </c>
      <c r="U129" s="1">
        <f t="shared" ca="1" si="89"/>
        <v>113</v>
      </c>
      <c r="V129" s="1">
        <f t="shared" ca="1" si="90"/>
        <v>38</v>
      </c>
      <c r="W129" s="1"/>
      <c r="X129" s="1">
        <f t="shared" ca="1" si="91"/>
        <v>5.5348286355897782</v>
      </c>
      <c r="Y129" s="1">
        <f t="shared" ca="1" si="92"/>
        <v>9.8655281149835614E-2</v>
      </c>
      <c r="Z129" s="1">
        <f t="shared" ca="1" si="93"/>
        <v>1132</v>
      </c>
      <c r="AB129" s="1">
        <f t="shared" ca="1" si="94"/>
        <v>0.32325128055726249</v>
      </c>
      <c r="AC129" s="1">
        <f t="shared" ca="1" si="95"/>
        <v>475</v>
      </c>
      <c r="AD129" s="1">
        <f t="shared" ca="1" si="96"/>
        <v>5.3465612219071625E-3</v>
      </c>
      <c r="AE129" s="1"/>
      <c r="AF129" s="1">
        <f t="shared" ca="1" si="97"/>
        <v>0.45476995921604046</v>
      </c>
      <c r="AG129" s="1">
        <f t="shared" ca="1" si="98"/>
        <v>902</v>
      </c>
      <c r="AH129" s="1">
        <f t="shared" ca="1" si="99"/>
        <v>4.944492066043491E-3</v>
      </c>
      <c r="AJ129" s="1">
        <f t="shared" ca="1" si="100"/>
        <v>0.49548319183515999</v>
      </c>
      <c r="AK129" s="1">
        <f t="shared" ca="1" si="101"/>
        <v>5.6396281283285898E-3</v>
      </c>
      <c r="AL129" s="1"/>
      <c r="AM129" s="1">
        <f t="shared" ca="1" si="102"/>
        <v>0.1905551834227954</v>
      </c>
      <c r="AN129" s="1">
        <f t="shared" ca="1" si="103"/>
        <v>58</v>
      </c>
      <c r="AO129" s="1">
        <f t="shared" ca="1" si="104"/>
        <v>6</v>
      </c>
      <c r="AQ129" s="1">
        <f t="shared" ca="1" si="105"/>
        <v>157</v>
      </c>
      <c r="AR129" s="1">
        <f t="shared" ca="1" si="106"/>
        <v>6</v>
      </c>
      <c r="AS129" s="1">
        <f t="shared" ca="1" si="107"/>
        <v>66</v>
      </c>
      <c r="AU129" s="1">
        <f t="shared" ca="1" si="108"/>
        <v>119</v>
      </c>
      <c r="AV129" s="1">
        <f t="shared" ca="1" si="109"/>
        <v>4</v>
      </c>
      <c r="AW129" s="1">
        <f t="shared" ca="1" si="110"/>
        <v>0.14322603394687447</v>
      </c>
      <c r="AY129" s="1">
        <f t="shared" ca="1" si="111"/>
        <v>1.532553437888875</v>
      </c>
      <c r="AZ129" s="1">
        <f t="shared" ca="1" si="112"/>
        <v>106</v>
      </c>
      <c r="BA129" s="1">
        <f t="shared" ca="1" si="113"/>
        <v>2.051109107881983E-3</v>
      </c>
      <c r="BG129" s="1">
        <f t="shared" ca="1" si="114"/>
        <v>0.38758833385440339</v>
      </c>
      <c r="BH129" s="1">
        <f t="shared" ca="1" si="115"/>
        <v>0.43760689843309397</v>
      </c>
      <c r="BI129" s="1">
        <f t="shared" ca="1" si="116"/>
        <v>500</v>
      </c>
      <c r="BV129" s="1">
        <f t="shared" ca="1" si="117"/>
        <v>0.21369623254577702</v>
      </c>
      <c r="BW129" s="1">
        <f t="shared" ca="1" si="118"/>
        <v>632</v>
      </c>
      <c r="BX129" s="1">
        <f t="shared" ca="1" si="119"/>
        <v>8.8045031507889802E-3</v>
      </c>
      <c r="BY129" s="1">
        <f t="shared" ca="1" si="120"/>
        <v>5.8293400595355274E-2</v>
      </c>
      <c r="BZ129" s="1">
        <f t="shared" ca="1" si="121"/>
        <v>0.76655417070667431</v>
      </c>
      <c r="CB129" s="1">
        <f t="shared" ca="1" si="122"/>
        <v>134</v>
      </c>
      <c r="CC129" s="1">
        <f t="shared" ca="1" si="123"/>
        <v>5</v>
      </c>
      <c r="CD129" s="1">
        <f t="shared" ca="1" si="124"/>
        <v>6.4820318903694232E-2</v>
      </c>
      <c r="CE129" s="1">
        <f t="shared" ca="1" si="146"/>
        <v>0.71619782714630542</v>
      </c>
      <c r="CF129" s="1">
        <f t="shared" ca="1" si="146"/>
        <v>0.82354835934595405</v>
      </c>
      <c r="CH129" s="3">
        <f t="shared" ca="1" si="126"/>
        <v>0.35946561478065148</v>
      </c>
      <c r="CI129" s="3">
        <f t="shared" ca="1" si="127"/>
        <v>0.85296973177879121</v>
      </c>
      <c r="CJ129" s="3">
        <f t="shared" ca="1" si="128"/>
        <v>608</v>
      </c>
      <c r="CK129" s="3">
        <f t="shared" ca="1" si="129"/>
        <v>2.8542054719192045E-3</v>
      </c>
      <c r="CL129" s="3">
        <f t="shared" ca="1" si="130"/>
        <v>0</v>
      </c>
      <c r="CM129" s="3"/>
      <c r="CN129" s="1">
        <f t="shared" ca="1" si="131"/>
        <v>3.575124514564918</v>
      </c>
      <c r="CO129" s="1">
        <f t="shared" ca="1" si="132"/>
        <v>0.44145339319998744</v>
      </c>
      <c r="CP129" s="1">
        <f t="shared" ca="1" si="133"/>
        <v>2</v>
      </c>
      <c r="CV129" s="1">
        <f t="shared" ca="1" si="134"/>
        <v>8.2492196647828759</v>
      </c>
      <c r="CW129" s="1">
        <f t="shared" ca="1" si="135"/>
        <v>479</v>
      </c>
      <c r="CX129" s="1">
        <f t="shared" ca="1" si="136"/>
        <v>4.5281153274041204E-3</v>
      </c>
      <c r="DH129" s="1">
        <f t="shared" ca="1" si="137"/>
        <v>729</v>
      </c>
      <c r="DI129" s="1">
        <f t="shared" ca="1" si="138"/>
        <v>0.17081122092020659</v>
      </c>
      <c r="DJ129" s="1">
        <f t="shared" ca="1" si="139"/>
        <v>21</v>
      </c>
      <c r="DL129" s="1">
        <f t="shared" ca="1" si="140"/>
        <v>4.4508655367068307E-2</v>
      </c>
      <c r="DM129" s="1">
        <f t="shared" ca="1" si="141"/>
        <v>70</v>
      </c>
      <c r="DN129" s="1">
        <f t="shared" ca="1" si="142"/>
        <v>4</v>
      </c>
      <c r="DW129" s="1">
        <f t="shared" ca="1" si="143"/>
        <v>385</v>
      </c>
      <c r="DX129" s="1">
        <f t="shared" ca="1" si="144"/>
        <v>13</v>
      </c>
      <c r="DY129" s="1">
        <f t="shared" ca="1" si="145"/>
        <v>16</v>
      </c>
    </row>
    <row r="130" spans="2:129" x14ac:dyDescent="0.25">
      <c r="B130">
        <f t="shared" ca="1" si="75"/>
        <v>881</v>
      </c>
      <c r="C130">
        <f t="shared" ca="1" si="76"/>
        <v>13</v>
      </c>
      <c r="D130">
        <f t="shared" ca="1" si="77"/>
        <v>4.5607155413184733E-2</v>
      </c>
      <c r="F130" s="1">
        <f t="shared" ca="1" si="78"/>
        <v>33</v>
      </c>
      <c r="G130" s="1">
        <f t="shared" ca="1" si="79"/>
        <v>12</v>
      </c>
      <c r="H130" s="1">
        <f t="shared" ca="1" si="80"/>
        <v>6</v>
      </c>
      <c r="I130" s="1"/>
      <c r="J130" s="1">
        <f t="shared" ca="1" si="81"/>
        <v>13</v>
      </c>
      <c r="K130" s="1">
        <f t="shared" ca="1" si="82"/>
        <v>1.1482145001867408</v>
      </c>
      <c r="L130" s="1">
        <f t="shared" ca="1" si="83"/>
        <v>14</v>
      </c>
      <c r="M130" s="1"/>
      <c r="N130" s="1">
        <f t="shared" ca="1" si="84"/>
        <v>550</v>
      </c>
      <c r="O130" s="1">
        <f t="shared" ca="1" si="85"/>
        <v>18</v>
      </c>
      <c r="P130" s="1"/>
      <c r="Q130" s="1">
        <f t="shared" ca="1" si="86"/>
        <v>3.601789076783839</v>
      </c>
      <c r="R130" s="1">
        <f t="shared" ca="1" si="87"/>
        <v>669</v>
      </c>
      <c r="S130" s="1"/>
      <c r="T130" s="1">
        <f t="shared" ca="1" si="88"/>
        <v>7.421384099010378E-2</v>
      </c>
      <c r="U130" s="1">
        <f t="shared" ca="1" si="89"/>
        <v>341</v>
      </c>
      <c r="V130" s="1">
        <f t="shared" ca="1" si="90"/>
        <v>21</v>
      </c>
      <c r="W130" s="1"/>
      <c r="X130" s="1">
        <f t="shared" ca="1" si="91"/>
        <v>4.4087342132627976</v>
      </c>
      <c r="Y130" s="1">
        <f t="shared" ca="1" si="92"/>
        <v>0.27795326063301551</v>
      </c>
      <c r="Z130" s="1">
        <f t="shared" ca="1" si="93"/>
        <v>1069</v>
      </c>
      <c r="AB130" s="1">
        <f t="shared" ca="1" si="94"/>
        <v>0.52112760381969681</v>
      </c>
      <c r="AC130" s="1">
        <f t="shared" ca="1" si="95"/>
        <v>751</v>
      </c>
      <c r="AD130" s="1">
        <f t="shared" ca="1" si="96"/>
        <v>7.1560575960392557E-4</v>
      </c>
      <c r="AE130" s="1"/>
      <c r="AF130" s="1">
        <f t="shared" ca="1" si="97"/>
        <v>0.38919437523894052</v>
      </c>
      <c r="AG130" s="1">
        <f t="shared" ca="1" si="98"/>
        <v>908</v>
      </c>
      <c r="AH130" s="1">
        <f t="shared" ca="1" si="99"/>
        <v>7.4462101412626196E-3</v>
      </c>
      <c r="AJ130" s="1">
        <f t="shared" ca="1" si="100"/>
        <v>0.51158729170293682</v>
      </c>
      <c r="AK130" s="1">
        <f t="shared" ca="1" si="101"/>
        <v>9.2250510837982823E-3</v>
      </c>
      <c r="AL130" s="1"/>
      <c r="AM130" s="1">
        <f t="shared" ca="1" si="102"/>
        <v>8.6488598317233212E-2</v>
      </c>
      <c r="AN130" s="1">
        <f t="shared" ca="1" si="103"/>
        <v>22</v>
      </c>
      <c r="AO130" s="1">
        <f t="shared" ca="1" si="104"/>
        <v>0</v>
      </c>
      <c r="AQ130" s="1">
        <f t="shared" ca="1" si="105"/>
        <v>160</v>
      </c>
      <c r="AR130" s="1">
        <f t="shared" ca="1" si="106"/>
        <v>4</v>
      </c>
      <c r="AS130" s="1">
        <f t="shared" ca="1" si="107"/>
        <v>62</v>
      </c>
      <c r="AU130" s="1">
        <f t="shared" ca="1" si="108"/>
        <v>207</v>
      </c>
      <c r="AV130" s="1">
        <f t="shared" ca="1" si="109"/>
        <v>3</v>
      </c>
      <c r="AW130" s="1">
        <f t="shared" ca="1" si="110"/>
        <v>0.19190526087877391</v>
      </c>
      <c r="AY130" s="1">
        <f t="shared" ca="1" si="111"/>
        <v>1.299285452137068</v>
      </c>
      <c r="AZ130" s="1">
        <f t="shared" ca="1" si="112"/>
        <v>289</v>
      </c>
      <c r="BA130" s="1">
        <f t="shared" ca="1" si="113"/>
        <v>9.2239250340734047E-3</v>
      </c>
      <c r="BG130" s="1">
        <f t="shared" ca="1" si="114"/>
        <v>0.77999917936923535</v>
      </c>
      <c r="BH130" s="1">
        <f t="shared" ca="1" si="115"/>
        <v>0.88564327785082941</v>
      </c>
      <c r="BI130" s="1">
        <f t="shared" ca="1" si="116"/>
        <v>901</v>
      </c>
      <c r="BV130" s="1">
        <f t="shared" ca="1" si="117"/>
        <v>0.21241509251445051</v>
      </c>
      <c r="BW130" s="1">
        <f t="shared" ca="1" si="118"/>
        <v>710</v>
      </c>
      <c r="BX130" s="1">
        <f t="shared" ca="1" si="119"/>
        <v>4.9675123691565104E-3</v>
      </c>
      <c r="BY130" s="1">
        <f t="shared" ca="1" si="120"/>
        <v>3.222840077086859E-4</v>
      </c>
      <c r="BZ130" s="1">
        <f t="shared" ca="1" si="121"/>
        <v>0.67701176841579191</v>
      </c>
      <c r="CB130" s="1">
        <f t="shared" ca="1" si="122"/>
        <v>457</v>
      </c>
      <c r="CC130" s="1">
        <f t="shared" ca="1" si="123"/>
        <v>13</v>
      </c>
      <c r="CD130" s="1">
        <f t="shared" ca="1" si="124"/>
        <v>0.23254915903638038</v>
      </c>
      <c r="CE130" s="1">
        <f t="shared" ca="1" si="146"/>
        <v>0.56156780658462746</v>
      </c>
      <c r="CF130" s="1">
        <f t="shared" ca="1" si="146"/>
        <v>0.63727708989647369</v>
      </c>
      <c r="CH130" s="3">
        <f t="shared" ca="1" si="126"/>
        <v>0.26083842710943334</v>
      </c>
      <c r="CI130" s="3">
        <f t="shared" ca="1" si="127"/>
        <v>0.23863830829066551</v>
      </c>
      <c r="CJ130" s="3">
        <f t="shared" ca="1" si="128"/>
        <v>1220</v>
      </c>
      <c r="CK130" s="3">
        <f t="shared" ca="1" si="129"/>
        <v>6.061550246806535E-3</v>
      </c>
      <c r="CL130" s="3">
        <f t="shared" ca="1" si="130"/>
        <v>1</v>
      </c>
      <c r="CM130" s="3"/>
      <c r="CN130" s="1">
        <f t="shared" ca="1" si="131"/>
        <v>5.9111527615416222</v>
      </c>
      <c r="CO130" s="1">
        <f t="shared" ca="1" si="132"/>
        <v>6.1596572850785646E-2</v>
      </c>
      <c r="CP130" s="1">
        <f t="shared" ca="1" si="133"/>
        <v>5</v>
      </c>
      <c r="CV130" s="1">
        <f t="shared" ca="1" si="134"/>
        <v>8.7766963641425555</v>
      </c>
      <c r="CW130" s="1">
        <f t="shared" ca="1" si="135"/>
        <v>1600</v>
      </c>
      <c r="CX130" s="1">
        <f t="shared" ca="1" si="136"/>
        <v>5.0835663758057731E-3</v>
      </c>
      <c r="DH130" s="1">
        <f t="shared" ca="1" si="137"/>
        <v>37</v>
      </c>
      <c r="DI130" s="1">
        <f t="shared" ca="1" si="138"/>
        <v>0.44121079318316381</v>
      </c>
      <c r="DJ130" s="1">
        <f t="shared" ca="1" si="139"/>
        <v>5</v>
      </c>
      <c r="DL130" s="1">
        <f t="shared" ca="1" si="140"/>
        <v>9.6749840364608444E-2</v>
      </c>
      <c r="DM130" s="1">
        <f t="shared" ca="1" si="141"/>
        <v>300</v>
      </c>
      <c r="DN130" s="1">
        <f t="shared" ca="1" si="142"/>
        <v>8</v>
      </c>
      <c r="DW130" s="1">
        <f t="shared" ca="1" si="143"/>
        <v>306</v>
      </c>
      <c r="DX130" s="1">
        <f t="shared" ca="1" si="144"/>
        <v>11</v>
      </c>
      <c r="DY130" s="1">
        <f t="shared" ca="1" si="145"/>
        <v>19</v>
      </c>
    </row>
    <row r="131" spans="2:129" x14ac:dyDescent="0.25">
      <c r="B131">
        <f t="shared" ca="1" si="75"/>
        <v>456</v>
      </c>
      <c r="C131">
        <f t="shared" ca="1" si="76"/>
        <v>13</v>
      </c>
      <c r="D131">
        <f t="shared" ca="1" si="77"/>
        <v>1.4681622804511438E-2</v>
      </c>
      <c r="F131" s="1">
        <f t="shared" ca="1" si="78"/>
        <v>45</v>
      </c>
      <c r="G131" s="1">
        <f t="shared" ca="1" si="79"/>
        <v>18</v>
      </c>
      <c r="H131" s="1">
        <f t="shared" ca="1" si="80"/>
        <v>4</v>
      </c>
      <c r="I131" s="1"/>
      <c r="J131" s="1">
        <f t="shared" ca="1" si="81"/>
        <v>22</v>
      </c>
      <c r="K131" s="1">
        <f t="shared" ca="1" si="82"/>
        <v>1.4435756108911784</v>
      </c>
      <c r="L131" s="1">
        <f t="shared" ca="1" si="83"/>
        <v>11</v>
      </c>
      <c r="M131" s="1"/>
      <c r="N131" s="1">
        <f t="shared" ca="1" si="84"/>
        <v>749</v>
      </c>
      <c r="O131" s="1">
        <f t="shared" ca="1" si="85"/>
        <v>43</v>
      </c>
      <c r="P131" s="1"/>
      <c r="Q131" s="1">
        <f t="shared" ca="1" si="86"/>
        <v>2.1027086980033576</v>
      </c>
      <c r="R131" s="1">
        <f t="shared" ca="1" si="87"/>
        <v>1139</v>
      </c>
      <c r="S131" s="1"/>
      <c r="T131" s="1">
        <f t="shared" ca="1" si="88"/>
        <v>0.11091184926523098</v>
      </c>
      <c r="U131" s="1">
        <f t="shared" ca="1" si="89"/>
        <v>305</v>
      </c>
      <c r="V131" s="1">
        <f t="shared" ca="1" si="90"/>
        <v>6</v>
      </c>
      <c r="W131" s="1"/>
      <c r="X131" s="1">
        <f t="shared" ca="1" si="91"/>
        <v>0.33856683324333481</v>
      </c>
      <c r="Y131" s="1">
        <f t="shared" ca="1" si="92"/>
        <v>4.9740154062463203E-2</v>
      </c>
      <c r="Z131" s="1">
        <f t="shared" ca="1" si="93"/>
        <v>339</v>
      </c>
      <c r="AB131" s="1">
        <f t="shared" ca="1" si="94"/>
        <v>0.71146688441938422</v>
      </c>
      <c r="AC131" s="1">
        <f t="shared" ca="1" si="95"/>
        <v>734</v>
      </c>
      <c r="AD131" s="1">
        <f t="shared" ca="1" si="96"/>
        <v>2.1810015211142187E-3</v>
      </c>
      <c r="AE131" s="1"/>
      <c r="AF131" s="1">
        <f t="shared" ca="1" si="97"/>
        <v>0.34668660301042503</v>
      </c>
      <c r="AG131" s="1">
        <f t="shared" ca="1" si="98"/>
        <v>308</v>
      </c>
      <c r="AH131" s="1">
        <f t="shared" ca="1" si="99"/>
        <v>1.8569818158249739E-4</v>
      </c>
      <c r="AJ131" s="1">
        <f t="shared" ca="1" si="100"/>
        <v>0.5269202558034024</v>
      </c>
      <c r="AK131" s="1">
        <f t="shared" ca="1" si="101"/>
        <v>1.7638383959200871E-3</v>
      </c>
      <c r="AL131" s="1"/>
      <c r="AM131" s="1">
        <f t="shared" ca="1" si="102"/>
        <v>0.15604267675684946</v>
      </c>
      <c r="AN131" s="1">
        <f t="shared" ca="1" si="103"/>
        <v>22</v>
      </c>
      <c r="AO131" s="1">
        <f t="shared" ca="1" si="104"/>
        <v>15</v>
      </c>
      <c r="AQ131" s="1">
        <f t="shared" ca="1" si="105"/>
        <v>196</v>
      </c>
      <c r="AR131" s="1">
        <f t="shared" ca="1" si="106"/>
        <v>3</v>
      </c>
      <c r="AS131" s="1">
        <f t="shared" ca="1" si="107"/>
        <v>85</v>
      </c>
      <c r="AU131" s="1">
        <f t="shared" ca="1" si="108"/>
        <v>66</v>
      </c>
      <c r="AV131" s="1">
        <f t="shared" ca="1" si="109"/>
        <v>7</v>
      </c>
      <c r="AW131" s="1">
        <f t="shared" ca="1" si="110"/>
        <v>7.4834768358447878E-2</v>
      </c>
      <c r="AY131" s="1">
        <f t="shared" ca="1" si="111"/>
        <v>1.5816526744451684</v>
      </c>
      <c r="AZ131" s="1">
        <f t="shared" ca="1" si="112"/>
        <v>343</v>
      </c>
      <c r="BA131" s="1">
        <f t="shared" ca="1" si="113"/>
        <v>7.9375711027641557E-3</v>
      </c>
      <c r="BG131" s="1">
        <f t="shared" ca="1" si="114"/>
        <v>0.98056513964086378</v>
      </c>
      <c r="BH131" s="1">
        <f t="shared" ca="1" si="115"/>
        <v>0.79675530543883877</v>
      </c>
      <c r="BI131" s="1">
        <f t="shared" ca="1" si="116"/>
        <v>832</v>
      </c>
      <c r="BV131" s="1">
        <f t="shared" ca="1" si="117"/>
        <v>0.25855832081798064</v>
      </c>
      <c r="BW131" s="1">
        <f t="shared" ca="1" si="118"/>
        <v>873</v>
      </c>
      <c r="BX131" s="1">
        <f t="shared" ca="1" si="119"/>
        <v>7.6467343726121352E-3</v>
      </c>
      <c r="BY131" s="1">
        <f t="shared" ca="1" si="120"/>
        <v>7.7076160929861526E-2</v>
      </c>
      <c r="BZ131" s="1">
        <f t="shared" ca="1" si="121"/>
        <v>0.79246378700536491</v>
      </c>
      <c r="CB131" s="1">
        <f t="shared" ca="1" si="122"/>
        <v>154</v>
      </c>
      <c r="CC131" s="1">
        <f t="shared" ca="1" si="123"/>
        <v>14</v>
      </c>
      <c r="CD131" s="1">
        <f t="shared" ca="1" si="124"/>
        <v>0.13453341229644233</v>
      </c>
      <c r="CE131" s="1">
        <f t="shared" ca="1" si="146"/>
        <v>0.50744543886217286</v>
      </c>
      <c r="CF131" s="1">
        <f t="shared" ca="1" si="146"/>
        <v>0.59554573351793705</v>
      </c>
      <c r="CH131" s="3">
        <f t="shared" ca="1" si="126"/>
        <v>0.68401064078292984</v>
      </c>
      <c r="CI131" s="3">
        <f t="shared" ca="1" si="127"/>
        <v>0.62355286548271294</v>
      </c>
      <c r="CJ131" s="3">
        <f t="shared" ca="1" si="128"/>
        <v>1741</v>
      </c>
      <c r="CK131" s="3">
        <f t="shared" ca="1" si="129"/>
        <v>7.8472957294602045E-4</v>
      </c>
      <c r="CL131" s="3">
        <f t="shared" ca="1" si="130"/>
        <v>0</v>
      </c>
      <c r="CM131" s="3"/>
      <c r="CN131" s="1">
        <f t="shared" ca="1" si="131"/>
        <v>15.056598986071746</v>
      </c>
      <c r="CO131" s="1">
        <f t="shared" ca="1" si="132"/>
        <v>0.12699862847258425</v>
      </c>
      <c r="CP131" s="1">
        <f t="shared" ca="1" si="133"/>
        <v>5</v>
      </c>
      <c r="CV131" s="1">
        <f t="shared" ca="1" si="134"/>
        <v>6.821664089931665</v>
      </c>
      <c r="CW131" s="1">
        <f t="shared" ca="1" si="135"/>
        <v>1077</v>
      </c>
      <c r="CX131" s="1">
        <f t="shared" ca="1" si="136"/>
        <v>7.6672355750227635E-3</v>
      </c>
      <c r="DH131" s="1">
        <f t="shared" ca="1" si="137"/>
        <v>657</v>
      </c>
      <c r="DI131" s="1">
        <f t="shared" ca="1" si="138"/>
        <v>9.2969475246691149E-2</v>
      </c>
      <c r="DJ131" s="1">
        <f t="shared" ca="1" si="139"/>
        <v>15</v>
      </c>
      <c r="DL131" s="1">
        <f t="shared" ca="1" si="140"/>
        <v>0.13632524405818958</v>
      </c>
      <c r="DM131" s="1">
        <f t="shared" ca="1" si="141"/>
        <v>144</v>
      </c>
      <c r="DN131" s="1">
        <f t="shared" ca="1" si="142"/>
        <v>8</v>
      </c>
      <c r="DW131" s="1">
        <f t="shared" ca="1" si="143"/>
        <v>335</v>
      </c>
      <c r="DX131" s="1">
        <f t="shared" ca="1" si="144"/>
        <v>12</v>
      </c>
      <c r="DY131" s="1">
        <f t="shared" ca="1" si="145"/>
        <v>18</v>
      </c>
    </row>
    <row r="132" spans="2:129" x14ac:dyDescent="0.25">
      <c r="B132">
        <f t="shared" ref="B132:B195" ca="1" si="147">RANDBETWEEN(15,1000)</f>
        <v>738</v>
      </c>
      <c r="C132">
        <f t="shared" ref="C132:C195" ca="1" si="148">RANDBETWEEN(2,52)</f>
        <v>20</v>
      </c>
      <c r="D132">
        <f t="shared" ref="D132:D195" ca="1" si="149">RAND()*(0.3-0.01)+0.01</f>
        <v>0.2467613734596803</v>
      </c>
      <c r="F132" s="1">
        <f t="shared" ref="F132:F195" ca="1" si="150">RANDBETWEEN(2,52)</f>
        <v>36</v>
      </c>
      <c r="G132" s="1">
        <f t="shared" ref="G132:G195" ca="1" si="151">RANDBETWEEN(2,30)</f>
        <v>4</v>
      </c>
      <c r="H132" s="1">
        <f t="shared" ref="H132:H195" ca="1" si="152">RANDBETWEEN(1,15)</f>
        <v>9</v>
      </c>
      <c r="I132" s="1"/>
      <c r="J132" s="1">
        <f t="shared" ref="J132:J195" ca="1" si="153">RANDBETWEEN(1,39)</f>
        <v>35</v>
      </c>
      <c r="K132" s="1">
        <f t="shared" ref="K132:K195" ca="1" si="154">RAND()*(3-1)+1</f>
        <v>1.0475239714387135</v>
      </c>
      <c r="L132" s="1">
        <f t="shared" ref="L132:L195" ca="1" si="155">RANDBETWEEN(2,35)</f>
        <v>31</v>
      </c>
      <c r="M132" s="1"/>
      <c r="N132" s="1">
        <f t="shared" ref="N132:N195" ca="1" si="156">RANDBETWEEN(15,1000)</f>
        <v>670</v>
      </c>
      <c r="O132" s="1">
        <f t="shared" ref="O132:O195" ca="1" si="157">RANDBETWEEN(2,52)</f>
        <v>21</v>
      </c>
      <c r="P132" s="1"/>
      <c r="Q132" s="1">
        <f t="shared" ref="Q132:Q195" ca="1" si="158">RAND()*(5-0.01)+0.01</f>
        <v>4.0438963892930744</v>
      </c>
      <c r="R132" s="1">
        <f t="shared" ref="R132:R195" ca="1" si="159">RANDBETWEEN(200,1200)</f>
        <v>242</v>
      </c>
      <c r="S132" s="1"/>
      <c r="T132" s="1">
        <f t="shared" ref="T132:T195" ca="1" si="160">RAND()*(0.2-0.01)+0.01</f>
        <v>0.10390304062755218</v>
      </c>
      <c r="U132" s="1">
        <f t="shared" ref="U132:U195" ca="1" si="161">RANDBETWEEN(50,450)</f>
        <v>314</v>
      </c>
      <c r="V132" s="1">
        <f t="shared" ref="V132:V195" ca="1" si="162">RANDBETWEEN(2,52)</f>
        <v>25</v>
      </c>
      <c r="W132" s="1"/>
      <c r="X132" s="1">
        <f t="shared" ref="X132:X195" ca="1" si="163">RAND()*(10-0.01)+0.01</f>
        <v>2.4548533201234606</v>
      </c>
      <c r="Y132" s="1">
        <f t="shared" ref="Y132:Y195" ca="1" si="164">RAND()*(1-0.0001)+0.0001</f>
        <v>0.18333350523352268</v>
      </c>
      <c r="Z132" s="1">
        <f t="shared" ref="Z132:Z195" ca="1" si="165">RANDBETWEEN(100,2000)</f>
        <v>682</v>
      </c>
      <c r="AB132" s="1">
        <f t="shared" ref="AB132:AB195" ca="1" si="166">RAND()*(1-0.0001)+0.0001</f>
        <v>0.65559033165811464</v>
      </c>
      <c r="AC132" s="1">
        <f t="shared" ref="AC132:AC195" ca="1" si="167">RANDBETWEEN(100,1000)</f>
        <v>792</v>
      </c>
      <c r="AD132" s="1">
        <f t="shared" ref="AD132:AD195" ca="1" si="168">RAND()*(0.01-0.00001)+0.00001</f>
        <v>5.8988076384072392E-3</v>
      </c>
      <c r="AE132" s="1"/>
      <c r="AF132" s="1">
        <f t="shared" ref="AF132:AF195" ca="1" si="169">RAND()*(0.9-0.1)+0.1</f>
        <v>0.76737211291318497</v>
      </c>
      <c r="AG132" s="1">
        <f t="shared" ref="AG132:AG195" ca="1" si="170">RANDBETWEEN(100,1000)</f>
        <v>975</v>
      </c>
      <c r="AH132" s="1">
        <f t="shared" ref="AH132:AH195" ca="1" si="171">RAND()*(0.01-0.00001)+0.00001</f>
        <v>1.8978619889182793E-3</v>
      </c>
      <c r="AJ132" s="1">
        <f t="shared" ref="AJ132:AJ195" ca="1" si="172">RAND()*(1-0)+0</f>
        <v>0.28778169109252039</v>
      </c>
      <c r="AK132" s="1">
        <f t="shared" ref="AK132:AK195" ca="1" si="173">RAND()*(0.01-0.00001)+0.00001</f>
        <v>6.9952712127570505E-5</v>
      </c>
      <c r="AL132" s="1"/>
      <c r="AM132" s="1">
        <f t="shared" ref="AM132:AM195" ca="1" si="174">RAND()*(0.2-0.005)+0.005</f>
        <v>0.14504918154966875</v>
      </c>
      <c r="AN132" s="1">
        <f t="shared" ref="AN132:AN195" ca="1" si="175">RANDBETWEEN(10,80)</f>
        <v>45</v>
      </c>
      <c r="AO132" s="1">
        <f t="shared" ref="AO132:AO195" ca="1" si="176">RANDBETWEEN(-1,20)</f>
        <v>13</v>
      </c>
      <c r="AQ132" s="1">
        <f t="shared" ref="AQ132:AQ195" ca="1" si="177">RANDBETWEEN(10,200)</f>
        <v>51</v>
      </c>
      <c r="AR132" s="1">
        <f t="shared" ref="AR132:AR195" ca="1" si="178">RANDBETWEEN(0,10)</f>
        <v>9</v>
      </c>
      <c r="AS132" s="1">
        <f t="shared" ref="AS132:AS195" ca="1" si="179">RANDBETWEEN(1,100)</f>
        <v>33</v>
      </c>
      <c r="AU132" s="1">
        <f t="shared" ref="AU132:AU195" ca="1" si="180">RANDBETWEEN(50,400)</f>
        <v>136</v>
      </c>
      <c r="AV132" s="1">
        <f t="shared" ref="AV132:AV195" ca="1" si="181">RANDBETWEEN(2,10)</f>
        <v>8</v>
      </c>
      <c r="AW132" s="1">
        <f t="shared" ref="AW132:AW195" ca="1" si="182">RAND()*(0.2-0.01)+0.01</f>
        <v>5.4230276217195214E-2</v>
      </c>
      <c r="AY132" s="1">
        <f t="shared" ref="AY132:AY195" ca="1" si="183">RAND()*(2-1.1)+1.1</f>
        <v>1.344228621894014</v>
      </c>
      <c r="AZ132" s="1">
        <f t="shared" ref="AZ132:AZ195" ca="1" si="184">RANDBETWEEN(50,500)</f>
        <v>137</v>
      </c>
      <c r="BA132" s="1">
        <f t="shared" ref="BA132:BA195" ca="1" si="185">RAND()*(0.01-0.00001)+0.00001</f>
        <v>6.7008264392611223E-3</v>
      </c>
      <c r="BG132" s="1">
        <f t="shared" ref="BG132:BG195" ca="1" si="186">RAND()*(1-0.0001)+0.0001</f>
        <v>0.71104584192263376</v>
      </c>
      <c r="BH132" s="1">
        <f t="shared" ref="BH132:BH195" ca="1" si="187">RAND()*(1-0)+0</f>
        <v>0.23722568720194159</v>
      </c>
      <c r="BI132" s="1">
        <f t="shared" ref="BI132:BI195" ca="1" si="188">RANDBETWEEN(100,1000)</f>
        <v>682</v>
      </c>
      <c r="BV132" s="1">
        <f t="shared" ref="BV132:BV195" ca="1" si="189">RAND()*(1-0.0001)+0.0001</f>
        <v>0.44550462081285674</v>
      </c>
      <c r="BW132" s="1">
        <f t="shared" ref="BW132:BW195" ca="1" si="190">RANDBETWEEN(100,1000)</f>
        <v>221</v>
      </c>
      <c r="BX132" s="1">
        <f t="shared" ref="BX132:BX195" ca="1" si="191">RAND()*(0.01-0.00001)+0.00001</f>
        <v>2.3467549194003848E-3</v>
      </c>
      <c r="BY132" s="1">
        <f t="shared" ref="BY132:BY195" ca="1" si="192">RAND()*(0.1-0.0001)+0.0001</f>
        <v>9.2946659084007482E-2</v>
      </c>
      <c r="BZ132" s="1">
        <f t="shared" ref="BZ132:BZ195" ca="1" si="193">RAND()*(1-0)+0</f>
        <v>0.38827074374657222</v>
      </c>
      <c r="CB132" s="1">
        <f t="shared" ref="CB132:CB195" ca="1" si="194">RANDBETWEEN(50,500)</f>
        <v>253</v>
      </c>
      <c r="CC132" s="1">
        <f t="shared" ref="CC132:CC195" ca="1" si="195">RANDBETWEEN(3,15)</f>
        <v>4</v>
      </c>
      <c r="CD132" s="1">
        <f t="shared" ref="CD132:CD195" ca="1" si="196">RAND()*(0.3-0.01)+0.01</f>
        <v>2.9976886545008762E-2</v>
      </c>
      <c r="CE132" s="1">
        <f t="shared" ref="CE132:CF163" ca="1" si="197">RAND()*(1-0.5)+0.5</f>
        <v>0.7816683835944318</v>
      </c>
      <c r="CF132" s="1">
        <f t="shared" ca="1" si="197"/>
        <v>0.52275982635758944</v>
      </c>
      <c r="CH132" s="3">
        <f t="shared" ref="CH132:CH195" ca="1" si="198">RAND()*(1-0.0001)+0.0001</f>
        <v>0.55015555382516601</v>
      </c>
      <c r="CI132" s="3">
        <f t="shared" ref="CI132:CI195" ca="1" si="199">RAND()*(0.99-0.01)+0.01</f>
        <v>0.45962521936205997</v>
      </c>
      <c r="CJ132" s="3">
        <f t="shared" ref="CJ132:CJ195" ca="1" si="200">RANDBETWEEN(100,2000)</f>
        <v>1688</v>
      </c>
      <c r="CK132" s="3">
        <f t="shared" ref="CK132:CK195" ca="1" si="201">RAND()*(0.01-0.000001)+0.000001</f>
        <v>9.1650995133632212E-3</v>
      </c>
      <c r="CL132" s="3">
        <f t="shared" ref="CL132:CL195" ca="1" si="202">RANDBETWEEN(0,1)</f>
        <v>0</v>
      </c>
      <c r="CM132" s="3"/>
      <c r="CN132" s="1">
        <f t="shared" ref="CN132:CN195" ca="1" si="203">RAND()*(20-0.1)+0.1</f>
        <v>10.940975921563162</v>
      </c>
      <c r="CO132" s="1">
        <f t="shared" ref="CO132:CO195" ca="1" si="204">RAND()*(0.5-0.001)+0.001</f>
        <v>0.35338047847352483</v>
      </c>
      <c r="CP132" s="1">
        <f t="shared" ref="CP132:CP195" ca="1" si="205">RANDBETWEEN(1,5)</f>
        <v>3</v>
      </c>
      <c r="CV132" s="1">
        <f t="shared" ref="CV132:CV195" ca="1" si="206">RAND()*(10-0.0001)+0.0001</f>
        <v>9.5627705898550666</v>
      </c>
      <c r="CW132" s="1">
        <f t="shared" ref="CW132:CW195" ca="1" si="207">RANDBETWEEN(100,2000)</f>
        <v>894</v>
      </c>
      <c r="CX132" s="1">
        <f t="shared" ref="CX132:CX195" ca="1" si="208">RAND()*(0.01-0.000001)+0.000001</f>
        <v>6.7518699466132693E-3</v>
      </c>
      <c r="DH132" s="1">
        <f t="shared" ref="DH132:DH195" ca="1" si="209">RANDBETWEEN(10,900)</f>
        <v>489</v>
      </c>
      <c r="DI132" s="1">
        <f t="shared" ref="DI132:DI195" ca="1" si="210">RAND()*(1-0.001)+0.001</f>
        <v>0.12170689003411719</v>
      </c>
      <c r="DJ132" s="1">
        <f t="shared" ref="DJ132:DJ195" ca="1" si="211">RANDBETWEEN(1,30)</f>
        <v>27</v>
      </c>
      <c r="DL132" s="1">
        <f t="shared" ref="DL132:DL195" ca="1" si="212">RAND()*(0.2-0.01)+0.01</f>
        <v>0.19148274327672135</v>
      </c>
      <c r="DM132" s="1">
        <f t="shared" ref="DM132:DM195" ca="1" si="213">RANDBETWEEN(50,300)</f>
        <v>238</v>
      </c>
      <c r="DN132" s="1">
        <f t="shared" ref="DN132:DN195" ca="1" si="214">RANDBETWEEN(1,10)</f>
        <v>8</v>
      </c>
      <c r="DW132" s="1">
        <f t="shared" ref="DW132:DW195" ca="1" si="215">RANDBETWEEN(50,500)</f>
        <v>254</v>
      </c>
      <c r="DX132" s="1">
        <f t="shared" ref="DX132:DX195" ca="1" si="216">RANDBETWEEN(3,20)</f>
        <v>5</v>
      </c>
      <c r="DY132" s="1">
        <f t="shared" ref="DY132:DY195" ca="1" si="217">RANDBETWEEN(2,20)</f>
        <v>12</v>
      </c>
    </row>
    <row r="133" spans="2:129" x14ac:dyDescent="0.25">
      <c r="B133">
        <f t="shared" ca="1" si="147"/>
        <v>107</v>
      </c>
      <c r="C133">
        <f t="shared" ca="1" si="148"/>
        <v>10</v>
      </c>
      <c r="D133">
        <f t="shared" ca="1" si="149"/>
        <v>0.12804191481811852</v>
      </c>
      <c r="F133" s="1">
        <f t="shared" ca="1" si="150"/>
        <v>29</v>
      </c>
      <c r="G133" s="1">
        <f t="shared" ca="1" si="151"/>
        <v>8</v>
      </c>
      <c r="H133" s="1">
        <f t="shared" ca="1" si="152"/>
        <v>14</v>
      </c>
      <c r="I133" s="1"/>
      <c r="J133" s="1">
        <f t="shared" ca="1" si="153"/>
        <v>3</v>
      </c>
      <c r="K133" s="1">
        <f t="shared" ca="1" si="154"/>
        <v>2.3180911177413126</v>
      </c>
      <c r="L133" s="1">
        <f t="shared" ca="1" si="155"/>
        <v>16</v>
      </c>
      <c r="M133" s="1"/>
      <c r="N133" s="1">
        <f t="shared" ca="1" si="156"/>
        <v>422</v>
      </c>
      <c r="O133" s="1">
        <f t="shared" ca="1" si="157"/>
        <v>11</v>
      </c>
      <c r="P133" s="1"/>
      <c r="Q133" s="1">
        <f t="shared" ca="1" si="158"/>
        <v>0.32868234280873199</v>
      </c>
      <c r="R133" s="1">
        <f t="shared" ca="1" si="159"/>
        <v>252</v>
      </c>
      <c r="S133" s="1"/>
      <c r="T133" s="1">
        <f t="shared" ca="1" si="160"/>
        <v>0.15404542470281063</v>
      </c>
      <c r="U133" s="1">
        <f t="shared" ca="1" si="161"/>
        <v>392</v>
      </c>
      <c r="V133" s="1">
        <f t="shared" ca="1" si="162"/>
        <v>16</v>
      </c>
      <c r="W133" s="1"/>
      <c r="X133" s="1">
        <f t="shared" ca="1" si="163"/>
        <v>0.11555827316000421</v>
      </c>
      <c r="Y133" s="1">
        <f t="shared" ca="1" si="164"/>
        <v>0.64353965987067085</v>
      </c>
      <c r="Z133" s="1">
        <f t="shared" ca="1" si="165"/>
        <v>1595</v>
      </c>
      <c r="AB133" s="1">
        <f t="shared" ca="1" si="166"/>
        <v>0.86114724394130759</v>
      </c>
      <c r="AC133" s="1">
        <f t="shared" ca="1" si="167"/>
        <v>112</v>
      </c>
      <c r="AD133" s="1">
        <f t="shared" ca="1" si="168"/>
        <v>9.8980108239076874E-3</v>
      </c>
      <c r="AE133" s="1"/>
      <c r="AF133" s="1">
        <f t="shared" ca="1" si="169"/>
        <v>0.12088944007311318</v>
      </c>
      <c r="AG133" s="1">
        <f t="shared" ca="1" si="170"/>
        <v>350</v>
      </c>
      <c r="AH133" s="1">
        <f t="shared" ca="1" si="171"/>
        <v>6.2438972913309576E-3</v>
      </c>
      <c r="AJ133" s="1">
        <f t="shared" ca="1" si="172"/>
        <v>0.47846814202534615</v>
      </c>
      <c r="AK133" s="1">
        <f t="shared" ca="1" si="173"/>
        <v>2.1618865893301368E-3</v>
      </c>
      <c r="AL133" s="1"/>
      <c r="AM133" s="1">
        <f t="shared" ca="1" si="174"/>
        <v>0.12167182503814897</v>
      </c>
      <c r="AN133" s="1">
        <f t="shared" ca="1" si="175"/>
        <v>54</v>
      </c>
      <c r="AO133" s="1">
        <f t="shared" ca="1" si="176"/>
        <v>6</v>
      </c>
      <c r="AQ133" s="1">
        <f t="shared" ca="1" si="177"/>
        <v>28</v>
      </c>
      <c r="AR133" s="1">
        <f t="shared" ca="1" si="178"/>
        <v>8</v>
      </c>
      <c r="AS133" s="1">
        <f t="shared" ca="1" si="179"/>
        <v>36</v>
      </c>
      <c r="AU133" s="1">
        <f t="shared" ca="1" si="180"/>
        <v>374</v>
      </c>
      <c r="AV133" s="1">
        <f t="shared" ca="1" si="181"/>
        <v>6</v>
      </c>
      <c r="AW133" s="1">
        <f t="shared" ca="1" si="182"/>
        <v>5.6490468531306903E-2</v>
      </c>
      <c r="AY133" s="1">
        <f t="shared" ca="1" si="183"/>
        <v>1.6569097310584759</v>
      </c>
      <c r="AZ133" s="1">
        <f t="shared" ca="1" si="184"/>
        <v>145</v>
      </c>
      <c r="BA133" s="1">
        <f t="shared" ca="1" si="185"/>
        <v>3.087808480142839E-5</v>
      </c>
      <c r="BG133" s="1">
        <f t="shared" ca="1" si="186"/>
        <v>0.17313410492280326</v>
      </c>
      <c r="BH133" s="1">
        <f t="shared" ca="1" si="187"/>
        <v>0.97845910317995621</v>
      </c>
      <c r="BI133" s="1">
        <f t="shared" ca="1" si="188"/>
        <v>482</v>
      </c>
      <c r="BV133" s="1">
        <f t="shared" ca="1" si="189"/>
        <v>0.12212691857494579</v>
      </c>
      <c r="BW133" s="1">
        <f t="shared" ca="1" si="190"/>
        <v>609</v>
      </c>
      <c r="BX133" s="1">
        <f t="shared" ca="1" si="191"/>
        <v>8.9772259626319413E-3</v>
      </c>
      <c r="BY133" s="1">
        <f t="shared" ca="1" si="192"/>
        <v>3.877990298473627E-2</v>
      </c>
      <c r="BZ133" s="1">
        <f t="shared" ca="1" si="193"/>
        <v>0.39128046632446201</v>
      </c>
      <c r="CB133" s="1">
        <f t="shared" ca="1" si="194"/>
        <v>472</v>
      </c>
      <c r="CC133" s="1">
        <f t="shared" ca="1" si="195"/>
        <v>15</v>
      </c>
      <c r="CD133" s="1">
        <f t="shared" ca="1" si="196"/>
        <v>0.22013372267495349</v>
      </c>
      <c r="CE133" s="1">
        <f t="shared" ca="1" si="197"/>
        <v>0.67272921661000384</v>
      </c>
      <c r="CF133" s="1">
        <f t="shared" ca="1" si="197"/>
        <v>0.88816240631220555</v>
      </c>
      <c r="CH133" s="3">
        <f t="shared" ca="1" si="198"/>
        <v>0.94840785619089651</v>
      </c>
      <c r="CI133" s="3">
        <f t="shared" ca="1" si="199"/>
        <v>0.72637751093448377</v>
      </c>
      <c r="CJ133" s="3">
        <f t="shared" ca="1" si="200"/>
        <v>150</v>
      </c>
      <c r="CK133" s="3">
        <f t="shared" ca="1" si="201"/>
        <v>7.049105776248411E-3</v>
      </c>
      <c r="CL133" s="3">
        <f t="shared" ca="1" si="202"/>
        <v>0</v>
      </c>
      <c r="CM133" s="3"/>
      <c r="CN133" s="1">
        <f t="shared" ca="1" si="203"/>
        <v>12.418401283742266</v>
      </c>
      <c r="CO133" s="1">
        <f t="shared" ca="1" si="204"/>
        <v>9.2958145554593738E-2</v>
      </c>
      <c r="CP133" s="1">
        <f t="shared" ca="1" si="205"/>
        <v>5</v>
      </c>
      <c r="CV133" s="1">
        <f t="shared" ca="1" si="206"/>
        <v>1.3919058444225627</v>
      </c>
      <c r="CW133" s="1">
        <f t="shared" ca="1" si="207"/>
        <v>1165</v>
      </c>
      <c r="CX133" s="1">
        <f t="shared" ca="1" si="208"/>
        <v>8.8765035133422116E-3</v>
      </c>
      <c r="DH133" s="1">
        <f t="shared" ca="1" si="209"/>
        <v>278</v>
      </c>
      <c r="DI133" s="1">
        <f t="shared" ca="1" si="210"/>
        <v>0.49107880347711741</v>
      </c>
      <c r="DJ133" s="1">
        <f t="shared" ca="1" si="211"/>
        <v>14</v>
      </c>
      <c r="DL133" s="1">
        <f t="shared" ca="1" si="212"/>
        <v>0.1863415058878031</v>
      </c>
      <c r="DM133" s="1">
        <f t="shared" ca="1" si="213"/>
        <v>262</v>
      </c>
      <c r="DN133" s="1">
        <f t="shared" ca="1" si="214"/>
        <v>5</v>
      </c>
      <c r="DW133" s="1">
        <f t="shared" ca="1" si="215"/>
        <v>266</v>
      </c>
      <c r="DX133" s="1">
        <f t="shared" ca="1" si="216"/>
        <v>12</v>
      </c>
      <c r="DY133" s="1">
        <f t="shared" ca="1" si="217"/>
        <v>7</v>
      </c>
    </row>
    <row r="134" spans="2:129" x14ac:dyDescent="0.25">
      <c r="B134">
        <f t="shared" ca="1" si="147"/>
        <v>218</v>
      </c>
      <c r="C134">
        <f t="shared" ca="1" si="148"/>
        <v>42</v>
      </c>
      <c r="D134">
        <f t="shared" ca="1" si="149"/>
        <v>0.27629756537331901</v>
      </c>
      <c r="F134" s="1">
        <f t="shared" ca="1" si="150"/>
        <v>39</v>
      </c>
      <c r="G134" s="1">
        <f t="shared" ca="1" si="151"/>
        <v>13</v>
      </c>
      <c r="H134" s="1">
        <f t="shared" ca="1" si="152"/>
        <v>6</v>
      </c>
      <c r="I134" s="1"/>
      <c r="J134" s="1">
        <f t="shared" ca="1" si="153"/>
        <v>30</v>
      </c>
      <c r="K134" s="1">
        <f t="shared" ca="1" si="154"/>
        <v>1.4070719782420003</v>
      </c>
      <c r="L134" s="1">
        <f t="shared" ca="1" si="155"/>
        <v>32</v>
      </c>
      <c r="M134" s="1"/>
      <c r="N134" s="1">
        <f t="shared" ca="1" si="156"/>
        <v>611</v>
      </c>
      <c r="O134" s="1">
        <f t="shared" ca="1" si="157"/>
        <v>26</v>
      </c>
      <c r="P134" s="1"/>
      <c r="Q134" s="1">
        <f t="shared" ca="1" si="158"/>
        <v>4.4242781460039504</v>
      </c>
      <c r="R134" s="1">
        <f t="shared" ca="1" si="159"/>
        <v>1142</v>
      </c>
      <c r="S134" s="1"/>
      <c r="T134" s="1">
        <f t="shared" ca="1" si="160"/>
        <v>0.13662039792368988</v>
      </c>
      <c r="U134" s="1">
        <f t="shared" ca="1" si="161"/>
        <v>371</v>
      </c>
      <c r="V134" s="1">
        <f t="shared" ca="1" si="162"/>
        <v>2</v>
      </c>
      <c r="W134" s="1"/>
      <c r="X134" s="1">
        <f t="shared" ca="1" si="163"/>
        <v>1.9032508902564305</v>
      </c>
      <c r="Y134" s="1">
        <f t="shared" ca="1" si="164"/>
        <v>0.96038244475066892</v>
      </c>
      <c r="Z134" s="1">
        <f t="shared" ca="1" si="165"/>
        <v>659</v>
      </c>
      <c r="AB134" s="1">
        <f t="shared" ca="1" si="166"/>
        <v>0.77161490255468645</v>
      </c>
      <c r="AC134" s="1">
        <f t="shared" ca="1" si="167"/>
        <v>795</v>
      </c>
      <c r="AD134" s="1">
        <f t="shared" ca="1" si="168"/>
        <v>1.6895980070155982E-3</v>
      </c>
      <c r="AE134" s="1"/>
      <c r="AF134" s="1">
        <f t="shared" ca="1" si="169"/>
        <v>0.13076915443539586</v>
      </c>
      <c r="AG134" s="1">
        <f t="shared" ca="1" si="170"/>
        <v>625</v>
      </c>
      <c r="AH134" s="1">
        <f t="shared" ca="1" si="171"/>
        <v>9.5499515531949023E-3</v>
      </c>
      <c r="AJ134" s="1">
        <f t="shared" ca="1" si="172"/>
        <v>0.62383558160720365</v>
      </c>
      <c r="AK134" s="1">
        <f t="shared" ca="1" si="173"/>
        <v>5.3316757876226625E-3</v>
      </c>
      <c r="AL134" s="1"/>
      <c r="AM134" s="1">
        <f t="shared" ca="1" si="174"/>
        <v>7.0019652572866478E-2</v>
      </c>
      <c r="AN134" s="1">
        <f t="shared" ca="1" si="175"/>
        <v>27</v>
      </c>
      <c r="AO134" s="1">
        <f t="shared" ca="1" si="176"/>
        <v>17</v>
      </c>
      <c r="AQ134" s="1">
        <f t="shared" ca="1" si="177"/>
        <v>28</v>
      </c>
      <c r="AR134" s="1">
        <f t="shared" ca="1" si="178"/>
        <v>3</v>
      </c>
      <c r="AS134" s="1">
        <f t="shared" ca="1" si="179"/>
        <v>94</v>
      </c>
      <c r="AU134" s="1">
        <f t="shared" ca="1" si="180"/>
        <v>216</v>
      </c>
      <c r="AV134" s="1">
        <f t="shared" ca="1" si="181"/>
        <v>7</v>
      </c>
      <c r="AW134" s="1">
        <f t="shared" ca="1" si="182"/>
        <v>8.5377940953821577E-2</v>
      </c>
      <c r="AY134" s="1">
        <f t="shared" ca="1" si="183"/>
        <v>1.6123826279834925</v>
      </c>
      <c r="AZ134" s="1">
        <f t="shared" ca="1" si="184"/>
        <v>84</v>
      </c>
      <c r="BA134" s="1">
        <f t="shared" ca="1" si="185"/>
        <v>5.7761102277161559E-3</v>
      </c>
      <c r="BG134" s="1">
        <f t="shared" ca="1" si="186"/>
        <v>0.36501546961782905</v>
      </c>
      <c r="BH134" s="1">
        <f t="shared" ca="1" si="187"/>
        <v>0.968179690799572</v>
      </c>
      <c r="BI134" s="1">
        <f t="shared" ca="1" si="188"/>
        <v>579</v>
      </c>
      <c r="BV134" s="1">
        <f t="shared" ca="1" si="189"/>
        <v>2.6842050211290838E-2</v>
      </c>
      <c r="BW134" s="1">
        <f t="shared" ca="1" si="190"/>
        <v>367</v>
      </c>
      <c r="BX134" s="1">
        <f t="shared" ca="1" si="191"/>
        <v>9.7589277158040156E-3</v>
      </c>
      <c r="BY134" s="1">
        <f t="shared" ca="1" si="192"/>
        <v>7.3528188473338807E-2</v>
      </c>
      <c r="BZ134" s="1">
        <f t="shared" ca="1" si="193"/>
        <v>0.11327113226187679</v>
      </c>
      <c r="CB134" s="1">
        <f t="shared" ca="1" si="194"/>
        <v>290</v>
      </c>
      <c r="CC134" s="1">
        <f t="shared" ca="1" si="195"/>
        <v>11</v>
      </c>
      <c r="CD134" s="1">
        <f t="shared" ca="1" si="196"/>
        <v>0.19806738403592972</v>
      </c>
      <c r="CE134" s="1">
        <f t="shared" ca="1" si="197"/>
        <v>0.90916271118801562</v>
      </c>
      <c r="CF134" s="1">
        <f t="shared" ca="1" si="197"/>
        <v>0.75727054839248775</v>
      </c>
      <c r="CH134" s="3">
        <f t="shared" ca="1" si="198"/>
        <v>0.80694223775246288</v>
      </c>
      <c r="CI134" s="3">
        <f t="shared" ca="1" si="199"/>
        <v>0.50461770807189121</v>
      </c>
      <c r="CJ134" s="3">
        <f t="shared" ca="1" si="200"/>
        <v>1405</v>
      </c>
      <c r="CK134" s="3">
        <f t="shared" ca="1" si="201"/>
        <v>4.0095638433822198E-3</v>
      </c>
      <c r="CL134" s="3">
        <f t="shared" ca="1" si="202"/>
        <v>0</v>
      </c>
      <c r="CM134" s="3"/>
      <c r="CN134" s="1">
        <f t="shared" ca="1" si="203"/>
        <v>18.37623391754601</v>
      </c>
      <c r="CO134" s="1">
        <f t="shared" ca="1" si="204"/>
        <v>0.41472918452742807</v>
      </c>
      <c r="CP134" s="1">
        <f t="shared" ca="1" si="205"/>
        <v>3</v>
      </c>
      <c r="CV134" s="1">
        <f t="shared" ca="1" si="206"/>
        <v>0.80131913103069374</v>
      </c>
      <c r="CW134" s="1">
        <f t="shared" ca="1" si="207"/>
        <v>1292</v>
      </c>
      <c r="CX134" s="1">
        <f t="shared" ca="1" si="208"/>
        <v>7.8415917284942269E-3</v>
      </c>
      <c r="DH134" s="1">
        <f t="shared" ca="1" si="209"/>
        <v>870</v>
      </c>
      <c r="DI134" s="1">
        <f t="shared" ca="1" si="210"/>
        <v>0.14957604472439048</v>
      </c>
      <c r="DJ134" s="1">
        <f t="shared" ca="1" si="211"/>
        <v>14</v>
      </c>
      <c r="DL134" s="1">
        <f t="shared" ca="1" si="212"/>
        <v>4.1207957375186489E-2</v>
      </c>
      <c r="DM134" s="1">
        <f t="shared" ca="1" si="213"/>
        <v>203</v>
      </c>
      <c r="DN134" s="1">
        <f t="shared" ca="1" si="214"/>
        <v>1</v>
      </c>
      <c r="DW134" s="1">
        <f t="shared" ca="1" si="215"/>
        <v>241</v>
      </c>
      <c r="DX134" s="1">
        <f t="shared" ca="1" si="216"/>
        <v>8</v>
      </c>
      <c r="DY134" s="1">
        <f t="shared" ca="1" si="217"/>
        <v>5</v>
      </c>
    </row>
    <row r="135" spans="2:129" x14ac:dyDescent="0.25">
      <c r="B135">
        <f t="shared" ca="1" si="147"/>
        <v>450</v>
      </c>
      <c r="C135">
        <f t="shared" ca="1" si="148"/>
        <v>28</v>
      </c>
      <c r="D135">
        <f t="shared" ca="1" si="149"/>
        <v>0.18997951337610919</v>
      </c>
      <c r="F135" s="1">
        <f t="shared" ca="1" si="150"/>
        <v>51</v>
      </c>
      <c r="G135" s="1">
        <f t="shared" ca="1" si="151"/>
        <v>14</v>
      </c>
      <c r="H135" s="1">
        <f t="shared" ca="1" si="152"/>
        <v>11</v>
      </c>
      <c r="I135" s="1"/>
      <c r="J135" s="1">
        <f t="shared" ca="1" si="153"/>
        <v>32</v>
      </c>
      <c r="K135" s="1">
        <f t="shared" ca="1" si="154"/>
        <v>2.7886679564963481</v>
      </c>
      <c r="L135" s="1">
        <f t="shared" ca="1" si="155"/>
        <v>18</v>
      </c>
      <c r="M135" s="1"/>
      <c r="N135" s="1">
        <f t="shared" ca="1" si="156"/>
        <v>191</v>
      </c>
      <c r="O135" s="1">
        <f t="shared" ca="1" si="157"/>
        <v>44</v>
      </c>
      <c r="P135" s="1"/>
      <c r="Q135" s="1">
        <f t="shared" ca="1" si="158"/>
        <v>4.0430167129199273</v>
      </c>
      <c r="R135" s="1">
        <f t="shared" ca="1" si="159"/>
        <v>434</v>
      </c>
      <c r="S135" s="1"/>
      <c r="T135" s="1">
        <f t="shared" ca="1" si="160"/>
        <v>8.2092334365516231E-2</v>
      </c>
      <c r="U135" s="1">
        <f t="shared" ca="1" si="161"/>
        <v>217</v>
      </c>
      <c r="V135" s="1">
        <f t="shared" ca="1" si="162"/>
        <v>3</v>
      </c>
      <c r="W135" s="1"/>
      <c r="X135" s="1">
        <f t="shared" ca="1" si="163"/>
        <v>3.1390660043611436</v>
      </c>
      <c r="Y135" s="1">
        <f t="shared" ca="1" si="164"/>
        <v>0.41138912321188054</v>
      </c>
      <c r="Z135" s="1">
        <f t="shared" ca="1" si="165"/>
        <v>653</v>
      </c>
      <c r="AB135" s="1">
        <f t="shared" ca="1" si="166"/>
        <v>0.42290855399641558</v>
      </c>
      <c r="AC135" s="1">
        <f t="shared" ca="1" si="167"/>
        <v>875</v>
      </c>
      <c r="AD135" s="1">
        <f t="shared" ca="1" si="168"/>
        <v>9.8934181702077222E-3</v>
      </c>
      <c r="AE135" s="1"/>
      <c r="AF135" s="1">
        <f t="shared" ca="1" si="169"/>
        <v>0.70380213778298706</v>
      </c>
      <c r="AG135" s="1">
        <f t="shared" ca="1" si="170"/>
        <v>113</v>
      </c>
      <c r="AH135" s="1">
        <f t="shared" ca="1" si="171"/>
        <v>8.5568887388890718E-3</v>
      </c>
      <c r="AJ135" s="1">
        <f t="shared" ca="1" si="172"/>
        <v>0.76937266258472836</v>
      </c>
      <c r="AK135" s="1">
        <f t="shared" ca="1" si="173"/>
        <v>2.2571084287690284E-3</v>
      </c>
      <c r="AL135" s="1"/>
      <c r="AM135" s="1">
        <f t="shared" ca="1" si="174"/>
        <v>0.1623724647754444</v>
      </c>
      <c r="AN135" s="1">
        <f t="shared" ca="1" si="175"/>
        <v>35</v>
      </c>
      <c r="AO135" s="1">
        <f t="shared" ca="1" si="176"/>
        <v>3</v>
      </c>
      <c r="AQ135" s="1">
        <f t="shared" ca="1" si="177"/>
        <v>13</v>
      </c>
      <c r="AR135" s="1">
        <f t="shared" ca="1" si="178"/>
        <v>9</v>
      </c>
      <c r="AS135" s="1">
        <f t="shared" ca="1" si="179"/>
        <v>82</v>
      </c>
      <c r="AU135" s="1">
        <f t="shared" ca="1" si="180"/>
        <v>71</v>
      </c>
      <c r="AV135" s="1">
        <f t="shared" ca="1" si="181"/>
        <v>8</v>
      </c>
      <c r="AW135" s="1">
        <f t="shared" ca="1" si="182"/>
        <v>6.1522316959553708E-2</v>
      </c>
      <c r="AY135" s="1">
        <f t="shared" ca="1" si="183"/>
        <v>1.9422623060228741</v>
      </c>
      <c r="AZ135" s="1">
        <f t="shared" ca="1" si="184"/>
        <v>256</v>
      </c>
      <c r="BA135" s="1">
        <f t="shared" ca="1" si="185"/>
        <v>9.6778020099117235E-3</v>
      </c>
      <c r="BG135" s="1">
        <f t="shared" ca="1" si="186"/>
        <v>0.4748421399366759</v>
      </c>
      <c r="BH135" s="1">
        <f t="shared" ca="1" si="187"/>
        <v>0.58441654688141842</v>
      </c>
      <c r="BI135" s="1">
        <f t="shared" ca="1" si="188"/>
        <v>497</v>
      </c>
      <c r="BV135" s="1">
        <f t="shared" ca="1" si="189"/>
        <v>0.4705669225791928</v>
      </c>
      <c r="BW135" s="1">
        <f t="shared" ca="1" si="190"/>
        <v>163</v>
      </c>
      <c r="BX135" s="1">
        <f t="shared" ca="1" si="191"/>
        <v>5.5419269151141971E-3</v>
      </c>
      <c r="BY135" s="1">
        <f t="shared" ca="1" si="192"/>
        <v>8.0908011049803136E-2</v>
      </c>
      <c r="BZ135" s="1">
        <f t="shared" ca="1" si="193"/>
        <v>0.38389786396314052</v>
      </c>
      <c r="CB135" s="1">
        <f t="shared" ca="1" si="194"/>
        <v>448</v>
      </c>
      <c r="CC135" s="1">
        <f t="shared" ca="1" si="195"/>
        <v>11</v>
      </c>
      <c r="CD135" s="1">
        <f t="shared" ca="1" si="196"/>
        <v>0.22018458292659612</v>
      </c>
      <c r="CE135" s="1">
        <f t="shared" ca="1" si="197"/>
        <v>0.91414126255395933</v>
      </c>
      <c r="CF135" s="1">
        <f t="shared" ca="1" si="197"/>
        <v>0.95218850948825196</v>
      </c>
      <c r="CH135" s="3">
        <f t="shared" ca="1" si="198"/>
        <v>0.18872076330487075</v>
      </c>
      <c r="CI135" s="3">
        <f t="shared" ca="1" si="199"/>
        <v>0.7269915179855575</v>
      </c>
      <c r="CJ135" s="3">
        <f t="shared" ca="1" si="200"/>
        <v>751</v>
      </c>
      <c r="CK135" s="3">
        <f t="shared" ca="1" si="201"/>
        <v>4.4222911182834656E-3</v>
      </c>
      <c r="CL135" s="3">
        <f t="shared" ca="1" si="202"/>
        <v>0</v>
      </c>
      <c r="CM135" s="3"/>
      <c r="CN135" s="1">
        <f t="shared" ca="1" si="203"/>
        <v>2.4979488483692154</v>
      </c>
      <c r="CO135" s="1">
        <f t="shared" ca="1" si="204"/>
        <v>0.47315931102941633</v>
      </c>
      <c r="CP135" s="1">
        <f t="shared" ca="1" si="205"/>
        <v>4</v>
      </c>
      <c r="CV135" s="1">
        <f t="shared" ca="1" si="206"/>
        <v>7.0554993502787191</v>
      </c>
      <c r="CW135" s="1">
        <f t="shared" ca="1" si="207"/>
        <v>770</v>
      </c>
      <c r="CX135" s="1">
        <f t="shared" ca="1" si="208"/>
        <v>1.2289548436299369E-3</v>
      </c>
      <c r="DH135" s="1">
        <f t="shared" ca="1" si="209"/>
        <v>696</v>
      </c>
      <c r="DI135" s="1">
        <f t="shared" ca="1" si="210"/>
        <v>0.44524145179131025</v>
      </c>
      <c r="DJ135" s="1">
        <f t="shared" ca="1" si="211"/>
        <v>5</v>
      </c>
      <c r="DL135" s="1">
        <f t="shared" ca="1" si="212"/>
        <v>7.5228563915293686E-2</v>
      </c>
      <c r="DM135" s="1">
        <f t="shared" ca="1" si="213"/>
        <v>219</v>
      </c>
      <c r="DN135" s="1">
        <f t="shared" ca="1" si="214"/>
        <v>2</v>
      </c>
      <c r="DW135" s="1">
        <f t="shared" ca="1" si="215"/>
        <v>378</v>
      </c>
      <c r="DX135" s="1">
        <f t="shared" ca="1" si="216"/>
        <v>14</v>
      </c>
      <c r="DY135" s="1">
        <f t="shared" ca="1" si="217"/>
        <v>6</v>
      </c>
    </row>
    <row r="136" spans="2:129" x14ac:dyDescent="0.25">
      <c r="B136">
        <f t="shared" ca="1" si="147"/>
        <v>857</v>
      </c>
      <c r="C136">
        <f t="shared" ca="1" si="148"/>
        <v>5</v>
      </c>
      <c r="D136">
        <f t="shared" ca="1" si="149"/>
        <v>0.1459552970906986</v>
      </c>
      <c r="F136" s="1">
        <f t="shared" ca="1" si="150"/>
        <v>4</v>
      </c>
      <c r="G136" s="1">
        <f t="shared" ca="1" si="151"/>
        <v>15</v>
      </c>
      <c r="H136" s="1">
        <f t="shared" ca="1" si="152"/>
        <v>8</v>
      </c>
      <c r="I136" s="1"/>
      <c r="J136" s="1">
        <f t="shared" ca="1" si="153"/>
        <v>29</v>
      </c>
      <c r="K136" s="1">
        <f t="shared" ca="1" si="154"/>
        <v>2.0906720689037601</v>
      </c>
      <c r="L136" s="1">
        <f t="shared" ca="1" si="155"/>
        <v>19</v>
      </c>
      <c r="M136" s="1"/>
      <c r="N136" s="1">
        <f t="shared" ca="1" si="156"/>
        <v>884</v>
      </c>
      <c r="O136" s="1">
        <f t="shared" ca="1" si="157"/>
        <v>24</v>
      </c>
      <c r="P136" s="1"/>
      <c r="Q136" s="1">
        <f t="shared" ca="1" si="158"/>
        <v>3.7020625954865487</v>
      </c>
      <c r="R136" s="1">
        <f t="shared" ca="1" si="159"/>
        <v>979</v>
      </c>
      <c r="S136" s="1"/>
      <c r="T136" s="1">
        <f t="shared" ca="1" si="160"/>
        <v>0.1557926656253816</v>
      </c>
      <c r="U136" s="1">
        <f t="shared" ca="1" si="161"/>
        <v>326</v>
      </c>
      <c r="V136" s="1">
        <f t="shared" ca="1" si="162"/>
        <v>26</v>
      </c>
      <c r="W136" s="1"/>
      <c r="X136" s="1">
        <f t="shared" ca="1" si="163"/>
        <v>1.3062838372346985</v>
      </c>
      <c r="Y136" s="1">
        <f t="shared" ca="1" si="164"/>
        <v>0.93287053398584852</v>
      </c>
      <c r="Z136" s="1">
        <f t="shared" ca="1" si="165"/>
        <v>742</v>
      </c>
      <c r="AB136" s="1">
        <f t="shared" ca="1" si="166"/>
        <v>0.85530664621616004</v>
      </c>
      <c r="AC136" s="1">
        <f t="shared" ca="1" si="167"/>
        <v>334</v>
      </c>
      <c r="AD136" s="1">
        <f t="shared" ca="1" si="168"/>
        <v>1.3135321142985807E-3</v>
      </c>
      <c r="AE136" s="1"/>
      <c r="AF136" s="1">
        <f t="shared" ca="1" si="169"/>
        <v>0.24771737642996472</v>
      </c>
      <c r="AG136" s="1">
        <f t="shared" ca="1" si="170"/>
        <v>302</v>
      </c>
      <c r="AH136" s="1">
        <f t="shared" ca="1" si="171"/>
        <v>6.8057975542241695E-4</v>
      </c>
      <c r="AJ136" s="1">
        <f t="shared" ca="1" si="172"/>
        <v>4.7441707509660813E-2</v>
      </c>
      <c r="AK136" s="1">
        <f t="shared" ca="1" si="173"/>
        <v>4.3509228604752415E-3</v>
      </c>
      <c r="AL136" s="1"/>
      <c r="AM136" s="1">
        <f t="shared" ca="1" si="174"/>
        <v>5.1043430548203685E-2</v>
      </c>
      <c r="AN136" s="1">
        <f t="shared" ca="1" si="175"/>
        <v>75</v>
      </c>
      <c r="AO136" s="1">
        <f t="shared" ca="1" si="176"/>
        <v>20</v>
      </c>
      <c r="AQ136" s="1">
        <f t="shared" ca="1" si="177"/>
        <v>168</v>
      </c>
      <c r="AR136" s="1">
        <f t="shared" ca="1" si="178"/>
        <v>9</v>
      </c>
      <c r="AS136" s="1">
        <f t="shared" ca="1" si="179"/>
        <v>61</v>
      </c>
      <c r="AU136" s="1">
        <f t="shared" ca="1" si="180"/>
        <v>269</v>
      </c>
      <c r="AV136" s="1">
        <f t="shared" ca="1" si="181"/>
        <v>2</v>
      </c>
      <c r="AW136" s="1">
        <f t="shared" ca="1" si="182"/>
        <v>0.1569694798334722</v>
      </c>
      <c r="AY136" s="1">
        <f t="shared" ca="1" si="183"/>
        <v>1.9641042582727488</v>
      </c>
      <c r="AZ136" s="1">
        <f t="shared" ca="1" si="184"/>
        <v>386</v>
      </c>
      <c r="BA136" s="1">
        <f t="shared" ca="1" si="185"/>
        <v>4.2120638791759502E-3</v>
      </c>
      <c r="BG136" s="1">
        <f t="shared" ca="1" si="186"/>
        <v>0.23510059327633739</v>
      </c>
      <c r="BH136" s="1">
        <f t="shared" ca="1" si="187"/>
        <v>0.98547772662123023</v>
      </c>
      <c r="BI136" s="1">
        <f t="shared" ca="1" si="188"/>
        <v>528</v>
      </c>
      <c r="BV136" s="1">
        <f t="shared" ca="1" si="189"/>
        <v>0.73385880934089165</v>
      </c>
      <c r="BW136" s="1">
        <f t="shared" ca="1" si="190"/>
        <v>315</v>
      </c>
      <c r="BX136" s="1">
        <f t="shared" ca="1" si="191"/>
        <v>9.0374782565351471E-3</v>
      </c>
      <c r="BY136" s="1">
        <f t="shared" ca="1" si="192"/>
        <v>5.1089880116987431E-2</v>
      </c>
      <c r="BZ136" s="1">
        <f t="shared" ca="1" si="193"/>
        <v>0.45390029514008012</v>
      </c>
      <c r="CB136" s="1">
        <f t="shared" ca="1" si="194"/>
        <v>172</v>
      </c>
      <c r="CC136" s="1">
        <f t="shared" ca="1" si="195"/>
        <v>6</v>
      </c>
      <c r="CD136" s="1">
        <f t="shared" ca="1" si="196"/>
        <v>0.12876415856511694</v>
      </c>
      <c r="CE136" s="1">
        <f t="shared" ca="1" si="197"/>
        <v>0.56917882183678326</v>
      </c>
      <c r="CF136" s="1">
        <f t="shared" ca="1" si="197"/>
        <v>0.51790830667224075</v>
      </c>
      <c r="CH136" s="3">
        <f t="shared" ca="1" si="198"/>
        <v>0.44124485159772109</v>
      </c>
      <c r="CI136" s="3">
        <f t="shared" ca="1" si="199"/>
        <v>0.56953748732098475</v>
      </c>
      <c r="CJ136" s="3">
        <f t="shared" ca="1" si="200"/>
        <v>1607</v>
      </c>
      <c r="CK136" s="3">
        <f t="shared" ca="1" si="201"/>
        <v>7.2369566139225353E-3</v>
      </c>
      <c r="CL136" s="3">
        <f t="shared" ca="1" si="202"/>
        <v>1</v>
      </c>
      <c r="CM136" s="3"/>
      <c r="CN136" s="1">
        <f t="shared" ca="1" si="203"/>
        <v>14.263742481449976</v>
      </c>
      <c r="CO136" s="1">
        <f t="shared" ca="1" si="204"/>
        <v>0.31096919554880093</v>
      </c>
      <c r="CP136" s="1">
        <f t="shared" ca="1" si="205"/>
        <v>5</v>
      </c>
      <c r="CV136" s="1">
        <f t="shared" ca="1" si="206"/>
        <v>0.52531363039057222</v>
      </c>
      <c r="CW136" s="1">
        <f t="shared" ca="1" si="207"/>
        <v>1500</v>
      </c>
      <c r="CX136" s="1">
        <f t="shared" ca="1" si="208"/>
        <v>9.0623986092787066E-3</v>
      </c>
      <c r="DH136" s="1">
        <f t="shared" ca="1" si="209"/>
        <v>855</v>
      </c>
      <c r="DI136" s="1">
        <f t="shared" ca="1" si="210"/>
        <v>0.78901658390129181</v>
      </c>
      <c r="DJ136" s="1">
        <f t="shared" ca="1" si="211"/>
        <v>25</v>
      </c>
      <c r="DL136" s="1">
        <f t="shared" ca="1" si="212"/>
        <v>3.3595678535954285E-2</v>
      </c>
      <c r="DM136" s="1">
        <f t="shared" ca="1" si="213"/>
        <v>67</v>
      </c>
      <c r="DN136" s="1">
        <f t="shared" ca="1" si="214"/>
        <v>8</v>
      </c>
      <c r="DW136" s="1">
        <f t="shared" ca="1" si="215"/>
        <v>281</v>
      </c>
      <c r="DX136" s="1">
        <f t="shared" ca="1" si="216"/>
        <v>19</v>
      </c>
      <c r="DY136" s="1">
        <f t="shared" ca="1" si="217"/>
        <v>20</v>
      </c>
    </row>
    <row r="137" spans="2:129" x14ac:dyDescent="0.25">
      <c r="B137">
        <f t="shared" ca="1" si="147"/>
        <v>474</v>
      </c>
      <c r="C137">
        <f t="shared" ca="1" si="148"/>
        <v>52</v>
      </c>
      <c r="D137">
        <f t="shared" ca="1" si="149"/>
        <v>2.4965496289843368E-2</v>
      </c>
      <c r="F137" s="1">
        <f t="shared" ca="1" si="150"/>
        <v>41</v>
      </c>
      <c r="G137" s="1">
        <f t="shared" ca="1" si="151"/>
        <v>30</v>
      </c>
      <c r="H137" s="1">
        <f t="shared" ca="1" si="152"/>
        <v>5</v>
      </c>
      <c r="I137" s="1"/>
      <c r="J137" s="1">
        <f t="shared" ca="1" si="153"/>
        <v>2</v>
      </c>
      <c r="K137" s="1">
        <f t="shared" ca="1" si="154"/>
        <v>2.9488126570139919</v>
      </c>
      <c r="L137" s="1">
        <f t="shared" ca="1" si="155"/>
        <v>29</v>
      </c>
      <c r="M137" s="1"/>
      <c r="N137" s="1">
        <f t="shared" ca="1" si="156"/>
        <v>416</v>
      </c>
      <c r="O137" s="1">
        <f t="shared" ca="1" si="157"/>
        <v>33</v>
      </c>
      <c r="P137" s="1"/>
      <c r="Q137" s="1">
        <f t="shared" ca="1" si="158"/>
        <v>4.9193563814516486</v>
      </c>
      <c r="R137" s="1">
        <f t="shared" ca="1" si="159"/>
        <v>417</v>
      </c>
      <c r="S137" s="1"/>
      <c r="T137" s="1">
        <f t="shared" ca="1" si="160"/>
        <v>0.18332562882975986</v>
      </c>
      <c r="U137" s="1">
        <f t="shared" ca="1" si="161"/>
        <v>74</v>
      </c>
      <c r="V137" s="1">
        <f t="shared" ca="1" si="162"/>
        <v>26</v>
      </c>
      <c r="W137" s="1"/>
      <c r="X137" s="1">
        <f t="shared" ca="1" si="163"/>
        <v>0.84748369770096355</v>
      </c>
      <c r="Y137" s="1">
        <f t="shared" ca="1" si="164"/>
        <v>0.32368904845984459</v>
      </c>
      <c r="Z137" s="1">
        <f t="shared" ca="1" si="165"/>
        <v>381</v>
      </c>
      <c r="AB137" s="1">
        <f t="shared" ca="1" si="166"/>
        <v>0.87706232928208927</v>
      </c>
      <c r="AC137" s="1">
        <f t="shared" ca="1" si="167"/>
        <v>612</v>
      </c>
      <c r="AD137" s="1">
        <f t="shared" ca="1" si="168"/>
        <v>2.646211413554771E-3</v>
      </c>
      <c r="AE137" s="1"/>
      <c r="AF137" s="1">
        <f t="shared" ca="1" si="169"/>
        <v>0.63025060674457878</v>
      </c>
      <c r="AG137" s="1">
        <f t="shared" ca="1" si="170"/>
        <v>976</v>
      </c>
      <c r="AH137" s="1">
        <f t="shared" ca="1" si="171"/>
        <v>1.3414166958188733E-4</v>
      </c>
      <c r="AJ137" s="1">
        <f t="shared" ca="1" si="172"/>
        <v>0.78976503355688799</v>
      </c>
      <c r="AK137" s="1">
        <f t="shared" ca="1" si="173"/>
        <v>5.0379631665769193E-3</v>
      </c>
      <c r="AL137" s="1"/>
      <c r="AM137" s="1">
        <f t="shared" ca="1" si="174"/>
        <v>0.12273433399359213</v>
      </c>
      <c r="AN137" s="1">
        <f t="shared" ca="1" si="175"/>
        <v>68</v>
      </c>
      <c r="AO137" s="1">
        <f t="shared" ca="1" si="176"/>
        <v>14</v>
      </c>
      <c r="AQ137" s="1">
        <f t="shared" ca="1" si="177"/>
        <v>176</v>
      </c>
      <c r="AR137" s="1">
        <f t="shared" ca="1" si="178"/>
        <v>0</v>
      </c>
      <c r="AS137" s="1">
        <f t="shared" ca="1" si="179"/>
        <v>36</v>
      </c>
      <c r="AU137" s="1">
        <f t="shared" ca="1" si="180"/>
        <v>53</v>
      </c>
      <c r="AV137" s="1">
        <f t="shared" ca="1" si="181"/>
        <v>3</v>
      </c>
      <c r="AW137" s="1">
        <f t="shared" ca="1" si="182"/>
        <v>1.9808252697809781E-2</v>
      </c>
      <c r="AY137" s="1">
        <f t="shared" ca="1" si="183"/>
        <v>1.8842516457002518</v>
      </c>
      <c r="AZ137" s="1">
        <f t="shared" ca="1" si="184"/>
        <v>497</v>
      </c>
      <c r="BA137" s="1">
        <f t="shared" ca="1" si="185"/>
        <v>4.9182981438185541E-3</v>
      </c>
      <c r="BG137" s="1">
        <f t="shared" ca="1" si="186"/>
        <v>0.69415795590390084</v>
      </c>
      <c r="BH137" s="1">
        <f t="shared" ca="1" si="187"/>
        <v>0.97650907118044872</v>
      </c>
      <c r="BI137" s="1">
        <f t="shared" ca="1" si="188"/>
        <v>387</v>
      </c>
      <c r="BV137" s="1">
        <f t="shared" ca="1" si="189"/>
        <v>0.17678891779734096</v>
      </c>
      <c r="BW137" s="1">
        <f t="shared" ca="1" si="190"/>
        <v>861</v>
      </c>
      <c r="BX137" s="1">
        <f t="shared" ca="1" si="191"/>
        <v>1.4407099564458401E-3</v>
      </c>
      <c r="BY137" s="1">
        <f t="shared" ca="1" si="192"/>
        <v>2.4839941235514102E-2</v>
      </c>
      <c r="BZ137" s="1">
        <f t="shared" ca="1" si="193"/>
        <v>0.59722389214212723</v>
      </c>
      <c r="CB137" s="1">
        <f t="shared" ca="1" si="194"/>
        <v>202</v>
      </c>
      <c r="CC137" s="1">
        <f t="shared" ca="1" si="195"/>
        <v>8</v>
      </c>
      <c r="CD137" s="1">
        <f t="shared" ca="1" si="196"/>
        <v>0.1298361628656364</v>
      </c>
      <c r="CE137" s="1">
        <f t="shared" ca="1" si="197"/>
        <v>0.59378531817174651</v>
      </c>
      <c r="CF137" s="1">
        <f t="shared" ca="1" si="197"/>
        <v>0.83827640509955015</v>
      </c>
      <c r="CH137" s="3">
        <f t="shared" ca="1" si="198"/>
        <v>0.61354090247368864</v>
      </c>
      <c r="CI137" s="3">
        <f t="shared" ca="1" si="199"/>
        <v>0.73815365954445755</v>
      </c>
      <c r="CJ137" s="3">
        <f t="shared" ca="1" si="200"/>
        <v>1502</v>
      </c>
      <c r="CK137" s="3">
        <f t="shared" ca="1" si="201"/>
        <v>1.8595803561058015E-3</v>
      </c>
      <c r="CL137" s="3">
        <f t="shared" ca="1" si="202"/>
        <v>0</v>
      </c>
      <c r="CM137" s="3"/>
      <c r="CN137" s="1">
        <f t="shared" ca="1" si="203"/>
        <v>7.8497603089641332</v>
      </c>
      <c r="CO137" s="1">
        <f t="shared" ca="1" si="204"/>
        <v>0.28293389681473274</v>
      </c>
      <c r="CP137" s="1">
        <f t="shared" ca="1" si="205"/>
        <v>1</v>
      </c>
      <c r="CV137" s="1">
        <f t="shared" ca="1" si="206"/>
        <v>4.9510819847189795</v>
      </c>
      <c r="CW137" s="1">
        <f t="shared" ca="1" si="207"/>
        <v>255</v>
      </c>
      <c r="CX137" s="1">
        <f t="shared" ca="1" si="208"/>
        <v>2.1586550468287858E-3</v>
      </c>
      <c r="DH137" s="1">
        <f t="shared" ca="1" si="209"/>
        <v>242</v>
      </c>
      <c r="DI137" s="1">
        <f t="shared" ca="1" si="210"/>
        <v>0.34824495881009593</v>
      </c>
      <c r="DJ137" s="1">
        <f t="shared" ca="1" si="211"/>
        <v>29</v>
      </c>
      <c r="DL137" s="1">
        <f t="shared" ca="1" si="212"/>
        <v>0.13095661651187465</v>
      </c>
      <c r="DM137" s="1">
        <f t="shared" ca="1" si="213"/>
        <v>100</v>
      </c>
      <c r="DN137" s="1">
        <f t="shared" ca="1" si="214"/>
        <v>9</v>
      </c>
      <c r="DW137" s="1">
        <f t="shared" ca="1" si="215"/>
        <v>144</v>
      </c>
      <c r="DX137" s="1">
        <f t="shared" ca="1" si="216"/>
        <v>16</v>
      </c>
      <c r="DY137" s="1">
        <f t="shared" ca="1" si="217"/>
        <v>3</v>
      </c>
    </row>
    <row r="138" spans="2:129" x14ac:dyDescent="0.25">
      <c r="B138">
        <f t="shared" ca="1" si="147"/>
        <v>701</v>
      </c>
      <c r="C138">
        <f t="shared" ca="1" si="148"/>
        <v>46</v>
      </c>
      <c r="D138">
        <f t="shared" ca="1" si="149"/>
        <v>0.11803333736976968</v>
      </c>
      <c r="F138" s="1">
        <f t="shared" ca="1" si="150"/>
        <v>41</v>
      </c>
      <c r="G138" s="1">
        <f t="shared" ca="1" si="151"/>
        <v>11</v>
      </c>
      <c r="H138" s="1">
        <f t="shared" ca="1" si="152"/>
        <v>8</v>
      </c>
      <c r="I138" s="1"/>
      <c r="J138" s="1">
        <f t="shared" ca="1" si="153"/>
        <v>27</v>
      </c>
      <c r="K138" s="1">
        <f t="shared" ca="1" si="154"/>
        <v>2.7069258887834682</v>
      </c>
      <c r="L138" s="1">
        <f t="shared" ca="1" si="155"/>
        <v>33</v>
      </c>
      <c r="M138" s="1"/>
      <c r="N138" s="1">
        <f t="shared" ca="1" si="156"/>
        <v>512</v>
      </c>
      <c r="O138" s="1">
        <f t="shared" ca="1" si="157"/>
        <v>8</v>
      </c>
      <c r="P138" s="1"/>
      <c r="Q138" s="1">
        <f t="shared" ca="1" si="158"/>
        <v>1.0613726978174178</v>
      </c>
      <c r="R138" s="1">
        <f t="shared" ca="1" si="159"/>
        <v>620</v>
      </c>
      <c r="S138" s="1"/>
      <c r="T138" s="1">
        <f t="shared" ca="1" si="160"/>
        <v>9.7605122534270145E-2</v>
      </c>
      <c r="U138" s="1">
        <f t="shared" ca="1" si="161"/>
        <v>425</v>
      </c>
      <c r="V138" s="1">
        <f t="shared" ca="1" si="162"/>
        <v>22</v>
      </c>
      <c r="W138" s="1"/>
      <c r="X138" s="1">
        <f t="shared" ca="1" si="163"/>
        <v>1.5894689936058928</v>
      </c>
      <c r="Y138" s="1">
        <f t="shared" ca="1" si="164"/>
        <v>0.96340190290232619</v>
      </c>
      <c r="Z138" s="1">
        <f t="shared" ca="1" si="165"/>
        <v>1029</v>
      </c>
      <c r="AB138" s="1">
        <f t="shared" ca="1" si="166"/>
        <v>0.69477582007737848</v>
      </c>
      <c r="AC138" s="1">
        <f t="shared" ca="1" si="167"/>
        <v>320</v>
      </c>
      <c r="AD138" s="1">
        <f t="shared" ca="1" si="168"/>
        <v>7.9454717632955786E-3</v>
      </c>
      <c r="AE138" s="1"/>
      <c r="AF138" s="1">
        <f t="shared" ca="1" si="169"/>
        <v>0.12578514680037048</v>
      </c>
      <c r="AG138" s="1">
        <f t="shared" ca="1" si="170"/>
        <v>938</v>
      </c>
      <c r="AH138" s="1">
        <f t="shared" ca="1" si="171"/>
        <v>9.496569248132412E-3</v>
      </c>
      <c r="AJ138" s="1">
        <f t="shared" ca="1" si="172"/>
        <v>0.85939062580497316</v>
      </c>
      <c r="AK138" s="1">
        <f t="shared" ca="1" si="173"/>
        <v>7.7047740016877116E-4</v>
      </c>
      <c r="AL138" s="1"/>
      <c r="AM138" s="1">
        <f t="shared" ca="1" si="174"/>
        <v>0.18805448835069979</v>
      </c>
      <c r="AN138" s="1">
        <f t="shared" ca="1" si="175"/>
        <v>48</v>
      </c>
      <c r="AO138" s="1">
        <f t="shared" ca="1" si="176"/>
        <v>1</v>
      </c>
      <c r="AQ138" s="1">
        <f t="shared" ca="1" si="177"/>
        <v>158</v>
      </c>
      <c r="AR138" s="1">
        <f t="shared" ca="1" si="178"/>
        <v>6</v>
      </c>
      <c r="AS138" s="1">
        <f t="shared" ca="1" si="179"/>
        <v>65</v>
      </c>
      <c r="AU138" s="1">
        <f t="shared" ca="1" si="180"/>
        <v>57</v>
      </c>
      <c r="AV138" s="1">
        <f t="shared" ca="1" si="181"/>
        <v>9</v>
      </c>
      <c r="AW138" s="1">
        <f t="shared" ca="1" si="182"/>
        <v>0.12625333098236344</v>
      </c>
      <c r="AY138" s="1">
        <f t="shared" ca="1" si="183"/>
        <v>1.7157351371046743</v>
      </c>
      <c r="AZ138" s="1">
        <f t="shared" ca="1" si="184"/>
        <v>259</v>
      </c>
      <c r="BA138" s="1">
        <f t="shared" ca="1" si="185"/>
        <v>8.7557543855455323E-3</v>
      </c>
      <c r="BG138" s="1">
        <f t="shared" ca="1" si="186"/>
        <v>0.86850527672086031</v>
      </c>
      <c r="BH138" s="1">
        <f t="shared" ca="1" si="187"/>
        <v>0.25338697605898897</v>
      </c>
      <c r="BI138" s="1">
        <f t="shared" ca="1" si="188"/>
        <v>451</v>
      </c>
      <c r="BV138" s="1">
        <f t="shared" ca="1" si="189"/>
        <v>0.62279787773382855</v>
      </c>
      <c r="BW138" s="1">
        <f t="shared" ca="1" si="190"/>
        <v>632</v>
      </c>
      <c r="BX138" s="1">
        <f t="shared" ca="1" si="191"/>
        <v>9.7725452961457595E-3</v>
      </c>
      <c r="BY138" s="1">
        <f t="shared" ca="1" si="192"/>
        <v>4.0854396684823976E-3</v>
      </c>
      <c r="BZ138" s="1">
        <f t="shared" ca="1" si="193"/>
        <v>0.61633517151341866</v>
      </c>
      <c r="CB138" s="1">
        <f t="shared" ca="1" si="194"/>
        <v>114</v>
      </c>
      <c r="CC138" s="1">
        <f t="shared" ca="1" si="195"/>
        <v>15</v>
      </c>
      <c r="CD138" s="1">
        <f t="shared" ca="1" si="196"/>
        <v>0.2679607012307571</v>
      </c>
      <c r="CE138" s="1">
        <f t="shared" ca="1" si="197"/>
        <v>0.54690101728602336</v>
      </c>
      <c r="CF138" s="1">
        <f t="shared" ca="1" si="197"/>
        <v>0.75997911093176818</v>
      </c>
      <c r="CH138" s="3">
        <f t="shared" ca="1" si="198"/>
        <v>0.42825523629341861</v>
      </c>
      <c r="CI138" s="3">
        <f t="shared" ca="1" si="199"/>
        <v>0.22584673037986983</v>
      </c>
      <c r="CJ138" s="3">
        <f t="shared" ca="1" si="200"/>
        <v>1158</v>
      </c>
      <c r="CK138" s="3">
        <f t="shared" ca="1" si="201"/>
        <v>9.1986396861896708E-3</v>
      </c>
      <c r="CL138" s="3">
        <f t="shared" ca="1" si="202"/>
        <v>0</v>
      </c>
      <c r="CM138" s="3"/>
      <c r="CN138" s="1">
        <f t="shared" ca="1" si="203"/>
        <v>0.33002510999648926</v>
      </c>
      <c r="CO138" s="1">
        <f t="shared" ca="1" si="204"/>
        <v>0.17728246657775507</v>
      </c>
      <c r="CP138" s="1">
        <f t="shared" ca="1" si="205"/>
        <v>2</v>
      </c>
      <c r="CV138" s="1">
        <f t="shared" ca="1" si="206"/>
        <v>9.5669955537111484</v>
      </c>
      <c r="CW138" s="1">
        <f t="shared" ca="1" si="207"/>
        <v>1657</v>
      </c>
      <c r="CX138" s="1">
        <f t="shared" ca="1" si="208"/>
        <v>5.9583154446111236E-3</v>
      </c>
      <c r="DH138" s="1">
        <f t="shared" ca="1" si="209"/>
        <v>448</v>
      </c>
      <c r="DI138" s="1">
        <f t="shared" ca="1" si="210"/>
        <v>0.75098531818352765</v>
      </c>
      <c r="DJ138" s="1">
        <f t="shared" ca="1" si="211"/>
        <v>10</v>
      </c>
      <c r="DL138" s="1">
        <f t="shared" ca="1" si="212"/>
        <v>0.14045853940190675</v>
      </c>
      <c r="DM138" s="1">
        <f t="shared" ca="1" si="213"/>
        <v>131</v>
      </c>
      <c r="DN138" s="1">
        <f t="shared" ca="1" si="214"/>
        <v>1</v>
      </c>
      <c r="DW138" s="1">
        <f t="shared" ca="1" si="215"/>
        <v>440</v>
      </c>
      <c r="DX138" s="1">
        <f t="shared" ca="1" si="216"/>
        <v>9</v>
      </c>
      <c r="DY138" s="1">
        <f t="shared" ca="1" si="217"/>
        <v>7</v>
      </c>
    </row>
    <row r="139" spans="2:129" x14ac:dyDescent="0.25">
      <c r="B139">
        <f t="shared" ca="1" si="147"/>
        <v>486</v>
      </c>
      <c r="C139">
        <f t="shared" ca="1" si="148"/>
        <v>25</v>
      </c>
      <c r="D139">
        <f t="shared" ca="1" si="149"/>
        <v>0.25126755614029439</v>
      </c>
      <c r="F139" s="1">
        <f t="shared" ca="1" si="150"/>
        <v>41</v>
      </c>
      <c r="G139" s="1">
        <f t="shared" ca="1" si="151"/>
        <v>18</v>
      </c>
      <c r="H139" s="1">
        <f t="shared" ca="1" si="152"/>
        <v>4</v>
      </c>
      <c r="I139" s="1"/>
      <c r="J139" s="1">
        <f t="shared" ca="1" si="153"/>
        <v>3</v>
      </c>
      <c r="K139" s="1">
        <f t="shared" ca="1" si="154"/>
        <v>1.6616688051328345</v>
      </c>
      <c r="L139" s="1">
        <f t="shared" ca="1" si="155"/>
        <v>24</v>
      </c>
      <c r="M139" s="1"/>
      <c r="N139" s="1">
        <f t="shared" ca="1" si="156"/>
        <v>110</v>
      </c>
      <c r="O139" s="1">
        <f t="shared" ca="1" si="157"/>
        <v>14</v>
      </c>
      <c r="P139" s="1"/>
      <c r="Q139" s="1">
        <f t="shared" ca="1" si="158"/>
        <v>3.8495583343665154</v>
      </c>
      <c r="R139" s="1">
        <f t="shared" ca="1" si="159"/>
        <v>806</v>
      </c>
      <c r="S139" s="1"/>
      <c r="T139" s="1">
        <f t="shared" ca="1" si="160"/>
        <v>0.18824008373277104</v>
      </c>
      <c r="U139" s="1">
        <f t="shared" ca="1" si="161"/>
        <v>278</v>
      </c>
      <c r="V139" s="1">
        <f t="shared" ca="1" si="162"/>
        <v>42</v>
      </c>
      <c r="W139" s="1"/>
      <c r="X139" s="1">
        <f t="shared" ca="1" si="163"/>
        <v>8.6471334720679458</v>
      </c>
      <c r="Y139" s="1">
        <f t="shared" ca="1" si="164"/>
        <v>0.79718105649977233</v>
      </c>
      <c r="Z139" s="1">
        <f t="shared" ca="1" si="165"/>
        <v>1677</v>
      </c>
      <c r="AB139" s="1">
        <f t="shared" ca="1" si="166"/>
        <v>0.46963202472760301</v>
      </c>
      <c r="AC139" s="1">
        <f t="shared" ca="1" si="167"/>
        <v>957</v>
      </c>
      <c r="AD139" s="1">
        <f t="shared" ca="1" si="168"/>
        <v>9.8546113869992956E-4</v>
      </c>
      <c r="AE139" s="1"/>
      <c r="AF139" s="1">
        <f t="shared" ca="1" si="169"/>
        <v>0.45078030755910115</v>
      </c>
      <c r="AG139" s="1">
        <f t="shared" ca="1" si="170"/>
        <v>224</v>
      </c>
      <c r="AH139" s="1">
        <f t="shared" ca="1" si="171"/>
        <v>7.3119863298820118E-3</v>
      </c>
      <c r="AJ139" s="1">
        <f t="shared" ca="1" si="172"/>
        <v>0.57592852813410345</v>
      </c>
      <c r="AK139" s="1">
        <f t="shared" ca="1" si="173"/>
        <v>6.4539874836184695E-3</v>
      </c>
      <c r="AL139" s="1"/>
      <c r="AM139" s="1">
        <f t="shared" ca="1" si="174"/>
        <v>0.16984576862109702</v>
      </c>
      <c r="AN139" s="1">
        <f t="shared" ca="1" si="175"/>
        <v>28</v>
      </c>
      <c r="AO139" s="1">
        <f t="shared" ca="1" si="176"/>
        <v>11</v>
      </c>
      <c r="AQ139" s="1">
        <f t="shared" ca="1" si="177"/>
        <v>162</v>
      </c>
      <c r="AR139" s="1">
        <f t="shared" ca="1" si="178"/>
        <v>5</v>
      </c>
      <c r="AS139" s="1">
        <f t="shared" ca="1" si="179"/>
        <v>100</v>
      </c>
      <c r="AU139" s="1">
        <f t="shared" ca="1" si="180"/>
        <v>166</v>
      </c>
      <c r="AV139" s="1">
        <f t="shared" ca="1" si="181"/>
        <v>2</v>
      </c>
      <c r="AW139" s="1">
        <f t="shared" ca="1" si="182"/>
        <v>1.1177756374064332E-2</v>
      </c>
      <c r="AY139" s="1">
        <f t="shared" ca="1" si="183"/>
        <v>1.4331644822231953</v>
      </c>
      <c r="AZ139" s="1">
        <f t="shared" ca="1" si="184"/>
        <v>220</v>
      </c>
      <c r="BA139" s="1">
        <f t="shared" ca="1" si="185"/>
        <v>1.1981199987577354E-4</v>
      </c>
      <c r="BG139" s="1">
        <f t="shared" ca="1" si="186"/>
        <v>0.13642929101304466</v>
      </c>
      <c r="BH139" s="1">
        <f t="shared" ca="1" si="187"/>
        <v>0.98015373169400266</v>
      </c>
      <c r="BI139" s="1">
        <f t="shared" ca="1" si="188"/>
        <v>304</v>
      </c>
      <c r="BV139" s="1">
        <f t="shared" ca="1" si="189"/>
        <v>0.40504552182183362</v>
      </c>
      <c r="BW139" s="1">
        <f t="shared" ca="1" si="190"/>
        <v>883</v>
      </c>
      <c r="BX139" s="1">
        <f t="shared" ca="1" si="191"/>
        <v>4.2276842591273921E-3</v>
      </c>
      <c r="BY139" s="1">
        <f t="shared" ca="1" si="192"/>
        <v>9.0009788551894773E-2</v>
      </c>
      <c r="BZ139" s="1">
        <f t="shared" ca="1" si="193"/>
        <v>0.65819817111494627</v>
      </c>
      <c r="CB139" s="1">
        <f t="shared" ca="1" si="194"/>
        <v>444</v>
      </c>
      <c r="CC139" s="1">
        <f t="shared" ca="1" si="195"/>
        <v>4</v>
      </c>
      <c r="CD139" s="1">
        <f t="shared" ca="1" si="196"/>
        <v>0.21193753630023515</v>
      </c>
      <c r="CE139" s="1">
        <f t="shared" ca="1" si="197"/>
        <v>0.55978192381749292</v>
      </c>
      <c r="CF139" s="1">
        <f t="shared" ca="1" si="197"/>
        <v>0.89825437175938405</v>
      </c>
      <c r="CH139" s="3">
        <f t="shared" ca="1" si="198"/>
        <v>6.5472764803005193E-2</v>
      </c>
      <c r="CI139" s="3">
        <f t="shared" ca="1" si="199"/>
        <v>0.67039349257653114</v>
      </c>
      <c r="CJ139" s="3">
        <f t="shared" ca="1" si="200"/>
        <v>1551</v>
      </c>
      <c r="CK139" s="3">
        <f t="shared" ca="1" si="201"/>
        <v>6.144331169444568E-3</v>
      </c>
      <c r="CL139" s="3">
        <f t="shared" ca="1" si="202"/>
        <v>1</v>
      </c>
      <c r="CM139" s="3"/>
      <c r="CN139" s="1">
        <f t="shared" ca="1" si="203"/>
        <v>8.8419967386607343</v>
      </c>
      <c r="CO139" s="1">
        <f t="shared" ca="1" si="204"/>
        <v>0.33308092187185984</v>
      </c>
      <c r="CP139" s="1">
        <f t="shared" ca="1" si="205"/>
        <v>3</v>
      </c>
      <c r="CV139" s="1">
        <f t="shared" ca="1" si="206"/>
        <v>0.52191591149908878</v>
      </c>
      <c r="CW139" s="1">
        <f t="shared" ca="1" si="207"/>
        <v>1738</v>
      </c>
      <c r="CX139" s="1">
        <f t="shared" ca="1" si="208"/>
        <v>7.8884909374015346E-3</v>
      </c>
      <c r="DH139" s="1">
        <f t="shared" ca="1" si="209"/>
        <v>181</v>
      </c>
      <c r="DI139" s="1">
        <f t="shared" ca="1" si="210"/>
        <v>0.37246323964550726</v>
      </c>
      <c r="DJ139" s="1">
        <f t="shared" ca="1" si="211"/>
        <v>19</v>
      </c>
      <c r="DL139" s="1">
        <f t="shared" ca="1" si="212"/>
        <v>8.7344746752549191E-2</v>
      </c>
      <c r="DM139" s="1">
        <f t="shared" ca="1" si="213"/>
        <v>231</v>
      </c>
      <c r="DN139" s="1">
        <f t="shared" ca="1" si="214"/>
        <v>5</v>
      </c>
      <c r="DW139" s="1">
        <f t="shared" ca="1" si="215"/>
        <v>56</v>
      </c>
      <c r="DX139" s="1">
        <f t="shared" ca="1" si="216"/>
        <v>17</v>
      </c>
      <c r="DY139" s="1">
        <f t="shared" ca="1" si="217"/>
        <v>7</v>
      </c>
    </row>
    <row r="140" spans="2:129" x14ac:dyDescent="0.25">
      <c r="B140">
        <f t="shared" ca="1" si="147"/>
        <v>286</v>
      </c>
      <c r="C140">
        <f t="shared" ca="1" si="148"/>
        <v>27</v>
      </c>
      <c r="D140">
        <f t="shared" ca="1" si="149"/>
        <v>0.16033030868421322</v>
      </c>
      <c r="F140" s="1">
        <f t="shared" ca="1" si="150"/>
        <v>37</v>
      </c>
      <c r="G140" s="1">
        <f t="shared" ca="1" si="151"/>
        <v>8</v>
      </c>
      <c r="H140" s="1">
        <f t="shared" ca="1" si="152"/>
        <v>15</v>
      </c>
      <c r="I140" s="1"/>
      <c r="J140" s="1">
        <f t="shared" ca="1" si="153"/>
        <v>19</v>
      </c>
      <c r="K140" s="1">
        <f t="shared" ca="1" si="154"/>
        <v>2.7028966090168369</v>
      </c>
      <c r="L140" s="1">
        <f t="shared" ca="1" si="155"/>
        <v>20</v>
      </c>
      <c r="M140" s="1"/>
      <c r="N140" s="1">
        <f t="shared" ca="1" si="156"/>
        <v>497</v>
      </c>
      <c r="O140" s="1">
        <f t="shared" ca="1" si="157"/>
        <v>18</v>
      </c>
      <c r="P140" s="1"/>
      <c r="Q140" s="1">
        <f t="shared" ca="1" si="158"/>
        <v>3.3068196098996623</v>
      </c>
      <c r="R140" s="1">
        <f t="shared" ca="1" si="159"/>
        <v>923</v>
      </c>
      <c r="S140" s="1"/>
      <c r="T140" s="1">
        <f t="shared" ca="1" si="160"/>
        <v>5.9206164477119065E-2</v>
      </c>
      <c r="U140" s="1">
        <f t="shared" ca="1" si="161"/>
        <v>205</v>
      </c>
      <c r="V140" s="1">
        <f t="shared" ca="1" si="162"/>
        <v>52</v>
      </c>
      <c r="W140" s="1"/>
      <c r="X140" s="1">
        <f t="shared" ca="1" si="163"/>
        <v>7.058358093843708</v>
      </c>
      <c r="Y140" s="1">
        <f t="shared" ca="1" si="164"/>
        <v>0.81026361768396327</v>
      </c>
      <c r="Z140" s="1">
        <f t="shared" ca="1" si="165"/>
        <v>799</v>
      </c>
      <c r="AB140" s="1">
        <f t="shared" ca="1" si="166"/>
        <v>0.63154901364382221</v>
      </c>
      <c r="AC140" s="1">
        <f t="shared" ca="1" si="167"/>
        <v>952</v>
      </c>
      <c r="AD140" s="1">
        <f t="shared" ca="1" si="168"/>
        <v>2.3296150634835649E-3</v>
      </c>
      <c r="AE140" s="1"/>
      <c r="AF140" s="1">
        <f t="shared" ca="1" si="169"/>
        <v>0.63486848388468264</v>
      </c>
      <c r="AG140" s="1">
        <f t="shared" ca="1" si="170"/>
        <v>315</v>
      </c>
      <c r="AH140" s="1">
        <f t="shared" ca="1" si="171"/>
        <v>4.8066120617181697E-3</v>
      </c>
      <c r="AJ140" s="1">
        <f t="shared" ca="1" si="172"/>
        <v>0.42455550233120753</v>
      </c>
      <c r="AK140" s="1">
        <f t="shared" ca="1" si="173"/>
        <v>9.3635903679796482E-3</v>
      </c>
      <c r="AL140" s="1"/>
      <c r="AM140" s="1">
        <f t="shared" ca="1" si="174"/>
        <v>8.4191343809811164E-2</v>
      </c>
      <c r="AN140" s="1">
        <f t="shared" ca="1" si="175"/>
        <v>57</v>
      </c>
      <c r="AO140" s="1">
        <f t="shared" ca="1" si="176"/>
        <v>17</v>
      </c>
      <c r="AQ140" s="1">
        <f t="shared" ca="1" si="177"/>
        <v>185</v>
      </c>
      <c r="AR140" s="1">
        <f t="shared" ca="1" si="178"/>
        <v>3</v>
      </c>
      <c r="AS140" s="1">
        <f t="shared" ca="1" si="179"/>
        <v>19</v>
      </c>
      <c r="AU140" s="1">
        <f t="shared" ca="1" si="180"/>
        <v>305</v>
      </c>
      <c r="AV140" s="1">
        <f t="shared" ca="1" si="181"/>
        <v>5</v>
      </c>
      <c r="AW140" s="1">
        <f t="shared" ca="1" si="182"/>
        <v>0.11074851137451971</v>
      </c>
      <c r="AY140" s="1">
        <f t="shared" ca="1" si="183"/>
        <v>1.3213374791244974</v>
      </c>
      <c r="AZ140" s="1">
        <f t="shared" ca="1" si="184"/>
        <v>213</v>
      </c>
      <c r="BA140" s="1">
        <f t="shared" ca="1" si="185"/>
        <v>3.2513156144538697E-4</v>
      </c>
      <c r="BG140" s="1">
        <f t="shared" ca="1" si="186"/>
        <v>0.20422401619829153</v>
      </c>
      <c r="BH140" s="1">
        <f t="shared" ca="1" si="187"/>
        <v>0.23557369549744323</v>
      </c>
      <c r="BI140" s="1">
        <f t="shared" ca="1" si="188"/>
        <v>475</v>
      </c>
      <c r="BV140" s="1">
        <f t="shared" ca="1" si="189"/>
        <v>0.8148211638649665</v>
      </c>
      <c r="BW140" s="1">
        <f t="shared" ca="1" si="190"/>
        <v>560</v>
      </c>
      <c r="BX140" s="1">
        <f t="shared" ca="1" si="191"/>
        <v>3.039882857778245E-3</v>
      </c>
      <c r="BY140" s="1">
        <f t="shared" ca="1" si="192"/>
        <v>2.4345140669101394E-2</v>
      </c>
      <c r="BZ140" s="1">
        <f t="shared" ca="1" si="193"/>
        <v>0.62754648904142507</v>
      </c>
      <c r="CB140" s="1">
        <f t="shared" ca="1" si="194"/>
        <v>339</v>
      </c>
      <c r="CC140" s="1">
        <f t="shared" ca="1" si="195"/>
        <v>6</v>
      </c>
      <c r="CD140" s="1">
        <f t="shared" ca="1" si="196"/>
        <v>0.22149259564532542</v>
      </c>
      <c r="CE140" s="1">
        <f t="shared" ca="1" si="197"/>
        <v>0.94771285283018147</v>
      </c>
      <c r="CF140" s="1">
        <f t="shared" ca="1" si="197"/>
        <v>0.82576732934613495</v>
      </c>
      <c r="CH140" s="3">
        <f t="shared" ca="1" si="198"/>
        <v>0.59886756447612965</v>
      </c>
      <c r="CI140" s="3">
        <f t="shared" ca="1" si="199"/>
        <v>0.34567210770486517</v>
      </c>
      <c r="CJ140" s="3">
        <f t="shared" ca="1" si="200"/>
        <v>803</v>
      </c>
      <c r="CK140" s="3">
        <f t="shared" ca="1" si="201"/>
        <v>5.7509488214217809E-3</v>
      </c>
      <c r="CL140" s="3">
        <f t="shared" ca="1" si="202"/>
        <v>1</v>
      </c>
      <c r="CM140" s="3"/>
      <c r="CN140" s="1">
        <f t="shared" ca="1" si="203"/>
        <v>3.9548582815715698</v>
      </c>
      <c r="CO140" s="1">
        <f t="shared" ca="1" si="204"/>
        <v>0.24253704182083749</v>
      </c>
      <c r="CP140" s="1">
        <f t="shared" ca="1" si="205"/>
        <v>2</v>
      </c>
      <c r="CV140" s="1">
        <f t="shared" ca="1" si="206"/>
        <v>0.56554999123723193</v>
      </c>
      <c r="CW140" s="1">
        <f t="shared" ca="1" si="207"/>
        <v>1042</v>
      </c>
      <c r="CX140" s="1">
        <f t="shared" ca="1" si="208"/>
        <v>6.8125094876751865E-4</v>
      </c>
      <c r="DH140" s="1">
        <f t="shared" ca="1" si="209"/>
        <v>145</v>
      </c>
      <c r="DI140" s="1">
        <f t="shared" ca="1" si="210"/>
        <v>0.87877461628523301</v>
      </c>
      <c r="DJ140" s="1">
        <f t="shared" ca="1" si="211"/>
        <v>20</v>
      </c>
      <c r="DL140" s="1">
        <f t="shared" ca="1" si="212"/>
        <v>3.8607965476008879E-2</v>
      </c>
      <c r="DM140" s="1">
        <f t="shared" ca="1" si="213"/>
        <v>149</v>
      </c>
      <c r="DN140" s="1">
        <f t="shared" ca="1" si="214"/>
        <v>9</v>
      </c>
      <c r="DW140" s="1">
        <f t="shared" ca="1" si="215"/>
        <v>182</v>
      </c>
      <c r="DX140" s="1">
        <f t="shared" ca="1" si="216"/>
        <v>14</v>
      </c>
      <c r="DY140" s="1">
        <f t="shared" ca="1" si="217"/>
        <v>17</v>
      </c>
    </row>
    <row r="141" spans="2:129" x14ac:dyDescent="0.25">
      <c r="B141">
        <f t="shared" ca="1" si="147"/>
        <v>264</v>
      </c>
      <c r="C141">
        <f t="shared" ca="1" si="148"/>
        <v>23</v>
      </c>
      <c r="D141">
        <f t="shared" ca="1" si="149"/>
        <v>0.14072756966008867</v>
      </c>
      <c r="F141" s="1">
        <f t="shared" ca="1" si="150"/>
        <v>49</v>
      </c>
      <c r="G141" s="1">
        <f t="shared" ca="1" si="151"/>
        <v>30</v>
      </c>
      <c r="H141" s="1">
        <f t="shared" ca="1" si="152"/>
        <v>15</v>
      </c>
      <c r="I141" s="1"/>
      <c r="J141" s="1">
        <f t="shared" ca="1" si="153"/>
        <v>6</v>
      </c>
      <c r="K141" s="1">
        <f t="shared" ca="1" si="154"/>
        <v>2.8905185624210983</v>
      </c>
      <c r="L141" s="1">
        <f t="shared" ca="1" si="155"/>
        <v>27</v>
      </c>
      <c r="M141" s="1"/>
      <c r="N141" s="1">
        <f t="shared" ca="1" si="156"/>
        <v>871</v>
      </c>
      <c r="O141" s="1">
        <f t="shared" ca="1" si="157"/>
        <v>22</v>
      </c>
      <c r="P141" s="1"/>
      <c r="Q141" s="1">
        <f t="shared" ca="1" si="158"/>
        <v>3.4926486067717533</v>
      </c>
      <c r="R141" s="1">
        <f t="shared" ca="1" si="159"/>
        <v>382</v>
      </c>
      <c r="S141" s="1"/>
      <c r="T141" s="1">
        <f t="shared" ca="1" si="160"/>
        <v>0.14064143786994057</v>
      </c>
      <c r="U141" s="1">
        <f t="shared" ca="1" si="161"/>
        <v>123</v>
      </c>
      <c r="V141" s="1">
        <f t="shared" ca="1" si="162"/>
        <v>40</v>
      </c>
      <c r="W141" s="1"/>
      <c r="X141" s="1">
        <f t="shared" ca="1" si="163"/>
        <v>9.6681092144891618</v>
      </c>
      <c r="Y141" s="1">
        <f t="shared" ca="1" si="164"/>
        <v>0.14882842810377184</v>
      </c>
      <c r="Z141" s="1">
        <f t="shared" ca="1" si="165"/>
        <v>1680</v>
      </c>
      <c r="AB141" s="1">
        <f t="shared" ca="1" si="166"/>
        <v>0.23071385401484076</v>
      </c>
      <c r="AC141" s="1">
        <f t="shared" ca="1" si="167"/>
        <v>447</v>
      </c>
      <c r="AD141" s="1">
        <f t="shared" ca="1" si="168"/>
        <v>1.1376057553346701E-3</v>
      </c>
      <c r="AE141" s="1"/>
      <c r="AF141" s="1">
        <f t="shared" ca="1" si="169"/>
        <v>0.24966427687526008</v>
      </c>
      <c r="AG141" s="1">
        <f t="shared" ca="1" si="170"/>
        <v>820</v>
      </c>
      <c r="AH141" s="1">
        <f t="shared" ca="1" si="171"/>
        <v>9.3643184251827726E-3</v>
      </c>
      <c r="AJ141" s="1">
        <f t="shared" ca="1" si="172"/>
        <v>0.46658587939323393</v>
      </c>
      <c r="AK141" s="1">
        <f t="shared" ca="1" si="173"/>
        <v>2.4724585297701334E-4</v>
      </c>
      <c r="AL141" s="1"/>
      <c r="AM141" s="1">
        <f t="shared" ca="1" si="174"/>
        <v>9.3952565820541636E-2</v>
      </c>
      <c r="AN141" s="1">
        <f t="shared" ca="1" si="175"/>
        <v>16</v>
      </c>
      <c r="AO141" s="1">
        <f t="shared" ca="1" si="176"/>
        <v>10</v>
      </c>
      <c r="AQ141" s="1">
        <f t="shared" ca="1" si="177"/>
        <v>47</v>
      </c>
      <c r="AR141" s="1">
        <f t="shared" ca="1" si="178"/>
        <v>9</v>
      </c>
      <c r="AS141" s="1">
        <f t="shared" ca="1" si="179"/>
        <v>35</v>
      </c>
      <c r="AU141" s="1">
        <f t="shared" ca="1" si="180"/>
        <v>299</v>
      </c>
      <c r="AV141" s="1">
        <f t="shared" ca="1" si="181"/>
        <v>8</v>
      </c>
      <c r="AW141" s="1">
        <f t="shared" ca="1" si="182"/>
        <v>0.1367869701883013</v>
      </c>
      <c r="AY141" s="1">
        <f t="shared" ca="1" si="183"/>
        <v>1.9572819591621013</v>
      </c>
      <c r="AZ141" s="1">
        <f t="shared" ca="1" si="184"/>
        <v>325</v>
      </c>
      <c r="BA141" s="1">
        <f t="shared" ca="1" si="185"/>
        <v>4.6183350784790023E-3</v>
      </c>
      <c r="BG141" s="1">
        <f t="shared" ca="1" si="186"/>
        <v>0.99087649974426639</v>
      </c>
      <c r="BH141" s="1">
        <f t="shared" ca="1" si="187"/>
        <v>0.79516333153409224</v>
      </c>
      <c r="BI141" s="1">
        <f t="shared" ca="1" si="188"/>
        <v>324</v>
      </c>
      <c r="BV141" s="1">
        <f t="shared" ca="1" si="189"/>
        <v>0.41368959255827603</v>
      </c>
      <c r="BW141" s="1">
        <f t="shared" ca="1" si="190"/>
        <v>481</v>
      </c>
      <c r="BX141" s="1">
        <f t="shared" ca="1" si="191"/>
        <v>5.3011770421201154E-3</v>
      </c>
      <c r="BY141" s="1">
        <f t="shared" ca="1" si="192"/>
        <v>1.9106900485743813E-2</v>
      </c>
      <c r="BZ141" s="1">
        <f t="shared" ca="1" si="193"/>
        <v>0.69869870123030242</v>
      </c>
      <c r="CB141" s="1">
        <f t="shared" ca="1" si="194"/>
        <v>100</v>
      </c>
      <c r="CC141" s="1">
        <f t="shared" ca="1" si="195"/>
        <v>15</v>
      </c>
      <c r="CD141" s="1">
        <f t="shared" ca="1" si="196"/>
        <v>0.1342276028958615</v>
      </c>
      <c r="CE141" s="1">
        <f t="shared" ca="1" si="197"/>
        <v>0.6078625414405876</v>
      </c>
      <c r="CF141" s="1">
        <f t="shared" ca="1" si="197"/>
        <v>0.82449844473700318</v>
      </c>
      <c r="CH141" s="3">
        <f t="shared" ca="1" si="198"/>
        <v>0.22855091573358033</v>
      </c>
      <c r="CI141" s="3">
        <f t="shared" ca="1" si="199"/>
        <v>0.59103971196948768</v>
      </c>
      <c r="CJ141" s="3">
        <f t="shared" ca="1" si="200"/>
        <v>145</v>
      </c>
      <c r="CK141" s="3">
        <f t="shared" ca="1" si="201"/>
        <v>1.2853947583068353E-3</v>
      </c>
      <c r="CL141" s="3">
        <f t="shared" ca="1" si="202"/>
        <v>0</v>
      </c>
      <c r="CM141" s="3"/>
      <c r="CN141" s="1">
        <f t="shared" ca="1" si="203"/>
        <v>10.058136425210664</v>
      </c>
      <c r="CO141" s="1">
        <f t="shared" ca="1" si="204"/>
        <v>0.392056032516375</v>
      </c>
      <c r="CP141" s="1">
        <f t="shared" ca="1" si="205"/>
        <v>1</v>
      </c>
      <c r="CV141" s="1">
        <f t="shared" ca="1" si="206"/>
        <v>1.1455106522138581</v>
      </c>
      <c r="CW141" s="1">
        <f t="shared" ca="1" si="207"/>
        <v>1793</v>
      </c>
      <c r="CX141" s="1">
        <f t="shared" ca="1" si="208"/>
        <v>6.832396232561602E-3</v>
      </c>
      <c r="DH141" s="1">
        <f t="shared" ca="1" si="209"/>
        <v>508</v>
      </c>
      <c r="DI141" s="1">
        <f t="shared" ca="1" si="210"/>
        <v>0.71883674475119197</v>
      </c>
      <c r="DJ141" s="1">
        <f t="shared" ca="1" si="211"/>
        <v>8</v>
      </c>
      <c r="DL141" s="1">
        <f t="shared" ca="1" si="212"/>
        <v>0.12948433780172988</v>
      </c>
      <c r="DM141" s="1">
        <f t="shared" ca="1" si="213"/>
        <v>159</v>
      </c>
      <c r="DN141" s="1">
        <f t="shared" ca="1" si="214"/>
        <v>5</v>
      </c>
      <c r="DW141" s="1">
        <f t="shared" ca="1" si="215"/>
        <v>95</v>
      </c>
      <c r="DX141" s="1">
        <f t="shared" ca="1" si="216"/>
        <v>16</v>
      </c>
      <c r="DY141" s="1">
        <f t="shared" ca="1" si="217"/>
        <v>12</v>
      </c>
    </row>
    <row r="142" spans="2:129" x14ac:dyDescent="0.25">
      <c r="B142">
        <f t="shared" ca="1" si="147"/>
        <v>249</v>
      </c>
      <c r="C142">
        <f t="shared" ca="1" si="148"/>
        <v>49</v>
      </c>
      <c r="D142">
        <f t="shared" ca="1" si="149"/>
        <v>8.45333400286256E-2</v>
      </c>
      <c r="F142" s="1">
        <f t="shared" ca="1" si="150"/>
        <v>47</v>
      </c>
      <c r="G142" s="1">
        <f t="shared" ca="1" si="151"/>
        <v>19</v>
      </c>
      <c r="H142" s="1">
        <f t="shared" ca="1" si="152"/>
        <v>15</v>
      </c>
      <c r="I142" s="1"/>
      <c r="J142" s="1">
        <f t="shared" ca="1" si="153"/>
        <v>6</v>
      </c>
      <c r="K142" s="1">
        <f t="shared" ca="1" si="154"/>
        <v>2.0383434110005476</v>
      </c>
      <c r="L142" s="1">
        <f t="shared" ca="1" si="155"/>
        <v>13</v>
      </c>
      <c r="M142" s="1"/>
      <c r="N142" s="1">
        <f t="shared" ca="1" si="156"/>
        <v>785</v>
      </c>
      <c r="O142" s="1">
        <f t="shared" ca="1" si="157"/>
        <v>45</v>
      </c>
      <c r="P142" s="1"/>
      <c r="Q142" s="1">
        <f t="shared" ca="1" si="158"/>
        <v>4.7153074633982648</v>
      </c>
      <c r="R142" s="1">
        <f t="shared" ca="1" si="159"/>
        <v>1050</v>
      </c>
      <c r="S142" s="1"/>
      <c r="T142" s="1">
        <f t="shared" ca="1" si="160"/>
        <v>0.12937073334239679</v>
      </c>
      <c r="U142" s="1">
        <f t="shared" ca="1" si="161"/>
        <v>87</v>
      </c>
      <c r="V142" s="1">
        <f t="shared" ca="1" si="162"/>
        <v>19</v>
      </c>
      <c r="W142" s="1"/>
      <c r="X142" s="1">
        <f t="shared" ca="1" si="163"/>
        <v>6.1814622823253185</v>
      </c>
      <c r="Y142" s="1">
        <f t="shared" ca="1" si="164"/>
        <v>0.10349422257055384</v>
      </c>
      <c r="Z142" s="1">
        <f t="shared" ca="1" si="165"/>
        <v>196</v>
      </c>
      <c r="AB142" s="1">
        <f t="shared" ca="1" si="166"/>
        <v>0.36961306420452184</v>
      </c>
      <c r="AC142" s="1">
        <f t="shared" ca="1" si="167"/>
        <v>415</v>
      </c>
      <c r="AD142" s="1">
        <f t="shared" ca="1" si="168"/>
        <v>7.7137524283239431E-3</v>
      </c>
      <c r="AE142" s="1"/>
      <c r="AF142" s="1">
        <f t="shared" ca="1" si="169"/>
        <v>0.49998566175460069</v>
      </c>
      <c r="AG142" s="1">
        <f t="shared" ca="1" si="170"/>
        <v>427</v>
      </c>
      <c r="AH142" s="1">
        <f t="shared" ca="1" si="171"/>
        <v>7.8106821347560806E-3</v>
      </c>
      <c r="AJ142" s="1">
        <f t="shared" ca="1" si="172"/>
        <v>0.30146604652918585</v>
      </c>
      <c r="AK142" s="1">
        <f t="shared" ca="1" si="173"/>
        <v>3.3054040701016005E-4</v>
      </c>
      <c r="AL142" s="1"/>
      <c r="AM142" s="1">
        <f t="shared" ca="1" si="174"/>
        <v>0.1753348518370022</v>
      </c>
      <c r="AN142" s="1">
        <f t="shared" ca="1" si="175"/>
        <v>62</v>
      </c>
      <c r="AO142" s="1">
        <f t="shared" ca="1" si="176"/>
        <v>4</v>
      </c>
      <c r="AQ142" s="1">
        <f t="shared" ca="1" si="177"/>
        <v>20</v>
      </c>
      <c r="AR142" s="1">
        <f t="shared" ca="1" si="178"/>
        <v>0</v>
      </c>
      <c r="AS142" s="1">
        <f t="shared" ca="1" si="179"/>
        <v>97</v>
      </c>
      <c r="AU142" s="1">
        <f t="shared" ca="1" si="180"/>
        <v>320</v>
      </c>
      <c r="AV142" s="1">
        <f t="shared" ca="1" si="181"/>
        <v>8</v>
      </c>
      <c r="AW142" s="1">
        <f t="shared" ca="1" si="182"/>
        <v>0.14581681739640562</v>
      </c>
      <c r="AY142" s="1">
        <f t="shared" ca="1" si="183"/>
        <v>1.237301397774716</v>
      </c>
      <c r="AZ142" s="1">
        <f t="shared" ca="1" si="184"/>
        <v>419</v>
      </c>
      <c r="BA142" s="1">
        <f t="shared" ca="1" si="185"/>
        <v>1.7720860404238346E-3</v>
      </c>
      <c r="BG142" s="1">
        <f t="shared" ca="1" si="186"/>
        <v>0.11208531744613863</v>
      </c>
      <c r="BH142" s="1">
        <f t="shared" ca="1" si="187"/>
        <v>0.8565132020495787</v>
      </c>
      <c r="BI142" s="1">
        <f t="shared" ca="1" si="188"/>
        <v>488</v>
      </c>
      <c r="BV142" s="1">
        <f t="shared" ca="1" si="189"/>
        <v>0.68719451547811372</v>
      </c>
      <c r="BW142" s="1">
        <f t="shared" ca="1" si="190"/>
        <v>837</v>
      </c>
      <c r="BX142" s="1">
        <f t="shared" ca="1" si="191"/>
        <v>3.7588141638295576E-3</v>
      </c>
      <c r="BY142" s="1">
        <f t="shared" ca="1" si="192"/>
        <v>1.245203905798864E-2</v>
      </c>
      <c r="BZ142" s="1">
        <f t="shared" ca="1" si="193"/>
        <v>0.94504437814123954</v>
      </c>
      <c r="CB142" s="1">
        <f t="shared" ca="1" si="194"/>
        <v>201</v>
      </c>
      <c r="CC142" s="1">
        <f t="shared" ca="1" si="195"/>
        <v>9</v>
      </c>
      <c r="CD142" s="1">
        <f t="shared" ca="1" si="196"/>
        <v>0.20271208843957988</v>
      </c>
      <c r="CE142" s="1">
        <f t="shared" ca="1" si="197"/>
        <v>0.85774662142237956</v>
      </c>
      <c r="CF142" s="1">
        <f t="shared" ca="1" si="197"/>
        <v>0.64045316664797991</v>
      </c>
      <c r="CH142" s="3">
        <f t="shared" ca="1" si="198"/>
        <v>0.56227648155790133</v>
      </c>
      <c r="CI142" s="3">
        <f t="shared" ca="1" si="199"/>
        <v>0.74135298347648493</v>
      </c>
      <c r="CJ142" s="3">
        <f t="shared" ca="1" si="200"/>
        <v>824</v>
      </c>
      <c r="CK142" s="3">
        <f t="shared" ca="1" si="201"/>
        <v>5.3523060585122136E-3</v>
      </c>
      <c r="CL142" s="3">
        <f t="shared" ca="1" si="202"/>
        <v>0</v>
      </c>
      <c r="CM142" s="3"/>
      <c r="CN142" s="1">
        <f t="shared" ca="1" si="203"/>
        <v>9.3590910255896507</v>
      </c>
      <c r="CO142" s="1">
        <f t="shared" ca="1" si="204"/>
        <v>0.20799419996260601</v>
      </c>
      <c r="CP142" s="1">
        <f t="shared" ca="1" si="205"/>
        <v>2</v>
      </c>
      <c r="CV142" s="1">
        <f t="shared" ca="1" si="206"/>
        <v>8.3994022971267217</v>
      </c>
      <c r="CW142" s="1">
        <f t="shared" ca="1" si="207"/>
        <v>1195</v>
      </c>
      <c r="CX142" s="1">
        <f t="shared" ca="1" si="208"/>
        <v>8.8594723813443625E-3</v>
      </c>
      <c r="DH142" s="1">
        <f t="shared" ca="1" si="209"/>
        <v>685</v>
      </c>
      <c r="DI142" s="1">
        <f t="shared" ca="1" si="210"/>
        <v>0.50432807554404424</v>
      </c>
      <c r="DJ142" s="1">
        <f t="shared" ca="1" si="211"/>
        <v>1</v>
      </c>
      <c r="DL142" s="1">
        <f t="shared" ca="1" si="212"/>
        <v>0.18666016751726641</v>
      </c>
      <c r="DM142" s="1">
        <f t="shared" ca="1" si="213"/>
        <v>79</v>
      </c>
      <c r="DN142" s="1">
        <f t="shared" ca="1" si="214"/>
        <v>10</v>
      </c>
      <c r="DW142" s="1">
        <f t="shared" ca="1" si="215"/>
        <v>494</v>
      </c>
      <c r="DX142" s="1">
        <f t="shared" ca="1" si="216"/>
        <v>12</v>
      </c>
      <c r="DY142" s="1">
        <f t="shared" ca="1" si="217"/>
        <v>7</v>
      </c>
    </row>
    <row r="143" spans="2:129" x14ac:dyDescent="0.25">
      <c r="B143">
        <f t="shared" ca="1" si="147"/>
        <v>880</v>
      </c>
      <c r="C143">
        <f t="shared" ca="1" si="148"/>
        <v>40</v>
      </c>
      <c r="D143">
        <f t="shared" ca="1" si="149"/>
        <v>1.5453176426196362E-2</v>
      </c>
      <c r="F143" s="1">
        <f t="shared" ca="1" si="150"/>
        <v>17</v>
      </c>
      <c r="G143" s="1">
        <f t="shared" ca="1" si="151"/>
        <v>9</v>
      </c>
      <c r="H143" s="1">
        <f t="shared" ca="1" si="152"/>
        <v>7</v>
      </c>
      <c r="I143" s="1"/>
      <c r="J143" s="1">
        <f t="shared" ca="1" si="153"/>
        <v>28</v>
      </c>
      <c r="K143" s="1">
        <f t="shared" ca="1" si="154"/>
        <v>1.7689553168867502</v>
      </c>
      <c r="L143" s="1">
        <f t="shared" ca="1" si="155"/>
        <v>32</v>
      </c>
      <c r="M143" s="1"/>
      <c r="N143" s="1">
        <f t="shared" ca="1" si="156"/>
        <v>591</v>
      </c>
      <c r="O143" s="1">
        <f t="shared" ca="1" si="157"/>
        <v>13</v>
      </c>
      <c r="P143" s="1"/>
      <c r="Q143" s="1">
        <f t="shared" ca="1" si="158"/>
        <v>0.96196171730213864</v>
      </c>
      <c r="R143" s="1">
        <f t="shared" ca="1" si="159"/>
        <v>1141</v>
      </c>
      <c r="S143" s="1"/>
      <c r="T143" s="1">
        <f t="shared" ca="1" si="160"/>
        <v>2.574801521572604E-2</v>
      </c>
      <c r="U143" s="1">
        <f t="shared" ca="1" si="161"/>
        <v>171</v>
      </c>
      <c r="V143" s="1">
        <f t="shared" ca="1" si="162"/>
        <v>45</v>
      </c>
      <c r="W143" s="1"/>
      <c r="X143" s="1">
        <f t="shared" ca="1" si="163"/>
        <v>9.1286497061227649</v>
      </c>
      <c r="Y143" s="1">
        <f t="shared" ca="1" si="164"/>
        <v>0.49019401221376696</v>
      </c>
      <c r="Z143" s="1">
        <f t="shared" ca="1" si="165"/>
        <v>140</v>
      </c>
      <c r="AB143" s="1">
        <f t="shared" ca="1" si="166"/>
        <v>0.89275476645120289</v>
      </c>
      <c r="AC143" s="1">
        <f t="shared" ca="1" si="167"/>
        <v>996</v>
      </c>
      <c r="AD143" s="1">
        <f t="shared" ca="1" si="168"/>
        <v>2.6737233867114175E-3</v>
      </c>
      <c r="AE143" s="1"/>
      <c r="AF143" s="1">
        <f t="shared" ca="1" si="169"/>
        <v>0.7875667411583428</v>
      </c>
      <c r="AG143" s="1">
        <f t="shared" ca="1" si="170"/>
        <v>232</v>
      </c>
      <c r="AH143" s="1">
        <f t="shared" ca="1" si="171"/>
        <v>4.6214496611735167E-3</v>
      </c>
      <c r="AJ143" s="1">
        <f t="shared" ca="1" si="172"/>
        <v>0.37094384682444759</v>
      </c>
      <c r="AK143" s="1">
        <f t="shared" ca="1" si="173"/>
        <v>1.2932285398770864E-3</v>
      </c>
      <c r="AL143" s="1"/>
      <c r="AM143" s="1">
        <f t="shared" ca="1" si="174"/>
        <v>1.3196727516555016E-2</v>
      </c>
      <c r="AN143" s="1">
        <f t="shared" ca="1" si="175"/>
        <v>12</v>
      </c>
      <c r="AO143" s="1">
        <f t="shared" ca="1" si="176"/>
        <v>13</v>
      </c>
      <c r="AQ143" s="1">
        <f t="shared" ca="1" si="177"/>
        <v>33</v>
      </c>
      <c r="AR143" s="1">
        <f t="shared" ca="1" si="178"/>
        <v>6</v>
      </c>
      <c r="AS143" s="1">
        <f t="shared" ca="1" si="179"/>
        <v>61</v>
      </c>
      <c r="AU143" s="1">
        <f t="shared" ca="1" si="180"/>
        <v>339</v>
      </c>
      <c r="AV143" s="1">
        <f t="shared" ca="1" si="181"/>
        <v>9</v>
      </c>
      <c r="AW143" s="1">
        <f t="shared" ca="1" si="182"/>
        <v>7.0391004872567262E-2</v>
      </c>
      <c r="AY143" s="1">
        <f t="shared" ca="1" si="183"/>
        <v>1.6927879010947093</v>
      </c>
      <c r="AZ143" s="1">
        <f t="shared" ca="1" si="184"/>
        <v>331</v>
      </c>
      <c r="BA143" s="1">
        <f t="shared" ca="1" si="185"/>
        <v>4.0778280353588759E-3</v>
      </c>
      <c r="BG143" s="1">
        <f t="shared" ca="1" si="186"/>
        <v>0.9654699169436759</v>
      </c>
      <c r="BH143" s="1">
        <f t="shared" ca="1" si="187"/>
        <v>0.90422810413255705</v>
      </c>
      <c r="BI143" s="1">
        <f t="shared" ca="1" si="188"/>
        <v>586</v>
      </c>
      <c r="BV143" s="1">
        <f t="shared" ca="1" si="189"/>
        <v>0.92196510542815613</v>
      </c>
      <c r="BW143" s="1">
        <f t="shared" ca="1" si="190"/>
        <v>147</v>
      </c>
      <c r="BX143" s="1">
        <f t="shared" ca="1" si="191"/>
        <v>8.4169158330799129E-3</v>
      </c>
      <c r="BY143" s="1">
        <f t="shared" ca="1" si="192"/>
        <v>6.2605255964669718E-2</v>
      </c>
      <c r="BZ143" s="1">
        <f t="shared" ca="1" si="193"/>
        <v>0.41918928426470092</v>
      </c>
      <c r="CB143" s="1">
        <f t="shared" ca="1" si="194"/>
        <v>330</v>
      </c>
      <c r="CC143" s="1">
        <f t="shared" ca="1" si="195"/>
        <v>8</v>
      </c>
      <c r="CD143" s="1">
        <f t="shared" ca="1" si="196"/>
        <v>0.23662080798677476</v>
      </c>
      <c r="CE143" s="1">
        <f t="shared" ca="1" si="197"/>
        <v>0.86579199336098478</v>
      </c>
      <c r="CF143" s="1">
        <f t="shared" ca="1" si="197"/>
        <v>0.8946600728884524</v>
      </c>
      <c r="CH143" s="3">
        <f t="shared" ca="1" si="198"/>
        <v>0.30449181215868054</v>
      </c>
      <c r="CI143" s="3">
        <f t="shared" ca="1" si="199"/>
        <v>0.74074991728114437</v>
      </c>
      <c r="CJ143" s="3">
        <f t="shared" ca="1" si="200"/>
        <v>1502</v>
      </c>
      <c r="CK143" s="3">
        <f t="shared" ca="1" si="201"/>
        <v>8.3942032880795995E-3</v>
      </c>
      <c r="CL143" s="3">
        <f t="shared" ca="1" si="202"/>
        <v>0</v>
      </c>
      <c r="CM143" s="3"/>
      <c r="CN143" s="1">
        <f t="shared" ca="1" si="203"/>
        <v>3.958894068721587</v>
      </c>
      <c r="CO143" s="1">
        <f t="shared" ca="1" si="204"/>
        <v>0.24123669909431397</v>
      </c>
      <c r="CP143" s="1">
        <f t="shared" ca="1" si="205"/>
        <v>4</v>
      </c>
      <c r="CV143" s="1">
        <f t="shared" ca="1" si="206"/>
        <v>7.3461523308627896</v>
      </c>
      <c r="CW143" s="1">
        <f t="shared" ca="1" si="207"/>
        <v>915</v>
      </c>
      <c r="CX143" s="1">
        <f t="shared" ca="1" si="208"/>
        <v>1.0877168661899009E-3</v>
      </c>
      <c r="DH143" s="1">
        <f t="shared" ca="1" si="209"/>
        <v>544</v>
      </c>
      <c r="DI143" s="1">
        <f t="shared" ca="1" si="210"/>
        <v>0.97320657776485953</v>
      </c>
      <c r="DJ143" s="1">
        <f t="shared" ca="1" si="211"/>
        <v>17</v>
      </c>
      <c r="DL143" s="1">
        <f t="shared" ca="1" si="212"/>
        <v>0.10715672914999445</v>
      </c>
      <c r="DM143" s="1">
        <f t="shared" ca="1" si="213"/>
        <v>78</v>
      </c>
      <c r="DN143" s="1">
        <f t="shared" ca="1" si="214"/>
        <v>6</v>
      </c>
      <c r="DW143" s="1">
        <f t="shared" ca="1" si="215"/>
        <v>205</v>
      </c>
      <c r="DX143" s="1">
        <f t="shared" ca="1" si="216"/>
        <v>10</v>
      </c>
      <c r="DY143" s="1">
        <f t="shared" ca="1" si="217"/>
        <v>11</v>
      </c>
    </row>
    <row r="144" spans="2:129" x14ac:dyDescent="0.25">
      <c r="B144">
        <f t="shared" ca="1" si="147"/>
        <v>777</v>
      </c>
      <c r="C144">
        <f t="shared" ca="1" si="148"/>
        <v>11</v>
      </c>
      <c r="D144">
        <f t="shared" ca="1" si="149"/>
        <v>0.10576193935471677</v>
      </c>
      <c r="F144" s="1">
        <f t="shared" ca="1" si="150"/>
        <v>4</v>
      </c>
      <c r="G144" s="1">
        <f t="shared" ca="1" si="151"/>
        <v>11</v>
      </c>
      <c r="H144" s="1">
        <f t="shared" ca="1" si="152"/>
        <v>5</v>
      </c>
      <c r="I144" s="1"/>
      <c r="J144" s="1">
        <f t="shared" ca="1" si="153"/>
        <v>4</v>
      </c>
      <c r="K144" s="1">
        <f t="shared" ca="1" si="154"/>
        <v>2.0696581701528745</v>
      </c>
      <c r="L144" s="1">
        <f t="shared" ca="1" si="155"/>
        <v>28</v>
      </c>
      <c r="M144" s="1"/>
      <c r="N144" s="1">
        <f t="shared" ca="1" si="156"/>
        <v>980</v>
      </c>
      <c r="O144" s="1">
        <f t="shared" ca="1" si="157"/>
        <v>28</v>
      </c>
      <c r="P144" s="1"/>
      <c r="Q144" s="1">
        <f t="shared" ca="1" si="158"/>
        <v>0.17475471495646328</v>
      </c>
      <c r="R144" s="1">
        <f t="shared" ca="1" si="159"/>
        <v>1174</v>
      </c>
      <c r="S144" s="1"/>
      <c r="T144" s="1">
        <f t="shared" ca="1" si="160"/>
        <v>9.5544368421273576E-2</v>
      </c>
      <c r="U144" s="1">
        <f t="shared" ca="1" si="161"/>
        <v>121</v>
      </c>
      <c r="V144" s="1">
        <f t="shared" ca="1" si="162"/>
        <v>4</v>
      </c>
      <c r="W144" s="1"/>
      <c r="X144" s="1">
        <f t="shared" ca="1" si="163"/>
        <v>6.6120997323138191</v>
      </c>
      <c r="Y144" s="1">
        <f t="shared" ca="1" si="164"/>
        <v>0.46898673089491821</v>
      </c>
      <c r="Z144" s="1">
        <f t="shared" ca="1" si="165"/>
        <v>203</v>
      </c>
      <c r="AB144" s="1">
        <f t="shared" ca="1" si="166"/>
        <v>0.25526301872230567</v>
      </c>
      <c r="AC144" s="1">
        <f t="shared" ca="1" si="167"/>
        <v>290</v>
      </c>
      <c r="AD144" s="1">
        <f t="shared" ca="1" si="168"/>
        <v>4.6188177013874957E-3</v>
      </c>
      <c r="AE144" s="1"/>
      <c r="AF144" s="1">
        <f t="shared" ca="1" si="169"/>
        <v>0.840165186553815</v>
      </c>
      <c r="AG144" s="1">
        <f t="shared" ca="1" si="170"/>
        <v>952</v>
      </c>
      <c r="AH144" s="1">
        <f t="shared" ca="1" si="171"/>
        <v>2.9671700797888039E-3</v>
      </c>
      <c r="AJ144" s="1">
        <f t="shared" ca="1" si="172"/>
        <v>0.61536400434708804</v>
      </c>
      <c r="AK144" s="1">
        <f t="shared" ca="1" si="173"/>
        <v>6.0774228043917571E-3</v>
      </c>
      <c r="AL144" s="1"/>
      <c r="AM144" s="1">
        <f t="shared" ca="1" si="174"/>
        <v>2.9425927187911902E-2</v>
      </c>
      <c r="AN144" s="1">
        <f t="shared" ca="1" si="175"/>
        <v>17</v>
      </c>
      <c r="AO144" s="1">
        <f t="shared" ca="1" si="176"/>
        <v>16</v>
      </c>
      <c r="AQ144" s="1">
        <f t="shared" ca="1" si="177"/>
        <v>87</v>
      </c>
      <c r="AR144" s="1">
        <f t="shared" ca="1" si="178"/>
        <v>0</v>
      </c>
      <c r="AS144" s="1">
        <f t="shared" ca="1" si="179"/>
        <v>73</v>
      </c>
      <c r="AU144" s="1">
        <f t="shared" ca="1" si="180"/>
        <v>182</v>
      </c>
      <c r="AV144" s="1">
        <f t="shared" ca="1" si="181"/>
        <v>6</v>
      </c>
      <c r="AW144" s="1">
        <f t="shared" ca="1" si="182"/>
        <v>4.5250718858240148E-2</v>
      </c>
      <c r="AY144" s="1">
        <f t="shared" ca="1" si="183"/>
        <v>1.7994610070092196</v>
      </c>
      <c r="AZ144" s="1">
        <f t="shared" ca="1" si="184"/>
        <v>72</v>
      </c>
      <c r="BA144" s="1">
        <f t="shared" ca="1" si="185"/>
        <v>4.4348110763844659E-3</v>
      </c>
      <c r="BG144" s="1">
        <f t="shared" ca="1" si="186"/>
        <v>0.72961721763099363</v>
      </c>
      <c r="BH144" s="1">
        <f t="shared" ca="1" si="187"/>
        <v>0.78566836487316383</v>
      </c>
      <c r="BI144" s="1">
        <f t="shared" ca="1" si="188"/>
        <v>969</v>
      </c>
      <c r="BV144" s="1">
        <f t="shared" ca="1" si="189"/>
        <v>0.23445340479099361</v>
      </c>
      <c r="BW144" s="1">
        <f t="shared" ca="1" si="190"/>
        <v>406</v>
      </c>
      <c r="BX144" s="1">
        <f t="shared" ca="1" si="191"/>
        <v>1.850216387251799E-3</v>
      </c>
      <c r="BY144" s="1">
        <f t="shared" ca="1" si="192"/>
        <v>3.2559073189811223E-2</v>
      </c>
      <c r="BZ144" s="1">
        <f t="shared" ca="1" si="193"/>
        <v>0.87909922883440494</v>
      </c>
      <c r="CB144" s="1">
        <f t="shared" ca="1" si="194"/>
        <v>141</v>
      </c>
      <c r="CC144" s="1">
        <f t="shared" ca="1" si="195"/>
        <v>7</v>
      </c>
      <c r="CD144" s="1">
        <f t="shared" ca="1" si="196"/>
        <v>0.15679469279841871</v>
      </c>
      <c r="CE144" s="1">
        <f t="shared" ca="1" si="197"/>
        <v>0.92772177591420002</v>
      </c>
      <c r="CF144" s="1">
        <f t="shared" ca="1" si="197"/>
        <v>0.98467112272336821</v>
      </c>
      <c r="CH144" s="3">
        <f t="shared" ca="1" si="198"/>
        <v>0.73126271944995336</v>
      </c>
      <c r="CI144" s="3">
        <f t="shared" ca="1" si="199"/>
        <v>5.4588244204794169E-2</v>
      </c>
      <c r="CJ144" s="3">
        <f t="shared" ca="1" si="200"/>
        <v>1553</v>
      </c>
      <c r="CK144" s="3">
        <f t="shared" ca="1" si="201"/>
        <v>6.1410104776933021E-3</v>
      </c>
      <c r="CL144" s="3">
        <f t="shared" ca="1" si="202"/>
        <v>1</v>
      </c>
      <c r="CM144" s="3"/>
      <c r="CN144" s="1">
        <f t="shared" ca="1" si="203"/>
        <v>3.6450026136662954</v>
      </c>
      <c r="CO144" s="1">
        <f t="shared" ca="1" si="204"/>
        <v>0.12534034518109527</v>
      </c>
      <c r="CP144" s="1">
        <f t="shared" ca="1" si="205"/>
        <v>5</v>
      </c>
      <c r="CV144" s="1">
        <f t="shared" ca="1" si="206"/>
        <v>3.3703160293857031</v>
      </c>
      <c r="CW144" s="1">
        <f t="shared" ca="1" si="207"/>
        <v>567</v>
      </c>
      <c r="CX144" s="1">
        <f t="shared" ca="1" si="208"/>
        <v>5.5312741811688049E-3</v>
      </c>
      <c r="DH144" s="1">
        <f t="shared" ca="1" si="209"/>
        <v>315</v>
      </c>
      <c r="DI144" s="1">
        <f t="shared" ca="1" si="210"/>
        <v>0.26126486748968369</v>
      </c>
      <c r="DJ144" s="1">
        <f t="shared" ca="1" si="211"/>
        <v>25</v>
      </c>
      <c r="DL144" s="1">
        <f t="shared" ca="1" si="212"/>
        <v>0.15641184539860015</v>
      </c>
      <c r="DM144" s="1">
        <f t="shared" ca="1" si="213"/>
        <v>56</v>
      </c>
      <c r="DN144" s="1">
        <f t="shared" ca="1" si="214"/>
        <v>3</v>
      </c>
      <c r="DW144" s="1">
        <f t="shared" ca="1" si="215"/>
        <v>446</v>
      </c>
      <c r="DX144" s="1">
        <f t="shared" ca="1" si="216"/>
        <v>12</v>
      </c>
      <c r="DY144" s="1">
        <f t="shared" ca="1" si="217"/>
        <v>20</v>
      </c>
    </row>
    <row r="145" spans="2:129" x14ac:dyDescent="0.25">
      <c r="B145">
        <f t="shared" ca="1" si="147"/>
        <v>776</v>
      </c>
      <c r="C145">
        <f t="shared" ca="1" si="148"/>
        <v>32</v>
      </c>
      <c r="D145">
        <f t="shared" ca="1" si="149"/>
        <v>0.19362375873168555</v>
      </c>
      <c r="F145" s="1">
        <f t="shared" ca="1" si="150"/>
        <v>48</v>
      </c>
      <c r="G145" s="1">
        <f t="shared" ca="1" si="151"/>
        <v>25</v>
      </c>
      <c r="H145" s="1">
        <f t="shared" ca="1" si="152"/>
        <v>4</v>
      </c>
      <c r="I145" s="1"/>
      <c r="J145" s="1">
        <f t="shared" ca="1" si="153"/>
        <v>27</v>
      </c>
      <c r="K145" s="1">
        <f t="shared" ca="1" si="154"/>
        <v>2.5838932083075834</v>
      </c>
      <c r="L145" s="1">
        <f t="shared" ca="1" si="155"/>
        <v>28</v>
      </c>
      <c r="M145" s="1"/>
      <c r="N145" s="1">
        <f t="shared" ca="1" si="156"/>
        <v>640</v>
      </c>
      <c r="O145" s="1">
        <f t="shared" ca="1" si="157"/>
        <v>50</v>
      </c>
      <c r="P145" s="1"/>
      <c r="Q145" s="1">
        <f t="shared" ca="1" si="158"/>
        <v>1.6328786277082534</v>
      </c>
      <c r="R145" s="1">
        <f t="shared" ca="1" si="159"/>
        <v>1121</v>
      </c>
      <c r="S145" s="1"/>
      <c r="T145" s="1">
        <f t="shared" ca="1" si="160"/>
        <v>9.1049025177314766E-2</v>
      </c>
      <c r="U145" s="1">
        <f t="shared" ca="1" si="161"/>
        <v>274</v>
      </c>
      <c r="V145" s="1">
        <f t="shared" ca="1" si="162"/>
        <v>29</v>
      </c>
      <c r="W145" s="1"/>
      <c r="X145" s="1">
        <f t="shared" ca="1" si="163"/>
        <v>9.0313659560290098</v>
      </c>
      <c r="Y145" s="1">
        <f t="shared" ca="1" si="164"/>
        <v>0.8098575102715363</v>
      </c>
      <c r="Z145" s="1">
        <f t="shared" ca="1" si="165"/>
        <v>958</v>
      </c>
      <c r="AB145" s="1">
        <f t="shared" ca="1" si="166"/>
        <v>0.44661160520887011</v>
      </c>
      <c r="AC145" s="1">
        <f t="shared" ca="1" si="167"/>
        <v>476</v>
      </c>
      <c r="AD145" s="1">
        <f t="shared" ca="1" si="168"/>
        <v>8.3177197890061637E-3</v>
      </c>
      <c r="AE145" s="1"/>
      <c r="AF145" s="1">
        <f t="shared" ca="1" si="169"/>
        <v>0.89938707952520669</v>
      </c>
      <c r="AG145" s="1">
        <f t="shared" ca="1" si="170"/>
        <v>747</v>
      </c>
      <c r="AH145" s="1">
        <f t="shared" ca="1" si="171"/>
        <v>9.1979543224647332E-3</v>
      </c>
      <c r="AJ145" s="1">
        <f t="shared" ca="1" si="172"/>
        <v>0.65598077795299659</v>
      </c>
      <c r="AK145" s="1">
        <f t="shared" ca="1" si="173"/>
        <v>7.0357065765861418E-3</v>
      </c>
      <c r="AL145" s="1"/>
      <c r="AM145" s="1">
        <f t="shared" ca="1" si="174"/>
        <v>0.16818452251889018</v>
      </c>
      <c r="AN145" s="1">
        <f t="shared" ca="1" si="175"/>
        <v>22</v>
      </c>
      <c r="AO145" s="1">
        <f t="shared" ca="1" si="176"/>
        <v>12</v>
      </c>
      <c r="AQ145" s="1">
        <f t="shared" ca="1" si="177"/>
        <v>124</v>
      </c>
      <c r="AR145" s="1">
        <f t="shared" ca="1" si="178"/>
        <v>10</v>
      </c>
      <c r="AS145" s="1">
        <f t="shared" ca="1" si="179"/>
        <v>29</v>
      </c>
      <c r="AU145" s="1">
        <f t="shared" ca="1" si="180"/>
        <v>254</v>
      </c>
      <c r="AV145" s="1">
        <f t="shared" ca="1" si="181"/>
        <v>6</v>
      </c>
      <c r="AW145" s="1">
        <f t="shared" ca="1" si="182"/>
        <v>0.10813289055856444</v>
      </c>
      <c r="AY145" s="1">
        <f t="shared" ca="1" si="183"/>
        <v>1.1272398168719593</v>
      </c>
      <c r="AZ145" s="1">
        <f t="shared" ca="1" si="184"/>
        <v>354</v>
      </c>
      <c r="BA145" s="1">
        <f t="shared" ca="1" si="185"/>
        <v>8.8120290061650102E-3</v>
      </c>
      <c r="BG145" s="1">
        <f t="shared" ca="1" si="186"/>
        <v>4.6071011040563103E-2</v>
      </c>
      <c r="BH145" s="1">
        <f t="shared" ca="1" si="187"/>
        <v>0.60609173701623797</v>
      </c>
      <c r="BI145" s="1">
        <f t="shared" ca="1" si="188"/>
        <v>490</v>
      </c>
      <c r="BV145" s="1">
        <f t="shared" ca="1" si="189"/>
        <v>0.71166500209881989</v>
      </c>
      <c r="BW145" s="1">
        <f t="shared" ca="1" si="190"/>
        <v>202</v>
      </c>
      <c r="BX145" s="1">
        <f t="shared" ca="1" si="191"/>
        <v>6.9833090133406368E-3</v>
      </c>
      <c r="BY145" s="1">
        <f t="shared" ca="1" si="192"/>
        <v>8.3537523278895603E-2</v>
      </c>
      <c r="BZ145" s="1">
        <f t="shared" ca="1" si="193"/>
        <v>0.87981102207426765</v>
      </c>
      <c r="CB145" s="1">
        <f t="shared" ca="1" si="194"/>
        <v>239</v>
      </c>
      <c r="CC145" s="1">
        <f t="shared" ca="1" si="195"/>
        <v>4</v>
      </c>
      <c r="CD145" s="1">
        <f t="shared" ca="1" si="196"/>
        <v>0.12223941012811111</v>
      </c>
      <c r="CE145" s="1">
        <f t="shared" ca="1" si="197"/>
        <v>0.98371162959598391</v>
      </c>
      <c r="CF145" s="1">
        <f t="shared" ca="1" si="197"/>
        <v>0.9740440890076385</v>
      </c>
      <c r="CH145" s="3">
        <f t="shared" ca="1" si="198"/>
        <v>0.99430558805346014</v>
      </c>
      <c r="CI145" s="3">
        <f t="shared" ca="1" si="199"/>
        <v>0.6055224074558484</v>
      </c>
      <c r="CJ145" s="3">
        <f t="shared" ca="1" si="200"/>
        <v>1779</v>
      </c>
      <c r="CK145" s="3">
        <f t="shared" ca="1" si="201"/>
        <v>7.094796807888026E-3</v>
      </c>
      <c r="CL145" s="3">
        <f t="shared" ca="1" si="202"/>
        <v>0</v>
      </c>
      <c r="CM145" s="3"/>
      <c r="CN145" s="1">
        <f t="shared" ca="1" si="203"/>
        <v>11.816974526610863</v>
      </c>
      <c r="CO145" s="1">
        <f t="shared" ca="1" si="204"/>
        <v>0.32208962584852047</v>
      </c>
      <c r="CP145" s="1">
        <f t="shared" ca="1" si="205"/>
        <v>2</v>
      </c>
      <c r="CV145" s="1">
        <f t="shared" ca="1" si="206"/>
        <v>1.51520413167894</v>
      </c>
      <c r="CW145" s="1">
        <f t="shared" ca="1" si="207"/>
        <v>287</v>
      </c>
      <c r="CX145" s="1">
        <f t="shared" ca="1" si="208"/>
        <v>9.2150891094773171E-3</v>
      </c>
      <c r="DH145" s="1">
        <f t="shared" ca="1" si="209"/>
        <v>440</v>
      </c>
      <c r="DI145" s="1">
        <f t="shared" ca="1" si="210"/>
        <v>0.71066463297417515</v>
      </c>
      <c r="DJ145" s="1">
        <f t="shared" ca="1" si="211"/>
        <v>14</v>
      </c>
      <c r="DL145" s="1">
        <f t="shared" ca="1" si="212"/>
        <v>0.17039254920426292</v>
      </c>
      <c r="DM145" s="1">
        <f t="shared" ca="1" si="213"/>
        <v>102</v>
      </c>
      <c r="DN145" s="1">
        <f t="shared" ca="1" si="214"/>
        <v>4</v>
      </c>
      <c r="DW145" s="1">
        <f t="shared" ca="1" si="215"/>
        <v>374</v>
      </c>
      <c r="DX145" s="1">
        <f t="shared" ca="1" si="216"/>
        <v>7</v>
      </c>
      <c r="DY145" s="1">
        <f t="shared" ca="1" si="217"/>
        <v>14</v>
      </c>
    </row>
    <row r="146" spans="2:129" x14ac:dyDescent="0.25">
      <c r="B146">
        <f t="shared" ca="1" si="147"/>
        <v>868</v>
      </c>
      <c r="C146">
        <f t="shared" ca="1" si="148"/>
        <v>7</v>
      </c>
      <c r="D146">
        <f t="shared" ca="1" si="149"/>
        <v>9.8831230374236079E-2</v>
      </c>
      <c r="F146" s="1">
        <f t="shared" ca="1" si="150"/>
        <v>3</v>
      </c>
      <c r="G146" s="1">
        <f t="shared" ca="1" si="151"/>
        <v>19</v>
      </c>
      <c r="H146" s="1">
        <f t="shared" ca="1" si="152"/>
        <v>7</v>
      </c>
      <c r="I146" s="1"/>
      <c r="J146" s="1">
        <f t="shared" ca="1" si="153"/>
        <v>30</v>
      </c>
      <c r="K146" s="1">
        <f t="shared" ca="1" si="154"/>
        <v>1.6148325297458901</v>
      </c>
      <c r="L146" s="1">
        <f t="shared" ca="1" si="155"/>
        <v>14</v>
      </c>
      <c r="M146" s="1"/>
      <c r="N146" s="1">
        <f t="shared" ca="1" si="156"/>
        <v>328</v>
      </c>
      <c r="O146" s="1">
        <f t="shared" ca="1" si="157"/>
        <v>30</v>
      </c>
      <c r="P146" s="1"/>
      <c r="Q146" s="1">
        <f t="shared" ca="1" si="158"/>
        <v>2.5263095756965379</v>
      </c>
      <c r="R146" s="1">
        <f t="shared" ca="1" si="159"/>
        <v>953</v>
      </c>
      <c r="S146" s="1"/>
      <c r="T146" s="1">
        <f t="shared" ca="1" si="160"/>
        <v>0.13378054066327805</v>
      </c>
      <c r="U146" s="1">
        <f t="shared" ca="1" si="161"/>
        <v>257</v>
      </c>
      <c r="V146" s="1">
        <f t="shared" ca="1" si="162"/>
        <v>13</v>
      </c>
      <c r="W146" s="1"/>
      <c r="X146" s="1">
        <f t="shared" ca="1" si="163"/>
        <v>5.5200193883186328</v>
      </c>
      <c r="Y146" s="1">
        <f t="shared" ca="1" si="164"/>
        <v>0.63444115642933285</v>
      </c>
      <c r="Z146" s="1">
        <f t="shared" ca="1" si="165"/>
        <v>403</v>
      </c>
      <c r="AB146" s="1">
        <f t="shared" ca="1" si="166"/>
        <v>0.76979189653290625</v>
      </c>
      <c r="AC146" s="1">
        <f t="shared" ca="1" si="167"/>
        <v>961</v>
      </c>
      <c r="AD146" s="1">
        <f t="shared" ca="1" si="168"/>
        <v>7.9570947075254771E-3</v>
      </c>
      <c r="AE146" s="1"/>
      <c r="AF146" s="1">
        <f t="shared" ca="1" si="169"/>
        <v>0.59695848512372685</v>
      </c>
      <c r="AG146" s="1">
        <f t="shared" ca="1" si="170"/>
        <v>695</v>
      </c>
      <c r="AH146" s="1">
        <f t="shared" ca="1" si="171"/>
        <v>4.8971846739706874E-4</v>
      </c>
      <c r="AJ146" s="1">
        <f t="shared" ca="1" si="172"/>
        <v>0.87199197708427978</v>
      </c>
      <c r="AK146" s="1">
        <f t="shared" ca="1" si="173"/>
        <v>6.8283527342016389E-3</v>
      </c>
      <c r="AL146" s="1"/>
      <c r="AM146" s="1">
        <f t="shared" ca="1" si="174"/>
        <v>0.18570544039713141</v>
      </c>
      <c r="AN146" s="1">
        <f t="shared" ca="1" si="175"/>
        <v>16</v>
      </c>
      <c r="AO146" s="1">
        <f t="shared" ca="1" si="176"/>
        <v>4</v>
      </c>
      <c r="AQ146" s="1">
        <f t="shared" ca="1" si="177"/>
        <v>180</v>
      </c>
      <c r="AR146" s="1">
        <f t="shared" ca="1" si="178"/>
        <v>4</v>
      </c>
      <c r="AS146" s="1">
        <f t="shared" ca="1" si="179"/>
        <v>72</v>
      </c>
      <c r="AU146" s="1">
        <f t="shared" ca="1" si="180"/>
        <v>261</v>
      </c>
      <c r="AV146" s="1">
        <f t="shared" ca="1" si="181"/>
        <v>10</v>
      </c>
      <c r="AW146" s="1">
        <f t="shared" ca="1" si="182"/>
        <v>0.10479452820071114</v>
      </c>
      <c r="AY146" s="1">
        <f t="shared" ca="1" si="183"/>
        <v>1.9137956914941581</v>
      </c>
      <c r="AZ146" s="1">
        <f t="shared" ca="1" si="184"/>
        <v>269</v>
      </c>
      <c r="BA146" s="1">
        <f t="shared" ca="1" si="185"/>
        <v>7.1094620757747578E-4</v>
      </c>
      <c r="BG146" s="1">
        <f t="shared" ca="1" si="186"/>
        <v>0.19400758429334011</v>
      </c>
      <c r="BH146" s="1">
        <f t="shared" ca="1" si="187"/>
        <v>0.19384263149182634</v>
      </c>
      <c r="BI146" s="1">
        <f t="shared" ca="1" si="188"/>
        <v>525</v>
      </c>
      <c r="BV146" s="1">
        <f t="shared" ca="1" si="189"/>
        <v>0.2213557009343485</v>
      </c>
      <c r="BW146" s="1">
        <f t="shared" ca="1" si="190"/>
        <v>233</v>
      </c>
      <c r="BX146" s="1">
        <f t="shared" ca="1" si="191"/>
        <v>5.5847483350545653E-3</v>
      </c>
      <c r="BY146" s="1">
        <f t="shared" ca="1" si="192"/>
        <v>3.3149256439374004E-2</v>
      </c>
      <c r="BZ146" s="1">
        <f t="shared" ca="1" si="193"/>
        <v>0.65859435527064725</v>
      </c>
      <c r="CB146" s="1">
        <f t="shared" ca="1" si="194"/>
        <v>231</v>
      </c>
      <c r="CC146" s="1">
        <f t="shared" ca="1" si="195"/>
        <v>4</v>
      </c>
      <c r="CD146" s="1">
        <f t="shared" ca="1" si="196"/>
        <v>0.26060323947256264</v>
      </c>
      <c r="CE146" s="1">
        <f t="shared" ca="1" si="197"/>
        <v>0.99866220845228015</v>
      </c>
      <c r="CF146" s="1">
        <f t="shared" ca="1" si="197"/>
        <v>0.62136520568839915</v>
      </c>
      <c r="CH146" s="3">
        <f t="shared" ca="1" si="198"/>
        <v>1.5027799312537917E-2</v>
      </c>
      <c r="CI146" s="3">
        <f t="shared" ca="1" si="199"/>
        <v>0.76273092643992968</v>
      </c>
      <c r="CJ146" s="3">
        <f t="shared" ca="1" si="200"/>
        <v>1487</v>
      </c>
      <c r="CK146" s="3">
        <f t="shared" ca="1" si="201"/>
        <v>7.1921530504496754E-3</v>
      </c>
      <c r="CL146" s="3">
        <f t="shared" ca="1" si="202"/>
        <v>1</v>
      </c>
      <c r="CM146" s="3"/>
      <c r="CN146" s="1">
        <f t="shared" ca="1" si="203"/>
        <v>5.6985381955349794</v>
      </c>
      <c r="CO146" s="1">
        <f t="shared" ca="1" si="204"/>
        <v>0.39831470536563907</v>
      </c>
      <c r="CP146" s="1">
        <f t="shared" ca="1" si="205"/>
        <v>3</v>
      </c>
      <c r="CV146" s="1">
        <f t="shared" ca="1" si="206"/>
        <v>8.2718281936152067</v>
      </c>
      <c r="CW146" s="1">
        <f t="shared" ca="1" si="207"/>
        <v>1103</v>
      </c>
      <c r="CX146" s="1">
        <f t="shared" ca="1" si="208"/>
        <v>3.9172919784528845E-3</v>
      </c>
      <c r="DH146" s="1">
        <f t="shared" ca="1" si="209"/>
        <v>634</v>
      </c>
      <c r="DI146" s="1">
        <f t="shared" ca="1" si="210"/>
        <v>0.80919170474171342</v>
      </c>
      <c r="DJ146" s="1">
        <f t="shared" ca="1" si="211"/>
        <v>21</v>
      </c>
      <c r="DL146" s="1">
        <f t="shared" ca="1" si="212"/>
        <v>7.1482897200981388E-2</v>
      </c>
      <c r="DM146" s="1">
        <f t="shared" ca="1" si="213"/>
        <v>210</v>
      </c>
      <c r="DN146" s="1">
        <f t="shared" ca="1" si="214"/>
        <v>8</v>
      </c>
      <c r="DW146" s="1">
        <f t="shared" ca="1" si="215"/>
        <v>124</v>
      </c>
      <c r="DX146" s="1">
        <f t="shared" ca="1" si="216"/>
        <v>7</v>
      </c>
      <c r="DY146" s="1">
        <f t="shared" ca="1" si="217"/>
        <v>2</v>
      </c>
    </row>
    <row r="147" spans="2:129" x14ac:dyDescent="0.25">
      <c r="B147">
        <f t="shared" ca="1" si="147"/>
        <v>168</v>
      </c>
      <c r="C147">
        <f t="shared" ca="1" si="148"/>
        <v>29</v>
      </c>
      <c r="D147">
        <f t="shared" ca="1" si="149"/>
        <v>0.28641431910169418</v>
      </c>
      <c r="F147" s="1">
        <f t="shared" ca="1" si="150"/>
        <v>33</v>
      </c>
      <c r="G147" s="1">
        <f t="shared" ca="1" si="151"/>
        <v>5</v>
      </c>
      <c r="H147" s="1">
        <f t="shared" ca="1" si="152"/>
        <v>11</v>
      </c>
      <c r="I147" s="1"/>
      <c r="J147" s="1">
        <f t="shared" ca="1" si="153"/>
        <v>11</v>
      </c>
      <c r="K147" s="1">
        <f t="shared" ca="1" si="154"/>
        <v>1.3037993502318685</v>
      </c>
      <c r="L147" s="1">
        <f t="shared" ca="1" si="155"/>
        <v>28</v>
      </c>
      <c r="M147" s="1"/>
      <c r="N147" s="1">
        <f t="shared" ca="1" si="156"/>
        <v>580</v>
      </c>
      <c r="O147" s="1">
        <f t="shared" ca="1" si="157"/>
        <v>12</v>
      </c>
      <c r="P147" s="1"/>
      <c r="Q147" s="1">
        <f t="shared" ca="1" si="158"/>
        <v>2.7184679399684386</v>
      </c>
      <c r="R147" s="1">
        <f t="shared" ca="1" si="159"/>
        <v>1105</v>
      </c>
      <c r="S147" s="1"/>
      <c r="T147" s="1">
        <f t="shared" ca="1" si="160"/>
        <v>0.11746518372752245</v>
      </c>
      <c r="U147" s="1">
        <f t="shared" ca="1" si="161"/>
        <v>293</v>
      </c>
      <c r="V147" s="1">
        <f t="shared" ca="1" si="162"/>
        <v>30</v>
      </c>
      <c r="W147" s="1"/>
      <c r="X147" s="1">
        <f t="shared" ca="1" si="163"/>
        <v>8.4159995170099258</v>
      </c>
      <c r="Y147" s="1">
        <f t="shared" ca="1" si="164"/>
        <v>0.9187390596888888</v>
      </c>
      <c r="Z147" s="1">
        <f t="shared" ca="1" si="165"/>
        <v>643</v>
      </c>
      <c r="AB147" s="1">
        <f t="shared" ca="1" si="166"/>
        <v>0.35056617364477693</v>
      </c>
      <c r="AC147" s="1">
        <f t="shared" ca="1" si="167"/>
        <v>279</v>
      </c>
      <c r="AD147" s="1">
        <f t="shared" ca="1" si="168"/>
        <v>8.757465534123432E-3</v>
      </c>
      <c r="AE147" s="1"/>
      <c r="AF147" s="1">
        <f t="shared" ca="1" si="169"/>
        <v>0.35916526468670207</v>
      </c>
      <c r="AG147" s="1">
        <f t="shared" ca="1" si="170"/>
        <v>777</v>
      </c>
      <c r="AH147" s="1">
        <f t="shared" ca="1" si="171"/>
        <v>5.0482047580455375E-3</v>
      </c>
      <c r="AJ147" s="1">
        <f t="shared" ca="1" si="172"/>
        <v>0.60847072290210646</v>
      </c>
      <c r="AK147" s="1">
        <f t="shared" ca="1" si="173"/>
        <v>9.3552897307892686E-3</v>
      </c>
      <c r="AL147" s="1"/>
      <c r="AM147" s="1">
        <f t="shared" ca="1" si="174"/>
        <v>0.15396735423397193</v>
      </c>
      <c r="AN147" s="1">
        <f t="shared" ca="1" si="175"/>
        <v>47</v>
      </c>
      <c r="AO147" s="1">
        <f t="shared" ca="1" si="176"/>
        <v>5</v>
      </c>
      <c r="AQ147" s="1">
        <f t="shared" ca="1" si="177"/>
        <v>90</v>
      </c>
      <c r="AR147" s="1">
        <f t="shared" ca="1" si="178"/>
        <v>3</v>
      </c>
      <c r="AS147" s="1">
        <f t="shared" ca="1" si="179"/>
        <v>95</v>
      </c>
      <c r="AU147" s="1">
        <f t="shared" ca="1" si="180"/>
        <v>166</v>
      </c>
      <c r="AV147" s="1">
        <f t="shared" ca="1" si="181"/>
        <v>6</v>
      </c>
      <c r="AW147" s="1">
        <f t="shared" ca="1" si="182"/>
        <v>0.12656204858155162</v>
      </c>
      <c r="AY147" s="1">
        <f t="shared" ca="1" si="183"/>
        <v>1.3477210806768205</v>
      </c>
      <c r="AZ147" s="1">
        <f t="shared" ca="1" si="184"/>
        <v>172</v>
      </c>
      <c r="BA147" s="1">
        <f t="shared" ca="1" si="185"/>
        <v>6.4960649953963567E-3</v>
      </c>
      <c r="BG147" s="1">
        <f t="shared" ca="1" si="186"/>
        <v>0.38076641135921374</v>
      </c>
      <c r="BH147" s="1">
        <f t="shared" ca="1" si="187"/>
        <v>0.99651447759427714</v>
      </c>
      <c r="BI147" s="1">
        <f t="shared" ca="1" si="188"/>
        <v>103</v>
      </c>
      <c r="BV147" s="1">
        <f t="shared" ca="1" si="189"/>
        <v>0.89404012177361003</v>
      </c>
      <c r="BW147" s="1">
        <f t="shared" ca="1" si="190"/>
        <v>771</v>
      </c>
      <c r="BX147" s="1">
        <f t="shared" ca="1" si="191"/>
        <v>5.8709610079149561E-3</v>
      </c>
      <c r="BY147" s="1">
        <f t="shared" ca="1" si="192"/>
        <v>5.6860347009704146E-2</v>
      </c>
      <c r="BZ147" s="1">
        <f t="shared" ca="1" si="193"/>
        <v>0.43596808636679174</v>
      </c>
      <c r="CB147" s="1">
        <f t="shared" ca="1" si="194"/>
        <v>272</v>
      </c>
      <c r="CC147" s="1">
        <f t="shared" ca="1" si="195"/>
        <v>3</v>
      </c>
      <c r="CD147" s="1">
        <f t="shared" ca="1" si="196"/>
        <v>0.28708886658691651</v>
      </c>
      <c r="CE147" s="1">
        <f t="shared" ca="1" si="197"/>
        <v>0.5309796695133624</v>
      </c>
      <c r="CF147" s="1">
        <f t="shared" ca="1" si="197"/>
        <v>0.8463730894180761</v>
      </c>
      <c r="CH147" s="3">
        <f t="shared" ca="1" si="198"/>
        <v>0.91268650147146002</v>
      </c>
      <c r="CI147" s="3">
        <f t="shared" ca="1" si="199"/>
        <v>0.38406380301330922</v>
      </c>
      <c r="CJ147" s="3">
        <f t="shared" ca="1" si="200"/>
        <v>1361</v>
      </c>
      <c r="CK147" s="3">
        <f t="shared" ca="1" si="201"/>
        <v>8.9977538101825121E-3</v>
      </c>
      <c r="CL147" s="3">
        <f t="shared" ca="1" si="202"/>
        <v>0</v>
      </c>
      <c r="CM147" s="3"/>
      <c r="CN147" s="1">
        <f t="shared" ca="1" si="203"/>
        <v>12.792763901958894</v>
      </c>
      <c r="CO147" s="1">
        <f t="shared" ca="1" si="204"/>
        <v>0.47158632298726844</v>
      </c>
      <c r="CP147" s="1">
        <f t="shared" ca="1" si="205"/>
        <v>4</v>
      </c>
      <c r="CV147" s="1">
        <f t="shared" ca="1" si="206"/>
        <v>9.0187972439345767</v>
      </c>
      <c r="CW147" s="1">
        <f t="shared" ca="1" si="207"/>
        <v>948</v>
      </c>
      <c r="CX147" s="1">
        <f t="shared" ca="1" si="208"/>
        <v>8.2328747974972794E-3</v>
      </c>
      <c r="DH147" s="1">
        <f t="shared" ca="1" si="209"/>
        <v>258</v>
      </c>
      <c r="DI147" s="1">
        <f t="shared" ca="1" si="210"/>
        <v>4.1733941574774593E-2</v>
      </c>
      <c r="DJ147" s="1">
        <f t="shared" ca="1" si="211"/>
        <v>23</v>
      </c>
      <c r="DL147" s="1">
        <f t="shared" ca="1" si="212"/>
        <v>0.14151694222705863</v>
      </c>
      <c r="DM147" s="1">
        <f t="shared" ca="1" si="213"/>
        <v>192</v>
      </c>
      <c r="DN147" s="1">
        <f t="shared" ca="1" si="214"/>
        <v>7</v>
      </c>
      <c r="DW147" s="1">
        <f t="shared" ca="1" si="215"/>
        <v>76</v>
      </c>
      <c r="DX147" s="1">
        <f t="shared" ca="1" si="216"/>
        <v>3</v>
      </c>
      <c r="DY147" s="1">
        <f t="shared" ca="1" si="217"/>
        <v>16</v>
      </c>
    </row>
    <row r="148" spans="2:129" x14ac:dyDescent="0.25">
      <c r="B148">
        <f t="shared" ca="1" si="147"/>
        <v>915</v>
      </c>
      <c r="C148">
        <f t="shared" ca="1" si="148"/>
        <v>33</v>
      </c>
      <c r="D148">
        <f t="shared" ca="1" si="149"/>
        <v>0.13345728494078776</v>
      </c>
      <c r="F148" s="1">
        <f t="shared" ca="1" si="150"/>
        <v>13</v>
      </c>
      <c r="G148" s="1">
        <f t="shared" ca="1" si="151"/>
        <v>27</v>
      </c>
      <c r="H148" s="1">
        <f t="shared" ca="1" si="152"/>
        <v>1</v>
      </c>
      <c r="I148" s="1"/>
      <c r="J148" s="1">
        <f t="shared" ca="1" si="153"/>
        <v>19</v>
      </c>
      <c r="K148" s="1">
        <f t="shared" ca="1" si="154"/>
        <v>1.4051890846547148</v>
      </c>
      <c r="L148" s="1">
        <f t="shared" ca="1" si="155"/>
        <v>25</v>
      </c>
      <c r="M148" s="1"/>
      <c r="N148" s="1">
        <f t="shared" ca="1" si="156"/>
        <v>438</v>
      </c>
      <c r="O148" s="1">
        <f t="shared" ca="1" si="157"/>
        <v>26</v>
      </c>
      <c r="P148" s="1"/>
      <c r="Q148" s="1">
        <f t="shared" ca="1" si="158"/>
        <v>1.1872925961508269</v>
      </c>
      <c r="R148" s="1">
        <f t="shared" ca="1" si="159"/>
        <v>490</v>
      </c>
      <c r="S148" s="1"/>
      <c r="T148" s="1">
        <f t="shared" ca="1" si="160"/>
        <v>2.8489656914746135E-2</v>
      </c>
      <c r="U148" s="1">
        <f t="shared" ca="1" si="161"/>
        <v>220</v>
      </c>
      <c r="V148" s="1">
        <f t="shared" ca="1" si="162"/>
        <v>29</v>
      </c>
      <c r="W148" s="1"/>
      <c r="X148" s="1">
        <f t="shared" ca="1" si="163"/>
        <v>5.3856610092686413E-2</v>
      </c>
      <c r="Y148" s="1">
        <f t="shared" ca="1" si="164"/>
        <v>7.9676128867883375E-2</v>
      </c>
      <c r="Z148" s="1">
        <f t="shared" ca="1" si="165"/>
        <v>1818</v>
      </c>
      <c r="AB148" s="1">
        <f t="shared" ca="1" si="166"/>
        <v>0.62150000751550338</v>
      </c>
      <c r="AC148" s="1">
        <f t="shared" ca="1" si="167"/>
        <v>698</v>
      </c>
      <c r="AD148" s="1">
        <f t="shared" ca="1" si="168"/>
        <v>7.0572263016392559E-3</v>
      </c>
      <c r="AE148" s="1"/>
      <c r="AF148" s="1">
        <f t="shared" ca="1" si="169"/>
        <v>0.29130372178195368</v>
      </c>
      <c r="AG148" s="1">
        <f t="shared" ca="1" si="170"/>
        <v>647</v>
      </c>
      <c r="AH148" s="1">
        <f t="shared" ca="1" si="171"/>
        <v>5.2032092231053036E-3</v>
      </c>
      <c r="AJ148" s="1">
        <f t="shared" ca="1" si="172"/>
        <v>7.4634925826795206E-2</v>
      </c>
      <c r="AK148" s="1">
        <f t="shared" ca="1" si="173"/>
        <v>8.4795199659609202E-3</v>
      </c>
      <c r="AL148" s="1"/>
      <c r="AM148" s="1">
        <f t="shared" ca="1" si="174"/>
        <v>8.9493112186199222E-3</v>
      </c>
      <c r="AN148" s="1">
        <f t="shared" ca="1" si="175"/>
        <v>57</v>
      </c>
      <c r="AO148" s="1">
        <f t="shared" ca="1" si="176"/>
        <v>20</v>
      </c>
      <c r="AQ148" s="1">
        <f t="shared" ca="1" si="177"/>
        <v>132</v>
      </c>
      <c r="AR148" s="1">
        <f t="shared" ca="1" si="178"/>
        <v>3</v>
      </c>
      <c r="AS148" s="1">
        <f t="shared" ca="1" si="179"/>
        <v>34</v>
      </c>
      <c r="AU148" s="1">
        <f t="shared" ca="1" si="180"/>
        <v>305</v>
      </c>
      <c r="AV148" s="1">
        <f t="shared" ca="1" si="181"/>
        <v>3</v>
      </c>
      <c r="AW148" s="1">
        <f t="shared" ca="1" si="182"/>
        <v>0.1035367691043793</v>
      </c>
      <c r="AY148" s="1">
        <f t="shared" ca="1" si="183"/>
        <v>1.7953025336115531</v>
      </c>
      <c r="AZ148" s="1">
        <f t="shared" ca="1" si="184"/>
        <v>356</v>
      </c>
      <c r="BA148" s="1">
        <f t="shared" ca="1" si="185"/>
        <v>9.4025878715150776E-3</v>
      </c>
      <c r="BG148" s="1">
        <f t="shared" ca="1" si="186"/>
        <v>0.68944666942275612</v>
      </c>
      <c r="BH148" s="1">
        <f t="shared" ca="1" si="187"/>
        <v>0.56516756313107031</v>
      </c>
      <c r="BI148" s="1">
        <f t="shared" ca="1" si="188"/>
        <v>612</v>
      </c>
      <c r="BV148" s="1">
        <f t="shared" ca="1" si="189"/>
        <v>0.64170718855128617</v>
      </c>
      <c r="BW148" s="1">
        <f t="shared" ca="1" si="190"/>
        <v>524</v>
      </c>
      <c r="BX148" s="1">
        <f t="shared" ca="1" si="191"/>
        <v>1.5506190555711196E-3</v>
      </c>
      <c r="BY148" s="1">
        <f t="shared" ca="1" si="192"/>
        <v>8.597815540123159E-2</v>
      </c>
      <c r="BZ148" s="1">
        <f t="shared" ca="1" si="193"/>
        <v>0.34350451079132716</v>
      </c>
      <c r="CB148" s="1">
        <f t="shared" ca="1" si="194"/>
        <v>476</v>
      </c>
      <c r="CC148" s="1">
        <f t="shared" ca="1" si="195"/>
        <v>14</v>
      </c>
      <c r="CD148" s="1">
        <f t="shared" ca="1" si="196"/>
        <v>0.20111384728577061</v>
      </c>
      <c r="CE148" s="1">
        <f t="shared" ca="1" si="197"/>
        <v>0.81146936089452659</v>
      </c>
      <c r="CF148" s="1">
        <f t="shared" ca="1" si="197"/>
        <v>0.64079056064430318</v>
      </c>
      <c r="CH148" s="3">
        <f t="shared" ca="1" si="198"/>
        <v>0.34267364840853243</v>
      </c>
      <c r="CI148" s="3">
        <f t="shared" ca="1" si="199"/>
        <v>0.48437562359341152</v>
      </c>
      <c r="CJ148" s="3">
        <f t="shared" ca="1" si="200"/>
        <v>817</v>
      </c>
      <c r="CK148" s="3">
        <f t="shared" ca="1" si="201"/>
        <v>1.6299732101183702E-3</v>
      </c>
      <c r="CL148" s="3">
        <f t="shared" ca="1" si="202"/>
        <v>1</v>
      </c>
      <c r="CM148" s="3"/>
      <c r="CN148" s="1">
        <f t="shared" ca="1" si="203"/>
        <v>9.5380456508502593</v>
      </c>
      <c r="CO148" s="1">
        <f t="shared" ca="1" si="204"/>
        <v>0.11356910945641245</v>
      </c>
      <c r="CP148" s="1">
        <f t="shared" ca="1" si="205"/>
        <v>4</v>
      </c>
      <c r="CV148" s="1">
        <f t="shared" ca="1" si="206"/>
        <v>8.2849590175528967</v>
      </c>
      <c r="CW148" s="1">
        <f t="shared" ca="1" si="207"/>
        <v>647</v>
      </c>
      <c r="CX148" s="1">
        <f t="shared" ca="1" si="208"/>
        <v>5.2939486140303306E-3</v>
      </c>
      <c r="DH148" s="1">
        <f t="shared" ca="1" si="209"/>
        <v>18</v>
      </c>
      <c r="DI148" s="1">
        <f t="shared" ca="1" si="210"/>
        <v>0.39377426895073836</v>
      </c>
      <c r="DJ148" s="1">
        <f t="shared" ca="1" si="211"/>
        <v>19</v>
      </c>
      <c r="DL148" s="1">
        <f t="shared" ca="1" si="212"/>
        <v>0.16126580832062212</v>
      </c>
      <c r="DM148" s="1">
        <f t="shared" ca="1" si="213"/>
        <v>107</v>
      </c>
      <c r="DN148" s="1">
        <f t="shared" ca="1" si="214"/>
        <v>2</v>
      </c>
      <c r="DW148" s="1">
        <f t="shared" ca="1" si="215"/>
        <v>205</v>
      </c>
      <c r="DX148" s="1">
        <f t="shared" ca="1" si="216"/>
        <v>18</v>
      </c>
      <c r="DY148" s="1">
        <f t="shared" ca="1" si="217"/>
        <v>14</v>
      </c>
    </row>
    <row r="149" spans="2:129" x14ac:dyDescent="0.25">
      <c r="B149">
        <f t="shared" ca="1" si="147"/>
        <v>554</v>
      </c>
      <c r="C149">
        <f t="shared" ca="1" si="148"/>
        <v>2</v>
      </c>
      <c r="D149">
        <f t="shared" ca="1" si="149"/>
        <v>4.3582859135834075E-2</v>
      </c>
      <c r="F149" s="1">
        <f t="shared" ca="1" si="150"/>
        <v>35</v>
      </c>
      <c r="G149" s="1">
        <f t="shared" ca="1" si="151"/>
        <v>9</v>
      </c>
      <c r="H149" s="1">
        <f t="shared" ca="1" si="152"/>
        <v>3</v>
      </c>
      <c r="I149" s="1"/>
      <c r="J149" s="1">
        <f t="shared" ca="1" si="153"/>
        <v>28</v>
      </c>
      <c r="K149" s="1">
        <f t="shared" ca="1" si="154"/>
        <v>2.9447311791546671</v>
      </c>
      <c r="L149" s="1">
        <f t="shared" ca="1" si="155"/>
        <v>34</v>
      </c>
      <c r="M149" s="1"/>
      <c r="N149" s="1">
        <f t="shared" ca="1" si="156"/>
        <v>761</v>
      </c>
      <c r="O149" s="1">
        <f t="shared" ca="1" si="157"/>
        <v>2</v>
      </c>
      <c r="P149" s="1"/>
      <c r="Q149" s="1">
        <f t="shared" ca="1" si="158"/>
        <v>3.1344048338059651</v>
      </c>
      <c r="R149" s="1">
        <f t="shared" ca="1" si="159"/>
        <v>431</v>
      </c>
      <c r="S149" s="1"/>
      <c r="T149" s="1">
        <f t="shared" ca="1" si="160"/>
        <v>0.12208727229632818</v>
      </c>
      <c r="U149" s="1">
        <f t="shared" ca="1" si="161"/>
        <v>192</v>
      </c>
      <c r="V149" s="1">
        <f t="shared" ca="1" si="162"/>
        <v>26</v>
      </c>
      <c r="W149" s="1"/>
      <c r="X149" s="1">
        <f t="shared" ca="1" si="163"/>
        <v>6.3366873501133529</v>
      </c>
      <c r="Y149" s="1">
        <f t="shared" ca="1" si="164"/>
        <v>8.3732321320748454E-2</v>
      </c>
      <c r="Z149" s="1">
        <f t="shared" ca="1" si="165"/>
        <v>1582</v>
      </c>
      <c r="AB149" s="1">
        <f t="shared" ca="1" si="166"/>
        <v>0.60326148504558841</v>
      </c>
      <c r="AC149" s="1">
        <f t="shared" ca="1" si="167"/>
        <v>627</v>
      </c>
      <c r="AD149" s="1">
        <f t="shared" ca="1" si="168"/>
        <v>3.146086651988947E-3</v>
      </c>
      <c r="AE149" s="1"/>
      <c r="AF149" s="1">
        <f t="shared" ca="1" si="169"/>
        <v>0.15515513482747229</v>
      </c>
      <c r="AG149" s="1">
        <f t="shared" ca="1" si="170"/>
        <v>655</v>
      </c>
      <c r="AH149" s="1">
        <f t="shared" ca="1" si="171"/>
        <v>8.9045431201179113E-3</v>
      </c>
      <c r="AJ149" s="1">
        <f t="shared" ca="1" si="172"/>
        <v>0.26392000227960077</v>
      </c>
      <c r="AK149" s="1">
        <f t="shared" ca="1" si="173"/>
        <v>1.0104538687410764E-3</v>
      </c>
      <c r="AL149" s="1"/>
      <c r="AM149" s="1">
        <f t="shared" ca="1" si="174"/>
        <v>2.9913795912299489E-2</v>
      </c>
      <c r="AN149" s="1">
        <f t="shared" ca="1" si="175"/>
        <v>35</v>
      </c>
      <c r="AO149" s="1">
        <f t="shared" ca="1" si="176"/>
        <v>-1</v>
      </c>
      <c r="AQ149" s="1">
        <f t="shared" ca="1" si="177"/>
        <v>166</v>
      </c>
      <c r="AR149" s="1">
        <f t="shared" ca="1" si="178"/>
        <v>1</v>
      </c>
      <c r="AS149" s="1">
        <f t="shared" ca="1" si="179"/>
        <v>98</v>
      </c>
      <c r="AU149" s="1">
        <f t="shared" ca="1" si="180"/>
        <v>87</v>
      </c>
      <c r="AV149" s="1">
        <f t="shared" ca="1" si="181"/>
        <v>9</v>
      </c>
      <c r="AW149" s="1">
        <f t="shared" ca="1" si="182"/>
        <v>0.10095025196402226</v>
      </c>
      <c r="AY149" s="1">
        <f t="shared" ca="1" si="183"/>
        <v>1.344914636044805</v>
      </c>
      <c r="AZ149" s="1">
        <f t="shared" ca="1" si="184"/>
        <v>328</v>
      </c>
      <c r="BA149" s="1">
        <f t="shared" ca="1" si="185"/>
        <v>4.9643716901330147E-4</v>
      </c>
      <c r="BG149" s="1">
        <f t="shared" ca="1" si="186"/>
        <v>0.68708457552701563</v>
      </c>
      <c r="BH149" s="1">
        <f t="shared" ca="1" si="187"/>
        <v>0.89873663874216358</v>
      </c>
      <c r="BI149" s="1">
        <f t="shared" ca="1" si="188"/>
        <v>447</v>
      </c>
      <c r="BV149" s="1">
        <f t="shared" ca="1" si="189"/>
        <v>0.72594370438003153</v>
      </c>
      <c r="BW149" s="1">
        <f t="shared" ca="1" si="190"/>
        <v>149</v>
      </c>
      <c r="BX149" s="1">
        <f t="shared" ca="1" si="191"/>
        <v>7.3521264606044821E-3</v>
      </c>
      <c r="BY149" s="1">
        <f t="shared" ca="1" si="192"/>
        <v>5.210388647840411E-2</v>
      </c>
      <c r="BZ149" s="1">
        <f t="shared" ca="1" si="193"/>
        <v>0.99913294721740742</v>
      </c>
      <c r="CB149" s="1">
        <f t="shared" ca="1" si="194"/>
        <v>70</v>
      </c>
      <c r="CC149" s="1">
        <f t="shared" ca="1" si="195"/>
        <v>5</v>
      </c>
      <c r="CD149" s="1">
        <f t="shared" ca="1" si="196"/>
        <v>0.24572813552276565</v>
      </c>
      <c r="CE149" s="1">
        <f t="shared" ca="1" si="197"/>
        <v>0.78421483124421987</v>
      </c>
      <c r="CF149" s="1">
        <f t="shared" ca="1" si="197"/>
        <v>0.9224788140863116</v>
      </c>
      <c r="CH149" s="3">
        <f t="shared" ca="1" si="198"/>
        <v>0.8343186069140679</v>
      </c>
      <c r="CI149" s="3">
        <f t="shared" ca="1" si="199"/>
        <v>0.1294269348189358</v>
      </c>
      <c r="CJ149" s="3">
        <f t="shared" ca="1" si="200"/>
        <v>265</v>
      </c>
      <c r="CK149" s="3">
        <f t="shared" ca="1" si="201"/>
        <v>6.0878366572237035E-3</v>
      </c>
      <c r="CL149" s="3">
        <f t="shared" ca="1" si="202"/>
        <v>1</v>
      </c>
      <c r="CM149" s="3"/>
      <c r="CN149" s="1">
        <f t="shared" ca="1" si="203"/>
        <v>2.7789796635460537</v>
      </c>
      <c r="CO149" s="1">
        <f t="shared" ca="1" si="204"/>
        <v>0.41674120297992112</v>
      </c>
      <c r="CP149" s="1">
        <f t="shared" ca="1" si="205"/>
        <v>2</v>
      </c>
      <c r="CV149" s="1">
        <f t="shared" ca="1" si="206"/>
        <v>5.8708518759734414</v>
      </c>
      <c r="CW149" s="1">
        <f t="shared" ca="1" si="207"/>
        <v>1769</v>
      </c>
      <c r="CX149" s="1">
        <f t="shared" ca="1" si="208"/>
        <v>7.5896909576537563E-3</v>
      </c>
      <c r="DH149" s="1">
        <f t="shared" ca="1" si="209"/>
        <v>346</v>
      </c>
      <c r="DI149" s="1">
        <f t="shared" ca="1" si="210"/>
        <v>0.22781546973332314</v>
      </c>
      <c r="DJ149" s="1">
        <f t="shared" ca="1" si="211"/>
        <v>28</v>
      </c>
      <c r="DL149" s="1">
        <f t="shared" ca="1" si="212"/>
        <v>1.1180351442791319E-2</v>
      </c>
      <c r="DM149" s="1">
        <f t="shared" ca="1" si="213"/>
        <v>287</v>
      </c>
      <c r="DN149" s="1">
        <f t="shared" ca="1" si="214"/>
        <v>8</v>
      </c>
      <c r="DW149" s="1">
        <f t="shared" ca="1" si="215"/>
        <v>348</v>
      </c>
      <c r="DX149" s="1">
        <f t="shared" ca="1" si="216"/>
        <v>3</v>
      </c>
      <c r="DY149" s="1">
        <f t="shared" ca="1" si="217"/>
        <v>11</v>
      </c>
    </row>
    <row r="150" spans="2:129" x14ac:dyDescent="0.25">
      <c r="B150">
        <f t="shared" ca="1" si="147"/>
        <v>171</v>
      </c>
      <c r="C150">
        <f t="shared" ca="1" si="148"/>
        <v>45</v>
      </c>
      <c r="D150">
        <f t="shared" ca="1" si="149"/>
        <v>0.20777838769062262</v>
      </c>
      <c r="F150" s="1">
        <f t="shared" ca="1" si="150"/>
        <v>7</v>
      </c>
      <c r="G150" s="1">
        <f t="shared" ca="1" si="151"/>
        <v>8</v>
      </c>
      <c r="H150" s="1">
        <f t="shared" ca="1" si="152"/>
        <v>6</v>
      </c>
      <c r="I150" s="1"/>
      <c r="J150" s="1">
        <f t="shared" ca="1" si="153"/>
        <v>39</v>
      </c>
      <c r="K150" s="1">
        <f t="shared" ca="1" si="154"/>
        <v>2.2099456838309619</v>
      </c>
      <c r="L150" s="1">
        <f t="shared" ca="1" si="155"/>
        <v>31</v>
      </c>
      <c r="M150" s="1"/>
      <c r="N150" s="1">
        <f t="shared" ca="1" si="156"/>
        <v>622</v>
      </c>
      <c r="O150" s="1">
        <f t="shared" ca="1" si="157"/>
        <v>9</v>
      </c>
      <c r="P150" s="1"/>
      <c r="Q150" s="1">
        <f t="shared" ca="1" si="158"/>
        <v>2.8506754859013337</v>
      </c>
      <c r="R150" s="1">
        <f t="shared" ca="1" si="159"/>
        <v>330</v>
      </c>
      <c r="S150" s="1"/>
      <c r="T150" s="1">
        <f t="shared" ca="1" si="160"/>
        <v>0.13419786595928604</v>
      </c>
      <c r="U150" s="1">
        <f t="shared" ca="1" si="161"/>
        <v>174</v>
      </c>
      <c r="V150" s="1">
        <f t="shared" ca="1" si="162"/>
        <v>48</v>
      </c>
      <c r="W150" s="1"/>
      <c r="X150" s="1">
        <f t="shared" ca="1" si="163"/>
        <v>4.8640451192750822</v>
      </c>
      <c r="Y150" s="1">
        <f t="shared" ca="1" si="164"/>
        <v>0.22726658873440767</v>
      </c>
      <c r="Z150" s="1">
        <f t="shared" ca="1" si="165"/>
        <v>508</v>
      </c>
      <c r="AB150" s="1">
        <f t="shared" ca="1" si="166"/>
        <v>0.51505988190817775</v>
      </c>
      <c r="AC150" s="1">
        <f t="shared" ca="1" si="167"/>
        <v>301</v>
      </c>
      <c r="AD150" s="1">
        <f t="shared" ca="1" si="168"/>
        <v>8.5222080123624391E-3</v>
      </c>
      <c r="AE150" s="1"/>
      <c r="AF150" s="1">
        <f t="shared" ca="1" si="169"/>
        <v>0.36903647590289068</v>
      </c>
      <c r="AG150" s="1">
        <f t="shared" ca="1" si="170"/>
        <v>729</v>
      </c>
      <c r="AH150" s="1">
        <f t="shared" ca="1" si="171"/>
        <v>2.0671297651321367E-4</v>
      </c>
      <c r="AJ150" s="1">
        <f t="shared" ca="1" si="172"/>
        <v>1.0724983156022994E-2</v>
      </c>
      <c r="AK150" s="1">
        <f t="shared" ca="1" si="173"/>
        <v>9.6402682671748122E-3</v>
      </c>
      <c r="AL150" s="1"/>
      <c r="AM150" s="1">
        <f t="shared" ca="1" si="174"/>
        <v>8.183781262949727E-2</v>
      </c>
      <c r="AN150" s="1">
        <f t="shared" ca="1" si="175"/>
        <v>53</v>
      </c>
      <c r="AO150" s="1">
        <f t="shared" ca="1" si="176"/>
        <v>1</v>
      </c>
      <c r="AQ150" s="1">
        <f t="shared" ca="1" si="177"/>
        <v>64</v>
      </c>
      <c r="AR150" s="1">
        <f t="shared" ca="1" si="178"/>
        <v>9</v>
      </c>
      <c r="AS150" s="1">
        <f t="shared" ca="1" si="179"/>
        <v>81</v>
      </c>
      <c r="AU150" s="1">
        <f t="shared" ca="1" si="180"/>
        <v>208</v>
      </c>
      <c r="AV150" s="1">
        <f t="shared" ca="1" si="181"/>
        <v>5</v>
      </c>
      <c r="AW150" s="1">
        <f t="shared" ca="1" si="182"/>
        <v>4.7277024823753802E-2</v>
      </c>
      <c r="AY150" s="1">
        <f t="shared" ca="1" si="183"/>
        <v>1.9401626704481643</v>
      </c>
      <c r="AZ150" s="1">
        <f t="shared" ca="1" si="184"/>
        <v>254</v>
      </c>
      <c r="BA150" s="1">
        <f t="shared" ca="1" si="185"/>
        <v>1.6306432951619829E-3</v>
      </c>
      <c r="BG150" s="1">
        <f t="shared" ca="1" si="186"/>
        <v>0.33200615743980871</v>
      </c>
      <c r="BH150" s="1">
        <f t="shared" ca="1" si="187"/>
        <v>2.9199772224738352E-3</v>
      </c>
      <c r="BI150" s="1">
        <f t="shared" ca="1" si="188"/>
        <v>216</v>
      </c>
      <c r="BV150" s="1">
        <f t="shared" ca="1" si="189"/>
        <v>0.56287309394628848</v>
      </c>
      <c r="BW150" s="1">
        <f t="shared" ca="1" si="190"/>
        <v>416</v>
      </c>
      <c r="BX150" s="1">
        <f t="shared" ca="1" si="191"/>
        <v>7.8344940607371748E-3</v>
      </c>
      <c r="BY150" s="1">
        <f t="shared" ca="1" si="192"/>
        <v>5.1217209638113798E-2</v>
      </c>
      <c r="BZ150" s="1">
        <f t="shared" ca="1" si="193"/>
        <v>0.8725259763011618</v>
      </c>
      <c r="CB150" s="1">
        <f t="shared" ca="1" si="194"/>
        <v>68</v>
      </c>
      <c r="CC150" s="1">
        <f t="shared" ca="1" si="195"/>
        <v>4</v>
      </c>
      <c r="CD150" s="1">
        <f t="shared" ca="1" si="196"/>
        <v>0.20883004986293374</v>
      </c>
      <c r="CE150" s="1">
        <f t="shared" ca="1" si="197"/>
        <v>0.88005211451474219</v>
      </c>
      <c r="CF150" s="1">
        <f t="shared" ca="1" si="197"/>
        <v>0.63038846299043461</v>
      </c>
      <c r="CH150" s="3">
        <f t="shared" ca="1" si="198"/>
        <v>0.20753231363857486</v>
      </c>
      <c r="CI150" s="3">
        <f t="shared" ca="1" si="199"/>
        <v>0.88050204140204869</v>
      </c>
      <c r="CJ150" s="3">
        <f t="shared" ca="1" si="200"/>
        <v>1872</v>
      </c>
      <c r="CK150" s="3">
        <f t="shared" ca="1" si="201"/>
        <v>9.6137115616599378E-3</v>
      </c>
      <c r="CL150" s="3">
        <f t="shared" ca="1" si="202"/>
        <v>0</v>
      </c>
      <c r="CM150" s="3"/>
      <c r="CN150" s="1">
        <f t="shared" ca="1" si="203"/>
        <v>4.3094132060610635</v>
      </c>
      <c r="CO150" s="1">
        <f t="shared" ca="1" si="204"/>
        <v>5.4833370875560984E-2</v>
      </c>
      <c r="CP150" s="1">
        <f t="shared" ca="1" si="205"/>
        <v>5</v>
      </c>
      <c r="CV150" s="1">
        <f t="shared" ca="1" si="206"/>
        <v>1.602206110840942</v>
      </c>
      <c r="CW150" s="1">
        <f t="shared" ca="1" si="207"/>
        <v>945</v>
      </c>
      <c r="CX150" s="1">
        <f t="shared" ca="1" si="208"/>
        <v>4.199425947582206E-3</v>
      </c>
      <c r="DH150" s="1">
        <f t="shared" ca="1" si="209"/>
        <v>339</v>
      </c>
      <c r="DI150" s="1">
        <f t="shared" ca="1" si="210"/>
        <v>0.48833705322095056</v>
      </c>
      <c r="DJ150" s="1">
        <f t="shared" ca="1" si="211"/>
        <v>14</v>
      </c>
      <c r="DL150" s="1">
        <f t="shared" ca="1" si="212"/>
        <v>9.9169346413617479E-2</v>
      </c>
      <c r="DM150" s="1">
        <f t="shared" ca="1" si="213"/>
        <v>258</v>
      </c>
      <c r="DN150" s="1">
        <f t="shared" ca="1" si="214"/>
        <v>9</v>
      </c>
      <c r="DW150" s="1">
        <f t="shared" ca="1" si="215"/>
        <v>156</v>
      </c>
      <c r="DX150" s="1">
        <f t="shared" ca="1" si="216"/>
        <v>10</v>
      </c>
      <c r="DY150" s="1">
        <f t="shared" ca="1" si="217"/>
        <v>18</v>
      </c>
    </row>
    <row r="151" spans="2:129" x14ac:dyDescent="0.25">
      <c r="B151">
        <f t="shared" ca="1" si="147"/>
        <v>805</v>
      </c>
      <c r="C151">
        <f t="shared" ca="1" si="148"/>
        <v>44</v>
      </c>
      <c r="D151">
        <f t="shared" ca="1" si="149"/>
        <v>5.6551235952521768E-2</v>
      </c>
      <c r="F151" s="1">
        <f t="shared" ca="1" si="150"/>
        <v>48</v>
      </c>
      <c r="G151" s="1">
        <f t="shared" ca="1" si="151"/>
        <v>25</v>
      </c>
      <c r="H151" s="1">
        <f t="shared" ca="1" si="152"/>
        <v>15</v>
      </c>
      <c r="I151" s="1"/>
      <c r="J151" s="1">
        <f t="shared" ca="1" si="153"/>
        <v>5</v>
      </c>
      <c r="K151" s="1">
        <f t="shared" ca="1" si="154"/>
        <v>2.3631898658859125</v>
      </c>
      <c r="L151" s="1">
        <f t="shared" ca="1" si="155"/>
        <v>19</v>
      </c>
      <c r="M151" s="1"/>
      <c r="N151" s="1">
        <f t="shared" ca="1" si="156"/>
        <v>776</v>
      </c>
      <c r="O151" s="1">
        <f t="shared" ca="1" si="157"/>
        <v>49</v>
      </c>
      <c r="P151" s="1"/>
      <c r="Q151" s="1">
        <f t="shared" ca="1" si="158"/>
        <v>3.5063018244029691</v>
      </c>
      <c r="R151" s="1">
        <f t="shared" ca="1" si="159"/>
        <v>237</v>
      </c>
      <c r="S151" s="1"/>
      <c r="T151" s="1">
        <f t="shared" ca="1" si="160"/>
        <v>8.8103044740644648E-2</v>
      </c>
      <c r="U151" s="1">
        <f t="shared" ca="1" si="161"/>
        <v>357</v>
      </c>
      <c r="V151" s="1">
        <f t="shared" ca="1" si="162"/>
        <v>8</v>
      </c>
      <c r="W151" s="1"/>
      <c r="X151" s="1">
        <f t="shared" ca="1" si="163"/>
        <v>5.0253167782038126</v>
      </c>
      <c r="Y151" s="1">
        <f t="shared" ca="1" si="164"/>
        <v>0.11168034504859264</v>
      </c>
      <c r="Z151" s="1">
        <f t="shared" ca="1" si="165"/>
        <v>1823</v>
      </c>
      <c r="AB151" s="1">
        <f t="shared" ca="1" si="166"/>
        <v>0.81001236015504918</v>
      </c>
      <c r="AC151" s="1">
        <f t="shared" ca="1" si="167"/>
        <v>471</v>
      </c>
      <c r="AD151" s="1">
        <f t="shared" ca="1" si="168"/>
        <v>1.1588831566132485E-3</v>
      </c>
      <c r="AE151" s="1"/>
      <c r="AF151" s="1">
        <f t="shared" ca="1" si="169"/>
        <v>0.82924942147385328</v>
      </c>
      <c r="AG151" s="1">
        <f t="shared" ca="1" si="170"/>
        <v>244</v>
      </c>
      <c r="AH151" s="1">
        <f t="shared" ca="1" si="171"/>
        <v>3.1626516534215282E-4</v>
      </c>
      <c r="AJ151" s="1">
        <f t="shared" ca="1" si="172"/>
        <v>0.30728721715161689</v>
      </c>
      <c r="AK151" s="1">
        <f t="shared" ca="1" si="173"/>
        <v>3.1313640546086893E-3</v>
      </c>
      <c r="AL151" s="1"/>
      <c r="AM151" s="1">
        <f t="shared" ca="1" si="174"/>
        <v>0.16980265147787654</v>
      </c>
      <c r="AN151" s="1">
        <f t="shared" ca="1" si="175"/>
        <v>16</v>
      </c>
      <c r="AO151" s="1">
        <f t="shared" ca="1" si="176"/>
        <v>19</v>
      </c>
      <c r="AQ151" s="1">
        <f t="shared" ca="1" si="177"/>
        <v>15</v>
      </c>
      <c r="AR151" s="1">
        <f t="shared" ca="1" si="178"/>
        <v>3</v>
      </c>
      <c r="AS151" s="1">
        <f t="shared" ca="1" si="179"/>
        <v>98</v>
      </c>
      <c r="AU151" s="1">
        <f t="shared" ca="1" si="180"/>
        <v>364</v>
      </c>
      <c r="AV151" s="1">
        <f t="shared" ca="1" si="181"/>
        <v>8</v>
      </c>
      <c r="AW151" s="1">
        <f t="shared" ca="1" si="182"/>
        <v>0.10078905261298596</v>
      </c>
      <c r="AY151" s="1">
        <f t="shared" ca="1" si="183"/>
        <v>1.7177740334194693</v>
      </c>
      <c r="AZ151" s="1">
        <f t="shared" ca="1" si="184"/>
        <v>122</v>
      </c>
      <c r="BA151" s="1">
        <f t="shared" ca="1" si="185"/>
        <v>2.2080689213471593E-3</v>
      </c>
      <c r="BG151" s="1">
        <f t="shared" ca="1" si="186"/>
        <v>7.1262807483882015E-2</v>
      </c>
      <c r="BH151" s="1">
        <f t="shared" ca="1" si="187"/>
        <v>0.79643475107111894</v>
      </c>
      <c r="BI151" s="1">
        <f t="shared" ca="1" si="188"/>
        <v>160</v>
      </c>
      <c r="BV151" s="1">
        <f t="shared" ca="1" si="189"/>
        <v>6.3709279851812073E-2</v>
      </c>
      <c r="BW151" s="1">
        <f t="shared" ca="1" si="190"/>
        <v>623</v>
      </c>
      <c r="BX151" s="1">
        <f t="shared" ca="1" si="191"/>
        <v>5.9574217641298992E-3</v>
      </c>
      <c r="BY151" s="1">
        <f t="shared" ca="1" si="192"/>
        <v>2.3563554113086978E-2</v>
      </c>
      <c r="BZ151" s="1">
        <f t="shared" ca="1" si="193"/>
        <v>0.49133048815771985</v>
      </c>
      <c r="CB151" s="1">
        <f t="shared" ca="1" si="194"/>
        <v>249</v>
      </c>
      <c r="CC151" s="1">
        <f t="shared" ca="1" si="195"/>
        <v>13</v>
      </c>
      <c r="CD151" s="1">
        <f t="shared" ca="1" si="196"/>
        <v>0.28341503626861808</v>
      </c>
      <c r="CE151" s="1">
        <f t="shared" ca="1" si="197"/>
        <v>0.51350283975445921</v>
      </c>
      <c r="CF151" s="1">
        <f t="shared" ca="1" si="197"/>
        <v>0.85414441915604189</v>
      </c>
      <c r="CH151" s="3">
        <f t="shared" ca="1" si="198"/>
        <v>0.15022907614979814</v>
      </c>
      <c r="CI151" s="3">
        <f t="shared" ca="1" si="199"/>
        <v>0.21835584875500536</v>
      </c>
      <c r="CJ151" s="3">
        <f t="shared" ca="1" si="200"/>
        <v>982</v>
      </c>
      <c r="CK151" s="3">
        <f t="shared" ca="1" si="201"/>
        <v>5.8332327443622245E-3</v>
      </c>
      <c r="CL151" s="3">
        <f t="shared" ca="1" si="202"/>
        <v>1</v>
      </c>
      <c r="CM151" s="3"/>
      <c r="CN151" s="1">
        <f t="shared" ca="1" si="203"/>
        <v>7.5178521572549082</v>
      </c>
      <c r="CO151" s="1">
        <f t="shared" ca="1" si="204"/>
        <v>0.41732215454912391</v>
      </c>
      <c r="CP151" s="1">
        <f t="shared" ca="1" si="205"/>
        <v>3</v>
      </c>
      <c r="CV151" s="1">
        <f t="shared" ca="1" si="206"/>
        <v>0.81812255802471068</v>
      </c>
      <c r="CW151" s="1">
        <f t="shared" ca="1" si="207"/>
        <v>1568</v>
      </c>
      <c r="CX151" s="1">
        <f t="shared" ca="1" si="208"/>
        <v>6.0134069462874321E-4</v>
      </c>
      <c r="DH151" s="1">
        <f t="shared" ca="1" si="209"/>
        <v>557</v>
      </c>
      <c r="DI151" s="1">
        <f t="shared" ca="1" si="210"/>
        <v>0.86610388118162573</v>
      </c>
      <c r="DJ151" s="1">
        <f t="shared" ca="1" si="211"/>
        <v>15</v>
      </c>
      <c r="DL151" s="1">
        <f t="shared" ca="1" si="212"/>
        <v>0.10505341708922029</v>
      </c>
      <c r="DM151" s="1">
        <f t="shared" ca="1" si="213"/>
        <v>277</v>
      </c>
      <c r="DN151" s="1">
        <f t="shared" ca="1" si="214"/>
        <v>5</v>
      </c>
      <c r="DW151" s="1">
        <f t="shared" ca="1" si="215"/>
        <v>441</v>
      </c>
      <c r="DX151" s="1">
        <f t="shared" ca="1" si="216"/>
        <v>14</v>
      </c>
      <c r="DY151" s="1">
        <f t="shared" ca="1" si="217"/>
        <v>16</v>
      </c>
    </row>
    <row r="152" spans="2:129" x14ac:dyDescent="0.25">
      <c r="B152">
        <f t="shared" ca="1" si="147"/>
        <v>398</v>
      </c>
      <c r="C152">
        <f t="shared" ca="1" si="148"/>
        <v>6</v>
      </c>
      <c r="D152">
        <f t="shared" ca="1" si="149"/>
        <v>4.3382717192422586E-2</v>
      </c>
      <c r="F152" s="1">
        <f t="shared" ca="1" si="150"/>
        <v>14</v>
      </c>
      <c r="G152" s="1">
        <f t="shared" ca="1" si="151"/>
        <v>23</v>
      </c>
      <c r="H152" s="1">
        <f t="shared" ca="1" si="152"/>
        <v>3</v>
      </c>
      <c r="I152" s="1"/>
      <c r="J152" s="1">
        <f t="shared" ca="1" si="153"/>
        <v>4</v>
      </c>
      <c r="K152" s="1">
        <f t="shared" ca="1" si="154"/>
        <v>2.5174133141682722</v>
      </c>
      <c r="L152" s="1">
        <f t="shared" ca="1" si="155"/>
        <v>6</v>
      </c>
      <c r="M152" s="1"/>
      <c r="N152" s="1">
        <f t="shared" ca="1" si="156"/>
        <v>132</v>
      </c>
      <c r="O152" s="1">
        <f t="shared" ca="1" si="157"/>
        <v>42</v>
      </c>
      <c r="P152" s="1"/>
      <c r="Q152" s="1">
        <f t="shared" ca="1" si="158"/>
        <v>4.0051798514837431</v>
      </c>
      <c r="R152" s="1">
        <f t="shared" ca="1" si="159"/>
        <v>914</v>
      </c>
      <c r="S152" s="1"/>
      <c r="T152" s="1">
        <f t="shared" ca="1" si="160"/>
        <v>0.17331274325885265</v>
      </c>
      <c r="U152" s="1">
        <f t="shared" ca="1" si="161"/>
        <v>97</v>
      </c>
      <c r="V152" s="1">
        <f t="shared" ca="1" si="162"/>
        <v>3</v>
      </c>
      <c r="W152" s="1"/>
      <c r="X152" s="1">
        <f t="shared" ca="1" si="163"/>
        <v>6.3560461056369997</v>
      </c>
      <c r="Y152" s="1">
        <f t="shared" ca="1" si="164"/>
        <v>0.9109431250821356</v>
      </c>
      <c r="Z152" s="1">
        <f t="shared" ca="1" si="165"/>
        <v>1289</v>
      </c>
      <c r="AB152" s="1">
        <f t="shared" ca="1" si="166"/>
        <v>0.38790760453137507</v>
      </c>
      <c r="AC152" s="1">
        <f t="shared" ca="1" si="167"/>
        <v>575</v>
      </c>
      <c r="AD152" s="1">
        <f t="shared" ca="1" si="168"/>
        <v>4.4308728012503896E-3</v>
      </c>
      <c r="AE152" s="1"/>
      <c r="AF152" s="1">
        <f t="shared" ca="1" si="169"/>
        <v>0.14620324014154937</v>
      </c>
      <c r="AG152" s="1">
        <f t="shared" ca="1" si="170"/>
        <v>923</v>
      </c>
      <c r="AH152" s="1">
        <f t="shared" ca="1" si="171"/>
        <v>4.3474190083244305E-3</v>
      </c>
      <c r="AJ152" s="1">
        <f t="shared" ca="1" si="172"/>
        <v>0.53020303878310682</v>
      </c>
      <c r="AK152" s="1">
        <f t="shared" ca="1" si="173"/>
        <v>8.3016057889546222E-3</v>
      </c>
      <c r="AL152" s="1"/>
      <c r="AM152" s="1">
        <f t="shared" ca="1" si="174"/>
        <v>9.9571436883977724E-2</v>
      </c>
      <c r="AN152" s="1">
        <f t="shared" ca="1" si="175"/>
        <v>20</v>
      </c>
      <c r="AO152" s="1">
        <f t="shared" ca="1" si="176"/>
        <v>12</v>
      </c>
      <c r="AQ152" s="1">
        <f t="shared" ca="1" si="177"/>
        <v>162</v>
      </c>
      <c r="AR152" s="1">
        <f t="shared" ca="1" si="178"/>
        <v>0</v>
      </c>
      <c r="AS152" s="1">
        <f t="shared" ca="1" si="179"/>
        <v>41</v>
      </c>
      <c r="AU152" s="1">
        <f t="shared" ca="1" si="180"/>
        <v>92</v>
      </c>
      <c r="AV152" s="1">
        <f t="shared" ca="1" si="181"/>
        <v>5</v>
      </c>
      <c r="AW152" s="1">
        <f t="shared" ca="1" si="182"/>
        <v>0.13674703512278527</v>
      </c>
      <c r="AY152" s="1">
        <f t="shared" ca="1" si="183"/>
        <v>1.2408942897643325</v>
      </c>
      <c r="AZ152" s="1">
        <f t="shared" ca="1" si="184"/>
        <v>141</v>
      </c>
      <c r="BA152" s="1">
        <f t="shared" ca="1" si="185"/>
        <v>4.8896148036748268E-3</v>
      </c>
      <c r="BG152" s="1">
        <f t="shared" ca="1" si="186"/>
        <v>0.39621538924982369</v>
      </c>
      <c r="BH152" s="1">
        <f t="shared" ca="1" si="187"/>
        <v>7.1179595435967524E-2</v>
      </c>
      <c r="BI152" s="1">
        <f t="shared" ca="1" si="188"/>
        <v>780</v>
      </c>
      <c r="BV152" s="1">
        <f t="shared" ca="1" si="189"/>
        <v>0.78756431849590514</v>
      </c>
      <c r="BW152" s="1">
        <f t="shared" ca="1" si="190"/>
        <v>929</v>
      </c>
      <c r="BX152" s="1">
        <f t="shared" ca="1" si="191"/>
        <v>4.7500109166163934E-4</v>
      </c>
      <c r="BY152" s="1">
        <f t="shared" ca="1" si="192"/>
        <v>3.5606137707940737E-2</v>
      </c>
      <c r="BZ152" s="1">
        <f t="shared" ca="1" si="193"/>
        <v>0.76618182401863522</v>
      </c>
      <c r="CB152" s="1">
        <f t="shared" ca="1" si="194"/>
        <v>141</v>
      </c>
      <c r="CC152" s="1">
        <f t="shared" ca="1" si="195"/>
        <v>11</v>
      </c>
      <c r="CD152" s="1">
        <f t="shared" ca="1" si="196"/>
        <v>0.26474317342488235</v>
      </c>
      <c r="CE152" s="1">
        <f t="shared" ca="1" si="197"/>
        <v>0.58744927394300972</v>
      </c>
      <c r="CF152" s="1">
        <f t="shared" ca="1" si="197"/>
        <v>0.97841398243864819</v>
      </c>
      <c r="CH152" s="3">
        <f t="shared" ca="1" si="198"/>
        <v>0.60392133392973524</v>
      </c>
      <c r="CI152" s="3">
        <f t="shared" ca="1" si="199"/>
        <v>0.65430849655043</v>
      </c>
      <c r="CJ152" s="3">
        <f t="shared" ca="1" si="200"/>
        <v>857</v>
      </c>
      <c r="CK152" s="3">
        <f t="shared" ca="1" si="201"/>
        <v>1.7472181697171288E-3</v>
      </c>
      <c r="CL152" s="3">
        <f t="shared" ca="1" si="202"/>
        <v>0</v>
      </c>
      <c r="CM152" s="3"/>
      <c r="CN152" s="1">
        <f t="shared" ca="1" si="203"/>
        <v>15.05036133045526</v>
      </c>
      <c r="CO152" s="1">
        <f t="shared" ca="1" si="204"/>
        <v>0.36589377995287264</v>
      </c>
      <c r="CP152" s="1">
        <f t="shared" ca="1" si="205"/>
        <v>1</v>
      </c>
      <c r="CV152" s="1">
        <f t="shared" ca="1" si="206"/>
        <v>4.6360346800735952</v>
      </c>
      <c r="CW152" s="1">
        <f t="shared" ca="1" si="207"/>
        <v>1593</v>
      </c>
      <c r="CX152" s="1">
        <f t="shared" ca="1" si="208"/>
        <v>1.773284816641144E-3</v>
      </c>
      <c r="DH152" s="1">
        <f t="shared" ca="1" si="209"/>
        <v>412</v>
      </c>
      <c r="DI152" s="1">
        <f t="shared" ca="1" si="210"/>
        <v>0.39835828553611158</v>
      </c>
      <c r="DJ152" s="1">
        <f t="shared" ca="1" si="211"/>
        <v>4</v>
      </c>
      <c r="DL152" s="1">
        <f t="shared" ca="1" si="212"/>
        <v>0.1922627355847841</v>
      </c>
      <c r="DM152" s="1">
        <f t="shared" ca="1" si="213"/>
        <v>135</v>
      </c>
      <c r="DN152" s="1">
        <f t="shared" ca="1" si="214"/>
        <v>2</v>
      </c>
      <c r="DW152" s="1">
        <f t="shared" ca="1" si="215"/>
        <v>457</v>
      </c>
      <c r="DX152" s="1">
        <f t="shared" ca="1" si="216"/>
        <v>3</v>
      </c>
      <c r="DY152" s="1">
        <f t="shared" ca="1" si="217"/>
        <v>18</v>
      </c>
    </row>
    <row r="153" spans="2:129" x14ac:dyDescent="0.25">
      <c r="B153">
        <f t="shared" ca="1" si="147"/>
        <v>42</v>
      </c>
      <c r="C153">
        <f t="shared" ca="1" si="148"/>
        <v>30</v>
      </c>
      <c r="D153">
        <f t="shared" ca="1" si="149"/>
        <v>7.3378542789441822E-2</v>
      </c>
      <c r="F153" s="1">
        <f t="shared" ca="1" si="150"/>
        <v>21</v>
      </c>
      <c r="G153" s="1">
        <f t="shared" ca="1" si="151"/>
        <v>29</v>
      </c>
      <c r="H153" s="1">
        <f t="shared" ca="1" si="152"/>
        <v>11</v>
      </c>
      <c r="I153" s="1"/>
      <c r="J153" s="1">
        <f t="shared" ca="1" si="153"/>
        <v>19</v>
      </c>
      <c r="K153" s="1">
        <f t="shared" ca="1" si="154"/>
        <v>1.1778012720173301</v>
      </c>
      <c r="L153" s="1">
        <f t="shared" ca="1" si="155"/>
        <v>28</v>
      </c>
      <c r="M153" s="1"/>
      <c r="N153" s="1">
        <f t="shared" ca="1" si="156"/>
        <v>675</v>
      </c>
      <c r="O153" s="1">
        <f t="shared" ca="1" si="157"/>
        <v>50</v>
      </c>
      <c r="P153" s="1"/>
      <c r="Q153" s="1">
        <f t="shared" ca="1" si="158"/>
        <v>2.6441285070648273</v>
      </c>
      <c r="R153" s="1">
        <f t="shared" ca="1" si="159"/>
        <v>234</v>
      </c>
      <c r="S153" s="1"/>
      <c r="T153" s="1">
        <f t="shared" ca="1" si="160"/>
        <v>0.11372890122906573</v>
      </c>
      <c r="U153" s="1">
        <f t="shared" ca="1" si="161"/>
        <v>365</v>
      </c>
      <c r="V153" s="1">
        <f t="shared" ca="1" si="162"/>
        <v>37</v>
      </c>
      <c r="W153" s="1"/>
      <c r="X153" s="1">
        <f t="shared" ca="1" si="163"/>
        <v>9.8402071552779304</v>
      </c>
      <c r="Y153" s="1">
        <f t="shared" ca="1" si="164"/>
        <v>0.26345872151599448</v>
      </c>
      <c r="Z153" s="1">
        <f t="shared" ca="1" si="165"/>
        <v>1866</v>
      </c>
      <c r="AB153" s="1">
        <f t="shared" ca="1" si="166"/>
        <v>0.88596920099589216</v>
      </c>
      <c r="AC153" s="1">
        <f t="shared" ca="1" si="167"/>
        <v>367</v>
      </c>
      <c r="AD153" s="1">
        <f t="shared" ca="1" si="168"/>
        <v>5.3354905704944711E-3</v>
      </c>
      <c r="AE153" s="1"/>
      <c r="AF153" s="1">
        <f t="shared" ca="1" si="169"/>
        <v>0.85247864966184961</v>
      </c>
      <c r="AG153" s="1">
        <f t="shared" ca="1" si="170"/>
        <v>475</v>
      </c>
      <c r="AH153" s="1">
        <f t="shared" ca="1" si="171"/>
        <v>6.0401899349992643E-3</v>
      </c>
      <c r="AJ153" s="1">
        <f t="shared" ca="1" si="172"/>
        <v>2.0008582210516046E-2</v>
      </c>
      <c r="AK153" s="1">
        <f t="shared" ca="1" si="173"/>
        <v>8.0000641813027309E-3</v>
      </c>
      <c r="AL153" s="1"/>
      <c r="AM153" s="1">
        <f t="shared" ca="1" si="174"/>
        <v>5.9766953574191255E-2</v>
      </c>
      <c r="AN153" s="1">
        <f t="shared" ca="1" si="175"/>
        <v>72</v>
      </c>
      <c r="AO153" s="1">
        <f t="shared" ca="1" si="176"/>
        <v>15</v>
      </c>
      <c r="AQ153" s="1">
        <f t="shared" ca="1" si="177"/>
        <v>170</v>
      </c>
      <c r="AR153" s="1">
        <f t="shared" ca="1" si="178"/>
        <v>7</v>
      </c>
      <c r="AS153" s="1">
        <f t="shared" ca="1" si="179"/>
        <v>61</v>
      </c>
      <c r="AU153" s="1">
        <f t="shared" ca="1" si="180"/>
        <v>380</v>
      </c>
      <c r="AV153" s="1">
        <f t="shared" ca="1" si="181"/>
        <v>9</v>
      </c>
      <c r="AW153" s="1">
        <f t="shared" ca="1" si="182"/>
        <v>5.7654091422599155E-2</v>
      </c>
      <c r="AY153" s="1">
        <f t="shared" ca="1" si="183"/>
        <v>1.4274969533678186</v>
      </c>
      <c r="AZ153" s="1">
        <f t="shared" ca="1" si="184"/>
        <v>303</v>
      </c>
      <c r="BA153" s="1">
        <f t="shared" ca="1" si="185"/>
        <v>6.8108393141483852E-3</v>
      </c>
      <c r="BG153" s="1">
        <f t="shared" ca="1" si="186"/>
        <v>0.11828488563148756</v>
      </c>
      <c r="BH153" s="1">
        <f t="shared" ca="1" si="187"/>
        <v>0.64922825115797156</v>
      </c>
      <c r="BI153" s="1">
        <f t="shared" ca="1" si="188"/>
        <v>704</v>
      </c>
      <c r="BV153" s="1">
        <f t="shared" ca="1" si="189"/>
        <v>0.43548138493905753</v>
      </c>
      <c r="BW153" s="1">
        <f t="shared" ca="1" si="190"/>
        <v>436</v>
      </c>
      <c r="BX153" s="1">
        <f t="shared" ca="1" si="191"/>
        <v>3.8376851861888816E-3</v>
      </c>
      <c r="BY153" s="1">
        <f t="shared" ca="1" si="192"/>
        <v>8.473915989804294E-2</v>
      </c>
      <c r="BZ153" s="1">
        <f t="shared" ca="1" si="193"/>
        <v>0.54767108313265878</v>
      </c>
      <c r="CB153" s="1">
        <f t="shared" ca="1" si="194"/>
        <v>316</v>
      </c>
      <c r="CC153" s="1">
        <f t="shared" ca="1" si="195"/>
        <v>11</v>
      </c>
      <c r="CD153" s="1">
        <f t="shared" ca="1" si="196"/>
        <v>0.21164027473705999</v>
      </c>
      <c r="CE153" s="1">
        <f t="shared" ca="1" si="197"/>
        <v>0.75650722466473952</v>
      </c>
      <c r="CF153" s="1">
        <f t="shared" ca="1" si="197"/>
        <v>0.51910798907894029</v>
      </c>
      <c r="CH153" s="3">
        <f t="shared" ca="1" si="198"/>
        <v>7.6640981296206126E-2</v>
      </c>
      <c r="CI153" s="3">
        <f t="shared" ca="1" si="199"/>
        <v>0.79787565112342551</v>
      </c>
      <c r="CJ153" s="3">
        <f t="shared" ca="1" si="200"/>
        <v>472</v>
      </c>
      <c r="CK153" s="3">
        <f t="shared" ca="1" si="201"/>
        <v>2.8629026700006124E-3</v>
      </c>
      <c r="CL153" s="3">
        <f t="shared" ca="1" si="202"/>
        <v>0</v>
      </c>
      <c r="CM153" s="3"/>
      <c r="CN153" s="1">
        <f t="shared" ca="1" si="203"/>
        <v>4.9238091930194416</v>
      </c>
      <c r="CO153" s="1">
        <f t="shared" ca="1" si="204"/>
        <v>0.41687776593039183</v>
      </c>
      <c r="CP153" s="1">
        <f t="shared" ca="1" si="205"/>
        <v>3</v>
      </c>
      <c r="CV153" s="1">
        <f t="shared" ca="1" si="206"/>
        <v>9.7508336364042574</v>
      </c>
      <c r="CW153" s="1">
        <f t="shared" ca="1" si="207"/>
        <v>1815</v>
      </c>
      <c r="CX153" s="1">
        <f t="shared" ca="1" si="208"/>
        <v>3.8177243795852168E-3</v>
      </c>
      <c r="DH153" s="1">
        <f t="shared" ca="1" si="209"/>
        <v>501</v>
      </c>
      <c r="DI153" s="1">
        <f t="shared" ca="1" si="210"/>
        <v>0.31747396408242867</v>
      </c>
      <c r="DJ153" s="1">
        <f t="shared" ca="1" si="211"/>
        <v>30</v>
      </c>
      <c r="DL153" s="1">
        <f t="shared" ca="1" si="212"/>
        <v>9.1301688160890238E-2</v>
      </c>
      <c r="DM153" s="1">
        <f t="shared" ca="1" si="213"/>
        <v>235</v>
      </c>
      <c r="DN153" s="1">
        <f t="shared" ca="1" si="214"/>
        <v>3</v>
      </c>
      <c r="DW153" s="1">
        <f t="shared" ca="1" si="215"/>
        <v>454</v>
      </c>
      <c r="DX153" s="1">
        <f t="shared" ca="1" si="216"/>
        <v>13</v>
      </c>
      <c r="DY153" s="1">
        <f t="shared" ca="1" si="217"/>
        <v>15</v>
      </c>
    </row>
    <row r="154" spans="2:129" x14ac:dyDescent="0.25">
      <c r="B154">
        <f t="shared" ca="1" si="147"/>
        <v>381</v>
      </c>
      <c r="C154">
        <f t="shared" ca="1" si="148"/>
        <v>3</v>
      </c>
      <c r="D154">
        <f t="shared" ca="1" si="149"/>
        <v>2.4559046158947443E-2</v>
      </c>
      <c r="F154" s="1">
        <f t="shared" ca="1" si="150"/>
        <v>22</v>
      </c>
      <c r="G154" s="1">
        <f t="shared" ca="1" si="151"/>
        <v>2</v>
      </c>
      <c r="H154" s="1">
        <f t="shared" ca="1" si="152"/>
        <v>12</v>
      </c>
      <c r="I154" s="1"/>
      <c r="J154" s="1">
        <f t="shared" ca="1" si="153"/>
        <v>23</v>
      </c>
      <c r="K154" s="1">
        <f t="shared" ca="1" si="154"/>
        <v>2.588566513204194</v>
      </c>
      <c r="L154" s="1">
        <f t="shared" ca="1" si="155"/>
        <v>10</v>
      </c>
      <c r="M154" s="1"/>
      <c r="N154" s="1">
        <f t="shared" ca="1" si="156"/>
        <v>784</v>
      </c>
      <c r="O154" s="1">
        <f t="shared" ca="1" si="157"/>
        <v>21</v>
      </c>
      <c r="P154" s="1"/>
      <c r="Q154" s="1">
        <f t="shared" ca="1" si="158"/>
        <v>3.4722701633696147</v>
      </c>
      <c r="R154" s="1">
        <f t="shared" ca="1" si="159"/>
        <v>821</v>
      </c>
      <c r="S154" s="1"/>
      <c r="T154" s="1">
        <f t="shared" ca="1" si="160"/>
        <v>0.1831008044947158</v>
      </c>
      <c r="U154" s="1">
        <f t="shared" ca="1" si="161"/>
        <v>209</v>
      </c>
      <c r="V154" s="1">
        <f t="shared" ca="1" si="162"/>
        <v>4</v>
      </c>
      <c r="W154" s="1"/>
      <c r="X154" s="1">
        <f t="shared" ca="1" si="163"/>
        <v>2.8121152291365106</v>
      </c>
      <c r="Y154" s="1">
        <f t="shared" ca="1" si="164"/>
        <v>0.54508060271394643</v>
      </c>
      <c r="Z154" s="1">
        <f t="shared" ca="1" si="165"/>
        <v>904</v>
      </c>
      <c r="AB154" s="1">
        <f t="shared" ca="1" si="166"/>
        <v>0.95571940523241072</v>
      </c>
      <c r="AC154" s="1">
        <f t="shared" ca="1" si="167"/>
        <v>739</v>
      </c>
      <c r="AD154" s="1">
        <f t="shared" ca="1" si="168"/>
        <v>8.1269641526719779E-3</v>
      </c>
      <c r="AE154" s="1"/>
      <c r="AF154" s="1">
        <f t="shared" ca="1" si="169"/>
        <v>0.80265636117056716</v>
      </c>
      <c r="AG154" s="1">
        <f t="shared" ca="1" si="170"/>
        <v>996</v>
      </c>
      <c r="AH154" s="1">
        <f t="shared" ca="1" si="171"/>
        <v>5.1872149952153276E-3</v>
      </c>
      <c r="AJ154" s="1">
        <f t="shared" ca="1" si="172"/>
        <v>0.33888204549561185</v>
      </c>
      <c r="AK154" s="1">
        <f t="shared" ca="1" si="173"/>
        <v>2.2396718267395067E-3</v>
      </c>
      <c r="AL154" s="1"/>
      <c r="AM154" s="1">
        <f t="shared" ca="1" si="174"/>
        <v>0.11990853201953339</v>
      </c>
      <c r="AN154" s="1">
        <f t="shared" ca="1" si="175"/>
        <v>74</v>
      </c>
      <c r="AO154" s="1">
        <f t="shared" ca="1" si="176"/>
        <v>6</v>
      </c>
      <c r="AQ154" s="1">
        <f t="shared" ca="1" si="177"/>
        <v>102</v>
      </c>
      <c r="AR154" s="1">
        <f t="shared" ca="1" si="178"/>
        <v>2</v>
      </c>
      <c r="AS154" s="1">
        <f t="shared" ca="1" si="179"/>
        <v>53</v>
      </c>
      <c r="AU154" s="1">
        <f t="shared" ca="1" si="180"/>
        <v>189</v>
      </c>
      <c r="AV154" s="1">
        <f t="shared" ca="1" si="181"/>
        <v>3</v>
      </c>
      <c r="AW154" s="1">
        <f t="shared" ca="1" si="182"/>
        <v>0.17095369702418226</v>
      </c>
      <c r="AY154" s="1">
        <f t="shared" ca="1" si="183"/>
        <v>1.4363501522655546</v>
      </c>
      <c r="AZ154" s="1">
        <f t="shared" ca="1" si="184"/>
        <v>442</v>
      </c>
      <c r="BA154" s="1">
        <f t="shared" ca="1" si="185"/>
        <v>8.1987603126291459E-3</v>
      </c>
      <c r="BG154" s="1">
        <f t="shared" ca="1" si="186"/>
        <v>0.63672647811358307</v>
      </c>
      <c r="BH154" s="1">
        <f t="shared" ca="1" si="187"/>
        <v>0.10839058684954339</v>
      </c>
      <c r="BI154" s="1">
        <f t="shared" ca="1" si="188"/>
        <v>493</v>
      </c>
      <c r="BV154" s="1">
        <f t="shared" ca="1" si="189"/>
        <v>0.14610087545036857</v>
      </c>
      <c r="BW154" s="1">
        <f t="shared" ca="1" si="190"/>
        <v>558</v>
      </c>
      <c r="BX154" s="1">
        <f t="shared" ca="1" si="191"/>
        <v>4.7214608378080766E-3</v>
      </c>
      <c r="BY154" s="1">
        <f t="shared" ca="1" si="192"/>
        <v>6.4730959154797083E-2</v>
      </c>
      <c r="BZ154" s="1">
        <f t="shared" ca="1" si="193"/>
        <v>0.18621630239020692</v>
      </c>
      <c r="CB154" s="1">
        <f t="shared" ca="1" si="194"/>
        <v>116</v>
      </c>
      <c r="CC154" s="1">
        <f t="shared" ca="1" si="195"/>
        <v>4</v>
      </c>
      <c r="CD154" s="1">
        <f t="shared" ca="1" si="196"/>
        <v>0.25674391755645865</v>
      </c>
      <c r="CE154" s="1">
        <f t="shared" ca="1" si="197"/>
        <v>0.7741725213140227</v>
      </c>
      <c r="CF154" s="1">
        <f t="shared" ca="1" si="197"/>
        <v>0.82654475400490401</v>
      </c>
      <c r="CH154" s="3">
        <f t="shared" ca="1" si="198"/>
        <v>0.95391523676659207</v>
      </c>
      <c r="CI154" s="3">
        <f t="shared" ca="1" si="199"/>
        <v>0.5084730460045076</v>
      </c>
      <c r="CJ154" s="3">
        <f t="shared" ca="1" si="200"/>
        <v>830</v>
      </c>
      <c r="CK154" s="3">
        <f t="shared" ca="1" si="201"/>
        <v>1.1313483088174865E-3</v>
      </c>
      <c r="CL154" s="3">
        <f t="shared" ca="1" si="202"/>
        <v>1</v>
      </c>
      <c r="CM154" s="3"/>
      <c r="CN154" s="1">
        <f t="shared" ca="1" si="203"/>
        <v>10.827028893142781</v>
      </c>
      <c r="CO154" s="1">
        <f t="shared" ca="1" si="204"/>
        <v>0.15121699832710958</v>
      </c>
      <c r="CP154" s="1">
        <f t="shared" ca="1" si="205"/>
        <v>4</v>
      </c>
      <c r="CV154" s="1">
        <f t="shared" ca="1" si="206"/>
        <v>1.4709764148556055</v>
      </c>
      <c r="CW154" s="1">
        <f t="shared" ca="1" si="207"/>
        <v>1616</v>
      </c>
      <c r="CX154" s="1">
        <f t="shared" ca="1" si="208"/>
        <v>3.799768776411222E-3</v>
      </c>
      <c r="DH154" s="1">
        <f t="shared" ca="1" si="209"/>
        <v>358</v>
      </c>
      <c r="DI154" s="1">
        <f t="shared" ca="1" si="210"/>
        <v>0.22769090796075853</v>
      </c>
      <c r="DJ154" s="1">
        <f t="shared" ca="1" si="211"/>
        <v>1</v>
      </c>
      <c r="DL154" s="1">
        <f t="shared" ca="1" si="212"/>
        <v>0.19712758112198711</v>
      </c>
      <c r="DM154" s="1">
        <f t="shared" ca="1" si="213"/>
        <v>151</v>
      </c>
      <c r="DN154" s="1">
        <f t="shared" ca="1" si="214"/>
        <v>2</v>
      </c>
      <c r="DW154" s="1">
        <f t="shared" ca="1" si="215"/>
        <v>263</v>
      </c>
      <c r="DX154" s="1">
        <f t="shared" ca="1" si="216"/>
        <v>20</v>
      </c>
      <c r="DY154" s="1">
        <f t="shared" ca="1" si="217"/>
        <v>18</v>
      </c>
    </row>
    <row r="155" spans="2:129" x14ac:dyDescent="0.25">
      <c r="B155">
        <f t="shared" ca="1" si="147"/>
        <v>180</v>
      </c>
      <c r="C155">
        <f t="shared" ca="1" si="148"/>
        <v>20</v>
      </c>
      <c r="D155">
        <f t="shared" ca="1" si="149"/>
        <v>0.12035559853159546</v>
      </c>
      <c r="F155" s="1">
        <f t="shared" ca="1" si="150"/>
        <v>51</v>
      </c>
      <c r="G155" s="1">
        <f t="shared" ca="1" si="151"/>
        <v>19</v>
      </c>
      <c r="H155" s="1">
        <f t="shared" ca="1" si="152"/>
        <v>5</v>
      </c>
      <c r="I155" s="1"/>
      <c r="J155" s="1">
        <f t="shared" ca="1" si="153"/>
        <v>34</v>
      </c>
      <c r="K155" s="1">
        <f t="shared" ca="1" si="154"/>
        <v>2.3787163471928712</v>
      </c>
      <c r="L155" s="1">
        <f t="shared" ca="1" si="155"/>
        <v>16</v>
      </c>
      <c r="M155" s="1"/>
      <c r="N155" s="1">
        <f t="shared" ca="1" si="156"/>
        <v>676</v>
      </c>
      <c r="O155" s="1">
        <f t="shared" ca="1" si="157"/>
        <v>34</v>
      </c>
      <c r="P155" s="1"/>
      <c r="Q155" s="1">
        <f t="shared" ca="1" si="158"/>
        <v>7.5975781036214149E-2</v>
      </c>
      <c r="R155" s="1">
        <f t="shared" ca="1" si="159"/>
        <v>994</v>
      </c>
      <c r="S155" s="1"/>
      <c r="T155" s="1">
        <f t="shared" ca="1" si="160"/>
        <v>5.3310737647269769E-2</v>
      </c>
      <c r="U155" s="1">
        <f t="shared" ca="1" si="161"/>
        <v>426</v>
      </c>
      <c r="V155" s="1">
        <f t="shared" ca="1" si="162"/>
        <v>35</v>
      </c>
      <c r="W155" s="1"/>
      <c r="X155" s="1">
        <f t="shared" ca="1" si="163"/>
        <v>6.8358851089411727</v>
      </c>
      <c r="Y155" s="1">
        <f t="shared" ca="1" si="164"/>
        <v>0.28264189153529845</v>
      </c>
      <c r="Z155" s="1">
        <f t="shared" ca="1" si="165"/>
        <v>1803</v>
      </c>
      <c r="AB155" s="1">
        <f t="shared" ca="1" si="166"/>
        <v>0.17587747237526413</v>
      </c>
      <c r="AC155" s="1">
        <f t="shared" ca="1" si="167"/>
        <v>463</v>
      </c>
      <c r="AD155" s="1">
        <f t="shared" ca="1" si="168"/>
        <v>9.1206912554770512E-3</v>
      </c>
      <c r="AE155" s="1"/>
      <c r="AF155" s="1">
        <f t="shared" ca="1" si="169"/>
        <v>0.36207131448750673</v>
      </c>
      <c r="AG155" s="1">
        <f t="shared" ca="1" si="170"/>
        <v>809</v>
      </c>
      <c r="AH155" s="1">
        <f t="shared" ca="1" si="171"/>
        <v>3.4989432990970531E-3</v>
      </c>
      <c r="AJ155" s="1">
        <f t="shared" ca="1" si="172"/>
        <v>5.5399812074518606E-2</v>
      </c>
      <c r="AK155" s="1">
        <f t="shared" ca="1" si="173"/>
        <v>5.6536021398295279E-3</v>
      </c>
      <c r="AL155" s="1"/>
      <c r="AM155" s="1">
        <f t="shared" ca="1" si="174"/>
        <v>4.5817493959497468E-2</v>
      </c>
      <c r="AN155" s="1">
        <f t="shared" ca="1" si="175"/>
        <v>26</v>
      </c>
      <c r="AO155" s="1">
        <f t="shared" ca="1" si="176"/>
        <v>19</v>
      </c>
      <c r="AQ155" s="1">
        <f t="shared" ca="1" si="177"/>
        <v>101</v>
      </c>
      <c r="AR155" s="1">
        <f t="shared" ca="1" si="178"/>
        <v>3</v>
      </c>
      <c r="AS155" s="1">
        <f t="shared" ca="1" si="179"/>
        <v>3</v>
      </c>
      <c r="AU155" s="1">
        <f t="shared" ca="1" si="180"/>
        <v>277</v>
      </c>
      <c r="AV155" s="1">
        <f t="shared" ca="1" si="181"/>
        <v>4</v>
      </c>
      <c r="AW155" s="1">
        <f t="shared" ca="1" si="182"/>
        <v>6.1657402624097211E-2</v>
      </c>
      <c r="AY155" s="1">
        <f t="shared" ca="1" si="183"/>
        <v>1.6798807547645596</v>
      </c>
      <c r="AZ155" s="1">
        <f t="shared" ca="1" si="184"/>
        <v>364</v>
      </c>
      <c r="BA155" s="1">
        <f t="shared" ca="1" si="185"/>
        <v>7.4338173376546929E-3</v>
      </c>
      <c r="BG155" s="1">
        <f t="shared" ca="1" si="186"/>
        <v>0.52388774854522069</v>
      </c>
      <c r="BH155" s="1">
        <f t="shared" ca="1" si="187"/>
        <v>0.82953767974086068</v>
      </c>
      <c r="BI155" s="1">
        <f t="shared" ca="1" si="188"/>
        <v>636</v>
      </c>
      <c r="BV155" s="1">
        <f t="shared" ca="1" si="189"/>
        <v>0.12230062425273135</v>
      </c>
      <c r="BW155" s="1">
        <f t="shared" ca="1" si="190"/>
        <v>604</v>
      </c>
      <c r="BX155" s="1">
        <f t="shared" ca="1" si="191"/>
        <v>2.5646103916875346E-3</v>
      </c>
      <c r="BY155" s="1">
        <f t="shared" ca="1" si="192"/>
        <v>4.3720102827576317E-2</v>
      </c>
      <c r="BZ155" s="1">
        <f t="shared" ca="1" si="193"/>
        <v>0.46095795504603665</v>
      </c>
      <c r="CB155" s="1">
        <f t="shared" ca="1" si="194"/>
        <v>415</v>
      </c>
      <c r="CC155" s="1">
        <f t="shared" ca="1" si="195"/>
        <v>13</v>
      </c>
      <c r="CD155" s="1">
        <f t="shared" ca="1" si="196"/>
        <v>0.2307831378034271</v>
      </c>
      <c r="CE155" s="1">
        <f t="shared" ca="1" si="197"/>
        <v>0.69778507331485362</v>
      </c>
      <c r="CF155" s="1">
        <f t="shared" ca="1" si="197"/>
        <v>0.53023123306265041</v>
      </c>
      <c r="CH155" s="3">
        <f t="shared" ca="1" si="198"/>
        <v>4.3522072800517182E-2</v>
      </c>
      <c r="CI155" s="3">
        <f t="shared" ca="1" si="199"/>
        <v>0.20620147965369087</v>
      </c>
      <c r="CJ155" s="3">
        <f t="shared" ca="1" si="200"/>
        <v>298</v>
      </c>
      <c r="CK155" s="3">
        <f t="shared" ca="1" si="201"/>
        <v>3.1683507762375355E-3</v>
      </c>
      <c r="CL155" s="3">
        <f t="shared" ca="1" si="202"/>
        <v>0</v>
      </c>
      <c r="CM155" s="3"/>
      <c r="CN155" s="1">
        <f t="shared" ca="1" si="203"/>
        <v>9.9862288673984363</v>
      </c>
      <c r="CO155" s="1">
        <f t="shared" ca="1" si="204"/>
        <v>0.34814049983427314</v>
      </c>
      <c r="CP155" s="1">
        <f t="shared" ca="1" si="205"/>
        <v>4</v>
      </c>
      <c r="CV155" s="1">
        <f t="shared" ca="1" si="206"/>
        <v>0.4106086811378894</v>
      </c>
      <c r="CW155" s="1">
        <f t="shared" ca="1" si="207"/>
        <v>836</v>
      </c>
      <c r="CX155" s="1">
        <f t="shared" ca="1" si="208"/>
        <v>6.122088900094462E-3</v>
      </c>
      <c r="DH155" s="1">
        <f t="shared" ca="1" si="209"/>
        <v>247</v>
      </c>
      <c r="DI155" s="1">
        <f t="shared" ca="1" si="210"/>
        <v>0.97246846587553348</v>
      </c>
      <c r="DJ155" s="1">
        <f t="shared" ca="1" si="211"/>
        <v>16</v>
      </c>
      <c r="DL155" s="1">
        <f t="shared" ca="1" si="212"/>
        <v>0.13888047372337101</v>
      </c>
      <c r="DM155" s="1">
        <f t="shared" ca="1" si="213"/>
        <v>272</v>
      </c>
      <c r="DN155" s="1">
        <f t="shared" ca="1" si="214"/>
        <v>2</v>
      </c>
      <c r="DW155" s="1">
        <f t="shared" ca="1" si="215"/>
        <v>444</v>
      </c>
      <c r="DX155" s="1">
        <f t="shared" ca="1" si="216"/>
        <v>9</v>
      </c>
      <c r="DY155" s="1">
        <f t="shared" ca="1" si="217"/>
        <v>18</v>
      </c>
    </row>
    <row r="156" spans="2:129" x14ac:dyDescent="0.25">
      <c r="B156">
        <f t="shared" ca="1" si="147"/>
        <v>61</v>
      </c>
      <c r="C156">
        <f t="shared" ca="1" si="148"/>
        <v>23</v>
      </c>
      <c r="D156">
        <f t="shared" ca="1" si="149"/>
        <v>0.12423661167179409</v>
      </c>
      <c r="F156" s="1">
        <f t="shared" ca="1" si="150"/>
        <v>27</v>
      </c>
      <c r="G156" s="1">
        <f t="shared" ca="1" si="151"/>
        <v>23</v>
      </c>
      <c r="H156" s="1">
        <f t="shared" ca="1" si="152"/>
        <v>12</v>
      </c>
      <c r="I156" s="1"/>
      <c r="J156" s="1">
        <f t="shared" ca="1" si="153"/>
        <v>11</v>
      </c>
      <c r="K156" s="1">
        <f t="shared" ca="1" si="154"/>
        <v>2.891566112542848</v>
      </c>
      <c r="L156" s="1">
        <f t="shared" ca="1" si="155"/>
        <v>13</v>
      </c>
      <c r="M156" s="1"/>
      <c r="N156" s="1">
        <f t="shared" ca="1" si="156"/>
        <v>903</v>
      </c>
      <c r="O156" s="1">
        <f t="shared" ca="1" si="157"/>
        <v>10</v>
      </c>
      <c r="P156" s="1"/>
      <c r="Q156" s="1">
        <f t="shared" ca="1" si="158"/>
        <v>4.7008556944456172</v>
      </c>
      <c r="R156" s="1">
        <f t="shared" ca="1" si="159"/>
        <v>1098</v>
      </c>
      <c r="S156" s="1"/>
      <c r="T156" s="1">
        <f t="shared" ca="1" si="160"/>
        <v>0.18634753086885117</v>
      </c>
      <c r="U156" s="1">
        <f t="shared" ca="1" si="161"/>
        <v>416</v>
      </c>
      <c r="V156" s="1">
        <f t="shared" ca="1" si="162"/>
        <v>14</v>
      </c>
      <c r="W156" s="1"/>
      <c r="X156" s="1">
        <f t="shared" ca="1" si="163"/>
        <v>1.8912415477737607</v>
      </c>
      <c r="Y156" s="1">
        <f t="shared" ca="1" si="164"/>
        <v>0.43116370559937489</v>
      </c>
      <c r="Z156" s="1">
        <f t="shared" ca="1" si="165"/>
        <v>1107</v>
      </c>
      <c r="AB156" s="1">
        <f t="shared" ca="1" si="166"/>
        <v>3.1345650421849892E-3</v>
      </c>
      <c r="AC156" s="1">
        <f t="shared" ca="1" si="167"/>
        <v>458</v>
      </c>
      <c r="AD156" s="1">
        <f t="shared" ca="1" si="168"/>
        <v>2.6772808424550955E-3</v>
      </c>
      <c r="AE156" s="1"/>
      <c r="AF156" s="1">
        <f t="shared" ca="1" si="169"/>
        <v>0.6350052228053622</v>
      </c>
      <c r="AG156" s="1">
        <f t="shared" ca="1" si="170"/>
        <v>932</v>
      </c>
      <c r="AH156" s="1">
        <f t="shared" ca="1" si="171"/>
        <v>4.4735295286238682E-3</v>
      </c>
      <c r="AJ156" s="1">
        <f t="shared" ca="1" si="172"/>
        <v>3.6004392511185923E-2</v>
      </c>
      <c r="AK156" s="1">
        <f t="shared" ca="1" si="173"/>
        <v>9.1234026692891303E-3</v>
      </c>
      <c r="AL156" s="1"/>
      <c r="AM156" s="1">
        <f t="shared" ca="1" si="174"/>
        <v>7.5760593193883626E-3</v>
      </c>
      <c r="AN156" s="1">
        <f t="shared" ca="1" si="175"/>
        <v>68</v>
      </c>
      <c r="AO156" s="1">
        <f t="shared" ca="1" si="176"/>
        <v>13</v>
      </c>
      <c r="AQ156" s="1">
        <f t="shared" ca="1" si="177"/>
        <v>30</v>
      </c>
      <c r="AR156" s="1">
        <f t="shared" ca="1" si="178"/>
        <v>4</v>
      </c>
      <c r="AS156" s="1">
        <f t="shared" ca="1" si="179"/>
        <v>45</v>
      </c>
      <c r="AU156" s="1">
        <f t="shared" ca="1" si="180"/>
        <v>180</v>
      </c>
      <c r="AV156" s="1">
        <f t="shared" ca="1" si="181"/>
        <v>5</v>
      </c>
      <c r="AW156" s="1">
        <f t="shared" ca="1" si="182"/>
        <v>8.3161908134933293E-2</v>
      </c>
      <c r="AY156" s="1">
        <f t="shared" ca="1" si="183"/>
        <v>1.8284508262342449</v>
      </c>
      <c r="AZ156" s="1">
        <f t="shared" ca="1" si="184"/>
        <v>181</v>
      </c>
      <c r="BA156" s="1">
        <f t="shared" ca="1" si="185"/>
        <v>7.3499935245171528E-3</v>
      </c>
      <c r="BG156" s="1">
        <f t="shared" ca="1" si="186"/>
        <v>0.6438913365270158</v>
      </c>
      <c r="BH156" s="1">
        <f t="shared" ca="1" si="187"/>
        <v>0.44901999642999058</v>
      </c>
      <c r="BI156" s="1">
        <f t="shared" ca="1" si="188"/>
        <v>766</v>
      </c>
      <c r="BV156" s="1">
        <f t="shared" ca="1" si="189"/>
        <v>0.46654801036077997</v>
      </c>
      <c r="BW156" s="1">
        <f t="shared" ca="1" si="190"/>
        <v>183</v>
      </c>
      <c r="BX156" s="1">
        <f t="shared" ca="1" si="191"/>
        <v>1.8578500071877585E-3</v>
      </c>
      <c r="BY156" s="1">
        <f t="shared" ca="1" si="192"/>
        <v>6.4741911739477062E-2</v>
      </c>
      <c r="BZ156" s="1">
        <f t="shared" ca="1" si="193"/>
        <v>5.2508052183529053E-2</v>
      </c>
      <c r="CB156" s="1">
        <f t="shared" ca="1" si="194"/>
        <v>210</v>
      </c>
      <c r="CC156" s="1">
        <f t="shared" ca="1" si="195"/>
        <v>14</v>
      </c>
      <c r="CD156" s="1">
        <f t="shared" ca="1" si="196"/>
        <v>0.18556049626781546</v>
      </c>
      <c r="CE156" s="1">
        <f t="shared" ca="1" si="197"/>
        <v>0.5522566937028105</v>
      </c>
      <c r="CF156" s="1">
        <f t="shared" ca="1" si="197"/>
        <v>0.76016789593881806</v>
      </c>
      <c r="CH156" s="3">
        <f t="shared" ca="1" si="198"/>
        <v>0.62488362777643325</v>
      </c>
      <c r="CI156" s="3">
        <f t="shared" ca="1" si="199"/>
        <v>0.92834307241020164</v>
      </c>
      <c r="CJ156" s="3">
        <f t="shared" ca="1" si="200"/>
        <v>1622</v>
      </c>
      <c r="CK156" s="3">
        <f t="shared" ca="1" si="201"/>
        <v>1.1749858732980627E-3</v>
      </c>
      <c r="CL156" s="3">
        <f t="shared" ca="1" si="202"/>
        <v>1</v>
      </c>
      <c r="CM156" s="3"/>
      <c r="CN156" s="1">
        <f t="shared" ca="1" si="203"/>
        <v>17.905984029017457</v>
      </c>
      <c r="CO156" s="1">
        <f t="shared" ca="1" si="204"/>
        <v>0.13768295823167093</v>
      </c>
      <c r="CP156" s="1">
        <f t="shared" ca="1" si="205"/>
        <v>2</v>
      </c>
      <c r="CV156" s="1">
        <f t="shared" ca="1" si="206"/>
        <v>6.9608142940384594</v>
      </c>
      <c r="CW156" s="1">
        <f t="shared" ca="1" si="207"/>
        <v>439</v>
      </c>
      <c r="CX156" s="1">
        <f t="shared" ca="1" si="208"/>
        <v>4.6471409113965131E-3</v>
      </c>
      <c r="DH156" s="1">
        <f t="shared" ca="1" si="209"/>
        <v>667</v>
      </c>
      <c r="DI156" s="1">
        <f t="shared" ca="1" si="210"/>
        <v>4.5159380954136338E-2</v>
      </c>
      <c r="DJ156" s="1">
        <f t="shared" ca="1" si="211"/>
        <v>20</v>
      </c>
      <c r="DL156" s="1">
        <f t="shared" ca="1" si="212"/>
        <v>0.16545537422450723</v>
      </c>
      <c r="DM156" s="1">
        <f t="shared" ca="1" si="213"/>
        <v>238</v>
      </c>
      <c r="DN156" s="1">
        <f t="shared" ca="1" si="214"/>
        <v>1</v>
      </c>
      <c r="DW156" s="1">
        <f t="shared" ca="1" si="215"/>
        <v>438</v>
      </c>
      <c r="DX156" s="1">
        <f t="shared" ca="1" si="216"/>
        <v>18</v>
      </c>
      <c r="DY156" s="1">
        <f t="shared" ca="1" si="217"/>
        <v>9</v>
      </c>
    </row>
    <row r="157" spans="2:129" x14ac:dyDescent="0.25">
      <c r="B157">
        <f t="shared" ca="1" si="147"/>
        <v>857</v>
      </c>
      <c r="C157">
        <f t="shared" ca="1" si="148"/>
        <v>42</v>
      </c>
      <c r="D157">
        <f t="shared" ca="1" si="149"/>
        <v>0.23755181343177342</v>
      </c>
      <c r="F157" s="1">
        <f t="shared" ca="1" si="150"/>
        <v>46</v>
      </c>
      <c r="G157" s="1">
        <f t="shared" ca="1" si="151"/>
        <v>12</v>
      </c>
      <c r="H157" s="1">
        <f t="shared" ca="1" si="152"/>
        <v>9</v>
      </c>
      <c r="I157" s="1"/>
      <c r="J157" s="1">
        <f t="shared" ca="1" si="153"/>
        <v>34</v>
      </c>
      <c r="K157" s="1">
        <f t="shared" ca="1" si="154"/>
        <v>2.0224965307495362</v>
      </c>
      <c r="L157" s="1">
        <f t="shared" ca="1" si="155"/>
        <v>30</v>
      </c>
      <c r="M157" s="1"/>
      <c r="N157" s="1">
        <f t="shared" ca="1" si="156"/>
        <v>240</v>
      </c>
      <c r="O157" s="1">
        <f t="shared" ca="1" si="157"/>
        <v>18</v>
      </c>
      <c r="P157" s="1"/>
      <c r="Q157" s="1">
        <f t="shared" ca="1" si="158"/>
        <v>3.5236433417403914</v>
      </c>
      <c r="R157" s="1">
        <f t="shared" ca="1" si="159"/>
        <v>375</v>
      </c>
      <c r="S157" s="1"/>
      <c r="T157" s="1">
        <f t="shared" ca="1" si="160"/>
        <v>4.7036287314998745E-2</v>
      </c>
      <c r="U157" s="1">
        <f t="shared" ca="1" si="161"/>
        <v>148</v>
      </c>
      <c r="V157" s="1">
        <f t="shared" ca="1" si="162"/>
        <v>30</v>
      </c>
      <c r="W157" s="1"/>
      <c r="X157" s="1">
        <f t="shared" ca="1" si="163"/>
        <v>4.1981586380909368</v>
      </c>
      <c r="Y157" s="1">
        <f t="shared" ca="1" si="164"/>
        <v>0.37720034641364925</v>
      </c>
      <c r="Z157" s="1">
        <f t="shared" ca="1" si="165"/>
        <v>1752</v>
      </c>
      <c r="AB157" s="1">
        <f t="shared" ca="1" si="166"/>
        <v>0.16300771681674392</v>
      </c>
      <c r="AC157" s="1">
        <f t="shared" ca="1" si="167"/>
        <v>787</v>
      </c>
      <c r="AD157" s="1">
        <f t="shared" ca="1" si="168"/>
        <v>9.6420724351300603E-3</v>
      </c>
      <c r="AE157" s="1"/>
      <c r="AF157" s="1">
        <f t="shared" ca="1" si="169"/>
        <v>0.66329158538401856</v>
      </c>
      <c r="AG157" s="1">
        <f t="shared" ca="1" si="170"/>
        <v>552</v>
      </c>
      <c r="AH157" s="1">
        <f t="shared" ca="1" si="171"/>
        <v>9.8000736310022117E-3</v>
      </c>
      <c r="AJ157" s="1">
        <f t="shared" ca="1" si="172"/>
        <v>0.24353773228742037</v>
      </c>
      <c r="AK157" s="1">
        <f t="shared" ca="1" si="173"/>
        <v>9.9337077435630618E-3</v>
      </c>
      <c r="AL157" s="1"/>
      <c r="AM157" s="1">
        <f t="shared" ca="1" si="174"/>
        <v>0.15246928290827333</v>
      </c>
      <c r="AN157" s="1">
        <f t="shared" ca="1" si="175"/>
        <v>27</v>
      </c>
      <c r="AO157" s="1">
        <f t="shared" ca="1" si="176"/>
        <v>17</v>
      </c>
      <c r="AQ157" s="1">
        <f t="shared" ca="1" si="177"/>
        <v>83</v>
      </c>
      <c r="AR157" s="1">
        <f t="shared" ca="1" si="178"/>
        <v>10</v>
      </c>
      <c r="AS157" s="1">
        <f t="shared" ca="1" si="179"/>
        <v>15</v>
      </c>
      <c r="AU157" s="1">
        <f t="shared" ca="1" si="180"/>
        <v>373</v>
      </c>
      <c r="AV157" s="1">
        <f t="shared" ca="1" si="181"/>
        <v>10</v>
      </c>
      <c r="AW157" s="1">
        <f t="shared" ca="1" si="182"/>
        <v>3.2103087651526613E-2</v>
      </c>
      <c r="AY157" s="1">
        <f t="shared" ca="1" si="183"/>
        <v>1.7367770733653036</v>
      </c>
      <c r="AZ157" s="1">
        <f t="shared" ca="1" si="184"/>
        <v>312</v>
      </c>
      <c r="BA157" s="1">
        <f t="shared" ca="1" si="185"/>
        <v>3.8911921589061794E-4</v>
      </c>
      <c r="BG157" s="1">
        <f t="shared" ca="1" si="186"/>
        <v>0.5031671975837525</v>
      </c>
      <c r="BH157" s="1">
        <f t="shared" ca="1" si="187"/>
        <v>0.51658516362765483</v>
      </c>
      <c r="BI157" s="1">
        <f t="shared" ca="1" si="188"/>
        <v>203</v>
      </c>
      <c r="BV157" s="1">
        <f t="shared" ca="1" si="189"/>
        <v>0.14323888634628731</v>
      </c>
      <c r="BW157" s="1">
        <f t="shared" ca="1" si="190"/>
        <v>218</v>
      </c>
      <c r="BX157" s="1">
        <f t="shared" ca="1" si="191"/>
        <v>2.2947644299235689E-3</v>
      </c>
      <c r="BY157" s="1">
        <f t="shared" ca="1" si="192"/>
        <v>3.2800394295207334E-2</v>
      </c>
      <c r="BZ157" s="1">
        <f t="shared" ca="1" si="193"/>
        <v>3.4258959309914738E-2</v>
      </c>
      <c r="CB157" s="1">
        <f t="shared" ca="1" si="194"/>
        <v>357</v>
      </c>
      <c r="CC157" s="1">
        <f t="shared" ca="1" si="195"/>
        <v>5</v>
      </c>
      <c r="CD157" s="1">
        <f t="shared" ca="1" si="196"/>
        <v>0.17575263076590156</v>
      </c>
      <c r="CE157" s="1">
        <f t="shared" ca="1" si="197"/>
        <v>0.53475933866024294</v>
      </c>
      <c r="CF157" s="1">
        <f t="shared" ca="1" si="197"/>
        <v>0.52070015158705329</v>
      </c>
      <c r="CH157" s="3">
        <f t="shared" ca="1" si="198"/>
        <v>0.62214052460968361</v>
      </c>
      <c r="CI157" s="3">
        <f t="shared" ca="1" si="199"/>
        <v>0.96090934616614587</v>
      </c>
      <c r="CJ157" s="3">
        <f t="shared" ca="1" si="200"/>
        <v>464</v>
      </c>
      <c r="CK157" s="3">
        <f t="shared" ca="1" si="201"/>
        <v>2.5077848531810209E-3</v>
      </c>
      <c r="CL157" s="3">
        <f t="shared" ca="1" si="202"/>
        <v>0</v>
      </c>
      <c r="CM157" s="3"/>
      <c r="CN157" s="1">
        <f t="shared" ca="1" si="203"/>
        <v>4.0875156216455864</v>
      </c>
      <c r="CO157" s="1">
        <f t="shared" ca="1" si="204"/>
        <v>6.9999180326157026E-2</v>
      </c>
      <c r="CP157" s="1">
        <f t="shared" ca="1" si="205"/>
        <v>5</v>
      </c>
      <c r="CV157" s="1">
        <f t="shared" ca="1" si="206"/>
        <v>1.4499590064092664</v>
      </c>
      <c r="CW157" s="1">
        <f t="shared" ca="1" si="207"/>
        <v>261</v>
      </c>
      <c r="CX157" s="1">
        <f t="shared" ca="1" si="208"/>
        <v>9.0347492314001784E-3</v>
      </c>
      <c r="DH157" s="1">
        <f t="shared" ca="1" si="209"/>
        <v>245</v>
      </c>
      <c r="DI157" s="1">
        <f t="shared" ca="1" si="210"/>
        <v>6.9366591227914137E-2</v>
      </c>
      <c r="DJ157" s="1">
        <f t="shared" ca="1" si="211"/>
        <v>28</v>
      </c>
      <c r="DL157" s="1">
        <f t="shared" ca="1" si="212"/>
        <v>6.247277484941597E-2</v>
      </c>
      <c r="DM157" s="1">
        <f t="shared" ca="1" si="213"/>
        <v>283</v>
      </c>
      <c r="DN157" s="1">
        <f t="shared" ca="1" si="214"/>
        <v>1</v>
      </c>
      <c r="DW157" s="1">
        <f t="shared" ca="1" si="215"/>
        <v>335</v>
      </c>
      <c r="DX157" s="1">
        <f t="shared" ca="1" si="216"/>
        <v>15</v>
      </c>
      <c r="DY157" s="1">
        <f t="shared" ca="1" si="217"/>
        <v>3</v>
      </c>
    </row>
    <row r="158" spans="2:129" x14ac:dyDescent="0.25">
      <c r="B158">
        <f t="shared" ca="1" si="147"/>
        <v>239</v>
      </c>
      <c r="C158">
        <f t="shared" ca="1" si="148"/>
        <v>29</v>
      </c>
      <c r="D158">
        <f t="shared" ca="1" si="149"/>
        <v>4.2821622172981265E-2</v>
      </c>
      <c r="F158" s="1">
        <f t="shared" ca="1" si="150"/>
        <v>41</v>
      </c>
      <c r="G158" s="1">
        <f t="shared" ca="1" si="151"/>
        <v>13</v>
      </c>
      <c r="H158" s="1">
        <f t="shared" ca="1" si="152"/>
        <v>13</v>
      </c>
      <c r="I158" s="1"/>
      <c r="J158" s="1">
        <f t="shared" ca="1" si="153"/>
        <v>8</v>
      </c>
      <c r="K158" s="1">
        <f t="shared" ca="1" si="154"/>
        <v>2.2868223594834105</v>
      </c>
      <c r="L158" s="1">
        <f t="shared" ca="1" si="155"/>
        <v>33</v>
      </c>
      <c r="M158" s="1"/>
      <c r="N158" s="1">
        <f t="shared" ca="1" si="156"/>
        <v>899</v>
      </c>
      <c r="O158" s="1">
        <f t="shared" ca="1" si="157"/>
        <v>34</v>
      </c>
      <c r="P158" s="1"/>
      <c r="Q158" s="1">
        <f t="shared" ca="1" si="158"/>
        <v>3.3491780677327374</v>
      </c>
      <c r="R158" s="1">
        <f t="shared" ca="1" si="159"/>
        <v>442</v>
      </c>
      <c r="S158" s="1"/>
      <c r="T158" s="1">
        <f t="shared" ca="1" si="160"/>
        <v>9.0966362571843706E-2</v>
      </c>
      <c r="U158" s="1">
        <f t="shared" ca="1" si="161"/>
        <v>355</v>
      </c>
      <c r="V158" s="1">
        <f t="shared" ca="1" si="162"/>
        <v>26</v>
      </c>
      <c r="W158" s="1"/>
      <c r="X158" s="1">
        <f t="shared" ca="1" si="163"/>
        <v>5.9181376760173228</v>
      </c>
      <c r="Y158" s="1">
        <f t="shared" ca="1" si="164"/>
        <v>0.69188611803014055</v>
      </c>
      <c r="Z158" s="1">
        <f t="shared" ca="1" si="165"/>
        <v>1162</v>
      </c>
      <c r="AB158" s="1">
        <f t="shared" ca="1" si="166"/>
        <v>0.84836570780694165</v>
      </c>
      <c r="AC158" s="1">
        <f t="shared" ca="1" si="167"/>
        <v>469</v>
      </c>
      <c r="AD158" s="1">
        <f t="shared" ca="1" si="168"/>
        <v>3.5912105701398347E-3</v>
      </c>
      <c r="AE158" s="1"/>
      <c r="AF158" s="1">
        <f t="shared" ca="1" si="169"/>
        <v>0.62323957689391452</v>
      </c>
      <c r="AG158" s="1">
        <f t="shared" ca="1" si="170"/>
        <v>942</v>
      </c>
      <c r="AH158" s="1">
        <f t="shared" ca="1" si="171"/>
        <v>7.2855318806838249E-3</v>
      </c>
      <c r="AJ158" s="1">
        <f t="shared" ca="1" si="172"/>
        <v>0.22001118353531757</v>
      </c>
      <c r="AK158" s="1">
        <f t="shared" ca="1" si="173"/>
        <v>1.2692508050495463E-3</v>
      </c>
      <c r="AL158" s="1"/>
      <c r="AM158" s="1">
        <f t="shared" ca="1" si="174"/>
        <v>0.13635897447895426</v>
      </c>
      <c r="AN158" s="1">
        <f t="shared" ca="1" si="175"/>
        <v>22</v>
      </c>
      <c r="AO158" s="1">
        <f t="shared" ca="1" si="176"/>
        <v>9</v>
      </c>
      <c r="AQ158" s="1">
        <f t="shared" ca="1" si="177"/>
        <v>122</v>
      </c>
      <c r="AR158" s="1">
        <f t="shared" ca="1" si="178"/>
        <v>4</v>
      </c>
      <c r="AS158" s="1">
        <f t="shared" ca="1" si="179"/>
        <v>66</v>
      </c>
      <c r="AU158" s="1">
        <f t="shared" ca="1" si="180"/>
        <v>230</v>
      </c>
      <c r="AV158" s="1">
        <f t="shared" ca="1" si="181"/>
        <v>5</v>
      </c>
      <c r="AW158" s="1">
        <f t="shared" ca="1" si="182"/>
        <v>0.18794992025097526</v>
      </c>
      <c r="AY158" s="1">
        <f t="shared" ca="1" si="183"/>
        <v>1.5267016109560096</v>
      </c>
      <c r="AZ158" s="1">
        <f t="shared" ca="1" si="184"/>
        <v>247</v>
      </c>
      <c r="BA158" s="1">
        <f t="shared" ca="1" si="185"/>
        <v>5.3719043780085546E-4</v>
      </c>
      <c r="BG158" s="1">
        <f t="shared" ca="1" si="186"/>
        <v>0.7382831332386125</v>
      </c>
      <c r="BH158" s="1">
        <f t="shared" ca="1" si="187"/>
        <v>0.265364422263769</v>
      </c>
      <c r="BI158" s="1">
        <f t="shared" ca="1" si="188"/>
        <v>574</v>
      </c>
      <c r="BV158" s="1">
        <f t="shared" ca="1" si="189"/>
        <v>0.90978359825818966</v>
      </c>
      <c r="BW158" s="1">
        <f t="shared" ca="1" si="190"/>
        <v>903</v>
      </c>
      <c r="BX158" s="1">
        <f t="shared" ca="1" si="191"/>
        <v>4.4160725874359706E-3</v>
      </c>
      <c r="BY158" s="1">
        <f t="shared" ca="1" si="192"/>
        <v>5.0117730643518321E-2</v>
      </c>
      <c r="BZ158" s="1">
        <f t="shared" ca="1" si="193"/>
        <v>0.83256417265062055</v>
      </c>
      <c r="CB158" s="1">
        <f t="shared" ca="1" si="194"/>
        <v>425</v>
      </c>
      <c r="CC158" s="1">
        <f t="shared" ca="1" si="195"/>
        <v>6</v>
      </c>
      <c r="CD158" s="1">
        <f t="shared" ca="1" si="196"/>
        <v>3.4803531489784802E-2</v>
      </c>
      <c r="CE158" s="1">
        <f t="shared" ca="1" si="197"/>
        <v>0.99144156403859574</v>
      </c>
      <c r="CF158" s="1">
        <f t="shared" ca="1" si="197"/>
        <v>0.90085497313593321</v>
      </c>
      <c r="CH158" s="3">
        <f t="shared" ca="1" si="198"/>
        <v>0.72011823084100324</v>
      </c>
      <c r="CI158" s="3">
        <f t="shared" ca="1" si="199"/>
        <v>0.51187754924344087</v>
      </c>
      <c r="CJ158" s="3">
        <f t="shared" ca="1" si="200"/>
        <v>116</v>
      </c>
      <c r="CK158" s="3">
        <f t="shared" ca="1" si="201"/>
        <v>8.006864339459652E-3</v>
      </c>
      <c r="CL158" s="3">
        <f t="shared" ca="1" si="202"/>
        <v>1</v>
      </c>
      <c r="CM158" s="3"/>
      <c r="CN158" s="1">
        <f t="shared" ca="1" si="203"/>
        <v>1.6320282673063664</v>
      </c>
      <c r="CO158" s="1">
        <f t="shared" ca="1" si="204"/>
        <v>0.10570349501823526</v>
      </c>
      <c r="CP158" s="1">
        <f t="shared" ca="1" si="205"/>
        <v>4</v>
      </c>
      <c r="CV158" s="1">
        <f t="shared" ca="1" si="206"/>
        <v>7.4855057733879145</v>
      </c>
      <c r="CW158" s="1">
        <f t="shared" ca="1" si="207"/>
        <v>1594</v>
      </c>
      <c r="CX158" s="1">
        <f t="shared" ca="1" si="208"/>
        <v>1.2556852272645586E-3</v>
      </c>
      <c r="DH158" s="1">
        <f t="shared" ca="1" si="209"/>
        <v>541</v>
      </c>
      <c r="DI158" s="1">
        <f t="shared" ca="1" si="210"/>
        <v>0.25760431717354315</v>
      </c>
      <c r="DJ158" s="1">
        <f t="shared" ca="1" si="211"/>
        <v>27</v>
      </c>
      <c r="DL158" s="1">
        <f t="shared" ca="1" si="212"/>
        <v>0.11413244323648732</v>
      </c>
      <c r="DM158" s="1">
        <f t="shared" ca="1" si="213"/>
        <v>265</v>
      </c>
      <c r="DN158" s="1">
        <f t="shared" ca="1" si="214"/>
        <v>10</v>
      </c>
      <c r="DW158" s="1">
        <f t="shared" ca="1" si="215"/>
        <v>342</v>
      </c>
      <c r="DX158" s="1">
        <f t="shared" ca="1" si="216"/>
        <v>4</v>
      </c>
      <c r="DY158" s="1">
        <f t="shared" ca="1" si="217"/>
        <v>9</v>
      </c>
    </row>
    <row r="159" spans="2:129" x14ac:dyDescent="0.25">
      <c r="B159">
        <f t="shared" ca="1" si="147"/>
        <v>387</v>
      </c>
      <c r="C159">
        <f t="shared" ca="1" si="148"/>
        <v>33</v>
      </c>
      <c r="D159">
        <f t="shared" ca="1" si="149"/>
        <v>0.18441503245538027</v>
      </c>
      <c r="F159" s="1">
        <f t="shared" ca="1" si="150"/>
        <v>35</v>
      </c>
      <c r="G159" s="1">
        <f t="shared" ca="1" si="151"/>
        <v>9</v>
      </c>
      <c r="H159" s="1">
        <f t="shared" ca="1" si="152"/>
        <v>15</v>
      </c>
      <c r="I159" s="1"/>
      <c r="J159" s="1">
        <f t="shared" ca="1" si="153"/>
        <v>18</v>
      </c>
      <c r="K159" s="1">
        <f t="shared" ca="1" si="154"/>
        <v>2.0981491934674432</v>
      </c>
      <c r="L159" s="1">
        <f t="shared" ca="1" si="155"/>
        <v>11</v>
      </c>
      <c r="M159" s="1"/>
      <c r="N159" s="1">
        <f t="shared" ca="1" si="156"/>
        <v>214</v>
      </c>
      <c r="O159" s="1">
        <f t="shared" ca="1" si="157"/>
        <v>52</v>
      </c>
      <c r="P159" s="1"/>
      <c r="Q159" s="1">
        <f t="shared" ca="1" si="158"/>
        <v>1.9546667590392324</v>
      </c>
      <c r="R159" s="1">
        <f t="shared" ca="1" si="159"/>
        <v>764</v>
      </c>
      <c r="S159" s="1"/>
      <c r="T159" s="1">
        <f t="shared" ca="1" si="160"/>
        <v>0.11431581244263955</v>
      </c>
      <c r="U159" s="1">
        <f t="shared" ca="1" si="161"/>
        <v>367</v>
      </c>
      <c r="V159" s="1">
        <f t="shared" ca="1" si="162"/>
        <v>21</v>
      </c>
      <c r="W159" s="1"/>
      <c r="X159" s="1">
        <f t="shared" ca="1" si="163"/>
        <v>4.0101901742545909</v>
      </c>
      <c r="Y159" s="1">
        <f t="shared" ca="1" si="164"/>
        <v>0.90058997369384797</v>
      </c>
      <c r="Z159" s="1">
        <f t="shared" ca="1" si="165"/>
        <v>1367</v>
      </c>
      <c r="AB159" s="1">
        <f t="shared" ca="1" si="166"/>
        <v>0.61406267574554008</v>
      </c>
      <c r="AC159" s="1">
        <f t="shared" ca="1" si="167"/>
        <v>565</v>
      </c>
      <c r="AD159" s="1">
        <f t="shared" ca="1" si="168"/>
        <v>5.6948397044770871E-3</v>
      </c>
      <c r="AE159" s="1"/>
      <c r="AF159" s="1">
        <f t="shared" ca="1" si="169"/>
        <v>0.75222051159886738</v>
      </c>
      <c r="AG159" s="1">
        <f t="shared" ca="1" si="170"/>
        <v>510</v>
      </c>
      <c r="AH159" s="1">
        <f t="shared" ca="1" si="171"/>
        <v>8.9945545798579443E-4</v>
      </c>
      <c r="AJ159" s="1">
        <f t="shared" ca="1" si="172"/>
        <v>0.80680875001139662</v>
      </c>
      <c r="AK159" s="1">
        <f t="shared" ca="1" si="173"/>
        <v>7.8706030873293489E-3</v>
      </c>
      <c r="AL159" s="1"/>
      <c r="AM159" s="1">
        <f t="shared" ca="1" si="174"/>
        <v>7.871469859355841E-2</v>
      </c>
      <c r="AN159" s="1">
        <f t="shared" ca="1" si="175"/>
        <v>61</v>
      </c>
      <c r="AO159" s="1">
        <f t="shared" ca="1" si="176"/>
        <v>6</v>
      </c>
      <c r="AQ159" s="1">
        <f t="shared" ca="1" si="177"/>
        <v>199</v>
      </c>
      <c r="AR159" s="1">
        <f t="shared" ca="1" si="178"/>
        <v>10</v>
      </c>
      <c r="AS159" s="1">
        <f t="shared" ca="1" si="179"/>
        <v>41</v>
      </c>
      <c r="AU159" s="1">
        <f t="shared" ca="1" si="180"/>
        <v>175</v>
      </c>
      <c r="AV159" s="1">
        <f t="shared" ca="1" si="181"/>
        <v>7</v>
      </c>
      <c r="AW159" s="1">
        <f t="shared" ca="1" si="182"/>
        <v>0.15820235704318042</v>
      </c>
      <c r="AY159" s="1">
        <f t="shared" ca="1" si="183"/>
        <v>1.5658076556482614</v>
      </c>
      <c r="AZ159" s="1">
        <f t="shared" ca="1" si="184"/>
        <v>289</v>
      </c>
      <c r="BA159" s="1">
        <f t="shared" ca="1" si="185"/>
        <v>9.5463787318474016E-3</v>
      </c>
      <c r="BG159" s="1">
        <f t="shared" ca="1" si="186"/>
        <v>0.43254487481824411</v>
      </c>
      <c r="BH159" s="1">
        <f t="shared" ca="1" si="187"/>
        <v>0.14535999971478231</v>
      </c>
      <c r="BI159" s="1">
        <f t="shared" ca="1" si="188"/>
        <v>769</v>
      </c>
      <c r="BV159" s="1">
        <f t="shared" ca="1" si="189"/>
        <v>0.71410710683924772</v>
      </c>
      <c r="BW159" s="1">
        <f t="shared" ca="1" si="190"/>
        <v>635</v>
      </c>
      <c r="BX159" s="1">
        <f t="shared" ca="1" si="191"/>
        <v>6.2647664645537129E-3</v>
      </c>
      <c r="BY159" s="1">
        <f t="shared" ca="1" si="192"/>
        <v>2.2274724654907589E-2</v>
      </c>
      <c r="BZ159" s="1">
        <f t="shared" ca="1" si="193"/>
        <v>0.23616721827799048</v>
      </c>
      <c r="CB159" s="1">
        <f t="shared" ca="1" si="194"/>
        <v>379</v>
      </c>
      <c r="CC159" s="1">
        <f t="shared" ca="1" si="195"/>
        <v>8</v>
      </c>
      <c r="CD159" s="1">
        <f t="shared" ca="1" si="196"/>
        <v>0.1428379848527101</v>
      </c>
      <c r="CE159" s="1">
        <f t="shared" ca="1" si="197"/>
        <v>0.82939421804783042</v>
      </c>
      <c r="CF159" s="1">
        <f t="shared" ca="1" si="197"/>
        <v>0.53718178649008397</v>
      </c>
      <c r="CH159" s="3">
        <f t="shared" ca="1" si="198"/>
        <v>9.4666239962434201E-2</v>
      </c>
      <c r="CI159" s="3">
        <f t="shared" ca="1" si="199"/>
        <v>7.0554721802407988E-2</v>
      </c>
      <c r="CJ159" s="3">
        <f t="shared" ca="1" si="200"/>
        <v>1463</v>
      </c>
      <c r="CK159" s="3">
        <f t="shared" ca="1" si="201"/>
        <v>3.8811687559385938E-3</v>
      </c>
      <c r="CL159" s="3">
        <f t="shared" ca="1" si="202"/>
        <v>0</v>
      </c>
      <c r="CM159" s="3"/>
      <c r="CN159" s="1">
        <f t="shared" ca="1" si="203"/>
        <v>18.118210277290924</v>
      </c>
      <c r="CO159" s="1">
        <f t="shared" ca="1" si="204"/>
        <v>0.39139412646742827</v>
      </c>
      <c r="CP159" s="1">
        <f t="shared" ca="1" si="205"/>
        <v>5</v>
      </c>
      <c r="CV159" s="1">
        <f t="shared" ca="1" si="206"/>
        <v>3.3312400705973544</v>
      </c>
      <c r="CW159" s="1">
        <f t="shared" ca="1" si="207"/>
        <v>1806</v>
      </c>
      <c r="CX159" s="1">
        <f t="shared" ca="1" si="208"/>
        <v>5.5412614535074092E-3</v>
      </c>
      <c r="DH159" s="1">
        <f t="shared" ca="1" si="209"/>
        <v>168</v>
      </c>
      <c r="DI159" s="1">
        <f t="shared" ca="1" si="210"/>
        <v>0.32380591922637542</v>
      </c>
      <c r="DJ159" s="1">
        <f t="shared" ca="1" si="211"/>
        <v>23</v>
      </c>
      <c r="DL159" s="1">
        <f t="shared" ca="1" si="212"/>
        <v>1.6317912345581699E-2</v>
      </c>
      <c r="DM159" s="1">
        <f t="shared" ca="1" si="213"/>
        <v>157</v>
      </c>
      <c r="DN159" s="1">
        <f t="shared" ca="1" si="214"/>
        <v>3</v>
      </c>
      <c r="DW159" s="1">
        <f t="shared" ca="1" si="215"/>
        <v>197</v>
      </c>
      <c r="DX159" s="1">
        <f t="shared" ca="1" si="216"/>
        <v>15</v>
      </c>
      <c r="DY159" s="1">
        <f t="shared" ca="1" si="217"/>
        <v>7</v>
      </c>
    </row>
    <row r="160" spans="2:129" x14ac:dyDescent="0.25">
      <c r="B160">
        <f t="shared" ca="1" si="147"/>
        <v>131</v>
      </c>
      <c r="C160">
        <f t="shared" ca="1" si="148"/>
        <v>39</v>
      </c>
      <c r="D160">
        <f t="shared" ca="1" si="149"/>
        <v>0.21297271728291001</v>
      </c>
      <c r="F160" s="1">
        <f t="shared" ca="1" si="150"/>
        <v>3</v>
      </c>
      <c r="G160" s="1">
        <f t="shared" ca="1" si="151"/>
        <v>3</v>
      </c>
      <c r="H160" s="1">
        <f t="shared" ca="1" si="152"/>
        <v>2</v>
      </c>
      <c r="I160" s="1"/>
      <c r="J160" s="1">
        <f t="shared" ca="1" si="153"/>
        <v>9</v>
      </c>
      <c r="K160" s="1">
        <f t="shared" ca="1" si="154"/>
        <v>2.513287890543618</v>
      </c>
      <c r="L160" s="1">
        <f t="shared" ca="1" si="155"/>
        <v>19</v>
      </c>
      <c r="M160" s="1"/>
      <c r="N160" s="1">
        <f t="shared" ca="1" si="156"/>
        <v>930</v>
      </c>
      <c r="O160" s="1">
        <f t="shared" ca="1" si="157"/>
        <v>41</v>
      </c>
      <c r="P160" s="1"/>
      <c r="Q160" s="1">
        <f t="shared" ca="1" si="158"/>
        <v>3.5142997647748939</v>
      </c>
      <c r="R160" s="1">
        <f t="shared" ca="1" si="159"/>
        <v>544</v>
      </c>
      <c r="S160" s="1"/>
      <c r="T160" s="1">
        <f t="shared" ca="1" si="160"/>
        <v>4.1954940369233161E-2</v>
      </c>
      <c r="U160" s="1">
        <f t="shared" ca="1" si="161"/>
        <v>445</v>
      </c>
      <c r="V160" s="1">
        <f t="shared" ca="1" si="162"/>
        <v>9</v>
      </c>
      <c r="W160" s="1"/>
      <c r="X160" s="1">
        <f t="shared" ca="1" si="163"/>
        <v>2.9472839944183504</v>
      </c>
      <c r="Y160" s="1">
        <f t="shared" ca="1" si="164"/>
        <v>0.89464067577638196</v>
      </c>
      <c r="Z160" s="1">
        <f t="shared" ca="1" si="165"/>
        <v>1706</v>
      </c>
      <c r="AB160" s="1">
        <f t="shared" ca="1" si="166"/>
        <v>1.7704893540699342E-2</v>
      </c>
      <c r="AC160" s="1">
        <f t="shared" ca="1" si="167"/>
        <v>913</v>
      </c>
      <c r="AD160" s="1">
        <f t="shared" ca="1" si="168"/>
        <v>6.2076114870723781E-3</v>
      </c>
      <c r="AE160" s="1"/>
      <c r="AF160" s="1">
        <f t="shared" ca="1" si="169"/>
        <v>0.81651058570683133</v>
      </c>
      <c r="AG160" s="1">
        <f t="shared" ca="1" si="170"/>
        <v>757</v>
      </c>
      <c r="AH160" s="1">
        <f t="shared" ca="1" si="171"/>
        <v>3.7238956552972748E-3</v>
      </c>
      <c r="AJ160" s="1">
        <f t="shared" ca="1" si="172"/>
        <v>0.44799966264184121</v>
      </c>
      <c r="AK160" s="1">
        <f t="shared" ca="1" si="173"/>
        <v>3.2742077936720538E-3</v>
      </c>
      <c r="AL160" s="1"/>
      <c r="AM160" s="1">
        <f t="shared" ca="1" si="174"/>
        <v>9.6049788097471209E-2</v>
      </c>
      <c r="AN160" s="1">
        <f t="shared" ca="1" si="175"/>
        <v>34</v>
      </c>
      <c r="AO160" s="1">
        <f t="shared" ca="1" si="176"/>
        <v>0</v>
      </c>
      <c r="AQ160" s="1">
        <f t="shared" ca="1" si="177"/>
        <v>39</v>
      </c>
      <c r="AR160" s="1">
        <f t="shared" ca="1" si="178"/>
        <v>1</v>
      </c>
      <c r="AS160" s="1">
        <f t="shared" ca="1" si="179"/>
        <v>52</v>
      </c>
      <c r="AU160" s="1">
        <f t="shared" ca="1" si="180"/>
        <v>68</v>
      </c>
      <c r="AV160" s="1">
        <f t="shared" ca="1" si="181"/>
        <v>6</v>
      </c>
      <c r="AW160" s="1">
        <f t="shared" ca="1" si="182"/>
        <v>0.14577338278068541</v>
      </c>
      <c r="AY160" s="1">
        <f t="shared" ca="1" si="183"/>
        <v>1.1260762266583968</v>
      </c>
      <c r="AZ160" s="1">
        <f t="shared" ca="1" si="184"/>
        <v>330</v>
      </c>
      <c r="BA160" s="1">
        <f t="shared" ca="1" si="185"/>
        <v>7.8072865151555832E-3</v>
      </c>
      <c r="BG160" s="1">
        <f t="shared" ca="1" si="186"/>
        <v>0.68544839831851212</v>
      </c>
      <c r="BH160" s="1">
        <f t="shared" ca="1" si="187"/>
        <v>0.43197326921184431</v>
      </c>
      <c r="BI160" s="1">
        <f t="shared" ca="1" si="188"/>
        <v>328</v>
      </c>
      <c r="BV160" s="1">
        <f t="shared" ca="1" si="189"/>
        <v>0.88998478538271064</v>
      </c>
      <c r="BW160" s="1">
        <f t="shared" ca="1" si="190"/>
        <v>566</v>
      </c>
      <c r="BX160" s="1">
        <f t="shared" ca="1" si="191"/>
        <v>6.1149990431096915E-3</v>
      </c>
      <c r="BY160" s="1">
        <f t="shared" ca="1" si="192"/>
        <v>4.2867766810608679E-2</v>
      </c>
      <c r="BZ160" s="1">
        <f t="shared" ca="1" si="193"/>
        <v>0.53858010340587636</v>
      </c>
      <c r="CB160" s="1">
        <f t="shared" ca="1" si="194"/>
        <v>316</v>
      </c>
      <c r="CC160" s="1">
        <f t="shared" ca="1" si="195"/>
        <v>10</v>
      </c>
      <c r="CD160" s="1">
        <f t="shared" ca="1" si="196"/>
        <v>0.11930988137365406</v>
      </c>
      <c r="CE160" s="1">
        <f t="shared" ca="1" si="197"/>
        <v>0.65041730448705182</v>
      </c>
      <c r="CF160" s="1">
        <f t="shared" ca="1" si="197"/>
        <v>0.8969870384426688</v>
      </c>
      <c r="CH160" s="3">
        <f t="shared" ca="1" si="198"/>
        <v>0.44476832879609862</v>
      </c>
      <c r="CI160" s="3">
        <f t="shared" ca="1" si="199"/>
        <v>0.89691570982424207</v>
      </c>
      <c r="CJ160" s="3">
        <f t="shared" ca="1" si="200"/>
        <v>646</v>
      </c>
      <c r="CK160" s="3">
        <f t="shared" ca="1" si="201"/>
        <v>5.1439995224945335E-3</v>
      </c>
      <c r="CL160" s="3">
        <f t="shared" ca="1" si="202"/>
        <v>1</v>
      </c>
      <c r="CM160" s="3"/>
      <c r="CN160" s="1">
        <f t="shared" ca="1" si="203"/>
        <v>14.00217528275576</v>
      </c>
      <c r="CO160" s="1">
        <f t="shared" ca="1" si="204"/>
        <v>0.34662489070303737</v>
      </c>
      <c r="CP160" s="1">
        <f t="shared" ca="1" si="205"/>
        <v>1</v>
      </c>
      <c r="CV160" s="1">
        <f t="shared" ca="1" si="206"/>
        <v>5.728843782472806</v>
      </c>
      <c r="CW160" s="1">
        <f t="shared" ca="1" si="207"/>
        <v>1313</v>
      </c>
      <c r="CX160" s="1">
        <f t="shared" ca="1" si="208"/>
        <v>9.3124709792523457E-3</v>
      </c>
      <c r="DH160" s="1">
        <f t="shared" ca="1" si="209"/>
        <v>718</v>
      </c>
      <c r="DI160" s="1">
        <f t="shared" ca="1" si="210"/>
        <v>0.62394724663844003</v>
      </c>
      <c r="DJ160" s="1">
        <f t="shared" ca="1" si="211"/>
        <v>18</v>
      </c>
      <c r="DL160" s="1">
        <f t="shared" ca="1" si="212"/>
        <v>7.6896378882467156E-2</v>
      </c>
      <c r="DM160" s="1">
        <f t="shared" ca="1" si="213"/>
        <v>239</v>
      </c>
      <c r="DN160" s="1">
        <f t="shared" ca="1" si="214"/>
        <v>1</v>
      </c>
      <c r="DW160" s="1">
        <f t="shared" ca="1" si="215"/>
        <v>206</v>
      </c>
      <c r="DX160" s="1">
        <f t="shared" ca="1" si="216"/>
        <v>11</v>
      </c>
      <c r="DY160" s="1">
        <f t="shared" ca="1" si="217"/>
        <v>5</v>
      </c>
    </row>
    <row r="161" spans="2:129" x14ac:dyDescent="0.25">
      <c r="B161">
        <f t="shared" ca="1" si="147"/>
        <v>854</v>
      </c>
      <c r="C161">
        <f t="shared" ca="1" si="148"/>
        <v>46</v>
      </c>
      <c r="D161">
        <f t="shared" ca="1" si="149"/>
        <v>0.10904322562632883</v>
      </c>
      <c r="F161" s="1">
        <f t="shared" ca="1" si="150"/>
        <v>49</v>
      </c>
      <c r="G161" s="1">
        <f t="shared" ca="1" si="151"/>
        <v>27</v>
      </c>
      <c r="H161" s="1">
        <f t="shared" ca="1" si="152"/>
        <v>6</v>
      </c>
      <c r="I161" s="1"/>
      <c r="J161" s="1">
        <f t="shared" ca="1" si="153"/>
        <v>25</v>
      </c>
      <c r="K161" s="1">
        <f t="shared" ca="1" si="154"/>
        <v>2.1140185826891011</v>
      </c>
      <c r="L161" s="1">
        <f t="shared" ca="1" si="155"/>
        <v>34</v>
      </c>
      <c r="M161" s="1"/>
      <c r="N161" s="1">
        <f t="shared" ca="1" si="156"/>
        <v>701</v>
      </c>
      <c r="O161" s="1">
        <f t="shared" ca="1" si="157"/>
        <v>14</v>
      </c>
      <c r="P161" s="1"/>
      <c r="Q161" s="1">
        <f t="shared" ca="1" si="158"/>
        <v>3.4050640896159052</v>
      </c>
      <c r="R161" s="1">
        <f t="shared" ca="1" si="159"/>
        <v>482</v>
      </c>
      <c r="S161" s="1"/>
      <c r="T161" s="1">
        <f t="shared" ca="1" si="160"/>
        <v>0.1412712831513229</v>
      </c>
      <c r="U161" s="1">
        <f t="shared" ca="1" si="161"/>
        <v>95</v>
      </c>
      <c r="V161" s="1">
        <f t="shared" ca="1" si="162"/>
        <v>18</v>
      </c>
      <c r="W161" s="1"/>
      <c r="X161" s="1">
        <f t="shared" ca="1" si="163"/>
        <v>0.38526446852801455</v>
      </c>
      <c r="Y161" s="1">
        <f t="shared" ca="1" si="164"/>
        <v>0.89179698362642934</v>
      </c>
      <c r="Z161" s="1">
        <f t="shared" ca="1" si="165"/>
        <v>548</v>
      </c>
      <c r="AB161" s="1">
        <f t="shared" ca="1" si="166"/>
        <v>0.34375823201893496</v>
      </c>
      <c r="AC161" s="1">
        <f t="shared" ca="1" si="167"/>
        <v>351</v>
      </c>
      <c r="AD161" s="1">
        <f t="shared" ca="1" si="168"/>
        <v>7.4360014382307688E-3</v>
      </c>
      <c r="AE161" s="1"/>
      <c r="AF161" s="1">
        <f t="shared" ca="1" si="169"/>
        <v>0.88882730698707113</v>
      </c>
      <c r="AG161" s="1">
        <f t="shared" ca="1" si="170"/>
        <v>601</v>
      </c>
      <c r="AH161" s="1">
        <f t="shared" ca="1" si="171"/>
        <v>4.4270462939934073E-3</v>
      </c>
      <c r="AJ161" s="1">
        <f t="shared" ca="1" si="172"/>
        <v>0.88132900445807361</v>
      </c>
      <c r="AK161" s="1">
        <f t="shared" ca="1" si="173"/>
        <v>9.0132775998674579E-3</v>
      </c>
      <c r="AL161" s="1"/>
      <c r="AM161" s="1">
        <f t="shared" ca="1" si="174"/>
        <v>0.18582304491324472</v>
      </c>
      <c r="AN161" s="1">
        <f t="shared" ca="1" si="175"/>
        <v>62</v>
      </c>
      <c r="AO161" s="1">
        <f t="shared" ca="1" si="176"/>
        <v>3</v>
      </c>
      <c r="AQ161" s="1">
        <f t="shared" ca="1" si="177"/>
        <v>134</v>
      </c>
      <c r="AR161" s="1">
        <f t="shared" ca="1" si="178"/>
        <v>8</v>
      </c>
      <c r="AS161" s="1">
        <f t="shared" ca="1" si="179"/>
        <v>22</v>
      </c>
      <c r="AU161" s="1">
        <f t="shared" ca="1" si="180"/>
        <v>150</v>
      </c>
      <c r="AV161" s="1">
        <f t="shared" ca="1" si="181"/>
        <v>8</v>
      </c>
      <c r="AW161" s="1">
        <f t="shared" ca="1" si="182"/>
        <v>8.6255072314003034E-2</v>
      </c>
      <c r="AY161" s="1">
        <f t="shared" ca="1" si="183"/>
        <v>1.1636110998054667</v>
      </c>
      <c r="AZ161" s="1">
        <f t="shared" ca="1" si="184"/>
        <v>153</v>
      </c>
      <c r="BA161" s="1">
        <f t="shared" ca="1" si="185"/>
        <v>3.6130106542124627E-3</v>
      </c>
      <c r="BG161" s="1">
        <f t="shared" ca="1" si="186"/>
        <v>0.92759488751131158</v>
      </c>
      <c r="BH161" s="1">
        <f t="shared" ca="1" si="187"/>
        <v>1.0220451717835699E-2</v>
      </c>
      <c r="BI161" s="1">
        <f t="shared" ca="1" si="188"/>
        <v>180</v>
      </c>
      <c r="BV161" s="1">
        <f t="shared" ca="1" si="189"/>
        <v>0.11446242179958514</v>
      </c>
      <c r="BW161" s="1">
        <f t="shared" ca="1" si="190"/>
        <v>829</v>
      </c>
      <c r="BX161" s="1">
        <f t="shared" ca="1" si="191"/>
        <v>6.5036232167071618E-3</v>
      </c>
      <c r="BY161" s="1">
        <f t="shared" ca="1" si="192"/>
        <v>4.9753836697359118E-2</v>
      </c>
      <c r="BZ161" s="1">
        <f t="shared" ca="1" si="193"/>
        <v>0.80037710719803434</v>
      </c>
      <c r="CB161" s="1">
        <f t="shared" ca="1" si="194"/>
        <v>413</v>
      </c>
      <c r="CC161" s="1">
        <f t="shared" ca="1" si="195"/>
        <v>12</v>
      </c>
      <c r="CD161" s="1">
        <f t="shared" ca="1" si="196"/>
        <v>0.16287124770693398</v>
      </c>
      <c r="CE161" s="1">
        <f t="shared" ca="1" si="197"/>
        <v>0.85128931786019235</v>
      </c>
      <c r="CF161" s="1">
        <f t="shared" ca="1" si="197"/>
        <v>0.7258845176639066</v>
      </c>
      <c r="CH161" s="3">
        <f t="shared" ca="1" si="198"/>
        <v>0.7707508322526353</v>
      </c>
      <c r="CI161" s="3">
        <f t="shared" ca="1" si="199"/>
        <v>0.86758166696975836</v>
      </c>
      <c r="CJ161" s="3">
        <f t="shared" ca="1" si="200"/>
        <v>1416</v>
      </c>
      <c r="CK161" s="3">
        <f t="shared" ca="1" si="201"/>
        <v>3.5696279956225517E-4</v>
      </c>
      <c r="CL161" s="3">
        <f t="shared" ca="1" si="202"/>
        <v>0</v>
      </c>
      <c r="CM161" s="3"/>
      <c r="CN161" s="1">
        <f t="shared" ca="1" si="203"/>
        <v>19.379019417950957</v>
      </c>
      <c r="CO161" s="1">
        <f t="shared" ca="1" si="204"/>
        <v>7.5864482340218961E-2</v>
      </c>
      <c r="CP161" s="1">
        <f t="shared" ca="1" si="205"/>
        <v>2</v>
      </c>
      <c r="CV161" s="1">
        <f t="shared" ca="1" si="206"/>
        <v>3.109372996223887</v>
      </c>
      <c r="CW161" s="1">
        <f t="shared" ca="1" si="207"/>
        <v>1196</v>
      </c>
      <c r="CX161" s="1">
        <f t="shared" ca="1" si="208"/>
        <v>2.2631713267970773E-3</v>
      </c>
      <c r="DH161" s="1">
        <f t="shared" ca="1" si="209"/>
        <v>898</v>
      </c>
      <c r="DI161" s="1">
        <f t="shared" ca="1" si="210"/>
        <v>0.56733013176443781</v>
      </c>
      <c r="DJ161" s="1">
        <f t="shared" ca="1" si="211"/>
        <v>10</v>
      </c>
      <c r="DL161" s="1">
        <f t="shared" ca="1" si="212"/>
        <v>9.150410034759443E-2</v>
      </c>
      <c r="DM161" s="1">
        <f t="shared" ca="1" si="213"/>
        <v>64</v>
      </c>
      <c r="DN161" s="1">
        <f t="shared" ca="1" si="214"/>
        <v>5</v>
      </c>
      <c r="DW161" s="1">
        <f t="shared" ca="1" si="215"/>
        <v>364</v>
      </c>
      <c r="DX161" s="1">
        <f t="shared" ca="1" si="216"/>
        <v>17</v>
      </c>
      <c r="DY161" s="1">
        <f t="shared" ca="1" si="217"/>
        <v>5</v>
      </c>
    </row>
    <row r="162" spans="2:129" x14ac:dyDescent="0.25">
      <c r="B162">
        <f t="shared" ca="1" si="147"/>
        <v>757</v>
      </c>
      <c r="C162">
        <f t="shared" ca="1" si="148"/>
        <v>6</v>
      </c>
      <c r="D162">
        <f t="shared" ca="1" si="149"/>
        <v>0.16232661424114245</v>
      </c>
      <c r="F162" s="1">
        <f t="shared" ca="1" si="150"/>
        <v>19</v>
      </c>
      <c r="G162" s="1">
        <f t="shared" ca="1" si="151"/>
        <v>17</v>
      </c>
      <c r="H162" s="1">
        <f t="shared" ca="1" si="152"/>
        <v>4</v>
      </c>
      <c r="I162" s="1"/>
      <c r="J162" s="1">
        <f t="shared" ca="1" si="153"/>
        <v>22</v>
      </c>
      <c r="K162" s="1">
        <f t="shared" ca="1" si="154"/>
        <v>1.0672164721727355</v>
      </c>
      <c r="L162" s="1">
        <f t="shared" ca="1" si="155"/>
        <v>31</v>
      </c>
      <c r="M162" s="1"/>
      <c r="N162" s="1">
        <f t="shared" ca="1" si="156"/>
        <v>500</v>
      </c>
      <c r="O162" s="1">
        <f t="shared" ca="1" si="157"/>
        <v>34</v>
      </c>
      <c r="P162" s="1"/>
      <c r="Q162" s="1">
        <f t="shared" ca="1" si="158"/>
        <v>1.8306270596701939</v>
      </c>
      <c r="R162" s="1">
        <f t="shared" ca="1" si="159"/>
        <v>637</v>
      </c>
      <c r="S162" s="1"/>
      <c r="T162" s="1">
        <f t="shared" ca="1" si="160"/>
        <v>3.4455199070960417E-2</v>
      </c>
      <c r="U162" s="1">
        <f t="shared" ca="1" si="161"/>
        <v>159</v>
      </c>
      <c r="V162" s="1">
        <f t="shared" ca="1" si="162"/>
        <v>7</v>
      </c>
      <c r="W162" s="1"/>
      <c r="X162" s="1">
        <f t="shared" ca="1" si="163"/>
        <v>4.056263104513075</v>
      </c>
      <c r="Y162" s="1">
        <f t="shared" ca="1" si="164"/>
        <v>0.30156445167952733</v>
      </c>
      <c r="Z162" s="1">
        <f t="shared" ca="1" si="165"/>
        <v>1881</v>
      </c>
      <c r="AB162" s="1">
        <f t="shared" ca="1" si="166"/>
        <v>0.73068429653268119</v>
      </c>
      <c r="AC162" s="1">
        <f t="shared" ca="1" si="167"/>
        <v>703</v>
      </c>
      <c r="AD162" s="1">
        <f t="shared" ca="1" si="168"/>
        <v>8.2065368675508007E-3</v>
      </c>
      <c r="AE162" s="1"/>
      <c r="AF162" s="1">
        <f t="shared" ca="1" si="169"/>
        <v>0.54031072999039598</v>
      </c>
      <c r="AG162" s="1">
        <f t="shared" ca="1" si="170"/>
        <v>337</v>
      </c>
      <c r="AH162" s="1">
        <f t="shared" ca="1" si="171"/>
        <v>1.8279333840866868E-3</v>
      </c>
      <c r="AJ162" s="1">
        <f t="shared" ca="1" si="172"/>
        <v>0.29768242426911262</v>
      </c>
      <c r="AK162" s="1">
        <f t="shared" ca="1" si="173"/>
        <v>7.7652343003361398E-3</v>
      </c>
      <c r="AL162" s="1"/>
      <c r="AM162" s="1">
        <f t="shared" ca="1" si="174"/>
        <v>0.18282369114498062</v>
      </c>
      <c r="AN162" s="1">
        <f t="shared" ca="1" si="175"/>
        <v>33</v>
      </c>
      <c r="AO162" s="1">
        <f t="shared" ca="1" si="176"/>
        <v>10</v>
      </c>
      <c r="AQ162" s="1">
        <f t="shared" ca="1" si="177"/>
        <v>66</v>
      </c>
      <c r="AR162" s="1">
        <f t="shared" ca="1" si="178"/>
        <v>8</v>
      </c>
      <c r="AS162" s="1">
        <f t="shared" ca="1" si="179"/>
        <v>17</v>
      </c>
      <c r="AU162" s="1">
        <f t="shared" ca="1" si="180"/>
        <v>114</v>
      </c>
      <c r="AV162" s="1">
        <f t="shared" ca="1" si="181"/>
        <v>8</v>
      </c>
      <c r="AW162" s="1">
        <f t="shared" ca="1" si="182"/>
        <v>1.9022150199917008E-2</v>
      </c>
      <c r="AY162" s="1">
        <f t="shared" ca="1" si="183"/>
        <v>1.1046786675838716</v>
      </c>
      <c r="AZ162" s="1">
        <f t="shared" ca="1" si="184"/>
        <v>404</v>
      </c>
      <c r="BA162" s="1">
        <f t="shared" ca="1" si="185"/>
        <v>6.8361423774692407E-3</v>
      </c>
      <c r="BG162" s="1">
        <f t="shared" ca="1" si="186"/>
        <v>7.6914101858812908E-2</v>
      </c>
      <c r="BH162" s="1">
        <f t="shared" ca="1" si="187"/>
        <v>2.6823488813855434E-2</v>
      </c>
      <c r="BI162" s="1">
        <f t="shared" ca="1" si="188"/>
        <v>877</v>
      </c>
      <c r="BV162" s="1">
        <f t="shared" ca="1" si="189"/>
        <v>0.13190286999325362</v>
      </c>
      <c r="BW162" s="1">
        <f t="shared" ca="1" si="190"/>
        <v>834</v>
      </c>
      <c r="BX162" s="1">
        <f t="shared" ca="1" si="191"/>
        <v>5.4632429203999621E-3</v>
      </c>
      <c r="BY162" s="1">
        <f t="shared" ca="1" si="192"/>
        <v>6.3561336595023221E-2</v>
      </c>
      <c r="BZ162" s="1">
        <f t="shared" ca="1" si="193"/>
        <v>4.7568636284004984E-2</v>
      </c>
      <c r="CB162" s="1">
        <f t="shared" ca="1" si="194"/>
        <v>99</v>
      </c>
      <c r="CC162" s="1">
        <f t="shared" ca="1" si="195"/>
        <v>13</v>
      </c>
      <c r="CD162" s="1">
        <f t="shared" ca="1" si="196"/>
        <v>0.23297306237404336</v>
      </c>
      <c r="CE162" s="1">
        <f t="shared" ca="1" si="197"/>
        <v>0.50078470044224943</v>
      </c>
      <c r="CF162" s="1">
        <f t="shared" ca="1" si="197"/>
        <v>0.61428460406864704</v>
      </c>
      <c r="CH162" s="3">
        <f t="shared" ca="1" si="198"/>
        <v>0.24031660122348314</v>
      </c>
      <c r="CI162" s="3">
        <f t="shared" ca="1" si="199"/>
        <v>0.49825985965433506</v>
      </c>
      <c r="CJ162" s="3">
        <f t="shared" ca="1" si="200"/>
        <v>1420</v>
      </c>
      <c r="CK162" s="3">
        <f t="shared" ca="1" si="201"/>
        <v>5.4021679647395689E-3</v>
      </c>
      <c r="CL162" s="3">
        <f t="shared" ca="1" si="202"/>
        <v>0</v>
      </c>
      <c r="CM162" s="3"/>
      <c r="CN162" s="1">
        <f t="shared" ca="1" si="203"/>
        <v>14.334270638228569</v>
      </c>
      <c r="CO162" s="1">
        <f t="shared" ca="1" si="204"/>
        <v>0.17504710251862923</v>
      </c>
      <c r="CP162" s="1">
        <f t="shared" ca="1" si="205"/>
        <v>4</v>
      </c>
      <c r="CV162" s="1">
        <f t="shared" ca="1" si="206"/>
        <v>5.0013458228429393</v>
      </c>
      <c r="CW162" s="1">
        <f t="shared" ca="1" si="207"/>
        <v>507</v>
      </c>
      <c r="CX162" s="1">
        <f t="shared" ca="1" si="208"/>
        <v>4.9998856377626881E-3</v>
      </c>
      <c r="DH162" s="1">
        <f t="shared" ca="1" si="209"/>
        <v>336</v>
      </c>
      <c r="DI162" s="1">
        <f t="shared" ca="1" si="210"/>
        <v>9.6800588350199737E-2</v>
      </c>
      <c r="DJ162" s="1">
        <f t="shared" ca="1" si="211"/>
        <v>9</v>
      </c>
      <c r="DL162" s="1">
        <f t="shared" ca="1" si="212"/>
        <v>0.13543525626801703</v>
      </c>
      <c r="DM162" s="1">
        <f t="shared" ca="1" si="213"/>
        <v>266</v>
      </c>
      <c r="DN162" s="1">
        <f t="shared" ca="1" si="214"/>
        <v>7</v>
      </c>
      <c r="DW162" s="1">
        <f t="shared" ca="1" si="215"/>
        <v>98</v>
      </c>
      <c r="DX162" s="1">
        <f t="shared" ca="1" si="216"/>
        <v>5</v>
      </c>
      <c r="DY162" s="1">
        <f t="shared" ca="1" si="217"/>
        <v>18</v>
      </c>
    </row>
    <row r="163" spans="2:129" x14ac:dyDescent="0.25">
      <c r="B163">
        <f t="shared" ca="1" si="147"/>
        <v>495</v>
      </c>
      <c r="C163">
        <f t="shared" ca="1" si="148"/>
        <v>27</v>
      </c>
      <c r="D163">
        <f t="shared" ca="1" si="149"/>
        <v>0.29922062298504781</v>
      </c>
      <c r="F163" s="1">
        <f t="shared" ca="1" si="150"/>
        <v>21</v>
      </c>
      <c r="G163" s="1">
        <f t="shared" ca="1" si="151"/>
        <v>15</v>
      </c>
      <c r="H163" s="1">
        <f t="shared" ca="1" si="152"/>
        <v>5</v>
      </c>
      <c r="I163" s="1"/>
      <c r="J163" s="1">
        <f t="shared" ca="1" si="153"/>
        <v>25</v>
      </c>
      <c r="K163" s="1">
        <f t="shared" ca="1" si="154"/>
        <v>1.5124533582287147</v>
      </c>
      <c r="L163" s="1">
        <f t="shared" ca="1" si="155"/>
        <v>27</v>
      </c>
      <c r="M163" s="1"/>
      <c r="N163" s="1">
        <f t="shared" ca="1" si="156"/>
        <v>698</v>
      </c>
      <c r="O163" s="1">
        <f t="shared" ca="1" si="157"/>
        <v>50</v>
      </c>
      <c r="P163" s="1"/>
      <c r="Q163" s="1">
        <f t="shared" ca="1" si="158"/>
        <v>1.1739622714179543</v>
      </c>
      <c r="R163" s="1">
        <f t="shared" ca="1" si="159"/>
        <v>640</v>
      </c>
      <c r="S163" s="1"/>
      <c r="T163" s="1">
        <f t="shared" ca="1" si="160"/>
        <v>0.10309511744702848</v>
      </c>
      <c r="U163" s="1">
        <f t="shared" ca="1" si="161"/>
        <v>315</v>
      </c>
      <c r="V163" s="1">
        <f t="shared" ca="1" si="162"/>
        <v>19</v>
      </c>
      <c r="W163" s="1"/>
      <c r="X163" s="1">
        <f t="shared" ca="1" si="163"/>
        <v>1.1337387049121102</v>
      </c>
      <c r="Y163" s="1">
        <f t="shared" ca="1" si="164"/>
        <v>0.41943108952646185</v>
      </c>
      <c r="Z163" s="1">
        <f t="shared" ca="1" si="165"/>
        <v>1530</v>
      </c>
      <c r="AB163" s="1">
        <f t="shared" ca="1" si="166"/>
        <v>0.83585041608088506</v>
      </c>
      <c r="AC163" s="1">
        <f t="shared" ca="1" si="167"/>
        <v>554</v>
      </c>
      <c r="AD163" s="1">
        <f t="shared" ca="1" si="168"/>
        <v>2.3756952463332122E-3</v>
      </c>
      <c r="AE163" s="1"/>
      <c r="AF163" s="1">
        <f t="shared" ca="1" si="169"/>
        <v>0.59500089907726661</v>
      </c>
      <c r="AG163" s="1">
        <f t="shared" ca="1" si="170"/>
        <v>583</v>
      </c>
      <c r="AH163" s="1">
        <f t="shared" ca="1" si="171"/>
        <v>7.7630761773253721E-3</v>
      </c>
      <c r="AJ163" s="1">
        <f t="shared" ca="1" si="172"/>
        <v>0.63558181242500322</v>
      </c>
      <c r="AK163" s="1">
        <f t="shared" ca="1" si="173"/>
        <v>8.9149012159228536E-3</v>
      </c>
      <c r="AL163" s="1"/>
      <c r="AM163" s="1">
        <f t="shared" ca="1" si="174"/>
        <v>4.0582471268553751E-2</v>
      </c>
      <c r="AN163" s="1">
        <f t="shared" ca="1" si="175"/>
        <v>33</v>
      </c>
      <c r="AO163" s="1">
        <f t="shared" ca="1" si="176"/>
        <v>14</v>
      </c>
      <c r="AQ163" s="1">
        <f t="shared" ca="1" si="177"/>
        <v>107</v>
      </c>
      <c r="AR163" s="1">
        <f t="shared" ca="1" si="178"/>
        <v>8</v>
      </c>
      <c r="AS163" s="1">
        <f t="shared" ca="1" si="179"/>
        <v>30</v>
      </c>
      <c r="AU163" s="1">
        <f t="shared" ca="1" si="180"/>
        <v>82</v>
      </c>
      <c r="AV163" s="1">
        <f t="shared" ca="1" si="181"/>
        <v>6</v>
      </c>
      <c r="AW163" s="1">
        <f t="shared" ca="1" si="182"/>
        <v>4.2737442087827732E-2</v>
      </c>
      <c r="AY163" s="1">
        <f t="shared" ca="1" si="183"/>
        <v>1.3359610599520557</v>
      </c>
      <c r="AZ163" s="1">
        <f t="shared" ca="1" si="184"/>
        <v>303</v>
      </c>
      <c r="BA163" s="1">
        <f t="shared" ca="1" si="185"/>
        <v>1.9051820847109449E-3</v>
      </c>
      <c r="BG163" s="1">
        <f t="shared" ca="1" si="186"/>
        <v>0.91696505372142079</v>
      </c>
      <c r="BH163" s="1">
        <f t="shared" ca="1" si="187"/>
        <v>0.47000498166657978</v>
      </c>
      <c r="BI163" s="1">
        <f t="shared" ca="1" si="188"/>
        <v>504</v>
      </c>
      <c r="BV163" s="1">
        <f t="shared" ca="1" si="189"/>
        <v>0.79391271110074613</v>
      </c>
      <c r="BW163" s="1">
        <f t="shared" ca="1" si="190"/>
        <v>104</v>
      </c>
      <c r="BX163" s="1">
        <f t="shared" ca="1" si="191"/>
        <v>6.2137778685223541E-3</v>
      </c>
      <c r="BY163" s="1">
        <f t="shared" ca="1" si="192"/>
        <v>3.2357177062023242E-2</v>
      </c>
      <c r="BZ163" s="1">
        <f t="shared" ca="1" si="193"/>
        <v>0.58224012121079494</v>
      </c>
      <c r="CB163" s="1">
        <f t="shared" ca="1" si="194"/>
        <v>88</v>
      </c>
      <c r="CC163" s="1">
        <f t="shared" ca="1" si="195"/>
        <v>9</v>
      </c>
      <c r="CD163" s="1">
        <f t="shared" ca="1" si="196"/>
        <v>0.14306817320660237</v>
      </c>
      <c r="CE163" s="1">
        <f t="shared" ca="1" si="197"/>
        <v>0.51640601786070206</v>
      </c>
      <c r="CF163" s="1">
        <f t="shared" ca="1" si="197"/>
        <v>0.92361816685688192</v>
      </c>
      <c r="CH163" s="3">
        <f t="shared" ca="1" si="198"/>
        <v>0.81906428458643676</v>
      </c>
      <c r="CI163" s="3">
        <f t="shared" ca="1" si="199"/>
        <v>4.1140195289605823E-2</v>
      </c>
      <c r="CJ163" s="3">
        <f t="shared" ca="1" si="200"/>
        <v>105</v>
      </c>
      <c r="CK163" s="3">
        <f t="shared" ca="1" si="201"/>
        <v>8.1155944515879149E-3</v>
      </c>
      <c r="CL163" s="3">
        <f t="shared" ca="1" si="202"/>
        <v>1</v>
      </c>
      <c r="CM163" s="3"/>
      <c r="CN163" s="1">
        <f t="shared" ca="1" si="203"/>
        <v>4.0718654981425493</v>
      </c>
      <c r="CO163" s="1">
        <f t="shared" ca="1" si="204"/>
        <v>0.3265041293981954</v>
      </c>
      <c r="CP163" s="1">
        <f t="shared" ca="1" si="205"/>
        <v>2</v>
      </c>
      <c r="CV163" s="1">
        <f t="shared" ca="1" si="206"/>
        <v>9.6887709622020157</v>
      </c>
      <c r="CW163" s="1">
        <f t="shared" ca="1" si="207"/>
        <v>835</v>
      </c>
      <c r="CX163" s="1">
        <f t="shared" ca="1" si="208"/>
        <v>9.2748284314448043E-4</v>
      </c>
      <c r="DH163" s="1">
        <f t="shared" ca="1" si="209"/>
        <v>895</v>
      </c>
      <c r="DI163" s="1">
        <f t="shared" ca="1" si="210"/>
        <v>0.58272694970543426</v>
      </c>
      <c r="DJ163" s="1">
        <f t="shared" ca="1" si="211"/>
        <v>15</v>
      </c>
      <c r="DL163" s="1">
        <f t="shared" ca="1" si="212"/>
        <v>8.361640538791254E-2</v>
      </c>
      <c r="DM163" s="1">
        <f t="shared" ca="1" si="213"/>
        <v>190</v>
      </c>
      <c r="DN163" s="1">
        <f t="shared" ca="1" si="214"/>
        <v>3</v>
      </c>
      <c r="DW163" s="1">
        <f t="shared" ca="1" si="215"/>
        <v>407</v>
      </c>
      <c r="DX163" s="1">
        <f t="shared" ca="1" si="216"/>
        <v>14</v>
      </c>
      <c r="DY163" s="1">
        <f t="shared" ca="1" si="217"/>
        <v>11</v>
      </c>
    </row>
    <row r="164" spans="2:129" x14ac:dyDescent="0.25">
      <c r="B164">
        <f t="shared" ca="1" si="147"/>
        <v>874</v>
      </c>
      <c r="C164">
        <f t="shared" ca="1" si="148"/>
        <v>11</v>
      </c>
      <c r="D164">
        <f t="shared" ca="1" si="149"/>
        <v>0.17962064820601462</v>
      </c>
      <c r="F164" s="1">
        <f t="shared" ca="1" si="150"/>
        <v>20</v>
      </c>
      <c r="G164" s="1">
        <f t="shared" ca="1" si="151"/>
        <v>3</v>
      </c>
      <c r="H164" s="1">
        <f t="shared" ca="1" si="152"/>
        <v>11</v>
      </c>
      <c r="I164" s="1"/>
      <c r="J164" s="1">
        <f t="shared" ca="1" si="153"/>
        <v>33</v>
      </c>
      <c r="K164" s="1">
        <f t="shared" ca="1" si="154"/>
        <v>2.9130478943915823</v>
      </c>
      <c r="L164" s="1">
        <f t="shared" ca="1" si="155"/>
        <v>12</v>
      </c>
      <c r="M164" s="1"/>
      <c r="N164" s="1">
        <f t="shared" ca="1" si="156"/>
        <v>565</v>
      </c>
      <c r="O164" s="1">
        <f t="shared" ca="1" si="157"/>
        <v>18</v>
      </c>
      <c r="P164" s="1"/>
      <c r="Q164" s="1">
        <f t="shared" ca="1" si="158"/>
        <v>0.83811320811561152</v>
      </c>
      <c r="R164" s="1">
        <f t="shared" ca="1" si="159"/>
        <v>768</v>
      </c>
      <c r="S164" s="1"/>
      <c r="T164" s="1">
        <f t="shared" ca="1" si="160"/>
        <v>0.19135308929657616</v>
      </c>
      <c r="U164" s="1">
        <f t="shared" ca="1" si="161"/>
        <v>213</v>
      </c>
      <c r="V164" s="1">
        <f t="shared" ca="1" si="162"/>
        <v>23</v>
      </c>
      <c r="W164" s="1"/>
      <c r="X164" s="1">
        <f t="shared" ca="1" si="163"/>
        <v>3.0094556649140225</v>
      </c>
      <c r="Y164" s="1">
        <f t="shared" ca="1" si="164"/>
        <v>0.70499138329322886</v>
      </c>
      <c r="Z164" s="1">
        <f t="shared" ca="1" si="165"/>
        <v>1299</v>
      </c>
      <c r="AB164" s="1">
        <f t="shared" ca="1" si="166"/>
        <v>0.66553516902580157</v>
      </c>
      <c r="AC164" s="1">
        <f t="shared" ca="1" si="167"/>
        <v>596</v>
      </c>
      <c r="AD164" s="1">
        <f t="shared" ca="1" si="168"/>
        <v>6.7891830633211433E-3</v>
      </c>
      <c r="AE164" s="1"/>
      <c r="AF164" s="1">
        <f t="shared" ca="1" si="169"/>
        <v>0.43678907257846411</v>
      </c>
      <c r="AG164" s="1">
        <f t="shared" ca="1" si="170"/>
        <v>718</v>
      </c>
      <c r="AH164" s="1">
        <f t="shared" ca="1" si="171"/>
        <v>1.205203203025108E-3</v>
      </c>
      <c r="AJ164" s="1">
        <f t="shared" ca="1" si="172"/>
        <v>0.15823525518753578</v>
      </c>
      <c r="AK164" s="1">
        <f t="shared" ca="1" si="173"/>
        <v>4.3922969400889723E-3</v>
      </c>
      <c r="AL164" s="1"/>
      <c r="AM164" s="1">
        <f t="shared" ca="1" si="174"/>
        <v>1.4773518345732879E-2</v>
      </c>
      <c r="AN164" s="1">
        <f t="shared" ca="1" si="175"/>
        <v>24</v>
      </c>
      <c r="AO164" s="1">
        <f t="shared" ca="1" si="176"/>
        <v>18</v>
      </c>
      <c r="AQ164" s="1">
        <f t="shared" ca="1" si="177"/>
        <v>34</v>
      </c>
      <c r="AR164" s="1">
        <f t="shared" ca="1" si="178"/>
        <v>4</v>
      </c>
      <c r="AS164" s="1">
        <f t="shared" ca="1" si="179"/>
        <v>49</v>
      </c>
      <c r="AU164" s="1">
        <f t="shared" ca="1" si="180"/>
        <v>80</v>
      </c>
      <c r="AV164" s="1">
        <f t="shared" ca="1" si="181"/>
        <v>4</v>
      </c>
      <c r="AW164" s="1">
        <f t="shared" ca="1" si="182"/>
        <v>9.4800801171992174E-2</v>
      </c>
      <c r="AY164" s="1">
        <f t="shared" ca="1" si="183"/>
        <v>1.4456858091414928</v>
      </c>
      <c r="AZ164" s="1">
        <f t="shared" ca="1" si="184"/>
        <v>129</v>
      </c>
      <c r="BA164" s="1">
        <f t="shared" ca="1" si="185"/>
        <v>4.6201156622500744E-3</v>
      </c>
      <c r="BG164" s="1">
        <f t="shared" ca="1" si="186"/>
        <v>0.14846678312701242</v>
      </c>
      <c r="BH164" s="1">
        <f t="shared" ca="1" si="187"/>
        <v>0.34862039868351535</v>
      </c>
      <c r="BI164" s="1">
        <f t="shared" ca="1" si="188"/>
        <v>152</v>
      </c>
      <c r="BV164" s="1">
        <f t="shared" ca="1" si="189"/>
        <v>0.45261193538317829</v>
      </c>
      <c r="BW164" s="1">
        <f t="shared" ca="1" si="190"/>
        <v>181</v>
      </c>
      <c r="BX164" s="1">
        <f t="shared" ca="1" si="191"/>
        <v>9.4088734451011867E-3</v>
      </c>
      <c r="BY164" s="1">
        <f t="shared" ca="1" si="192"/>
        <v>3.1485116900846537E-2</v>
      </c>
      <c r="BZ164" s="1">
        <f t="shared" ca="1" si="193"/>
        <v>0.91853221802886609</v>
      </c>
      <c r="CB164" s="1">
        <f t="shared" ca="1" si="194"/>
        <v>183</v>
      </c>
      <c r="CC164" s="1">
        <f t="shared" ca="1" si="195"/>
        <v>3</v>
      </c>
      <c r="CD164" s="1">
        <f t="shared" ca="1" si="196"/>
        <v>0.15799916182024043</v>
      </c>
      <c r="CE164" s="1">
        <f t="shared" ref="CE164:CF202" ca="1" si="218">RAND()*(1-0.5)+0.5</f>
        <v>0.8931199870948473</v>
      </c>
      <c r="CF164" s="1">
        <f t="shared" ca="1" si="218"/>
        <v>0.53318299680047043</v>
      </c>
      <c r="CH164" s="3">
        <f t="shared" ca="1" si="198"/>
        <v>0.99165617037283493</v>
      </c>
      <c r="CI164" s="3">
        <f t="shared" ca="1" si="199"/>
        <v>0.16582445882245717</v>
      </c>
      <c r="CJ164" s="3">
        <f t="shared" ca="1" si="200"/>
        <v>1198</v>
      </c>
      <c r="CK164" s="3">
        <f t="shared" ca="1" si="201"/>
        <v>5.1895960378194328E-3</v>
      </c>
      <c r="CL164" s="3">
        <f t="shared" ca="1" si="202"/>
        <v>0</v>
      </c>
      <c r="CM164" s="3"/>
      <c r="CN164" s="1">
        <f t="shared" ca="1" si="203"/>
        <v>17.959722477302744</v>
      </c>
      <c r="CO164" s="1">
        <f t="shared" ca="1" si="204"/>
        <v>0.21329643445079172</v>
      </c>
      <c r="CP164" s="1">
        <f t="shared" ca="1" si="205"/>
        <v>3</v>
      </c>
      <c r="CV164" s="1">
        <f t="shared" ca="1" si="206"/>
        <v>3.6172248741807498</v>
      </c>
      <c r="CW164" s="1">
        <f t="shared" ca="1" si="207"/>
        <v>1995</v>
      </c>
      <c r="CX164" s="1">
        <f t="shared" ca="1" si="208"/>
        <v>6.6585349230700265E-3</v>
      </c>
      <c r="DH164" s="1">
        <f t="shared" ca="1" si="209"/>
        <v>684</v>
      </c>
      <c r="DI164" s="1">
        <f t="shared" ca="1" si="210"/>
        <v>0.70822862902047967</v>
      </c>
      <c r="DJ164" s="1">
        <f t="shared" ca="1" si="211"/>
        <v>17</v>
      </c>
      <c r="DL164" s="1">
        <f t="shared" ca="1" si="212"/>
        <v>0.19932439761471379</v>
      </c>
      <c r="DM164" s="1">
        <f t="shared" ca="1" si="213"/>
        <v>123</v>
      </c>
      <c r="DN164" s="1">
        <f t="shared" ca="1" si="214"/>
        <v>6</v>
      </c>
      <c r="DW164" s="1">
        <f t="shared" ca="1" si="215"/>
        <v>439</v>
      </c>
      <c r="DX164" s="1">
        <f t="shared" ca="1" si="216"/>
        <v>15</v>
      </c>
      <c r="DY164" s="1">
        <f t="shared" ca="1" si="217"/>
        <v>6</v>
      </c>
    </row>
    <row r="165" spans="2:129" x14ac:dyDescent="0.25">
      <c r="B165">
        <f t="shared" ca="1" si="147"/>
        <v>448</v>
      </c>
      <c r="C165">
        <f t="shared" ca="1" si="148"/>
        <v>22</v>
      </c>
      <c r="D165">
        <f t="shared" ca="1" si="149"/>
        <v>0.14704443166094508</v>
      </c>
      <c r="F165" s="1">
        <f t="shared" ca="1" si="150"/>
        <v>32</v>
      </c>
      <c r="G165" s="1">
        <f t="shared" ca="1" si="151"/>
        <v>28</v>
      </c>
      <c r="H165" s="1">
        <f t="shared" ca="1" si="152"/>
        <v>5</v>
      </c>
      <c r="I165" s="1"/>
      <c r="J165" s="1">
        <f t="shared" ca="1" si="153"/>
        <v>29</v>
      </c>
      <c r="K165" s="1">
        <f t="shared" ca="1" si="154"/>
        <v>2.5397904109777949</v>
      </c>
      <c r="L165" s="1">
        <f t="shared" ca="1" si="155"/>
        <v>31</v>
      </c>
      <c r="M165" s="1"/>
      <c r="N165" s="1">
        <f t="shared" ca="1" si="156"/>
        <v>149</v>
      </c>
      <c r="O165" s="1">
        <f t="shared" ca="1" si="157"/>
        <v>19</v>
      </c>
      <c r="P165" s="1"/>
      <c r="Q165" s="1">
        <f t="shared" ca="1" si="158"/>
        <v>4.8831872134872869</v>
      </c>
      <c r="R165" s="1">
        <f t="shared" ca="1" si="159"/>
        <v>701</v>
      </c>
      <c r="S165" s="1"/>
      <c r="T165" s="1">
        <f t="shared" ca="1" si="160"/>
        <v>3.5903750008692746E-2</v>
      </c>
      <c r="U165" s="1">
        <f t="shared" ca="1" si="161"/>
        <v>167</v>
      </c>
      <c r="V165" s="1">
        <f t="shared" ca="1" si="162"/>
        <v>49</v>
      </c>
      <c r="W165" s="1"/>
      <c r="X165" s="1">
        <f t="shared" ca="1" si="163"/>
        <v>6.1413540087228693</v>
      </c>
      <c r="Y165" s="1">
        <f t="shared" ca="1" si="164"/>
        <v>0.81781660607444939</v>
      </c>
      <c r="Z165" s="1">
        <f t="shared" ca="1" si="165"/>
        <v>1458</v>
      </c>
      <c r="AB165" s="1">
        <f t="shared" ca="1" si="166"/>
        <v>0.46999592150760044</v>
      </c>
      <c r="AC165" s="1">
        <f t="shared" ca="1" si="167"/>
        <v>641</v>
      </c>
      <c r="AD165" s="1">
        <f t="shared" ca="1" si="168"/>
        <v>8.8543517280825611E-3</v>
      </c>
      <c r="AE165" s="1"/>
      <c r="AF165" s="1">
        <f t="shared" ca="1" si="169"/>
        <v>0.4851016212435868</v>
      </c>
      <c r="AG165" s="1">
        <f t="shared" ca="1" si="170"/>
        <v>480</v>
      </c>
      <c r="AH165" s="1">
        <f t="shared" ca="1" si="171"/>
        <v>8.8979293370853255E-3</v>
      </c>
      <c r="AJ165" s="1">
        <f t="shared" ca="1" si="172"/>
        <v>7.7160763017470213E-2</v>
      </c>
      <c r="AK165" s="1">
        <f t="shared" ca="1" si="173"/>
        <v>9.2861963317620883E-3</v>
      </c>
      <c r="AL165" s="1"/>
      <c r="AM165" s="1">
        <f t="shared" ca="1" si="174"/>
        <v>7.0573657263262715E-2</v>
      </c>
      <c r="AN165" s="1">
        <f t="shared" ca="1" si="175"/>
        <v>68</v>
      </c>
      <c r="AO165" s="1">
        <f t="shared" ca="1" si="176"/>
        <v>8</v>
      </c>
      <c r="AQ165" s="1">
        <f t="shared" ca="1" si="177"/>
        <v>126</v>
      </c>
      <c r="AR165" s="1">
        <f t="shared" ca="1" si="178"/>
        <v>0</v>
      </c>
      <c r="AS165" s="1">
        <f t="shared" ca="1" si="179"/>
        <v>9</v>
      </c>
      <c r="AU165" s="1">
        <f t="shared" ca="1" si="180"/>
        <v>57</v>
      </c>
      <c r="AV165" s="1">
        <f t="shared" ca="1" si="181"/>
        <v>8</v>
      </c>
      <c r="AW165" s="1">
        <f t="shared" ca="1" si="182"/>
        <v>0.16262458439305924</v>
      </c>
      <c r="AY165" s="1">
        <f t="shared" ca="1" si="183"/>
        <v>1.4092293093413919</v>
      </c>
      <c r="AZ165" s="1">
        <f t="shared" ca="1" si="184"/>
        <v>430</v>
      </c>
      <c r="BA165" s="1">
        <f t="shared" ca="1" si="185"/>
        <v>1.817905050432216E-3</v>
      </c>
      <c r="BG165" s="1">
        <f t="shared" ca="1" si="186"/>
        <v>8.877332607573471E-2</v>
      </c>
      <c r="BH165" s="1">
        <f t="shared" ca="1" si="187"/>
        <v>5.9258124834309922E-2</v>
      </c>
      <c r="BI165" s="1">
        <f t="shared" ca="1" si="188"/>
        <v>298</v>
      </c>
      <c r="BV165" s="1">
        <f t="shared" ca="1" si="189"/>
        <v>0.98072155074410761</v>
      </c>
      <c r="BW165" s="1">
        <f t="shared" ca="1" si="190"/>
        <v>852</v>
      </c>
      <c r="BX165" s="1">
        <f t="shared" ca="1" si="191"/>
        <v>5.2970161016633122E-3</v>
      </c>
      <c r="BY165" s="1">
        <f t="shared" ca="1" si="192"/>
        <v>8.9490184838326645E-2</v>
      </c>
      <c r="BZ165" s="1">
        <f t="shared" ca="1" si="193"/>
        <v>0.82527865715401982</v>
      </c>
      <c r="CB165" s="1">
        <f t="shared" ca="1" si="194"/>
        <v>208</v>
      </c>
      <c r="CC165" s="1">
        <f t="shared" ca="1" si="195"/>
        <v>6</v>
      </c>
      <c r="CD165" s="1">
        <f t="shared" ca="1" si="196"/>
        <v>0.24913969299842417</v>
      </c>
      <c r="CE165" s="1">
        <f t="shared" ca="1" si="218"/>
        <v>0.90582570982924526</v>
      </c>
      <c r="CF165" s="1">
        <f t="shared" ca="1" si="218"/>
        <v>0.7456021295669113</v>
      </c>
      <c r="CH165" s="3">
        <f t="shared" ca="1" si="198"/>
        <v>0.70568211078182363</v>
      </c>
      <c r="CI165" s="3">
        <f t="shared" ca="1" si="199"/>
        <v>0.76679937610395366</v>
      </c>
      <c r="CJ165" s="3">
        <f t="shared" ca="1" si="200"/>
        <v>706</v>
      </c>
      <c r="CK165" s="3">
        <f t="shared" ca="1" si="201"/>
        <v>4.5767101630268953E-3</v>
      </c>
      <c r="CL165" s="3">
        <f t="shared" ca="1" si="202"/>
        <v>0</v>
      </c>
      <c r="CM165" s="3"/>
      <c r="CN165" s="1">
        <f t="shared" ca="1" si="203"/>
        <v>5.3103141901372624</v>
      </c>
      <c r="CO165" s="1">
        <f t="shared" ca="1" si="204"/>
        <v>6.0624760281311387E-3</v>
      </c>
      <c r="CP165" s="1">
        <f t="shared" ca="1" si="205"/>
        <v>3</v>
      </c>
      <c r="CV165" s="1">
        <f t="shared" ca="1" si="206"/>
        <v>7.0055763735171928</v>
      </c>
      <c r="CW165" s="1">
        <f t="shared" ca="1" si="207"/>
        <v>1862</v>
      </c>
      <c r="CX165" s="1">
        <f t="shared" ca="1" si="208"/>
        <v>2.9707887410606541E-3</v>
      </c>
      <c r="DH165" s="1">
        <f t="shared" ca="1" si="209"/>
        <v>685</v>
      </c>
      <c r="DI165" s="1">
        <f t="shared" ca="1" si="210"/>
        <v>0.94951982526019441</v>
      </c>
      <c r="DJ165" s="1">
        <f t="shared" ca="1" si="211"/>
        <v>9</v>
      </c>
      <c r="DL165" s="1">
        <f t="shared" ca="1" si="212"/>
        <v>0.19442662067694819</v>
      </c>
      <c r="DM165" s="1">
        <f t="shared" ca="1" si="213"/>
        <v>160</v>
      </c>
      <c r="DN165" s="1">
        <f t="shared" ca="1" si="214"/>
        <v>3</v>
      </c>
      <c r="DW165" s="1">
        <f t="shared" ca="1" si="215"/>
        <v>316</v>
      </c>
      <c r="DX165" s="1">
        <f t="shared" ca="1" si="216"/>
        <v>6</v>
      </c>
      <c r="DY165" s="1">
        <f t="shared" ca="1" si="217"/>
        <v>15</v>
      </c>
    </row>
    <row r="166" spans="2:129" x14ac:dyDescent="0.25">
      <c r="B166">
        <f t="shared" ca="1" si="147"/>
        <v>786</v>
      </c>
      <c r="C166">
        <f t="shared" ca="1" si="148"/>
        <v>21</v>
      </c>
      <c r="D166">
        <f t="shared" ca="1" si="149"/>
        <v>0.1252838610798433</v>
      </c>
      <c r="F166" s="1">
        <f t="shared" ca="1" si="150"/>
        <v>30</v>
      </c>
      <c r="G166" s="1">
        <f t="shared" ca="1" si="151"/>
        <v>4</v>
      </c>
      <c r="H166" s="1">
        <f t="shared" ca="1" si="152"/>
        <v>8</v>
      </c>
      <c r="I166" s="1"/>
      <c r="J166" s="1">
        <f t="shared" ca="1" si="153"/>
        <v>25</v>
      </c>
      <c r="K166" s="1">
        <f t="shared" ca="1" si="154"/>
        <v>2.4323270712276117</v>
      </c>
      <c r="L166" s="1">
        <f t="shared" ca="1" si="155"/>
        <v>26</v>
      </c>
      <c r="M166" s="1"/>
      <c r="N166" s="1">
        <f t="shared" ca="1" si="156"/>
        <v>843</v>
      </c>
      <c r="O166" s="1">
        <f t="shared" ca="1" si="157"/>
        <v>32</v>
      </c>
      <c r="P166" s="1"/>
      <c r="Q166" s="1">
        <f t="shared" ca="1" si="158"/>
        <v>0.61549047596323569</v>
      </c>
      <c r="R166" s="1">
        <f t="shared" ca="1" si="159"/>
        <v>203</v>
      </c>
      <c r="S166" s="1"/>
      <c r="T166" s="1">
        <f t="shared" ca="1" si="160"/>
        <v>1.8548041261315942E-2</v>
      </c>
      <c r="U166" s="1">
        <f t="shared" ca="1" si="161"/>
        <v>146</v>
      </c>
      <c r="V166" s="1">
        <f t="shared" ca="1" si="162"/>
        <v>41</v>
      </c>
      <c r="W166" s="1"/>
      <c r="X166" s="1">
        <f t="shared" ca="1" si="163"/>
        <v>1.8040328597025548</v>
      </c>
      <c r="Y166" s="1">
        <f t="shared" ca="1" si="164"/>
        <v>0.29278233284996963</v>
      </c>
      <c r="Z166" s="1">
        <f t="shared" ca="1" si="165"/>
        <v>775</v>
      </c>
      <c r="AB166" s="1">
        <f t="shared" ca="1" si="166"/>
        <v>0.16722580727931377</v>
      </c>
      <c r="AC166" s="1">
        <f t="shared" ca="1" si="167"/>
        <v>840</v>
      </c>
      <c r="AD166" s="1">
        <f t="shared" ca="1" si="168"/>
        <v>9.807926338459512E-3</v>
      </c>
      <c r="AE166" s="1"/>
      <c r="AF166" s="1">
        <f t="shared" ca="1" si="169"/>
        <v>0.28994042007510246</v>
      </c>
      <c r="AG166" s="1">
        <f t="shared" ca="1" si="170"/>
        <v>985</v>
      </c>
      <c r="AH166" s="1">
        <f t="shared" ca="1" si="171"/>
        <v>6.1788796371873922E-3</v>
      </c>
      <c r="AJ166" s="1">
        <f t="shared" ca="1" si="172"/>
        <v>0.58466722813660921</v>
      </c>
      <c r="AK166" s="1">
        <f t="shared" ca="1" si="173"/>
        <v>8.4440636231041741E-3</v>
      </c>
      <c r="AL166" s="1"/>
      <c r="AM166" s="1">
        <f t="shared" ca="1" si="174"/>
        <v>7.5147201746023323E-2</v>
      </c>
      <c r="AN166" s="1">
        <f t="shared" ca="1" si="175"/>
        <v>78</v>
      </c>
      <c r="AO166" s="1">
        <f t="shared" ca="1" si="176"/>
        <v>18</v>
      </c>
      <c r="AQ166" s="1">
        <f t="shared" ca="1" si="177"/>
        <v>179</v>
      </c>
      <c r="AR166" s="1">
        <f t="shared" ca="1" si="178"/>
        <v>2</v>
      </c>
      <c r="AS166" s="1">
        <f t="shared" ca="1" si="179"/>
        <v>46</v>
      </c>
      <c r="AU166" s="1">
        <f t="shared" ca="1" si="180"/>
        <v>287</v>
      </c>
      <c r="AV166" s="1">
        <f t="shared" ca="1" si="181"/>
        <v>3</v>
      </c>
      <c r="AW166" s="1">
        <f t="shared" ca="1" si="182"/>
        <v>0.19438349814693409</v>
      </c>
      <c r="AY166" s="1">
        <f t="shared" ca="1" si="183"/>
        <v>1.512596362748905</v>
      </c>
      <c r="AZ166" s="1">
        <f t="shared" ca="1" si="184"/>
        <v>161</v>
      </c>
      <c r="BA166" s="1">
        <f t="shared" ca="1" si="185"/>
        <v>5.704247636520555E-3</v>
      </c>
      <c r="BG166" s="1">
        <f t="shared" ca="1" si="186"/>
        <v>0.75974409353070371</v>
      </c>
      <c r="BH166" s="1">
        <f t="shared" ca="1" si="187"/>
        <v>0.74202028445222845</v>
      </c>
      <c r="BI166" s="1">
        <f t="shared" ca="1" si="188"/>
        <v>306</v>
      </c>
      <c r="BV166" s="1">
        <f t="shared" ca="1" si="189"/>
        <v>5.650615538446125E-2</v>
      </c>
      <c r="BW166" s="1">
        <f t="shared" ca="1" si="190"/>
        <v>832</v>
      </c>
      <c r="BX166" s="1">
        <f t="shared" ca="1" si="191"/>
        <v>6.5433643952446342E-3</v>
      </c>
      <c r="BY166" s="1">
        <f t="shared" ca="1" si="192"/>
        <v>4.6643384088088595E-2</v>
      </c>
      <c r="BZ166" s="1">
        <f t="shared" ca="1" si="193"/>
        <v>0.31835390780465045</v>
      </c>
      <c r="CB166" s="1">
        <f t="shared" ca="1" si="194"/>
        <v>233</v>
      </c>
      <c r="CC166" s="1">
        <f t="shared" ca="1" si="195"/>
        <v>13</v>
      </c>
      <c r="CD166" s="1">
        <f t="shared" ca="1" si="196"/>
        <v>0.20384264519016265</v>
      </c>
      <c r="CE166" s="1">
        <f t="shared" ca="1" si="218"/>
        <v>0.51355952773036107</v>
      </c>
      <c r="CF166" s="1">
        <f t="shared" ca="1" si="218"/>
        <v>0.718774566087929</v>
      </c>
      <c r="CH166" s="3">
        <f t="shared" ca="1" si="198"/>
        <v>0.96961650167965419</v>
      </c>
      <c r="CI166" s="3">
        <f t="shared" ca="1" si="199"/>
        <v>0.13547369727267636</v>
      </c>
      <c r="CJ166" s="3">
        <f t="shared" ca="1" si="200"/>
        <v>793</v>
      </c>
      <c r="CK166" s="3">
        <f t="shared" ca="1" si="201"/>
        <v>5.857458782850905E-3</v>
      </c>
      <c r="CL166" s="3">
        <f t="shared" ca="1" si="202"/>
        <v>0</v>
      </c>
      <c r="CM166" s="3"/>
      <c r="CN166" s="1">
        <f t="shared" ca="1" si="203"/>
        <v>12.433484799642269</v>
      </c>
      <c r="CO166" s="1">
        <f t="shared" ca="1" si="204"/>
        <v>0.15606791694085112</v>
      </c>
      <c r="CP166" s="1">
        <f t="shared" ca="1" si="205"/>
        <v>5</v>
      </c>
      <c r="CV166" s="1">
        <f t="shared" ca="1" si="206"/>
        <v>8.1431475222797136</v>
      </c>
      <c r="CW166" s="1">
        <f t="shared" ca="1" si="207"/>
        <v>1834</v>
      </c>
      <c r="CX166" s="1">
        <f t="shared" ca="1" si="208"/>
        <v>7.1626495583637729E-3</v>
      </c>
      <c r="DH166" s="1">
        <f t="shared" ca="1" si="209"/>
        <v>332</v>
      </c>
      <c r="DI166" s="1">
        <f t="shared" ca="1" si="210"/>
        <v>0.30790507467404254</v>
      </c>
      <c r="DJ166" s="1">
        <f t="shared" ca="1" si="211"/>
        <v>2</v>
      </c>
      <c r="DL166" s="1">
        <f t="shared" ca="1" si="212"/>
        <v>0.1826899676368661</v>
      </c>
      <c r="DM166" s="1">
        <f t="shared" ca="1" si="213"/>
        <v>73</v>
      </c>
      <c r="DN166" s="1">
        <f t="shared" ca="1" si="214"/>
        <v>10</v>
      </c>
      <c r="DW166" s="1">
        <f t="shared" ca="1" si="215"/>
        <v>66</v>
      </c>
      <c r="DX166" s="1">
        <f t="shared" ca="1" si="216"/>
        <v>7</v>
      </c>
      <c r="DY166" s="1">
        <f t="shared" ca="1" si="217"/>
        <v>11</v>
      </c>
    </row>
    <row r="167" spans="2:129" x14ac:dyDescent="0.25">
      <c r="B167">
        <f t="shared" ca="1" si="147"/>
        <v>522</v>
      </c>
      <c r="C167">
        <f t="shared" ca="1" si="148"/>
        <v>24</v>
      </c>
      <c r="D167">
        <f t="shared" ca="1" si="149"/>
        <v>0.18726078322270137</v>
      </c>
      <c r="F167" s="1">
        <f t="shared" ca="1" si="150"/>
        <v>25</v>
      </c>
      <c r="G167" s="1">
        <f t="shared" ca="1" si="151"/>
        <v>7</v>
      </c>
      <c r="H167" s="1">
        <f t="shared" ca="1" si="152"/>
        <v>1</v>
      </c>
      <c r="I167" s="1"/>
      <c r="J167" s="1">
        <f t="shared" ca="1" si="153"/>
        <v>7</v>
      </c>
      <c r="K167" s="1">
        <f t="shared" ca="1" si="154"/>
        <v>2.4293210964747596</v>
      </c>
      <c r="L167" s="1">
        <f t="shared" ca="1" si="155"/>
        <v>23</v>
      </c>
      <c r="M167" s="1"/>
      <c r="N167" s="1">
        <f t="shared" ca="1" si="156"/>
        <v>36</v>
      </c>
      <c r="O167" s="1">
        <f t="shared" ca="1" si="157"/>
        <v>6</v>
      </c>
      <c r="P167" s="1"/>
      <c r="Q167" s="1">
        <f t="shared" ca="1" si="158"/>
        <v>2.1628168173953681</v>
      </c>
      <c r="R167" s="1">
        <f t="shared" ca="1" si="159"/>
        <v>1086</v>
      </c>
      <c r="S167" s="1"/>
      <c r="T167" s="1">
        <f t="shared" ca="1" si="160"/>
        <v>2.4861061176452946E-2</v>
      </c>
      <c r="U167" s="1">
        <f t="shared" ca="1" si="161"/>
        <v>282</v>
      </c>
      <c r="V167" s="1">
        <f t="shared" ca="1" si="162"/>
        <v>49</v>
      </c>
      <c r="W167" s="1"/>
      <c r="X167" s="1">
        <f t="shared" ca="1" si="163"/>
        <v>5.6137787049564318</v>
      </c>
      <c r="Y167" s="1">
        <f t="shared" ca="1" si="164"/>
        <v>0.64429193912489158</v>
      </c>
      <c r="Z167" s="1">
        <f t="shared" ca="1" si="165"/>
        <v>614</v>
      </c>
      <c r="AB167" s="1">
        <f t="shared" ca="1" si="166"/>
        <v>0.20184379525747376</v>
      </c>
      <c r="AC167" s="1">
        <f t="shared" ca="1" si="167"/>
        <v>317</v>
      </c>
      <c r="AD167" s="1">
        <f t="shared" ca="1" si="168"/>
        <v>5.4921392656294785E-3</v>
      </c>
      <c r="AE167" s="1"/>
      <c r="AF167" s="1">
        <f t="shared" ca="1" si="169"/>
        <v>0.65951584651327944</v>
      </c>
      <c r="AG167" s="1">
        <f t="shared" ca="1" si="170"/>
        <v>392</v>
      </c>
      <c r="AH167" s="1">
        <f t="shared" ca="1" si="171"/>
        <v>7.4897361074531734E-3</v>
      </c>
      <c r="AJ167" s="1">
        <f t="shared" ca="1" si="172"/>
        <v>0.56153382571570487</v>
      </c>
      <c r="AK167" s="1">
        <f t="shared" ca="1" si="173"/>
        <v>6.8743824662419028E-3</v>
      </c>
      <c r="AL167" s="1"/>
      <c r="AM167" s="1">
        <f t="shared" ca="1" si="174"/>
        <v>1.5709941895140016E-2</v>
      </c>
      <c r="AN167" s="1">
        <f t="shared" ca="1" si="175"/>
        <v>50</v>
      </c>
      <c r="AO167" s="1">
        <f t="shared" ca="1" si="176"/>
        <v>18</v>
      </c>
      <c r="AQ167" s="1">
        <f t="shared" ca="1" si="177"/>
        <v>195</v>
      </c>
      <c r="AR167" s="1">
        <f t="shared" ca="1" si="178"/>
        <v>3</v>
      </c>
      <c r="AS167" s="1">
        <f t="shared" ca="1" si="179"/>
        <v>73</v>
      </c>
      <c r="AU167" s="1">
        <f t="shared" ca="1" si="180"/>
        <v>360</v>
      </c>
      <c r="AV167" s="1">
        <f t="shared" ca="1" si="181"/>
        <v>5</v>
      </c>
      <c r="AW167" s="1">
        <f t="shared" ca="1" si="182"/>
        <v>3.022187324766152E-2</v>
      </c>
      <c r="AY167" s="1">
        <f t="shared" ca="1" si="183"/>
        <v>1.965607112976222</v>
      </c>
      <c r="AZ167" s="1">
        <f t="shared" ca="1" si="184"/>
        <v>128</v>
      </c>
      <c r="BA167" s="1">
        <f t="shared" ca="1" si="185"/>
        <v>5.8287412325618519E-3</v>
      </c>
      <c r="BG167" s="1">
        <f t="shared" ca="1" si="186"/>
        <v>0.42965420826101119</v>
      </c>
      <c r="BH167" s="1">
        <f t="shared" ca="1" si="187"/>
        <v>0.18302776085505967</v>
      </c>
      <c r="BI167" s="1">
        <f t="shared" ca="1" si="188"/>
        <v>607</v>
      </c>
      <c r="BV167" s="1">
        <f t="shared" ca="1" si="189"/>
        <v>0.68316241690931589</v>
      </c>
      <c r="BW167" s="1">
        <f t="shared" ca="1" si="190"/>
        <v>505</v>
      </c>
      <c r="BX167" s="1">
        <f t="shared" ca="1" si="191"/>
        <v>5.0161311273366838E-3</v>
      </c>
      <c r="BY167" s="1">
        <f t="shared" ca="1" si="192"/>
        <v>6.0849015017094436E-2</v>
      </c>
      <c r="BZ167" s="1">
        <f t="shared" ca="1" si="193"/>
        <v>1.3762674945489106E-2</v>
      </c>
      <c r="CB167" s="1">
        <f t="shared" ca="1" si="194"/>
        <v>149</v>
      </c>
      <c r="CC167" s="1">
        <f t="shared" ca="1" si="195"/>
        <v>10</v>
      </c>
      <c r="CD167" s="1">
        <f t="shared" ca="1" si="196"/>
        <v>0.10458584545144804</v>
      </c>
      <c r="CE167" s="1">
        <f t="shared" ca="1" si="218"/>
        <v>0.88279512107118252</v>
      </c>
      <c r="CF167" s="1">
        <f t="shared" ca="1" si="218"/>
        <v>0.69459080956086017</v>
      </c>
      <c r="CH167" s="3">
        <f t="shared" ca="1" si="198"/>
        <v>0.58536414806206249</v>
      </c>
      <c r="CI167" s="3">
        <f t="shared" ca="1" si="199"/>
        <v>0.914072895050837</v>
      </c>
      <c r="CJ167" s="3">
        <f t="shared" ca="1" si="200"/>
        <v>794</v>
      </c>
      <c r="CK167" s="3">
        <f t="shared" ca="1" si="201"/>
        <v>4.3963889666515333E-3</v>
      </c>
      <c r="CL167" s="3">
        <f t="shared" ca="1" si="202"/>
        <v>1</v>
      </c>
      <c r="CM167" s="3"/>
      <c r="CN167" s="1">
        <f t="shared" ca="1" si="203"/>
        <v>15.492690501043825</v>
      </c>
      <c r="CO167" s="1">
        <f t="shared" ca="1" si="204"/>
        <v>0.30424739240279242</v>
      </c>
      <c r="CP167" s="1">
        <f t="shared" ca="1" si="205"/>
        <v>4</v>
      </c>
      <c r="CV167" s="1">
        <f t="shared" ca="1" si="206"/>
        <v>4.1722285537541905</v>
      </c>
      <c r="CW167" s="1">
        <f t="shared" ca="1" si="207"/>
        <v>1502</v>
      </c>
      <c r="CX167" s="1">
        <f t="shared" ca="1" si="208"/>
        <v>2.477084048471871E-4</v>
      </c>
      <c r="DH167" s="1">
        <f t="shared" ca="1" si="209"/>
        <v>353</v>
      </c>
      <c r="DI167" s="1">
        <f t="shared" ca="1" si="210"/>
        <v>0.73588016388955058</v>
      </c>
      <c r="DJ167" s="1">
        <f t="shared" ca="1" si="211"/>
        <v>26</v>
      </c>
      <c r="DL167" s="1">
        <f t="shared" ca="1" si="212"/>
        <v>0.15228554758953652</v>
      </c>
      <c r="DM167" s="1">
        <f t="shared" ca="1" si="213"/>
        <v>270</v>
      </c>
      <c r="DN167" s="1">
        <f t="shared" ca="1" si="214"/>
        <v>10</v>
      </c>
      <c r="DW167" s="1">
        <f t="shared" ca="1" si="215"/>
        <v>240</v>
      </c>
      <c r="DX167" s="1">
        <f t="shared" ca="1" si="216"/>
        <v>3</v>
      </c>
      <c r="DY167" s="1">
        <f t="shared" ca="1" si="217"/>
        <v>19</v>
      </c>
    </row>
    <row r="168" spans="2:129" x14ac:dyDescent="0.25">
      <c r="B168">
        <f t="shared" ca="1" si="147"/>
        <v>991</v>
      </c>
      <c r="C168">
        <f t="shared" ca="1" si="148"/>
        <v>5</v>
      </c>
      <c r="D168">
        <f t="shared" ca="1" si="149"/>
        <v>0.1865408053706849</v>
      </c>
      <c r="F168" s="1">
        <f t="shared" ca="1" si="150"/>
        <v>33</v>
      </c>
      <c r="G168" s="1">
        <f t="shared" ca="1" si="151"/>
        <v>8</v>
      </c>
      <c r="H168" s="1">
        <f t="shared" ca="1" si="152"/>
        <v>9</v>
      </c>
      <c r="I168" s="1"/>
      <c r="J168" s="1">
        <f t="shared" ca="1" si="153"/>
        <v>2</v>
      </c>
      <c r="K168" s="1">
        <f t="shared" ca="1" si="154"/>
        <v>2.0384864069901143</v>
      </c>
      <c r="L168" s="1">
        <f t="shared" ca="1" si="155"/>
        <v>22</v>
      </c>
      <c r="M168" s="1"/>
      <c r="N168" s="1">
        <f t="shared" ca="1" si="156"/>
        <v>833</v>
      </c>
      <c r="O168" s="1">
        <f t="shared" ca="1" si="157"/>
        <v>48</v>
      </c>
      <c r="P168" s="1"/>
      <c r="Q168" s="1">
        <f t="shared" ca="1" si="158"/>
        <v>1.1822388378273485</v>
      </c>
      <c r="R168" s="1">
        <f t="shared" ca="1" si="159"/>
        <v>681</v>
      </c>
      <c r="S168" s="1"/>
      <c r="T168" s="1">
        <f t="shared" ca="1" si="160"/>
        <v>6.0367931671165165E-2</v>
      </c>
      <c r="U168" s="1">
        <f t="shared" ca="1" si="161"/>
        <v>196</v>
      </c>
      <c r="V168" s="1">
        <f t="shared" ca="1" si="162"/>
        <v>34</v>
      </c>
      <c r="W168" s="1"/>
      <c r="X168" s="1">
        <f t="shared" ca="1" si="163"/>
        <v>5.9735705033660897</v>
      </c>
      <c r="Y168" s="1">
        <f t="shared" ca="1" si="164"/>
        <v>0.39965122944386772</v>
      </c>
      <c r="Z168" s="1">
        <f t="shared" ca="1" si="165"/>
        <v>1869</v>
      </c>
      <c r="AB168" s="1">
        <f t="shared" ca="1" si="166"/>
        <v>0.26632550399551702</v>
      </c>
      <c r="AC168" s="1">
        <f t="shared" ca="1" si="167"/>
        <v>624</v>
      </c>
      <c r="AD168" s="1">
        <f t="shared" ca="1" si="168"/>
        <v>3.7293564754094393E-3</v>
      </c>
      <c r="AE168" s="1"/>
      <c r="AF168" s="1">
        <f t="shared" ca="1" si="169"/>
        <v>0.40153122765340188</v>
      </c>
      <c r="AG168" s="1">
        <f t="shared" ca="1" si="170"/>
        <v>137</v>
      </c>
      <c r="AH168" s="1">
        <f t="shared" ca="1" si="171"/>
        <v>9.3491783080528034E-3</v>
      </c>
      <c r="AJ168" s="1">
        <f t="shared" ca="1" si="172"/>
        <v>0.84760714668295711</v>
      </c>
      <c r="AK168" s="1">
        <f t="shared" ca="1" si="173"/>
        <v>4.1343249642170725E-3</v>
      </c>
      <c r="AL168" s="1"/>
      <c r="AM168" s="1">
        <f t="shared" ca="1" si="174"/>
        <v>7.7700176041477748E-2</v>
      </c>
      <c r="AN168" s="1">
        <f t="shared" ca="1" si="175"/>
        <v>42</v>
      </c>
      <c r="AO168" s="1">
        <f t="shared" ca="1" si="176"/>
        <v>6</v>
      </c>
      <c r="AQ168" s="1">
        <f t="shared" ca="1" si="177"/>
        <v>48</v>
      </c>
      <c r="AR168" s="1">
        <f t="shared" ca="1" si="178"/>
        <v>7</v>
      </c>
      <c r="AS168" s="1">
        <f t="shared" ca="1" si="179"/>
        <v>41</v>
      </c>
      <c r="AU168" s="1">
        <f t="shared" ca="1" si="180"/>
        <v>99</v>
      </c>
      <c r="AV168" s="1">
        <f t="shared" ca="1" si="181"/>
        <v>2</v>
      </c>
      <c r="AW168" s="1">
        <f t="shared" ca="1" si="182"/>
        <v>0.14529358459900607</v>
      </c>
      <c r="AY168" s="1">
        <f t="shared" ca="1" si="183"/>
        <v>1.9923060245379387</v>
      </c>
      <c r="AZ168" s="1">
        <f t="shared" ca="1" si="184"/>
        <v>50</v>
      </c>
      <c r="BA168" s="1">
        <f t="shared" ca="1" si="185"/>
        <v>9.2936506215088432E-3</v>
      </c>
      <c r="BG168" s="1">
        <f t="shared" ca="1" si="186"/>
        <v>0.22452401499320596</v>
      </c>
      <c r="BH168" s="1">
        <f t="shared" ca="1" si="187"/>
        <v>0.90974895157954461</v>
      </c>
      <c r="BI168" s="1">
        <f t="shared" ca="1" si="188"/>
        <v>200</v>
      </c>
      <c r="BV168" s="1">
        <f t="shared" ca="1" si="189"/>
        <v>0.53744202492558946</v>
      </c>
      <c r="BW168" s="1">
        <f t="shared" ca="1" si="190"/>
        <v>304</v>
      </c>
      <c r="BX168" s="1">
        <f t="shared" ca="1" si="191"/>
        <v>4.5386710421309153E-3</v>
      </c>
      <c r="BY168" s="1">
        <f t="shared" ca="1" si="192"/>
        <v>8.3334051790706798E-2</v>
      </c>
      <c r="BZ168" s="1">
        <f t="shared" ca="1" si="193"/>
        <v>0.6898171207377799</v>
      </c>
      <c r="CB168" s="1">
        <f t="shared" ca="1" si="194"/>
        <v>298</v>
      </c>
      <c r="CC168" s="1">
        <f t="shared" ca="1" si="195"/>
        <v>8</v>
      </c>
      <c r="CD168" s="1">
        <f t="shared" ca="1" si="196"/>
        <v>0.27829943984075434</v>
      </c>
      <c r="CE168" s="1">
        <f t="shared" ca="1" si="218"/>
        <v>0.68330816199629196</v>
      </c>
      <c r="CF168" s="1">
        <f t="shared" ca="1" si="218"/>
        <v>0.73602697488009983</v>
      </c>
      <c r="CH168" s="3">
        <f t="shared" ca="1" si="198"/>
        <v>0.82126239392809042</v>
      </c>
      <c r="CI168" s="3">
        <f t="shared" ca="1" si="199"/>
        <v>0.81801467726764121</v>
      </c>
      <c r="CJ168" s="3">
        <f t="shared" ca="1" si="200"/>
        <v>795</v>
      </c>
      <c r="CK168" s="3">
        <f t="shared" ca="1" si="201"/>
        <v>9.383343998926888E-3</v>
      </c>
      <c r="CL168" s="3">
        <f t="shared" ca="1" si="202"/>
        <v>1</v>
      </c>
      <c r="CM168" s="3"/>
      <c r="CN168" s="1">
        <f t="shared" ca="1" si="203"/>
        <v>19.169178911542527</v>
      </c>
      <c r="CO168" s="1">
        <f t="shared" ca="1" si="204"/>
        <v>4.9013328891864272E-2</v>
      </c>
      <c r="CP168" s="1">
        <f t="shared" ca="1" si="205"/>
        <v>5</v>
      </c>
      <c r="CV168" s="1">
        <f t="shared" ca="1" si="206"/>
        <v>0.30221994785137146</v>
      </c>
      <c r="CW168" s="1">
        <f t="shared" ca="1" si="207"/>
        <v>797</v>
      </c>
      <c r="CX168" s="1">
        <f t="shared" ca="1" si="208"/>
        <v>7.8670828123384318E-3</v>
      </c>
      <c r="DH168" s="1">
        <f t="shared" ca="1" si="209"/>
        <v>802</v>
      </c>
      <c r="DI168" s="1">
        <f t="shared" ca="1" si="210"/>
        <v>0.72494735189881598</v>
      </c>
      <c r="DJ168" s="1">
        <f t="shared" ca="1" si="211"/>
        <v>16</v>
      </c>
      <c r="DL168" s="1">
        <f t="shared" ca="1" si="212"/>
        <v>5.9377767826450552E-2</v>
      </c>
      <c r="DM168" s="1">
        <f t="shared" ca="1" si="213"/>
        <v>94</v>
      </c>
      <c r="DN168" s="1">
        <f t="shared" ca="1" si="214"/>
        <v>6</v>
      </c>
      <c r="DW168" s="1">
        <f t="shared" ca="1" si="215"/>
        <v>75</v>
      </c>
      <c r="DX168" s="1">
        <f t="shared" ca="1" si="216"/>
        <v>13</v>
      </c>
      <c r="DY168" s="1">
        <f t="shared" ca="1" si="217"/>
        <v>3</v>
      </c>
    </row>
    <row r="169" spans="2:129" x14ac:dyDescent="0.25">
      <c r="B169">
        <f t="shared" ca="1" si="147"/>
        <v>960</v>
      </c>
      <c r="C169">
        <f t="shared" ca="1" si="148"/>
        <v>10</v>
      </c>
      <c r="D169">
        <f t="shared" ca="1" si="149"/>
        <v>0.23277785219849795</v>
      </c>
      <c r="F169" s="1">
        <f t="shared" ca="1" si="150"/>
        <v>9</v>
      </c>
      <c r="G169" s="1">
        <f t="shared" ca="1" si="151"/>
        <v>16</v>
      </c>
      <c r="H169" s="1">
        <f t="shared" ca="1" si="152"/>
        <v>14</v>
      </c>
      <c r="I169" s="1"/>
      <c r="J169" s="1">
        <f t="shared" ca="1" si="153"/>
        <v>13</v>
      </c>
      <c r="K169" s="1">
        <f t="shared" ca="1" si="154"/>
        <v>1.1221261882683948</v>
      </c>
      <c r="L169" s="1">
        <f t="shared" ca="1" si="155"/>
        <v>7</v>
      </c>
      <c r="M169" s="1"/>
      <c r="N169" s="1">
        <f t="shared" ca="1" si="156"/>
        <v>750</v>
      </c>
      <c r="O169" s="1">
        <f t="shared" ca="1" si="157"/>
        <v>9</v>
      </c>
      <c r="P169" s="1"/>
      <c r="Q169" s="1">
        <f t="shared" ca="1" si="158"/>
        <v>0.85564932428300899</v>
      </c>
      <c r="R169" s="1">
        <f t="shared" ca="1" si="159"/>
        <v>566</v>
      </c>
      <c r="S169" s="1"/>
      <c r="T169" s="1">
        <f t="shared" ca="1" si="160"/>
        <v>0.13035888832320827</v>
      </c>
      <c r="U169" s="1">
        <f t="shared" ca="1" si="161"/>
        <v>385</v>
      </c>
      <c r="V169" s="1">
        <f t="shared" ca="1" si="162"/>
        <v>18</v>
      </c>
      <c r="W169" s="1"/>
      <c r="X169" s="1">
        <f t="shared" ca="1" si="163"/>
        <v>8.0153202295476671</v>
      </c>
      <c r="Y169" s="1">
        <f t="shared" ca="1" si="164"/>
        <v>0.43136039815706928</v>
      </c>
      <c r="Z169" s="1">
        <f t="shared" ca="1" si="165"/>
        <v>239</v>
      </c>
      <c r="AB169" s="1">
        <f t="shared" ca="1" si="166"/>
        <v>0.94807998494618295</v>
      </c>
      <c r="AC169" s="1">
        <f t="shared" ca="1" si="167"/>
        <v>565</v>
      </c>
      <c r="AD169" s="1">
        <f t="shared" ca="1" si="168"/>
        <v>8.7009049350917078E-3</v>
      </c>
      <c r="AE169" s="1"/>
      <c r="AF169" s="1">
        <f t="shared" ca="1" si="169"/>
        <v>0.74430849004719779</v>
      </c>
      <c r="AG169" s="1">
        <f t="shared" ca="1" si="170"/>
        <v>598</v>
      </c>
      <c r="AH169" s="1">
        <f t="shared" ca="1" si="171"/>
        <v>5.9666936677109763E-4</v>
      </c>
      <c r="AJ169" s="1">
        <f t="shared" ca="1" si="172"/>
        <v>0.78863591654593435</v>
      </c>
      <c r="AK169" s="1">
        <f t="shared" ca="1" si="173"/>
        <v>1.2055829243764868E-3</v>
      </c>
      <c r="AL169" s="1"/>
      <c r="AM169" s="1">
        <f t="shared" ca="1" si="174"/>
        <v>4.9250373031798092E-2</v>
      </c>
      <c r="AN169" s="1">
        <f t="shared" ca="1" si="175"/>
        <v>28</v>
      </c>
      <c r="AO169" s="1">
        <f t="shared" ca="1" si="176"/>
        <v>14</v>
      </c>
      <c r="AQ169" s="1">
        <f t="shared" ca="1" si="177"/>
        <v>90</v>
      </c>
      <c r="AR169" s="1">
        <f t="shared" ca="1" si="178"/>
        <v>4</v>
      </c>
      <c r="AS169" s="1">
        <f t="shared" ca="1" si="179"/>
        <v>91</v>
      </c>
      <c r="AU169" s="1">
        <f t="shared" ca="1" si="180"/>
        <v>309</v>
      </c>
      <c r="AV169" s="1">
        <f t="shared" ca="1" si="181"/>
        <v>7</v>
      </c>
      <c r="AW169" s="1">
        <f t="shared" ca="1" si="182"/>
        <v>4.6567043862329294E-2</v>
      </c>
      <c r="AY169" s="1">
        <f t="shared" ca="1" si="183"/>
        <v>1.3189193947232223</v>
      </c>
      <c r="AZ169" s="1">
        <f t="shared" ca="1" si="184"/>
        <v>434</v>
      </c>
      <c r="BA169" s="1">
        <f t="shared" ca="1" si="185"/>
        <v>9.3830146445356734E-3</v>
      </c>
      <c r="BG169" s="1">
        <f t="shared" ca="1" si="186"/>
        <v>0.52851949149163324</v>
      </c>
      <c r="BH169" s="1">
        <f t="shared" ca="1" si="187"/>
        <v>0.8942324970520128</v>
      </c>
      <c r="BI169" s="1">
        <f t="shared" ca="1" si="188"/>
        <v>882</v>
      </c>
      <c r="BV169" s="1">
        <f t="shared" ca="1" si="189"/>
        <v>0.60809303792782166</v>
      </c>
      <c r="BW169" s="1">
        <f t="shared" ca="1" si="190"/>
        <v>784</v>
      </c>
      <c r="BX169" s="1">
        <f t="shared" ca="1" si="191"/>
        <v>9.1623743890351401E-3</v>
      </c>
      <c r="BY169" s="1">
        <f t="shared" ca="1" si="192"/>
        <v>9.7010546515234955E-2</v>
      </c>
      <c r="BZ169" s="1">
        <f t="shared" ca="1" si="193"/>
        <v>0.96860772749639379</v>
      </c>
      <c r="CB169" s="1">
        <f t="shared" ca="1" si="194"/>
        <v>416</v>
      </c>
      <c r="CC169" s="1">
        <f t="shared" ca="1" si="195"/>
        <v>11</v>
      </c>
      <c r="CD169" s="1">
        <f t="shared" ca="1" si="196"/>
        <v>7.9407822884688242E-2</v>
      </c>
      <c r="CE169" s="1">
        <f t="shared" ca="1" si="218"/>
        <v>0.7446547334218877</v>
      </c>
      <c r="CF169" s="1">
        <f t="shared" ca="1" si="218"/>
        <v>0.9657406664315904</v>
      </c>
      <c r="CH169" s="3">
        <f t="shared" ca="1" si="198"/>
        <v>0.63283978104187211</v>
      </c>
      <c r="CI169" s="3">
        <f t="shared" ca="1" si="199"/>
        <v>0.85842810953046256</v>
      </c>
      <c r="CJ169" s="3">
        <f t="shared" ca="1" si="200"/>
        <v>1753</v>
      </c>
      <c r="CK169" s="3">
        <f t="shared" ca="1" si="201"/>
        <v>2.7975260127630045E-3</v>
      </c>
      <c r="CL169" s="3">
        <f t="shared" ca="1" si="202"/>
        <v>1</v>
      </c>
      <c r="CM169" s="3"/>
      <c r="CN169" s="1">
        <f t="shared" ca="1" si="203"/>
        <v>12.632499307666532</v>
      </c>
      <c r="CO169" s="1">
        <f t="shared" ca="1" si="204"/>
        <v>0.38234909605445117</v>
      </c>
      <c r="CP169" s="1">
        <f t="shared" ca="1" si="205"/>
        <v>1</v>
      </c>
      <c r="CV169" s="1">
        <f t="shared" ca="1" si="206"/>
        <v>1.1908266306363882</v>
      </c>
      <c r="CW169" s="1">
        <f t="shared" ca="1" si="207"/>
        <v>1607</v>
      </c>
      <c r="CX169" s="1">
        <f t="shared" ca="1" si="208"/>
        <v>6.8414398565576941E-3</v>
      </c>
      <c r="DH169" s="1">
        <f t="shared" ca="1" si="209"/>
        <v>467</v>
      </c>
      <c r="DI169" s="1">
        <f t="shared" ca="1" si="210"/>
        <v>0.48257909611824951</v>
      </c>
      <c r="DJ169" s="1">
        <f t="shared" ca="1" si="211"/>
        <v>15</v>
      </c>
      <c r="DL169" s="1">
        <f t="shared" ca="1" si="212"/>
        <v>0.1438357106167199</v>
      </c>
      <c r="DM169" s="1">
        <f t="shared" ca="1" si="213"/>
        <v>232</v>
      </c>
      <c r="DN169" s="1">
        <f t="shared" ca="1" si="214"/>
        <v>10</v>
      </c>
      <c r="DW169" s="1">
        <f t="shared" ca="1" si="215"/>
        <v>473</v>
      </c>
      <c r="DX169" s="1">
        <f t="shared" ca="1" si="216"/>
        <v>5</v>
      </c>
      <c r="DY169" s="1">
        <f t="shared" ca="1" si="217"/>
        <v>10</v>
      </c>
    </row>
    <row r="170" spans="2:129" x14ac:dyDescent="0.25">
      <c r="B170">
        <f t="shared" ca="1" si="147"/>
        <v>296</v>
      </c>
      <c r="C170">
        <f t="shared" ca="1" si="148"/>
        <v>21</v>
      </c>
      <c r="D170">
        <f t="shared" ca="1" si="149"/>
        <v>3.4863688067738506E-2</v>
      </c>
      <c r="F170" s="1">
        <f t="shared" ca="1" si="150"/>
        <v>20</v>
      </c>
      <c r="G170" s="1">
        <f t="shared" ca="1" si="151"/>
        <v>16</v>
      </c>
      <c r="H170" s="1">
        <f t="shared" ca="1" si="152"/>
        <v>13</v>
      </c>
      <c r="I170" s="1"/>
      <c r="J170" s="1">
        <f t="shared" ca="1" si="153"/>
        <v>36</v>
      </c>
      <c r="K170" s="1">
        <f t="shared" ca="1" si="154"/>
        <v>2.8920590987143173</v>
      </c>
      <c r="L170" s="1">
        <f t="shared" ca="1" si="155"/>
        <v>33</v>
      </c>
      <c r="M170" s="1"/>
      <c r="N170" s="1">
        <f t="shared" ca="1" si="156"/>
        <v>93</v>
      </c>
      <c r="O170" s="1">
        <f t="shared" ca="1" si="157"/>
        <v>13</v>
      </c>
      <c r="P170" s="1"/>
      <c r="Q170" s="1">
        <f t="shared" ca="1" si="158"/>
        <v>4.3149101427702004</v>
      </c>
      <c r="R170" s="1">
        <f t="shared" ca="1" si="159"/>
        <v>678</v>
      </c>
      <c r="S170" s="1"/>
      <c r="T170" s="1">
        <f t="shared" ca="1" si="160"/>
        <v>3.7575969654855448E-2</v>
      </c>
      <c r="U170" s="1">
        <f t="shared" ca="1" si="161"/>
        <v>78</v>
      </c>
      <c r="V170" s="1">
        <f t="shared" ca="1" si="162"/>
        <v>28</v>
      </c>
      <c r="W170" s="1"/>
      <c r="X170" s="1">
        <f t="shared" ca="1" si="163"/>
        <v>7.1873155382023572</v>
      </c>
      <c r="Y170" s="1">
        <f t="shared" ca="1" si="164"/>
        <v>0.41846697091073115</v>
      </c>
      <c r="Z170" s="1">
        <f t="shared" ca="1" si="165"/>
        <v>776</v>
      </c>
      <c r="AB170" s="1">
        <f t="shared" ca="1" si="166"/>
        <v>0.32789766261399972</v>
      </c>
      <c r="AC170" s="1">
        <f t="shared" ca="1" si="167"/>
        <v>290</v>
      </c>
      <c r="AD170" s="1">
        <f t="shared" ca="1" si="168"/>
        <v>6.3854605773469523E-3</v>
      </c>
      <c r="AE170" s="1"/>
      <c r="AF170" s="1">
        <f t="shared" ca="1" si="169"/>
        <v>0.1451418487429427</v>
      </c>
      <c r="AG170" s="1">
        <f t="shared" ca="1" si="170"/>
        <v>998</v>
      </c>
      <c r="AH170" s="1">
        <f t="shared" ca="1" si="171"/>
        <v>4.757932908168205E-3</v>
      </c>
      <c r="AJ170" s="1">
        <f t="shared" ca="1" si="172"/>
        <v>0.30899723037507154</v>
      </c>
      <c r="AK170" s="1">
        <f t="shared" ca="1" si="173"/>
        <v>5.2428969308008716E-3</v>
      </c>
      <c r="AL170" s="1"/>
      <c r="AM170" s="1">
        <f t="shared" ca="1" si="174"/>
        <v>3.9414436685747692E-2</v>
      </c>
      <c r="AN170" s="1">
        <f t="shared" ca="1" si="175"/>
        <v>51</v>
      </c>
      <c r="AO170" s="1">
        <f t="shared" ca="1" si="176"/>
        <v>20</v>
      </c>
      <c r="AQ170" s="1">
        <f t="shared" ca="1" si="177"/>
        <v>21</v>
      </c>
      <c r="AR170" s="1">
        <f t="shared" ca="1" si="178"/>
        <v>4</v>
      </c>
      <c r="AS170" s="1">
        <f t="shared" ca="1" si="179"/>
        <v>7</v>
      </c>
      <c r="AU170" s="1">
        <f t="shared" ca="1" si="180"/>
        <v>199</v>
      </c>
      <c r="AV170" s="1">
        <f t="shared" ca="1" si="181"/>
        <v>3</v>
      </c>
      <c r="AW170" s="1">
        <f t="shared" ca="1" si="182"/>
        <v>6.6789065041571602E-2</v>
      </c>
      <c r="AY170" s="1">
        <f t="shared" ca="1" si="183"/>
        <v>1.9645684366544394</v>
      </c>
      <c r="AZ170" s="1">
        <f t="shared" ca="1" si="184"/>
        <v>167</v>
      </c>
      <c r="BA170" s="1">
        <f t="shared" ca="1" si="185"/>
        <v>3.0476687594840884E-3</v>
      </c>
      <c r="BG170" s="1">
        <f t="shared" ca="1" si="186"/>
        <v>3.9645685523133189E-2</v>
      </c>
      <c r="BH170" s="1">
        <f t="shared" ca="1" si="187"/>
        <v>0.18002795894846846</v>
      </c>
      <c r="BI170" s="1">
        <f t="shared" ca="1" si="188"/>
        <v>399</v>
      </c>
      <c r="BV170" s="1">
        <f t="shared" ca="1" si="189"/>
        <v>0.86768012702909425</v>
      </c>
      <c r="BW170" s="1">
        <f t="shared" ca="1" si="190"/>
        <v>566</v>
      </c>
      <c r="BX170" s="1">
        <f t="shared" ca="1" si="191"/>
        <v>9.9939688763520367E-3</v>
      </c>
      <c r="BY170" s="1">
        <f t="shared" ca="1" si="192"/>
        <v>6.1356768693717145E-2</v>
      </c>
      <c r="BZ170" s="1">
        <f t="shared" ca="1" si="193"/>
        <v>7.3256805671613967E-2</v>
      </c>
      <c r="CB170" s="1">
        <f t="shared" ca="1" si="194"/>
        <v>428</v>
      </c>
      <c r="CC170" s="1">
        <f t="shared" ca="1" si="195"/>
        <v>15</v>
      </c>
      <c r="CD170" s="1">
        <f t="shared" ca="1" si="196"/>
        <v>6.7944140403216918E-2</v>
      </c>
      <c r="CE170" s="1">
        <f t="shared" ca="1" si="218"/>
        <v>0.58910561231128422</v>
      </c>
      <c r="CF170" s="1">
        <f t="shared" ca="1" si="218"/>
        <v>0.74372582887155314</v>
      </c>
      <c r="CH170" s="3">
        <f t="shared" ca="1" si="198"/>
        <v>0.92320031172757033</v>
      </c>
      <c r="CI170" s="3">
        <f t="shared" ca="1" si="199"/>
        <v>0.91337991383340655</v>
      </c>
      <c r="CJ170" s="3">
        <f t="shared" ca="1" si="200"/>
        <v>1708</v>
      </c>
      <c r="CK170" s="3">
        <f t="shared" ca="1" si="201"/>
        <v>1.4540065326527523E-3</v>
      </c>
      <c r="CL170" s="3">
        <f t="shared" ca="1" si="202"/>
        <v>0</v>
      </c>
      <c r="CM170" s="3"/>
      <c r="CN170" s="1">
        <f t="shared" ca="1" si="203"/>
        <v>3.5861848750269396</v>
      </c>
      <c r="CO170" s="1">
        <f t="shared" ca="1" si="204"/>
        <v>0.11481737278953201</v>
      </c>
      <c r="CP170" s="1">
        <f t="shared" ca="1" si="205"/>
        <v>2</v>
      </c>
      <c r="CV170" s="1">
        <f t="shared" ca="1" si="206"/>
        <v>2.4446749823912053</v>
      </c>
      <c r="CW170" s="1">
        <f t="shared" ca="1" si="207"/>
        <v>121</v>
      </c>
      <c r="CX170" s="1">
        <f t="shared" ca="1" si="208"/>
        <v>1.826379500655749E-3</v>
      </c>
      <c r="DH170" s="1">
        <f t="shared" ca="1" si="209"/>
        <v>744</v>
      </c>
      <c r="DI170" s="1">
        <f t="shared" ca="1" si="210"/>
        <v>0.85933230029097885</v>
      </c>
      <c r="DJ170" s="1">
        <f t="shared" ca="1" si="211"/>
        <v>21</v>
      </c>
      <c r="DL170" s="1">
        <f t="shared" ca="1" si="212"/>
        <v>7.5380462181474844E-2</v>
      </c>
      <c r="DM170" s="1">
        <f t="shared" ca="1" si="213"/>
        <v>278</v>
      </c>
      <c r="DN170" s="1">
        <f t="shared" ca="1" si="214"/>
        <v>4</v>
      </c>
      <c r="DW170" s="1">
        <f t="shared" ca="1" si="215"/>
        <v>341</v>
      </c>
      <c r="DX170" s="1">
        <f t="shared" ca="1" si="216"/>
        <v>5</v>
      </c>
      <c r="DY170" s="1">
        <f t="shared" ca="1" si="217"/>
        <v>9</v>
      </c>
    </row>
    <row r="171" spans="2:129" x14ac:dyDescent="0.25">
      <c r="B171">
        <f t="shared" ca="1" si="147"/>
        <v>853</v>
      </c>
      <c r="C171">
        <f t="shared" ca="1" si="148"/>
        <v>47</v>
      </c>
      <c r="D171">
        <f t="shared" ca="1" si="149"/>
        <v>0.25012862320776497</v>
      </c>
      <c r="F171" s="1">
        <f t="shared" ca="1" si="150"/>
        <v>43</v>
      </c>
      <c r="G171" s="1">
        <f t="shared" ca="1" si="151"/>
        <v>18</v>
      </c>
      <c r="H171" s="1">
        <f t="shared" ca="1" si="152"/>
        <v>11</v>
      </c>
      <c r="I171" s="1"/>
      <c r="J171" s="1">
        <f t="shared" ca="1" si="153"/>
        <v>7</v>
      </c>
      <c r="K171" s="1">
        <f t="shared" ca="1" si="154"/>
        <v>2.8983695777617378</v>
      </c>
      <c r="L171" s="1">
        <f t="shared" ca="1" si="155"/>
        <v>8</v>
      </c>
      <c r="M171" s="1"/>
      <c r="N171" s="1">
        <f t="shared" ca="1" si="156"/>
        <v>838</v>
      </c>
      <c r="O171" s="1">
        <f t="shared" ca="1" si="157"/>
        <v>17</v>
      </c>
      <c r="P171" s="1"/>
      <c r="Q171" s="1">
        <f t="shared" ca="1" si="158"/>
        <v>4.0395484124208947</v>
      </c>
      <c r="R171" s="1">
        <f t="shared" ca="1" si="159"/>
        <v>638</v>
      </c>
      <c r="S171" s="1"/>
      <c r="T171" s="1">
        <f t="shared" ca="1" si="160"/>
        <v>0.15003259664352431</v>
      </c>
      <c r="U171" s="1">
        <f t="shared" ca="1" si="161"/>
        <v>428</v>
      </c>
      <c r="V171" s="1">
        <f t="shared" ca="1" si="162"/>
        <v>51</v>
      </c>
      <c r="W171" s="1"/>
      <c r="X171" s="1">
        <f t="shared" ca="1" si="163"/>
        <v>6.520920276583368</v>
      </c>
      <c r="Y171" s="1">
        <f t="shared" ca="1" si="164"/>
        <v>0.55002629954620819</v>
      </c>
      <c r="Z171" s="1">
        <f t="shared" ca="1" si="165"/>
        <v>1831</v>
      </c>
      <c r="AB171" s="1">
        <f t="shared" ca="1" si="166"/>
        <v>6.0590368172032387E-2</v>
      </c>
      <c r="AC171" s="1">
        <f t="shared" ca="1" si="167"/>
        <v>718</v>
      </c>
      <c r="AD171" s="1">
        <f t="shared" ca="1" si="168"/>
        <v>5.2190464651373433E-3</v>
      </c>
      <c r="AE171" s="1"/>
      <c r="AF171" s="1">
        <f t="shared" ca="1" si="169"/>
        <v>0.65386777375453864</v>
      </c>
      <c r="AG171" s="1">
        <f t="shared" ca="1" si="170"/>
        <v>876</v>
      </c>
      <c r="AH171" s="1">
        <f t="shared" ca="1" si="171"/>
        <v>6.8701974163206756E-3</v>
      </c>
      <c r="AJ171" s="1">
        <f t="shared" ca="1" si="172"/>
        <v>0.165093031780844</v>
      </c>
      <c r="AK171" s="1">
        <f t="shared" ca="1" si="173"/>
        <v>6.131712424365973E-4</v>
      </c>
      <c r="AL171" s="1"/>
      <c r="AM171" s="1">
        <f t="shared" ca="1" si="174"/>
        <v>0.10687737675706076</v>
      </c>
      <c r="AN171" s="1">
        <f t="shared" ca="1" si="175"/>
        <v>71</v>
      </c>
      <c r="AO171" s="1">
        <f t="shared" ca="1" si="176"/>
        <v>12</v>
      </c>
      <c r="AQ171" s="1">
        <f t="shared" ca="1" si="177"/>
        <v>76</v>
      </c>
      <c r="AR171" s="1">
        <f t="shared" ca="1" si="178"/>
        <v>3</v>
      </c>
      <c r="AS171" s="1">
        <f t="shared" ca="1" si="179"/>
        <v>12</v>
      </c>
      <c r="AU171" s="1">
        <f t="shared" ca="1" si="180"/>
        <v>187</v>
      </c>
      <c r="AV171" s="1">
        <f t="shared" ca="1" si="181"/>
        <v>7</v>
      </c>
      <c r="AW171" s="1">
        <f t="shared" ca="1" si="182"/>
        <v>6.6986737796748921E-2</v>
      </c>
      <c r="AY171" s="1">
        <f t="shared" ca="1" si="183"/>
        <v>1.7646642198854339</v>
      </c>
      <c r="AZ171" s="1">
        <f t="shared" ca="1" si="184"/>
        <v>440</v>
      </c>
      <c r="BA171" s="1">
        <f t="shared" ca="1" si="185"/>
        <v>8.3476188850681275E-3</v>
      </c>
      <c r="BG171" s="1">
        <f t="shared" ca="1" si="186"/>
        <v>0.86947818285554845</v>
      </c>
      <c r="BH171" s="1">
        <f t="shared" ca="1" si="187"/>
        <v>0.20117658110982273</v>
      </c>
      <c r="BI171" s="1">
        <f t="shared" ca="1" si="188"/>
        <v>122</v>
      </c>
      <c r="BV171" s="1">
        <f t="shared" ca="1" si="189"/>
        <v>0.3618700492631659</v>
      </c>
      <c r="BW171" s="1">
        <f t="shared" ca="1" si="190"/>
        <v>987</v>
      </c>
      <c r="BX171" s="1">
        <f t="shared" ca="1" si="191"/>
        <v>8.0419554785646705E-3</v>
      </c>
      <c r="BY171" s="1">
        <f t="shared" ca="1" si="192"/>
        <v>4.4831779495991098E-2</v>
      </c>
      <c r="BZ171" s="1">
        <f t="shared" ca="1" si="193"/>
        <v>0.99922393958973899</v>
      </c>
      <c r="CB171" s="1">
        <f t="shared" ca="1" si="194"/>
        <v>207</v>
      </c>
      <c r="CC171" s="1">
        <f t="shared" ca="1" si="195"/>
        <v>14</v>
      </c>
      <c r="CD171" s="1">
        <f t="shared" ca="1" si="196"/>
        <v>0.26825327814871169</v>
      </c>
      <c r="CE171" s="1">
        <f t="shared" ca="1" si="218"/>
        <v>0.62984960462709216</v>
      </c>
      <c r="CF171" s="1">
        <f t="shared" ca="1" si="218"/>
        <v>0.85586870629856193</v>
      </c>
      <c r="CH171" s="3">
        <f t="shared" ca="1" si="198"/>
        <v>0.83285044331668889</v>
      </c>
      <c r="CI171" s="3">
        <f t="shared" ca="1" si="199"/>
        <v>0.49088783851819306</v>
      </c>
      <c r="CJ171" s="3">
        <f t="shared" ca="1" si="200"/>
        <v>830</v>
      </c>
      <c r="CK171" s="3">
        <f t="shared" ca="1" si="201"/>
        <v>2.5582587179158677E-3</v>
      </c>
      <c r="CL171" s="3">
        <f t="shared" ca="1" si="202"/>
        <v>1</v>
      </c>
      <c r="CM171" s="3"/>
      <c r="CN171" s="1">
        <f t="shared" ca="1" si="203"/>
        <v>18.517208244368952</v>
      </c>
      <c r="CO171" s="1">
        <f t="shared" ca="1" si="204"/>
        <v>0.24535996533774226</v>
      </c>
      <c r="CP171" s="1">
        <f t="shared" ca="1" si="205"/>
        <v>4</v>
      </c>
      <c r="CV171" s="1">
        <f t="shared" ca="1" si="206"/>
        <v>8.0155998941598714</v>
      </c>
      <c r="CW171" s="1">
        <f t="shared" ca="1" si="207"/>
        <v>623</v>
      </c>
      <c r="CX171" s="1">
        <f t="shared" ca="1" si="208"/>
        <v>4.5101547254487442E-3</v>
      </c>
      <c r="DH171" s="1">
        <f t="shared" ca="1" si="209"/>
        <v>761</v>
      </c>
      <c r="DI171" s="1">
        <f t="shared" ca="1" si="210"/>
        <v>0.69504719059279441</v>
      </c>
      <c r="DJ171" s="1">
        <f t="shared" ca="1" si="211"/>
        <v>6</v>
      </c>
      <c r="DL171" s="1">
        <f t="shared" ca="1" si="212"/>
        <v>6.5467860724414392E-2</v>
      </c>
      <c r="DM171" s="1">
        <f t="shared" ca="1" si="213"/>
        <v>141</v>
      </c>
      <c r="DN171" s="1">
        <f t="shared" ca="1" si="214"/>
        <v>8</v>
      </c>
      <c r="DW171" s="1">
        <f t="shared" ca="1" si="215"/>
        <v>188</v>
      </c>
      <c r="DX171" s="1">
        <f t="shared" ca="1" si="216"/>
        <v>14</v>
      </c>
      <c r="DY171" s="1">
        <f t="shared" ca="1" si="217"/>
        <v>13</v>
      </c>
    </row>
    <row r="172" spans="2:129" x14ac:dyDescent="0.25">
      <c r="B172">
        <f t="shared" ca="1" si="147"/>
        <v>825</v>
      </c>
      <c r="C172">
        <f t="shared" ca="1" si="148"/>
        <v>47</v>
      </c>
      <c r="D172">
        <f t="shared" ca="1" si="149"/>
        <v>0.21457039183818366</v>
      </c>
      <c r="F172" s="1">
        <f t="shared" ca="1" si="150"/>
        <v>43</v>
      </c>
      <c r="G172" s="1">
        <f t="shared" ca="1" si="151"/>
        <v>14</v>
      </c>
      <c r="H172" s="1">
        <f t="shared" ca="1" si="152"/>
        <v>8</v>
      </c>
      <c r="I172" s="1"/>
      <c r="J172" s="1">
        <f t="shared" ca="1" si="153"/>
        <v>17</v>
      </c>
      <c r="K172" s="1">
        <f t="shared" ca="1" si="154"/>
        <v>1.4594184814495339</v>
      </c>
      <c r="L172" s="1">
        <f t="shared" ca="1" si="155"/>
        <v>25</v>
      </c>
      <c r="M172" s="1"/>
      <c r="N172" s="1">
        <f t="shared" ca="1" si="156"/>
        <v>855</v>
      </c>
      <c r="O172" s="1">
        <f t="shared" ca="1" si="157"/>
        <v>45</v>
      </c>
      <c r="P172" s="1"/>
      <c r="Q172" s="1">
        <f t="shared" ca="1" si="158"/>
        <v>4.5202588509834376</v>
      </c>
      <c r="R172" s="1">
        <f t="shared" ca="1" si="159"/>
        <v>361</v>
      </c>
      <c r="S172" s="1"/>
      <c r="T172" s="1">
        <f t="shared" ca="1" si="160"/>
        <v>8.8194702099905986E-2</v>
      </c>
      <c r="U172" s="1">
        <f t="shared" ca="1" si="161"/>
        <v>325</v>
      </c>
      <c r="V172" s="1">
        <f t="shared" ca="1" si="162"/>
        <v>2</v>
      </c>
      <c r="W172" s="1"/>
      <c r="X172" s="1">
        <f t="shared" ca="1" si="163"/>
        <v>5.166992046060038</v>
      </c>
      <c r="Y172" s="1">
        <f t="shared" ca="1" si="164"/>
        <v>0.21711862174569443</v>
      </c>
      <c r="Z172" s="1">
        <f t="shared" ca="1" si="165"/>
        <v>813</v>
      </c>
      <c r="AB172" s="1">
        <f t="shared" ca="1" si="166"/>
        <v>0.94766741880660721</v>
      </c>
      <c r="AC172" s="1">
        <f t="shared" ca="1" si="167"/>
        <v>913</v>
      </c>
      <c r="AD172" s="1">
        <f t="shared" ca="1" si="168"/>
        <v>3.186001682347098E-3</v>
      </c>
      <c r="AE172" s="1"/>
      <c r="AF172" s="1">
        <f t="shared" ca="1" si="169"/>
        <v>0.24443247991713257</v>
      </c>
      <c r="AG172" s="1">
        <f t="shared" ca="1" si="170"/>
        <v>102</v>
      </c>
      <c r="AH172" s="1">
        <f t="shared" ca="1" si="171"/>
        <v>7.6575804618930262E-3</v>
      </c>
      <c r="AJ172" s="1">
        <f t="shared" ca="1" si="172"/>
        <v>0.60196591360167351</v>
      </c>
      <c r="AK172" s="1">
        <f t="shared" ca="1" si="173"/>
        <v>5.3956326614654016E-3</v>
      </c>
      <c r="AL172" s="1"/>
      <c r="AM172" s="1">
        <f t="shared" ca="1" si="174"/>
        <v>9.7504723342633562E-3</v>
      </c>
      <c r="AN172" s="1">
        <f t="shared" ca="1" si="175"/>
        <v>61</v>
      </c>
      <c r="AO172" s="1">
        <f t="shared" ca="1" si="176"/>
        <v>19</v>
      </c>
      <c r="AQ172" s="1">
        <f t="shared" ca="1" si="177"/>
        <v>76</v>
      </c>
      <c r="AR172" s="1">
        <f t="shared" ca="1" si="178"/>
        <v>7</v>
      </c>
      <c r="AS172" s="1">
        <f t="shared" ca="1" si="179"/>
        <v>5</v>
      </c>
      <c r="AU172" s="1">
        <f t="shared" ca="1" si="180"/>
        <v>263</v>
      </c>
      <c r="AV172" s="1">
        <f t="shared" ca="1" si="181"/>
        <v>7</v>
      </c>
      <c r="AW172" s="1">
        <f t="shared" ca="1" si="182"/>
        <v>1.1652401359292235E-2</v>
      </c>
      <c r="AY172" s="1">
        <f t="shared" ca="1" si="183"/>
        <v>1.5690185625837674</v>
      </c>
      <c r="AZ172" s="1">
        <f t="shared" ca="1" si="184"/>
        <v>57</v>
      </c>
      <c r="BA172" s="1">
        <f t="shared" ca="1" si="185"/>
        <v>3.4443385901640968E-3</v>
      </c>
      <c r="BG172" s="1">
        <f t="shared" ca="1" si="186"/>
        <v>0.17415187042092076</v>
      </c>
      <c r="BH172" s="1">
        <f t="shared" ca="1" si="187"/>
        <v>0.97250392644754413</v>
      </c>
      <c r="BI172" s="1">
        <f t="shared" ca="1" si="188"/>
        <v>596</v>
      </c>
      <c r="BV172" s="1">
        <f t="shared" ca="1" si="189"/>
        <v>0.46904126326478335</v>
      </c>
      <c r="BW172" s="1">
        <f t="shared" ca="1" si="190"/>
        <v>317</v>
      </c>
      <c r="BX172" s="1">
        <f t="shared" ca="1" si="191"/>
        <v>9.0997537588123345E-3</v>
      </c>
      <c r="BY172" s="1">
        <f t="shared" ca="1" si="192"/>
        <v>5.9906756057371037E-2</v>
      </c>
      <c r="BZ172" s="1">
        <f t="shared" ca="1" si="193"/>
        <v>0.80753993120111778</v>
      </c>
      <c r="CB172" s="1">
        <f t="shared" ca="1" si="194"/>
        <v>112</v>
      </c>
      <c r="CC172" s="1">
        <f t="shared" ca="1" si="195"/>
        <v>14</v>
      </c>
      <c r="CD172" s="1">
        <f t="shared" ca="1" si="196"/>
        <v>1.4927833892260597E-2</v>
      </c>
      <c r="CE172" s="1">
        <f t="shared" ca="1" si="218"/>
        <v>0.89511190450639933</v>
      </c>
      <c r="CF172" s="1">
        <f t="shared" ca="1" si="218"/>
        <v>0.64760745004161457</v>
      </c>
      <c r="CH172" s="3">
        <f t="shared" ca="1" si="198"/>
        <v>0.30158811130345825</v>
      </c>
      <c r="CI172" s="3">
        <f t="shared" ca="1" si="199"/>
        <v>0.50180944851124076</v>
      </c>
      <c r="CJ172" s="3">
        <f t="shared" ca="1" si="200"/>
        <v>1045</v>
      </c>
      <c r="CK172" s="3">
        <f t="shared" ca="1" si="201"/>
        <v>7.2275601062596834E-3</v>
      </c>
      <c r="CL172" s="3">
        <f t="shared" ca="1" si="202"/>
        <v>1</v>
      </c>
      <c r="CM172" s="3"/>
      <c r="CN172" s="1">
        <f t="shared" ca="1" si="203"/>
        <v>4.343322675664214</v>
      </c>
      <c r="CO172" s="1">
        <f t="shared" ca="1" si="204"/>
        <v>0.34522942539445056</v>
      </c>
      <c r="CP172" s="1">
        <f t="shared" ca="1" si="205"/>
        <v>2</v>
      </c>
      <c r="CV172" s="1">
        <f t="shared" ca="1" si="206"/>
        <v>4.6700460447918459</v>
      </c>
      <c r="CW172" s="1">
        <f t="shared" ca="1" si="207"/>
        <v>1260</v>
      </c>
      <c r="CX172" s="1">
        <f t="shared" ca="1" si="208"/>
        <v>6.9799604766807967E-3</v>
      </c>
      <c r="DH172" s="1">
        <f t="shared" ca="1" si="209"/>
        <v>572</v>
      </c>
      <c r="DI172" s="1">
        <f t="shared" ca="1" si="210"/>
        <v>0.2768590758046573</v>
      </c>
      <c r="DJ172" s="1">
        <f t="shared" ca="1" si="211"/>
        <v>30</v>
      </c>
      <c r="DL172" s="1">
        <f t="shared" ca="1" si="212"/>
        <v>7.9367354682679234E-2</v>
      </c>
      <c r="DM172" s="1">
        <f t="shared" ca="1" si="213"/>
        <v>189</v>
      </c>
      <c r="DN172" s="1">
        <f t="shared" ca="1" si="214"/>
        <v>1</v>
      </c>
      <c r="DW172" s="1">
        <f t="shared" ca="1" si="215"/>
        <v>79</v>
      </c>
      <c r="DX172" s="1">
        <f t="shared" ca="1" si="216"/>
        <v>9</v>
      </c>
      <c r="DY172" s="1">
        <f t="shared" ca="1" si="217"/>
        <v>6</v>
      </c>
    </row>
    <row r="173" spans="2:129" x14ac:dyDescent="0.25">
      <c r="B173">
        <f t="shared" ca="1" si="147"/>
        <v>338</v>
      </c>
      <c r="C173">
        <f t="shared" ca="1" si="148"/>
        <v>47</v>
      </c>
      <c r="D173">
        <f t="shared" ca="1" si="149"/>
        <v>0.22233988604883759</v>
      </c>
      <c r="F173" s="1">
        <f t="shared" ca="1" si="150"/>
        <v>42</v>
      </c>
      <c r="G173" s="1">
        <f t="shared" ca="1" si="151"/>
        <v>10</v>
      </c>
      <c r="H173" s="1">
        <f t="shared" ca="1" si="152"/>
        <v>1</v>
      </c>
      <c r="I173" s="1"/>
      <c r="J173" s="1">
        <f t="shared" ca="1" si="153"/>
        <v>33</v>
      </c>
      <c r="K173" s="1">
        <f t="shared" ca="1" si="154"/>
        <v>1.6890158280925422</v>
      </c>
      <c r="L173" s="1">
        <f t="shared" ca="1" si="155"/>
        <v>2</v>
      </c>
      <c r="M173" s="1"/>
      <c r="N173" s="1">
        <f t="shared" ca="1" si="156"/>
        <v>789</v>
      </c>
      <c r="O173" s="1">
        <f t="shared" ca="1" si="157"/>
        <v>34</v>
      </c>
      <c r="P173" s="1"/>
      <c r="Q173" s="1">
        <f t="shared" ca="1" si="158"/>
        <v>0.39104673015675778</v>
      </c>
      <c r="R173" s="1">
        <f t="shared" ca="1" si="159"/>
        <v>747</v>
      </c>
      <c r="S173" s="1"/>
      <c r="T173" s="1">
        <f t="shared" ca="1" si="160"/>
        <v>0.15684448500154641</v>
      </c>
      <c r="U173" s="1">
        <f t="shared" ca="1" si="161"/>
        <v>53</v>
      </c>
      <c r="V173" s="1">
        <f t="shared" ca="1" si="162"/>
        <v>21</v>
      </c>
      <c r="W173" s="1"/>
      <c r="X173" s="1">
        <f t="shared" ca="1" si="163"/>
        <v>7.1430445640533744</v>
      </c>
      <c r="Y173" s="1">
        <f t="shared" ca="1" si="164"/>
        <v>0.51842308813915705</v>
      </c>
      <c r="Z173" s="1">
        <f t="shared" ca="1" si="165"/>
        <v>1482</v>
      </c>
      <c r="AB173" s="1">
        <f t="shared" ca="1" si="166"/>
        <v>0.81739068318748997</v>
      </c>
      <c r="AC173" s="1">
        <f t="shared" ca="1" si="167"/>
        <v>794</v>
      </c>
      <c r="AD173" s="1">
        <f t="shared" ca="1" si="168"/>
        <v>8.1049535588073943E-3</v>
      </c>
      <c r="AE173" s="1"/>
      <c r="AF173" s="1">
        <f t="shared" ca="1" si="169"/>
        <v>0.39973543169806414</v>
      </c>
      <c r="AG173" s="1">
        <f t="shared" ca="1" si="170"/>
        <v>227</v>
      </c>
      <c r="AH173" s="1">
        <f t="shared" ca="1" si="171"/>
        <v>8.5758214125739186E-3</v>
      </c>
      <c r="AJ173" s="1">
        <f t="shared" ca="1" si="172"/>
        <v>0.40818485560708462</v>
      </c>
      <c r="AK173" s="1">
        <f t="shared" ca="1" si="173"/>
        <v>2.0514232520384614E-3</v>
      </c>
      <c r="AL173" s="1"/>
      <c r="AM173" s="1">
        <f t="shared" ca="1" si="174"/>
        <v>8.4559857385665294E-2</v>
      </c>
      <c r="AN173" s="1">
        <f t="shared" ca="1" si="175"/>
        <v>25</v>
      </c>
      <c r="AO173" s="1">
        <f t="shared" ca="1" si="176"/>
        <v>13</v>
      </c>
      <c r="AQ173" s="1">
        <f t="shared" ca="1" si="177"/>
        <v>148</v>
      </c>
      <c r="AR173" s="1">
        <f t="shared" ca="1" si="178"/>
        <v>5</v>
      </c>
      <c r="AS173" s="1">
        <f t="shared" ca="1" si="179"/>
        <v>23</v>
      </c>
      <c r="AU173" s="1">
        <f t="shared" ca="1" si="180"/>
        <v>376</v>
      </c>
      <c r="AV173" s="1">
        <f t="shared" ca="1" si="181"/>
        <v>2</v>
      </c>
      <c r="AW173" s="1">
        <f t="shared" ca="1" si="182"/>
        <v>0.12466036144051001</v>
      </c>
      <c r="AY173" s="1">
        <f t="shared" ca="1" si="183"/>
        <v>1.2651861483956379</v>
      </c>
      <c r="AZ173" s="1">
        <f t="shared" ca="1" si="184"/>
        <v>100</v>
      </c>
      <c r="BA173" s="1">
        <f t="shared" ca="1" si="185"/>
        <v>1.4025336344385116E-3</v>
      </c>
      <c r="BG173" s="1">
        <f t="shared" ca="1" si="186"/>
        <v>0.78075329360191947</v>
      </c>
      <c r="BH173" s="1">
        <f t="shared" ca="1" si="187"/>
        <v>0.79396268356993227</v>
      </c>
      <c r="BI173" s="1">
        <f t="shared" ca="1" si="188"/>
        <v>870</v>
      </c>
      <c r="BV173" s="1">
        <f t="shared" ca="1" si="189"/>
        <v>0.83465952022223999</v>
      </c>
      <c r="BW173" s="1">
        <f t="shared" ca="1" si="190"/>
        <v>343</v>
      </c>
      <c r="BX173" s="1">
        <f t="shared" ca="1" si="191"/>
        <v>6.6949413624271415E-3</v>
      </c>
      <c r="BY173" s="1">
        <f t="shared" ca="1" si="192"/>
        <v>1.6289981491531526E-2</v>
      </c>
      <c r="BZ173" s="1">
        <f t="shared" ca="1" si="193"/>
        <v>0.74182468440470339</v>
      </c>
      <c r="CB173" s="1">
        <f t="shared" ca="1" si="194"/>
        <v>189</v>
      </c>
      <c r="CC173" s="1">
        <f t="shared" ca="1" si="195"/>
        <v>3</v>
      </c>
      <c r="CD173" s="1">
        <f t="shared" ca="1" si="196"/>
        <v>0.14639819017263106</v>
      </c>
      <c r="CE173" s="1">
        <f t="shared" ca="1" si="218"/>
        <v>0.98094192904036404</v>
      </c>
      <c r="CF173" s="1">
        <f t="shared" ca="1" si="218"/>
        <v>0.98275688661421667</v>
      </c>
      <c r="CH173" s="3">
        <f t="shared" ca="1" si="198"/>
        <v>0.69494172928137077</v>
      </c>
      <c r="CI173" s="3">
        <f t="shared" ca="1" si="199"/>
        <v>0.14144825203748018</v>
      </c>
      <c r="CJ173" s="3">
        <f t="shared" ca="1" si="200"/>
        <v>327</v>
      </c>
      <c r="CK173" s="3">
        <f t="shared" ca="1" si="201"/>
        <v>2.3585232961200165E-3</v>
      </c>
      <c r="CL173" s="3">
        <f t="shared" ca="1" si="202"/>
        <v>1</v>
      </c>
      <c r="CM173" s="3"/>
      <c r="CN173" s="1">
        <f t="shared" ca="1" si="203"/>
        <v>8.3477243196137785</v>
      </c>
      <c r="CO173" s="1">
        <f t="shared" ca="1" si="204"/>
        <v>0.26623983821999792</v>
      </c>
      <c r="CP173" s="1">
        <f t="shared" ca="1" si="205"/>
        <v>3</v>
      </c>
      <c r="CV173" s="1">
        <f t="shared" ca="1" si="206"/>
        <v>6.0834125114836963</v>
      </c>
      <c r="CW173" s="1">
        <f t="shared" ca="1" si="207"/>
        <v>1867</v>
      </c>
      <c r="CX173" s="1">
        <f t="shared" ca="1" si="208"/>
        <v>5.1412601885073223E-4</v>
      </c>
      <c r="DH173" s="1">
        <f t="shared" ca="1" si="209"/>
        <v>793</v>
      </c>
      <c r="DI173" s="1">
        <f t="shared" ca="1" si="210"/>
        <v>0.94039796315797108</v>
      </c>
      <c r="DJ173" s="1">
        <f t="shared" ca="1" si="211"/>
        <v>27</v>
      </c>
      <c r="DL173" s="1">
        <f t="shared" ca="1" si="212"/>
        <v>2.8350994284174764E-2</v>
      </c>
      <c r="DM173" s="1">
        <f t="shared" ca="1" si="213"/>
        <v>258</v>
      </c>
      <c r="DN173" s="1">
        <f t="shared" ca="1" si="214"/>
        <v>3</v>
      </c>
      <c r="DW173" s="1">
        <f t="shared" ca="1" si="215"/>
        <v>229</v>
      </c>
      <c r="DX173" s="1">
        <f t="shared" ca="1" si="216"/>
        <v>16</v>
      </c>
      <c r="DY173" s="1">
        <f t="shared" ca="1" si="217"/>
        <v>3</v>
      </c>
    </row>
    <row r="174" spans="2:129" x14ac:dyDescent="0.25">
      <c r="B174">
        <f t="shared" ca="1" si="147"/>
        <v>343</v>
      </c>
      <c r="C174">
        <f t="shared" ca="1" si="148"/>
        <v>32</v>
      </c>
      <c r="D174">
        <f t="shared" ca="1" si="149"/>
        <v>0.16248746022877641</v>
      </c>
      <c r="F174" s="1">
        <f t="shared" ca="1" si="150"/>
        <v>4</v>
      </c>
      <c r="G174" s="1">
        <f t="shared" ca="1" si="151"/>
        <v>2</v>
      </c>
      <c r="H174" s="1">
        <f t="shared" ca="1" si="152"/>
        <v>9</v>
      </c>
      <c r="I174" s="1"/>
      <c r="J174" s="1">
        <f t="shared" ca="1" si="153"/>
        <v>20</v>
      </c>
      <c r="K174" s="1">
        <f t="shared" ca="1" si="154"/>
        <v>2.8541975908414936</v>
      </c>
      <c r="L174" s="1">
        <f t="shared" ca="1" si="155"/>
        <v>29</v>
      </c>
      <c r="M174" s="1"/>
      <c r="N174" s="1">
        <f t="shared" ca="1" si="156"/>
        <v>411</v>
      </c>
      <c r="O174" s="1">
        <f t="shared" ca="1" si="157"/>
        <v>44</v>
      </c>
      <c r="P174" s="1"/>
      <c r="Q174" s="1">
        <f t="shared" ca="1" si="158"/>
        <v>0.63067215121808617</v>
      </c>
      <c r="R174" s="1">
        <f t="shared" ca="1" si="159"/>
        <v>1026</v>
      </c>
      <c r="S174" s="1"/>
      <c r="T174" s="1">
        <f t="shared" ca="1" si="160"/>
        <v>0.13637280280415082</v>
      </c>
      <c r="U174" s="1">
        <f t="shared" ca="1" si="161"/>
        <v>225</v>
      </c>
      <c r="V174" s="1">
        <f t="shared" ca="1" si="162"/>
        <v>14</v>
      </c>
      <c r="W174" s="1"/>
      <c r="X174" s="1">
        <f t="shared" ca="1" si="163"/>
        <v>3.323108897937896</v>
      </c>
      <c r="Y174" s="1">
        <f t="shared" ca="1" si="164"/>
        <v>0.45283778107156186</v>
      </c>
      <c r="Z174" s="1">
        <f t="shared" ca="1" si="165"/>
        <v>1940</v>
      </c>
      <c r="AB174" s="1">
        <f t="shared" ca="1" si="166"/>
        <v>8.7920700178301545E-2</v>
      </c>
      <c r="AC174" s="1">
        <f t="shared" ca="1" si="167"/>
        <v>309</v>
      </c>
      <c r="AD174" s="1">
        <f t="shared" ca="1" si="168"/>
        <v>3.2162343401342577E-3</v>
      </c>
      <c r="AE174" s="1"/>
      <c r="AF174" s="1">
        <f t="shared" ca="1" si="169"/>
        <v>0.20009318941006393</v>
      </c>
      <c r="AG174" s="1">
        <f t="shared" ca="1" si="170"/>
        <v>145</v>
      </c>
      <c r="AH174" s="1">
        <f t="shared" ca="1" si="171"/>
        <v>7.6171718350040839E-3</v>
      </c>
      <c r="AJ174" s="1">
        <f t="shared" ca="1" si="172"/>
        <v>0.81681271052124105</v>
      </c>
      <c r="AK174" s="1">
        <f t="shared" ca="1" si="173"/>
        <v>4.7363026833138356E-3</v>
      </c>
      <c r="AL174" s="1"/>
      <c r="AM174" s="1">
        <f t="shared" ca="1" si="174"/>
        <v>0.1840246514058913</v>
      </c>
      <c r="AN174" s="1">
        <f t="shared" ca="1" si="175"/>
        <v>48</v>
      </c>
      <c r="AO174" s="1">
        <f t="shared" ca="1" si="176"/>
        <v>4</v>
      </c>
      <c r="AQ174" s="1">
        <f t="shared" ca="1" si="177"/>
        <v>54</v>
      </c>
      <c r="AR174" s="1">
        <f t="shared" ca="1" si="178"/>
        <v>6</v>
      </c>
      <c r="AS174" s="1">
        <f t="shared" ca="1" si="179"/>
        <v>85</v>
      </c>
      <c r="AU174" s="1">
        <f t="shared" ca="1" si="180"/>
        <v>175</v>
      </c>
      <c r="AV174" s="1">
        <f t="shared" ca="1" si="181"/>
        <v>3</v>
      </c>
      <c r="AW174" s="1">
        <f t="shared" ca="1" si="182"/>
        <v>0.14838721496847807</v>
      </c>
      <c r="AY174" s="1">
        <f t="shared" ca="1" si="183"/>
        <v>1.8543971116563027</v>
      </c>
      <c r="AZ174" s="1">
        <f t="shared" ca="1" si="184"/>
        <v>50</v>
      </c>
      <c r="BA174" s="1">
        <f t="shared" ca="1" si="185"/>
        <v>1.5234554458902173E-3</v>
      </c>
      <c r="BG174" s="1">
        <f t="shared" ca="1" si="186"/>
        <v>2.9512701631042595E-3</v>
      </c>
      <c r="BH174" s="1">
        <f t="shared" ca="1" si="187"/>
        <v>0.76858864258196069</v>
      </c>
      <c r="BI174" s="1">
        <f t="shared" ca="1" si="188"/>
        <v>543</v>
      </c>
      <c r="BV174" s="1">
        <f t="shared" ca="1" si="189"/>
        <v>0.36982056982762657</v>
      </c>
      <c r="BW174" s="1">
        <f t="shared" ca="1" si="190"/>
        <v>102</v>
      </c>
      <c r="BX174" s="1">
        <f t="shared" ca="1" si="191"/>
        <v>2.135502716019995E-4</v>
      </c>
      <c r="BY174" s="1">
        <f t="shared" ca="1" si="192"/>
        <v>3.6976864746884608E-2</v>
      </c>
      <c r="BZ174" s="1">
        <f t="shared" ca="1" si="193"/>
        <v>0.75111136184916882</v>
      </c>
      <c r="CB174" s="1">
        <f t="shared" ca="1" si="194"/>
        <v>189</v>
      </c>
      <c r="CC174" s="1">
        <f t="shared" ca="1" si="195"/>
        <v>7</v>
      </c>
      <c r="CD174" s="1">
        <f t="shared" ca="1" si="196"/>
        <v>9.6452996102270899E-2</v>
      </c>
      <c r="CE174" s="1">
        <f t="shared" ca="1" si="218"/>
        <v>0.88838476841051484</v>
      </c>
      <c r="CF174" s="1">
        <f t="shared" ca="1" si="218"/>
        <v>0.80856385315174639</v>
      </c>
      <c r="CH174" s="3">
        <f t="shared" ca="1" si="198"/>
        <v>0.91763243521167936</v>
      </c>
      <c r="CI174" s="3">
        <f t="shared" ca="1" si="199"/>
        <v>5.5129856667686841E-2</v>
      </c>
      <c r="CJ174" s="3">
        <f t="shared" ca="1" si="200"/>
        <v>997</v>
      </c>
      <c r="CK174" s="3">
        <f t="shared" ca="1" si="201"/>
        <v>7.5700836288382953E-4</v>
      </c>
      <c r="CL174" s="3">
        <f t="shared" ca="1" si="202"/>
        <v>1</v>
      </c>
      <c r="CM174" s="3"/>
      <c r="CN174" s="1">
        <f t="shared" ca="1" si="203"/>
        <v>13.08144410583321</v>
      </c>
      <c r="CO174" s="1">
        <f t="shared" ca="1" si="204"/>
        <v>0.39169766164172615</v>
      </c>
      <c r="CP174" s="1">
        <f t="shared" ca="1" si="205"/>
        <v>4</v>
      </c>
      <c r="CV174" s="1">
        <f t="shared" ca="1" si="206"/>
        <v>7.5486453062848531</v>
      </c>
      <c r="CW174" s="1">
        <f t="shared" ca="1" si="207"/>
        <v>1616</v>
      </c>
      <c r="CX174" s="1">
        <f t="shared" ca="1" si="208"/>
        <v>4.5140935036666425E-3</v>
      </c>
      <c r="DH174" s="1">
        <f t="shared" ca="1" si="209"/>
        <v>239</v>
      </c>
      <c r="DI174" s="1">
        <f t="shared" ca="1" si="210"/>
        <v>0.87236825356405556</v>
      </c>
      <c r="DJ174" s="1">
        <f t="shared" ca="1" si="211"/>
        <v>20</v>
      </c>
      <c r="DL174" s="1">
        <f t="shared" ca="1" si="212"/>
        <v>0.11518514123695939</v>
      </c>
      <c r="DM174" s="1">
        <f t="shared" ca="1" si="213"/>
        <v>288</v>
      </c>
      <c r="DN174" s="1">
        <f t="shared" ca="1" si="214"/>
        <v>2</v>
      </c>
      <c r="DW174" s="1">
        <f t="shared" ca="1" si="215"/>
        <v>287</v>
      </c>
      <c r="DX174" s="1">
        <f t="shared" ca="1" si="216"/>
        <v>7</v>
      </c>
      <c r="DY174" s="1">
        <f t="shared" ca="1" si="217"/>
        <v>20</v>
      </c>
    </row>
    <row r="175" spans="2:129" x14ac:dyDescent="0.25">
      <c r="B175">
        <f t="shared" ca="1" si="147"/>
        <v>378</v>
      </c>
      <c r="C175">
        <f t="shared" ca="1" si="148"/>
        <v>45</v>
      </c>
      <c r="D175">
        <f t="shared" ca="1" si="149"/>
        <v>0.20720201484190925</v>
      </c>
      <c r="F175" s="1">
        <f t="shared" ca="1" si="150"/>
        <v>9</v>
      </c>
      <c r="G175" s="1">
        <f t="shared" ca="1" si="151"/>
        <v>21</v>
      </c>
      <c r="H175" s="1">
        <f t="shared" ca="1" si="152"/>
        <v>3</v>
      </c>
      <c r="I175" s="1"/>
      <c r="J175" s="1">
        <f t="shared" ca="1" si="153"/>
        <v>9</v>
      </c>
      <c r="K175" s="1">
        <f t="shared" ca="1" si="154"/>
        <v>2.7455159539919132</v>
      </c>
      <c r="L175" s="1">
        <f t="shared" ca="1" si="155"/>
        <v>11</v>
      </c>
      <c r="M175" s="1"/>
      <c r="N175" s="1">
        <f t="shared" ca="1" si="156"/>
        <v>831</v>
      </c>
      <c r="O175" s="1">
        <f t="shared" ca="1" si="157"/>
        <v>35</v>
      </c>
      <c r="P175" s="1"/>
      <c r="Q175" s="1">
        <f t="shared" ca="1" si="158"/>
        <v>3.7953668297731817</v>
      </c>
      <c r="R175" s="1">
        <f t="shared" ca="1" si="159"/>
        <v>1187</v>
      </c>
      <c r="S175" s="1"/>
      <c r="T175" s="1">
        <f t="shared" ca="1" si="160"/>
        <v>0.19087931657272789</v>
      </c>
      <c r="U175" s="1">
        <f t="shared" ca="1" si="161"/>
        <v>391</v>
      </c>
      <c r="V175" s="1">
        <f t="shared" ca="1" si="162"/>
        <v>44</v>
      </c>
      <c r="W175" s="1"/>
      <c r="X175" s="1">
        <f t="shared" ca="1" si="163"/>
        <v>4.6806588150406441</v>
      </c>
      <c r="Y175" s="1">
        <f t="shared" ca="1" si="164"/>
        <v>0.38475227412468765</v>
      </c>
      <c r="Z175" s="1">
        <f t="shared" ca="1" si="165"/>
        <v>1577</v>
      </c>
      <c r="AB175" s="1">
        <f t="shared" ca="1" si="166"/>
        <v>0.87987417131921808</v>
      </c>
      <c r="AC175" s="1">
        <f t="shared" ca="1" si="167"/>
        <v>210</v>
      </c>
      <c r="AD175" s="1">
        <f t="shared" ca="1" si="168"/>
        <v>6.4209534513826813E-3</v>
      </c>
      <c r="AE175" s="1"/>
      <c r="AF175" s="1">
        <f t="shared" ca="1" si="169"/>
        <v>0.38405831984150285</v>
      </c>
      <c r="AG175" s="1">
        <f t="shared" ca="1" si="170"/>
        <v>173</v>
      </c>
      <c r="AH175" s="1">
        <f t="shared" ca="1" si="171"/>
        <v>1.8499600329386389E-3</v>
      </c>
      <c r="AJ175" s="1">
        <f t="shared" ca="1" si="172"/>
        <v>5.2749862351353149E-2</v>
      </c>
      <c r="AK175" s="1">
        <f t="shared" ca="1" si="173"/>
        <v>5.1190132972706651E-3</v>
      </c>
      <c r="AL175" s="1"/>
      <c r="AM175" s="1">
        <f t="shared" ca="1" si="174"/>
        <v>0.10230199496766737</v>
      </c>
      <c r="AN175" s="1">
        <f t="shared" ca="1" si="175"/>
        <v>26</v>
      </c>
      <c r="AO175" s="1">
        <f t="shared" ca="1" si="176"/>
        <v>7</v>
      </c>
      <c r="AQ175" s="1">
        <f t="shared" ca="1" si="177"/>
        <v>69</v>
      </c>
      <c r="AR175" s="1">
        <f t="shared" ca="1" si="178"/>
        <v>7</v>
      </c>
      <c r="AS175" s="1">
        <f t="shared" ca="1" si="179"/>
        <v>10</v>
      </c>
      <c r="AU175" s="1">
        <f t="shared" ca="1" si="180"/>
        <v>296</v>
      </c>
      <c r="AV175" s="1">
        <f t="shared" ca="1" si="181"/>
        <v>9</v>
      </c>
      <c r="AW175" s="1">
        <f t="shared" ca="1" si="182"/>
        <v>0.12082005334918773</v>
      </c>
      <c r="AY175" s="1">
        <f t="shared" ca="1" si="183"/>
        <v>1.739888955366351</v>
      </c>
      <c r="AZ175" s="1">
        <f t="shared" ca="1" si="184"/>
        <v>440</v>
      </c>
      <c r="BA175" s="1">
        <f t="shared" ca="1" si="185"/>
        <v>5.1009997827027908E-3</v>
      </c>
      <c r="BG175" s="1">
        <f t="shared" ca="1" si="186"/>
        <v>0.10186527262130998</v>
      </c>
      <c r="BH175" s="1">
        <f t="shared" ca="1" si="187"/>
        <v>7.3503086633875947E-2</v>
      </c>
      <c r="BI175" s="1">
        <f t="shared" ca="1" si="188"/>
        <v>568</v>
      </c>
      <c r="BV175" s="1">
        <f t="shared" ca="1" si="189"/>
        <v>1.2183512516277118E-3</v>
      </c>
      <c r="BW175" s="1">
        <f t="shared" ca="1" si="190"/>
        <v>396</v>
      </c>
      <c r="BX175" s="1">
        <f t="shared" ca="1" si="191"/>
        <v>9.0091718484114763E-3</v>
      </c>
      <c r="BY175" s="1">
        <f t="shared" ca="1" si="192"/>
        <v>1.0210018858045527E-3</v>
      </c>
      <c r="BZ175" s="1">
        <f t="shared" ca="1" si="193"/>
        <v>0.16745480685456671</v>
      </c>
      <c r="CB175" s="1">
        <f t="shared" ca="1" si="194"/>
        <v>159</v>
      </c>
      <c r="CC175" s="1">
        <f t="shared" ca="1" si="195"/>
        <v>12</v>
      </c>
      <c r="CD175" s="1">
        <f t="shared" ca="1" si="196"/>
        <v>0.22203909495373042</v>
      </c>
      <c r="CE175" s="1">
        <f t="shared" ca="1" si="218"/>
        <v>0.73107091197562213</v>
      </c>
      <c r="CF175" s="1">
        <f t="shared" ca="1" si="218"/>
        <v>0.81241617153681078</v>
      </c>
      <c r="CH175" s="3">
        <f t="shared" ca="1" si="198"/>
        <v>0.5585646364583019</v>
      </c>
      <c r="CI175" s="3">
        <f t="shared" ca="1" si="199"/>
        <v>4.0376197805454858E-2</v>
      </c>
      <c r="CJ175" s="3">
        <f t="shared" ca="1" si="200"/>
        <v>1742</v>
      </c>
      <c r="CK175" s="3">
        <f t="shared" ca="1" si="201"/>
        <v>1.8171149382946103E-3</v>
      </c>
      <c r="CL175" s="3">
        <f t="shared" ca="1" si="202"/>
        <v>1</v>
      </c>
      <c r="CM175" s="3"/>
      <c r="CN175" s="1">
        <f t="shared" ca="1" si="203"/>
        <v>8.0365292664392314</v>
      </c>
      <c r="CO175" s="1">
        <f t="shared" ca="1" si="204"/>
        <v>0.46824107759066397</v>
      </c>
      <c r="CP175" s="1">
        <f t="shared" ca="1" si="205"/>
        <v>3</v>
      </c>
      <c r="CV175" s="1">
        <f t="shared" ca="1" si="206"/>
        <v>8.6145813268914235</v>
      </c>
      <c r="CW175" s="1">
        <f t="shared" ca="1" si="207"/>
        <v>926</v>
      </c>
      <c r="CX175" s="1">
        <f t="shared" ca="1" si="208"/>
        <v>7.414029804437847E-3</v>
      </c>
      <c r="DH175" s="1">
        <f t="shared" ca="1" si="209"/>
        <v>115</v>
      </c>
      <c r="DI175" s="1">
        <f t="shared" ca="1" si="210"/>
        <v>0.60180721411570881</v>
      </c>
      <c r="DJ175" s="1">
        <f t="shared" ca="1" si="211"/>
        <v>4</v>
      </c>
      <c r="DL175" s="1">
        <f t="shared" ca="1" si="212"/>
        <v>4.7425244653308371E-2</v>
      </c>
      <c r="DM175" s="1">
        <f t="shared" ca="1" si="213"/>
        <v>236</v>
      </c>
      <c r="DN175" s="1">
        <f t="shared" ca="1" si="214"/>
        <v>2</v>
      </c>
      <c r="DW175" s="1">
        <f t="shared" ca="1" si="215"/>
        <v>171</v>
      </c>
      <c r="DX175" s="1">
        <f t="shared" ca="1" si="216"/>
        <v>6</v>
      </c>
      <c r="DY175" s="1">
        <f t="shared" ca="1" si="217"/>
        <v>19</v>
      </c>
    </row>
    <row r="176" spans="2:129" x14ac:dyDescent="0.25">
      <c r="B176">
        <f t="shared" ca="1" si="147"/>
        <v>128</v>
      </c>
      <c r="C176">
        <f t="shared" ca="1" si="148"/>
        <v>13</v>
      </c>
      <c r="D176">
        <f t="shared" ca="1" si="149"/>
        <v>0.19825718390683783</v>
      </c>
      <c r="F176" s="1">
        <f t="shared" ca="1" si="150"/>
        <v>45</v>
      </c>
      <c r="G176" s="1">
        <f t="shared" ca="1" si="151"/>
        <v>15</v>
      </c>
      <c r="H176" s="1">
        <f t="shared" ca="1" si="152"/>
        <v>15</v>
      </c>
      <c r="I176" s="1"/>
      <c r="J176" s="1">
        <f t="shared" ca="1" si="153"/>
        <v>9</v>
      </c>
      <c r="K176" s="1">
        <f t="shared" ca="1" si="154"/>
        <v>2.2437344021353569</v>
      </c>
      <c r="L176" s="1">
        <f t="shared" ca="1" si="155"/>
        <v>15</v>
      </c>
      <c r="M176" s="1"/>
      <c r="N176" s="1">
        <f t="shared" ca="1" si="156"/>
        <v>104</v>
      </c>
      <c r="O176" s="1">
        <f t="shared" ca="1" si="157"/>
        <v>35</v>
      </c>
      <c r="P176" s="1"/>
      <c r="Q176" s="1">
        <f t="shared" ca="1" si="158"/>
        <v>1.7524628490664234</v>
      </c>
      <c r="R176" s="1">
        <f t="shared" ca="1" si="159"/>
        <v>863</v>
      </c>
      <c r="S176" s="1"/>
      <c r="T176" s="1">
        <f t="shared" ca="1" si="160"/>
        <v>0.15369030575078885</v>
      </c>
      <c r="U176" s="1">
        <f t="shared" ca="1" si="161"/>
        <v>394</v>
      </c>
      <c r="V176" s="1">
        <f t="shared" ca="1" si="162"/>
        <v>22</v>
      </c>
      <c r="W176" s="1"/>
      <c r="X176" s="1">
        <f t="shared" ca="1" si="163"/>
        <v>5.1890159956602358E-2</v>
      </c>
      <c r="Y176" s="1">
        <f t="shared" ca="1" si="164"/>
        <v>0.71848746717483214</v>
      </c>
      <c r="Z176" s="1">
        <f t="shared" ca="1" si="165"/>
        <v>684</v>
      </c>
      <c r="AB176" s="1">
        <f t="shared" ca="1" si="166"/>
        <v>9.1376138347121397E-2</v>
      </c>
      <c r="AC176" s="1">
        <f t="shared" ca="1" si="167"/>
        <v>879</v>
      </c>
      <c r="AD176" s="1">
        <f t="shared" ca="1" si="168"/>
        <v>3.2787970775623811E-4</v>
      </c>
      <c r="AE176" s="1"/>
      <c r="AF176" s="1">
        <f t="shared" ca="1" si="169"/>
        <v>0.76520694543160328</v>
      </c>
      <c r="AG176" s="1">
        <f t="shared" ca="1" si="170"/>
        <v>511</v>
      </c>
      <c r="AH176" s="1">
        <f t="shared" ca="1" si="171"/>
        <v>4.627393538120147E-3</v>
      </c>
      <c r="AJ176" s="1">
        <f t="shared" ca="1" si="172"/>
        <v>0.70580637793110224</v>
      </c>
      <c r="AK176" s="1">
        <f t="shared" ca="1" si="173"/>
        <v>6.9705631753814133E-4</v>
      </c>
      <c r="AL176" s="1"/>
      <c r="AM176" s="1">
        <f t="shared" ca="1" si="174"/>
        <v>0.1421692873201382</v>
      </c>
      <c r="AN176" s="1">
        <f t="shared" ca="1" si="175"/>
        <v>37</v>
      </c>
      <c r="AO176" s="1">
        <f t="shared" ca="1" si="176"/>
        <v>10</v>
      </c>
      <c r="AQ176" s="1">
        <f t="shared" ca="1" si="177"/>
        <v>81</v>
      </c>
      <c r="AR176" s="1">
        <f t="shared" ca="1" si="178"/>
        <v>1</v>
      </c>
      <c r="AS176" s="1">
        <f t="shared" ca="1" si="179"/>
        <v>37</v>
      </c>
      <c r="AU176" s="1">
        <f t="shared" ca="1" si="180"/>
        <v>330</v>
      </c>
      <c r="AV176" s="1">
        <f t="shared" ca="1" si="181"/>
        <v>4</v>
      </c>
      <c r="AW176" s="1">
        <f t="shared" ca="1" si="182"/>
        <v>5.0930846221698613E-2</v>
      </c>
      <c r="AY176" s="1">
        <f t="shared" ca="1" si="183"/>
        <v>1.4226594074050269</v>
      </c>
      <c r="AZ176" s="1">
        <f t="shared" ca="1" si="184"/>
        <v>256</v>
      </c>
      <c r="BA176" s="1">
        <f t="shared" ca="1" si="185"/>
        <v>9.7042688542712217E-3</v>
      </c>
      <c r="BG176" s="1">
        <f t="shared" ca="1" si="186"/>
        <v>0.51538494438526761</v>
      </c>
      <c r="BH176" s="1">
        <f t="shared" ca="1" si="187"/>
        <v>0.97704322389906773</v>
      </c>
      <c r="BI176" s="1">
        <f t="shared" ca="1" si="188"/>
        <v>915</v>
      </c>
      <c r="BV176" s="1">
        <f t="shared" ca="1" si="189"/>
        <v>0.50704317626202222</v>
      </c>
      <c r="BW176" s="1">
        <f t="shared" ca="1" si="190"/>
        <v>292</v>
      </c>
      <c r="BX176" s="1">
        <f t="shared" ca="1" si="191"/>
        <v>6.1145959830420232E-3</v>
      </c>
      <c r="BY176" s="1">
        <f t="shared" ca="1" si="192"/>
        <v>8.1491369531876537E-2</v>
      </c>
      <c r="BZ176" s="1">
        <f t="shared" ca="1" si="193"/>
        <v>0.49146581834422642</v>
      </c>
      <c r="CB176" s="1">
        <f t="shared" ca="1" si="194"/>
        <v>479</v>
      </c>
      <c r="CC176" s="1">
        <f t="shared" ca="1" si="195"/>
        <v>13</v>
      </c>
      <c r="CD176" s="1">
        <f t="shared" ca="1" si="196"/>
        <v>0.10582731572138389</v>
      </c>
      <c r="CE176" s="1">
        <f t="shared" ca="1" si="218"/>
        <v>0.79820046568736425</v>
      </c>
      <c r="CF176" s="1">
        <f t="shared" ca="1" si="218"/>
        <v>0.78508831511123722</v>
      </c>
      <c r="CH176" s="3">
        <f t="shared" ca="1" si="198"/>
        <v>0.73718130781926727</v>
      </c>
      <c r="CI176" s="3">
        <f t="shared" ca="1" si="199"/>
        <v>0.61167156596990768</v>
      </c>
      <c r="CJ176" s="3">
        <f t="shared" ca="1" si="200"/>
        <v>743</v>
      </c>
      <c r="CK176" s="3">
        <f t="shared" ca="1" si="201"/>
        <v>8.3072628587300551E-3</v>
      </c>
      <c r="CL176" s="3">
        <f t="shared" ca="1" si="202"/>
        <v>0</v>
      </c>
      <c r="CM176" s="3"/>
      <c r="CN176" s="1">
        <f t="shared" ca="1" si="203"/>
        <v>17.993746059244483</v>
      </c>
      <c r="CO176" s="1">
        <f t="shared" ca="1" si="204"/>
        <v>5.5218682052066169E-2</v>
      </c>
      <c r="CP176" s="1">
        <f t="shared" ca="1" si="205"/>
        <v>5</v>
      </c>
      <c r="CV176" s="1">
        <f t="shared" ca="1" si="206"/>
        <v>8.4594478046518784</v>
      </c>
      <c r="CW176" s="1">
        <f t="shared" ca="1" si="207"/>
        <v>696</v>
      </c>
      <c r="CX176" s="1">
        <f t="shared" ca="1" si="208"/>
        <v>5.264103352800819E-3</v>
      </c>
      <c r="DH176" s="1">
        <f t="shared" ca="1" si="209"/>
        <v>726</v>
      </c>
      <c r="DI176" s="1">
        <f t="shared" ca="1" si="210"/>
        <v>0.22654210748909484</v>
      </c>
      <c r="DJ176" s="1">
        <f t="shared" ca="1" si="211"/>
        <v>15</v>
      </c>
      <c r="DL176" s="1">
        <f t="shared" ca="1" si="212"/>
        <v>7.1666248701539162E-2</v>
      </c>
      <c r="DM176" s="1">
        <f t="shared" ca="1" si="213"/>
        <v>88</v>
      </c>
      <c r="DN176" s="1">
        <f t="shared" ca="1" si="214"/>
        <v>3</v>
      </c>
      <c r="DW176" s="1">
        <f t="shared" ca="1" si="215"/>
        <v>385</v>
      </c>
      <c r="DX176" s="1">
        <f t="shared" ca="1" si="216"/>
        <v>4</v>
      </c>
      <c r="DY176" s="1">
        <f t="shared" ca="1" si="217"/>
        <v>17</v>
      </c>
    </row>
    <row r="177" spans="2:129" x14ac:dyDescent="0.25">
      <c r="B177">
        <f t="shared" ca="1" si="147"/>
        <v>772</v>
      </c>
      <c r="C177">
        <f t="shared" ca="1" si="148"/>
        <v>11</v>
      </c>
      <c r="D177">
        <f t="shared" ca="1" si="149"/>
        <v>0.11556686502942218</v>
      </c>
      <c r="F177" s="1">
        <f t="shared" ca="1" si="150"/>
        <v>19</v>
      </c>
      <c r="G177" s="1">
        <f t="shared" ca="1" si="151"/>
        <v>7</v>
      </c>
      <c r="H177" s="1">
        <f t="shared" ca="1" si="152"/>
        <v>4</v>
      </c>
      <c r="I177" s="1"/>
      <c r="J177" s="1">
        <f t="shared" ca="1" si="153"/>
        <v>38</v>
      </c>
      <c r="K177" s="1">
        <f t="shared" ca="1" si="154"/>
        <v>2.7278140345316859</v>
      </c>
      <c r="L177" s="1">
        <f t="shared" ca="1" si="155"/>
        <v>9</v>
      </c>
      <c r="M177" s="1"/>
      <c r="N177" s="1">
        <f t="shared" ca="1" si="156"/>
        <v>623</v>
      </c>
      <c r="O177" s="1">
        <f t="shared" ca="1" si="157"/>
        <v>51</v>
      </c>
      <c r="P177" s="1"/>
      <c r="Q177" s="1">
        <f t="shared" ca="1" si="158"/>
        <v>1.9955924071525852</v>
      </c>
      <c r="R177" s="1">
        <f t="shared" ca="1" si="159"/>
        <v>372</v>
      </c>
      <c r="S177" s="1"/>
      <c r="T177" s="1">
        <f t="shared" ca="1" si="160"/>
        <v>4.9387310555294363E-2</v>
      </c>
      <c r="U177" s="1">
        <f t="shared" ca="1" si="161"/>
        <v>167</v>
      </c>
      <c r="V177" s="1">
        <f t="shared" ca="1" si="162"/>
        <v>48</v>
      </c>
      <c r="W177" s="1"/>
      <c r="X177" s="1">
        <f t="shared" ca="1" si="163"/>
        <v>6.592206378201924</v>
      </c>
      <c r="Y177" s="1">
        <f t="shared" ca="1" si="164"/>
        <v>4.8113579471232931E-2</v>
      </c>
      <c r="Z177" s="1">
        <f t="shared" ca="1" si="165"/>
        <v>769</v>
      </c>
      <c r="AB177" s="1">
        <f t="shared" ca="1" si="166"/>
        <v>8.5035573303194223E-2</v>
      </c>
      <c r="AC177" s="1">
        <f t="shared" ca="1" si="167"/>
        <v>595</v>
      </c>
      <c r="AD177" s="1">
        <f t="shared" ca="1" si="168"/>
        <v>7.1862925899747031E-3</v>
      </c>
      <c r="AE177" s="1"/>
      <c r="AF177" s="1">
        <f t="shared" ca="1" si="169"/>
        <v>0.84399359408489594</v>
      </c>
      <c r="AG177" s="1">
        <f t="shared" ca="1" si="170"/>
        <v>259</v>
      </c>
      <c r="AH177" s="1">
        <f t="shared" ca="1" si="171"/>
        <v>8.4424552232201609E-3</v>
      </c>
      <c r="AJ177" s="1">
        <f t="shared" ca="1" si="172"/>
        <v>0.52704469440392743</v>
      </c>
      <c r="AK177" s="1">
        <f t="shared" ca="1" si="173"/>
        <v>3.0083040169227898E-3</v>
      </c>
      <c r="AL177" s="1"/>
      <c r="AM177" s="1">
        <f t="shared" ca="1" si="174"/>
        <v>2.6430489934867286E-2</v>
      </c>
      <c r="AN177" s="1">
        <f t="shared" ca="1" si="175"/>
        <v>35</v>
      </c>
      <c r="AO177" s="1">
        <f t="shared" ca="1" si="176"/>
        <v>12</v>
      </c>
      <c r="AQ177" s="1">
        <f t="shared" ca="1" si="177"/>
        <v>114</v>
      </c>
      <c r="AR177" s="1">
        <f t="shared" ca="1" si="178"/>
        <v>6</v>
      </c>
      <c r="AS177" s="1">
        <f t="shared" ca="1" si="179"/>
        <v>65</v>
      </c>
      <c r="AU177" s="1">
        <f t="shared" ca="1" si="180"/>
        <v>158</v>
      </c>
      <c r="AV177" s="1">
        <f t="shared" ca="1" si="181"/>
        <v>4</v>
      </c>
      <c r="AW177" s="1">
        <f t="shared" ca="1" si="182"/>
        <v>0.13075904329995064</v>
      </c>
      <c r="AY177" s="1">
        <f t="shared" ca="1" si="183"/>
        <v>1.9764425526860361</v>
      </c>
      <c r="AZ177" s="1">
        <f t="shared" ca="1" si="184"/>
        <v>222</v>
      </c>
      <c r="BA177" s="1">
        <f t="shared" ca="1" si="185"/>
        <v>9.7089506308977985E-3</v>
      </c>
      <c r="BG177" s="1">
        <f t="shared" ca="1" si="186"/>
        <v>0.10985159174839106</v>
      </c>
      <c r="BH177" s="1">
        <f t="shared" ca="1" si="187"/>
        <v>0.2624813892079132</v>
      </c>
      <c r="BI177" s="1">
        <f t="shared" ca="1" si="188"/>
        <v>859</v>
      </c>
      <c r="BV177" s="1">
        <f t="shared" ca="1" si="189"/>
        <v>0.9849762969981477</v>
      </c>
      <c r="BW177" s="1">
        <f t="shared" ca="1" si="190"/>
        <v>314</v>
      </c>
      <c r="BX177" s="1">
        <f t="shared" ca="1" si="191"/>
        <v>7.0266371675110472E-3</v>
      </c>
      <c r="BY177" s="1">
        <f t="shared" ca="1" si="192"/>
        <v>2.3469531812657044E-2</v>
      </c>
      <c r="BZ177" s="1">
        <f t="shared" ca="1" si="193"/>
        <v>0.94054631311317805</v>
      </c>
      <c r="CB177" s="1">
        <f t="shared" ca="1" si="194"/>
        <v>55</v>
      </c>
      <c r="CC177" s="1">
        <f t="shared" ca="1" si="195"/>
        <v>4</v>
      </c>
      <c r="CD177" s="1">
        <f t="shared" ca="1" si="196"/>
        <v>0.1119251715545423</v>
      </c>
      <c r="CE177" s="1">
        <f t="shared" ca="1" si="218"/>
        <v>0.62359313859043008</v>
      </c>
      <c r="CF177" s="1">
        <f t="shared" ca="1" si="218"/>
        <v>0.78627336240159473</v>
      </c>
      <c r="CH177" s="3">
        <f t="shared" ca="1" si="198"/>
        <v>0.58366608544983545</v>
      </c>
      <c r="CI177" s="3">
        <f t="shared" ca="1" si="199"/>
        <v>0.3862221581325927</v>
      </c>
      <c r="CJ177" s="3">
        <f t="shared" ca="1" si="200"/>
        <v>1456</v>
      </c>
      <c r="CK177" s="3">
        <f t="shared" ca="1" si="201"/>
        <v>7.9225548539270136E-4</v>
      </c>
      <c r="CL177" s="3">
        <f t="shared" ca="1" si="202"/>
        <v>0</v>
      </c>
      <c r="CM177" s="3"/>
      <c r="CN177" s="1">
        <f t="shared" ca="1" si="203"/>
        <v>0.63998656348241512</v>
      </c>
      <c r="CO177" s="1">
        <f t="shared" ca="1" si="204"/>
        <v>0.2891050458258051</v>
      </c>
      <c r="CP177" s="1">
        <f t="shared" ca="1" si="205"/>
        <v>4</v>
      </c>
      <c r="CV177" s="1">
        <f t="shared" ca="1" si="206"/>
        <v>1.9732129566121761</v>
      </c>
      <c r="CW177" s="1">
        <f t="shared" ca="1" si="207"/>
        <v>767</v>
      </c>
      <c r="CX177" s="1">
        <f t="shared" ca="1" si="208"/>
        <v>6.0233271521427049E-3</v>
      </c>
      <c r="DH177" s="1">
        <f t="shared" ca="1" si="209"/>
        <v>747</v>
      </c>
      <c r="DI177" s="1">
        <f t="shared" ca="1" si="210"/>
        <v>0.62384596219908461</v>
      </c>
      <c r="DJ177" s="1">
        <f t="shared" ca="1" si="211"/>
        <v>27</v>
      </c>
      <c r="DL177" s="1">
        <f t="shared" ca="1" si="212"/>
        <v>0.12795595199136847</v>
      </c>
      <c r="DM177" s="1">
        <f t="shared" ca="1" si="213"/>
        <v>170</v>
      </c>
      <c r="DN177" s="1">
        <f t="shared" ca="1" si="214"/>
        <v>8</v>
      </c>
      <c r="DW177" s="1">
        <f t="shared" ca="1" si="215"/>
        <v>481</v>
      </c>
      <c r="DX177" s="1">
        <f t="shared" ca="1" si="216"/>
        <v>16</v>
      </c>
      <c r="DY177" s="1">
        <f t="shared" ca="1" si="217"/>
        <v>17</v>
      </c>
    </row>
    <row r="178" spans="2:129" x14ac:dyDescent="0.25">
      <c r="B178">
        <f t="shared" ca="1" si="147"/>
        <v>231</v>
      </c>
      <c r="C178">
        <f t="shared" ca="1" si="148"/>
        <v>41</v>
      </c>
      <c r="D178">
        <f t="shared" ca="1" si="149"/>
        <v>4.8162888273855335E-2</v>
      </c>
      <c r="F178" s="1">
        <f t="shared" ca="1" si="150"/>
        <v>51</v>
      </c>
      <c r="G178" s="1">
        <f t="shared" ca="1" si="151"/>
        <v>17</v>
      </c>
      <c r="H178" s="1">
        <f t="shared" ca="1" si="152"/>
        <v>11</v>
      </c>
      <c r="I178" s="1"/>
      <c r="J178" s="1">
        <f t="shared" ca="1" si="153"/>
        <v>5</v>
      </c>
      <c r="K178" s="1">
        <f t="shared" ca="1" si="154"/>
        <v>1.5340387558650272</v>
      </c>
      <c r="L178" s="1">
        <f t="shared" ca="1" si="155"/>
        <v>23</v>
      </c>
      <c r="M178" s="1"/>
      <c r="N178" s="1">
        <f t="shared" ca="1" si="156"/>
        <v>652</v>
      </c>
      <c r="O178" s="1">
        <f t="shared" ca="1" si="157"/>
        <v>45</v>
      </c>
      <c r="P178" s="1"/>
      <c r="Q178" s="1">
        <f t="shared" ca="1" si="158"/>
        <v>1.4061368571121784</v>
      </c>
      <c r="R178" s="1">
        <f t="shared" ca="1" si="159"/>
        <v>1064</v>
      </c>
      <c r="S178" s="1"/>
      <c r="T178" s="1">
        <f t="shared" ca="1" si="160"/>
        <v>9.1257934401391336E-2</v>
      </c>
      <c r="U178" s="1">
        <f t="shared" ca="1" si="161"/>
        <v>415</v>
      </c>
      <c r="V178" s="1">
        <f t="shared" ca="1" si="162"/>
        <v>43</v>
      </c>
      <c r="W178" s="1"/>
      <c r="X178" s="1">
        <f t="shared" ca="1" si="163"/>
        <v>0.20208953511807878</v>
      </c>
      <c r="Y178" s="1">
        <f t="shared" ca="1" si="164"/>
        <v>0.54187451012690679</v>
      </c>
      <c r="Z178" s="1">
        <f t="shared" ca="1" si="165"/>
        <v>743</v>
      </c>
      <c r="AB178" s="1">
        <f t="shared" ca="1" si="166"/>
        <v>0.18131530571392579</v>
      </c>
      <c r="AC178" s="1">
        <f t="shared" ca="1" si="167"/>
        <v>502</v>
      </c>
      <c r="AD178" s="1">
        <f t="shared" ca="1" si="168"/>
        <v>8.1097906065428684E-3</v>
      </c>
      <c r="AE178" s="1"/>
      <c r="AF178" s="1">
        <f t="shared" ca="1" si="169"/>
        <v>0.64605724043940771</v>
      </c>
      <c r="AG178" s="1">
        <f t="shared" ca="1" si="170"/>
        <v>457</v>
      </c>
      <c r="AH178" s="1">
        <f t="shared" ca="1" si="171"/>
        <v>6.4457196900993732E-4</v>
      </c>
      <c r="AJ178" s="1">
        <f t="shared" ca="1" si="172"/>
        <v>0.65790011444352114</v>
      </c>
      <c r="AK178" s="1">
        <f t="shared" ca="1" si="173"/>
        <v>5.3298587627060821E-3</v>
      </c>
      <c r="AL178" s="1"/>
      <c r="AM178" s="1">
        <f t="shared" ca="1" si="174"/>
        <v>0.15754390860222134</v>
      </c>
      <c r="AN178" s="1">
        <f t="shared" ca="1" si="175"/>
        <v>22</v>
      </c>
      <c r="AO178" s="1">
        <f t="shared" ca="1" si="176"/>
        <v>17</v>
      </c>
      <c r="AQ178" s="1">
        <f t="shared" ca="1" si="177"/>
        <v>45</v>
      </c>
      <c r="AR178" s="1">
        <f t="shared" ca="1" si="178"/>
        <v>7</v>
      </c>
      <c r="AS178" s="1">
        <f t="shared" ca="1" si="179"/>
        <v>51</v>
      </c>
      <c r="AU178" s="1">
        <f t="shared" ca="1" si="180"/>
        <v>262</v>
      </c>
      <c r="AV178" s="1">
        <f t="shared" ca="1" si="181"/>
        <v>10</v>
      </c>
      <c r="AW178" s="1">
        <f t="shared" ca="1" si="182"/>
        <v>0.1077321524729536</v>
      </c>
      <c r="AY178" s="1">
        <f t="shared" ca="1" si="183"/>
        <v>1.6849090647593286</v>
      </c>
      <c r="AZ178" s="1">
        <f t="shared" ca="1" si="184"/>
        <v>292</v>
      </c>
      <c r="BA178" s="1">
        <f t="shared" ca="1" si="185"/>
        <v>9.8193997180982245E-3</v>
      </c>
      <c r="BG178" s="1">
        <f t="shared" ca="1" si="186"/>
        <v>0.37739951258715881</v>
      </c>
      <c r="BH178" s="1">
        <f t="shared" ca="1" si="187"/>
        <v>0.77009361277441124</v>
      </c>
      <c r="BI178" s="1">
        <f t="shared" ca="1" si="188"/>
        <v>880</v>
      </c>
      <c r="BV178" s="1">
        <f t="shared" ca="1" si="189"/>
        <v>0.12161681370256006</v>
      </c>
      <c r="BW178" s="1">
        <f t="shared" ca="1" si="190"/>
        <v>565</v>
      </c>
      <c r="BX178" s="1">
        <f t="shared" ca="1" si="191"/>
        <v>1.1954075337341043E-3</v>
      </c>
      <c r="BY178" s="1">
        <f t="shared" ca="1" si="192"/>
        <v>9.2934282789004022E-2</v>
      </c>
      <c r="BZ178" s="1">
        <f t="shared" ca="1" si="193"/>
        <v>0.82449136683956803</v>
      </c>
      <c r="CB178" s="1">
        <f t="shared" ca="1" si="194"/>
        <v>119</v>
      </c>
      <c r="CC178" s="1">
        <f t="shared" ca="1" si="195"/>
        <v>9</v>
      </c>
      <c r="CD178" s="1">
        <f t="shared" ca="1" si="196"/>
        <v>0.1840537525846955</v>
      </c>
      <c r="CE178" s="1">
        <f t="shared" ca="1" si="218"/>
        <v>0.80734372748219174</v>
      </c>
      <c r="CF178" s="1">
        <f t="shared" ca="1" si="218"/>
        <v>0.62646870124609533</v>
      </c>
      <c r="CH178" s="3">
        <f t="shared" ca="1" si="198"/>
        <v>0.79969902909868862</v>
      </c>
      <c r="CI178" s="3">
        <f t="shared" ca="1" si="199"/>
        <v>0.87485151880534806</v>
      </c>
      <c r="CJ178" s="3">
        <f t="shared" ca="1" si="200"/>
        <v>1788</v>
      </c>
      <c r="CK178" s="3">
        <f t="shared" ca="1" si="201"/>
        <v>4.2441248191581512E-3</v>
      </c>
      <c r="CL178" s="3">
        <f t="shared" ca="1" si="202"/>
        <v>1</v>
      </c>
      <c r="CM178" s="3"/>
      <c r="CN178" s="1">
        <f t="shared" ca="1" si="203"/>
        <v>4.2924852751354612</v>
      </c>
      <c r="CO178" s="1">
        <f t="shared" ca="1" si="204"/>
        <v>4.2117117889214489E-3</v>
      </c>
      <c r="CP178" s="1">
        <f t="shared" ca="1" si="205"/>
        <v>5</v>
      </c>
      <c r="CV178" s="1">
        <f t="shared" ca="1" si="206"/>
        <v>1.5290443279352126</v>
      </c>
      <c r="CW178" s="1">
        <f t="shared" ca="1" si="207"/>
        <v>1770</v>
      </c>
      <c r="CX178" s="1">
        <f t="shared" ca="1" si="208"/>
        <v>7.0271156668903914E-3</v>
      </c>
      <c r="DH178" s="1">
        <f t="shared" ca="1" si="209"/>
        <v>782</v>
      </c>
      <c r="DI178" s="1">
        <f t="shared" ca="1" si="210"/>
        <v>0.1897228287564573</v>
      </c>
      <c r="DJ178" s="1">
        <f t="shared" ca="1" si="211"/>
        <v>17</v>
      </c>
      <c r="DL178" s="1">
        <f t="shared" ca="1" si="212"/>
        <v>0.17009862699254974</v>
      </c>
      <c r="DM178" s="1">
        <f t="shared" ca="1" si="213"/>
        <v>125</v>
      </c>
      <c r="DN178" s="1">
        <f t="shared" ca="1" si="214"/>
        <v>10</v>
      </c>
      <c r="DW178" s="1">
        <f t="shared" ca="1" si="215"/>
        <v>462</v>
      </c>
      <c r="DX178" s="1">
        <f t="shared" ca="1" si="216"/>
        <v>11</v>
      </c>
      <c r="DY178" s="1">
        <f t="shared" ca="1" si="217"/>
        <v>12</v>
      </c>
    </row>
    <row r="179" spans="2:129" x14ac:dyDescent="0.25">
      <c r="B179">
        <f t="shared" ca="1" si="147"/>
        <v>418</v>
      </c>
      <c r="C179">
        <f t="shared" ca="1" si="148"/>
        <v>38</v>
      </c>
      <c r="D179">
        <f t="shared" ca="1" si="149"/>
        <v>0.26073465369525123</v>
      </c>
      <c r="F179" s="1">
        <f t="shared" ca="1" si="150"/>
        <v>39</v>
      </c>
      <c r="G179" s="1">
        <f t="shared" ca="1" si="151"/>
        <v>14</v>
      </c>
      <c r="H179" s="1">
        <f t="shared" ca="1" si="152"/>
        <v>7</v>
      </c>
      <c r="I179" s="1"/>
      <c r="J179" s="1">
        <f t="shared" ca="1" si="153"/>
        <v>19</v>
      </c>
      <c r="K179" s="1">
        <f t="shared" ca="1" si="154"/>
        <v>2.6341221172431863</v>
      </c>
      <c r="L179" s="1">
        <f t="shared" ca="1" si="155"/>
        <v>8</v>
      </c>
      <c r="M179" s="1"/>
      <c r="N179" s="1">
        <f t="shared" ca="1" si="156"/>
        <v>395</v>
      </c>
      <c r="O179" s="1">
        <f t="shared" ca="1" si="157"/>
        <v>2</v>
      </c>
      <c r="P179" s="1"/>
      <c r="Q179" s="1">
        <f t="shared" ca="1" si="158"/>
        <v>4.6921580676020112</v>
      </c>
      <c r="R179" s="1">
        <f t="shared" ca="1" si="159"/>
        <v>400</v>
      </c>
      <c r="S179" s="1"/>
      <c r="T179" s="1">
        <f t="shared" ca="1" si="160"/>
        <v>5.243847034012307E-2</v>
      </c>
      <c r="U179" s="1">
        <f t="shared" ca="1" si="161"/>
        <v>415</v>
      </c>
      <c r="V179" s="1">
        <f t="shared" ca="1" si="162"/>
        <v>29</v>
      </c>
      <c r="W179" s="1"/>
      <c r="X179" s="1">
        <f t="shared" ca="1" si="163"/>
        <v>0.82894845432363162</v>
      </c>
      <c r="Y179" s="1">
        <f t="shared" ca="1" si="164"/>
        <v>4.9650699383196543E-2</v>
      </c>
      <c r="Z179" s="1">
        <f t="shared" ca="1" si="165"/>
        <v>1667</v>
      </c>
      <c r="AB179" s="1">
        <f t="shared" ca="1" si="166"/>
        <v>0.60088009032640821</v>
      </c>
      <c r="AC179" s="1">
        <f t="shared" ca="1" si="167"/>
        <v>150</v>
      </c>
      <c r="AD179" s="1">
        <f t="shared" ca="1" si="168"/>
        <v>9.3812873771687965E-3</v>
      </c>
      <c r="AE179" s="1"/>
      <c r="AF179" s="1">
        <f t="shared" ca="1" si="169"/>
        <v>0.2310777157093421</v>
      </c>
      <c r="AG179" s="1">
        <f t="shared" ca="1" si="170"/>
        <v>857</v>
      </c>
      <c r="AH179" s="1">
        <f t="shared" ca="1" si="171"/>
        <v>9.5377383249303366E-3</v>
      </c>
      <c r="AJ179" s="1">
        <f t="shared" ca="1" si="172"/>
        <v>0.23381633770872312</v>
      </c>
      <c r="AK179" s="1">
        <f t="shared" ca="1" si="173"/>
        <v>4.3964457669433289E-3</v>
      </c>
      <c r="AL179" s="1"/>
      <c r="AM179" s="1">
        <f t="shared" ca="1" si="174"/>
        <v>0.19182098904267161</v>
      </c>
      <c r="AN179" s="1">
        <f t="shared" ca="1" si="175"/>
        <v>21</v>
      </c>
      <c r="AO179" s="1">
        <f t="shared" ca="1" si="176"/>
        <v>-1</v>
      </c>
      <c r="AQ179" s="1">
        <f t="shared" ca="1" si="177"/>
        <v>129</v>
      </c>
      <c r="AR179" s="1">
        <f t="shared" ca="1" si="178"/>
        <v>8</v>
      </c>
      <c r="AS179" s="1">
        <f t="shared" ca="1" si="179"/>
        <v>57</v>
      </c>
      <c r="AU179" s="1">
        <f t="shared" ca="1" si="180"/>
        <v>57</v>
      </c>
      <c r="AV179" s="1">
        <f t="shared" ca="1" si="181"/>
        <v>5</v>
      </c>
      <c r="AW179" s="1">
        <f t="shared" ca="1" si="182"/>
        <v>5.9451667234973707E-2</v>
      </c>
      <c r="AY179" s="1">
        <f t="shared" ca="1" si="183"/>
        <v>1.7911726752134598</v>
      </c>
      <c r="AZ179" s="1">
        <f t="shared" ca="1" si="184"/>
        <v>232</v>
      </c>
      <c r="BA179" s="1">
        <f t="shared" ca="1" si="185"/>
        <v>6.5209505855466157E-3</v>
      </c>
      <c r="BG179" s="1">
        <f t="shared" ca="1" si="186"/>
        <v>4.8048516881629651E-2</v>
      </c>
      <c r="BH179" s="1">
        <f t="shared" ca="1" si="187"/>
        <v>0.52547405427842042</v>
      </c>
      <c r="BI179" s="1">
        <f t="shared" ca="1" si="188"/>
        <v>129</v>
      </c>
      <c r="BV179" s="1">
        <f t="shared" ca="1" si="189"/>
        <v>0.18594805474791601</v>
      </c>
      <c r="BW179" s="1">
        <f t="shared" ca="1" si="190"/>
        <v>959</v>
      </c>
      <c r="BX179" s="1">
        <f t="shared" ca="1" si="191"/>
        <v>5.272323192898214E-5</v>
      </c>
      <c r="BY179" s="1">
        <f t="shared" ca="1" si="192"/>
        <v>9.6467313245882494E-2</v>
      </c>
      <c r="BZ179" s="1">
        <f t="shared" ca="1" si="193"/>
        <v>0.60199110953499047</v>
      </c>
      <c r="CB179" s="1">
        <f t="shared" ca="1" si="194"/>
        <v>136</v>
      </c>
      <c r="CC179" s="1">
        <f t="shared" ca="1" si="195"/>
        <v>6</v>
      </c>
      <c r="CD179" s="1">
        <f t="shared" ca="1" si="196"/>
        <v>3.1608868849578545E-2</v>
      </c>
      <c r="CE179" s="1">
        <f t="shared" ca="1" si="218"/>
        <v>0.54252624545654538</v>
      </c>
      <c r="CF179" s="1">
        <f t="shared" ca="1" si="218"/>
        <v>0.99614674314837992</v>
      </c>
      <c r="CH179" s="3">
        <f t="shared" ca="1" si="198"/>
        <v>0.50964675689056549</v>
      </c>
      <c r="CI179" s="3">
        <f t="shared" ca="1" si="199"/>
        <v>0.53423731181541723</v>
      </c>
      <c r="CJ179" s="3">
        <f t="shared" ca="1" si="200"/>
        <v>623</v>
      </c>
      <c r="CK179" s="3">
        <f t="shared" ca="1" si="201"/>
        <v>3.5558586495965279E-3</v>
      </c>
      <c r="CL179" s="3">
        <f t="shared" ca="1" si="202"/>
        <v>1</v>
      </c>
      <c r="CM179" s="3"/>
      <c r="CN179" s="1">
        <f t="shared" ca="1" si="203"/>
        <v>12.849764877274637</v>
      </c>
      <c r="CO179" s="1">
        <f t="shared" ca="1" si="204"/>
        <v>0.14351025362285089</v>
      </c>
      <c r="CP179" s="1">
        <f t="shared" ca="1" si="205"/>
        <v>3</v>
      </c>
      <c r="CV179" s="1">
        <f t="shared" ca="1" si="206"/>
        <v>3.8478299378932417</v>
      </c>
      <c r="CW179" s="1">
        <f t="shared" ca="1" si="207"/>
        <v>725</v>
      </c>
      <c r="CX179" s="1">
        <f t="shared" ca="1" si="208"/>
        <v>2.062385713198557E-3</v>
      </c>
      <c r="DH179" s="1">
        <f t="shared" ca="1" si="209"/>
        <v>839</v>
      </c>
      <c r="DI179" s="1">
        <f t="shared" ca="1" si="210"/>
        <v>0.10285441173467685</v>
      </c>
      <c r="DJ179" s="1">
        <f t="shared" ca="1" si="211"/>
        <v>12</v>
      </c>
      <c r="DL179" s="1">
        <f t="shared" ca="1" si="212"/>
        <v>0.14547672664684061</v>
      </c>
      <c r="DM179" s="1">
        <f t="shared" ca="1" si="213"/>
        <v>126</v>
      </c>
      <c r="DN179" s="1">
        <f t="shared" ca="1" si="214"/>
        <v>9</v>
      </c>
      <c r="DW179" s="1">
        <f t="shared" ca="1" si="215"/>
        <v>84</v>
      </c>
      <c r="DX179" s="1">
        <f t="shared" ca="1" si="216"/>
        <v>18</v>
      </c>
      <c r="DY179" s="1">
        <f t="shared" ca="1" si="217"/>
        <v>16</v>
      </c>
    </row>
    <row r="180" spans="2:129" x14ac:dyDescent="0.25">
      <c r="B180">
        <f t="shared" ca="1" si="147"/>
        <v>358</v>
      </c>
      <c r="C180">
        <f t="shared" ca="1" si="148"/>
        <v>24</v>
      </c>
      <c r="D180">
        <f t="shared" ca="1" si="149"/>
        <v>6.1516433659680174E-2</v>
      </c>
      <c r="F180" s="1">
        <f t="shared" ca="1" si="150"/>
        <v>28</v>
      </c>
      <c r="G180" s="1">
        <f t="shared" ca="1" si="151"/>
        <v>2</v>
      </c>
      <c r="H180" s="1">
        <f t="shared" ca="1" si="152"/>
        <v>2</v>
      </c>
      <c r="I180" s="1"/>
      <c r="J180" s="1">
        <f t="shared" ca="1" si="153"/>
        <v>18</v>
      </c>
      <c r="K180" s="1">
        <f t="shared" ca="1" si="154"/>
        <v>1.356391795972423</v>
      </c>
      <c r="L180" s="1">
        <f t="shared" ca="1" si="155"/>
        <v>29</v>
      </c>
      <c r="M180" s="1"/>
      <c r="N180" s="1">
        <f t="shared" ca="1" si="156"/>
        <v>248</v>
      </c>
      <c r="O180" s="1">
        <f t="shared" ca="1" si="157"/>
        <v>24</v>
      </c>
      <c r="P180" s="1"/>
      <c r="Q180" s="1">
        <f t="shared" ca="1" si="158"/>
        <v>4.086502785163395</v>
      </c>
      <c r="R180" s="1">
        <f t="shared" ca="1" si="159"/>
        <v>1076</v>
      </c>
      <c r="S180" s="1"/>
      <c r="T180" s="1">
        <f t="shared" ca="1" si="160"/>
        <v>0.16262903971734652</v>
      </c>
      <c r="U180" s="1">
        <f t="shared" ca="1" si="161"/>
        <v>197</v>
      </c>
      <c r="V180" s="1">
        <f t="shared" ca="1" si="162"/>
        <v>35</v>
      </c>
      <c r="W180" s="1"/>
      <c r="X180" s="1">
        <f t="shared" ca="1" si="163"/>
        <v>4.9071220273194918</v>
      </c>
      <c r="Y180" s="1">
        <f t="shared" ca="1" si="164"/>
        <v>0.57677208916108846</v>
      </c>
      <c r="Z180" s="1">
        <f t="shared" ca="1" si="165"/>
        <v>752</v>
      </c>
      <c r="AB180" s="1">
        <f t="shared" ca="1" si="166"/>
        <v>3.8229321114869291E-2</v>
      </c>
      <c r="AC180" s="1">
        <f t="shared" ca="1" si="167"/>
        <v>257</v>
      </c>
      <c r="AD180" s="1">
        <f t="shared" ca="1" si="168"/>
        <v>2.6396479732688268E-3</v>
      </c>
      <c r="AE180" s="1"/>
      <c r="AF180" s="1">
        <f t="shared" ca="1" si="169"/>
        <v>0.12190338221798216</v>
      </c>
      <c r="AG180" s="1">
        <f t="shared" ca="1" si="170"/>
        <v>572</v>
      </c>
      <c r="AH180" s="1">
        <f t="shared" ca="1" si="171"/>
        <v>7.1490167129888297E-3</v>
      </c>
      <c r="AJ180" s="1">
        <f t="shared" ca="1" si="172"/>
        <v>0.11862507830070812</v>
      </c>
      <c r="AK180" s="1">
        <f t="shared" ca="1" si="173"/>
        <v>3.7268953784569338E-3</v>
      </c>
      <c r="AL180" s="1"/>
      <c r="AM180" s="1">
        <f t="shared" ca="1" si="174"/>
        <v>4.5896874672744239E-2</v>
      </c>
      <c r="AN180" s="1">
        <f t="shared" ca="1" si="175"/>
        <v>71</v>
      </c>
      <c r="AO180" s="1">
        <f t="shared" ca="1" si="176"/>
        <v>-1</v>
      </c>
      <c r="AQ180" s="1">
        <f t="shared" ca="1" si="177"/>
        <v>18</v>
      </c>
      <c r="AR180" s="1">
        <f t="shared" ca="1" si="178"/>
        <v>8</v>
      </c>
      <c r="AS180" s="1">
        <f t="shared" ca="1" si="179"/>
        <v>95</v>
      </c>
      <c r="AU180" s="1">
        <f t="shared" ca="1" si="180"/>
        <v>256</v>
      </c>
      <c r="AV180" s="1">
        <f t="shared" ca="1" si="181"/>
        <v>9</v>
      </c>
      <c r="AW180" s="1">
        <f t="shared" ca="1" si="182"/>
        <v>0.19420145979407669</v>
      </c>
      <c r="AY180" s="1">
        <f t="shared" ca="1" si="183"/>
        <v>1.6944443432836502</v>
      </c>
      <c r="AZ180" s="1">
        <f t="shared" ca="1" si="184"/>
        <v>458</v>
      </c>
      <c r="BA180" s="1">
        <f t="shared" ca="1" si="185"/>
        <v>5.2342570505740701E-3</v>
      </c>
      <c r="BG180" s="1">
        <f t="shared" ca="1" si="186"/>
        <v>1.4019594920365613E-2</v>
      </c>
      <c r="BH180" s="1">
        <f t="shared" ca="1" si="187"/>
        <v>0.39891073278145706</v>
      </c>
      <c r="BI180" s="1">
        <f t="shared" ca="1" si="188"/>
        <v>886</v>
      </c>
      <c r="BV180" s="1">
        <f t="shared" ca="1" si="189"/>
        <v>0.40709444033092751</v>
      </c>
      <c r="BW180" s="1">
        <f t="shared" ca="1" si="190"/>
        <v>164</v>
      </c>
      <c r="BX180" s="1">
        <f t="shared" ca="1" si="191"/>
        <v>8.3664358992343556E-3</v>
      </c>
      <c r="BY180" s="1">
        <f t="shared" ca="1" si="192"/>
        <v>7.5591265849024619E-2</v>
      </c>
      <c r="BZ180" s="1">
        <f t="shared" ca="1" si="193"/>
        <v>0.6730144340291484</v>
      </c>
      <c r="CB180" s="1">
        <f t="shared" ca="1" si="194"/>
        <v>75</v>
      </c>
      <c r="CC180" s="1">
        <f t="shared" ca="1" si="195"/>
        <v>7</v>
      </c>
      <c r="CD180" s="1">
        <f t="shared" ca="1" si="196"/>
        <v>4.5240191067686619E-2</v>
      </c>
      <c r="CE180" s="1">
        <f t="shared" ca="1" si="218"/>
        <v>0.76597328129989239</v>
      </c>
      <c r="CF180" s="1">
        <f t="shared" ca="1" si="218"/>
        <v>0.85626274952830195</v>
      </c>
      <c r="CH180" s="3">
        <f t="shared" ca="1" si="198"/>
        <v>0.77102860872313805</v>
      </c>
      <c r="CI180" s="3">
        <f t="shared" ca="1" si="199"/>
        <v>0.51778764491433515</v>
      </c>
      <c r="CJ180" s="3">
        <f t="shared" ca="1" si="200"/>
        <v>1560</v>
      </c>
      <c r="CK180" s="3">
        <f t="shared" ca="1" si="201"/>
        <v>8.8881456505846886E-3</v>
      </c>
      <c r="CL180" s="3">
        <f t="shared" ca="1" si="202"/>
        <v>1</v>
      </c>
      <c r="CM180" s="3"/>
      <c r="CN180" s="1">
        <f t="shared" ca="1" si="203"/>
        <v>7.1906985598176085</v>
      </c>
      <c r="CO180" s="1">
        <f t="shared" ca="1" si="204"/>
        <v>0.17642822905903233</v>
      </c>
      <c r="CP180" s="1">
        <f t="shared" ca="1" si="205"/>
        <v>2</v>
      </c>
      <c r="CV180" s="1">
        <f t="shared" ca="1" si="206"/>
        <v>4.9666284664664042</v>
      </c>
      <c r="CW180" s="1">
        <f t="shared" ca="1" si="207"/>
        <v>1377</v>
      </c>
      <c r="CX180" s="1">
        <f t="shared" ca="1" si="208"/>
        <v>1.6043044252561263E-3</v>
      </c>
      <c r="DH180" s="1">
        <f t="shared" ca="1" si="209"/>
        <v>72</v>
      </c>
      <c r="DI180" s="1">
        <f t="shared" ca="1" si="210"/>
        <v>0.36347694921363183</v>
      </c>
      <c r="DJ180" s="1">
        <f t="shared" ca="1" si="211"/>
        <v>25</v>
      </c>
      <c r="DL180" s="1">
        <f t="shared" ca="1" si="212"/>
        <v>0.13288830967299353</v>
      </c>
      <c r="DM180" s="1">
        <f t="shared" ca="1" si="213"/>
        <v>63</v>
      </c>
      <c r="DN180" s="1">
        <f t="shared" ca="1" si="214"/>
        <v>8</v>
      </c>
      <c r="DW180" s="1">
        <f t="shared" ca="1" si="215"/>
        <v>109</v>
      </c>
      <c r="DX180" s="1">
        <f t="shared" ca="1" si="216"/>
        <v>7</v>
      </c>
      <c r="DY180" s="1">
        <f t="shared" ca="1" si="217"/>
        <v>15</v>
      </c>
    </row>
    <row r="181" spans="2:129" x14ac:dyDescent="0.25">
      <c r="B181">
        <f t="shared" ca="1" si="147"/>
        <v>833</v>
      </c>
      <c r="C181">
        <f t="shared" ca="1" si="148"/>
        <v>51</v>
      </c>
      <c r="D181">
        <f t="shared" ca="1" si="149"/>
        <v>9.6139885756330132E-2</v>
      </c>
      <c r="F181" s="1">
        <f t="shared" ca="1" si="150"/>
        <v>42</v>
      </c>
      <c r="G181" s="1">
        <f t="shared" ca="1" si="151"/>
        <v>16</v>
      </c>
      <c r="H181" s="1">
        <f t="shared" ca="1" si="152"/>
        <v>8</v>
      </c>
      <c r="I181" s="1"/>
      <c r="J181" s="1">
        <f t="shared" ca="1" si="153"/>
        <v>39</v>
      </c>
      <c r="K181" s="1">
        <f t="shared" ca="1" si="154"/>
        <v>1.5107230707446526</v>
      </c>
      <c r="L181" s="1">
        <f t="shared" ca="1" si="155"/>
        <v>27</v>
      </c>
      <c r="M181" s="1"/>
      <c r="N181" s="1">
        <f t="shared" ca="1" si="156"/>
        <v>191</v>
      </c>
      <c r="O181" s="1">
        <f t="shared" ca="1" si="157"/>
        <v>49</v>
      </c>
      <c r="P181" s="1"/>
      <c r="Q181" s="1">
        <f t="shared" ca="1" si="158"/>
        <v>1.3492719446271049</v>
      </c>
      <c r="R181" s="1">
        <f t="shared" ca="1" si="159"/>
        <v>750</v>
      </c>
      <c r="S181" s="1"/>
      <c r="T181" s="1">
        <f t="shared" ca="1" si="160"/>
        <v>0.17948282265461787</v>
      </c>
      <c r="U181" s="1">
        <f t="shared" ca="1" si="161"/>
        <v>433</v>
      </c>
      <c r="V181" s="1">
        <f t="shared" ca="1" si="162"/>
        <v>16</v>
      </c>
      <c r="W181" s="1"/>
      <c r="X181" s="1">
        <f t="shared" ca="1" si="163"/>
        <v>5.613227227622585</v>
      </c>
      <c r="Y181" s="1">
        <f t="shared" ca="1" si="164"/>
        <v>0.64684525609861288</v>
      </c>
      <c r="Z181" s="1">
        <f t="shared" ca="1" si="165"/>
        <v>291</v>
      </c>
      <c r="AB181" s="1">
        <f t="shared" ca="1" si="166"/>
        <v>0.56830845611192371</v>
      </c>
      <c r="AC181" s="1">
        <f t="shared" ca="1" si="167"/>
        <v>171</v>
      </c>
      <c r="AD181" s="1">
        <f t="shared" ca="1" si="168"/>
        <v>5.33396164537957E-3</v>
      </c>
      <c r="AE181" s="1"/>
      <c r="AF181" s="1">
        <f t="shared" ca="1" si="169"/>
        <v>0.74346342439240709</v>
      </c>
      <c r="AG181" s="1">
        <f t="shared" ca="1" si="170"/>
        <v>809</v>
      </c>
      <c r="AH181" s="1">
        <f t="shared" ca="1" si="171"/>
        <v>5.7152766812445044E-3</v>
      </c>
      <c r="AJ181" s="1">
        <f t="shared" ca="1" si="172"/>
        <v>0.16164282982621569</v>
      </c>
      <c r="AK181" s="1">
        <f t="shared" ca="1" si="173"/>
        <v>9.0245002300573859E-3</v>
      </c>
      <c r="AL181" s="1"/>
      <c r="AM181" s="1">
        <f t="shared" ca="1" si="174"/>
        <v>8.9739169160955298E-2</v>
      </c>
      <c r="AN181" s="1">
        <f t="shared" ca="1" si="175"/>
        <v>38</v>
      </c>
      <c r="AO181" s="1">
        <f t="shared" ca="1" si="176"/>
        <v>4</v>
      </c>
      <c r="AQ181" s="1">
        <f t="shared" ca="1" si="177"/>
        <v>166</v>
      </c>
      <c r="AR181" s="1">
        <f t="shared" ca="1" si="178"/>
        <v>2</v>
      </c>
      <c r="AS181" s="1">
        <f t="shared" ca="1" si="179"/>
        <v>37</v>
      </c>
      <c r="AU181" s="1">
        <f t="shared" ca="1" si="180"/>
        <v>117</v>
      </c>
      <c r="AV181" s="1">
        <f t="shared" ca="1" si="181"/>
        <v>6</v>
      </c>
      <c r="AW181" s="1">
        <f t="shared" ca="1" si="182"/>
        <v>0.17695425287146826</v>
      </c>
      <c r="AY181" s="1">
        <f t="shared" ca="1" si="183"/>
        <v>1.294213355084838</v>
      </c>
      <c r="AZ181" s="1">
        <f t="shared" ca="1" si="184"/>
        <v>178</v>
      </c>
      <c r="BA181" s="1">
        <f t="shared" ca="1" si="185"/>
        <v>1.9459911669517747E-3</v>
      </c>
      <c r="BG181" s="1">
        <f t="shared" ca="1" si="186"/>
        <v>0.12161686776400314</v>
      </c>
      <c r="BH181" s="1">
        <f t="shared" ca="1" si="187"/>
        <v>0.83553651559454545</v>
      </c>
      <c r="BI181" s="1">
        <f t="shared" ca="1" si="188"/>
        <v>850</v>
      </c>
      <c r="BV181" s="1">
        <f t="shared" ca="1" si="189"/>
        <v>0.62145987442583117</v>
      </c>
      <c r="BW181" s="1">
        <f t="shared" ca="1" si="190"/>
        <v>591</v>
      </c>
      <c r="BX181" s="1">
        <f t="shared" ca="1" si="191"/>
        <v>1.6860989015258588E-3</v>
      </c>
      <c r="BY181" s="1">
        <f t="shared" ca="1" si="192"/>
        <v>2.1677189855056241E-2</v>
      </c>
      <c r="BZ181" s="1">
        <f t="shared" ca="1" si="193"/>
        <v>0.11215029415586686</v>
      </c>
      <c r="CB181" s="1">
        <f t="shared" ca="1" si="194"/>
        <v>65</v>
      </c>
      <c r="CC181" s="1">
        <f t="shared" ca="1" si="195"/>
        <v>15</v>
      </c>
      <c r="CD181" s="1">
        <f t="shared" ca="1" si="196"/>
        <v>0.28925370938487643</v>
      </c>
      <c r="CE181" s="1">
        <f t="shared" ca="1" si="218"/>
        <v>0.51723947279373395</v>
      </c>
      <c r="CF181" s="1">
        <f t="shared" ca="1" si="218"/>
        <v>0.97226874984842493</v>
      </c>
      <c r="CH181" s="3">
        <f t="shared" ca="1" si="198"/>
        <v>0.61516218158732672</v>
      </c>
      <c r="CI181" s="3">
        <f t="shared" ca="1" si="199"/>
        <v>0.87683045042206953</v>
      </c>
      <c r="CJ181" s="3">
        <f t="shared" ca="1" si="200"/>
        <v>1450</v>
      </c>
      <c r="CK181" s="3">
        <f t="shared" ca="1" si="201"/>
        <v>8.4672152148285908E-3</v>
      </c>
      <c r="CL181" s="3">
        <f t="shared" ca="1" si="202"/>
        <v>1</v>
      </c>
      <c r="CM181" s="3"/>
      <c r="CN181" s="1">
        <f t="shared" ca="1" si="203"/>
        <v>12.315678345631042</v>
      </c>
      <c r="CO181" s="1">
        <f t="shared" ca="1" si="204"/>
        <v>0.22667074548399585</v>
      </c>
      <c r="CP181" s="1">
        <f t="shared" ca="1" si="205"/>
        <v>5</v>
      </c>
      <c r="CV181" s="1">
        <f t="shared" ca="1" si="206"/>
        <v>4.6959204760395998</v>
      </c>
      <c r="CW181" s="1">
        <f t="shared" ca="1" si="207"/>
        <v>1034</v>
      </c>
      <c r="CX181" s="1">
        <f t="shared" ca="1" si="208"/>
        <v>4.3833813667323119E-4</v>
      </c>
      <c r="DH181" s="1">
        <f t="shared" ca="1" si="209"/>
        <v>19</v>
      </c>
      <c r="DI181" s="1">
        <f t="shared" ca="1" si="210"/>
        <v>0.51787615013133825</v>
      </c>
      <c r="DJ181" s="1">
        <f t="shared" ca="1" si="211"/>
        <v>18</v>
      </c>
      <c r="DL181" s="1">
        <f t="shared" ca="1" si="212"/>
        <v>5.9659136451003451E-2</v>
      </c>
      <c r="DM181" s="1">
        <f t="shared" ca="1" si="213"/>
        <v>65</v>
      </c>
      <c r="DN181" s="1">
        <f t="shared" ca="1" si="214"/>
        <v>8</v>
      </c>
      <c r="DW181" s="1">
        <f t="shared" ca="1" si="215"/>
        <v>350</v>
      </c>
      <c r="DX181" s="1">
        <f t="shared" ca="1" si="216"/>
        <v>10</v>
      </c>
      <c r="DY181" s="1">
        <f t="shared" ca="1" si="217"/>
        <v>8</v>
      </c>
    </row>
    <row r="182" spans="2:129" x14ac:dyDescent="0.25">
      <c r="B182">
        <f t="shared" ca="1" si="147"/>
        <v>161</v>
      </c>
      <c r="C182">
        <f t="shared" ca="1" si="148"/>
        <v>28</v>
      </c>
      <c r="D182">
        <f t="shared" ca="1" si="149"/>
        <v>3.6717638552746075E-2</v>
      </c>
      <c r="F182" s="1">
        <f t="shared" ca="1" si="150"/>
        <v>41</v>
      </c>
      <c r="G182" s="1">
        <f t="shared" ca="1" si="151"/>
        <v>16</v>
      </c>
      <c r="H182" s="1">
        <f t="shared" ca="1" si="152"/>
        <v>12</v>
      </c>
      <c r="I182" s="1"/>
      <c r="J182" s="1">
        <f t="shared" ca="1" si="153"/>
        <v>25</v>
      </c>
      <c r="K182" s="1">
        <f t="shared" ca="1" si="154"/>
        <v>2.2256188493440954</v>
      </c>
      <c r="L182" s="1">
        <f t="shared" ca="1" si="155"/>
        <v>3</v>
      </c>
      <c r="M182" s="1"/>
      <c r="N182" s="1">
        <f t="shared" ca="1" si="156"/>
        <v>577</v>
      </c>
      <c r="O182" s="1">
        <f t="shared" ca="1" si="157"/>
        <v>15</v>
      </c>
      <c r="P182" s="1"/>
      <c r="Q182" s="1">
        <f t="shared" ca="1" si="158"/>
        <v>4.8544764225087498</v>
      </c>
      <c r="R182" s="1">
        <f t="shared" ca="1" si="159"/>
        <v>1171</v>
      </c>
      <c r="S182" s="1"/>
      <c r="T182" s="1">
        <f t="shared" ca="1" si="160"/>
        <v>6.2938225809880247E-2</v>
      </c>
      <c r="U182" s="1">
        <f t="shared" ca="1" si="161"/>
        <v>278</v>
      </c>
      <c r="V182" s="1">
        <f t="shared" ca="1" si="162"/>
        <v>11</v>
      </c>
      <c r="W182" s="1"/>
      <c r="X182" s="1">
        <f t="shared" ca="1" si="163"/>
        <v>5.8614457757224816</v>
      </c>
      <c r="Y182" s="1">
        <f t="shared" ca="1" si="164"/>
        <v>0.33116192667089828</v>
      </c>
      <c r="Z182" s="1">
        <f t="shared" ca="1" si="165"/>
        <v>1104</v>
      </c>
      <c r="AB182" s="1">
        <f t="shared" ca="1" si="166"/>
        <v>0.2028373859591644</v>
      </c>
      <c r="AC182" s="1">
        <f t="shared" ca="1" si="167"/>
        <v>663</v>
      </c>
      <c r="AD182" s="1">
        <f t="shared" ca="1" si="168"/>
        <v>2.4976783336780432E-3</v>
      </c>
      <c r="AE182" s="1"/>
      <c r="AF182" s="1">
        <f t="shared" ca="1" si="169"/>
        <v>0.88708598221316559</v>
      </c>
      <c r="AG182" s="1">
        <f t="shared" ca="1" si="170"/>
        <v>888</v>
      </c>
      <c r="AH182" s="1">
        <f t="shared" ca="1" si="171"/>
        <v>7.4354634587066098E-3</v>
      </c>
      <c r="AJ182" s="1">
        <f t="shared" ca="1" si="172"/>
        <v>0.42864543674856281</v>
      </c>
      <c r="AK182" s="1">
        <f t="shared" ca="1" si="173"/>
        <v>2.5222795456902561E-3</v>
      </c>
      <c r="AL182" s="1"/>
      <c r="AM182" s="1">
        <f t="shared" ca="1" si="174"/>
        <v>0.14843863003138069</v>
      </c>
      <c r="AN182" s="1">
        <f t="shared" ca="1" si="175"/>
        <v>77</v>
      </c>
      <c r="AO182" s="1">
        <f t="shared" ca="1" si="176"/>
        <v>6</v>
      </c>
      <c r="AQ182" s="1">
        <f t="shared" ca="1" si="177"/>
        <v>176</v>
      </c>
      <c r="AR182" s="1">
        <f t="shared" ca="1" si="178"/>
        <v>0</v>
      </c>
      <c r="AS182" s="1">
        <f t="shared" ca="1" si="179"/>
        <v>58</v>
      </c>
      <c r="AU182" s="1">
        <f t="shared" ca="1" si="180"/>
        <v>159</v>
      </c>
      <c r="AV182" s="1">
        <f t="shared" ca="1" si="181"/>
        <v>8</v>
      </c>
      <c r="AW182" s="1">
        <f t="shared" ca="1" si="182"/>
        <v>0.14579013558254461</v>
      </c>
      <c r="AY182" s="1">
        <f t="shared" ca="1" si="183"/>
        <v>1.3136242258754383</v>
      </c>
      <c r="AZ182" s="1">
        <f t="shared" ca="1" si="184"/>
        <v>273</v>
      </c>
      <c r="BA182" s="1">
        <f t="shared" ca="1" si="185"/>
        <v>4.6498065496399918E-3</v>
      </c>
      <c r="BG182" s="1">
        <f t="shared" ca="1" si="186"/>
        <v>0.73740018157315002</v>
      </c>
      <c r="BH182" s="1">
        <f t="shared" ca="1" si="187"/>
        <v>0.87960798766888793</v>
      </c>
      <c r="BI182" s="1">
        <f t="shared" ca="1" si="188"/>
        <v>827</v>
      </c>
      <c r="BV182" s="1">
        <f t="shared" ca="1" si="189"/>
        <v>0.74946704894199001</v>
      </c>
      <c r="BW182" s="1">
        <f t="shared" ca="1" si="190"/>
        <v>521</v>
      </c>
      <c r="BX182" s="1">
        <f t="shared" ca="1" si="191"/>
        <v>6.5916515750105232E-4</v>
      </c>
      <c r="BY182" s="1">
        <f t="shared" ca="1" si="192"/>
        <v>8.9055094445789143E-2</v>
      </c>
      <c r="BZ182" s="1">
        <f t="shared" ca="1" si="193"/>
        <v>0.71641810480385626</v>
      </c>
      <c r="CB182" s="1">
        <f t="shared" ca="1" si="194"/>
        <v>103</v>
      </c>
      <c r="CC182" s="1">
        <f t="shared" ca="1" si="195"/>
        <v>8</v>
      </c>
      <c r="CD182" s="1">
        <f t="shared" ca="1" si="196"/>
        <v>7.9930730929009056E-2</v>
      </c>
      <c r="CE182" s="1">
        <f t="shared" ca="1" si="218"/>
        <v>0.56518767048478202</v>
      </c>
      <c r="CF182" s="1">
        <f t="shared" ca="1" si="218"/>
        <v>0.91427217830825924</v>
      </c>
      <c r="CH182" s="3">
        <f t="shared" ca="1" si="198"/>
        <v>0.63093029865893124</v>
      </c>
      <c r="CI182" s="3">
        <f t="shared" ca="1" si="199"/>
        <v>0.11159653222694624</v>
      </c>
      <c r="CJ182" s="3">
        <f t="shared" ca="1" si="200"/>
        <v>1915</v>
      </c>
      <c r="CK182" s="3">
        <f t="shared" ca="1" si="201"/>
        <v>7.1254932138056131E-4</v>
      </c>
      <c r="CL182" s="3">
        <f t="shared" ca="1" si="202"/>
        <v>1</v>
      </c>
      <c r="CM182" s="3"/>
      <c r="CN182" s="1">
        <f t="shared" ca="1" si="203"/>
        <v>0.38329266927635075</v>
      </c>
      <c r="CO182" s="1">
        <f t="shared" ca="1" si="204"/>
        <v>0.49961606504444922</v>
      </c>
      <c r="CP182" s="1">
        <f t="shared" ca="1" si="205"/>
        <v>1</v>
      </c>
      <c r="CV182" s="1">
        <f t="shared" ca="1" si="206"/>
        <v>5.650292706564211</v>
      </c>
      <c r="CW182" s="1">
        <f t="shared" ca="1" si="207"/>
        <v>1741</v>
      </c>
      <c r="CX182" s="1">
        <f t="shared" ca="1" si="208"/>
        <v>6.1567429774976989E-3</v>
      </c>
      <c r="DH182" s="1">
        <f t="shared" ca="1" si="209"/>
        <v>210</v>
      </c>
      <c r="DI182" s="1">
        <f t="shared" ca="1" si="210"/>
        <v>3.3544185892533623E-3</v>
      </c>
      <c r="DJ182" s="1">
        <f t="shared" ca="1" si="211"/>
        <v>18</v>
      </c>
      <c r="DL182" s="1">
        <f t="shared" ca="1" si="212"/>
        <v>0.15221100452582281</v>
      </c>
      <c r="DM182" s="1">
        <f t="shared" ca="1" si="213"/>
        <v>275</v>
      </c>
      <c r="DN182" s="1">
        <f t="shared" ca="1" si="214"/>
        <v>6</v>
      </c>
      <c r="DW182" s="1">
        <f t="shared" ca="1" si="215"/>
        <v>274</v>
      </c>
      <c r="DX182" s="1">
        <f t="shared" ca="1" si="216"/>
        <v>14</v>
      </c>
      <c r="DY182" s="1">
        <f t="shared" ca="1" si="217"/>
        <v>4</v>
      </c>
    </row>
    <row r="183" spans="2:129" x14ac:dyDescent="0.25">
      <c r="B183">
        <f t="shared" ca="1" si="147"/>
        <v>548</v>
      </c>
      <c r="C183">
        <f t="shared" ca="1" si="148"/>
        <v>34</v>
      </c>
      <c r="D183">
        <f t="shared" ca="1" si="149"/>
        <v>0.22627435708767871</v>
      </c>
      <c r="F183" s="1">
        <f t="shared" ca="1" si="150"/>
        <v>15</v>
      </c>
      <c r="G183" s="1">
        <f t="shared" ca="1" si="151"/>
        <v>6</v>
      </c>
      <c r="H183" s="1">
        <f t="shared" ca="1" si="152"/>
        <v>1</v>
      </c>
      <c r="I183" s="1"/>
      <c r="J183" s="1">
        <f t="shared" ca="1" si="153"/>
        <v>5</v>
      </c>
      <c r="K183" s="1">
        <f t="shared" ca="1" si="154"/>
        <v>1.1705315910471403</v>
      </c>
      <c r="L183" s="1">
        <f t="shared" ca="1" si="155"/>
        <v>20</v>
      </c>
      <c r="M183" s="1"/>
      <c r="N183" s="1">
        <f t="shared" ca="1" si="156"/>
        <v>533</v>
      </c>
      <c r="O183" s="1">
        <f t="shared" ca="1" si="157"/>
        <v>41</v>
      </c>
      <c r="P183" s="1"/>
      <c r="Q183" s="1">
        <f t="shared" ca="1" si="158"/>
        <v>3.0617335229523909E-2</v>
      </c>
      <c r="R183" s="1">
        <f t="shared" ca="1" si="159"/>
        <v>566</v>
      </c>
      <c r="S183" s="1"/>
      <c r="T183" s="1">
        <f t="shared" ca="1" si="160"/>
        <v>5.9010466541718175E-2</v>
      </c>
      <c r="U183" s="1">
        <f t="shared" ca="1" si="161"/>
        <v>293</v>
      </c>
      <c r="V183" s="1">
        <f t="shared" ca="1" si="162"/>
        <v>16</v>
      </c>
      <c r="W183" s="1"/>
      <c r="X183" s="1">
        <f t="shared" ca="1" si="163"/>
        <v>2.8960784287946493</v>
      </c>
      <c r="Y183" s="1">
        <f t="shared" ca="1" si="164"/>
        <v>0.10715582182472627</v>
      </c>
      <c r="Z183" s="1">
        <f t="shared" ca="1" si="165"/>
        <v>1661</v>
      </c>
      <c r="AB183" s="1">
        <f t="shared" ca="1" si="166"/>
        <v>7.558624030305483E-2</v>
      </c>
      <c r="AC183" s="1">
        <f t="shared" ca="1" si="167"/>
        <v>465</v>
      </c>
      <c r="AD183" s="1">
        <f t="shared" ca="1" si="168"/>
        <v>1.1982185674079895E-4</v>
      </c>
      <c r="AE183" s="1"/>
      <c r="AF183" s="1">
        <f t="shared" ca="1" si="169"/>
        <v>0.42996597753841237</v>
      </c>
      <c r="AG183" s="1">
        <f t="shared" ca="1" si="170"/>
        <v>638</v>
      </c>
      <c r="AH183" s="1">
        <f t="shared" ca="1" si="171"/>
        <v>9.3249482037830638E-4</v>
      </c>
      <c r="AJ183" s="1">
        <f t="shared" ca="1" si="172"/>
        <v>0.28135819730208744</v>
      </c>
      <c r="AK183" s="1">
        <f t="shared" ca="1" si="173"/>
        <v>9.3358249568956664E-3</v>
      </c>
      <c r="AL183" s="1"/>
      <c r="AM183" s="1">
        <f t="shared" ca="1" si="174"/>
        <v>0.13569219417872583</v>
      </c>
      <c r="AN183" s="1">
        <f t="shared" ca="1" si="175"/>
        <v>77</v>
      </c>
      <c r="AO183" s="1">
        <f t="shared" ca="1" si="176"/>
        <v>19</v>
      </c>
      <c r="AQ183" s="1">
        <f t="shared" ca="1" si="177"/>
        <v>80</v>
      </c>
      <c r="AR183" s="1">
        <f t="shared" ca="1" si="178"/>
        <v>4</v>
      </c>
      <c r="AS183" s="1">
        <f t="shared" ca="1" si="179"/>
        <v>35</v>
      </c>
      <c r="AU183" s="1">
        <f t="shared" ca="1" si="180"/>
        <v>153</v>
      </c>
      <c r="AV183" s="1">
        <f t="shared" ca="1" si="181"/>
        <v>8</v>
      </c>
      <c r="AW183" s="1">
        <f t="shared" ca="1" si="182"/>
        <v>0.11927993408595793</v>
      </c>
      <c r="AY183" s="1">
        <f t="shared" ca="1" si="183"/>
        <v>1.377398712405431</v>
      </c>
      <c r="AZ183" s="1">
        <f t="shared" ca="1" si="184"/>
        <v>439</v>
      </c>
      <c r="BA183" s="1">
        <f t="shared" ca="1" si="185"/>
        <v>1.3567026211738385E-3</v>
      </c>
      <c r="BG183" s="1">
        <f t="shared" ca="1" si="186"/>
        <v>0.4767983968697424</v>
      </c>
      <c r="BH183" s="1">
        <f t="shared" ca="1" si="187"/>
        <v>0.73272855040232887</v>
      </c>
      <c r="BI183" s="1">
        <f t="shared" ca="1" si="188"/>
        <v>807</v>
      </c>
      <c r="BV183" s="1">
        <f t="shared" ca="1" si="189"/>
        <v>0.4057013214077822</v>
      </c>
      <c r="BW183" s="1">
        <f t="shared" ca="1" si="190"/>
        <v>314</v>
      </c>
      <c r="BX183" s="1">
        <f t="shared" ca="1" si="191"/>
        <v>3.2445453451286216E-3</v>
      </c>
      <c r="BY183" s="1">
        <f t="shared" ca="1" si="192"/>
        <v>5.2975122412042747E-2</v>
      </c>
      <c r="BZ183" s="1">
        <f t="shared" ca="1" si="193"/>
        <v>0.18468505228680021</v>
      </c>
      <c r="CB183" s="1">
        <f t="shared" ca="1" si="194"/>
        <v>187</v>
      </c>
      <c r="CC183" s="1">
        <f t="shared" ca="1" si="195"/>
        <v>8</v>
      </c>
      <c r="CD183" s="1">
        <f t="shared" ca="1" si="196"/>
        <v>0.14634352130686529</v>
      </c>
      <c r="CE183" s="1">
        <f t="shared" ca="1" si="218"/>
        <v>0.96713219328165989</v>
      </c>
      <c r="CF183" s="1">
        <f t="shared" ca="1" si="218"/>
        <v>0.98094675052083724</v>
      </c>
      <c r="CH183" s="3">
        <f t="shared" ca="1" si="198"/>
        <v>0.68288887586560287</v>
      </c>
      <c r="CI183" s="3">
        <f t="shared" ca="1" si="199"/>
        <v>0.86328519853218788</v>
      </c>
      <c r="CJ183" s="3">
        <f t="shared" ca="1" si="200"/>
        <v>1665</v>
      </c>
      <c r="CK183" s="3">
        <f t="shared" ca="1" si="201"/>
        <v>7.0890348415448305E-3</v>
      </c>
      <c r="CL183" s="3">
        <f t="shared" ca="1" si="202"/>
        <v>1</v>
      </c>
      <c r="CM183" s="3"/>
      <c r="CN183" s="1">
        <f t="shared" ca="1" si="203"/>
        <v>16.585574465067548</v>
      </c>
      <c r="CO183" s="1">
        <f t="shared" ca="1" si="204"/>
        <v>0.10485027715148594</v>
      </c>
      <c r="CP183" s="1">
        <f t="shared" ca="1" si="205"/>
        <v>5</v>
      </c>
      <c r="CV183" s="1">
        <f t="shared" ca="1" si="206"/>
        <v>1.290340097982102</v>
      </c>
      <c r="CW183" s="1">
        <f t="shared" ca="1" si="207"/>
        <v>433</v>
      </c>
      <c r="CX183" s="1">
        <f t="shared" ca="1" si="208"/>
        <v>9.0704976940430317E-3</v>
      </c>
      <c r="DH183" s="1">
        <f t="shared" ca="1" si="209"/>
        <v>61</v>
      </c>
      <c r="DI183" s="1">
        <f t="shared" ca="1" si="210"/>
        <v>3.0232936627921772E-2</v>
      </c>
      <c r="DJ183" s="1">
        <f t="shared" ca="1" si="211"/>
        <v>17</v>
      </c>
      <c r="DL183" s="1">
        <f t="shared" ca="1" si="212"/>
        <v>0.19234944773784468</v>
      </c>
      <c r="DM183" s="1">
        <f t="shared" ca="1" si="213"/>
        <v>155</v>
      </c>
      <c r="DN183" s="1">
        <f t="shared" ca="1" si="214"/>
        <v>10</v>
      </c>
      <c r="DW183" s="1">
        <f t="shared" ca="1" si="215"/>
        <v>284</v>
      </c>
      <c r="DX183" s="1">
        <f t="shared" ca="1" si="216"/>
        <v>7</v>
      </c>
      <c r="DY183" s="1">
        <f t="shared" ca="1" si="217"/>
        <v>19</v>
      </c>
    </row>
    <row r="184" spans="2:129" x14ac:dyDescent="0.25">
      <c r="B184">
        <f t="shared" ca="1" si="147"/>
        <v>762</v>
      </c>
      <c r="C184">
        <f t="shared" ca="1" si="148"/>
        <v>17</v>
      </c>
      <c r="D184">
        <f t="shared" ca="1" si="149"/>
        <v>3.5672696104175276E-2</v>
      </c>
      <c r="F184" s="1">
        <f t="shared" ca="1" si="150"/>
        <v>4</v>
      </c>
      <c r="G184" s="1">
        <f t="shared" ca="1" si="151"/>
        <v>19</v>
      </c>
      <c r="H184" s="1">
        <f t="shared" ca="1" si="152"/>
        <v>12</v>
      </c>
      <c r="I184" s="1"/>
      <c r="J184" s="1">
        <f t="shared" ca="1" si="153"/>
        <v>34</v>
      </c>
      <c r="K184" s="1">
        <f t="shared" ca="1" si="154"/>
        <v>2.3722908664479307</v>
      </c>
      <c r="L184" s="1">
        <f t="shared" ca="1" si="155"/>
        <v>10</v>
      </c>
      <c r="M184" s="1"/>
      <c r="N184" s="1">
        <f t="shared" ca="1" si="156"/>
        <v>418</v>
      </c>
      <c r="O184" s="1">
        <f t="shared" ca="1" si="157"/>
        <v>27</v>
      </c>
      <c r="P184" s="1"/>
      <c r="Q184" s="1">
        <f t="shared" ca="1" si="158"/>
        <v>2.9079686145645054</v>
      </c>
      <c r="R184" s="1">
        <f t="shared" ca="1" si="159"/>
        <v>533</v>
      </c>
      <c r="S184" s="1"/>
      <c r="T184" s="1">
        <f t="shared" ca="1" si="160"/>
        <v>0.16499131478873183</v>
      </c>
      <c r="U184" s="1">
        <f t="shared" ca="1" si="161"/>
        <v>185</v>
      </c>
      <c r="V184" s="1">
        <f t="shared" ca="1" si="162"/>
        <v>25</v>
      </c>
      <c r="W184" s="1"/>
      <c r="X184" s="1">
        <f t="shared" ca="1" si="163"/>
        <v>1.2055964437071163</v>
      </c>
      <c r="Y184" s="1">
        <f t="shared" ca="1" si="164"/>
        <v>0.52174012795496805</v>
      </c>
      <c r="Z184" s="1">
        <f t="shared" ca="1" si="165"/>
        <v>302</v>
      </c>
      <c r="AB184" s="1">
        <f t="shared" ca="1" si="166"/>
        <v>8.8885804140475366E-2</v>
      </c>
      <c r="AC184" s="1">
        <f t="shared" ca="1" si="167"/>
        <v>638</v>
      </c>
      <c r="AD184" s="1">
        <f t="shared" ca="1" si="168"/>
        <v>5.1526723661179255E-3</v>
      </c>
      <c r="AE184" s="1"/>
      <c r="AF184" s="1">
        <f t="shared" ca="1" si="169"/>
        <v>0.58686043241243813</v>
      </c>
      <c r="AG184" s="1">
        <f t="shared" ca="1" si="170"/>
        <v>428</v>
      </c>
      <c r="AH184" s="1">
        <f t="shared" ca="1" si="171"/>
        <v>6.8854566522384862E-3</v>
      </c>
      <c r="AJ184" s="1">
        <f t="shared" ca="1" si="172"/>
        <v>0.30008136245841843</v>
      </c>
      <c r="AK184" s="1">
        <f t="shared" ca="1" si="173"/>
        <v>8.5605074017812994E-3</v>
      </c>
      <c r="AL184" s="1"/>
      <c r="AM184" s="1">
        <f t="shared" ca="1" si="174"/>
        <v>0.1611997955829598</v>
      </c>
      <c r="AN184" s="1">
        <f t="shared" ca="1" si="175"/>
        <v>13</v>
      </c>
      <c r="AO184" s="1">
        <f t="shared" ca="1" si="176"/>
        <v>20</v>
      </c>
      <c r="AQ184" s="1">
        <f t="shared" ca="1" si="177"/>
        <v>42</v>
      </c>
      <c r="AR184" s="1">
        <f t="shared" ca="1" si="178"/>
        <v>6</v>
      </c>
      <c r="AS184" s="1">
        <f t="shared" ca="1" si="179"/>
        <v>96</v>
      </c>
      <c r="AU184" s="1">
        <f t="shared" ca="1" si="180"/>
        <v>382</v>
      </c>
      <c r="AV184" s="1">
        <f t="shared" ca="1" si="181"/>
        <v>10</v>
      </c>
      <c r="AW184" s="1">
        <f t="shared" ca="1" si="182"/>
        <v>0.12690022915041424</v>
      </c>
      <c r="AY184" s="1">
        <f t="shared" ca="1" si="183"/>
        <v>1.7950369240871868</v>
      </c>
      <c r="AZ184" s="1">
        <f t="shared" ca="1" si="184"/>
        <v>311</v>
      </c>
      <c r="BA184" s="1">
        <f t="shared" ca="1" si="185"/>
        <v>6.8908021663883299E-3</v>
      </c>
      <c r="BG184" s="1">
        <f t="shared" ca="1" si="186"/>
        <v>0.86903173469052397</v>
      </c>
      <c r="BH184" s="1">
        <f t="shared" ca="1" si="187"/>
        <v>0.16032523642779239</v>
      </c>
      <c r="BI184" s="1">
        <f t="shared" ca="1" si="188"/>
        <v>972</v>
      </c>
      <c r="BV184" s="1">
        <f t="shared" ca="1" si="189"/>
        <v>0.80425420642728895</v>
      </c>
      <c r="BW184" s="1">
        <f t="shared" ca="1" si="190"/>
        <v>475</v>
      </c>
      <c r="BX184" s="1">
        <f t="shared" ca="1" si="191"/>
        <v>2.1709788870211367E-3</v>
      </c>
      <c r="BY184" s="1">
        <f t="shared" ca="1" si="192"/>
        <v>7.0212214995807778E-2</v>
      </c>
      <c r="BZ184" s="1">
        <f t="shared" ca="1" si="193"/>
        <v>0.30005705089752954</v>
      </c>
      <c r="CB184" s="1">
        <f t="shared" ca="1" si="194"/>
        <v>323</v>
      </c>
      <c r="CC184" s="1">
        <f t="shared" ca="1" si="195"/>
        <v>9</v>
      </c>
      <c r="CD184" s="1">
        <f t="shared" ca="1" si="196"/>
        <v>0.11818450532137711</v>
      </c>
      <c r="CE184" s="1">
        <f t="shared" ca="1" si="218"/>
        <v>0.93165271768768187</v>
      </c>
      <c r="CF184" s="1">
        <f t="shared" ca="1" si="218"/>
        <v>0.97001222297210998</v>
      </c>
      <c r="CH184" s="3">
        <f t="shared" ca="1" si="198"/>
        <v>0.88865649698954174</v>
      </c>
      <c r="CI184" s="3">
        <f t="shared" ca="1" si="199"/>
        <v>0.54043190870735058</v>
      </c>
      <c r="CJ184" s="3">
        <f t="shared" ca="1" si="200"/>
        <v>1574</v>
      </c>
      <c r="CK184" s="3">
        <f t="shared" ca="1" si="201"/>
        <v>9.5557523275823144E-3</v>
      </c>
      <c r="CL184" s="3">
        <f t="shared" ca="1" si="202"/>
        <v>1</v>
      </c>
      <c r="CM184" s="3"/>
      <c r="CN184" s="1">
        <f t="shared" ca="1" si="203"/>
        <v>4.0215104182526984</v>
      </c>
      <c r="CO184" s="1">
        <f t="shared" ca="1" si="204"/>
        <v>0.14557088901627402</v>
      </c>
      <c r="CP184" s="1">
        <f t="shared" ca="1" si="205"/>
        <v>2</v>
      </c>
      <c r="CV184" s="1">
        <f t="shared" ca="1" si="206"/>
        <v>5.9081611387367223</v>
      </c>
      <c r="CW184" s="1">
        <f t="shared" ca="1" si="207"/>
        <v>1949</v>
      </c>
      <c r="CX184" s="1">
        <f t="shared" ca="1" si="208"/>
        <v>5.2626049466447244E-4</v>
      </c>
      <c r="DH184" s="1">
        <f t="shared" ca="1" si="209"/>
        <v>86</v>
      </c>
      <c r="DI184" s="1">
        <f t="shared" ca="1" si="210"/>
        <v>0.86236774008036632</v>
      </c>
      <c r="DJ184" s="1">
        <f t="shared" ca="1" si="211"/>
        <v>4</v>
      </c>
      <c r="DL184" s="1">
        <f t="shared" ca="1" si="212"/>
        <v>8.5867589989865239E-2</v>
      </c>
      <c r="DM184" s="1">
        <f t="shared" ca="1" si="213"/>
        <v>240</v>
      </c>
      <c r="DN184" s="1">
        <f t="shared" ca="1" si="214"/>
        <v>3</v>
      </c>
      <c r="DW184" s="1">
        <f t="shared" ca="1" si="215"/>
        <v>489</v>
      </c>
      <c r="DX184" s="1">
        <f t="shared" ca="1" si="216"/>
        <v>17</v>
      </c>
      <c r="DY184" s="1">
        <f t="shared" ca="1" si="217"/>
        <v>10</v>
      </c>
    </row>
    <row r="185" spans="2:129" x14ac:dyDescent="0.25">
      <c r="B185">
        <f t="shared" ca="1" si="147"/>
        <v>246</v>
      </c>
      <c r="C185">
        <f t="shared" ca="1" si="148"/>
        <v>49</v>
      </c>
      <c r="D185">
        <f t="shared" ca="1" si="149"/>
        <v>7.9713179276529489E-2</v>
      </c>
      <c r="F185" s="1">
        <f t="shared" ca="1" si="150"/>
        <v>2</v>
      </c>
      <c r="G185" s="1">
        <f t="shared" ca="1" si="151"/>
        <v>15</v>
      </c>
      <c r="H185" s="1">
        <f t="shared" ca="1" si="152"/>
        <v>7</v>
      </c>
      <c r="I185" s="1"/>
      <c r="J185" s="1">
        <f t="shared" ca="1" si="153"/>
        <v>8</v>
      </c>
      <c r="K185" s="1">
        <f t="shared" ca="1" si="154"/>
        <v>1.1258089422994566</v>
      </c>
      <c r="L185" s="1">
        <f t="shared" ca="1" si="155"/>
        <v>10</v>
      </c>
      <c r="M185" s="1"/>
      <c r="N185" s="1">
        <f t="shared" ca="1" si="156"/>
        <v>543</v>
      </c>
      <c r="O185" s="1">
        <f t="shared" ca="1" si="157"/>
        <v>24</v>
      </c>
      <c r="P185" s="1"/>
      <c r="Q185" s="1">
        <f t="shared" ca="1" si="158"/>
        <v>1.7162226117264914</v>
      </c>
      <c r="R185" s="1">
        <f t="shared" ca="1" si="159"/>
        <v>652</v>
      </c>
      <c r="S185" s="1"/>
      <c r="T185" s="1">
        <f t="shared" ca="1" si="160"/>
        <v>9.5807572272350261E-2</v>
      </c>
      <c r="U185" s="1">
        <f t="shared" ca="1" si="161"/>
        <v>277</v>
      </c>
      <c r="V185" s="1">
        <f t="shared" ca="1" si="162"/>
        <v>49</v>
      </c>
      <c r="W185" s="1"/>
      <c r="X185" s="1">
        <f t="shared" ca="1" si="163"/>
        <v>2.4272057170598096</v>
      </c>
      <c r="Y185" s="1">
        <f t="shared" ca="1" si="164"/>
        <v>0.50417594378051445</v>
      </c>
      <c r="Z185" s="1">
        <f t="shared" ca="1" si="165"/>
        <v>1201</v>
      </c>
      <c r="AB185" s="1">
        <f t="shared" ca="1" si="166"/>
        <v>0.19122275999069385</v>
      </c>
      <c r="AC185" s="1">
        <f t="shared" ca="1" si="167"/>
        <v>914</v>
      </c>
      <c r="AD185" s="1">
        <f t="shared" ca="1" si="168"/>
        <v>9.0420932978897608E-3</v>
      </c>
      <c r="AE185" s="1"/>
      <c r="AF185" s="1">
        <f t="shared" ca="1" si="169"/>
        <v>0.24516922483760936</v>
      </c>
      <c r="AG185" s="1">
        <f t="shared" ca="1" si="170"/>
        <v>568</v>
      </c>
      <c r="AH185" s="1">
        <f t="shared" ca="1" si="171"/>
        <v>9.8136976129608242E-3</v>
      </c>
      <c r="AJ185" s="1">
        <f t="shared" ca="1" si="172"/>
        <v>0.81595889562776502</v>
      </c>
      <c r="AK185" s="1">
        <f t="shared" ca="1" si="173"/>
        <v>4.4730305895453572E-3</v>
      </c>
      <c r="AL185" s="1"/>
      <c r="AM185" s="1">
        <f t="shared" ca="1" si="174"/>
        <v>0.18927017018958237</v>
      </c>
      <c r="AN185" s="1">
        <f t="shared" ca="1" si="175"/>
        <v>34</v>
      </c>
      <c r="AO185" s="1">
        <f t="shared" ca="1" si="176"/>
        <v>17</v>
      </c>
      <c r="AQ185" s="1">
        <f t="shared" ca="1" si="177"/>
        <v>171</v>
      </c>
      <c r="AR185" s="1">
        <f t="shared" ca="1" si="178"/>
        <v>4</v>
      </c>
      <c r="AS185" s="1">
        <f t="shared" ca="1" si="179"/>
        <v>51</v>
      </c>
      <c r="AU185" s="1">
        <f t="shared" ca="1" si="180"/>
        <v>175</v>
      </c>
      <c r="AV185" s="1">
        <f t="shared" ca="1" si="181"/>
        <v>3</v>
      </c>
      <c r="AW185" s="1">
        <f t="shared" ca="1" si="182"/>
        <v>6.2023980550595159E-2</v>
      </c>
      <c r="AY185" s="1">
        <f t="shared" ca="1" si="183"/>
        <v>1.5486382111161203</v>
      </c>
      <c r="AZ185" s="1">
        <f t="shared" ca="1" si="184"/>
        <v>339</v>
      </c>
      <c r="BA185" s="1">
        <f t="shared" ca="1" si="185"/>
        <v>6.9067087001092892E-3</v>
      </c>
      <c r="BG185" s="1">
        <f t="shared" ca="1" si="186"/>
        <v>0.34339489226503439</v>
      </c>
      <c r="BH185" s="1">
        <f t="shared" ca="1" si="187"/>
        <v>0.85596959449975718</v>
      </c>
      <c r="BI185" s="1">
        <f t="shared" ca="1" si="188"/>
        <v>809</v>
      </c>
      <c r="BV185" s="1">
        <f t="shared" ca="1" si="189"/>
        <v>0.69115667051270013</v>
      </c>
      <c r="BW185" s="1">
        <f t="shared" ca="1" si="190"/>
        <v>626</v>
      </c>
      <c r="BX185" s="1">
        <f t="shared" ca="1" si="191"/>
        <v>1.8028140142487736E-3</v>
      </c>
      <c r="BY185" s="1">
        <f t="shared" ca="1" si="192"/>
        <v>2.0950291717736571E-2</v>
      </c>
      <c r="BZ185" s="1">
        <f t="shared" ca="1" si="193"/>
        <v>9.688202009581881E-2</v>
      </c>
      <c r="CB185" s="1">
        <f t="shared" ca="1" si="194"/>
        <v>336</v>
      </c>
      <c r="CC185" s="1">
        <f t="shared" ca="1" si="195"/>
        <v>14</v>
      </c>
      <c r="CD185" s="1">
        <f t="shared" ca="1" si="196"/>
        <v>0.14840099361341311</v>
      </c>
      <c r="CE185" s="1">
        <f t="shared" ca="1" si="218"/>
        <v>0.52982757147024462</v>
      </c>
      <c r="CF185" s="1">
        <f t="shared" ca="1" si="218"/>
        <v>0.91808645107771558</v>
      </c>
      <c r="CH185" s="3">
        <f t="shared" ca="1" si="198"/>
        <v>0.69367974878453864</v>
      </c>
      <c r="CI185" s="3">
        <f t="shared" ca="1" si="199"/>
        <v>0.19036981808479556</v>
      </c>
      <c r="CJ185" s="3">
        <f t="shared" ca="1" si="200"/>
        <v>897</v>
      </c>
      <c r="CK185" s="3">
        <f t="shared" ca="1" si="201"/>
        <v>2.3354457410351822E-3</v>
      </c>
      <c r="CL185" s="3">
        <f t="shared" ca="1" si="202"/>
        <v>1</v>
      </c>
      <c r="CM185" s="3"/>
      <c r="CN185" s="1">
        <f t="shared" ca="1" si="203"/>
        <v>11.145124640868481</v>
      </c>
      <c r="CO185" s="1">
        <f t="shared" ca="1" si="204"/>
        <v>0.26480772776934719</v>
      </c>
      <c r="CP185" s="1">
        <f t="shared" ca="1" si="205"/>
        <v>5</v>
      </c>
      <c r="CV185" s="1">
        <f t="shared" ca="1" si="206"/>
        <v>3.68022748547624</v>
      </c>
      <c r="CW185" s="1">
        <f t="shared" ca="1" si="207"/>
        <v>1066</v>
      </c>
      <c r="CX185" s="1">
        <f t="shared" ca="1" si="208"/>
        <v>3.0245067596909037E-3</v>
      </c>
      <c r="DH185" s="1">
        <f t="shared" ca="1" si="209"/>
        <v>640</v>
      </c>
      <c r="DI185" s="1">
        <f t="shared" ca="1" si="210"/>
        <v>0.15873768851323561</v>
      </c>
      <c r="DJ185" s="1">
        <f t="shared" ca="1" si="211"/>
        <v>26</v>
      </c>
      <c r="DL185" s="1">
        <f t="shared" ca="1" si="212"/>
        <v>9.8002819060399565E-2</v>
      </c>
      <c r="DM185" s="1">
        <f t="shared" ca="1" si="213"/>
        <v>167</v>
      </c>
      <c r="DN185" s="1">
        <f t="shared" ca="1" si="214"/>
        <v>1</v>
      </c>
      <c r="DW185" s="1">
        <f t="shared" ca="1" si="215"/>
        <v>266</v>
      </c>
      <c r="DX185" s="1">
        <f t="shared" ca="1" si="216"/>
        <v>18</v>
      </c>
      <c r="DY185" s="1">
        <f t="shared" ca="1" si="217"/>
        <v>20</v>
      </c>
    </row>
    <row r="186" spans="2:129" x14ac:dyDescent="0.25">
      <c r="B186">
        <f t="shared" ca="1" si="147"/>
        <v>690</v>
      </c>
      <c r="C186">
        <f t="shared" ca="1" si="148"/>
        <v>19</v>
      </c>
      <c r="D186">
        <f t="shared" ca="1" si="149"/>
        <v>0.13168622591077783</v>
      </c>
      <c r="F186" s="1">
        <f t="shared" ca="1" si="150"/>
        <v>32</v>
      </c>
      <c r="G186" s="1">
        <f t="shared" ca="1" si="151"/>
        <v>19</v>
      </c>
      <c r="H186" s="1">
        <f t="shared" ca="1" si="152"/>
        <v>7</v>
      </c>
      <c r="I186" s="1"/>
      <c r="J186" s="1">
        <f t="shared" ca="1" si="153"/>
        <v>25</v>
      </c>
      <c r="K186" s="1">
        <f t="shared" ca="1" si="154"/>
        <v>2.7583069352125866</v>
      </c>
      <c r="L186" s="1">
        <f t="shared" ca="1" si="155"/>
        <v>25</v>
      </c>
      <c r="M186" s="1"/>
      <c r="N186" s="1">
        <f t="shared" ca="1" si="156"/>
        <v>682</v>
      </c>
      <c r="O186" s="1">
        <f t="shared" ca="1" si="157"/>
        <v>33</v>
      </c>
      <c r="P186" s="1"/>
      <c r="Q186" s="1">
        <f t="shared" ca="1" si="158"/>
        <v>4.1479135549493131</v>
      </c>
      <c r="R186" s="1">
        <f t="shared" ca="1" si="159"/>
        <v>206</v>
      </c>
      <c r="S186" s="1"/>
      <c r="T186" s="1">
        <f t="shared" ca="1" si="160"/>
        <v>0.18875524040497971</v>
      </c>
      <c r="U186" s="1">
        <f t="shared" ca="1" si="161"/>
        <v>72</v>
      </c>
      <c r="V186" s="1">
        <f t="shared" ca="1" si="162"/>
        <v>12</v>
      </c>
      <c r="W186" s="1"/>
      <c r="X186" s="1">
        <f t="shared" ca="1" si="163"/>
        <v>0.48361470556649322</v>
      </c>
      <c r="Y186" s="1">
        <f t="shared" ca="1" si="164"/>
        <v>0.73095169983405339</v>
      </c>
      <c r="Z186" s="1">
        <f t="shared" ca="1" si="165"/>
        <v>1729</v>
      </c>
      <c r="AB186" s="1">
        <f t="shared" ca="1" si="166"/>
        <v>0.29034876601823789</v>
      </c>
      <c r="AC186" s="1">
        <f t="shared" ca="1" si="167"/>
        <v>895</v>
      </c>
      <c r="AD186" s="1">
        <f t="shared" ca="1" si="168"/>
        <v>4.2738617902150821E-3</v>
      </c>
      <c r="AE186" s="1"/>
      <c r="AF186" s="1">
        <f t="shared" ca="1" si="169"/>
        <v>0.87638665086370571</v>
      </c>
      <c r="AG186" s="1">
        <f t="shared" ca="1" si="170"/>
        <v>758</v>
      </c>
      <c r="AH186" s="1">
        <f t="shared" ca="1" si="171"/>
        <v>7.9838965453570849E-3</v>
      </c>
      <c r="AJ186" s="1">
        <f t="shared" ca="1" si="172"/>
        <v>0.23024845382172032</v>
      </c>
      <c r="AK186" s="1">
        <f t="shared" ca="1" si="173"/>
        <v>6.5415712986958271E-3</v>
      </c>
      <c r="AL186" s="1"/>
      <c r="AM186" s="1">
        <f t="shared" ca="1" si="174"/>
        <v>3.6493329479532897E-2</v>
      </c>
      <c r="AN186" s="1">
        <f t="shared" ca="1" si="175"/>
        <v>28</v>
      </c>
      <c r="AO186" s="1">
        <f t="shared" ca="1" si="176"/>
        <v>7</v>
      </c>
      <c r="AQ186" s="1">
        <f t="shared" ca="1" si="177"/>
        <v>20</v>
      </c>
      <c r="AR186" s="1">
        <f t="shared" ca="1" si="178"/>
        <v>10</v>
      </c>
      <c r="AS186" s="1">
        <f t="shared" ca="1" si="179"/>
        <v>100</v>
      </c>
      <c r="AU186" s="1">
        <f t="shared" ca="1" si="180"/>
        <v>230</v>
      </c>
      <c r="AV186" s="1">
        <f t="shared" ca="1" si="181"/>
        <v>5</v>
      </c>
      <c r="AW186" s="1">
        <f t="shared" ca="1" si="182"/>
        <v>0.12777815285834507</v>
      </c>
      <c r="AY186" s="1">
        <f t="shared" ca="1" si="183"/>
        <v>1.8402416523653753</v>
      </c>
      <c r="AZ186" s="1">
        <f t="shared" ca="1" si="184"/>
        <v>292</v>
      </c>
      <c r="BA186" s="1">
        <f t="shared" ca="1" si="185"/>
        <v>3.7255326950828282E-3</v>
      </c>
      <c r="BG186" s="1">
        <f t="shared" ca="1" si="186"/>
        <v>0.81985778039952473</v>
      </c>
      <c r="BH186" s="1">
        <f t="shared" ca="1" si="187"/>
        <v>5.6131819639567149E-2</v>
      </c>
      <c r="BI186" s="1">
        <f t="shared" ca="1" si="188"/>
        <v>191</v>
      </c>
      <c r="BV186" s="1">
        <f t="shared" ca="1" si="189"/>
        <v>0.61279796542406861</v>
      </c>
      <c r="BW186" s="1">
        <f t="shared" ca="1" si="190"/>
        <v>117</v>
      </c>
      <c r="BX186" s="1">
        <f t="shared" ca="1" si="191"/>
        <v>6.9654682597877181E-3</v>
      </c>
      <c r="BY186" s="1">
        <f t="shared" ca="1" si="192"/>
        <v>4.8485404228933042E-2</v>
      </c>
      <c r="BZ186" s="1">
        <f t="shared" ca="1" si="193"/>
        <v>0.20985081594565502</v>
      </c>
      <c r="CB186" s="1">
        <f t="shared" ca="1" si="194"/>
        <v>257</v>
      </c>
      <c r="CC186" s="1">
        <f t="shared" ca="1" si="195"/>
        <v>10</v>
      </c>
      <c r="CD186" s="1">
        <f t="shared" ca="1" si="196"/>
        <v>0.16488835082231412</v>
      </c>
      <c r="CE186" s="1">
        <f t="shared" ca="1" si="218"/>
        <v>0.61981175461783478</v>
      </c>
      <c r="CF186" s="1">
        <f t="shared" ca="1" si="218"/>
        <v>0.93991067825963492</v>
      </c>
      <c r="CH186" s="3">
        <f t="shared" ca="1" si="198"/>
        <v>0.4527137474189078</v>
      </c>
      <c r="CI186" s="3">
        <f t="shared" ca="1" si="199"/>
        <v>0.3193928021064622</v>
      </c>
      <c r="CJ186" s="3">
        <f t="shared" ca="1" si="200"/>
        <v>996</v>
      </c>
      <c r="CK186" s="3">
        <f t="shared" ca="1" si="201"/>
        <v>8.4879495444354861E-3</v>
      </c>
      <c r="CL186" s="3">
        <f t="shared" ca="1" si="202"/>
        <v>0</v>
      </c>
      <c r="CM186" s="3"/>
      <c r="CN186" s="1">
        <f t="shared" ca="1" si="203"/>
        <v>19.899799900542728</v>
      </c>
      <c r="CO186" s="1">
        <f t="shared" ca="1" si="204"/>
        <v>0.3054092068174214</v>
      </c>
      <c r="CP186" s="1">
        <f t="shared" ca="1" si="205"/>
        <v>4</v>
      </c>
      <c r="CV186" s="1">
        <f t="shared" ca="1" si="206"/>
        <v>3.4329102140944139</v>
      </c>
      <c r="CW186" s="1">
        <f t="shared" ca="1" si="207"/>
        <v>1535</v>
      </c>
      <c r="CX186" s="1">
        <f t="shared" ca="1" si="208"/>
        <v>6.9784970246966789E-3</v>
      </c>
      <c r="DH186" s="1">
        <f t="shared" ca="1" si="209"/>
        <v>86</v>
      </c>
      <c r="DI186" s="1">
        <f t="shared" ca="1" si="210"/>
        <v>0.74627375853311262</v>
      </c>
      <c r="DJ186" s="1">
        <f t="shared" ca="1" si="211"/>
        <v>19</v>
      </c>
      <c r="DL186" s="1">
        <f t="shared" ca="1" si="212"/>
        <v>0.17644010025768403</v>
      </c>
      <c r="DM186" s="1">
        <f t="shared" ca="1" si="213"/>
        <v>193</v>
      </c>
      <c r="DN186" s="1">
        <f t="shared" ca="1" si="214"/>
        <v>7</v>
      </c>
      <c r="DW186" s="1">
        <f t="shared" ca="1" si="215"/>
        <v>137</v>
      </c>
      <c r="DX186" s="1">
        <f t="shared" ca="1" si="216"/>
        <v>14</v>
      </c>
      <c r="DY186" s="1">
        <f t="shared" ca="1" si="217"/>
        <v>12</v>
      </c>
    </row>
    <row r="187" spans="2:129" x14ac:dyDescent="0.25">
      <c r="B187">
        <f t="shared" ca="1" si="147"/>
        <v>698</v>
      </c>
      <c r="C187">
        <f t="shared" ca="1" si="148"/>
        <v>12</v>
      </c>
      <c r="D187">
        <f t="shared" ca="1" si="149"/>
        <v>0.28465916832707405</v>
      </c>
      <c r="F187" s="1">
        <f t="shared" ca="1" si="150"/>
        <v>16</v>
      </c>
      <c r="G187" s="1">
        <f t="shared" ca="1" si="151"/>
        <v>26</v>
      </c>
      <c r="H187" s="1">
        <f t="shared" ca="1" si="152"/>
        <v>1</v>
      </c>
      <c r="I187" s="1"/>
      <c r="J187" s="1">
        <f t="shared" ca="1" si="153"/>
        <v>17</v>
      </c>
      <c r="K187" s="1">
        <f t="shared" ca="1" si="154"/>
        <v>2.3629065636568987</v>
      </c>
      <c r="L187" s="1">
        <f t="shared" ca="1" si="155"/>
        <v>19</v>
      </c>
      <c r="M187" s="1"/>
      <c r="N187" s="1">
        <f t="shared" ca="1" si="156"/>
        <v>850</v>
      </c>
      <c r="O187" s="1">
        <f t="shared" ca="1" si="157"/>
        <v>42</v>
      </c>
      <c r="P187" s="1"/>
      <c r="Q187" s="1">
        <f t="shared" ca="1" si="158"/>
        <v>0.1100655187839126</v>
      </c>
      <c r="R187" s="1">
        <f t="shared" ca="1" si="159"/>
        <v>1044</v>
      </c>
      <c r="S187" s="1"/>
      <c r="T187" s="1">
        <f t="shared" ca="1" si="160"/>
        <v>0.14974601069836049</v>
      </c>
      <c r="U187" s="1">
        <f t="shared" ca="1" si="161"/>
        <v>338</v>
      </c>
      <c r="V187" s="1">
        <f t="shared" ca="1" si="162"/>
        <v>49</v>
      </c>
      <c r="W187" s="1"/>
      <c r="X187" s="1">
        <f t="shared" ca="1" si="163"/>
        <v>3.8155904569958849</v>
      </c>
      <c r="Y187" s="1">
        <f t="shared" ca="1" si="164"/>
        <v>0.18073985659707428</v>
      </c>
      <c r="Z187" s="1">
        <f t="shared" ca="1" si="165"/>
        <v>664</v>
      </c>
      <c r="AB187" s="1">
        <f t="shared" ca="1" si="166"/>
        <v>0.16435867251664446</v>
      </c>
      <c r="AC187" s="1">
        <f t="shared" ca="1" si="167"/>
        <v>298</v>
      </c>
      <c r="AD187" s="1">
        <f t="shared" ca="1" si="168"/>
        <v>3.3475735227400591E-3</v>
      </c>
      <c r="AE187" s="1"/>
      <c r="AF187" s="1">
        <f t="shared" ca="1" si="169"/>
        <v>0.73551253947351769</v>
      </c>
      <c r="AG187" s="1">
        <f t="shared" ca="1" si="170"/>
        <v>744</v>
      </c>
      <c r="AH187" s="1">
        <f t="shared" ca="1" si="171"/>
        <v>6.6698677236909018E-3</v>
      </c>
      <c r="AJ187" s="1">
        <f t="shared" ca="1" si="172"/>
        <v>0.4733525066778731</v>
      </c>
      <c r="AK187" s="1">
        <f t="shared" ca="1" si="173"/>
        <v>5.9862566167379521E-3</v>
      </c>
      <c r="AL187" s="1"/>
      <c r="AM187" s="1">
        <f t="shared" ca="1" si="174"/>
        <v>8.3109538456756116E-2</v>
      </c>
      <c r="AN187" s="1">
        <f t="shared" ca="1" si="175"/>
        <v>63</v>
      </c>
      <c r="AO187" s="1">
        <f t="shared" ca="1" si="176"/>
        <v>13</v>
      </c>
      <c r="AQ187" s="1">
        <f t="shared" ca="1" si="177"/>
        <v>77</v>
      </c>
      <c r="AR187" s="1">
        <f t="shared" ca="1" si="178"/>
        <v>1</v>
      </c>
      <c r="AS187" s="1">
        <f t="shared" ca="1" si="179"/>
        <v>24</v>
      </c>
      <c r="AU187" s="1">
        <f t="shared" ca="1" si="180"/>
        <v>368</v>
      </c>
      <c r="AV187" s="1">
        <f t="shared" ca="1" si="181"/>
        <v>9</v>
      </c>
      <c r="AW187" s="1">
        <f t="shared" ca="1" si="182"/>
        <v>0.14372839855916686</v>
      </c>
      <c r="AY187" s="1">
        <f t="shared" ca="1" si="183"/>
        <v>1.8907159411976875</v>
      </c>
      <c r="AZ187" s="1">
        <f t="shared" ca="1" si="184"/>
        <v>310</v>
      </c>
      <c r="BA187" s="1">
        <f t="shared" ca="1" si="185"/>
        <v>9.4821160942101679E-3</v>
      </c>
      <c r="BG187" s="1">
        <f t="shared" ca="1" si="186"/>
        <v>0.921409312201808</v>
      </c>
      <c r="BH187" s="1">
        <f t="shared" ca="1" si="187"/>
        <v>0.78857546345886975</v>
      </c>
      <c r="BI187" s="1">
        <f t="shared" ca="1" si="188"/>
        <v>719</v>
      </c>
      <c r="BV187" s="1">
        <f t="shared" ca="1" si="189"/>
        <v>0.80350917163578273</v>
      </c>
      <c r="BW187" s="1">
        <f t="shared" ca="1" si="190"/>
        <v>319</v>
      </c>
      <c r="BX187" s="1">
        <f t="shared" ca="1" si="191"/>
        <v>4.1130758571224293E-3</v>
      </c>
      <c r="BY187" s="1">
        <f t="shared" ca="1" si="192"/>
        <v>1.6605130623782358E-2</v>
      </c>
      <c r="BZ187" s="1">
        <f t="shared" ca="1" si="193"/>
        <v>0.46180021226768375</v>
      </c>
      <c r="CB187" s="1">
        <f t="shared" ca="1" si="194"/>
        <v>76</v>
      </c>
      <c r="CC187" s="1">
        <f t="shared" ca="1" si="195"/>
        <v>15</v>
      </c>
      <c r="CD187" s="1">
        <f t="shared" ca="1" si="196"/>
        <v>5.8259048832469545E-2</v>
      </c>
      <c r="CE187" s="1">
        <f t="shared" ca="1" si="218"/>
        <v>0.8686280012748453</v>
      </c>
      <c r="CF187" s="1">
        <f t="shared" ca="1" si="218"/>
        <v>0.9018786919221935</v>
      </c>
      <c r="CH187" s="3">
        <f t="shared" ca="1" si="198"/>
        <v>0.71565925378032247</v>
      </c>
      <c r="CI187" s="3">
        <f t="shared" ca="1" si="199"/>
        <v>0.84973446951872955</v>
      </c>
      <c r="CJ187" s="3">
        <f t="shared" ca="1" si="200"/>
        <v>306</v>
      </c>
      <c r="CK187" s="3">
        <f t="shared" ca="1" si="201"/>
        <v>3.3567855976462204E-3</v>
      </c>
      <c r="CL187" s="3">
        <f t="shared" ca="1" si="202"/>
        <v>1</v>
      </c>
      <c r="CM187" s="3"/>
      <c r="CN187" s="1">
        <f t="shared" ca="1" si="203"/>
        <v>5.5893796916400174</v>
      </c>
      <c r="CO187" s="1">
        <f t="shared" ca="1" si="204"/>
        <v>0.26231648880373448</v>
      </c>
      <c r="CP187" s="1">
        <f t="shared" ca="1" si="205"/>
        <v>4</v>
      </c>
      <c r="CV187" s="1">
        <f t="shared" ca="1" si="206"/>
        <v>4.6142173579017296</v>
      </c>
      <c r="CW187" s="1">
        <f t="shared" ca="1" si="207"/>
        <v>1313</v>
      </c>
      <c r="CX187" s="1">
        <f t="shared" ca="1" si="208"/>
        <v>9.8602646875268572E-3</v>
      </c>
      <c r="DH187" s="1">
        <f t="shared" ca="1" si="209"/>
        <v>757</v>
      </c>
      <c r="DI187" s="1">
        <f t="shared" ca="1" si="210"/>
        <v>0.29687660836737667</v>
      </c>
      <c r="DJ187" s="1">
        <f t="shared" ca="1" si="211"/>
        <v>2</v>
      </c>
      <c r="DL187" s="1">
        <f t="shared" ca="1" si="212"/>
        <v>8.2396915474741136E-2</v>
      </c>
      <c r="DM187" s="1">
        <f t="shared" ca="1" si="213"/>
        <v>246</v>
      </c>
      <c r="DN187" s="1">
        <f t="shared" ca="1" si="214"/>
        <v>9</v>
      </c>
      <c r="DW187" s="1">
        <f t="shared" ca="1" si="215"/>
        <v>162</v>
      </c>
      <c r="DX187" s="1">
        <f t="shared" ca="1" si="216"/>
        <v>16</v>
      </c>
      <c r="DY187" s="1">
        <f t="shared" ca="1" si="217"/>
        <v>4</v>
      </c>
    </row>
    <row r="188" spans="2:129" x14ac:dyDescent="0.25">
      <c r="B188">
        <f t="shared" ca="1" si="147"/>
        <v>617</v>
      </c>
      <c r="C188">
        <f t="shared" ca="1" si="148"/>
        <v>20</v>
      </c>
      <c r="D188">
        <f t="shared" ca="1" si="149"/>
        <v>7.2093932999828025E-2</v>
      </c>
      <c r="F188" s="1">
        <f t="shared" ca="1" si="150"/>
        <v>20</v>
      </c>
      <c r="G188" s="1">
        <f t="shared" ca="1" si="151"/>
        <v>17</v>
      </c>
      <c r="H188" s="1">
        <f t="shared" ca="1" si="152"/>
        <v>7</v>
      </c>
      <c r="I188" s="1"/>
      <c r="J188" s="1">
        <f t="shared" ca="1" si="153"/>
        <v>28</v>
      </c>
      <c r="K188" s="1">
        <f t="shared" ca="1" si="154"/>
        <v>2.2861730518905388</v>
      </c>
      <c r="L188" s="1">
        <f t="shared" ca="1" si="155"/>
        <v>9</v>
      </c>
      <c r="M188" s="1"/>
      <c r="N188" s="1">
        <f t="shared" ca="1" si="156"/>
        <v>521</v>
      </c>
      <c r="O188" s="1">
        <f t="shared" ca="1" si="157"/>
        <v>52</v>
      </c>
      <c r="P188" s="1"/>
      <c r="Q188" s="1">
        <f t="shared" ca="1" si="158"/>
        <v>4.0110081170277763</v>
      </c>
      <c r="R188" s="1">
        <f t="shared" ca="1" si="159"/>
        <v>1169</v>
      </c>
      <c r="S188" s="1"/>
      <c r="T188" s="1">
        <f t="shared" ca="1" si="160"/>
        <v>0.12757738528143994</v>
      </c>
      <c r="U188" s="1">
        <f t="shared" ca="1" si="161"/>
        <v>311</v>
      </c>
      <c r="V188" s="1">
        <f t="shared" ca="1" si="162"/>
        <v>19</v>
      </c>
      <c r="W188" s="1"/>
      <c r="X188" s="1">
        <f t="shared" ca="1" si="163"/>
        <v>1.2555229115003739</v>
      </c>
      <c r="Y188" s="1">
        <f t="shared" ca="1" si="164"/>
        <v>0.27017483282953147</v>
      </c>
      <c r="Z188" s="1">
        <f t="shared" ca="1" si="165"/>
        <v>660</v>
      </c>
      <c r="AB188" s="1">
        <f t="shared" ca="1" si="166"/>
        <v>0.26597468501739485</v>
      </c>
      <c r="AC188" s="1">
        <f t="shared" ca="1" si="167"/>
        <v>111</v>
      </c>
      <c r="AD188" s="1">
        <f t="shared" ca="1" si="168"/>
        <v>6.6945106398279067E-3</v>
      </c>
      <c r="AE188" s="1"/>
      <c r="AF188" s="1">
        <f t="shared" ca="1" si="169"/>
        <v>0.39157169691663551</v>
      </c>
      <c r="AG188" s="1">
        <f t="shared" ca="1" si="170"/>
        <v>482</v>
      </c>
      <c r="AH188" s="1">
        <f t="shared" ca="1" si="171"/>
        <v>4.0307820493790721E-3</v>
      </c>
      <c r="AJ188" s="1">
        <f t="shared" ca="1" si="172"/>
        <v>0.99993231540137939</v>
      </c>
      <c r="AK188" s="1">
        <f t="shared" ca="1" si="173"/>
        <v>2.8514681900930761E-3</v>
      </c>
      <c r="AL188" s="1"/>
      <c r="AM188" s="1">
        <f t="shared" ca="1" si="174"/>
        <v>1.505940149889428E-2</v>
      </c>
      <c r="AN188" s="1">
        <f t="shared" ca="1" si="175"/>
        <v>65</v>
      </c>
      <c r="AO188" s="1">
        <f t="shared" ca="1" si="176"/>
        <v>1</v>
      </c>
      <c r="AQ188" s="1">
        <f t="shared" ca="1" si="177"/>
        <v>132</v>
      </c>
      <c r="AR188" s="1">
        <f t="shared" ca="1" si="178"/>
        <v>5</v>
      </c>
      <c r="AS188" s="1">
        <f t="shared" ca="1" si="179"/>
        <v>45</v>
      </c>
      <c r="AU188" s="1">
        <f t="shared" ca="1" si="180"/>
        <v>268</v>
      </c>
      <c r="AV188" s="1">
        <f t="shared" ca="1" si="181"/>
        <v>2</v>
      </c>
      <c r="AW188" s="1">
        <f t="shared" ca="1" si="182"/>
        <v>0.10735142228471921</v>
      </c>
      <c r="AY188" s="1">
        <f t="shared" ca="1" si="183"/>
        <v>1.4258865893342338</v>
      </c>
      <c r="AZ188" s="1">
        <f t="shared" ca="1" si="184"/>
        <v>439</v>
      </c>
      <c r="BA188" s="1">
        <f t="shared" ca="1" si="185"/>
        <v>5.8405567005354042E-3</v>
      </c>
      <c r="BG188" s="1">
        <f t="shared" ca="1" si="186"/>
        <v>0.76419723611059376</v>
      </c>
      <c r="BH188" s="1">
        <f t="shared" ca="1" si="187"/>
        <v>0.92370670263391208</v>
      </c>
      <c r="BI188" s="1">
        <f t="shared" ca="1" si="188"/>
        <v>152</v>
      </c>
      <c r="BV188" s="1">
        <f t="shared" ca="1" si="189"/>
        <v>0.44250262736221796</v>
      </c>
      <c r="BW188" s="1">
        <f t="shared" ca="1" si="190"/>
        <v>286</v>
      </c>
      <c r="BX188" s="1">
        <f t="shared" ca="1" si="191"/>
        <v>6.2762647532528769E-3</v>
      </c>
      <c r="BY188" s="1">
        <f t="shared" ca="1" si="192"/>
        <v>8.2947427207490917E-2</v>
      </c>
      <c r="BZ188" s="1">
        <f t="shared" ca="1" si="193"/>
        <v>0.96918417768890497</v>
      </c>
      <c r="CB188" s="1">
        <f t="shared" ca="1" si="194"/>
        <v>336</v>
      </c>
      <c r="CC188" s="1">
        <f t="shared" ca="1" si="195"/>
        <v>3</v>
      </c>
      <c r="CD188" s="1">
        <f t="shared" ca="1" si="196"/>
        <v>0.24856140207028848</v>
      </c>
      <c r="CE188" s="1">
        <f t="shared" ca="1" si="218"/>
        <v>0.8822017551681629</v>
      </c>
      <c r="CF188" s="1">
        <f t="shared" ca="1" si="218"/>
        <v>0.74402453185167816</v>
      </c>
      <c r="CH188" s="3">
        <f t="shared" ca="1" si="198"/>
        <v>0.48383924650666393</v>
      </c>
      <c r="CI188" s="3">
        <f t="shared" ca="1" si="199"/>
        <v>0.35949599826297324</v>
      </c>
      <c r="CJ188" s="3">
        <f t="shared" ca="1" si="200"/>
        <v>478</v>
      </c>
      <c r="CK188" s="3">
        <f t="shared" ca="1" si="201"/>
        <v>7.4081173202986518E-3</v>
      </c>
      <c r="CL188" s="3">
        <f t="shared" ca="1" si="202"/>
        <v>0</v>
      </c>
      <c r="CM188" s="3"/>
      <c r="CN188" s="1">
        <f t="shared" ca="1" si="203"/>
        <v>11.272572008915422</v>
      </c>
      <c r="CO188" s="1">
        <f t="shared" ca="1" si="204"/>
        <v>7.723919904826132E-2</v>
      </c>
      <c r="CP188" s="1">
        <f t="shared" ca="1" si="205"/>
        <v>3</v>
      </c>
      <c r="CV188" s="1">
        <f t="shared" ca="1" si="206"/>
        <v>0.97293809384982577</v>
      </c>
      <c r="CW188" s="1">
        <f t="shared" ca="1" si="207"/>
        <v>1964</v>
      </c>
      <c r="CX188" s="1">
        <f t="shared" ca="1" si="208"/>
        <v>6.3200030270860218E-4</v>
      </c>
      <c r="DH188" s="1">
        <f t="shared" ca="1" si="209"/>
        <v>576</v>
      </c>
      <c r="DI188" s="1">
        <f t="shared" ca="1" si="210"/>
        <v>0.61005678830094756</v>
      </c>
      <c r="DJ188" s="1">
        <f t="shared" ca="1" si="211"/>
        <v>1</v>
      </c>
      <c r="DL188" s="1">
        <f t="shared" ca="1" si="212"/>
        <v>3.9242563137801084E-2</v>
      </c>
      <c r="DM188" s="1">
        <f t="shared" ca="1" si="213"/>
        <v>224</v>
      </c>
      <c r="DN188" s="1">
        <f t="shared" ca="1" si="214"/>
        <v>6</v>
      </c>
      <c r="DW188" s="1">
        <f t="shared" ca="1" si="215"/>
        <v>110</v>
      </c>
      <c r="DX188" s="1">
        <f t="shared" ca="1" si="216"/>
        <v>5</v>
      </c>
      <c r="DY188" s="1">
        <f t="shared" ca="1" si="217"/>
        <v>6</v>
      </c>
    </row>
    <row r="189" spans="2:129" x14ac:dyDescent="0.25">
      <c r="B189">
        <f t="shared" ca="1" si="147"/>
        <v>578</v>
      </c>
      <c r="C189">
        <f t="shared" ca="1" si="148"/>
        <v>29</v>
      </c>
      <c r="D189">
        <f t="shared" ca="1" si="149"/>
        <v>1.2347590981211555E-2</v>
      </c>
      <c r="F189" s="1">
        <f t="shared" ca="1" si="150"/>
        <v>6</v>
      </c>
      <c r="G189" s="1">
        <f t="shared" ca="1" si="151"/>
        <v>30</v>
      </c>
      <c r="H189" s="1">
        <f t="shared" ca="1" si="152"/>
        <v>1</v>
      </c>
      <c r="I189" s="1"/>
      <c r="J189" s="1">
        <f t="shared" ca="1" si="153"/>
        <v>13</v>
      </c>
      <c r="K189" s="1">
        <f t="shared" ca="1" si="154"/>
        <v>1.662189609276673</v>
      </c>
      <c r="L189" s="1">
        <f t="shared" ca="1" si="155"/>
        <v>13</v>
      </c>
      <c r="M189" s="1"/>
      <c r="N189" s="1">
        <f t="shared" ca="1" si="156"/>
        <v>292</v>
      </c>
      <c r="O189" s="1">
        <f t="shared" ca="1" si="157"/>
        <v>5</v>
      </c>
      <c r="P189" s="1"/>
      <c r="Q189" s="1">
        <f t="shared" ca="1" si="158"/>
        <v>2.1318373254035974</v>
      </c>
      <c r="R189" s="1">
        <f t="shared" ca="1" si="159"/>
        <v>947</v>
      </c>
      <c r="S189" s="1"/>
      <c r="T189" s="1">
        <f t="shared" ca="1" si="160"/>
        <v>0.13069419271881727</v>
      </c>
      <c r="U189" s="1">
        <f t="shared" ca="1" si="161"/>
        <v>375</v>
      </c>
      <c r="V189" s="1">
        <f t="shared" ca="1" si="162"/>
        <v>32</v>
      </c>
      <c r="W189" s="1"/>
      <c r="X189" s="1">
        <f t="shared" ca="1" si="163"/>
        <v>0.82140664960163812</v>
      </c>
      <c r="Y189" s="1">
        <f t="shared" ca="1" si="164"/>
        <v>0.73705218110675275</v>
      </c>
      <c r="Z189" s="1">
        <f t="shared" ca="1" si="165"/>
        <v>1193</v>
      </c>
      <c r="AB189" s="1">
        <f t="shared" ca="1" si="166"/>
        <v>0.96647753893500299</v>
      </c>
      <c r="AC189" s="1">
        <f t="shared" ca="1" si="167"/>
        <v>998</v>
      </c>
      <c r="AD189" s="1">
        <f t="shared" ca="1" si="168"/>
        <v>9.5995792395674392E-3</v>
      </c>
      <c r="AE189" s="1"/>
      <c r="AF189" s="1">
        <f t="shared" ca="1" si="169"/>
        <v>0.78492444699910979</v>
      </c>
      <c r="AG189" s="1">
        <f t="shared" ca="1" si="170"/>
        <v>792</v>
      </c>
      <c r="AH189" s="1">
        <f t="shared" ca="1" si="171"/>
        <v>1.3383503830536438E-3</v>
      </c>
      <c r="AJ189" s="1">
        <f t="shared" ca="1" si="172"/>
        <v>0.44931356148065016</v>
      </c>
      <c r="AK189" s="1">
        <f t="shared" ca="1" si="173"/>
        <v>9.2429721058560793E-5</v>
      </c>
      <c r="AL189" s="1"/>
      <c r="AM189" s="1">
        <f t="shared" ca="1" si="174"/>
        <v>4.3236757469592525E-2</v>
      </c>
      <c r="AN189" s="1">
        <f t="shared" ca="1" si="175"/>
        <v>78</v>
      </c>
      <c r="AO189" s="1">
        <f t="shared" ca="1" si="176"/>
        <v>12</v>
      </c>
      <c r="AQ189" s="1">
        <f t="shared" ca="1" si="177"/>
        <v>148</v>
      </c>
      <c r="AR189" s="1">
        <f t="shared" ca="1" si="178"/>
        <v>9</v>
      </c>
      <c r="AS189" s="1">
        <f t="shared" ca="1" si="179"/>
        <v>5</v>
      </c>
      <c r="AU189" s="1">
        <f t="shared" ca="1" si="180"/>
        <v>356</v>
      </c>
      <c r="AV189" s="1">
        <f t="shared" ca="1" si="181"/>
        <v>2</v>
      </c>
      <c r="AW189" s="1">
        <f t="shared" ca="1" si="182"/>
        <v>0.1721698656242944</v>
      </c>
      <c r="AY189" s="1">
        <f t="shared" ca="1" si="183"/>
        <v>1.9294761520275705</v>
      </c>
      <c r="AZ189" s="1">
        <f t="shared" ca="1" si="184"/>
        <v>369</v>
      </c>
      <c r="BA189" s="1">
        <f t="shared" ca="1" si="185"/>
        <v>1.0241391526593477E-5</v>
      </c>
      <c r="BG189" s="1">
        <f t="shared" ca="1" si="186"/>
        <v>0.63191683078945282</v>
      </c>
      <c r="BH189" s="1">
        <f t="shared" ca="1" si="187"/>
        <v>0.7103919705060926</v>
      </c>
      <c r="BI189" s="1">
        <f t="shared" ca="1" si="188"/>
        <v>590</v>
      </c>
      <c r="BV189" s="1">
        <f t="shared" ca="1" si="189"/>
        <v>0.2749253541509703</v>
      </c>
      <c r="BW189" s="1">
        <f t="shared" ca="1" si="190"/>
        <v>138</v>
      </c>
      <c r="BX189" s="1">
        <f t="shared" ca="1" si="191"/>
        <v>2.3612676704159673E-3</v>
      </c>
      <c r="BY189" s="1">
        <f t="shared" ca="1" si="192"/>
        <v>4.4260543517316606E-2</v>
      </c>
      <c r="BZ189" s="1">
        <f t="shared" ca="1" si="193"/>
        <v>0.75432854088934265</v>
      </c>
      <c r="CB189" s="1">
        <f t="shared" ca="1" si="194"/>
        <v>81</v>
      </c>
      <c r="CC189" s="1">
        <f t="shared" ca="1" si="195"/>
        <v>13</v>
      </c>
      <c r="CD189" s="1">
        <f t="shared" ca="1" si="196"/>
        <v>0.24739645683657319</v>
      </c>
      <c r="CE189" s="1">
        <f t="shared" ca="1" si="218"/>
        <v>0.99685299546555117</v>
      </c>
      <c r="CF189" s="1">
        <f t="shared" ca="1" si="218"/>
        <v>0.74855546602980461</v>
      </c>
      <c r="CH189" s="3">
        <f t="shared" ca="1" si="198"/>
        <v>0.30923841473813951</v>
      </c>
      <c r="CI189" s="3">
        <f t="shared" ca="1" si="199"/>
        <v>0.62546002339126272</v>
      </c>
      <c r="CJ189" s="3">
        <f t="shared" ca="1" si="200"/>
        <v>1011</v>
      </c>
      <c r="CK189" s="3">
        <f t="shared" ca="1" si="201"/>
        <v>9.0958325226030319E-4</v>
      </c>
      <c r="CL189" s="3">
        <f t="shared" ca="1" si="202"/>
        <v>0</v>
      </c>
      <c r="CM189" s="3"/>
      <c r="CN189" s="1">
        <f t="shared" ca="1" si="203"/>
        <v>0.44318241619594945</v>
      </c>
      <c r="CO189" s="1">
        <f t="shared" ca="1" si="204"/>
        <v>0.47646314914590165</v>
      </c>
      <c r="CP189" s="1">
        <f t="shared" ca="1" si="205"/>
        <v>3</v>
      </c>
      <c r="CV189" s="1">
        <f t="shared" ca="1" si="206"/>
        <v>3.777415973968397</v>
      </c>
      <c r="CW189" s="1">
        <f t="shared" ca="1" si="207"/>
        <v>1582</v>
      </c>
      <c r="CX189" s="1">
        <f t="shared" ca="1" si="208"/>
        <v>6.9380162585044721E-3</v>
      </c>
      <c r="DH189" s="1">
        <f t="shared" ca="1" si="209"/>
        <v>799</v>
      </c>
      <c r="DI189" s="1">
        <f t="shared" ca="1" si="210"/>
        <v>0.10002529194016473</v>
      </c>
      <c r="DJ189" s="1">
        <f t="shared" ca="1" si="211"/>
        <v>7</v>
      </c>
      <c r="DL189" s="1">
        <f t="shared" ca="1" si="212"/>
        <v>0.13620985087871651</v>
      </c>
      <c r="DM189" s="1">
        <f t="shared" ca="1" si="213"/>
        <v>53</v>
      </c>
      <c r="DN189" s="1">
        <f t="shared" ca="1" si="214"/>
        <v>4</v>
      </c>
      <c r="DW189" s="1">
        <f t="shared" ca="1" si="215"/>
        <v>485</v>
      </c>
      <c r="DX189" s="1">
        <f t="shared" ca="1" si="216"/>
        <v>8</v>
      </c>
      <c r="DY189" s="1">
        <f t="shared" ca="1" si="217"/>
        <v>2</v>
      </c>
    </row>
    <row r="190" spans="2:129" x14ac:dyDescent="0.25">
      <c r="B190">
        <f t="shared" ca="1" si="147"/>
        <v>53</v>
      </c>
      <c r="C190">
        <f t="shared" ca="1" si="148"/>
        <v>2</v>
      </c>
      <c r="D190">
        <f t="shared" ca="1" si="149"/>
        <v>0.10494183085144401</v>
      </c>
      <c r="F190" s="1">
        <f t="shared" ca="1" si="150"/>
        <v>26</v>
      </c>
      <c r="G190" s="1">
        <f t="shared" ca="1" si="151"/>
        <v>4</v>
      </c>
      <c r="H190" s="1">
        <f t="shared" ca="1" si="152"/>
        <v>8</v>
      </c>
      <c r="I190" s="1"/>
      <c r="J190" s="1">
        <f t="shared" ca="1" si="153"/>
        <v>4</v>
      </c>
      <c r="K190" s="1">
        <f t="shared" ca="1" si="154"/>
        <v>2.2490627459597508</v>
      </c>
      <c r="L190" s="1">
        <f t="shared" ca="1" si="155"/>
        <v>13</v>
      </c>
      <c r="M190" s="1"/>
      <c r="N190" s="1">
        <f t="shared" ca="1" si="156"/>
        <v>324</v>
      </c>
      <c r="O190" s="1">
        <f t="shared" ca="1" si="157"/>
        <v>52</v>
      </c>
      <c r="P190" s="1"/>
      <c r="Q190" s="1">
        <f t="shared" ca="1" si="158"/>
        <v>1.3758053409285442</v>
      </c>
      <c r="R190" s="1">
        <f t="shared" ca="1" si="159"/>
        <v>405</v>
      </c>
      <c r="S190" s="1"/>
      <c r="T190" s="1">
        <f t="shared" ca="1" si="160"/>
        <v>0.15284271878479308</v>
      </c>
      <c r="U190" s="1">
        <f t="shared" ca="1" si="161"/>
        <v>363</v>
      </c>
      <c r="V190" s="1">
        <f t="shared" ca="1" si="162"/>
        <v>40</v>
      </c>
      <c r="W190" s="1"/>
      <c r="X190" s="1">
        <f t="shared" ca="1" si="163"/>
        <v>8.222572437231495</v>
      </c>
      <c r="Y190" s="1">
        <f t="shared" ca="1" si="164"/>
        <v>0.38714290387275713</v>
      </c>
      <c r="Z190" s="1">
        <f t="shared" ca="1" si="165"/>
        <v>182</v>
      </c>
      <c r="AB190" s="1">
        <f t="shared" ca="1" si="166"/>
        <v>0.39666157816022796</v>
      </c>
      <c r="AC190" s="1">
        <f t="shared" ca="1" si="167"/>
        <v>577</v>
      </c>
      <c r="AD190" s="1">
        <f t="shared" ca="1" si="168"/>
        <v>4.6975125714588638E-3</v>
      </c>
      <c r="AE190" s="1"/>
      <c r="AF190" s="1">
        <f t="shared" ca="1" si="169"/>
        <v>0.8561970559442813</v>
      </c>
      <c r="AG190" s="1">
        <f t="shared" ca="1" si="170"/>
        <v>275</v>
      </c>
      <c r="AH190" s="1">
        <f t="shared" ca="1" si="171"/>
        <v>8.7796074125091241E-3</v>
      </c>
      <c r="AJ190" s="1">
        <f t="shared" ca="1" si="172"/>
        <v>0.84857987891323994</v>
      </c>
      <c r="AK190" s="1">
        <f t="shared" ca="1" si="173"/>
        <v>9.0132369060715338E-4</v>
      </c>
      <c r="AL190" s="1"/>
      <c r="AM190" s="1">
        <f t="shared" ca="1" si="174"/>
        <v>0.1854379112004331</v>
      </c>
      <c r="AN190" s="1">
        <f t="shared" ca="1" si="175"/>
        <v>49</v>
      </c>
      <c r="AO190" s="1">
        <f t="shared" ca="1" si="176"/>
        <v>3</v>
      </c>
      <c r="AQ190" s="1">
        <f t="shared" ca="1" si="177"/>
        <v>83</v>
      </c>
      <c r="AR190" s="1">
        <f t="shared" ca="1" si="178"/>
        <v>9</v>
      </c>
      <c r="AS190" s="1">
        <f t="shared" ca="1" si="179"/>
        <v>68</v>
      </c>
      <c r="AU190" s="1">
        <f t="shared" ca="1" si="180"/>
        <v>151</v>
      </c>
      <c r="AV190" s="1">
        <f t="shared" ca="1" si="181"/>
        <v>8</v>
      </c>
      <c r="AW190" s="1">
        <f t="shared" ca="1" si="182"/>
        <v>4.3193239921933066E-2</v>
      </c>
      <c r="AY190" s="1">
        <f t="shared" ca="1" si="183"/>
        <v>1.1454292748384816</v>
      </c>
      <c r="AZ190" s="1">
        <f t="shared" ca="1" si="184"/>
        <v>171</v>
      </c>
      <c r="BA190" s="1">
        <f t="shared" ca="1" si="185"/>
        <v>1.5488176840380466E-3</v>
      </c>
      <c r="BG190" s="1">
        <f t="shared" ca="1" si="186"/>
        <v>0.88828284027655524</v>
      </c>
      <c r="BH190" s="1">
        <f t="shared" ca="1" si="187"/>
        <v>0.73413165553193327</v>
      </c>
      <c r="BI190" s="1">
        <f t="shared" ca="1" si="188"/>
        <v>188</v>
      </c>
      <c r="BV190" s="1">
        <f t="shared" ca="1" si="189"/>
        <v>1.2457103781271614E-2</v>
      </c>
      <c r="BW190" s="1">
        <f t="shared" ca="1" si="190"/>
        <v>158</v>
      </c>
      <c r="BX190" s="1">
        <f t="shared" ca="1" si="191"/>
        <v>2.8611766562685968E-3</v>
      </c>
      <c r="BY190" s="1">
        <f t="shared" ca="1" si="192"/>
        <v>2.946510418519856E-2</v>
      </c>
      <c r="BZ190" s="1">
        <f t="shared" ca="1" si="193"/>
        <v>0.34854373604890732</v>
      </c>
      <c r="CB190" s="1">
        <f t="shared" ca="1" si="194"/>
        <v>257</v>
      </c>
      <c r="CC190" s="1">
        <f t="shared" ca="1" si="195"/>
        <v>3</v>
      </c>
      <c r="CD190" s="1">
        <f t="shared" ca="1" si="196"/>
        <v>0.20739889932425482</v>
      </c>
      <c r="CE190" s="1">
        <f t="shared" ca="1" si="218"/>
        <v>0.70626686703640007</v>
      </c>
      <c r="CF190" s="1">
        <f t="shared" ca="1" si="218"/>
        <v>0.78129928886705757</v>
      </c>
      <c r="CH190" s="3">
        <f t="shared" ca="1" si="198"/>
        <v>0.95600084007196939</v>
      </c>
      <c r="CI190" s="3">
        <f t="shared" ca="1" si="199"/>
        <v>0.4288062386515713</v>
      </c>
      <c r="CJ190" s="3">
        <f t="shared" ca="1" si="200"/>
        <v>1485</v>
      </c>
      <c r="CK190" s="3">
        <f t="shared" ca="1" si="201"/>
        <v>9.4372765406647036E-3</v>
      </c>
      <c r="CL190" s="3">
        <f t="shared" ca="1" si="202"/>
        <v>1</v>
      </c>
      <c r="CM190" s="3"/>
      <c r="CN190" s="1">
        <f t="shared" ca="1" si="203"/>
        <v>17.455836508659331</v>
      </c>
      <c r="CO190" s="1">
        <f t="shared" ca="1" si="204"/>
        <v>0.37842964059590201</v>
      </c>
      <c r="CP190" s="1">
        <f t="shared" ca="1" si="205"/>
        <v>1</v>
      </c>
      <c r="CV190" s="1">
        <f t="shared" ca="1" si="206"/>
        <v>4.5466599664260068</v>
      </c>
      <c r="CW190" s="1">
        <f t="shared" ca="1" si="207"/>
        <v>478</v>
      </c>
      <c r="CX190" s="1">
        <f t="shared" ca="1" si="208"/>
        <v>7.3453289120401976E-3</v>
      </c>
      <c r="DH190" s="1">
        <f t="shared" ca="1" si="209"/>
        <v>797</v>
      </c>
      <c r="DI190" s="1">
        <f t="shared" ca="1" si="210"/>
        <v>0.62538790868642358</v>
      </c>
      <c r="DJ190" s="1">
        <f t="shared" ca="1" si="211"/>
        <v>24</v>
      </c>
      <c r="DL190" s="1">
        <f t="shared" ca="1" si="212"/>
        <v>0.12089155393147362</v>
      </c>
      <c r="DM190" s="1">
        <f t="shared" ca="1" si="213"/>
        <v>151</v>
      </c>
      <c r="DN190" s="1">
        <f t="shared" ca="1" si="214"/>
        <v>8</v>
      </c>
      <c r="DW190" s="1">
        <f t="shared" ca="1" si="215"/>
        <v>441</v>
      </c>
      <c r="DX190" s="1">
        <f t="shared" ca="1" si="216"/>
        <v>20</v>
      </c>
      <c r="DY190" s="1">
        <f t="shared" ca="1" si="217"/>
        <v>5</v>
      </c>
    </row>
    <row r="191" spans="2:129" x14ac:dyDescent="0.25">
      <c r="B191">
        <f t="shared" ca="1" si="147"/>
        <v>813</v>
      </c>
      <c r="C191">
        <f t="shared" ca="1" si="148"/>
        <v>17</v>
      </c>
      <c r="D191">
        <f t="shared" ca="1" si="149"/>
        <v>9.9760777683883639E-2</v>
      </c>
      <c r="F191" s="1">
        <f t="shared" ca="1" si="150"/>
        <v>16</v>
      </c>
      <c r="G191" s="1">
        <f t="shared" ca="1" si="151"/>
        <v>16</v>
      </c>
      <c r="H191" s="1">
        <f t="shared" ca="1" si="152"/>
        <v>10</v>
      </c>
      <c r="I191" s="1"/>
      <c r="J191" s="1">
        <f t="shared" ca="1" si="153"/>
        <v>28</v>
      </c>
      <c r="K191" s="1">
        <f t="shared" ca="1" si="154"/>
        <v>1.7912972887026153</v>
      </c>
      <c r="L191" s="1">
        <f t="shared" ca="1" si="155"/>
        <v>35</v>
      </c>
      <c r="M191" s="1"/>
      <c r="N191" s="1">
        <f t="shared" ca="1" si="156"/>
        <v>346</v>
      </c>
      <c r="O191" s="1">
        <f t="shared" ca="1" si="157"/>
        <v>47</v>
      </c>
      <c r="P191" s="1"/>
      <c r="Q191" s="1">
        <f t="shared" ca="1" si="158"/>
        <v>0.99206531673949772</v>
      </c>
      <c r="R191" s="1">
        <f t="shared" ca="1" si="159"/>
        <v>671</v>
      </c>
      <c r="S191" s="1"/>
      <c r="T191" s="1">
        <f t="shared" ca="1" si="160"/>
        <v>6.5217329606233665E-2</v>
      </c>
      <c r="U191" s="1">
        <f t="shared" ca="1" si="161"/>
        <v>180</v>
      </c>
      <c r="V191" s="1">
        <f t="shared" ca="1" si="162"/>
        <v>45</v>
      </c>
      <c r="W191" s="1"/>
      <c r="X191" s="1">
        <f t="shared" ca="1" si="163"/>
        <v>6.5831910233569815</v>
      </c>
      <c r="Y191" s="1">
        <f t="shared" ca="1" si="164"/>
        <v>0.11446526517557819</v>
      </c>
      <c r="Z191" s="1">
        <f t="shared" ca="1" si="165"/>
        <v>1816</v>
      </c>
      <c r="AB191" s="1">
        <f t="shared" ca="1" si="166"/>
        <v>0.86436244715720756</v>
      </c>
      <c r="AC191" s="1">
        <f t="shared" ca="1" si="167"/>
        <v>191</v>
      </c>
      <c r="AD191" s="1">
        <f t="shared" ca="1" si="168"/>
        <v>9.9275677902850318E-3</v>
      </c>
      <c r="AE191" s="1"/>
      <c r="AF191" s="1">
        <f t="shared" ca="1" si="169"/>
        <v>0.71816021105145933</v>
      </c>
      <c r="AG191" s="1">
        <f t="shared" ca="1" si="170"/>
        <v>132</v>
      </c>
      <c r="AH191" s="1">
        <f t="shared" ca="1" si="171"/>
        <v>6.9087769620955856E-3</v>
      </c>
      <c r="AJ191" s="1">
        <f t="shared" ca="1" si="172"/>
        <v>0.17590297770923269</v>
      </c>
      <c r="AK191" s="1">
        <f t="shared" ca="1" si="173"/>
        <v>6.7419796539283632E-3</v>
      </c>
      <c r="AL191" s="1"/>
      <c r="AM191" s="1">
        <f t="shared" ca="1" si="174"/>
        <v>9.4906957990102195E-2</v>
      </c>
      <c r="AN191" s="1">
        <f t="shared" ca="1" si="175"/>
        <v>58</v>
      </c>
      <c r="AO191" s="1">
        <f t="shared" ca="1" si="176"/>
        <v>2</v>
      </c>
      <c r="AQ191" s="1">
        <f t="shared" ca="1" si="177"/>
        <v>153</v>
      </c>
      <c r="AR191" s="1">
        <f t="shared" ca="1" si="178"/>
        <v>6</v>
      </c>
      <c r="AS191" s="1">
        <f t="shared" ca="1" si="179"/>
        <v>69</v>
      </c>
      <c r="AU191" s="1">
        <f t="shared" ca="1" si="180"/>
        <v>391</v>
      </c>
      <c r="AV191" s="1">
        <f t="shared" ca="1" si="181"/>
        <v>5</v>
      </c>
      <c r="AW191" s="1">
        <f t="shared" ca="1" si="182"/>
        <v>0.10747392315117714</v>
      </c>
      <c r="AY191" s="1">
        <f t="shared" ca="1" si="183"/>
        <v>1.1657182697752884</v>
      </c>
      <c r="AZ191" s="1">
        <f t="shared" ca="1" si="184"/>
        <v>296</v>
      </c>
      <c r="BA191" s="1">
        <f t="shared" ca="1" si="185"/>
        <v>3.8473876288565687E-3</v>
      </c>
      <c r="BG191" s="1">
        <f t="shared" ca="1" si="186"/>
        <v>0.71739435463719725</v>
      </c>
      <c r="BH191" s="1">
        <f t="shared" ca="1" si="187"/>
        <v>0.59802709622638528</v>
      </c>
      <c r="BI191" s="1">
        <f t="shared" ca="1" si="188"/>
        <v>645</v>
      </c>
      <c r="BV191" s="1">
        <f t="shared" ca="1" si="189"/>
        <v>0.33572852484458987</v>
      </c>
      <c r="BW191" s="1">
        <f t="shared" ca="1" si="190"/>
        <v>237</v>
      </c>
      <c r="BX191" s="1">
        <f t="shared" ca="1" si="191"/>
        <v>6.2272384293698942E-3</v>
      </c>
      <c r="BY191" s="1">
        <f t="shared" ca="1" si="192"/>
        <v>9.7460636988537533E-2</v>
      </c>
      <c r="BZ191" s="1">
        <f t="shared" ca="1" si="193"/>
        <v>0.95071356065128931</v>
      </c>
      <c r="CB191" s="1">
        <f t="shared" ca="1" si="194"/>
        <v>214</v>
      </c>
      <c r="CC191" s="1">
        <f t="shared" ca="1" si="195"/>
        <v>12</v>
      </c>
      <c r="CD191" s="1">
        <f t="shared" ca="1" si="196"/>
        <v>0.21196163842145904</v>
      </c>
      <c r="CE191" s="1">
        <f t="shared" ca="1" si="218"/>
        <v>0.70704430806486041</v>
      </c>
      <c r="CF191" s="1">
        <f t="shared" ca="1" si="218"/>
        <v>0.82316945522289475</v>
      </c>
      <c r="CH191" s="3">
        <f t="shared" ca="1" si="198"/>
        <v>0.54013494579645471</v>
      </c>
      <c r="CI191" s="3">
        <f t="shared" ca="1" si="199"/>
        <v>0.5762321099347697</v>
      </c>
      <c r="CJ191" s="3">
        <f t="shared" ca="1" si="200"/>
        <v>1267</v>
      </c>
      <c r="CK191" s="3">
        <f t="shared" ca="1" si="201"/>
        <v>9.9770363891874062E-3</v>
      </c>
      <c r="CL191" s="3">
        <f t="shared" ca="1" si="202"/>
        <v>0</v>
      </c>
      <c r="CM191" s="3"/>
      <c r="CN191" s="1">
        <f t="shared" ca="1" si="203"/>
        <v>7.6449757455317142</v>
      </c>
      <c r="CO191" s="1">
        <f t="shared" ca="1" si="204"/>
        <v>0.30211566137725954</v>
      </c>
      <c r="CP191" s="1">
        <f t="shared" ca="1" si="205"/>
        <v>3</v>
      </c>
      <c r="CV191" s="1">
        <f t="shared" ca="1" si="206"/>
        <v>9.8598352467372461</v>
      </c>
      <c r="CW191" s="1">
        <f t="shared" ca="1" si="207"/>
        <v>1028</v>
      </c>
      <c r="CX191" s="1">
        <f t="shared" ca="1" si="208"/>
        <v>2.5691141298337062E-3</v>
      </c>
      <c r="DH191" s="1">
        <f t="shared" ca="1" si="209"/>
        <v>795</v>
      </c>
      <c r="DI191" s="1">
        <f t="shared" ca="1" si="210"/>
        <v>0.4909503569879321</v>
      </c>
      <c r="DJ191" s="1">
        <f t="shared" ca="1" si="211"/>
        <v>17</v>
      </c>
      <c r="DL191" s="1">
        <f t="shared" ca="1" si="212"/>
        <v>0.1326675360564572</v>
      </c>
      <c r="DM191" s="1">
        <f t="shared" ca="1" si="213"/>
        <v>215</v>
      </c>
      <c r="DN191" s="1">
        <f t="shared" ca="1" si="214"/>
        <v>9</v>
      </c>
      <c r="DW191" s="1">
        <f t="shared" ca="1" si="215"/>
        <v>205</v>
      </c>
      <c r="DX191" s="1">
        <f t="shared" ca="1" si="216"/>
        <v>10</v>
      </c>
      <c r="DY191" s="1">
        <f t="shared" ca="1" si="217"/>
        <v>20</v>
      </c>
    </row>
    <row r="192" spans="2:129" x14ac:dyDescent="0.25">
      <c r="B192">
        <f t="shared" ca="1" si="147"/>
        <v>999</v>
      </c>
      <c r="C192">
        <f t="shared" ca="1" si="148"/>
        <v>43</v>
      </c>
      <c r="D192">
        <f t="shared" ca="1" si="149"/>
        <v>0.16254468243252221</v>
      </c>
      <c r="F192" s="1">
        <f t="shared" ca="1" si="150"/>
        <v>4</v>
      </c>
      <c r="G192" s="1">
        <f t="shared" ca="1" si="151"/>
        <v>30</v>
      </c>
      <c r="H192" s="1">
        <f t="shared" ca="1" si="152"/>
        <v>12</v>
      </c>
      <c r="I192" s="1"/>
      <c r="J192" s="1">
        <f t="shared" ca="1" si="153"/>
        <v>23</v>
      </c>
      <c r="K192" s="1">
        <f t="shared" ca="1" si="154"/>
        <v>2.7173975401472741</v>
      </c>
      <c r="L192" s="1">
        <f t="shared" ca="1" si="155"/>
        <v>33</v>
      </c>
      <c r="M192" s="1"/>
      <c r="N192" s="1">
        <f t="shared" ca="1" si="156"/>
        <v>934</v>
      </c>
      <c r="O192" s="1">
        <f t="shared" ca="1" si="157"/>
        <v>46</v>
      </c>
      <c r="P192" s="1"/>
      <c r="Q192" s="1">
        <f t="shared" ca="1" si="158"/>
        <v>3.4795325804561146</v>
      </c>
      <c r="R192" s="1">
        <f t="shared" ca="1" si="159"/>
        <v>386</v>
      </c>
      <c r="S192" s="1"/>
      <c r="T192" s="1">
        <f t="shared" ca="1" si="160"/>
        <v>8.2871301799704561E-2</v>
      </c>
      <c r="U192" s="1">
        <f t="shared" ca="1" si="161"/>
        <v>447</v>
      </c>
      <c r="V192" s="1">
        <f t="shared" ca="1" si="162"/>
        <v>48</v>
      </c>
      <c r="W192" s="1"/>
      <c r="X192" s="1">
        <f t="shared" ca="1" si="163"/>
        <v>4.7791057461643813</v>
      </c>
      <c r="Y192" s="1">
        <f t="shared" ca="1" si="164"/>
        <v>0.63034420198357766</v>
      </c>
      <c r="Z192" s="1">
        <f t="shared" ca="1" si="165"/>
        <v>157</v>
      </c>
      <c r="AB192" s="1">
        <f t="shared" ca="1" si="166"/>
        <v>0.63676448246692186</v>
      </c>
      <c r="AC192" s="1">
        <f t="shared" ca="1" si="167"/>
        <v>881</v>
      </c>
      <c r="AD192" s="1">
        <f t="shared" ca="1" si="168"/>
        <v>5.6566229939860602E-3</v>
      </c>
      <c r="AE192" s="1"/>
      <c r="AF192" s="1">
        <f t="shared" ca="1" si="169"/>
        <v>0.79950079175623612</v>
      </c>
      <c r="AG192" s="1">
        <f t="shared" ca="1" si="170"/>
        <v>530</v>
      </c>
      <c r="AH192" s="1">
        <f t="shared" ca="1" si="171"/>
        <v>5.7798336186006966E-3</v>
      </c>
      <c r="AJ192" s="1">
        <f t="shared" ca="1" si="172"/>
        <v>0.59596146818625062</v>
      </c>
      <c r="AK192" s="1">
        <f t="shared" ca="1" si="173"/>
        <v>7.2279658530964548E-3</v>
      </c>
      <c r="AL192" s="1"/>
      <c r="AM192" s="1">
        <f t="shared" ca="1" si="174"/>
        <v>0.17024506986248003</v>
      </c>
      <c r="AN192" s="1">
        <f t="shared" ca="1" si="175"/>
        <v>73</v>
      </c>
      <c r="AO192" s="1">
        <f t="shared" ca="1" si="176"/>
        <v>20</v>
      </c>
      <c r="AQ192" s="1">
        <f t="shared" ca="1" si="177"/>
        <v>177</v>
      </c>
      <c r="AR192" s="1">
        <f t="shared" ca="1" si="178"/>
        <v>3</v>
      </c>
      <c r="AS192" s="1">
        <f t="shared" ca="1" si="179"/>
        <v>43</v>
      </c>
      <c r="AU192" s="1">
        <f t="shared" ca="1" si="180"/>
        <v>283</v>
      </c>
      <c r="AV192" s="1">
        <f t="shared" ca="1" si="181"/>
        <v>7</v>
      </c>
      <c r="AW192" s="1">
        <f t="shared" ca="1" si="182"/>
        <v>3.226293883178339E-2</v>
      </c>
      <c r="AY192" s="1">
        <f t="shared" ca="1" si="183"/>
        <v>1.4963363943135914</v>
      </c>
      <c r="AZ192" s="1">
        <f t="shared" ca="1" si="184"/>
        <v>423</v>
      </c>
      <c r="BA192" s="1">
        <f t="shared" ca="1" si="185"/>
        <v>1.8123983551716172E-3</v>
      </c>
      <c r="BG192" s="1">
        <f t="shared" ca="1" si="186"/>
        <v>3.6329457735014642E-2</v>
      </c>
      <c r="BH192" s="1">
        <f t="shared" ca="1" si="187"/>
        <v>0.30832064564676975</v>
      </c>
      <c r="BI192" s="1">
        <f t="shared" ca="1" si="188"/>
        <v>168</v>
      </c>
      <c r="BV192" s="1">
        <f t="shared" ca="1" si="189"/>
        <v>0.53161701381839133</v>
      </c>
      <c r="BW192" s="1">
        <f t="shared" ca="1" si="190"/>
        <v>263</v>
      </c>
      <c r="BX192" s="1">
        <f t="shared" ca="1" si="191"/>
        <v>2.3470653316797294E-3</v>
      </c>
      <c r="BY192" s="1">
        <f t="shared" ca="1" si="192"/>
        <v>2.3910210650276875E-2</v>
      </c>
      <c r="BZ192" s="1">
        <f t="shared" ca="1" si="193"/>
        <v>0.13639061161793786</v>
      </c>
      <c r="CB192" s="1">
        <f t="shared" ca="1" si="194"/>
        <v>92</v>
      </c>
      <c r="CC192" s="1">
        <f t="shared" ca="1" si="195"/>
        <v>5</v>
      </c>
      <c r="CD192" s="1">
        <f t="shared" ca="1" si="196"/>
        <v>0.16127253887876039</v>
      </c>
      <c r="CE192" s="1">
        <f t="shared" ca="1" si="218"/>
        <v>0.55032177950421191</v>
      </c>
      <c r="CF192" s="1">
        <f t="shared" ca="1" si="218"/>
        <v>0.99605595232591149</v>
      </c>
      <c r="CH192" s="3">
        <f t="shared" ca="1" si="198"/>
        <v>0.4169775917770715</v>
      </c>
      <c r="CI192" s="3">
        <f t="shared" ca="1" si="199"/>
        <v>0.24404813454204863</v>
      </c>
      <c r="CJ192" s="3">
        <f t="shared" ca="1" si="200"/>
        <v>1710</v>
      </c>
      <c r="CK192" s="3">
        <f t="shared" ca="1" si="201"/>
        <v>9.8726042375042351E-3</v>
      </c>
      <c r="CL192" s="3">
        <f t="shared" ca="1" si="202"/>
        <v>1</v>
      </c>
      <c r="CM192" s="3"/>
      <c r="CN192" s="1">
        <f t="shared" ca="1" si="203"/>
        <v>17.075876498860719</v>
      </c>
      <c r="CO192" s="1">
        <f t="shared" ca="1" si="204"/>
        <v>0.22450690367803522</v>
      </c>
      <c r="CP192" s="1">
        <f t="shared" ca="1" si="205"/>
        <v>5</v>
      </c>
      <c r="CV192" s="1">
        <f t="shared" ca="1" si="206"/>
        <v>0.60028178157728274</v>
      </c>
      <c r="CW192" s="1">
        <f t="shared" ca="1" si="207"/>
        <v>511</v>
      </c>
      <c r="CX192" s="1">
        <f t="shared" ca="1" si="208"/>
        <v>9.9070464252000601E-3</v>
      </c>
      <c r="DH192" s="1">
        <f t="shared" ca="1" si="209"/>
        <v>749</v>
      </c>
      <c r="DI192" s="1">
        <f t="shared" ca="1" si="210"/>
        <v>0.24580651917782695</v>
      </c>
      <c r="DJ192" s="1">
        <f t="shared" ca="1" si="211"/>
        <v>1</v>
      </c>
      <c r="DL192" s="1">
        <f t="shared" ca="1" si="212"/>
        <v>2.3040753211516871E-2</v>
      </c>
      <c r="DM192" s="1">
        <f t="shared" ca="1" si="213"/>
        <v>237</v>
      </c>
      <c r="DN192" s="1">
        <f t="shared" ca="1" si="214"/>
        <v>1</v>
      </c>
      <c r="DW192" s="1">
        <f t="shared" ca="1" si="215"/>
        <v>495</v>
      </c>
      <c r="DX192" s="1">
        <f t="shared" ca="1" si="216"/>
        <v>5</v>
      </c>
      <c r="DY192" s="1">
        <f t="shared" ca="1" si="217"/>
        <v>2</v>
      </c>
    </row>
    <row r="193" spans="2:129" x14ac:dyDescent="0.25">
      <c r="B193">
        <f t="shared" ca="1" si="147"/>
        <v>31</v>
      </c>
      <c r="C193">
        <f t="shared" ca="1" si="148"/>
        <v>16</v>
      </c>
      <c r="D193">
        <f t="shared" ca="1" si="149"/>
        <v>0.15748655105192799</v>
      </c>
      <c r="F193" s="1">
        <f t="shared" ca="1" si="150"/>
        <v>36</v>
      </c>
      <c r="G193" s="1">
        <f t="shared" ca="1" si="151"/>
        <v>14</v>
      </c>
      <c r="H193" s="1">
        <f t="shared" ca="1" si="152"/>
        <v>14</v>
      </c>
      <c r="I193" s="1"/>
      <c r="J193" s="1">
        <f t="shared" ca="1" si="153"/>
        <v>34</v>
      </c>
      <c r="K193" s="1">
        <f t="shared" ca="1" si="154"/>
        <v>1.644027582319509</v>
      </c>
      <c r="L193" s="1">
        <f t="shared" ca="1" si="155"/>
        <v>6</v>
      </c>
      <c r="M193" s="1"/>
      <c r="N193" s="1">
        <f t="shared" ca="1" si="156"/>
        <v>63</v>
      </c>
      <c r="O193" s="1">
        <f t="shared" ca="1" si="157"/>
        <v>22</v>
      </c>
      <c r="P193" s="1"/>
      <c r="Q193" s="1">
        <f t="shared" ca="1" si="158"/>
        <v>4.984695165424232</v>
      </c>
      <c r="R193" s="1">
        <f t="shared" ca="1" si="159"/>
        <v>637</v>
      </c>
      <c r="S193" s="1"/>
      <c r="T193" s="1">
        <f t="shared" ca="1" si="160"/>
        <v>0.17888424085513385</v>
      </c>
      <c r="U193" s="1">
        <f t="shared" ca="1" si="161"/>
        <v>226</v>
      </c>
      <c r="V193" s="1">
        <f t="shared" ca="1" si="162"/>
        <v>38</v>
      </c>
      <c r="W193" s="1"/>
      <c r="X193" s="1">
        <f t="shared" ca="1" si="163"/>
        <v>4.2483860507647728</v>
      </c>
      <c r="Y193" s="1">
        <f t="shared" ca="1" si="164"/>
        <v>0.14161259585388425</v>
      </c>
      <c r="Z193" s="1">
        <f t="shared" ca="1" si="165"/>
        <v>867</v>
      </c>
      <c r="AB193" s="1">
        <f t="shared" ca="1" si="166"/>
        <v>0.90187531822790623</v>
      </c>
      <c r="AC193" s="1">
        <f t="shared" ca="1" si="167"/>
        <v>205</v>
      </c>
      <c r="AD193" s="1">
        <f t="shared" ca="1" si="168"/>
        <v>6.9829921950057107E-3</v>
      </c>
      <c r="AE193" s="1"/>
      <c r="AF193" s="1">
        <f t="shared" ca="1" si="169"/>
        <v>0.77011346158104022</v>
      </c>
      <c r="AG193" s="1">
        <f t="shared" ca="1" si="170"/>
        <v>139</v>
      </c>
      <c r="AH193" s="1">
        <f t="shared" ca="1" si="171"/>
        <v>9.3984133792419638E-3</v>
      </c>
      <c r="AJ193" s="1">
        <f t="shared" ca="1" si="172"/>
        <v>0.18287129699763871</v>
      </c>
      <c r="AK193" s="1">
        <f t="shared" ca="1" si="173"/>
        <v>1.2563617635984541E-3</v>
      </c>
      <c r="AL193" s="1"/>
      <c r="AM193" s="1">
        <f t="shared" ca="1" si="174"/>
        <v>0.18288478330956978</v>
      </c>
      <c r="AN193" s="1">
        <f t="shared" ca="1" si="175"/>
        <v>37</v>
      </c>
      <c r="AO193" s="1">
        <f t="shared" ca="1" si="176"/>
        <v>6</v>
      </c>
      <c r="AQ193" s="1">
        <f t="shared" ca="1" si="177"/>
        <v>175</v>
      </c>
      <c r="AR193" s="1">
        <f t="shared" ca="1" si="178"/>
        <v>7</v>
      </c>
      <c r="AS193" s="1">
        <f t="shared" ca="1" si="179"/>
        <v>75</v>
      </c>
      <c r="AU193" s="1">
        <f t="shared" ca="1" si="180"/>
        <v>92</v>
      </c>
      <c r="AV193" s="1">
        <f t="shared" ca="1" si="181"/>
        <v>5</v>
      </c>
      <c r="AW193" s="1">
        <f t="shared" ca="1" si="182"/>
        <v>0.14304045924750808</v>
      </c>
      <c r="AY193" s="1">
        <f t="shared" ca="1" si="183"/>
        <v>1.8725297998248509</v>
      </c>
      <c r="AZ193" s="1">
        <f t="shared" ca="1" si="184"/>
        <v>326</v>
      </c>
      <c r="BA193" s="1">
        <f t="shared" ca="1" si="185"/>
        <v>8.9263229309118723E-3</v>
      </c>
      <c r="BG193" s="1">
        <f t="shared" ca="1" si="186"/>
        <v>0.17969990395517058</v>
      </c>
      <c r="BH193" s="1">
        <f t="shared" ca="1" si="187"/>
        <v>1.2219283885203658E-2</v>
      </c>
      <c r="BI193" s="1">
        <f t="shared" ca="1" si="188"/>
        <v>261</v>
      </c>
      <c r="BV193" s="1">
        <f t="shared" ca="1" si="189"/>
        <v>0.59244448958437079</v>
      </c>
      <c r="BW193" s="1">
        <f t="shared" ca="1" si="190"/>
        <v>820</v>
      </c>
      <c r="BX193" s="1">
        <f t="shared" ca="1" si="191"/>
        <v>5.1588624899318878E-3</v>
      </c>
      <c r="BY193" s="1">
        <f t="shared" ca="1" si="192"/>
        <v>8.955066920247616E-2</v>
      </c>
      <c r="BZ193" s="1">
        <f t="shared" ca="1" si="193"/>
        <v>0.87747490397523453</v>
      </c>
      <c r="CB193" s="1">
        <f t="shared" ca="1" si="194"/>
        <v>86</v>
      </c>
      <c r="CC193" s="1">
        <f t="shared" ca="1" si="195"/>
        <v>6</v>
      </c>
      <c r="CD193" s="1">
        <f t="shared" ca="1" si="196"/>
        <v>7.6148097086152666E-2</v>
      </c>
      <c r="CE193" s="1">
        <f t="shared" ca="1" si="218"/>
        <v>0.52512719343707981</v>
      </c>
      <c r="CF193" s="1">
        <f t="shared" ca="1" si="218"/>
        <v>0.90191738259808374</v>
      </c>
      <c r="CH193" s="3">
        <f t="shared" ca="1" si="198"/>
        <v>5.2712652800217141E-2</v>
      </c>
      <c r="CI193" s="3">
        <f t="shared" ca="1" si="199"/>
        <v>0.34381030000855745</v>
      </c>
      <c r="CJ193" s="3">
        <f t="shared" ca="1" si="200"/>
        <v>1252</v>
      </c>
      <c r="CK193" s="3">
        <f t="shared" ca="1" si="201"/>
        <v>8.9892496911545515E-3</v>
      </c>
      <c r="CL193" s="3">
        <f t="shared" ca="1" si="202"/>
        <v>0</v>
      </c>
      <c r="CM193" s="3"/>
      <c r="CN193" s="1">
        <f t="shared" ca="1" si="203"/>
        <v>18.115441072837264</v>
      </c>
      <c r="CO193" s="1">
        <f t="shared" ca="1" si="204"/>
        <v>1.7897701319843463E-2</v>
      </c>
      <c r="CP193" s="1">
        <f t="shared" ca="1" si="205"/>
        <v>3</v>
      </c>
      <c r="CV193" s="1">
        <f t="shared" ca="1" si="206"/>
        <v>8.9383873444305824</v>
      </c>
      <c r="CW193" s="1">
        <f t="shared" ca="1" si="207"/>
        <v>1002</v>
      </c>
      <c r="CX193" s="1">
        <f t="shared" ca="1" si="208"/>
        <v>9.1353033028969063E-3</v>
      </c>
      <c r="DH193" s="1">
        <f t="shared" ca="1" si="209"/>
        <v>329</v>
      </c>
      <c r="DI193" s="1">
        <f t="shared" ca="1" si="210"/>
        <v>0.596533427333786</v>
      </c>
      <c r="DJ193" s="1">
        <f t="shared" ca="1" si="211"/>
        <v>17</v>
      </c>
      <c r="DL193" s="1">
        <f t="shared" ca="1" si="212"/>
        <v>0.11706845651808326</v>
      </c>
      <c r="DM193" s="1">
        <f t="shared" ca="1" si="213"/>
        <v>274</v>
      </c>
      <c r="DN193" s="1">
        <f t="shared" ca="1" si="214"/>
        <v>6</v>
      </c>
      <c r="DW193" s="1">
        <f t="shared" ca="1" si="215"/>
        <v>171</v>
      </c>
      <c r="DX193" s="1">
        <f t="shared" ca="1" si="216"/>
        <v>3</v>
      </c>
      <c r="DY193" s="1">
        <f t="shared" ca="1" si="217"/>
        <v>3</v>
      </c>
    </row>
    <row r="194" spans="2:129" x14ac:dyDescent="0.25">
      <c r="B194">
        <f t="shared" ca="1" si="147"/>
        <v>942</v>
      </c>
      <c r="C194">
        <f t="shared" ca="1" si="148"/>
        <v>31</v>
      </c>
      <c r="D194">
        <f t="shared" ca="1" si="149"/>
        <v>0.15205674259161878</v>
      </c>
      <c r="F194" s="1">
        <f t="shared" ca="1" si="150"/>
        <v>44</v>
      </c>
      <c r="G194" s="1">
        <f t="shared" ca="1" si="151"/>
        <v>20</v>
      </c>
      <c r="H194" s="1">
        <f t="shared" ca="1" si="152"/>
        <v>14</v>
      </c>
      <c r="I194" s="1"/>
      <c r="J194" s="1">
        <f t="shared" ca="1" si="153"/>
        <v>6</v>
      </c>
      <c r="K194" s="1">
        <f t="shared" ca="1" si="154"/>
        <v>2.7744262803226314</v>
      </c>
      <c r="L194" s="1">
        <f t="shared" ca="1" si="155"/>
        <v>21</v>
      </c>
      <c r="M194" s="1"/>
      <c r="N194" s="1">
        <f t="shared" ca="1" si="156"/>
        <v>137</v>
      </c>
      <c r="O194" s="1">
        <f t="shared" ca="1" si="157"/>
        <v>37</v>
      </c>
      <c r="P194" s="1"/>
      <c r="Q194" s="1">
        <f t="shared" ca="1" si="158"/>
        <v>3.0955449491418268</v>
      </c>
      <c r="R194" s="1">
        <f t="shared" ca="1" si="159"/>
        <v>1019</v>
      </c>
      <c r="S194" s="1"/>
      <c r="T194" s="1">
        <f t="shared" ca="1" si="160"/>
        <v>0.16924362598358345</v>
      </c>
      <c r="U194" s="1">
        <f t="shared" ca="1" si="161"/>
        <v>73</v>
      </c>
      <c r="V194" s="1">
        <f t="shared" ca="1" si="162"/>
        <v>32</v>
      </c>
      <c r="W194" s="1"/>
      <c r="X194" s="1">
        <f t="shared" ca="1" si="163"/>
        <v>8.5002163186107467</v>
      </c>
      <c r="Y194" s="1">
        <f t="shared" ca="1" si="164"/>
        <v>0.78487216006793337</v>
      </c>
      <c r="Z194" s="1">
        <f t="shared" ca="1" si="165"/>
        <v>1051</v>
      </c>
      <c r="AB194" s="1">
        <f t="shared" ca="1" si="166"/>
        <v>0.38146889603979894</v>
      </c>
      <c r="AC194" s="1">
        <f t="shared" ca="1" si="167"/>
        <v>745</v>
      </c>
      <c r="AD194" s="1">
        <f t="shared" ca="1" si="168"/>
        <v>7.8692641881940723E-3</v>
      </c>
      <c r="AE194" s="1"/>
      <c r="AF194" s="1">
        <f t="shared" ca="1" si="169"/>
        <v>0.23536148139586077</v>
      </c>
      <c r="AG194" s="1">
        <f t="shared" ca="1" si="170"/>
        <v>441</v>
      </c>
      <c r="AH194" s="1">
        <f t="shared" ca="1" si="171"/>
        <v>1.8641853561678725E-3</v>
      </c>
      <c r="AJ194" s="1">
        <f t="shared" ca="1" si="172"/>
        <v>0.45202706387307312</v>
      </c>
      <c r="AK194" s="1">
        <f t="shared" ca="1" si="173"/>
        <v>9.4869799361811426E-3</v>
      </c>
      <c r="AL194" s="1"/>
      <c r="AM194" s="1">
        <f t="shared" ca="1" si="174"/>
        <v>0.14445789192753677</v>
      </c>
      <c r="AN194" s="1">
        <f t="shared" ca="1" si="175"/>
        <v>38</v>
      </c>
      <c r="AO194" s="1">
        <f t="shared" ca="1" si="176"/>
        <v>2</v>
      </c>
      <c r="AQ194" s="1">
        <f t="shared" ca="1" si="177"/>
        <v>103</v>
      </c>
      <c r="AR194" s="1">
        <f t="shared" ca="1" si="178"/>
        <v>0</v>
      </c>
      <c r="AS194" s="1">
        <f t="shared" ca="1" si="179"/>
        <v>93</v>
      </c>
      <c r="AU194" s="1">
        <f t="shared" ca="1" si="180"/>
        <v>279</v>
      </c>
      <c r="AV194" s="1">
        <f t="shared" ca="1" si="181"/>
        <v>10</v>
      </c>
      <c r="AW194" s="1">
        <f t="shared" ca="1" si="182"/>
        <v>6.7321016286145369E-2</v>
      </c>
      <c r="AY194" s="1">
        <f t="shared" ca="1" si="183"/>
        <v>1.9936419544250337</v>
      </c>
      <c r="AZ194" s="1">
        <f t="shared" ca="1" si="184"/>
        <v>495</v>
      </c>
      <c r="BA194" s="1">
        <f t="shared" ca="1" si="185"/>
        <v>4.6629164724760917E-3</v>
      </c>
      <c r="BG194" s="1">
        <f t="shared" ca="1" si="186"/>
        <v>1.6606126635663805E-2</v>
      </c>
      <c r="BH194" s="1">
        <f t="shared" ca="1" si="187"/>
        <v>0.63624199893469224</v>
      </c>
      <c r="BI194" s="1">
        <f t="shared" ca="1" si="188"/>
        <v>592</v>
      </c>
      <c r="BV194" s="1">
        <f t="shared" ca="1" si="189"/>
        <v>0.23445736026512168</v>
      </c>
      <c r="BW194" s="1">
        <f t="shared" ca="1" si="190"/>
        <v>114</v>
      </c>
      <c r="BX194" s="1">
        <f t="shared" ca="1" si="191"/>
        <v>2.4772361901533885E-3</v>
      </c>
      <c r="BY194" s="1">
        <f t="shared" ca="1" si="192"/>
        <v>9.8762086806186755E-2</v>
      </c>
      <c r="BZ194" s="1">
        <f t="shared" ca="1" si="193"/>
        <v>0.57639104927599338</v>
      </c>
      <c r="CB194" s="1">
        <f t="shared" ca="1" si="194"/>
        <v>482</v>
      </c>
      <c r="CC194" s="1">
        <f t="shared" ca="1" si="195"/>
        <v>6</v>
      </c>
      <c r="CD194" s="1">
        <f t="shared" ca="1" si="196"/>
        <v>6.4954224082695411E-2</v>
      </c>
      <c r="CE194" s="1">
        <f t="shared" ca="1" si="218"/>
        <v>0.51839433323116091</v>
      </c>
      <c r="CF194" s="1">
        <f t="shared" ca="1" si="218"/>
        <v>0.66351435429232231</v>
      </c>
      <c r="CH194" s="3">
        <f t="shared" ca="1" si="198"/>
        <v>0.76272462127857388</v>
      </c>
      <c r="CI194" s="3">
        <f t="shared" ca="1" si="199"/>
        <v>0.77174516434452178</v>
      </c>
      <c r="CJ194" s="3">
        <f t="shared" ca="1" si="200"/>
        <v>1780</v>
      </c>
      <c r="CK194" s="3">
        <f t="shared" ca="1" si="201"/>
        <v>3.2490031031385844E-3</v>
      </c>
      <c r="CL194" s="3">
        <f t="shared" ca="1" si="202"/>
        <v>0</v>
      </c>
      <c r="CM194" s="3"/>
      <c r="CN194" s="1">
        <f t="shared" ca="1" si="203"/>
        <v>6.360515216466589</v>
      </c>
      <c r="CO194" s="1">
        <f t="shared" ca="1" si="204"/>
        <v>0.35553685549287362</v>
      </c>
      <c r="CP194" s="1">
        <f t="shared" ca="1" si="205"/>
        <v>5</v>
      </c>
      <c r="CV194" s="1">
        <f t="shared" ca="1" si="206"/>
        <v>7.452838957045743</v>
      </c>
      <c r="CW194" s="1">
        <f t="shared" ca="1" si="207"/>
        <v>203</v>
      </c>
      <c r="CX194" s="1">
        <f t="shared" ca="1" si="208"/>
        <v>1.190685807428826E-3</v>
      </c>
      <c r="DH194" s="1">
        <f t="shared" ca="1" si="209"/>
        <v>388</v>
      </c>
      <c r="DI194" s="1">
        <f t="shared" ca="1" si="210"/>
        <v>0.9651886097086807</v>
      </c>
      <c r="DJ194" s="1">
        <f t="shared" ca="1" si="211"/>
        <v>21</v>
      </c>
      <c r="DL194" s="1">
        <f t="shared" ca="1" si="212"/>
        <v>1.0659887804230371E-2</v>
      </c>
      <c r="DM194" s="1">
        <f t="shared" ca="1" si="213"/>
        <v>141</v>
      </c>
      <c r="DN194" s="1">
        <f t="shared" ca="1" si="214"/>
        <v>8</v>
      </c>
      <c r="DW194" s="1">
        <f t="shared" ca="1" si="215"/>
        <v>473</v>
      </c>
      <c r="DX194" s="1">
        <f t="shared" ca="1" si="216"/>
        <v>11</v>
      </c>
      <c r="DY194" s="1">
        <f t="shared" ca="1" si="217"/>
        <v>2</v>
      </c>
    </row>
    <row r="195" spans="2:129" x14ac:dyDescent="0.25">
      <c r="B195">
        <f t="shared" ca="1" si="147"/>
        <v>733</v>
      </c>
      <c r="C195">
        <f t="shared" ca="1" si="148"/>
        <v>19</v>
      </c>
      <c r="D195">
        <f t="shared" ca="1" si="149"/>
        <v>0.22607585988327744</v>
      </c>
      <c r="F195" s="1">
        <f t="shared" ca="1" si="150"/>
        <v>5</v>
      </c>
      <c r="G195" s="1">
        <f t="shared" ca="1" si="151"/>
        <v>12</v>
      </c>
      <c r="H195" s="1">
        <f t="shared" ca="1" si="152"/>
        <v>3</v>
      </c>
      <c r="I195" s="1"/>
      <c r="J195" s="1">
        <f t="shared" ca="1" si="153"/>
        <v>25</v>
      </c>
      <c r="K195" s="1">
        <f t="shared" ca="1" si="154"/>
        <v>1.943592193690532</v>
      </c>
      <c r="L195" s="1">
        <f t="shared" ca="1" si="155"/>
        <v>22</v>
      </c>
      <c r="M195" s="1"/>
      <c r="N195" s="1">
        <f t="shared" ca="1" si="156"/>
        <v>571</v>
      </c>
      <c r="O195" s="1">
        <f t="shared" ca="1" si="157"/>
        <v>41</v>
      </c>
      <c r="P195" s="1"/>
      <c r="Q195" s="1">
        <f t="shared" ca="1" si="158"/>
        <v>3.0593675172780155</v>
      </c>
      <c r="R195" s="1">
        <f t="shared" ca="1" si="159"/>
        <v>505</v>
      </c>
      <c r="S195" s="1"/>
      <c r="T195" s="1">
        <f t="shared" ca="1" si="160"/>
        <v>0.12727192937476881</v>
      </c>
      <c r="U195" s="1">
        <f t="shared" ca="1" si="161"/>
        <v>406</v>
      </c>
      <c r="V195" s="1">
        <f t="shared" ca="1" si="162"/>
        <v>48</v>
      </c>
      <c r="W195" s="1"/>
      <c r="X195" s="1">
        <f t="shared" ca="1" si="163"/>
        <v>1.4713013262085792</v>
      </c>
      <c r="Y195" s="1">
        <f t="shared" ca="1" si="164"/>
        <v>0.13232824509623151</v>
      </c>
      <c r="Z195" s="1">
        <f t="shared" ca="1" si="165"/>
        <v>882</v>
      </c>
      <c r="AB195" s="1">
        <f t="shared" ca="1" si="166"/>
        <v>0.79602347521515959</v>
      </c>
      <c r="AC195" s="1">
        <f t="shared" ca="1" si="167"/>
        <v>320</v>
      </c>
      <c r="AD195" s="1">
        <f t="shared" ca="1" si="168"/>
        <v>4.2916488438091019E-3</v>
      </c>
      <c r="AE195" s="1"/>
      <c r="AF195" s="1">
        <f t="shared" ca="1" si="169"/>
        <v>0.6188049323810122</v>
      </c>
      <c r="AG195" s="1">
        <f t="shared" ca="1" si="170"/>
        <v>871</v>
      </c>
      <c r="AH195" s="1">
        <f t="shared" ca="1" si="171"/>
        <v>2.7999989298041735E-5</v>
      </c>
      <c r="AJ195" s="1">
        <f t="shared" ca="1" si="172"/>
        <v>0.97962601465729859</v>
      </c>
      <c r="AK195" s="1">
        <f t="shared" ca="1" si="173"/>
        <v>2.8962902997135779E-3</v>
      </c>
      <c r="AL195" s="1"/>
      <c r="AM195" s="1">
        <f t="shared" ca="1" si="174"/>
        <v>0.12497792377497992</v>
      </c>
      <c r="AN195" s="1">
        <f t="shared" ca="1" si="175"/>
        <v>18</v>
      </c>
      <c r="AO195" s="1">
        <f t="shared" ca="1" si="176"/>
        <v>12</v>
      </c>
      <c r="AQ195" s="1">
        <f t="shared" ca="1" si="177"/>
        <v>162</v>
      </c>
      <c r="AR195" s="1">
        <f t="shared" ca="1" si="178"/>
        <v>6</v>
      </c>
      <c r="AS195" s="1">
        <f t="shared" ca="1" si="179"/>
        <v>100</v>
      </c>
      <c r="AU195" s="1">
        <f t="shared" ca="1" si="180"/>
        <v>295</v>
      </c>
      <c r="AV195" s="1">
        <f t="shared" ca="1" si="181"/>
        <v>10</v>
      </c>
      <c r="AW195" s="1">
        <f t="shared" ca="1" si="182"/>
        <v>2.7802076278440988E-2</v>
      </c>
      <c r="AY195" s="1">
        <f t="shared" ca="1" si="183"/>
        <v>1.1514146723529299</v>
      </c>
      <c r="AZ195" s="1">
        <f t="shared" ca="1" si="184"/>
        <v>497</v>
      </c>
      <c r="BA195" s="1">
        <f t="shared" ca="1" si="185"/>
        <v>2.2959885914904431E-3</v>
      </c>
      <c r="BG195" s="1">
        <f t="shared" ca="1" si="186"/>
        <v>0.95336472790087945</v>
      </c>
      <c r="BH195" s="1">
        <f t="shared" ca="1" si="187"/>
        <v>0.53387593352185247</v>
      </c>
      <c r="BI195" s="1">
        <f t="shared" ca="1" si="188"/>
        <v>480</v>
      </c>
      <c r="BV195" s="1">
        <f t="shared" ca="1" si="189"/>
        <v>0.31453321571512349</v>
      </c>
      <c r="BW195" s="1">
        <f t="shared" ca="1" si="190"/>
        <v>335</v>
      </c>
      <c r="BX195" s="1">
        <f t="shared" ca="1" si="191"/>
        <v>3.1086674838263278E-3</v>
      </c>
      <c r="BY195" s="1">
        <f t="shared" ca="1" si="192"/>
        <v>2.701936471865404E-2</v>
      </c>
      <c r="BZ195" s="1">
        <f t="shared" ca="1" si="193"/>
        <v>0.14795819001432442</v>
      </c>
      <c r="CB195" s="1">
        <f t="shared" ca="1" si="194"/>
        <v>313</v>
      </c>
      <c r="CC195" s="1">
        <f t="shared" ca="1" si="195"/>
        <v>14</v>
      </c>
      <c r="CD195" s="1">
        <f t="shared" ca="1" si="196"/>
        <v>0.24433656531920553</v>
      </c>
      <c r="CE195" s="1">
        <f t="shared" ca="1" si="218"/>
        <v>0.81772178752580293</v>
      </c>
      <c r="CF195" s="1">
        <f t="shared" ca="1" si="218"/>
        <v>0.59449266473849471</v>
      </c>
      <c r="CH195" s="3">
        <f t="shared" ca="1" si="198"/>
        <v>0.55459766762874052</v>
      </c>
      <c r="CI195" s="3">
        <f t="shared" ca="1" si="199"/>
        <v>0.39512532034927389</v>
      </c>
      <c r="CJ195" s="3">
        <f t="shared" ca="1" si="200"/>
        <v>828</v>
      </c>
      <c r="CK195" s="3">
        <f t="shared" ca="1" si="201"/>
        <v>9.272945995138511E-3</v>
      </c>
      <c r="CL195" s="3">
        <f t="shared" ca="1" si="202"/>
        <v>1</v>
      </c>
      <c r="CM195" s="3"/>
      <c r="CN195" s="1">
        <f t="shared" ca="1" si="203"/>
        <v>18.364818071700547</v>
      </c>
      <c r="CO195" s="1">
        <f t="shared" ca="1" si="204"/>
        <v>0.49728335396939705</v>
      </c>
      <c r="CP195" s="1">
        <f t="shared" ca="1" si="205"/>
        <v>4</v>
      </c>
      <c r="CV195" s="1">
        <f t="shared" ca="1" si="206"/>
        <v>6.2915230449782529</v>
      </c>
      <c r="CW195" s="1">
        <f t="shared" ca="1" si="207"/>
        <v>1109</v>
      </c>
      <c r="CX195" s="1">
        <f t="shared" ca="1" si="208"/>
        <v>2.7783802707926318E-3</v>
      </c>
      <c r="DH195" s="1">
        <f t="shared" ca="1" si="209"/>
        <v>311</v>
      </c>
      <c r="DI195" s="1">
        <f t="shared" ca="1" si="210"/>
        <v>0.94348042853628689</v>
      </c>
      <c r="DJ195" s="1">
        <f t="shared" ca="1" si="211"/>
        <v>3</v>
      </c>
      <c r="DL195" s="1">
        <f t="shared" ca="1" si="212"/>
        <v>1.6230807294443109E-2</v>
      </c>
      <c r="DM195" s="1">
        <f t="shared" ca="1" si="213"/>
        <v>201</v>
      </c>
      <c r="DN195" s="1">
        <f t="shared" ca="1" si="214"/>
        <v>4</v>
      </c>
      <c r="DW195" s="1">
        <f t="shared" ca="1" si="215"/>
        <v>178</v>
      </c>
      <c r="DX195" s="1">
        <f t="shared" ca="1" si="216"/>
        <v>19</v>
      </c>
      <c r="DY195" s="1">
        <f t="shared" ca="1" si="217"/>
        <v>5</v>
      </c>
    </row>
    <row r="196" spans="2:129" x14ac:dyDescent="0.25">
      <c r="B196">
        <f t="shared" ref="B196:B202" ca="1" si="219">RANDBETWEEN(15,1000)</f>
        <v>741</v>
      </c>
      <c r="C196">
        <f t="shared" ref="C196:C202" ca="1" si="220">RANDBETWEEN(2,52)</f>
        <v>26</v>
      </c>
      <c r="D196">
        <f t="shared" ref="D196:D202" ca="1" si="221">RAND()*(0.3-0.01)+0.01</f>
        <v>0.26726086534123111</v>
      </c>
      <c r="F196" s="1">
        <f t="shared" ref="F196:F202" ca="1" si="222">RANDBETWEEN(2,52)</f>
        <v>38</v>
      </c>
      <c r="G196" s="1">
        <f t="shared" ref="G196:G202" ca="1" si="223">RANDBETWEEN(2,30)</f>
        <v>3</v>
      </c>
      <c r="H196" s="1">
        <f t="shared" ref="H196:H202" ca="1" si="224">RANDBETWEEN(1,15)</f>
        <v>8</v>
      </c>
      <c r="I196" s="1"/>
      <c r="J196" s="1">
        <f t="shared" ref="J196:J202" ca="1" si="225">RANDBETWEEN(1,39)</f>
        <v>6</v>
      </c>
      <c r="K196" s="1">
        <f t="shared" ref="K196:K202" ca="1" si="226">RAND()*(3-1)+1</f>
        <v>1.2216869298077986</v>
      </c>
      <c r="L196" s="1">
        <f t="shared" ref="L196:L202" ca="1" si="227">RANDBETWEEN(2,35)</f>
        <v>32</v>
      </c>
      <c r="M196" s="1"/>
      <c r="N196" s="1">
        <f t="shared" ref="N196:N202" ca="1" si="228">RANDBETWEEN(15,1000)</f>
        <v>545</v>
      </c>
      <c r="O196" s="1">
        <f t="shared" ref="O196:O202" ca="1" si="229">RANDBETWEEN(2,52)</f>
        <v>41</v>
      </c>
      <c r="P196" s="1"/>
      <c r="Q196" s="1">
        <f t="shared" ref="Q196:Q202" ca="1" si="230">RAND()*(5-0.01)+0.01</f>
        <v>4.4159869552309159</v>
      </c>
      <c r="R196" s="1">
        <f t="shared" ref="R196:R202" ca="1" si="231">RANDBETWEEN(200,1200)</f>
        <v>782</v>
      </c>
      <c r="S196" s="1"/>
      <c r="T196" s="1">
        <f t="shared" ref="T196:T202" ca="1" si="232">RAND()*(0.2-0.01)+0.01</f>
        <v>7.9917564900158194E-2</v>
      </c>
      <c r="U196" s="1">
        <f t="shared" ref="U196:U202" ca="1" si="233">RANDBETWEEN(50,450)</f>
        <v>369</v>
      </c>
      <c r="V196" s="1">
        <f t="shared" ref="V196:V202" ca="1" si="234">RANDBETWEEN(2,52)</f>
        <v>46</v>
      </c>
      <c r="W196" s="1"/>
      <c r="X196" s="1">
        <f t="shared" ref="X196:X202" ca="1" si="235">RAND()*(10-0.01)+0.01</f>
        <v>6.3664194902686964</v>
      </c>
      <c r="Y196" s="1">
        <f t="shared" ref="Y196:Y202" ca="1" si="236">RAND()*(1-0.0001)+0.0001</f>
        <v>4.3553909580029915E-2</v>
      </c>
      <c r="Z196" s="1">
        <f t="shared" ref="Z196:Z202" ca="1" si="237">RANDBETWEEN(100,2000)</f>
        <v>783</v>
      </c>
      <c r="AB196" s="1">
        <f t="shared" ref="AB196:AB202" ca="1" si="238">RAND()*(1-0.0001)+0.0001</f>
        <v>0.14524904549481821</v>
      </c>
      <c r="AC196" s="1">
        <f t="shared" ref="AC196:AC202" ca="1" si="239">RANDBETWEEN(100,1000)</f>
        <v>186</v>
      </c>
      <c r="AD196" s="1">
        <f t="shared" ref="AD196:AD202" ca="1" si="240">RAND()*(0.01-0.00001)+0.00001</f>
        <v>9.4579469778165361E-3</v>
      </c>
      <c r="AE196" s="1"/>
      <c r="AF196" s="1">
        <f t="shared" ref="AF196:AF202" ca="1" si="241">RAND()*(0.9-0.1)+0.1</f>
        <v>0.43074904061822261</v>
      </c>
      <c r="AG196" s="1">
        <f t="shared" ref="AG196:AG202" ca="1" si="242">RANDBETWEEN(100,1000)</f>
        <v>268</v>
      </c>
      <c r="AH196" s="1">
        <f t="shared" ref="AH196:AH202" ca="1" si="243">RAND()*(0.01-0.00001)+0.00001</f>
        <v>2.4312832835305686E-3</v>
      </c>
      <c r="AJ196" s="1">
        <f t="shared" ref="AJ196:AJ202" ca="1" si="244">RAND()*(1-0)+0</f>
        <v>0.38286851060585969</v>
      </c>
      <c r="AK196" s="1">
        <f t="shared" ref="AK196:AK202" ca="1" si="245">RAND()*(0.01-0.00001)+0.00001</f>
        <v>9.6458874294998286E-3</v>
      </c>
      <c r="AL196" s="1"/>
      <c r="AM196" s="1">
        <f t="shared" ref="AM196:AM202" ca="1" si="246">RAND()*(0.2-0.005)+0.005</f>
        <v>0.19092201166990047</v>
      </c>
      <c r="AN196" s="1">
        <f t="shared" ref="AN196:AN202" ca="1" si="247">RANDBETWEEN(10,80)</f>
        <v>34</v>
      </c>
      <c r="AO196" s="1">
        <f t="shared" ref="AO196:AO202" ca="1" si="248">RANDBETWEEN(-1,20)</f>
        <v>17</v>
      </c>
      <c r="AQ196" s="1">
        <f t="shared" ref="AQ196:AQ202" ca="1" si="249">RANDBETWEEN(10,200)</f>
        <v>144</v>
      </c>
      <c r="AR196" s="1">
        <f t="shared" ref="AR196:AR202" ca="1" si="250">RANDBETWEEN(0,10)</f>
        <v>2</v>
      </c>
      <c r="AS196" s="1">
        <f t="shared" ref="AS196:AS202" ca="1" si="251">RANDBETWEEN(1,100)</f>
        <v>33</v>
      </c>
      <c r="AU196" s="1">
        <f t="shared" ref="AU196:AU202" ca="1" si="252">RANDBETWEEN(50,400)</f>
        <v>177</v>
      </c>
      <c r="AV196" s="1">
        <f t="shared" ref="AV196:AV202" ca="1" si="253">RANDBETWEEN(2,10)</f>
        <v>9</v>
      </c>
      <c r="AW196" s="1">
        <f t="shared" ref="AW196:AW202" ca="1" si="254">RAND()*(0.2-0.01)+0.01</f>
        <v>4.3420194932700891E-2</v>
      </c>
      <c r="AY196" s="1">
        <f t="shared" ref="AY196:AY202" ca="1" si="255">RAND()*(2-1.1)+1.1</f>
        <v>1.4969399546239126</v>
      </c>
      <c r="AZ196" s="1">
        <f t="shared" ref="AZ196:AZ202" ca="1" si="256">RANDBETWEEN(50,500)</f>
        <v>375</v>
      </c>
      <c r="BA196" s="1">
        <f t="shared" ref="BA196:BA202" ca="1" si="257">RAND()*(0.01-0.00001)+0.00001</f>
        <v>1.358928094717039E-3</v>
      </c>
      <c r="BG196" s="1">
        <f t="shared" ref="BG196:BG202" ca="1" si="258">RAND()*(1-0.0001)+0.0001</f>
        <v>0.26406216321492099</v>
      </c>
      <c r="BH196" s="1">
        <f t="shared" ref="BH196:BH202" ca="1" si="259">RAND()*(1-0)+0</f>
        <v>0.67164990815116876</v>
      </c>
      <c r="BI196" s="1">
        <f t="shared" ref="BI196:BI202" ca="1" si="260">RANDBETWEEN(100,1000)</f>
        <v>357</v>
      </c>
      <c r="BV196" s="1">
        <f t="shared" ref="BV196:BV202" ca="1" si="261">RAND()*(1-0.0001)+0.0001</f>
        <v>0.60650843933168108</v>
      </c>
      <c r="BW196" s="1">
        <f t="shared" ref="BW196:BW202" ca="1" si="262">RANDBETWEEN(100,1000)</f>
        <v>595</v>
      </c>
      <c r="BX196" s="1">
        <f t="shared" ref="BX196:BX202" ca="1" si="263">RAND()*(0.01-0.00001)+0.00001</f>
        <v>8.6239534979129975E-3</v>
      </c>
      <c r="BY196" s="1">
        <f t="shared" ref="BY196:BY202" ca="1" si="264">RAND()*(0.1-0.0001)+0.0001</f>
        <v>8.0384488239659088E-2</v>
      </c>
      <c r="BZ196" s="1">
        <f t="shared" ref="BZ196:BZ202" ca="1" si="265">RAND()*(1-0)+0</f>
        <v>0.18702137827706489</v>
      </c>
      <c r="CB196" s="1">
        <f t="shared" ref="CB196:CB202" ca="1" si="266">RANDBETWEEN(50,500)</f>
        <v>389</v>
      </c>
      <c r="CC196" s="1">
        <f t="shared" ref="CC196:CC202" ca="1" si="267">RANDBETWEEN(3,15)</f>
        <v>6</v>
      </c>
      <c r="CD196" s="1">
        <f t="shared" ref="CD196:CD202" ca="1" si="268">RAND()*(0.3-0.01)+0.01</f>
        <v>4.3931573007267931E-2</v>
      </c>
      <c r="CE196" s="1">
        <f t="shared" ca="1" si="218"/>
        <v>0.89120202275626814</v>
      </c>
      <c r="CF196" s="1">
        <f t="shared" ca="1" si="218"/>
        <v>0.65170355003100999</v>
      </c>
      <c r="CH196" s="3">
        <f t="shared" ref="CH196:CH202" ca="1" si="269">RAND()*(1-0.0001)+0.0001</f>
        <v>0.93702753109543846</v>
      </c>
      <c r="CI196" s="3">
        <f t="shared" ref="CI196:CI202" ca="1" si="270">RAND()*(0.99-0.01)+0.01</f>
        <v>0.6880665865245118</v>
      </c>
      <c r="CJ196" s="3">
        <f t="shared" ref="CJ196:CJ202" ca="1" si="271">RANDBETWEEN(100,2000)</f>
        <v>845</v>
      </c>
      <c r="CK196" s="3">
        <f t="shared" ref="CK196:CK202" ca="1" si="272">RAND()*(0.01-0.000001)+0.000001</f>
        <v>8.7088077881265109E-3</v>
      </c>
      <c r="CL196" s="3">
        <f t="shared" ref="CL196:CL202" ca="1" si="273">RANDBETWEEN(0,1)</f>
        <v>1</v>
      </c>
      <c r="CM196" s="3"/>
      <c r="CN196" s="1">
        <f t="shared" ref="CN196:CN202" ca="1" si="274">RAND()*(20-0.1)+0.1</f>
        <v>11.980722584897631</v>
      </c>
      <c r="CO196" s="1">
        <f t="shared" ref="CO196:CO202" ca="1" si="275">RAND()*(0.5-0.001)+0.001</f>
        <v>0.44611694160388587</v>
      </c>
      <c r="CP196" s="1">
        <f t="shared" ref="CP196:CP202" ca="1" si="276">RANDBETWEEN(1,5)</f>
        <v>2</v>
      </c>
      <c r="CV196" s="1">
        <f t="shared" ref="CV196:CV202" ca="1" si="277">RAND()*(10-0.0001)+0.0001</f>
        <v>4.7620677006275702</v>
      </c>
      <c r="CW196" s="1">
        <f t="shared" ref="CW196:CW202" ca="1" si="278">RANDBETWEEN(100,2000)</f>
        <v>1003</v>
      </c>
      <c r="CX196" s="1">
        <f t="shared" ref="CX196:CX202" ca="1" si="279">RAND()*(0.01-0.000001)+0.000001</f>
        <v>7.4958445493280654E-3</v>
      </c>
      <c r="DH196" s="1">
        <f t="shared" ref="DH196:DH202" ca="1" si="280">RANDBETWEEN(10,900)</f>
        <v>252</v>
      </c>
      <c r="DI196" s="1">
        <f t="shared" ref="DI196:DI202" ca="1" si="281">RAND()*(1-0.001)+0.001</f>
        <v>0.92356785237943873</v>
      </c>
      <c r="DJ196" s="1">
        <f t="shared" ref="DJ196:DJ202" ca="1" si="282">RANDBETWEEN(1,30)</f>
        <v>29</v>
      </c>
      <c r="DL196" s="1">
        <f t="shared" ref="DL196:DL202" ca="1" si="283">RAND()*(0.2-0.01)+0.01</f>
        <v>9.3644757074382176E-2</v>
      </c>
      <c r="DM196" s="1">
        <f t="shared" ref="DM196:DM202" ca="1" si="284">RANDBETWEEN(50,300)</f>
        <v>135</v>
      </c>
      <c r="DN196" s="1">
        <f t="shared" ref="DN196:DN202" ca="1" si="285">RANDBETWEEN(1,10)</f>
        <v>2</v>
      </c>
      <c r="DW196" s="1">
        <f t="shared" ref="DW196:DW202" ca="1" si="286">RANDBETWEEN(50,500)</f>
        <v>354</v>
      </c>
      <c r="DX196" s="1">
        <f t="shared" ref="DX196:DX202" ca="1" si="287">RANDBETWEEN(3,20)</f>
        <v>16</v>
      </c>
      <c r="DY196" s="1">
        <f t="shared" ref="DY196:DY202" ca="1" si="288">RANDBETWEEN(2,20)</f>
        <v>12</v>
      </c>
    </row>
    <row r="197" spans="2:129" x14ac:dyDescent="0.25">
      <c r="B197">
        <f t="shared" ca="1" si="219"/>
        <v>113</v>
      </c>
      <c r="C197">
        <f t="shared" ca="1" si="220"/>
        <v>40</v>
      </c>
      <c r="D197">
        <f t="shared" ca="1" si="221"/>
        <v>0.15454769736522062</v>
      </c>
      <c r="F197" s="1">
        <f t="shared" ca="1" si="222"/>
        <v>47</v>
      </c>
      <c r="G197" s="1">
        <f t="shared" ca="1" si="223"/>
        <v>14</v>
      </c>
      <c r="H197" s="1">
        <f t="shared" ca="1" si="224"/>
        <v>14</v>
      </c>
      <c r="I197" s="1"/>
      <c r="J197" s="1">
        <f t="shared" ca="1" si="225"/>
        <v>16</v>
      </c>
      <c r="K197" s="1">
        <f t="shared" ca="1" si="226"/>
        <v>1.975833187538651</v>
      </c>
      <c r="L197" s="1">
        <f t="shared" ca="1" si="227"/>
        <v>29</v>
      </c>
      <c r="M197" s="1"/>
      <c r="N197" s="1">
        <f t="shared" ca="1" si="228"/>
        <v>231</v>
      </c>
      <c r="O197" s="1">
        <f t="shared" ca="1" si="229"/>
        <v>47</v>
      </c>
      <c r="P197" s="1"/>
      <c r="Q197" s="1">
        <f t="shared" ca="1" si="230"/>
        <v>2.0869359127923053</v>
      </c>
      <c r="R197" s="1">
        <f t="shared" ca="1" si="231"/>
        <v>643</v>
      </c>
      <c r="S197" s="1"/>
      <c r="T197" s="1">
        <f t="shared" ca="1" si="232"/>
        <v>0.10766756104459552</v>
      </c>
      <c r="U197" s="1">
        <f t="shared" ca="1" si="233"/>
        <v>232</v>
      </c>
      <c r="V197" s="1">
        <f t="shared" ca="1" si="234"/>
        <v>30</v>
      </c>
      <c r="W197" s="1"/>
      <c r="X197" s="1">
        <f t="shared" ca="1" si="235"/>
        <v>6.200886281487537</v>
      </c>
      <c r="Y197" s="1">
        <f t="shared" ca="1" si="236"/>
        <v>0.37524508155519781</v>
      </c>
      <c r="Z197" s="1">
        <f t="shared" ca="1" si="237"/>
        <v>335</v>
      </c>
      <c r="AB197" s="1">
        <f t="shared" ca="1" si="238"/>
        <v>0.95896656653218204</v>
      </c>
      <c r="AC197" s="1">
        <f t="shared" ca="1" si="239"/>
        <v>545</v>
      </c>
      <c r="AD197" s="1">
        <f t="shared" ca="1" si="240"/>
        <v>3.8374778172978754E-3</v>
      </c>
      <c r="AE197" s="1"/>
      <c r="AF197" s="1">
        <f t="shared" ca="1" si="241"/>
        <v>0.72314928583409044</v>
      </c>
      <c r="AG197" s="1">
        <f t="shared" ca="1" si="242"/>
        <v>140</v>
      </c>
      <c r="AH197" s="1">
        <f t="shared" ca="1" si="243"/>
        <v>8.5666925099321597E-3</v>
      </c>
      <c r="AJ197" s="1">
        <f t="shared" ca="1" si="244"/>
        <v>0.41329611210795991</v>
      </c>
      <c r="AK197" s="1">
        <f t="shared" ca="1" si="245"/>
        <v>3.4571770588418213E-3</v>
      </c>
      <c r="AL197" s="1"/>
      <c r="AM197" s="1">
        <f t="shared" ca="1" si="246"/>
        <v>9.747830505248789E-2</v>
      </c>
      <c r="AN197" s="1">
        <f t="shared" ca="1" si="247"/>
        <v>45</v>
      </c>
      <c r="AO197" s="1">
        <f t="shared" ca="1" si="248"/>
        <v>5</v>
      </c>
      <c r="AQ197" s="1">
        <f t="shared" ca="1" si="249"/>
        <v>144</v>
      </c>
      <c r="AR197" s="1">
        <f t="shared" ca="1" si="250"/>
        <v>2</v>
      </c>
      <c r="AS197" s="1">
        <f t="shared" ca="1" si="251"/>
        <v>2</v>
      </c>
      <c r="AU197" s="1">
        <f t="shared" ca="1" si="252"/>
        <v>357</v>
      </c>
      <c r="AV197" s="1">
        <f t="shared" ca="1" si="253"/>
        <v>6</v>
      </c>
      <c r="AW197" s="1">
        <f t="shared" ca="1" si="254"/>
        <v>3.1720708942099163E-2</v>
      </c>
      <c r="AY197" s="1">
        <f t="shared" ca="1" si="255"/>
        <v>1.5231088077330099</v>
      </c>
      <c r="AZ197" s="1">
        <f t="shared" ca="1" si="256"/>
        <v>379</v>
      </c>
      <c r="BA197" s="1">
        <f t="shared" ca="1" si="257"/>
        <v>9.2904589025146218E-3</v>
      </c>
      <c r="BG197" s="1">
        <f t="shared" ca="1" si="258"/>
        <v>0.99020834698830784</v>
      </c>
      <c r="BH197" s="1">
        <f t="shared" ca="1" si="259"/>
        <v>0.72030913605662117</v>
      </c>
      <c r="BI197" s="1">
        <f t="shared" ca="1" si="260"/>
        <v>838</v>
      </c>
      <c r="BV197" s="1">
        <f t="shared" ca="1" si="261"/>
        <v>0.46822326233471384</v>
      </c>
      <c r="BW197" s="1">
        <f t="shared" ca="1" si="262"/>
        <v>796</v>
      </c>
      <c r="BX197" s="1">
        <f t="shared" ca="1" si="263"/>
        <v>4.550075874009552E-3</v>
      </c>
      <c r="BY197" s="1">
        <f t="shared" ca="1" si="264"/>
        <v>8.747031131539719E-3</v>
      </c>
      <c r="BZ197" s="1">
        <f t="shared" ca="1" si="265"/>
        <v>0.20272790274777952</v>
      </c>
      <c r="CB197" s="1">
        <f t="shared" ca="1" si="266"/>
        <v>320</v>
      </c>
      <c r="CC197" s="1">
        <f t="shared" ca="1" si="267"/>
        <v>9</v>
      </c>
      <c r="CD197" s="1">
        <f t="shared" ca="1" si="268"/>
        <v>0.2725561700957031</v>
      </c>
      <c r="CE197" s="1">
        <f t="shared" ca="1" si="218"/>
        <v>0.54137756546878779</v>
      </c>
      <c r="CF197" s="1">
        <f t="shared" ca="1" si="218"/>
        <v>0.66954796960828888</v>
      </c>
      <c r="CH197" s="3">
        <f t="shared" ca="1" si="269"/>
        <v>0.33780906157988938</v>
      </c>
      <c r="CI197" s="3">
        <f t="shared" ca="1" si="270"/>
        <v>0.93132057712071037</v>
      </c>
      <c r="CJ197" s="3">
        <f t="shared" ca="1" si="271"/>
        <v>696</v>
      </c>
      <c r="CK197" s="3">
        <f t="shared" ca="1" si="272"/>
        <v>8.9131312081140322E-4</v>
      </c>
      <c r="CL197" s="3">
        <f t="shared" ca="1" si="273"/>
        <v>1</v>
      </c>
      <c r="CM197" s="3"/>
      <c r="CN197" s="1">
        <f t="shared" ca="1" si="274"/>
        <v>10.615255508550796</v>
      </c>
      <c r="CO197" s="1">
        <f t="shared" ca="1" si="275"/>
        <v>0.22892209624415996</v>
      </c>
      <c r="CP197" s="1">
        <f t="shared" ca="1" si="276"/>
        <v>5</v>
      </c>
      <c r="CV197" s="1">
        <f t="shared" ca="1" si="277"/>
        <v>5.6348923898025545</v>
      </c>
      <c r="CW197" s="1">
        <f t="shared" ca="1" si="278"/>
        <v>335</v>
      </c>
      <c r="CX197" s="1">
        <f t="shared" ca="1" si="279"/>
        <v>5.1590552631547619E-3</v>
      </c>
      <c r="DH197" s="1">
        <f t="shared" ca="1" si="280"/>
        <v>135</v>
      </c>
      <c r="DI197" s="1">
        <f t="shared" ca="1" si="281"/>
        <v>0.20714292885763544</v>
      </c>
      <c r="DJ197" s="1">
        <f t="shared" ca="1" si="282"/>
        <v>20</v>
      </c>
      <c r="DL197" s="1">
        <f t="shared" ca="1" si="283"/>
        <v>0.11580769847260713</v>
      </c>
      <c r="DM197" s="1">
        <f t="shared" ca="1" si="284"/>
        <v>81</v>
      </c>
      <c r="DN197" s="1">
        <f t="shared" ca="1" si="285"/>
        <v>5</v>
      </c>
      <c r="DW197" s="1">
        <f t="shared" ca="1" si="286"/>
        <v>283</v>
      </c>
      <c r="DX197" s="1">
        <f t="shared" ca="1" si="287"/>
        <v>11</v>
      </c>
      <c r="DY197" s="1">
        <f t="shared" ca="1" si="288"/>
        <v>5</v>
      </c>
    </row>
    <row r="198" spans="2:129" x14ac:dyDescent="0.25">
      <c r="B198">
        <f t="shared" ca="1" si="219"/>
        <v>614</v>
      </c>
      <c r="C198">
        <f t="shared" ca="1" si="220"/>
        <v>40</v>
      </c>
      <c r="D198">
        <f t="shared" ca="1" si="221"/>
        <v>8.3855728438063812E-2</v>
      </c>
      <c r="F198" s="1">
        <f t="shared" ca="1" si="222"/>
        <v>10</v>
      </c>
      <c r="G198" s="1">
        <f t="shared" ca="1" si="223"/>
        <v>15</v>
      </c>
      <c r="H198" s="1">
        <f t="shared" ca="1" si="224"/>
        <v>11</v>
      </c>
      <c r="I198" s="1"/>
      <c r="J198" s="1">
        <f t="shared" ca="1" si="225"/>
        <v>17</v>
      </c>
      <c r="K198" s="1">
        <f t="shared" ca="1" si="226"/>
        <v>1.4303327985615661</v>
      </c>
      <c r="L198" s="1">
        <f t="shared" ca="1" si="227"/>
        <v>35</v>
      </c>
      <c r="M198" s="1"/>
      <c r="N198" s="1">
        <f t="shared" ca="1" si="228"/>
        <v>769</v>
      </c>
      <c r="O198" s="1">
        <f t="shared" ca="1" si="229"/>
        <v>50</v>
      </c>
      <c r="P198" s="1"/>
      <c r="Q198" s="1">
        <f t="shared" ca="1" si="230"/>
        <v>4.0945878553949937</v>
      </c>
      <c r="R198" s="1">
        <f t="shared" ca="1" si="231"/>
        <v>746</v>
      </c>
      <c r="S198" s="1"/>
      <c r="T198" s="1">
        <f t="shared" ca="1" si="232"/>
        <v>0.15754449722063468</v>
      </c>
      <c r="U198" s="1">
        <f t="shared" ca="1" si="233"/>
        <v>377</v>
      </c>
      <c r="V198" s="1">
        <f t="shared" ca="1" si="234"/>
        <v>45</v>
      </c>
      <c r="W198" s="1"/>
      <c r="X198" s="1">
        <f t="shared" ca="1" si="235"/>
        <v>3.8514298801035447</v>
      </c>
      <c r="Y198" s="1">
        <f t="shared" ca="1" si="236"/>
        <v>1.9758490146283739E-2</v>
      </c>
      <c r="Z198" s="1">
        <f t="shared" ca="1" si="237"/>
        <v>801</v>
      </c>
      <c r="AB198" s="1">
        <f t="shared" ca="1" si="238"/>
        <v>0.15238229257580269</v>
      </c>
      <c r="AC198" s="1">
        <f t="shared" ca="1" si="239"/>
        <v>580</v>
      </c>
      <c r="AD198" s="1">
        <f t="shared" ca="1" si="240"/>
        <v>1.1730716346160343E-3</v>
      </c>
      <c r="AE198" s="1"/>
      <c r="AF198" s="1">
        <f t="shared" ca="1" si="241"/>
        <v>0.59728249946350509</v>
      </c>
      <c r="AG198" s="1">
        <f t="shared" ca="1" si="242"/>
        <v>546</v>
      </c>
      <c r="AH198" s="1">
        <f t="shared" ca="1" si="243"/>
        <v>5.0845640278293081E-3</v>
      </c>
      <c r="AJ198" s="1">
        <f t="shared" ca="1" si="244"/>
        <v>0.60738541582529781</v>
      </c>
      <c r="AK198" s="1">
        <f t="shared" ca="1" si="245"/>
        <v>7.3510903409236611E-3</v>
      </c>
      <c r="AL198" s="1"/>
      <c r="AM198" s="1">
        <f t="shared" ca="1" si="246"/>
        <v>0.18533378086269028</v>
      </c>
      <c r="AN198" s="1">
        <f t="shared" ca="1" si="247"/>
        <v>30</v>
      </c>
      <c r="AO198" s="1">
        <f t="shared" ca="1" si="248"/>
        <v>2</v>
      </c>
      <c r="AQ198" s="1">
        <f t="shared" ca="1" si="249"/>
        <v>163</v>
      </c>
      <c r="AR198" s="1">
        <f t="shared" ca="1" si="250"/>
        <v>9</v>
      </c>
      <c r="AS198" s="1">
        <f t="shared" ca="1" si="251"/>
        <v>81</v>
      </c>
      <c r="AU198" s="1">
        <f t="shared" ca="1" si="252"/>
        <v>254</v>
      </c>
      <c r="AV198" s="1">
        <f t="shared" ca="1" si="253"/>
        <v>7</v>
      </c>
      <c r="AW198" s="1">
        <f t="shared" ca="1" si="254"/>
        <v>5.9705939731232512E-2</v>
      </c>
      <c r="AY198" s="1">
        <f t="shared" ca="1" si="255"/>
        <v>1.3705155648229397</v>
      </c>
      <c r="AZ198" s="1">
        <f t="shared" ca="1" si="256"/>
        <v>85</v>
      </c>
      <c r="BA198" s="1">
        <f t="shared" ca="1" si="257"/>
        <v>1.4206058641496615E-3</v>
      </c>
      <c r="BG198" s="1">
        <f t="shared" ca="1" si="258"/>
        <v>0.31913061099396023</v>
      </c>
      <c r="BH198" s="1">
        <f t="shared" ca="1" si="259"/>
        <v>0.56177721632692657</v>
      </c>
      <c r="BI198" s="1">
        <f t="shared" ca="1" si="260"/>
        <v>489</v>
      </c>
      <c r="BV198" s="1">
        <f t="shared" ca="1" si="261"/>
        <v>0.59491839922837297</v>
      </c>
      <c r="BW198" s="1">
        <f t="shared" ca="1" si="262"/>
        <v>982</v>
      </c>
      <c r="BX198" s="1">
        <f t="shared" ca="1" si="263"/>
        <v>1.2745394570746029E-4</v>
      </c>
      <c r="BY198" s="1">
        <f t="shared" ca="1" si="264"/>
        <v>6.8713238945820862E-2</v>
      </c>
      <c r="BZ198" s="1">
        <f t="shared" ca="1" si="265"/>
        <v>7.712009553020871E-3</v>
      </c>
      <c r="CB198" s="1">
        <f t="shared" ca="1" si="266"/>
        <v>183</v>
      </c>
      <c r="CC198" s="1">
        <f t="shared" ca="1" si="267"/>
        <v>9</v>
      </c>
      <c r="CD198" s="1">
        <f t="shared" ca="1" si="268"/>
        <v>0.14647375235626689</v>
      </c>
      <c r="CE198" s="1">
        <f t="shared" ca="1" si="218"/>
        <v>0.53791800368453702</v>
      </c>
      <c r="CF198" s="1">
        <f t="shared" ca="1" si="218"/>
        <v>0.67148749673318309</v>
      </c>
      <c r="CH198" s="3">
        <f t="shared" ca="1" si="269"/>
        <v>0.24895665676008813</v>
      </c>
      <c r="CI198" s="3">
        <f t="shared" ca="1" si="270"/>
        <v>0.19717772507090303</v>
      </c>
      <c r="CJ198" s="3">
        <f t="shared" ca="1" si="271"/>
        <v>846</v>
      </c>
      <c r="CK198" s="3">
        <f t="shared" ca="1" si="272"/>
        <v>4.5395016724455797E-3</v>
      </c>
      <c r="CL198" s="3">
        <f t="shared" ca="1" si="273"/>
        <v>1</v>
      </c>
      <c r="CM198" s="3"/>
      <c r="CN198" s="1">
        <f t="shared" ca="1" si="274"/>
        <v>4.8984330252593686</v>
      </c>
      <c r="CO198" s="1">
        <f t="shared" ca="1" si="275"/>
        <v>8.9818864270168705E-2</v>
      </c>
      <c r="CP198" s="1">
        <f t="shared" ca="1" si="276"/>
        <v>1</v>
      </c>
      <c r="CV198" s="1">
        <f t="shared" ca="1" si="277"/>
        <v>4.830920532047946</v>
      </c>
      <c r="CW198" s="1">
        <f t="shared" ca="1" si="278"/>
        <v>1266</v>
      </c>
      <c r="CX198" s="1">
        <f t="shared" ca="1" si="279"/>
        <v>8.3660163530506551E-3</v>
      </c>
      <c r="DH198" s="1">
        <f t="shared" ca="1" si="280"/>
        <v>503</v>
      </c>
      <c r="DI198" s="1">
        <f t="shared" ca="1" si="281"/>
        <v>0.86499742573253813</v>
      </c>
      <c r="DJ198" s="1">
        <f t="shared" ca="1" si="282"/>
        <v>24</v>
      </c>
      <c r="DL198" s="1">
        <f t="shared" ca="1" si="283"/>
        <v>2.3830324442163715E-2</v>
      </c>
      <c r="DM198" s="1">
        <f t="shared" ca="1" si="284"/>
        <v>193</v>
      </c>
      <c r="DN198" s="1">
        <f t="shared" ca="1" si="285"/>
        <v>1</v>
      </c>
      <c r="DW198" s="1">
        <f t="shared" ca="1" si="286"/>
        <v>93</v>
      </c>
      <c r="DX198" s="1">
        <f t="shared" ca="1" si="287"/>
        <v>19</v>
      </c>
      <c r="DY198" s="1">
        <f t="shared" ca="1" si="288"/>
        <v>13</v>
      </c>
    </row>
    <row r="199" spans="2:129" x14ac:dyDescent="0.25">
      <c r="B199">
        <f t="shared" ca="1" si="219"/>
        <v>251</v>
      </c>
      <c r="C199">
        <f t="shared" ca="1" si="220"/>
        <v>40</v>
      </c>
      <c r="D199">
        <f t="shared" ca="1" si="221"/>
        <v>0.27098404863132275</v>
      </c>
      <c r="F199" s="1">
        <f t="shared" ca="1" si="222"/>
        <v>10</v>
      </c>
      <c r="G199" s="1">
        <f t="shared" ca="1" si="223"/>
        <v>18</v>
      </c>
      <c r="H199" s="1">
        <f t="shared" ca="1" si="224"/>
        <v>14</v>
      </c>
      <c r="I199" s="1"/>
      <c r="J199" s="1">
        <f t="shared" ca="1" si="225"/>
        <v>33</v>
      </c>
      <c r="K199" s="1">
        <f t="shared" ca="1" si="226"/>
        <v>2.5784846903575165</v>
      </c>
      <c r="L199" s="1">
        <f t="shared" ca="1" si="227"/>
        <v>6</v>
      </c>
      <c r="M199" s="1"/>
      <c r="N199" s="1">
        <f t="shared" ca="1" si="228"/>
        <v>946</v>
      </c>
      <c r="O199" s="1">
        <f t="shared" ca="1" si="229"/>
        <v>28</v>
      </c>
      <c r="P199" s="1"/>
      <c r="Q199" s="1">
        <f t="shared" ca="1" si="230"/>
        <v>4.4856773559672156</v>
      </c>
      <c r="R199" s="1">
        <f t="shared" ca="1" si="231"/>
        <v>1041</v>
      </c>
      <c r="S199" s="1"/>
      <c r="T199" s="1">
        <f t="shared" ca="1" si="232"/>
        <v>8.2443116141849612E-2</v>
      </c>
      <c r="U199" s="1">
        <f t="shared" ca="1" si="233"/>
        <v>256</v>
      </c>
      <c r="V199" s="1">
        <f t="shared" ca="1" si="234"/>
        <v>31</v>
      </c>
      <c r="W199" s="1"/>
      <c r="X199" s="1">
        <f t="shared" ca="1" si="235"/>
        <v>3.7024111375411106</v>
      </c>
      <c r="Y199" s="1">
        <f t="shared" ca="1" si="236"/>
        <v>0.26685260830452873</v>
      </c>
      <c r="Z199" s="1">
        <f t="shared" ca="1" si="237"/>
        <v>757</v>
      </c>
      <c r="AB199" s="1">
        <f t="shared" ca="1" si="238"/>
        <v>0.76902182184638257</v>
      </c>
      <c r="AC199" s="1">
        <f t="shared" ca="1" si="239"/>
        <v>856</v>
      </c>
      <c r="AD199" s="1">
        <f t="shared" ca="1" si="240"/>
        <v>7.7445714809445494E-3</v>
      </c>
      <c r="AE199" s="1"/>
      <c r="AF199" s="1">
        <f t="shared" ca="1" si="241"/>
        <v>0.85125014968157542</v>
      </c>
      <c r="AG199" s="1">
        <f t="shared" ca="1" si="242"/>
        <v>333</v>
      </c>
      <c r="AH199" s="1">
        <f t="shared" ca="1" si="243"/>
        <v>8.6705191154002586E-3</v>
      </c>
      <c r="AJ199" s="1">
        <f t="shared" ca="1" si="244"/>
        <v>0.9997050855582813</v>
      </c>
      <c r="AK199" s="1">
        <f t="shared" ca="1" si="245"/>
        <v>7.8464742378009517E-3</v>
      </c>
      <c r="AL199" s="1"/>
      <c r="AM199" s="1">
        <f t="shared" ca="1" si="246"/>
        <v>4.7782451472586536E-2</v>
      </c>
      <c r="AN199" s="1">
        <f t="shared" ca="1" si="247"/>
        <v>42</v>
      </c>
      <c r="AO199" s="1">
        <f t="shared" ca="1" si="248"/>
        <v>2</v>
      </c>
      <c r="AQ199" s="1">
        <f t="shared" ca="1" si="249"/>
        <v>159</v>
      </c>
      <c r="AR199" s="1">
        <f t="shared" ca="1" si="250"/>
        <v>6</v>
      </c>
      <c r="AS199" s="1">
        <f t="shared" ca="1" si="251"/>
        <v>80</v>
      </c>
      <c r="AU199" s="1">
        <f t="shared" ca="1" si="252"/>
        <v>348</v>
      </c>
      <c r="AV199" s="1">
        <f t="shared" ca="1" si="253"/>
        <v>9</v>
      </c>
      <c r="AW199" s="1">
        <f t="shared" ca="1" si="254"/>
        <v>0.1044113941704365</v>
      </c>
      <c r="AY199" s="1">
        <f t="shared" ca="1" si="255"/>
        <v>1.9999129509630638</v>
      </c>
      <c r="AZ199" s="1">
        <f t="shared" ca="1" si="256"/>
        <v>397</v>
      </c>
      <c r="BA199" s="1">
        <f t="shared" ca="1" si="257"/>
        <v>7.0354170101889326E-3</v>
      </c>
      <c r="BG199" s="1">
        <f t="shared" ca="1" si="258"/>
        <v>0.65045665664743724</v>
      </c>
      <c r="BH199" s="1">
        <f t="shared" ca="1" si="259"/>
        <v>0.17111757048168297</v>
      </c>
      <c r="BI199" s="1">
        <f t="shared" ca="1" si="260"/>
        <v>141</v>
      </c>
      <c r="BV199" s="1">
        <f t="shared" ca="1" si="261"/>
        <v>0.7686898245301933</v>
      </c>
      <c r="BW199" s="1">
        <f t="shared" ca="1" si="262"/>
        <v>779</v>
      </c>
      <c r="BX199" s="1">
        <f t="shared" ca="1" si="263"/>
        <v>8.3199286817759724E-4</v>
      </c>
      <c r="BY199" s="1">
        <f t="shared" ca="1" si="264"/>
        <v>4.416242059665574E-2</v>
      </c>
      <c r="BZ199" s="1">
        <f t="shared" ca="1" si="265"/>
        <v>0.71724372273190529</v>
      </c>
      <c r="CB199" s="1">
        <f t="shared" ca="1" si="266"/>
        <v>469</v>
      </c>
      <c r="CC199" s="1">
        <f t="shared" ca="1" si="267"/>
        <v>7</v>
      </c>
      <c r="CD199" s="1">
        <f t="shared" ca="1" si="268"/>
        <v>0.20023933460209578</v>
      </c>
      <c r="CE199" s="1">
        <f t="shared" ca="1" si="218"/>
        <v>0.78600972029573013</v>
      </c>
      <c r="CF199" s="1">
        <f t="shared" ca="1" si="218"/>
        <v>0.65771760120885459</v>
      </c>
      <c r="CH199" s="3">
        <f t="shared" ca="1" si="269"/>
        <v>0.77425237558761162</v>
      </c>
      <c r="CI199" s="3">
        <f t="shared" ca="1" si="270"/>
        <v>0.83440556438094671</v>
      </c>
      <c r="CJ199" s="3">
        <f t="shared" ca="1" si="271"/>
        <v>755</v>
      </c>
      <c r="CK199" s="3">
        <f t="shared" ca="1" si="272"/>
        <v>6.3182976556341421E-3</v>
      </c>
      <c r="CL199" s="3">
        <f t="shared" ca="1" si="273"/>
        <v>0</v>
      </c>
      <c r="CM199" s="3"/>
      <c r="CN199" s="1">
        <f t="shared" ca="1" si="274"/>
        <v>0.53488984258732553</v>
      </c>
      <c r="CO199" s="1">
        <f t="shared" ca="1" si="275"/>
        <v>0.25202567425370559</v>
      </c>
      <c r="CP199" s="1">
        <f t="shared" ca="1" si="276"/>
        <v>5</v>
      </c>
      <c r="CV199" s="1">
        <f t="shared" ca="1" si="277"/>
        <v>3.4136439937599441</v>
      </c>
      <c r="CW199" s="1">
        <f t="shared" ca="1" si="278"/>
        <v>190</v>
      </c>
      <c r="CX199" s="1">
        <f t="shared" ca="1" si="279"/>
        <v>7.8675105367122765E-3</v>
      </c>
      <c r="DH199" s="1">
        <f t="shared" ca="1" si="280"/>
        <v>271</v>
      </c>
      <c r="DI199" s="1">
        <f t="shared" ca="1" si="281"/>
        <v>0.26698273684414692</v>
      </c>
      <c r="DJ199" s="1">
        <f t="shared" ca="1" si="282"/>
        <v>20</v>
      </c>
      <c r="DL199" s="1">
        <f t="shared" ca="1" si="283"/>
        <v>0.1334770262149837</v>
      </c>
      <c r="DM199" s="1">
        <f t="shared" ca="1" si="284"/>
        <v>245</v>
      </c>
      <c r="DN199" s="1">
        <f t="shared" ca="1" si="285"/>
        <v>4</v>
      </c>
      <c r="DW199" s="1">
        <f t="shared" ca="1" si="286"/>
        <v>368</v>
      </c>
      <c r="DX199" s="1">
        <f t="shared" ca="1" si="287"/>
        <v>8</v>
      </c>
      <c r="DY199" s="1">
        <f t="shared" ca="1" si="288"/>
        <v>16</v>
      </c>
    </row>
    <row r="200" spans="2:129" x14ac:dyDescent="0.25">
      <c r="B200">
        <f t="shared" ca="1" si="219"/>
        <v>648</v>
      </c>
      <c r="C200">
        <f t="shared" ca="1" si="220"/>
        <v>27</v>
      </c>
      <c r="D200">
        <f t="shared" ca="1" si="221"/>
        <v>0.13159073051443448</v>
      </c>
      <c r="F200" s="1">
        <f t="shared" ca="1" si="222"/>
        <v>12</v>
      </c>
      <c r="G200" s="1">
        <f t="shared" ca="1" si="223"/>
        <v>18</v>
      </c>
      <c r="H200" s="1">
        <f t="shared" ca="1" si="224"/>
        <v>10</v>
      </c>
      <c r="I200" s="1"/>
      <c r="J200" s="1">
        <f t="shared" ca="1" si="225"/>
        <v>38</v>
      </c>
      <c r="K200" s="1">
        <f t="shared" ca="1" si="226"/>
        <v>1.8749649392003804</v>
      </c>
      <c r="L200" s="1">
        <f t="shared" ca="1" si="227"/>
        <v>24</v>
      </c>
      <c r="M200" s="1"/>
      <c r="N200" s="1">
        <f t="shared" ca="1" si="228"/>
        <v>119</v>
      </c>
      <c r="O200" s="1">
        <f t="shared" ca="1" si="229"/>
        <v>22</v>
      </c>
      <c r="P200" s="1"/>
      <c r="Q200" s="1">
        <f t="shared" ca="1" si="230"/>
        <v>3.023848522841782</v>
      </c>
      <c r="R200" s="1">
        <f t="shared" ca="1" si="231"/>
        <v>602</v>
      </c>
      <c r="S200" s="1"/>
      <c r="T200" s="1">
        <f t="shared" ca="1" si="232"/>
        <v>1.0079498620260162E-2</v>
      </c>
      <c r="U200" s="1">
        <f t="shared" ca="1" si="233"/>
        <v>426</v>
      </c>
      <c r="V200" s="1">
        <f t="shared" ca="1" si="234"/>
        <v>46</v>
      </c>
      <c r="W200" s="1"/>
      <c r="X200" s="1">
        <f t="shared" ca="1" si="235"/>
        <v>2.822499048809255</v>
      </c>
      <c r="Y200" s="1">
        <f t="shared" ca="1" si="236"/>
        <v>0.41728367646539377</v>
      </c>
      <c r="Z200" s="1">
        <f t="shared" ca="1" si="237"/>
        <v>1714</v>
      </c>
      <c r="AB200" s="1">
        <f t="shared" ca="1" si="238"/>
        <v>0.28726810359312549</v>
      </c>
      <c r="AC200" s="1">
        <f t="shared" ca="1" si="239"/>
        <v>642</v>
      </c>
      <c r="AD200" s="1">
        <f t="shared" ca="1" si="240"/>
        <v>2.9058963222620411E-3</v>
      </c>
      <c r="AE200" s="1"/>
      <c r="AF200" s="1">
        <f t="shared" ca="1" si="241"/>
        <v>0.20981708759779441</v>
      </c>
      <c r="AG200" s="1">
        <f t="shared" ca="1" si="242"/>
        <v>463</v>
      </c>
      <c r="AH200" s="1">
        <f t="shared" ca="1" si="243"/>
        <v>8.1832892580340887E-3</v>
      </c>
      <c r="AJ200" s="1">
        <f t="shared" ca="1" si="244"/>
        <v>4.7762609184218041E-2</v>
      </c>
      <c r="AK200" s="1">
        <f t="shared" ca="1" si="245"/>
        <v>9.834703100714378E-3</v>
      </c>
      <c r="AL200" s="1"/>
      <c r="AM200" s="1">
        <f t="shared" ca="1" si="246"/>
        <v>5.2117009248852229E-2</v>
      </c>
      <c r="AN200" s="1">
        <f t="shared" ca="1" si="247"/>
        <v>36</v>
      </c>
      <c r="AO200" s="1">
        <f t="shared" ca="1" si="248"/>
        <v>-1</v>
      </c>
      <c r="AQ200" s="1">
        <f t="shared" ca="1" si="249"/>
        <v>189</v>
      </c>
      <c r="AR200" s="1">
        <f t="shared" ca="1" si="250"/>
        <v>7</v>
      </c>
      <c r="AS200" s="1">
        <f t="shared" ca="1" si="251"/>
        <v>72</v>
      </c>
      <c r="AU200" s="1">
        <f t="shared" ca="1" si="252"/>
        <v>242</v>
      </c>
      <c r="AV200" s="1">
        <f t="shared" ca="1" si="253"/>
        <v>4</v>
      </c>
      <c r="AW200" s="1">
        <f t="shared" ca="1" si="254"/>
        <v>4.1254584050808521E-2</v>
      </c>
      <c r="AY200" s="1">
        <f t="shared" ca="1" si="255"/>
        <v>1.9130886342260598</v>
      </c>
      <c r="AZ200" s="1">
        <f t="shared" ca="1" si="256"/>
        <v>303</v>
      </c>
      <c r="BA200" s="1">
        <f t="shared" ca="1" si="257"/>
        <v>6.4367161737543155E-4</v>
      </c>
      <c r="BG200" s="1">
        <f t="shared" ca="1" si="258"/>
        <v>0.75071683888812124</v>
      </c>
      <c r="BH200" s="1">
        <f t="shared" ca="1" si="259"/>
        <v>0.65758553167944678</v>
      </c>
      <c r="BI200" s="1">
        <f t="shared" ca="1" si="260"/>
        <v>657</v>
      </c>
      <c r="BV200" s="1">
        <f t="shared" ca="1" si="261"/>
        <v>0.69974786328890093</v>
      </c>
      <c r="BW200" s="1">
        <f t="shared" ca="1" si="262"/>
        <v>701</v>
      </c>
      <c r="BX200" s="1">
        <f t="shared" ca="1" si="263"/>
        <v>5.3041148661952598E-4</v>
      </c>
      <c r="BY200" s="1">
        <f t="shared" ca="1" si="264"/>
        <v>5.2005498845883749E-2</v>
      </c>
      <c r="BZ200" s="1">
        <f t="shared" ca="1" si="265"/>
        <v>0.85963814735335553</v>
      </c>
      <c r="CB200" s="1">
        <f t="shared" ca="1" si="266"/>
        <v>110</v>
      </c>
      <c r="CC200" s="1">
        <f t="shared" ca="1" si="267"/>
        <v>5</v>
      </c>
      <c r="CD200" s="1">
        <f t="shared" ca="1" si="268"/>
        <v>0.12855348614863688</v>
      </c>
      <c r="CE200" s="1">
        <f t="shared" ca="1" si="218"/>
        <v>0.70812588205218319</v>
      </c>
      <c r="CF200" s="1">
        <f t="shared" ca="1" si="218"/>
        <v>0.90754705628774879</v>
      </c>
      <c r="CH200" s="3">
        <f t="shared" ca="1" si="269"/>
        <v>0.16890092983108018</v>
      </c>
      <c r="CI200" s="3">
        <f t="shared" ca="1" si="270"/>
        <v>0.804645120414476</v>
      </c>
      <c r="CJ200" s="3">
        <f t="shared" ca="1" si="271"/>
        <v>1813</v>
      </c>
      <c r="CK200" s="3">
        <f t="shared" ca="1" si="272"/>
        <v>4.7589943015330588E-3</v>
      </c>
      <c r="CL200" s="3">
        <f t="shared" ca="1" si="273"/>
        <v>1</v>
      </c>
      <c r="CM200" s="3"/>
      <c r="CN200" s="1">
        <f t="shared" ca="1" si="274"/>
        <v>19.121868360427037</v>
      </c>
      <c r="CO200" s="1">
        <f t="shared" ca="1" si="275"/>
        <v>0.19399294052506788</v>
      </c>
      <c r="CP200" s="1">
        <f t="shared" ca="1" si="276"/>
        <v>2</v>
      </c>
      <c r="CV200" s="1">
        <f t="shared" ca="1" si="277"/>
        <v>5.129146543931058</v>
      </c>
      <c r="CW200" s="1">
        <f t="shared" ca="1" si="278"/>
        <v>1217</v>
      </c>
      <c r="CX200" s="1">
        <f t="shared" ca="1" si="279"/>
        <v>6.3092584937385933E-3</v>
      </c>
      <c r="DH200" s="1">
        <f t="shared" ca="1" si="280"/>
        <v>191</v>
      </c>
      <c r="DI200" s="1">
        <f t="shared" ca="1" si="281"/>
        <v>8.3464583548573432E-2</v>
      </c>
      <c r="DJ200" s="1">
        <f t="shared" ca="1" si="282"/>
        <v>14</v>
      </c>
      <c r="DL200" s="1">
        <f t="shared" ca="1" si="283"/>
        <v>3.4425369418399264E-2</v>
      </c>
      <c r="DM200" s="1">
        <f t="shared" ca="1" si="284"/>
        <v>235</v>
      </c>
      <c r="DN200" s="1">
        <f t="shared" ca="1" si="285"/>
        <v>3</v>
      </c>
      <c r="DW200" s="1">
        <f t="shared" ca="1" si="286"/>
        <v>351</v>
      </c>
      <c r="DX200" s="1">
        <f t="shared" ca="1" si="287"/>
        <v>8</v>
      </c>
      <c r="DY200" s="1">
        <f t="shared" ca="1" si="288"/>
        <v>19</v>
      </c>
    </row>
    <row r="201" spans="2:129" x14ac:dyDescent="0.25">
      <c r="B201">
        <f t="shared" ca="1" si="219"/>
        <v>108</v>
      </c>
      <c r="C201">
        <f t="shared" ca="1" si="220"/>
        <v>21</v>
      </c>
      <c r="D201">
        <f t="shared" ca="1" si="221"/>
        <v>0.25208739452968587</v>
      </c>
      <c r="F201" s="1">
        <f t="shared" ca="1" si="222"/>
        <v>47</v>
      </c>
      <c r="G201" s="1">
        <f t="shared" ca="1" si="223"/>
        <v>7</v>
      </c>
      <c r="H201" s="1">
        <f t="shared" ca="1" si="224"/>
        <v>2</v>
      </c>
      <c r="I201" s="1"/>
      <c r="J201" s="1">
        <f t="shared" ca="1" si="225"/>
        <v>8</v>
      </c>
      <c r="K201" s="1">
        <f t="shared" ca="1" si="226"/>
        <v>1.882039389197643</v>
      </c>
      <c r="L201" s="1">
        <f t="shared" ca="1" si="227"/>
        <v>23</v>
      </c>
      <c r="M201" s="1"/>
      <c r="N201" s="1">
        <f t="shared" ca="1" si="228"/>
        <v>608</v>
      </c>
      <c r="O201" s="1">
        <f t="shared" ca="1" si="229"/>
        <v>18</v>
      </c>
      <c r="P201" s="1"/>
      <c r="Q201" s="1">
        <f t="shared" ca="1" si="230"/>
        <v>3.1992256360124567</v>
      </c>
      <c r="R201" s="1">
        <f t="shared" ca="1" si="231"/>
        <v>685</v>
      </c>
      <c r="S201" s="1"/>
      <c r="T201" s="1">
        <f t="shared" ca="1" si="232"/>
        <v>0.17011539605816081</v>
      </c>
      <c r="U201" s="1">
        <f t="shared" ca="1" si="233"/>
        <v>252</v>
      </c>
      <c r="V201" s="1">
        <f t="shared" ca="1" si="234"/>
        <v>6</v>
      </c>
      <c r="W201" s="1"/>
      <c r="X201" s="1">
        <f t="shared" ca="1" si="235"/>
        <v>1.6079025190614082</v>
      </c>
      <c r="Y201" s="1">
        <f t="shared" ca="1" si="236"/>
        <v>0.98102998443644462</v>
      </c>
      <c r="Z201" s="1">
        <f t="shared" ca="1" si="237"/>
        <v>1472</v>
      </c>
      <c r="AB201" s="1">
        <f t="shared" ca="1" si="238"/>
        <v>0.7680597008323985</v>
      </c>
      <c r="AC201" s="1">
        <f t="shared" ca="1" si="239"/>
        <v>602</v>
      </c>
      <c r="AD201" s="1">
        <f t="shared" ca="1" si="240"/>
        <v>6.496381652161605E-3</v>
      </c>
      <c r="AE201" s="1"/>
      <c r="AF201" s="1">
        <f t="shared" ca="1" si="241"/>
        <v>0.88634687772697884</v>
      </c>
      <c r="AG201" s="1">
        <f t="shared" ca="1" si="242"/>
        <v>808</v>
      </c>
      <c r="AH201" s="1">
        <f t="shared" ca="1" si="243"/>
        <v>9.218366379848443E-3</v>
      </c>
      <c r="AJ201" s="1">
        <f t="shared" ca="1" si="244"/>
        <v>0.17350443324527343</v>
      </c>
      <c r="AK201" s="1">
        <f t="shared" ca="1" si="245"/>
        <v>1.9126870317798302E-3</v>
      </c>
      <c r="AL201" s="1"/>
      <c r="AM201" s="1">
        <f t="shared" ca="1" si="246"/>
        <v>3.4657860648934335E-2</v>
      </c>
      <c r="AN201" s="1">
        <f t="shared" ca="1" si="247"/>
        <v>19</v>
      </c>
      <c r="AO201" s="1">
        <f t="shared" ca="1" si="248"/>
        <v>0</v>
      </c>
      <c r="AQ201" s="1">
        <f t="shared" ca="1" si="249"/>
        <v>24</v>
      </c>
      <c r="AR201" s="1">
        <f t="shared" ca="1" si="250"/>
        <v>4</v>
      </c>
      <c r="AS201" s="1">
        <f t="shared" ca="1" si="251"/>
        <v>9</v>
      </c>
      <c r="AU201" s="1">
        <f t="shared" ca="1" si="252"/>
        <v>375</v>
      </c>
      <c r="AV201" s="1">
        <f t="shared" ca="1" si="253"/>
        <v>2</v>
      </c>
      <c r="AW201" s="1">
        <f t="shared" ca="1" si="254"/>
        <v>9.7220537155787767E-2</v>
      </c>
      <c r="AY201" s="1">
        <f t="shared" ca="1" si="255"/>
        <v>1.409281713074729</v>
      </c>
      <c r="AZ201" s="1">
        <f t="shared" ca="1" si="256"/>
        <v>229</v>
      </c>
      <c r="BA201" s="1">
        <f t="shared" ca="1" si="257"/>
        <v>4.6799154498453673E-3</v>
      </c>
      <c r="BG201" s="1">
        <f t="shared" ca="1" si="258"/>
        <v>0.75397688035578758</v>
      </c>
      <c r="BH201" s="1">
        <f t="shared" ca="1" si="259"/>
        <v>0.69407480700940294</v>
      </c>
      <c r="BI201" s="1">
        <f t="shared" ca="1" si="260"/>
        <v>837</v>
      </c>
      <c r="BV201" s="1">
        <f t="shared" ca="1" si="261"/>
        <v>0.99089467554259025</v>
      </c>
      <c r="BW201" s="1">
        <f t="shared" ca="1" si="262"/>
        <v>198</v>
      </c>
      <c r="BX201" s="1">
        <f t="shared" ca="1" si="263"/>
        <v>8.6526237294819123E-3</v>
      </c>
      <c r="BY201" s="1">
        <f t="shared" ca="1" si="264"/>
        <v>2.8550441635556117E-2</v>
      </c>
      <c r="BZ201" s="1">
        <f t="shared" ca="1" si="265"/>
        <v>0.37407617822879791</v>
      </c>
      <c r="CB201" s="1">
        <f t="shared" ca="1" si="266"/>
        <v>183</v>
      </c>
      <c r="CC201" s="1">
        <f t="shared" ca="1" si="267"/>
        <v>6</v>
      </c>
      <c r="CD201" s="1">
        <f t="shared" ca="1" si="268"/>
        <v>8.9935658855865935E-2</v>
      </c>
      <c r="CE201" s="1">
        <f t="shared" ca="1" si="218"/>
        <v>0.69345899564006275</v>
      </c>
      <c r="CF201" s="1">
        <f t="shared" ca="1" si="218"/>
        <v>0.7194745480662581</v>
      </c>
      <c r="CH201" s="3">
        <f t="shared" ca="1" si="269"/>
        <v>0.44565210130848149</v>
      </c>
      <c r="CI201" s="3">
        <f t="shared" ca="1" si="270"/>
        <v>4.9062406022055471E-2</v>
      </c>
      <c r="CJ201" s="3">
        <f t="shared" ca="1" si="271"/>
        <v>1178</v>
      </c>
      <c r="CK201" s="3">
        <f t="shared" ca="1" si="272"/>
        <v>1.6710131299568756E-3</v>
      </c>
      <c r="CL201" s="3">
        <f t="shared" ca="1" si="273"/>
        <v>0</v>
      </c>
      <c r="CM201" s="3"/>
      <c r="CN201" s="1">
        <f t="shared" ca="1" si="274"/>
        <v>14.097476576178236</v>
      </c>
      <c r="CO201" s="1">
        <f t="shared" ca="1" si="275"/>
        <v>0.18375272917110427</v>
      </c>
      <c r="CP201" s="1">
        <f t="shared" ca="1" si="276"/>
        <v>4</v>
      </c>
      <c r="CV201" s="1">
        <f t="shared" ca="1" si="277"/>
        <v>2.2287031729735665</v>
      </c>
      <c r="CW201" s="1">
        <f t="shared" ca="1" si="278"/>
        <v>768</v>
      </c>
      <c r="CX201" s="1">
        <f t="shared" ca="1" si="279"/>
        <v>3.1049617725488541E-3</v>
      </c>
      <c r="DH201" s="1">
        <f t="shared" ca="1" si="280"/>
        <v>300</v>
      </c>
      <c r="DI201" s="1">
        <f t="shared" ca="1" si="281"/>
        <v>0.86197956156186573</v>
      </c>
      <c r="DJ201" s="1">
        <f t="shared" ca="1" si="282"/>
        <v>24</v>
      </c>
      <c r="DL201" s="1">
        <f t="shared" ca="1" si="283"/>
        <v>0.18876676624050673</v>
      </c>
      <c r="DM201" s="1">
        <f t="shared" ca="1" si="284"/>
        <v>142</v>
      </c>
      <c r="DN201" s="1">
        <f t="shared" ca="1" si="285"/>
        <v>6</v>
      </c>
      <c r="DW201" s="1">
        <f t="shared" ca="1" si="286"/>
        <v>361</v>
      </c>
      <c r="DX201" s="1">
        <f t="shared" ca="1" si="287"/>
        <v>11</v>
      </c>
      <c r="DY201" s="1">
        <f t="shared" ca="1" si="288"/>
        <v>18</v>
      </c>
    </row>
    <row r="202" spans="2:129" x14ac:dyDescent="0.25">
      <c r="B202">
        <f t="shared" ca="1" si="219"/>
        <v>266</v>
      </c>
      <c r="C202">
        <f t="shared" ca="1" si="220"/>
        <v>5</v>
      </c>
      <c r="D202">
        <f t="shared" ca="1" si="221"/>
        <v>8.247867122559209E-2</v>
      </c>
      <c r="F202" s="1">
        <f t="shared" ca="1" si="222"/>
        <v>34</v>
      </c>
      <c r="G202" s="1">
        <f t="shared" ca="1" si="223"/>
        <v>3</v>
      </c>
      <c r="H202" s="1">
        <f t="shared" ca="1" si="224"/>
        <v>6</v>
      </c>
      <c r="I202" s="1"/>
      <c r="J202" s="1">
        <f t="shared" ca="1" si="225"/>
        <v>19</v>
      </c>
      <c r="K202" s="1">
        <f t="shared" ca="1" si="226"/>
        <v>2.5992883530767474</v>
      </c>
      <c r="L202" s="1">
        <f t="shared" ca="1" si="227"/>
        <v>22</v>
      </c>
      <c r="M202" s="1"/>
      <c r="N202" s="1">
        <f t="shared" ca="1" si="228"/>
        <v>696</v>
      </c>
      <c r="O202" s="1">
        <f t="shared" ca="1" si="229"/>
        <v>4</v>
      </c>
      <c r="P202" s="1"/>
      <c r="Q202" s="1">
        <f t="shared" ca="1" si="230"/>
        <v>1.2983951250112804</v>
      </c>
      <c r="R202" s="1">
        <f t="shared" ca="1" si="231"/>
        <v>595</v>
      </c>
      <c r="S202" s="1"/>
      <c r="T202" s="1">
        <f t="shared" ca="1" si="232"/>
        <v>6.0199291140451396E-2</v>
      </c>
      <c r="U202" s="1">
        <f t="shared" ca="1" si="233"/>
        <v>251</v>
      </c>
      <c r="V202" s="1">
        <f t="shared" ca="1" si="234"/>
        <v>40</v>
      </c>
      <c r="W202" s="1"/>
      <c r="X202" s="1">
        <f t="shared" ca="1" si="235"/>
        <v>3.7264590541489544</v>
      </c>
      <c r="Y202" s="1">
        <f t="shared" ca="1" si="236"/>
        <v>4.3176843213303201E-2</v>
      </c>
      <c r="Z202" s="1">
        <f t="shared" ca="1" si="237"/>
        <v>1314</v>
      </c>
      <c r="AB202" s="1">
        <f t="shared" ca="1" si="238"/>
        <v>6.6760136830745775E-2</v>
      </c>
      <c r="AC202" s="1">
        <f t="shared" ca="1" si="239"/>
        <v>922</v>
      </c>
      <c r="AD202" s="1">
        <f t="shared" ca="1" si="240"/>
        <v>4.0620342033400609E-3</v>
      </c>
      <c r="AE202" s="1"/>
      <c r="AF202" s="1">
        <f t="shared" ca="1" si="241"/>
        <v>0.3062374351185021</v>
      </c>
      <c r="AG202" s="1">
        <f t="shared" ca="1" si="242"/>
        <v>898</v>
      </c>
      <c r="AH202" s="1">
        <f t="shared" ca="1" si="243"/>
        <v>8.9585939496340632E-3</v>
      </c>
      <c r="AJ202" s="1">
        <f t="shared" ca="1" si="244"/>
        <v>0.71911151550353991</v>
      </c>
      <c r="AK202" s="1">
        <f t="shared" ca="1" si="245"/>
        <v>7.2290268372367911E-4</v>
      </c>
      <c r="AL202" s="1"/>
      <c r="AM202" s="1">
        <f t="shared" ca="1" si="246"/>
        <v>0.13522872740185266</v>
      </c>
      <c r="AN202" s="1">
        <f t="shared" ca="1" si="247"/>
        <v>30</v>
      </c>
      <c r="AO202" s="1">
        <f t="shared" ca="1" si="248"/>
        <v>11</v>
      </c>
      <c r="AQ202" s="1">
        <f t="shared" ca="1" si="249"/>
        <v>160</v>
      </c>
      <c r="AR202" s="1">
        <f t="shared" ca="1" si="250"/>
        <v>10</v>
      </c>
      <c r="AS202" s="1">
        <f t="shared" ca="1" si="251"/>
        <v>62</v>
      </c>
      <c r="AU202" s="1">
        <f t="shared" ca="1" si="252"/>
        <v>236</v>
      </c>
      <c r="AV202" s="1">
        <f t="shared" ca="1" si="253"/>
        <v>3</v>
      </c>
      <c r="AW202" s="1">
        <f t="shared" ca="1" si="254"/>
        <v>0.10805024309650396</v>
      </c>
      <c r="AY202" s="1">
        <f t="shared" ca="1" si="255"/>
        <v>1.7767555801821615</v>
      </c>
      <c r="AZ202" s="1">
        <f t="shared" ca="1" si="256"/>
        <v>132</v>
      </c>
      <c r="BA202" s="1">
        <f t="shared" ca="1" si="257"/>
        <v>5.6494540076729308E-3</v>
      </c>
      <c r="BG202" s="1">
        <f t="shared" ca="1" si="258"/>
        <v>0.54932523578072623</v>
      </c>
      <c r="BH202" s="1">
        <f t="shared" ca="1" si="259"/>
        <v>0.32215430998836925</v>
      </c>
      <c r="BI202" s="1">
        <f t="shared" ca="1" si="260"/>
        <v>422</v>
      </c>
      <c r="BV202" s="1">
        <f t="shared" ca="1" si="261"/>
        <v>0.28143315529109464</v>
      </c>
      <c r="BW202" s="1">
        <f t="shared" ca="1" si="262"/>
        <v>776</v>
      </c>
      <c r="BX202" s="1">
        <f t="shared" ca="1" si="263"/>
        <v>5.9340887296413019E-3</v>
      </c>
      <c r="BY202" s="1">
        <f t="shared" ca="1" si="264"/>
        <v>2.1371008313038131E-2</v>
      </c>
      <c r="BZ202" s="1">
        <f t="shared" ca="1" si="265"/>
        <v>0.83413707224633482</v>
      </c>
      <c r="CB202" s="1">
        <f t="shared" ca="1" si="266"/>
        <v>351</v>
      </c>
      <c r="CC202" s="1">
        <f t="shared" ca="1" si="267"/>
        <v>9</v>
      </c>
      <c r="CD202" s="1">
        <f t="shared" ca="1" si="268"/>
        <v>0.1537314573722813</v>
      </c>
      <c r="CE202" s="1">
        <f t="shared" ca="1" si="218"/>
        <v>0.92189724294533471</v>
      </c>
      <c r="CF202" s="1">
        <f t="shared" ca="1" si="218"/>
        <v>0.63765312076480285</v>
      </c>
      <c r="CH202" s="3">
        <f t="shared" ca="1" si="269"/>
        <v>5.7709837393728314E-2</v>
      </c>
      <c r="CI202" s="3">
        <f t="shared" ca="1" si="270"/>
        <v>0.76475369106056668</v>
      </c>
      <c r="CJ202" s="3">
        <f t="shared" ca="1" si="271"/>
        <v>1370</v>
      </c>
      <c r="CK202" s="3">
        <f t="shared" ca="1" si="272"/>
        <v>6.7825608542495548E-3</v>
      </c>
      <c r="CL202" s="3">
        <f t="shared" ca="1" si="273"/>
        <v>1</v>
      </c>
      <c r="CM202" s="3"/>
      <c r="CN202" s="1">
        <f t="shared" ca="1" si="274"/>
        <v>18.962105950171853</v>
      </c>
      <c r="CO202" s="1">
        <f t="shared" ca="1" si="275"/>
        <v>3.3878281256325075E-2</v>
      </c>
      <c r="CP202" s="1">
        <f t="shared" ca="1" si="276"/>
        <v>2</v>
      </c>
      <c r="CV202" s="1">
        <f t="shared" ca="1" si="277"/>
        <v>9.636929902050559</v>
      </c>
      <c r="CW202" s="1">
        <f t="shared" ca="1" si="278"/>
        <v>1209</v>
      </c>
      <c r="CX202" s="1">
        <f t="shared" ca="1" si="279"/>
        <v>8.2407105270755378E-3</v>
      </c>
      <c r="DH202" s="1">
        <f t="shared" ca="1" si="280"/>
        <v>723</v>
      </c>
      <c r="DI202" s="1">
        <f t="shared" ca="1" si="281"/>
        <v>0.22429454659023287</v>
      </c>
      <c r="DJ202" s="1">
        <f t="shared" ca="1" si="282"/>
        <v>20</v>
      </c>
      <c r="DL202" s="1">
        <f t="shared" ca="1" si="283"/>
        <v>0.19564606607349772</v>
      </c>
      <c r="DM202" s="1">
        <f t="shared" ca="1" si="284"/>
        <v>243</v>
      </c>
      <c r="DN202" s="1">
        <f t="shared" ca="1" si="285"/>
        <v>4</v>
      </c>
      <c r="DW202" s="1">
        <f t="shared" ca="1" si="286"/>
        <v>72</v>
      </c>
      <c r="DX202" s="1">
        <f t="shared" ca="1" si="287"/>
        <v>19</v>
      </c>
      <c r="DY202" s="1">
        <f t="shared" ca="1" si="288"/>
        <v>12</v>
      </c>
    </row>
  </sheetData>
  <mergeCells count="31">
    <mergeCell ref="DH1:DJ1"/>
    <mergeCell ref="DD1:DF1"/>
    <mergeCell ref="CZ1:DB1"/>
    <mergeCell ref="AQ1:AS1"/>
    <mergeCell ref="CR1:CT1"/>
    <mergeCell ref="CV1:CX1"/>
    <mergeCell ref="CN1:CP1"/>
    <mergeCell ref="CH1:CL1"/>
    <mergeCell ref="T1:V1"/>
    <mergeCell ref="X1:Z1"/>
    <mergeCell ref="B1:D1"/>
    <mergeCell ref="F1:H1"/>
    <mergeCell ref="J1:L1"/>
    <mergeCell ref="N1:O1"/>
    <mergeCell ref="Q1:R1"/>
    <mergeCell ref="DW1:DY1"/>
    <mergeCell ref="AJ1:AK1"/>
    <mergeCell ref="AB1:AD1"/>
    <mergeCell ref="AF1:AH1"/>
    <mergeCell ref="AY1:BA1"/>
    <mergeCell ref="BC1:BE1"/>
    <mergeCell ref="AM1:AO1"/>
    <mergeCell ref="BV1:BZ1"/>
    <mergeCell ref="BO1:BP1"/>
    <mergeCell ref="BR1:BT1"/>
    <mergeCell ref="BG1:BI1"/>
    <mergeCell ref="BK1:BM1"/>
    <mergeCell ref="DS1:DU1"/>
    <mergeCell ref="DL1:DN1"/>
    <mergeCell ref="CB1:CF1"/>
    <mergeCell ref="AU1:AW1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 Moradian</dc:creator>
  <cp:lastModifiedBy>Sam Moradian</cp:lastModifiedBy>
  <dcterms:created xsi:type="dcterms:W3CDTF">2015-06-05T18:17:20Z</dcterms:created>
  <dcterms:modified xsi:type="dcterms:W3CDTF">2026-07-29T07:31:09Z</dcterms:modified>
</cp:coreProperties>
</file>