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E75C0E52-4ACC-445F-A0B1-883931ED7D8E}" xr6:coauthVersionLast="47" xr6:coauthVersionMax="47" xr10:uidLastSave="{00000000-0000-0000-0000-000000000000}"/>
  <bookViews>
    <workbookView xWindow="9495" yWindow="0" windowWidth="981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L4" i="1" l="1"/>
  <c r="DM4" i="1"/>
  <c r="DN4" i="1"/>
  <c r="DL5" i="1"/>
  <c r="DM5" i="1"/>
  <c r="DN5" i="1"/>
  <c r="DL6" i="1"/>
  <c r="DM6" i="1"/>
  <c r="DN6" i="1"/>
  <c r="DL7" i="1"/>
  <c r="DM7" i="1"/>
  <c r="DN7" i="1"/>
  <c r="DL8" i="1"/>
  <c r="DM8" i="1"/>
  <c r="DN8" i="1"/>
  <c r="DL9" i="1"/>
  <c r="DM9" i="1"/>
  <c r="DN9" i="1"/>
  <c r="DL10" i="1"/>
  <c r="DM10" i="1"/>
  <c r="DN10" i="1"/>
  <c r="DL11" i="1"/>
  <c r="DM11" i="1"/>
  <c r="DN11" i="1"/>
  <c r="DL12" i="1"/>
  <c r="DM12" i="1"/>
  <c r="DN12" i="1"/>
  <c r="DL13" i="1"/>
  <c r="DM13" i="1"/>
  <c r="DN13" i="1"/>
  <c r="DL14" i="1"/>
  <c r="DM14" i="1"/>
  <c r="DN14" i="1"/>
  <c r="DL15" i="1"/>
  <c r="DM15" i="1"/>
  <c r="DN15" i="1"/>
  <c r="DL16" i="1"/>
  <c r="DM16" i="1"/>
  <c r="DN16" i="1"/>
  <c r="DL17" i="1"/>
  <c r="DM17" i="1"/>
  <c r="DN17" i="1"/>
  <c r="DL18" i="1"/>
  <c r="DM18" i="1"/>
  <c r="DN18" i="1"/>
  <c r="DL19" i="1"/>
  <c r="DM19" i="1"/>
  <c r="DN19" i="1"/>
  <c r="DL20" i="1"/>
  <c r="DM20" i="1"/>
  <c r="DN20" i="1"/>
  <c r="DL21" i="1"/>
  <c r="DM21" i="1"/>
  <c r="DN21" i="1"/>
  <c r="DL22" i="1"/>
  <c r="DM22" i="1"/>
  <c r="DN22" i="1"/>
  <c r="DL23" i="1"/>
  <c r="DM23" i="1"/>
  <c r="DN23" i="1"/>
  <c r="DL24" i="1"/>
  <c r="DM24" i="1"/>
  <c r="DN24" i="1"/>
  <c r="DL25" i="1"/>
  <c r="DM25" i="1"/>
  <c r="DN25" i="1"/>
  <c r="DL26" i="1"/>
  <c r="DM26" i="1"/>
  <c r="DN26" i="1"/>
  <c r="DL27" i="1"/>
  <c r="DM27" i="1"/>
  <c r="DN27" i="1"/>
  <c r="DL28" i="1"/>
  <c r="DM28" i="1"/>
  <c r="DN28" i="1"/>
  <c r="DL29" i="1"/>
  <c r="DM29" i="1"/>
  <c r="DN29" i="1"/>
  <c r="DL30" i="1"/>
  <c r="DM30" i="1"/>
  <c r="DN30" i="1"/>
  <c r="DL31" i="1"/>
  <c r="DM31" i="1"/>
  <c r="DN31" i="1"/>
  <c r="DL32" i="1"/>
  <c r="DM32" i="1"/>
  <c r="DN32" i="1"/>
  <c r="DL33" i="1"/>
  <c r="DM33" i="1"/>
  <c r="DN33" i="1"/>
  <c r="DL34" i="1"/>
  <c r="DM34" i="1"/>
  <c r="DN34" i="1"/>
  <c r="DL35" i="1"/>
  <c r="DM35" i="1"/>
  <c r="DN35" i="1"/>
  <c r="DL36" i="1"/>
  <c r="DM36" i="1"/>
  <c r="DN36" i="1"/>
  <c r="DL37" i="1"/>
  <c r="DM37" i="1"/>
  <c r="DN37" i="1"/>
  <c r="DL38" i="1"/>
  <c r="DM38" i="1"/>
  <c r="DN38" i="1"/>
  <c r="DL39" i="1"/>
  <c r="DM39" i="1"/>
  <c r="DN39" i="1"/>
  <c r="DL40" i="1"/>
  <c r="DM40" i="1"/>
  <c r="DN40" i="1"/>
  <c r="DL41" i="1"/>
  <c r="DM41" i="1"/>
  <c r="DN41" i="1"/>
  <c r="DL42" i="1"/>
  <c r="DM42" i="1"/>
  <c r="DN42" i="1"/>
  <c r="DL43" i="1"/>
  <c r="DM43" i="1"/>
  <c r="DN43" i="1"/>
  <c r="DL44" i="1"/>
  <c r="DM44" i="1"/>
  <c r="DN44" i="1"/>
  <c r="DL45" i="1"/>
  <c r="DM45" i="1"/>
  <c r="DN45" i="1"/>
  <c r="DL46" i="1"/>
  <c r="DM46" i="1"/>
  <c r="DN46" i="1"/>
  <c r="DL47" i="1"/>
  <c r="DM47" i="1"/>
  <c r="DN47" i="1"/>
  <c r="DL48" i="1"/>
  <c r="DM48" i="1"/>
  <c r="DN48" i="1"/>
  <c r="DL49" i="1"/>
  <c r="DM49" i="1"/>
  <c r="DN49" i="1"/>
  <c r="DL50" i="1"/>
  <c r="DM50" i="1"/>
  <c r="DN50" i="1"/>
  <c r="DL51" i="1"/>
  <c r="DM51" i="1"/>
  <c r="DN51" i="1"/>
  <c r="DL52" i="1"/>
  <c r="DM52" i="1"/>
  <c r="DN52" i="1"/>
  <c r="DL53" i="1"/>
  <c r="DM53" i="1"/>
  <c r="DN53" i="1"/>
  <c r="DL54" i="1"/>
  <c r="DM54" i="1"/>
  <c r="DN54" i="1"/>
  <c r="DL55" i="1"/>
  <c r="DM55" i="1"/>
  <c r="DN55" i="1"/>
  <c r="DL56" i="1"/>
  <c r="DM56" i="1"/>
  <c r="DN56" i="1"/>
  <c r="DL57" i="1"/>
  <c r="DM57" i="1"/>
  <c r="DN57" i="1"/>
  <c r="DL58" i="1"/>
  <c r="DM58" i="1"/>
  <c r="DN58" i="1"/>
  <c r="DL59" i="1"/>
  <c r="DM59" i="1"/>
  <c r="DN59" i="1"/>
  <c r="DL60" i="1"/>
  <c r="DM60" i="1"/>
  <c r="DN60" i="1"/>
  <c r="DL61" i="1"/>
  <c r="DM61" i="1"/>
  <c r="DN61" i="1"/>
  <c r="DL62" i="1"/>
  <c r="DM62" i="1"/>
  <c r="DN62" i="1"/>
  <c r="DL63" i="1"/>
  <c r="DM63" i="1"/>
  <c r="DN63" i="1"/>
  <c r="DL64" i="1"/>
  <c r="DM64" i="1"/>
  <c r="DN64" i="1"/>
  <c r="DL65" i="1"/>
  <c r="DM65" i="1"/>
  <c r="DN65" i="1"/>
  <c r="DL66" i="1"/>
  <c r="DM66" i="1"/>
  <c r="DN66" i="1"/>
  <c r="DL67" i="1"/>
  <c r="DM67" i="1"/>
  <c r="DN67" i="1"/>
  <c r="DL68" i="1"/>
  <c r="DM68" i="1"/>
  <c r="DN68" i="1"/>
  <c r="DL69" i="1"/>
  <c r="DM69" i="1"/>
  <c r="DN69" i="1"/>
  <c r="DL70" i="1"/>
  <c r="DM70" i="1"/>
  <c r="DN70" i="1"/>
  <c r="DL71" i="1"/>
  <c r="DM71" i="1"/>
  <c r="DN71" i="1"/>
  <c r="DL72" i="1"/>
  <c r="DM72" i="1"/>
  <c r="DN72" i="1"/>
  <c r="DL73" i="1"/>
  <c r="DM73" i="1"/>
  <c r="DN73" i="1"/>
  <c r="DL74" i="1"/>
  <c r="DM74" i="1"/>
  <c r="DN74" i="1"/>
  <c r="DL75" i="1"/>
  <c r="DM75" i="1"/>
  <c r="DN75" i="1"/>
  <c r="DL76" i="1"/>
  <c r="DM76" i="1"/>
  <c r="DN76" i="1"/>
  <c r="DL77" i="1"/>
  <c r="DM77" i="1"/>
  <c r="DN77" i="1"/>
  <c r="DL78" i="1"/>
  <c r="DM78" i="1"/>
  <c r="DN78" i="1"/>
  <c r="DL79" i="1"/>
  <c r="DM79" i="1"/>
  <c r="DN79" i="1"/>
  <c r="DL80" i="1"/>
  <c r="DM80" i="1"/>
  <c r="DN80" i="1"/>
  <c r="DL81" i="1"/>
  <c r="DM81" i="1"/>
  <c r="DN81" i="1"/>
  <c r="DL82" i="1"/>
  <c r="DM82" i="1"/>
  <c r="DN82" i="1"/>
  <c r="DL83" i="1"/>
  <c r="DM83" i="1"/>
  <c r="DN83" i="1"/>
  <c r="DL84" i="1"/>
  <c r="DM84" i="1"/>
  <c r="DN84" i="1"/>
  <c r="DL85" i="1"/>
  <c r="DM85" i="1"/>
  <c r="DN85" i="1"/>
  <c r="DL86" i="1"/>
  <c r="DM86" i="1"/>
  <c r="DN86" i="1"/>
  <c r="DL87" i="1"/>
  <c r="DM87" i="1"/>
  <c r="DN87" i="1"/>
  <c r="DL88" i="1"/>
  <c r="DM88" i="1"/>
  <c r="DN88" i="1"/>
  <c r="DL89" i="1"/>
  <c r="DM89" i="1"/>
  <c r="DN89" i="1"/>
  <c r="DL90" i="1"/>
  <c r="DM90" i="1"/>
  <c r="DN90" i="1"/>
  <c r="DL91" i="1"/>
  <c r="DM91" i="1"/>
  <c r="DN91" i="1"/>
  <c r="DL92" i="1"/>
  <c r="DM92" i="1"/>
  <c r="DN92" i="1"/>
  <c r="DL93" i="1"/>
  <c r="DM93" i="1"/>
  <c r="DN93" i="1"/>
  <c r="DL94" i="1"/>
  <c r="DM94" i="1"/>
  <c r="DN94" i="1"/>
  <c r="DL95" i="1"/>
  <c r="DM95" i="1"/>
  <c r="DN95" i="1"/>
  <c r="DL96" i="1"/>
  <c r="DM96" i="1"/>
  <c r="DN96" i="1"/>
  <c r="DL97" i="1"/>
  <c r="DM97" i="1"/>
  <c r="DN97" i="1"/>
  <c r="DL98" i="1"/>
  <c r="DM98" i="1"/>
  <c r="DN98" i="1"/>
  <c r="DL99" i="1"/>
  <c r="DM99" i="1"/>
  <c r="DN99" i="1"/>
  <c r="DL100" i="1"/>
  <c r="DM100" i="1"/>
  <c r="DN100" i="1"/>
  <c r="DL101" i="1"/>
  <c r="DM101" i="1"/>
  <c r="DN101" i="1"/>
  <c r="DL102" i="1"/>
  <c r="DM102" i="1"/>
  <c r="DN102" i="1"/>
  <c r="DL103" i="1"/>
  <c r="DM103" i="1"/>
  <c r="DN103" i="1"/>
  <c r="DL104" i="1"/>
  <c r="DM104" i="1"/>
  <c r="DN104" i="1"/>
  <c r="DL105" i="1"/>
  <c r="DM105" i="1"/>
  <c r="DN105" i="1"/>
  <c r="DL106" i="1"/>
  <c r="DM106" i="1"/>
  <c r="DN106" i="1"/>
  <c r="DL107" i="1"/>
  <c r="DM107" i="1"/>
  <c r="DN107" i="1"/>
  <c r="DL108" i="1"/>
  <c r="DM108" i="1"/>
  <c r="DN108" i="1"/>
  <c r="DL109" i="1"/>
  <c r="DM109" i="1"/>
  <c r="DN109" i="1"/>
  <c r="DL110" i="1"/>
  <c r="DM110" i="1"/>
  <c r="DN110" i="1"/>
  <c r="DL111" i="1"/>
  <c r="DM111" i="1"/>
  <c r="DN111" i="1"/>
  <c r="DL112" i="1"/>
  <c r="DM112" i="1"/>
  <c r="DN112" i="1"/>
  <c r="DL113" i="1"/>
  <c r="DM113" i="1"/>
  <c r="DN113" i="1"/>
  <c r="DL114" i="1"/>
  <c r="DM114" i="1"/>
  <c r="DN114" i="1"/>
  <c r="DL115" i="1"/>
  <c r="DM115" i="1"/>
  <c r="DN115" i="1"/>
  <c r="DL116" i="1"/>
  <c r="DM116" i="1"/>
  <c r="DN116" i="1"/>
  <c r="DL117" i="1"/>
  <c r="DM117" i="1"/>
  <c r="DN117" i="1"/>
  <c r="DL118" i="1"/>
  <c r="DM118" i="1"/>
  <c r="DN118" i="1"/>
  <c r="DL119" i="1"/>
  <c r="DM119" i="1"/>
  <c r="DN119" i="1"/>
  <c r="DL120" i="1"/>
  <c r="DM120" i="1"/>
  <c r="DN120" i="1"/>
  <c r="DL121" i="1"/>
  <c r="DM121" i="1"/>
  <c r="DN121" i="1"/>
  <c r="DL122" i="1"/>
  <c r="DM122" i="1"/>
  <c r="DN122" i="1"/>
  <c r="DL123" i="1"/>
  <c r="DM123" i="1"/>
  <c r="DN123" i="1"/>
  <c r="DL124" i="1"/>
  <c r="DM124" i="1"/>
  <c r="DN124" i="1"/>
  <c r="DL125" i="1"/>
  <c r="DM125" i="1"/>
  <c r="DN125" i="1"/>
  <c r="DL126" i="1"/>
  <c r="DM126" i="1"/>
  <c r="DN126" i="1"/>
  <c r="DL127" i="1"/>
  <c r="DM127" i="1"/>
  <c r="DN127" i="1"/>
  <c r="DL128" i="1"/>
  <c r="DM128" i="1"/>
  <c r="DN128" i="1"/>
  <c r="DL129" i="1"/>
  <c r="DM129" i="1"/>
  <c r="DN129" i="1"/>
  <c r="DL130" i="1"/>
  <c r="DM130" i="1"/>
  <c r="DN130" i="1"/>
  <c r="DL131" i="1"/>
  <c r="DM131" i="1"/>
  <c r="DN131" i="1"/>
  <c r="DL132" i="1"/>
  <c r="DM132" i="1"/>
  <c r="DN132" i="1"/>
  <c r="DL133" i="1"/>
  <c r="DM133" i="1"/>
  <c r="DN133" i="1"/>
  <c r="DL134" i="1"/>
  <c r="DM134" i="1"/>
  <c r="DN134" i="1"/>
  <c r="DL135" i="1"/>
  <c r="DM135" i="1"/>
  <c r="DN135" i="1"/>
  <c r="DL136" i="1"/>
  <c r="DM136" i="1"/>
  <c r="DN136" i="1"/>
  <c r="DL137" i="1"/>
  <c r="DM137" i="1"/>
  <c r="DN137" i="1"/>
  <c r="DL138" i="1"/>
  <c r="DM138" i="1"/>
  <c r="DN138" i="1"/>
  <c r="DL139" i="1"/>
  <c r="DM139" i="1"/>
  <c r="DN139" i="1"/>
  <c r="DL140" i="1"/>
  <c r="DM140" i="1"/>
  <c r="DN140" i="1"/>
  <c r="DL141" i="1"/>
  <c r="DM141" i="1"/>
  <c r="DN141" i="1"/>
  <c r="DL142" i="1"/>
  <c r="DM142" i="1"/>
  <c r="DN142" i="1"/>
  <c r="DL143" i="1"/>
  <c r="DM143" i="1"/>
  <c r="DN143" i="1"/>
  <c r="DL144" i="1"/>
  <c r="DM144" i="1"/>
  <c r="DN144" i="1"/>
  <c r="DL145" i="1"/>
  <c r="DM145" i="1"/>
  <c r="DN145" i="1"/>
  <c r="DL146" i="1"/>
  <c r="DM146" i="1"/>
  <c r="DN146" i="1"/>
  <c r="DL147" i="1"/>
  <c r="DM147" i="1"/>
  <c r="DN147" i="1"/>
  <c r="DL148" i="1"/>
  <c r="DM148" i="1"/>
  <c r="DN148" i="1"/>
  <c r="DL149" i="1"/>
  <c r="DM149" i="1"/>
  <c r="DN149" i="1"/>
  <c r="DL150" i="1"/>
  <c r="DM150" i="1"/>
  <c r="DN150" i="1"/>
  <c r="DL151" i="1"/>
  <c r="DM151" i="1"/>
  <c r="DN151" i="1"/>
  <c r="DL152" i="1"/>
  <c r="DM152" i="1"/>
  <c r="DN152" i="1"/>
  <c r="DL153" i="1"/>
  <c r="DM153" i="1"/>
  <c r="DN153" i="1"/>
  <c r="DL154" i="1"/>
  <c r="DM154" i="1"/>
  <c r="DN154" i="1"/>
  <c r="DL155" i="1"/>
  <c r="DM155" i="1"/>
  <c r="DN155" i="1"/>
  <c r="DL156" i="1"/>
  <c r="DM156" i="1"/>
  <c r="DN156" i="1"/>
  <c r="DL157" i="1"/>
  <c r="DM157" i="1"/>
  <c r="DN157" i="1"/>
  <c r="DL158" i="1"/>
  <c r="DM158" i="1"/>
  <c r="DN158" i="1"/>
  <c r="DL159" i="1"/>
  <c r="DM159" i="1"/>
  <c r="DN159" i="1"/>
  <c r="DL160" i="1"/>
  <c r="DM160" i="1"/>
  <c r="DN160" i="1"/>
  <c r="DL161" i="1"/>
  <c r="DM161" i="1"/>
  <c r="DN161" i="1"/>
  <c r="DL162" i="1"/>
  <c r="DM162" i="1"/>
  <c r="DN162" i="1"/>
  <c r="DL163" i="1"/>
  <c r="DM163" i="1"/>
  <c r="DN163" i="1"/>
  <c r="DL164" i="1"/>
  <c r="DM164" i="1"/>
  <c r="DN164" i="1"/>
  <c r="DL165" i="1"/>
  <c r="DM165" i="1"/>
  <c r="DN165" i="1"/>
  <c r="DL166" i="1"/>
  <c r="DM166" i="1"/>
  <c r="DN166" i="1"/>
  <c r="DL167" i="1"/>
  <c r="DM167" i="1"/>
  <c r="DN167" i="1"/>
  <c r="DL168" i="1"/>
  <c r="DM168" i="1"/>
  <c r="DN168" i="1"/>
  <c r="DL169" i="1"/>
  <c r="DM169" i="1"/>
  <c r="DN169" i="1"/>
  <c r="DL170" i="1"/>
  <c r="DM170" i="1"/>
  <c r="DN170" i="1"/>
  <c r="DL171" i="1"/>
  <c r="DM171" i="1"/>
  <c r="DN171" i="1"/>
  <c r="DL172" i="1"/>
  <c r="DM172" i="1"/>
  <c r="DN172" i="1"/>
  <c r="DL173" i="1"/>
  <c r="DM173" i="1"/>
  <c r="DN173" i="1"/>
  <c r="DL174" i="1"/>
  <c r="DM174" i="1"/>
  <c r="DN174" i="1"/>
  <c r="DL175" i="1"/>
  <c r="DM175" i="1"/>
  <c r="DN175" i="1"/>
  <c r="DL176" i="1"/>
  <c r="DM176" i="1"/>
  <c r="DN176" i="1"/>
  <c r="DL177" i="1"/>
  <c r="DM177" i="1"/>
  <c r="DN177" i="1"/>
  <c r="DL178" i="1"/>
  <c r="DM178" i="1"/>
  <c r="DN178" i="1"/>
  <c r="DL179" i="1"/>
  <c r="DM179" i="1"/>
  <c r="DN179" i="1"/>
  <c r="DL180" i="1"/>
  <c r="DM180" i="1"/>
  <c r="DN180" i="1"/>
  <c r="DL181" i="1"/>
  <c r="DM181" i="1"/>
  <c r="DN181" i="1"/>
  <c r="DL182" i="1"/>
  <c r="DM182" i="1"/>
  <c r="DN182" i="1"/>
  <c r="DL183" i="1"/>
  <c r="DM183" i="1"/>
  <c r="DN183" i="1"/>
  <c r="DL184" i="1"/>
  <c r="DM184" i="1"/>
  <c r="DN184" i="1"/>
  <c r="DL185" i="1"/>
  <c r="DM185" i="1"/>
  <c r="DN185" i="1"/>
  <c r="DL186" i="1"/>
  <c r="DM186" i="1"/>
  <c r="DN186" i="1"/>
  <c r="DL187" i="1"/>
  <c r="DM187" i="1"/>
  <c r="DN187" i="1"/>
  <c r="DL188" i="1"/>
  <c r="DM188" i="1"/>
  <c r="DN188" i="1"/>
  <c r="DL189" i="1"/>
  <c r="DM189" i="1"/>
  <c r="DN189" i="1"/>
  <c r="DL190" i="1"/>
  <c r="DM190" i="1"/>
  <c r="DN190" i="1"/>
  <c r="DL191" i="1"/>
  <c r="DM191" i="1"/>
  <c r="DN191" i="1"/>
  <c r="DL192" i="1"/>
  <c r="DM192" i="1"/>
  <c r="DN192" i="1"/>
  <c r="DL193" i="1"/>
  <c r="DM193" i="1"/>
  <c r="DN193" i="1"/>
  <c r="DL194" i="1"/>
  <c r="DM194" i="1"/>
  <c r="DN194" i="1"/>
  <c r="DL195" i="1"/>
  <c r="DM195" i="1"/>
  <c r="DN195" i="1"/>
  <c r="DL196" i="1"/>
  <c r="DM196" i="1"/>
  <c r="DN196" i="1"/>
  <c r="DL197" i="1"/>
  <c r="DM197" i="1"/>
  <c r="DN197" i="1"/>
  <c r="DL198" i="1"/>
  <c r="DM198" i="1"/>
  <c r="DN198" i="1"/>
  <c r="DL199" i="1"/>
  <c r="DM199" i="1"/>
  <c r="DN199" i="1"/>
  <c r="DL200" i="1"/>
  <c r="DM200" i="1"/>
  <c r="DN200" i="1"/>
  <c r="DL201" i="1"/>
  <c r="DM201" i="1"/>
  <c r="DN201" i="1"/>
  <c r="DL202" i="1"/>
  <c r="DM202" i="1"/>
  <c r="DN202" i="1"/>
  <c r="DL3" i="1"/>
  <c r="DM3" i="1"/>
  <c r="DN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174" i="1"/>
  <c r="DH175" i="1"/>
  <c r="DH176" i="1"/>
  <c r="DH177" i="1"/>
  <c r="DH178" i="1"/>
  <c r="DH179" i="1"/>
  <c r="DH180" i="1"/>
  <c r="DH181" i="1"/>
  <c r="DH182" i="1"/>
  <c r="DH183" i="1"/>
  <c r="DH184" i="1"/>
  <c r="DH185" i="1"/>
  <c r="DH186" i="1"/>
  <c r="DH187" i="1"/>
  <c r="DH188" i="1"/>
  <c r="DH189" i="1"/>
  <c r="DH190" i="1"/>
  <c r="DH191" i="1"/>
  <c r="DH192" i="1"/>
  <c r="DH193" i="1"/>
  <c r="DH194" i="1"/>
  <c r="DH195" i="1"/>
  <c r="DH196" i="1"/>
  <c r="DH197" i="1"/>
  <c r="DH198" i="1"/>
  <c r="DH199" i="1"/>
  <c r="DH200" i="1"/>
  <c r="DH201" i="1"/>
  <c r="DH202" i="1"/>
  <c r="DH3" i="1"/>
  <c r="DJ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3" i="1"/>
  <c r="DD3" i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<sst xmlns="http://schemas.openxmlformats.org/spreadsheetml/2006/main" count="129" uniqueCount="68">
  <si>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</si>
  <si>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</si>
  <si>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</si>
  <si>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</si>
  <si>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</si>
  <si>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</si>
  <si>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</si>
  <si>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</si>
  <si>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</si>
  <si>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</si>
  <si>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</si>
  <si>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</si>
  <si>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</si>
  <si>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</si>
  <si>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</si>
  <si>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</si>
  <si>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</si>
  <si>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</si>
  <si>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</si>
  <si>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</si>
  <si>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</si>
  <si>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</si>
  <si>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</si>
  <si>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</si>
  <si>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</si>
  <si>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</si>
  <si>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</si>
  <si>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</si>
  <si>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</si>
  <si>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</si>
  <si>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</si>
  <si>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</si>
  <si>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</si>
  <si>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</si>
  <si>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</si>
  <si>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</si>
  <si>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</si>
  <si>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</si>
  <si>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</si>
  <si>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</si>
  <si>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</si>
  <si>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</si>
  <si>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</si>
  <si>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</si>
  <si>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</si>
  <si>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</si>
  <si>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</si>
  <si>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</si>
  <si>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</si>
  <si>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</si>
  <si>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</si>
  <si>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</si>
  <si>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</si>
  <si>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</si>
  <si>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</si>
  <si>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</si>
  <si>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</si>
  <si>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</si>
  <si>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</si>
  <si>
    <t>ADAC</t>
  </si>
  <si>
    <t>Parameter</t>
  </si>
  <si>
    <t>Type</t>
  </si>
  <si>
    <t>Search Space</t>
  </si>
  <si>
    <t>float</t>
  </si>
  <si>
    <t>0.01, 0.20</t>
  </si>
  <si>
    <t>int</t>
  </si>
  <si>
    <t>50, 300</t>
  </si>
  <si>
    <t>1, 10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</si>
</sst>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4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Q202"/>
  <sheetViews>
    <sheetView tabSelected="1" topLeftCell="DF1" zoomScale="70" zoomScaleNormal="70" workbookViewId="0">
      <selection activeCell="DO10" sqref="DO10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121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7" t="s">
        <v>10</v>
      </c>
      <c r="O1" s="8"/>
      <c r="P1" s="1"/>
      <c r="Q1" s="7" t="s">
        <v>11</v>
      </c>
      <c r="R1" s="8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7" t="s">
        <v>24</v>
      </c>
      <c r="AK1" s="8"/>
      <c r="AM1" s="7" t="s">
        <v>26</v>
      </c>
      <c r="AN1" s="9"/>
      <c r="AO1" s="9"/>
      <c r="AQ1" s="7" t="s">
        <v>30</v>
      </c>
      <c r="AR1" s="9"/>
      <c r="AS1" s="9"/>
      <c r="AU1" s="7" t="s">
        <v>31</v>
      </c>
      <c r="AV1" s="9"/>
      <c r="AW1" s="9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7" t="s">
        <v>41</v>
      </c>
      <c r="BP1" s="8"/>
      <c r="BR1" s="4" t="s">
        <v>44</v>
      </c>
      <c r="BS1" s="4"/>
      <c r="BT1" s="4"/>
      <c r="BV1" s="5" t="s">
        <v>37</v>
      </c>
      <c r="BW1" s="6"/>
      <c r="BX1" s="6"/>
      <c r="BY1" s="6"/>
      <c r="BZ1" s="6"/>
      <c r="CB1" s="5" t="s">
        <v>50</v>
      </c>
      <c r="CC1" s="6"/>
      <c r="CD1" s="6"/>
      <c r="CE1" s="6"/>
      <c r="CF1" s="6"/>
      <c r="CH1" s="5" t="s">
        <v>22</v>
      </c>
      <c r="CI1" s="6"/>
      <c r="CJ1" s="6"/>
      <c r="CK1" s="6"/>
      <c r="CL1" s="6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  <c r="DD1" s="4" t="s">
        <v>58</v>
      </c>
      <c r="DE1" s="4"/>
      <c r="DF1" s="4"/>
      <c r="DH1" s="4" t="s">
        <v>59</v>
      </c>
      <c r="DI1" s="4"/>
      <c r="DJ1" s="4"/>
      <c r="DL1" s="4" t="s">
        <v>15</v>
      </c>
      <c r="DM1" s="4"/>
      <c r="DN1" s="4"/>
    </row>
    <row r="2" spans="2:121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  <c r="DH2" s="2" t="s">
        <v>0</v>
      </c>
      <c r="DI2" s="2" t="s">
        <v>2</v>
      </c>
      <c r="DJ2" s="2" t="s">
        <v>1</v>
      </c>
      <c r="DL2" s="2" t="s">
        <v>2</v>
      </c>
      <c r="DM2" s="2" t="s">
        <v>13</v>
      </c>
      <c r="DN2" s="2" t="s">
        <v>1</v>
      </c>
      <c r="DO2" s="2" t="s">
        <v>60</v>
      </c>
      <c r="DP2" s="2" t="s">
        <v>61</v>
      </c>
      <c r="DQ2" s="2" t="s">
        <v>62</v>
      </c>
    </row>
    <row r="3" spans="2:121" x14ac:dyDescent="0.25">
      <c r="B3">
        <f ca="1">RANDBETWEEN(15,1000)</f>
        <v>239</v>
      </c>
      <c r="C3">
        <f ca="1">RANDBETWEEN(2,52)</f>
        <v>19</v>
      </c>
      <c r="D3">
        <f ca="1">RAND()*(0.3-0.01)+0.01</f>
        <v>0.29019388901175208</v>
      </c>
      <c r="F3" s="1">
        <f ca="1">RANDBETWEEN(2,52)</f>
        <v>20</v>
      </c>
      <c r="G3" s="1">
        <f ca="1">RANDBETWEEN(2,30)</f>
        <v>9</v>
      </c>
      <c r="H3" s="1">
        <f ca="1">RANDBETWEEN(1,15)</f>
        <v>14</v>
      </c>
      <c r="I3" s="1"/>
      <c r="J3" s="1">
        <f ca="1">RANDBETWEEN(1,39)</f>
        <v>36</v>
      </c>
      <c r="K3" s="1">
        <f ca="1">RAND()*(3-1)+1</f>
        <v>2.5467138706970749</v>
      </c>
      <c r="L3" s="1">
        <f ca="1">RANDBETWEEN(2,35)</f>
        <v>2</v>
      </c>
      <c r="M3" s="1"/>
      <c r="N3" s="1">
        <f ca="1">RANDBETWEEN(15,1000)</f>
        <v>714</v>
      </c>
      <c r="O3" s="1">
        <f ca="1">RANDBETWEEN(2,52)</f>
        <v>3</v>
      </c>
      <c r="P3" s="1"/>
      <c r="Q3" s="1">
        <f ca="1">RAND()*(5-0.01)+0.01</f>
        <v>3.6804709925841279</v>
      </c>
      <c r="R3" s="1">
        <f ca="1">RANDBETWEEN(200,1200)</f>
        <v>1160</v>
      </c>
      <c r="S3" s="1"/>
      <c r="T3" s="1">
        <f ca="1">RAND()*(0.2-0.01)+0.01</f>
        <v>0.14189912404409213</v>
      </c>
      <c r="U3" s="1">
        <f ca="1">RANDBETWEEN(50,450)</f>
        <v>319</v>
      </c>
      <c r="V3" s="1">
        <f ca="1">RANDBETWEEN(2,52)</f>
        <v>47</v>
      </c>
      <c r="W3" s="1"/>
      <c r="X3" s="1">
        <f ca="1">RAND()*(10-0.01)+0.01</f>
        <v>1.3371980991408707</v>
      </c>
      <c r="Y3" s="1">
        <f ca="1">RAND()*(1-0.0001)+0.0001</f>
        <v>4.7388402291789811E-2</v>
      </c>
      <c r="Z3" s="1">
        <f ca="1">RANDBETWEEN(100,2000)</f>
        <v>512</v>
      </c>
      <c r="AB3" s="1">
        <f ca="1">RAND()*(1-0.0001)+0.0001</f>
        <v>0.82679360676571156</v>
      </c>
      <c r="AC3" s="1">
        <f ca="1">RANDBETWEEN(100,1000)</f>
        <v>524</v>
      </c>
      <c r="AD3" s="1">
        <f ca="1">RAND()*(0.01-0.00001)+0.00001</f>
        <v>1.6089818321313944E-3</v>
      </c>
      <c r="AE3" s="1"/>
      <c r="AF3" s="1">
        <f ca="1">RAND()*(0.9-0.1)+0.1</f>
        <v>0.67253025825100821</v>
      </c>
      <c r="AG3" s="1">
        <f ca="1">RANDBETWEEN(100,1000)</f>
        <v>874</v>
      </c>
      <c r="AH3" s="1">
        <f ca="1">RAND()*(0.01-0.00001)+0.00001</f>
        <v>7.6412465721910003E-3</v>
      </c>
      <c r="AJ3" s="1">
        <f ca="1">RAND()*(1-0)+0</f>
        <v>0.44026475254387176</v>
      </c>
      <c r="AK3" s="1">
        <f ca="1">RAND()*(0.01-0.00001)+0.00001</f>
        <v>5.0549399082993902E-3</v>
      </c>
      <c r="AM3" s="1">
        <f ca="1">RAND()*(0.2-0.005)+0.005</f>
        <v>3.8591944723056541E-2</v>
      </c>
      <c r="AN3" s="1">
        <f ca="1">RANDBETWEEN(10,80)</f>
        <v>32</v>
      </c>
      <c r="AO3" s="1">
        <f ca="1">RANDBETWEEN(-1,20)</f>
        <v>14</v>
      </c>
      <c r="AQ3" s="1">
        <f ca="1">RANDBETWEEN(10,200)</f>
        <v>18</v>
      </c>
      <c r="AR3" s="1">
        <f ca="1">RANDBETWEEN(0,10)</f>
        <v>5</v>
      </c>
      <c r="AS3" s="1">
        <f ca="1">RANDBETWEEN(1,100)</f>
        <v>25</v>
      </c>
      <c r="AU3" s="1">
        <f ca="1">RANDBETWEEN(50,400)</f>
        <v>89</v>
      </c>
      <c r="AV3" s="1">
        <f ca="1">RANDBETWEEN(2,10)</f>
        <v>9</v>
      </c>
      <c r="AW3" s="1">
        <f ca="1">RAND()*(0.2-0.01)+0.01</f>
        <v>8.349475865039567E-2</v>
      </c>
      <c r="AY3" s="1">
        <f ca="1">RAND()*(2-1.1)+1.1</f>
        <v>1.9606056671736891</v>
      </c>
      <c r="AZ3" s="1">
        <f ca="1">RANDBETWEEN(50,500)</f>
        <v>299</v>
      </c>
      <c r="BA3" s="1">
        <f ca="1">RAND()*(0.01-0.00001)+0.00001</f>
        <v>4.7272569726694354E-3</v>
      </c>
      <c r="BC3" s="1">
        <f ca="1">RAND()*(1-0.0001)+0.0001</f>
        <v>0.8951673453512935</v>
      </c>
      <c r="BD3" s="1">
        <f ca="1">RAND()*(1-0.0001)+0.0001</f>
        <v>0.21807055181055393</v>
      </c>
      <c r="BE3" s="1">
        <f ca="1">RANDBETWEEN(0,2)</f>
        <v>2</v>
      </c>
      <c r="BG3" s="1">
        <f ca="1">RAND()*(1-0.0001)+0.0001</f>
        <v>0.95213049467989219</v>
      </c>
      <c r="BH3" s="1">
        <f ca="1">RAND()*(1-0)+0</f>
        <v>0.88417838280624339</v>
      </c>
      <c r="BI3" s="1">
        <f ca="1">RANDBETWEEN(100,1000)</f>
        <v>541</v>
      </c>
      <c r="BK3" s="1">
        <f ca="1">RANDBETWEEN(100,600)</f>
        <v>289</v>
      </c>
      <c r="BL3" s="1">
        <f ca="1">RANDBETWEEN(3,10)</f>
        <v>4</v>
      </c>
      <c r="BM3" s="1">
        <f ca="1">RAND()*(0.3-0.01)+0.01</f>
        <v>0.13431826838914282</v>
      </c>
      <c r="BO3" s="1">
        <f ca="1">RAND()*(0.1-0.000001)+0.000001</f>
        <v>5.8629647497245578E-2</v>
      </c>
      <c r="BP3" s="1">
        <f ca="1">RANDBETWEEN(0,15)</f>
        <v>5</v>
      </c>
      <c r="BR3" s="1">
        <f ca="1">RAND()*(0.01-0.000001)+0.000001</f>
        <v>9.2197345646306099E-3</v>
      </c>
      <c r="BS3" s="1">
        <f ca="1">RAND()*(0.01-0.000001)+0.000001</f>
        <v>1.7044086693045054E-3</v>
      </c>
      <c r="BT3" s="1">
        <f ca="1">RANDBETWEEN(100,1000)</f>
        <v>895</v>
      </c>
      <c r="BV3" s="1">
        <f ca="1">RAND()*(1-0.0001)+0.0001</f>
        <v>4.2322292927598329E-2</v>
      </c>
      <c r="BW3" s="1">
        <f ca="1">RANDBETWEEN(100,1000)</f>
        <v>822</v>
      </c>
      <c r="BX3" s="1">
        <f ca="1">RAND()*(0.01-0.00001)+0.00001</f>
        <v>1.7043862495349272E-3</v>
      </c>
      <c r="BY3" s="1">
        <f ca="1">RAND()*(0.1-0.0001)+0.0001</f>
        <v>3.2979646967365814E-2</v>
      </c>
      <c r="BZ3" s="1">
        <f ca="1">RAND()*(1-0)+0</f>
        <v>0.27960831513823992</v>
      </c>
      <c r="CB3" s="1">
        <f ca="1">RANDBETWEEN(50,500)</f>
        <v>101</v>
      </c>
      <c r="CC3" s="1">
        <f ca="1">RANDBETWEEN(3,15)</f>
        <v>15</v>
      </c>
      <c r="CD3" s="1">
        <f ca="1">RAND()*(0.3-0.01)+0.01</f>
        <v>0.11597272051870687</v>
      </c>
      <c r="CE3" s="1">
        <f ca="1">RAND()*(1-0.5)+0.5</f>
        <v>0.60165561344724172</v>
      </c>
      <c r="CF3" s="1">
        <f ca="1">RAND()*(1-0.5)+0.5</f>
        <v>0.74317228828555593</v>
      </c>
      <c r="CH3" s="3">
        <f ca="1">RAND()*(1-0.0001)+0.0001</f>
        <v>0.65616051080705695</v>
      </c>
      <c r="CI3" s="3">
        <f ca="1">RAND()*(0.99-0.01)+0.01</f>
        <v>0.1048309101687097</v>
      </c>
      <c r="CJ3" s="3">
        <f ca="1">RANDBETWEEN(100,2000)</f>
        <v>658</v>
      </c>
      <c r="CK3" s="3">
        <f ca="1">RAND()*(0.01-0.000001)+0.000001</f>
        <v>1.071149911683199E-3</v>
      </c>
      <c r="CL3" s="3">
        <f ca="1">RANDBETWEEN(0,1)</f>
        <v>0</v>
      </c>
      <c r="CM3" s="3"/>
      <c r="CN3" s="1">
        <f ca="1">RAND()*(20-0.1)+0.1</f>
        <v>7.6513093420079672</v>
      </c>
      <c r="CO3" s="1">
        <f ca="1">RAND()*(0.5-0.001)+0.001</f>
        <v>0.27633787593605752</v>
      </c>
      <c r="CP3" s="1">
        <f ca="1">RANDBETWEEN(1,5)</f>
        <v>1</v>
      </c>
      <c r="CR3" s="1"/>
      <c r="CS3" s="1">
        <f ca="1">RAND()*(1-0)+0</f>
        <v>0.34038304885777937</v>
      </c>
      <c r="CT3" s="1">
        <f ca="1">RAND()*(0.01-0.000001)+0.000001</f>
        <v>4.4504555296573703E-4</v>
      </c>
      <c r="CV3" s="1">
        <f ca="1">RAND()*(10-0.0001)+0.0001</f>
        <v>5.1216152359484042</v>
      </c>
      <c r="CW3" s="1">
        <f ca="1">RANDBETWEEN(100,2000)</f>
        <v>389</v>
      </c>
      <c r="CX3" s="1">
        <f ca="1">RAND()*(0.01-0.000001)+0.000001</f>
        <v>3.5954883197611507E-3</v>
      </c>
      <c r="CZ3" s="1">
        <f ca="1">RANDBETWEEN(10,500)</f>
        <v>448</v>
      </c>
      <c r="DA3" s="1">
        <f ca="1">RAND()*(1-0.001)+0.001</f>
        <v>0.28145967456872178</v>
      </c>
      <c r="DB3" s="1">
        <f ca="1">RANDBETWEEN(0,2)</f>
        <v>2</v>
      </c>
      <c r="DD3" s="1">
        <f ca="1">RAND()*(10-0.01)+0.01</f>
        <v>5.1599978275568796</v>
      </c>
      <c r="DE3" s="1">
        <f ca="1">RAND()*(1-0.0001)+0.0001</f>
        <v>8.0675546024516445E-2</v>
      </c>
      <c r="DF3" s="1">
        <f ca="1">RAND()*(0.01-0.000001)+0.000001</f>
        <v>3.489214391184093E-3</v>
      </c>
      <c r="DH3" s="1">
        <f ca="1">RANDBETWEEN(10,900)</f>
        <v>788</v>
      </c>
      <c r="DI3" s="1">
        <f ca="1">RAND()*(1-0.001)+0.001</f>
        <v>0.21114992151694181</v>
      </c>
      <c r="DJ3" s="1">
        <f ca="1">RANDBETWEEN(1,30)</f>
        <v>22</v>
      </c>
      <c r="DL3" s="1">
        <f ca="1">RAND()*(0.2-0.01)+0.01</f>
        <v>0.14429171411531061</v>
      </c>
      <c r="DM3" s="1">
        <f ca="1">RANDBETWEEN(50,300)</f>
        <v>212</v>
      </c>
      <c r="DN3" s="1">
        <f ca="1">RANDBETWEEN(1,10)</f>
        <v>3</v>
      </c>
      <c r="DO3" t="s">
        <v>2</v>
      </c>
      <c r="DP3" t="s">
        <v>63</v>
      </c>
      <c r="DQ3" t="s">
        <v>64</v>
      </c>
    </row>
    <row r="4" spans="2:121" x14ac:dyDescent="0.25">
      <c r="B4">
        <f t="shared" ref="B4:B67" ca="1" si="0">RANDBETWEEN(15,1000)</f>
        <v>288</v>
      </c>
      <c r="C4">
        <f t="shared" ref="C4:C67" ca="1" si="1">RANDBETWEEN(2,52)</f>
        <v>40</v>
      </c>
      <c r="D4">
        <f t="shared" ref="D4:D67" ca="1" si="2">RAND()*(0.3-0.01)+0.01</f>
        <v>0.13765684011045434</v>
      </c>
      <c r="F4" s="1">
        <f t="shared" ref="F4:F67" ca="1" si="3">RANDBETWEEN(2,52)</f>
        <v>20</v>
      </c>
      <c r="G4" s="1">
        <f t="shared" ref="G4:G67" ca="1" si="4">RANDBETWEEN(2,30)</f>
        <v>2</v>
      </c>
      <c r="H4" s="1">
        <f t="shared" ref="H4:H67" ca="1" si="5">RANDBETWEEN(1,15)</f>
        <v>13</v>
      </c>
      <c r="I4" s="1"/>
      <c r="J4" s="1">
        <f t="shared" ref="J4:J67" ca="1" si="6">RANDBETWEEN(1,39)</f>
        <v>26</v>
      </c>
      <c r="K4" s="1">
        <f t="shared" ref="K4:K67" ca="1" si="7">RAND()*(3-1)+1</f>
        <v>1.0928017859333257</v>
      </c>
      <c r="L4" s="1">
        <f t="shared" ref="L4:L67" ca="1" si="8">RANDBETWEEN(2,35)</f>
        <v>32</v>
      </c>
      <c r="M4" s="1"/>
      <c r="N4" s="1">
        <f t="shared" ref="N4:N67" ca="1" si="9">RANDBETWEEN(15,1000)</f>
        <v>602</v>
      </c>
      <c r="O4" s="1">
        <f t="shared" ref="O4:O67" ca="1" si="10">RANDBETWEEN(2,52)</f>
        <v>18</v>
      </c>
      <c r="P4" s="1"/>
      <c r="Q4" s="1">
        <f t="shared" ref="Q4:Q67" ca="1" si="11">RAND()*(5-0.01)+0.01</f>
        <v>0.14985297583246782</v>
      </c>
      <c r="R4" s="1">
        <f t="shared" ref="R4:R67" ca="1" si="12">RANDBETWEEN(200,1200)</f>
        <v>909</v>
      </c>
      <c r="S4" s="1"/>
      <c r="T4" s="1">
        <f t="shared" ref="T4:T67" ca="1" si="13">RAND()*(0.2-0.01)+0.01</f>
        <v>9.9038892877401821E-2</v>
      </c>
      <c r="U4" s="1">
        <f t="shared" ref="U4:U67" ca="1" si="14">RANDBETWEEN(50,450)</f>
        <v>74</v>
      </c>
      <c r="V4" s="1">
        <f t="shared" ref="V4:V67" ca="1" si="15">RANDBETWEEN(2,52)</f>
        <v>18</v>
      </c>
      <c r="W4" s="1"/>
      <c r="X4" s="1">
        <f t="shared" ref="X4:X67" ca="1" si="16">RAND()*(10-0.01)+0.01</f>
        <v>2.55706800277374</v>
      </c>
      <c r="Y4" s="1">
        <f t="shared" ref="Y4:Y67" ca="1" si="17">RAND()*(1-0.0001)+0.0001</f>
        <v>0.23777125841290439</v>
      </c>
      <c r="Z4" s="1">
        <f t="shared" ref="Z4:Z67" ca="1" si="18">RANDBETWEEN(100,2000)</f>
        <v>865</v>
      </c>
      <c r="AB4" s="1">
        <f t="shared" ref="AB4:AB67" ca="1" si="19">RAND()*(1-0.0001)+0.0001</f>
        <v>0.33231804686978517</v>
      </c>
      <c r="AC4" s="1">
        <f t="shared" ref="AC4:AC67" ca="1" si="20">RANDBETWEEN(100,1000)</f>
        <v>876</v>
      </c>
      <c r="AD4" s="1">
        <f t="shared" ref="AD4:AD67" ca="1" si="21">RAND()*(0.01-0.00001)+0.00001</f>
        <v>1.4500916807888198E-3</v>
      </c>
      <c r="AE4" s="1"/>
      <c r="AF4" s="1">
        <f t="shared" ref="AF4:AF67" ca="1" si="22">RAND()*(0.9-0.1)+0.1</f>
        <v>0.50924716122794145</v>
      </c>
      <c r="AG4" s="1">
        <f t="shared" ref="AG4:AG67" ca="1" si="23">RANDBETWEEN(100,1000)</f>
        <v>970</v>
      </c>
      <c r="AH4" s="1">
        <f t="shared" ref="AH4:AH67" ca="1" si="24">RAND()*(0.01-0.00001)+0.00001</f>
        <v>3.4831205647616061E-3</v>
      </c>
      <c r="AJ4" s="1">
        <f t="shared" ref="AJ4:AJ67" ca="1" si="25">RAND()*(1-0)+0</f>
        <v>0.27680983275515736</v>
      </c>
      <c r="AK4" s="1">
        <f t="shared" ref="AK4:AK67" ca="1" si="26">RAND()*(0.01-0.00001)+0.00001</f>
        <v>1.8241921596093664E-3</v>
      </c>
      <c r="AL4" s="1"/>
      <c r="AM4" s="1">
        <f t="shared" ref="AM4:AM67" ca="1" si="27">RAND()*(0.2-0.005)+0.005</f>
        <v>7.9680925736390351E-2</v>
      </c>
      <c r="AN4" s="1">
        <f t="shared" ref="AN4:AN67" ca="1" si="28">RANDBETWEEN(10,80)</f>
        <v>48</v>
      </c>
      <c r="AO4" s="1">
        <f t="shared" ref="AO4:AO67" ca="1" si="29">RANDBETWEEN(-1,20)</f>
        <v>6</v>
      </c>
      <c r="AQ4" s="1">
        <f t="shared" ref="AQ4:AQ67" ca="1" si="30">RANDBETWEEN(10,200)</f>
        <v>189</v>
      </c>
      <c r="AR4" s="1">
        <f t="shared" ref="AR4:AR67" ca="1" si="31">RANDBETWEEN(0,10)</f>
        <v>1</v>
      </c>
      <c r="AS4" s="1">
        <f t="shared" ref="AS4:AS67" ca="1" si="32">RANDBETWEEN(1,100)</f>
        <v>14</v>
      </c>
      <c r="AU4" s="1">
        <f t="shared" ref="AU4:AU67" ca="1" si="33">RANDBETWEEN(50,400)</f>
        <v>117</v>
      </c>
      <c r="AV4" s="1">
        <f t="shared" ref="AV4:AV67" ca="1" si="34">RANDBETWEEN(2,10)</f>
        <v>5</v>
      </c>
      <c r="AW4" s="1">
        <f t="shared" ref="AW4:AW67" ca="1" si="35">RAND()*(0.2-0.01)+0.01</f>
        <v>1.0356996999678396E-2</v>
      </c>
      <c r="AY4" s="1">
        <f t="shared" ref="AY4:AY67" ca="1" si="36">RAND()*(2-1.1)+1.1</f>
        <v>1.3708545542465442</v>
      </c>
      <c r="AZ4" s="1">
        <f t="shared" ref="AZ4:AZ67" ca="1" si="37">RANDBETWEEN(50,500)</f>
        <v>472</v>
      </c>
      <c r="BA4" s="1">
        <f t="shared" ref="BA4:BA67" ca="1" si="38">RAND()*(0.01-0.00001)+0.00001</f>
        <v>2.4384240313120222E-4</v>
      </c>
      <c r="BV4" s="1">
        <f t="shared" ref="BV4:BV67" ca="1" si="39">RAND()*(1-0.0001)+0.0001</f>
        <v>0.71360253035859045</v>
      </c>
      <c r="BW4" s="1">
        <f t="shared" ref="BW4:BW67" ca="1" si="40">RANDBETWEEN(100,1000)</f>
        <v>801</v>
      </c>
      <c r="BX4" s="1">
        <f t="shared" ref="BX4:BX67" ca="1" si="41">RAND()*(0.01-0.00001)+0.00001</f>
        <v>3.9438144507774258E-4</v>
      </c>
      <c r="BY4" s="1">
        <f t="shared" ref="BY4:BY67" ca="1" si="42">RAND()*(0.1-0.0001)+0.0001</f>
        <v>3.7963350083173211E-2</v>
      </c>
      <c r="BZ4" s="1">
        <f t="shared" ref="BZ4:BZ67" ca="1" si="43">RAND()*(1-0)+0</f>
        <v>0.30404888730267354</v>
      </c>
      <c r="CB4" s="1">
        <f t="shared" ref="CB4:CB67" ca="1" si="44">RANDBETWEEN(50,500)</f>
        <v>54</v>
      </c>
      <c r="CC4" s="1">
        <f t="shared" ref="CC4:CC67" ca="1" si="45">RANDBETWEEN(3,15)</f>
        <v>14</v>
      </c>
      <c r="CD4" s="1">
        <f t="shared" ref="CD4:CD67" ca="1" si="46">RAND()*(0.3-0.01)+0.01</f>
        <v>0.25803213004373676</v>
      </c>
      <c r="CE4" s="1">
        <f t="shared" ref="CE4:CF35" ca="1" si="47">RAND()*(1-0.5)+0.5</f>
        <v>0.7058030164933049</v>
      </c>
      <c r="CF4" s="1">
        <f t="shared" ca="1" si="47"/>
        <v>0.8164261833945774</v>
      </c>
      <c r="CH4" s="3">
        <f t="shared" ref="CH4:CH67" ca="1" si="48">RAND()*(1-0.0001)+0.0001</f>
        <v>0.65802882305056531</v>
      </c>
      <c r="CI4" s="3">
        <f t="shared" ref="CI4:CI67" ca="1" si="49">RAND()*(0.99-0.01)+0.01</f>
        <v>0.34675488350047123</v>
      </c>
      <c r="CJ4" s="3">
        <f t="shared" ref="CJ4:CJ67" ca="1" si="50">RANDBETWEEN(100,2000)</f>
        <v>1091</v>
      </c>
      <c r="CK4" s="3">
        <f t="shared" ref="CK4:CK67" ca="1" si="51">RAND()*(0.01-0.000001)+0.000001</f>
        <v>7.7351320160144142E-3</v>
      </c>
      <c r="CL4" s="3">
        <f t="shared" ref="CL4:CL67" ca="1" si="52">RANDBETWEEN(0,1)</f>
        <v>1</v>
      </c>
      <c r="CM4" s="3"/>
      <c r="CN4" s="1">
        <f t="shared" ref="CN4:CN67" ca="1" si="53">RAND()*(20-0.1)+0.1</f>
        <v>14.554837019500061</v>
      </c>
      <c r="CO4" s="1">
        <f t="shared" ref="CO4:CO67" ca="1" si="54">RAND()*(0.5-0.001)+0.001</f>
        <v>0.26867863501585443</v>
      </c>
      <c r="CP4" s="1">
        <f t="shared" ref="CP4:CP67" ca="1" si="55">RANDBETWEEN(1,5)</f>
        <v>5</v>
      </c>
      <c r="DH4" s="1">
        <f t="shared" ref="DH4:DH67" ca="1" si="56">RANDBETWEEN(10,900)</f>
        <v>816</v>
      </c>
      <c r="DI4" s="1">
        <f t="shared" ref="DI4:DI67" ca="1" si="57">RAND()*(1-0.001)+0.001</f>
        <v>2.8601104772649089E-2</v>
      </c>
      <c r="DJ4" s="1">
        <f t="shared" ref="DJ4:DJ67" ca="1" si="58">RANDBETWEEN(1,30)</f>
        <v>26</v>
      </c>
      <c r="DL4" s="1">
        <f t="shared" ref="DL4:DL67" ca="1" si="59">RAND()*(0.2-0.01)+0.01</f>
        <v>0.13905917813649482</v>
      </c>
      <c r="DM4" s="1">
        <f t="shared" ref="DM4:DM67" ca="1" si="60">RANDBETWEEN(50,300)</f>
        <v>182</v>
      </c>
      <c r="DN4" s="1">
        <f t="shared" ref="DN4:DN67" ca="1" si="61">RANDBETWEEN(1,10)</f>
        <v>10</v>
      </c>
      <c r="DO4" t="s">
        <v>13</v>
      </c>
      <c r="DP4" t="s">
        <v>65</v>
      </c>
      <c r="DQ4" t="s">
        <v>66</v>
      </c>
    </row>
    <row r="5" spans="2:121" x14ac:dyDescent="0.25">
      <c r="B5">
        <f t="shared" ca="1" si="0"/>
        <v>238</v>
      </c>
      <c r="C5">
        <f t="shared" ca="1" si="1"/>
        <v>3</v>
      </c>
      <c r="D5">
        <f t="shared" ca="1" si="2"/>
        <v>0.18056645861941847</v>
      </c>
      <c r="F5" s="1">
        <f t="shared" ca="1" si="3"/>
        <v>20</v>
      </c>
      <c r="G5" s="1">
        <f t="shared" ca="1" si="4"/>
        <v>16</v>
      </c>
      <c r="H5" s="1">
        <f t="shared" ca="1" si="5"/>
        <v>13</v>
      </c>
      <c r="I5" s="1"/>
      <c r="J5" s="1">
        <f t="shared" ca="1" si="6"/>
        <v>1</v>
      </c>
      <c r="K5" s="1">
        <f t="shared" ca="1" si="7"/>
        <v>1.0591010469161986</v>
      </c>
      <c r="L5" s="1">
        <f t="shared" ca="1" si="8"/>
        <v>9</v>
      </c>
      <c r="M5" s="1"/>
      <c r="N5" s="1">
        <f t="shared" ca="1" si="9"/>
        <v>516</v>
      </c>
      <c r="O5" s="1">
        <f t="shared" ca="1" si="10"/>
        <v>2</v>
      </c>
      <c r="P5" s="1"/>
      <c r="Q5" s="1">
        <f t="shared" ca="1" si="11"/>
        <v>1.1084665132885487</v>
      </c>
      <c r="R5" s="1">
        <f t="shared" ca="1" si="12"/>
        <v>486</v>
      </c>
      <c r="S5" s="1"/>
      <c r="T5" s="1">
        <f t="shared" ca="1" si="13"/>
        <v>8.7534153541909965E-2</v>
      </c>
      <c r="U5" s="1">
        <f t="shared" ca="1" si="14"/>
        <v>98</v>
      </c>
      <c r="V5" s="1">
        <f t="shared" ca="1" si="15"/>
        <v>26</v>
      </c>
      <c r="W5" s="1"/>
      <c r="X5" s="1">
        <f t="shared" ca="1" si="16"/>
        <v>1.1131075092046707</v>
      </c>
      <c r="Y5" s="1">
        <f t="shared" ca="1" si="17"/>
        <v>0.7074750454212263</v>
      </c>
      <c r="Z5" s="1">
        <f t="shared" ca="1" si="18"/>
        <v>1475</v>
      </c>
      <c r="AB5" s="1">
        <f t="shared" ca="1" si="19"/>
        <v>0.44429847149763935</v>
      </c>
      <c r="AC5" s="1">
        <f t="shared" ca="1" si="20"/>
        <v>495</v>
      </c>
      <c r="AD5" s="1">
        <f t="shared" ca="1" si="21"/>
        <v>6.0129163251406072E-3</v>
      </c>
      <c r="AE5" s="1"/>
      <c r="AF5" s="1">
        <f t="shared" ca="1" si="22"/>
        <v>0.89876627868669923</v>
      </c>
      <c r="AG5" s="1">
        <f t="shared" ca="1" si="23"/>
        <v>120</v>
      </c>
      <c r="AH5" s="1">
        <f t="shared" ca="1" si="24"/>
        <v>2.221830537129774E-3</v>
      </c>
      <c r="AJ5" s="1">
        <f t="shared" ca="1" si="25"/>
        <v>0.21111545104384744</v>
      </c>
      <c r="AK5" s="1">
        <f t="shared" ca="1" si="26"/>
        <v>4.4836316436880396E-3</v>
      </c>
      <c r="AL5" s="1"/>
      <c r="AM5" s="1">
        <f t="shared" ca="1" si="27"/>
        <v>6.0921779939049507E-2</v>
      </c>
      <c r="AN5" s="1">
        <f t="shared" ca="1" si="28"/>
        <v>34</v>
      </c>
      <c r="AO5" s="1">
        <f t="shared" ca="1" si="29"/>
        <v>0</v>
      </c>
      <c r="AQ5" s="1">
        <f t="shared" ca="1" si="30"/>
        <v>54</v>
      </c>
      <c r="AR5" s="1">
        <f t="shared" ca="1" si="31"/>
        <v>8</v>
      </c>
      <c r="AS5" s="1">
        <f t="shared" ca="1" si="32"/>
        <v>58</v>
      </c>
      <c r="AU5" s="1">
        <f t="shared" ca="1" si="33"/>
        <v>282</v>
      </c>
      <c r="AV5" s="1">
        <f t="shared" ca="1" si="34"/>
        <v>4</v>
      </c>
      <c r="AW5" s="1">
        <f t="shared" ca="1" si="35"/>
        <v>0.17698269327788982</v>
      </c>
      <c r="AY5" s="1">
        <f t="shared" ca="1" si="36"/>
        <v>1.2346195946355734</v>
      </c>
      <c r="AZ5" s="1">
        <f t="shared" ca="1" si="37"/>
        <v>109</v>
      </c>
      <c r="BA5" s="1">
        <f t="shared" ca="1" si="38"/>
        <v>7.7105217807606104E-3</v>
      </c>
      <c r="BV5" s="1">
        <f t="shared" ca="1" si="39"/>
        <v>0.35861343116319405</v>
      </c>
      <c r="BW5" s="1">
        <f t="shared" ca="1" si="40"/>
        <v>822</v>
      </c>
      <c r="BX5" s="1">
        <f t="shared" ca="1" si="41"/>
        <v>7.4929930260035429E-3</v>
      </c>
      <c r="BY5" s="1">
        <f t="shared" ca="1" si="42"/>
        <v>9.9398780250317176E-2</v>
      </c>
      <c r="BZ5" s="1">
        <f t="shared" ca="1" si="43"/>
        <v>0.55255701959398007</v>
      </c>
      <c r="CB5" s="1">
        <f t="shared" ca="1" si="44"/>
        <v>260</v>
      </c>
      <c r="CC5" s="1">
        <f t="shared" ca="1" si="45"/>
        <v>5</v>
      </c>
      <c r="CD5" s="1">
        <f t="shared" ca="1" si="46"/>
        <v>0.13372933853690741</v>
      </c>
      <c r="CE5" s="1">
        <f t="shared" ca="1" si="47"/>
        <v>0.65357585560368636</v>
      </c>
      <c r="CF5" s="1">
        <f t="shared" ca="1" si="47"/>
        <v>0.68937154234536546</v>
      </c>
      <c r="CH5" s="3">
        <f t="shared" ca="1" si="48"/>
        <v>0.35604563238605408</v>
      </c>
      <c r="CI5" s="3">
        <f t="shared" ca="1" si="49"/>
        <v>0.83001024970688442</v>
      </c>
      <c r="CJ5" s="3">
        <f t="shared" ca="1" si="50"/>
        <v>244</v>
      </c>
      <c r="CK5" s="3">
        <f t="shared" ca="1" si="51"/>
        <v>9.3010897727335614E-3</v>
      </c>
      <c r="CL5" s="3">
        <f t="shared" ca="1" si="52"/>
        <v>1</v>
      </c>
      <c r="CM5" s="3"/>
      <c r="CN5" s="1">
        <f t="shared" ca="1" si="53"/>
        <v>5.6523820217627412</v>
      </c>
      <c r="CO5" s="1">
        <f t="shared" ca="1" si="54"/>
        <v>0.14794582420950042</v>
      </c>
      <c r="CP5" s="1">
        <f t="shared" ca="1" si="55"/>
        <v>2</v>
      </c>
      <c r="DH5" s="1">
        <f t="shared" ca="1" si="56"/>
        <v>801</v>
      </c>
      <c r="DI5" s="1">
        <f t="shared" ca="1" si="57"/>
        <v>0.80374562571161967</v>
      </c>
      <c r="DJ5" s="1">
        <f t="shared" ca="1" si="58"/>
        <v>16</v>
      </c>
      <c r="DL5" s="1">
        <f t="shared" ca="1" si="59"/>
        <v>2.9036865238311255E-2</v>
      </c>
      <c r="DM5" s="1">
        <f t="shared" ca="1" si="60"/>
        <v>205</v>
      </c>
      <c r="DN5" s="1">
        <f t="shared" ca="1" si="61"/>
        <v>1</v>
      </c>
      <c r="DO5" t="s">
        <v>1</v>
      </c>
      <c r="DP5" t="s">
        <v>65</v>
      </c>
      <c r="DQ5" t="s">
        <v>67</v>
      </c>
    </row>
    <row r="6" spans="2:121" x14ac:dyDescent="0.25">
      <c r="B6">
        <f t="shared" ca="1" si="0"/>
        <v>855</v>
      </c>
      <c r="C6">
        <f t="shared" ca="1" si="1"/>
        <v>17</v>
      </c>
      <c r="D6">
        <f t="shared" ca="1" si="2"/>
        <v>5.6791607247088281E-2</v>
      </c>
      <c r="F6" s="1">
        <f t="shared" ca="1" si="3"/>
        <v>6</v>
      </c>
      <c r="G6" s="1">
        <f t="shared" ca="1" si="4"/>
        <v>12</v>
      </c>
      <c r="H6" s="1">
        <f t="shared" ca="1" si="5"/>
        <v>14</v>
      </c>
      <c r="I6" s="1"/>
      <c r="J6" s="1">
        <f t="shared" ca="1" si="6"/>
        <v>4</v>
      </c>
      <c r="K6" s="1">
        <f t="shared" ca="1" si="7"/>
        <v>1.8229681116309875</v>
      </c>
      <c r="L6" s="1">
        <f t="shared" ca="1" si="8"/>
        <v>25</v>
      </c>
      <c r="M6" s="1"/>
      <c r="N6" s="1">
        <f t="shared" ca="1" si="9"/>
        <v>486</v>
      </c>
      <c r="O6" s="1">
        <f t="shared" ca="1" si="10"/>
        <v>29</v>
      </c>
      <c r="P6" s="1"/>
      <c r="Q6" s="1">
        <f t="shared" ca="1" si="11"/>
        <v>3.5387775153235141</v>
      </c>
      <c r="R6" s="1">
        <f t="shared" ca="1" si="12"/>
        <v>913</v>
      </c>
      <c r="S6" s="1"/>
      <c r="T6" s="1">
        <f t="shared" ca="1" si="13"/>
        <v>6.7598349520359355E-2</v>
      </c>
      <c r="U6" s="1">
        <f t="shared" ca="1" si="14"/>
        <v>279</v>
      </c>
      <c r="V6" s="1">
        <f t="shared" ca="1" si="15"/>
        <v>11</v>
      </c>
      <c r="W6" s="1"/>
      <c r="X6" s="1">
        <f t="shared" ca="1" si="16"/>
        <v>7.5553354165308884</v>
      </c>
      <c r="Y6" s="1">
        <f t="shared" ca="1" si="17"/>
        <v>0.7720660917455221</v>
      </c>
      <c r="Z6" s="1">
        <f t="shared" ca="1" si="18"/>
        <v>800</v>
      </c>
      <c r="AB6" s="1">
        <f t="shared" ca="1" si="19"/>
        <v>2.3769487252312881E-2</v>
      </c>
      <c r="AC6" s="1">
        <f t="shared" ca="1" si="20"/>
        <v>519</v>
      </c>
      <c r="AD6" s="1">
        <f t="shared" ca="1" si="21"/>
        <v>2.4936848315064114E-3</v>
      </c>
      <c r="AE6" s="1"/>
      <c r="AF6" s="1">
        <f t="shared" ca="1" si="22"/>
        <v>0.68854335721814042</v>
      </c>
      <c r="AG6" s="1">
        <f t="shared" ca="1" si="23"/>
        <v>819</v>
      </c>
      <c r="AH6" s="1">
        <f t="shared" ca="1" si="24"/>
        <v>2.313193355719795E-3</v>
      </c>
      <c r="AJ6" s="1">
        <f t="shared" ca="1" si="25"/>
        <v>0.83069494680360656</v>
      </c>
      <c r="AK6" s="1">
        <f t="shared" ca="1" si="26"/>
        <v>2.817101276012765E-3</v>
      </c>
      <c r="AL6" s="1"/>
      <c r="AM6" s="1">
        <f t="shared" ca="1" si="27"/>
        <v>4.7712373116966272E-2</v>
      </c>
      <c r="AN6" s="1">
        <f t="shared" ca="1" si="28"/>
        <v>73</v>
      </c>
      <c r="AO6" s="1">
        <f t="shared" ca="1" si="29"/>
        <v>5</v>
      </c>
      <c r="AQ6" s="1">
        <f t="shared" ca="1" si="30"/>
        <v>176</v>
      </c>
      <c r="AR6" s="1">
        <f t="shared" ca="1" si="31"/>
        <v>4</v>
      </c>
      <c r="AS6" s="1">
        <f t="shared" ca="1" si="32"/>
        <v>53</v>
      </c>
      <c r="AU6" s="1">
        <f t="shared" ca="1" si="33"/>
        <v>391</v>
      </c>
      <c r="AV6" s="1">
        <f t="shared" ca="1" si="34"/>
        <v>5</v>
      </c>
      <c r="AW6" s="1">
        <f t="shared" ca="1" si="35"/>
        <v>0.12889850772730441</v>
      </c>
      <c r="AY6" s="1">
        <f t="shared" ca="1" si="36"/>
        <v>1.3853956900561279</v>
      </c>
      <c r="AZ6" s="1">
        <f t="shared" ca="1" si="37"/>
        <v>217</v>
      </c>
      <c r="BA6" s="1">
        <f t="shared" ca="1" si="38"/>
        <v>6.434127826906012E-3</v>
      </c>
      <c r="BV6" s="1">
        <f t="shared" ca="1" si="39"/>
        <v>0.71383586056427695</v>
      </c>
      <c r="BW6" s="1">
        <f t="shared" ca="1" si="40"/>
        <v>753</v>
      </c>
      <c r="BX6" s="1">
        <f t="shared" ca="1" si="41"/>
        <v>8.1238738298050929E-3</v>
      </c>
      <c r="BY6" s="1">
        <f t="shared" ca="1" si="42"/>
        <v>5.9153413045542717E-2</v>
      </c>
      <c r="BZ6" s="1">
        <f t="shared" ca="1" si="43"/>
        <v>0.51784757118002023</v>
      </c>
      <c r="CB6" s="1">
        <f t="shared" ca="1" si="44"/>
        <v>223</v>
      </c>
      <c r="CC6" s="1">
        <f t="shared" ca="1" si="45"/>
        <v>12</v>
      </c>
      <c r="CD6" s="1">
        <f t="shared" ca="1" si="46"/>
        <v>0.1696164399330054</v>
      </c>
      <c r="CE6" s="1">
        <f t="shared" ca="1" si="47"/>
        <v>0.60352890113850943</v>
      </c>
      <c r="CF6" s="1">
        <f t="shared" ca="1" si="47"/>
        <v>0.52426242047329041</v>
      </c>
      <c r="CH6" s="3">
        <f t="shared" ca="1" si="48"/>
        <v>0.49500435426160744</v>
      </c>
      <c r="CI6" s="3">
        <f t="shared" ca="1" si="49"/>
        <v>0.8874159006605461</v>
      </c>
      <c r="CJ6" s="3">
        <f t="shared" ca="1" si="50"/>
        <v>1480</v>
      </c>
      <c r="CK6" s="3">
        <f t="shared" ca="1" si="51"/>
        <v>6.311719190887021E-3</v>
      </c>
      <c r="CL6" s="3">
        <f t="shared" ca="1" si="52"/>
        <v>1</v>
      </c>
      <c r="CM6" s="3"/>
      <c r="CN6" s="1">
        <f t="shared" ca="1" si="53"/>
        <v>12.185273489886997</v>
      </c>
      <c r="CO6" s="1">
        <f t="shared" ca="1" si="54"/>
        <v>0.36906957577223132</v>
      </c>
      <c r="CP6" s="1">
        <f t="shared" ca="1" si="55"/>
        <v>4</v>
      </c>
      <c r="DH6" s="1">
        <f t="shared" ca="1" si="56"/>
        <v>676</v>
      </c>
      <c r="DI6" s="1">
        <f t="shared" ca="1" si="57"/>
        <v>0.84637120080899975</v>
      </c>
      <c r="DJ6" s="1">
        <f t="shared" ca="1" si="58"/>
        <v>14</v>
      </c>
      <c r="DL6" s="1">
        <f t="shared" ca="1" si="59"/>
        <v>0.19727691079336268</v>
      </c>
      <c r="DM6" s="1">
        <f t="shared" ca="1" si="60"/>
        <v>244</v>
      </c>
      <c r="DN6" s="1">
        <f t="shared" ca="1" si="61"/>
        <v>4</v>
      </c>
    </row>
    <row r="7" spans="2:121" x14ac:dyDescent="0.25">
      <c r="B7">
        <f t="shared" ca="1" si="0"/>
        <v>432</v>
      </c>
      <c r="C7">
        <f t="shared" ca="1" si="1"/>
        <v>2</v>
      </c>
      <c r="D7">
        <f t="shared" ca="1" si="2"/>
        <v>0.10621329811463431</v>
      </c>
      <c r="F7" s="1">
        <f t="shared" ca="1" si="3"/>
        <v>43</v>
      </c>
      <c r="G7" s="1">
        <f t="shared" ca="1" si="4"/>
        <v>13</v>
      </c>
      <c r="H7" s="1">
        <f t="shared" ca="1" si="5"/>
        <v>6</v>
      </c>
      <c r="I7" s="1"/>
      <c r="J7" s="1">
        <f t="shared" ca="1" si="6"/>
        <v>9</v>
      </c>
      <c r="K7" s="1">
        <f t="shared" ca="1" si="7"/>
        <v>1.5577149299590385</v>
      </c>
      <c r="L7" s="1">
        <f t="shared" ca="1" si="8"/>
        <v>22</v>
      </c>
      <c r="M7" s="1"/>
      <c r="N7" s="1">
        <f t="shared" ca="1" si="9"/>
        <v>73</v>
      </c>
      <c r="O7" s="1">
        <f t="shared" ca="1" si="10"/>
        <v>33</v>
      </c>
      <c r="P7" s="1"/>
      <c r="Q7" s="1">
        <f t="shared" ca="1" si="11"/>
        <v>1.8513297535812465</v>
      </c>
      <c r="R7" s="1">
        <f t="shared" ca="1" si="12"/>
        <v>619</v>
      </c>
      <c r="S7" s="1"/>
      <c r="T7" s="1">
        <f t="shared" ca="1" si="13"/>
        <v>6.8046469467218082E-2</v>
      </c>
      <c r="U7" s="1">
        <f t="shared" ca="1" si="14"/>
        <v>92</v>
      </c>
      <c r="V7" s="1">
        <f t="shared" ca="1" si="15"/>
        <v>8</v>
      </c>
      <c r="W7" s="1"/>
      <c r="X7" s="1">
        <f t="shared" ca="1" si="16"/>
        <v>2.8138477015089109</v>
      </c>
      <c r="Y7" s="1">
        <f t="shared" ca="1" si="17"/>
        <v>0.35624114838380799</v>
      </c>
      <c r="Z7" s="1">
        <f t="shared" ca="1" si="18"/>
        <v>1493</v>
      </c>
      <c r="AB7" s="1">
        <f t="shared" ca="1" si="19"/>
        <v>0.98213410300949711</v>
      </c>
      <c r="AC7" s="1">
        <f t="shared" ca="1" si="20"/>
        <v>265</v>
      </c>
      <c r="AD7" s="1">
        <f t="shared" ca="1" si="21"/>
        <v>1.7302119430547857E-3</v>
      </c>
      <c r="AE7" s="1"/>
      <c r="AF7" s="1">
        <f t="shared" ca="1" si="22"/>
        <v>0.29285188740681356</v>
      </c>
      <c r="AG7" s="1">
        <f t="shared" ca="1" si="23"/>
        <v>791</v>
      </c>
      <c r="AH7" s="1">
        <f t="shared" ca="1" si="24"/>
        <v>8.4780261108743904E-5</v>
      </c>
      <c r="AJ7" s="1">
        <f t="shared" ca="1" si="25"/>
        <v>0.62178038964423399</v>
      </c>
      <c r="AK7" s="1">
        <f t="shared" ca="1" si="26"/>
        <v>8.8425907013305292E-3</v>
      </c>
      <c r="AL7" s="1"/>
      <c r="AM7" s="1">
        <f t="shared" ca="1" si="27"/>
        <v>9.6822280268471242E-2</v>
      </c>
      <c r="AN7" s="1">
        <f t="shared" ca="1" si="28"/>
        <v>31</v>
      </c>
      <c r="AO7" s="1">
        <f t="shared" ca="1" si="29"/>
        <v>2</v>
      </c>
      <c r="AQ7" s="1">
        <f t="shared" ca="1" si="30"/>
        <v>186</v>
      </c>
      <c r="AR7" s="1">
        <f t="shared" ca="1" si="31"/>
        <v>5</v>
      </c>
      <c r="AS7" s="1">
        <f t="shared" ca="1" si="32"/>
        <v>50</v>
      </c>
      <c r="AU7" s="1">
        <f t="shared" ca="1" si="33"/>
        <v>291</v>
      </c>
      <c r="AV7" s="1">
        <f t="shared" ca="1" si="34"/>
        <v>8</v>
      </c>
      <c r="AW7" s="1">
        <f t="shared" ca="1" si="35"/>
        <v>0.18043813229869579</v>
      </c>
      <c r="AY7" s="1">
        <f t="shared" ca="1" si="36"/>
        <v>1.7203011691104899</v>
      </c>
      <c r="AZ7" s="1">
        <f t="shared" ca="1" si="37"/>
        <v>220</v>
      </c>
      <c r="BA7" s="1">
        <f t="shared" ca="1" si="38"/>
        <v>9.4882175410560925E-3</v>
      </c>
      <c r="BV7" s="1">
        <f t="shared" ca="1" si="39"/>
        <v>0.33089828541196542</v>
      </c>
      <c r="BW7" s="1">
        <f t="shared" ca="1" si="40"/>
        <v>252</v>
      </c>
      <c r="BX7" s="1">
        <f t="shared" ca="1" si="41"/>
        <v>6.1797062093340528E-3</v>
      </c>
      <c r="BY7" s="1">
        <f t="shared" ca="1" si="42"/>
        <v>8.8102799072375684E-2</v>
      </c>
      <c r="BZ7" s="1">
        <f t="shared" ca="1" si="43"/>
        <v>1.9179846446554238E-3</v>
      </c>
      <c r="CB7" s="1">
        <f t="shared" ca="1" si="44"/>
        <v>292</v>
      </c>
      <c r="CC7" s="1">
        <f t="shared" ca="1" si="45"/>
        <v>11</v>
      </c>
      <c r="CD7" s="1">
        <f t="shared" ca="1" si="46"/>
        <v>0.1255218729676045</v>
      </c>
      <c r="CE7" s="1">
        <f t="shared" ca="1" si="47"/>
        <v>0.83058385706490623</v>
      </c>
      <c r="CF7" s="1">
        <f t="shared" ca="1" si="47"/>
        <v>0.61510462261462973</v>
      </c>
      <c r="CH7" s="3">
        <f t="shared" ca="1" si="48"/>
        <v>0.32281044772831397</v>
      </c>
      <c r="CI7" s="3">
        <f t="shared" ca="1" si="49"/>
        <v>2.2946972866165094E-2</v>
      </c>
      <c r="CJ7" s="3">
        <f t="shared" ca="1" si="50"/>
        <v>862</v>
      </c>
      <c r="CK7" s="3">
        <f t="shared" ca="1" si="51"/>
        <v>1.2512821245768487E-3</v>
      </c>
      <c r="CL7" s="3">
        <f t="shared" ca="1" si="52"/>
        <v>0</v>
      </c>
      <c r="CM7" s="3"/>
      <c r="CN7" s="1">
        <f t="shared" ca="1" si="53"/>
        <v>16.423162491232624</v>
      </c>
      <c r="CO7" s="1">
        <f t="shared" ca="1" si="54"/>
        <v>0.35223678891703658</v>
      </c>
      <c r="CP7" s="1">
        <f t="shared" ca="1" si="55"/>
        <v>2</v>
      </c>
      <c r="DH7" s="1">
        <f t="shared" ca="1" si="56"/>
        <v>752</v>
      </c>
      <c r="DI7" s="1">
        <f t="shared" ca="1" si="57"/>
        <v>0.93692087477756536</v>
      </c>
      <c r="DJ7" s="1">
        <f t="shared" ca="1" si="58"/>
        <v>19</v>
      </c>
      <c r="DL7" s="1">
        <f t="shared" ca="1" si="59"/>
        <v>0.15611149793702891</v>
      </c>
      <c r="DM7" s="1">
        <f t="shared" ca="1" si="60"/>
        <v>149</v>
      </c>
      <c r="DN7" s="1">
        <f t="shared" ca="1" si="61"/>
        <v>9</v>
      </c>
    </row>
    <row r="8" spans="2:121" x14ac:dyDescent="0.25">
      <c r="B8">
        <f t="shared" ca="1" si="0"/>
        <v>782</v>
      </c>
      <c r="C8">
        <f t="shared" ca="1" si="1"/>
        <v>7</v>
      </c>
      <c r="D8">
        <f t="shared" ca="1" si="2"/>
        <v>8.8526986592766296E-2</v>
      </c>
      <c r="F8" s="1">
        <f t="shared" ca="1" si="3"/>
        <v>5</v>
      </c>
      <c r="G8" s="1">
        <f t="shared" ca="1" si="4"/>
        <v>6</v>
      </c>
      <c r="H8" s="1">
        <f t="shared" ca="1" si="5"/>
        <v>2</v>
      </c>
      <c r="I8" s="1"/>
      <c r="J8" s="1">
        <f t="shared" ca="1" si="6"/>
        <v>27</v>
      </c>
      <c r="K8" s="1">
        <f t="shared" ca="1" si="7"/>
        <v>1.7871925531263693</v>
      </c>
      <c r="L8" s="1">
        <f t="shared" ca="1" si="8"/>
        <v>13</v>
      </c>
      <c r="M8" s="1"/>
      <c r="N8" s="1">
        <f t="shared" ca="1" si="9"/>
        <v>411</v>
      </c>
      <c r="O8" s="1">
        <f t="shared" ca="1" si="10"/>
        <v>51</v>
      </c>
      <c r="P8" s="1"/>
      <c r="Q8" s="1">
        <f t="shared" ca="1" si="11"/>
        <v>0.78009735732896401</v>
      </c>
      <c r="R8" s="1">
        <f t="shared" ca="1" si="12"/>
        <v>1194</v>
      </c>
      <c r="S8" s="1"/>
      <c r="T8" s="1">
        <f t="shared" ca="1" si="13"/>
        <v>0.13342147961526263</v>
      </c>
      <c r="U8" s="1">
        <f t="shared" ca="1" si="14"/>
        <v>314</v>
      </c>
      <c r="V8" s="1">
        <f t="shared" ca="1" si="15"/>
        <v>18</v>
      </c>
      <c r="W8" s="1"/>
      <c r="X8" s="1">
        <f t="shared" ca="1" si="16"/>
        <v>9.3413454897266643E-2</v>
      </c>
      <c r="Y8" s="1">
        <f t="shared" ca="1" si="17"/>
        <v>0.21051141199046769</v>
      </c>
      <c r="Z8" s="1">
        <f t="shared" ca="1" si="18"/>
        <v>1787</v>
      </c>
      <c r="AB8" s="1">
        <f t="shared" ca="1" si="19"/>
        <v>0.21055381877954665</v>
      </c>
      <c r="AC8" s="1">
        <f t="shared" ca="1" si="20"/>
        <v>754</v>
      </c>
      <c r="AD8" s="1">
        <f t="shared" ca="1" si="21"/>
        <v>6.9492378247984271E-4</v>
      </c>
      <c r="AE8" s="1"/>
      <c r="AF8" s="1">
        <f t="shared" ca="1" si="22"/>
        <v>0.46477827523028914</v>
      </c>
      <c r="AG8" s="1">
        <f t="shared" ca="1" si="23"/>
        <v>340</v>
      </c>
      <c r="AH8" s="1">
        <f t="shared" ca="1" si="24"/>
        <v>4.6557777233914004E-3</v>
      </c>
      <c r="AJ8" s="1">
        <f t="shared" ca="1" si="25"/>
        <v>0.17225596312512137</v>
      </c>
      <c r="AK8" s="1">
        <f t="shared" ca="1" si="26"/>
        <v>6.8172084019129317E-3</v>
      </c>
      <c r="AL8" s="1"/>
      <c r="AM8" s="1">
        <f t="shared" ca="1" si="27"/>
        <v>0.10167286780963294</v>
      </c>
      <c r="AN8" s="1">
        <f t="shared" ca="1" si="28"/>
        <v>41</v>
      </c>
      <c r="AO8" s="1">
        <f t="shared" ca="1" si="29"/>
        <v>3</v>
      </c>
      <c r="AQ8" s="1">
        <f t="shared" ca="1" si="30"/>
        <v>181</v>
      </c>
      <c r="AR8" s="1">
        <f t="shared" ca="1" si="31"/>
        <v>0</v>
      </c>
      <c r="AS8" s="1">
        <f t="shared" ca="1" si="32"/>
        <v>92</v>
      </c>
      <c r="AU8" s="1">
        <f t="shared" ca="1" si="33"/>
        <v>190</v>
      </c>
      <c r="AV8" s="1">
        <f t="shared" ca="1" si="34"/>
        <v>8</v>
      </c>
      <c r="AW8" s="1">
        <f t="shared" ca="1" si="35"/>
        <v>0.18765327856388914</v>
      </c>
      <c r="AY8" s="1">
        <f t="shared" ca="1" si="36"/>
        <v>1.3197221972420103</v>
      </c>
      <c r="AZ8" s="1">
        <f t="shared" ca="1" si="37"/>
        <v>117</v>
      </c>
      <c r="BA8" s="1">
        <f t="shared" ca="1" si="38"/>
        <v>4.0543399631210825E-4</v>
      </c>
      <c r="BV8" s="1">
        <f t="shared" ca="1" si="39"/>
        <v>0.90767994591469847</v>
      </c>
      <c r="BW8" s="1">
        <f t="shared" ca="1" si="40"/>
        <v>414</v>
      </c>
      <c r="BX8" s="1">
        <f t="shared" ca="1" si="41"/>
        <v>6.4320434616952256E-3</v>
      </c>
      <c r="BY8" s="1">
        <f t="shared" ca="1" si="42"/>
        <v>6.6916597255237784E-2</v>
      </c>
      <c r="BZ8" s="1">
        <f t="shared" ca="1" si="43"/>
        <v>0.48720339067309526</v>
      </c>
      <c r="CB8" s="1">
        <f t="shared" ca="1" si="44"/>
        <v>424</v>
      </c>
      <c r="CC8" s="1">
        <f t="shared" ca="1" si="45"/>
        <v>5</v>
      </c>
      <c r="CD8" s="1">
        <f t="shared" ca="1" si="46"/>
        <v>0.18635205533197285</v>
      </c>
      <c r="CE8" s="1">
        <f t="shared" ca="1" si="47"/>
        <v>0.51768937686667194</v>
      </c>
      <c r="CF8" s="1">
        <f t="shared" ca="1" si="47"/>
        <v>0.84456007694872515</v>
      </c>
      <c r="CH8" s="3">
        <f t="shared" ca="1" si="48"/>
        <v>0.84365857177106773</v>
      </c>
      <c r="CI8" s="3">
        <f t="shared" ca="1" si="49"/>
        <v>0.84604671985986168</v>
      </c>
      <c r="CJ8" s="3">
        <f t="shared" ca="1" si="50"/>
        <v>1587</v>
      </c>
      <c r="CK8" s="3">
        <f t="shared" ca="1" si="51"/>
        <v>7.4268545069364434E-3</v>
      </c>
      <c r="CL8" s="3">
        <f t="shared" ca="1" si="52"/>
        <v>1</v>
      </c>
      <c r="CM8" s="3"/>
      <c r="CN8" s="1">
        <f t="shared" ca="1" si="53"/>
        <v>1.3324872874032776</v>
      </c>
      <c r="CO8" s="1">
        <f t="shared" ca="1" si="54"/>
        <v>0.38095987649276963</v>
      </c>
      <c r="CP8" s="1">
        <f t="shared" ca="1" si="55"/>
        <v>2</v>
      </c>
      <c r="DH8" s="1">
        <f t="shared" ca="1" si="56"/>
        <v>336</v>
      </c>
      <c r="DI8" s="1">
        <f t="shared" ca="1" si="57"/>
        <v>0.46616635735808809</v>
      </c>
      <c r="DJ8" s="1">
        <f t="shared" ca="1" si="58"/>
        <v>1</v>
      </c>
      <c r="DL8" s="1">
        <f t="shared" ca="1" si="59"/>
        <v>2.1455084543906697E-2</v>
      </c>
      <c r="DM8" s="1">
        <f t="shared" ca="1" si="60"/>
        <v>122</v>
      </c>
      <c r="DN8" s="1">
        <f t="shared" ca="1" si="61"/>
        <v>4</v>
      </c>
    </row>
    <row r="9" spans="2:121" x14ac:dyDescent="0.25">
      <c r="B9">
        <f t="shared" ca="1" si="0"/>
        <v>206</v>
      </c>
      <c r="C9">
        <f t="shared" ca="1" si="1"/>
        <v>21</v>
      </c>
      <c r="D9">
        <f t="shared" ca="1" si="2"/>
        <v>0.28409634465197087</v>
      </c>
      <c r="F9" s="1">
        <f t="shared" ca="1" si="3"/>
        <v>10</v>
      </c>
      <c r="G9" s="1">
        <f t="shared" ca="1" si="4"/>
        <v>11</v>
      </c>
      <c r="H9" s="1">
        <f t="shared" ca="1" si="5"/>
        <v>3</v>
      </c>
      <c r="I9" s="1"/>
      <c r="J9" s="1">
        <f t="shared" ca="1" si="6"/>
        <v>16</v>
      </c>
      <c r="K9" s="1">
        <f t="shared" ca="1" si="7"/>
        <v>1.1751234923554541</v>
      </c>
      <c r="L9" s="1">
        <f t="shared" ca="1" si="8"/>
        <v>29</v>
      </c>
      <c r="M9" s="1"/>
      <c r="N9" s="1">
        <f t="shared" ca="1" si="9"/>
        <v>622</v>
      </c>
      <c r="O9" s="1">
        <f t="shared" ca="1" si="10"/>
        <v>50</v>
      </c>
      <c r="P9" s="1"/>
      <c r="Q9" s="1">
        <f t="shared" ca="1" si="11"/>
        <v>0.1231842946610136</v>
      </c>
      <c r="R9" s="1">
        <f t="shared" ca="1" si="12"/>
        <v>827</v>
      </c>
      <c r="S9" s="1"/>
      <c r="T9" s="1">
        <f t="shared" ca="1" si="13"/>
        <v>0.19293747884628987</v>
      </c>
      <c r="U9" s="1">
        <f t="shared" ca="1" si="14"/>
        <v>228</v>
      </c>
      <c r="V9" s="1">
        <f t="shared" ca="1" si="15"/>
        <v>13</v>
      </c>
      <c r="W9" s="1"/>
      <c r="X9" s="1">
        <f t="shared" ca="1" si="16"/>
        <v>5.2032760567477006</v>
      </c>
      <c r="Y9" s="1">
        <f t="shared" ca="1" si="17"/>
        <v>1.9206462548155098E-2</v>
      </c>
      <c r="Z9" s="1">
        <f t="shared" ca="1" si="18"/>
        <v>678</v>
      </c>
      <c r="AB9" s="1">
        <f t="shared" ca="1" si="19"/>
        <v>2.1103815040394332E-2</v>
      </c>
      <c r="AC9" s="1">
        <f t="shared" ca="1" si="20"/>
        <v>369</v>
      </c>
      <c r="AD9" s="1">
        <f t="shared" ca="1" si="21"/>
        <v>4.5129716651173529E-3</v>
      </c>
      <c r="AE9" s="1"/>
      <c r="AF9" s="1">
        <f t="shared" ca="1" si="22"/>
        <v>0.50059236049762601</v>
      </c>
      <c r="AG9" s="1">
        <f t="shared" ca="1" si="23"/>
        <v>807</v>
      </c>
      <c r="AH9" s="1">
        <f t="shared" ca="1" si="24"/>
        <v>1.9785390782510737E-3</v>
      </c>
      <c r="AJ9" s="1">
        <f t="shared" ca="1" si="25"/>
        <v>0.81597391575675027</v>
      </c>
      <c r="AK9" s="1">
        <f t="shared" ca="1" si="26"/>
        <v>9.8072758672312077E-3</v>
      </c>
      <c r="AL9" s="1"/>
      <c r="AM9" s="1">
        <f t="shared" ca="1" si="27"/>
        <v>6.3588753029494169E-2</v>
      </c>
      <c r="AN9" s="1">
        <f t="shared" ca="1" si="28"/>
        <v>31</v>
      </c>
      <c r="AO9" s="1">
        <f t="shared" ca="1" si="29"/>
        <v>8</v>
      </c>
      <c r="AQ9" s="1">
        <f t="shared" ca="1" si="30"/>
        <v>100</v>
      </c>
      <c r="AR9" s="1">
        <f t="shared" ca="1" si="31"/>
        <v>6</v>
      </c>
      <c r="AS9" s="1">
        <f t="shared" ca="1" si="32"/>
        <v>71</v>
      </c>
      <c r="AU9" s="1">
        <f t="shared" ca="1" si="33"/>
        <v>295</v>
      </c>
      <c r="AV9" s="1">
        <f t="shared" ca="1" si="34"/>
        <v>9</v>
      </c>
      <c r="AW9" s="1">
        <f t="shared" ca="1" si="35"/>
        <v>3.2157210928711398E-2</v>
      </c>
      <c r="AY9" s="1">
        <f t="shared" ca="1" si="36"/>
        <v>1.5953833315827763</v>
      </c>
      <c r="AZ9" s="1">
        <f t="shared" ca="1" si="37"/>
        <v>265</v>
      </c>
      <c r="BA9" s="1">
        <f t="shared" ca="1" si="38"/>
        <v>6.2140021931374077E-3</v>
      </c>
      <c r="BV9" s="1">
        <f t="shared" ca="1" si="39"/>
        <v>0.32259671279442864</v>
      </c>
      <c r="BW9" s="1">
        <f t="shared" ca="1" si="40"/>
        <v>752</v>
      </c>
      <c r="BX9" s="1">
        <f t="shared" ca="1" si="41"/>
        <v>3.0796963878698823E-3</v>
      </c>
      <c r="BY9" s="1">
        <f t="shared" ca="1" si="42"/>
        <v>7.1974263218135257E-2</v>
      </c>
      <c r="BZ9" s="1">
        <f t="shared" ca="1" si="43"/>
        <v>0.71585346998111954</v>
      </c>
      <c r="CB9" s="1">
        <f t="shared" ca="1" si="44"/>
        <v>329</v>
      </c>
      <c r="CC9" s="1">
        <f t="shared" ca="1" si="45"/>
        <v>15</v>
      </c>
      <c r="CD9" s="1">
        <f t="shared" ca="1" si="46"/>
        <v>0.26084211413836123</v>
      </c>
      <c r="CE9" s="1">
        <f t="shared" ca="1" si="47"/>
        <v>0.80409566985447833</v>
      </c>
      <c r="CF9" s="1">
        <f t="shared" ca="1" si="47"/>
        <v>0.86354510161544351</v>
      </c>
      <c r="CH9" s="3">
        <f t="shared" ca="1" si="48"/>
        <v>0.97474734361857718</v>
      </c>
      <c r="CI9" s="3">
        <f t="shared" ca="1" si="49"/>
        <v>0.58917295153098392</v>
      </c>
      <c r="CJ9" s="3">
        <f t="shared" ca="1" si="50"/>
        <v>1366</v>
      </c>
      <c r="CK9" s="3">
        <f t="shared" ca="1" si="51"/>
        <v>9.136121427957675E-3</v>
      </c>
      <c r="CL9" s="3">
        <f t="shared" ca="1" si="52"/>
        <v>0</v>
      </c>
      <c r="CM9" s="3"/>
      <c r="CN9" s="1">
        <f t="shared" ca="1" si="53"/>
        <v>16.333698812213878</v>
      </c>
      <c r="CO9" s="1">
        <f t="shared" ca="1" si="54"/>
        <v>0.34031558450296517</v>
      </c>
      <c r="CP9" s="1">
        <f t="shared" ca="1" si="55"/>
        <v>2</v>
      </c>
      <c r="DH9" s="1">
        <f t="shared" ca="1" si="56"/>
        <v>840</v>
      </c>
      <c r="DI9" s="1">
        <f t="shared" ca="1" si="57"/>
        <v>0.18051891189176872</v>
      </c>
      <c r="DJ9" s="1">
        <f t="shared" ca="1" si="58"/>
        <v>8</v>
      </c>
      <c r="DL9" s="1">
        <f t="shared" ca="1" si="59"/>
        <v>0.18838866426113646</v>
      </c>
      <c r="DM9" s="1">
        <f t="shared" ca="1" si="60"/>
        <v>145</v>
      </c>
      <c r="DN9" s="1">
        <f t="shared" ca="1" si="61"/>
        <v>1</v>
      </c>
    </row>
    <row r="10" spans="2:121" x14ac:dyDescent="0.25">
      <c r="B10">
        <f t="shared" ca="1" si="0"/>
        <v>817</v>
      </c>
      <c r="C10">
        <f t="shared" ca="1" si="1"/>
        <v>52</v>
      </c>
      <c r="D10">
        <f t="shared" ca="1" si="2"/>
        <v>3.3252547909586962E-2</v>
      </c>
      <c r="F10" s="1">
        <f t="shared" ca="1" si="3"/>
        <v>30</v>
      </c>
      <c r="G10" s="1">
        <f t="shared" ca="1" si="4"/>
        <v>4</v>
      </c>
      <c r="H10" s="1">
        <f t="shared" ca="1" si="5"/>
        <v>5</v>
      </c>
      <c r="I10" s="1"/>
      <c r="J10" s="1">
        <f t="shared" ca="1" si="6"/>
        <v>16</v>
      </c>
      <c r="K10" s="1">
        <f t="shared" ca="1" si="7"/>
        <v>1.2696093078072297</v>
      </c>
      <c r="L10" s="1">
        <f t="shared" ca="1" si="8"/>
        <v>17</v>
      </c>
      <c r="M10" s="1"/>
      <c r="N10" s="1">
        <f t="shared" ca="1" si="9"/>
        <v>498</v>
      </c>
      <c r="O10" s="1">
        <f t="shared" ca="1" si="10"/>
        <v>42</v>
      </c>
      <c r="P10" s="1"/>
      <c r="Q10" s="1">
        <f t="shared" ca="1" si="11"/>
        <v>4.2660563004063787</v>
      </c>
      <c r="R10" s="1">
        <f t="shared" ca="1" si="12"/>
        <v>974</v>
      </c>
      <c r="S10" s="1"/>
      <c r="T10" s="1">
        <f t="shared" ca="1" si="13"/>
        <v>5.0684950808739769E-2</v>
      </c>
      <c r="U10" s="1">
        <f t="shared" ca="1" si="14"/>
        <v>295</v>
      </c>
      <c r="V10" s="1">
        <f t="shared" ca="1" si="15"/>
        <v>31</v>
      </c>
      <c r="W10" s="1"/>
      <c r="X10" s="1">
        <f t="shared" ca="1" si="16"/>
        <v>3.9092574176708417</v>
      </c>
      <c r="Y10" s="1">
        <f t="shared" ca="1" si="17"/>
        <v>0.27273137283899479</v>
      </c>
      <c r="Z10" s="1">
        <f t="shared" ca="1" si="18"/>
        <v>762</v>
      </c>
      <c r="AB10" s="1">
        <f t="shared" ca="1" si="19"/>
        <v>0.61423199376371074</v>
      </c>
      <c r="AC10" s="1">
        <f t="shared" ca="1" si="20"/>
        <v>565</v>
      </c>
      <c r="AD10" s="1">
        <f t="shared" ca="1" si="21"/>
        <v>2.8798989735872829E-3</v>
      </c>
      <c r="AE10" s="1"/>
      <c r="AF10" s="1">
        <f t="shared" ca="1" si="22"/>
        <v>0.38909472464045225</v>
      </c>
      <c r="AG10" s="1">
        <f t="shared" ca="1" si="23"/>
        <v>435</v>
      </c>
      <c r="AH10" s="1">
        <f t="shared" ca="1" si="24"/>
        <v>6.0836989665394338E-3</v>
      </c>
      <c r="AJ10" s="1">
        <f t="shared" ca="1" si="25"/>
        <v>0.7892990820979382</v>
      </c>
      <c r="AK10" s="1">
        <f t="shared" ca="1" si="26"/>
        <v>5.5525847891856276E-3</v>
      </c>
      <c r="AL10" s="1"/>
      <c r="AM10" s="1">
        <f t="shared" ca="1" si="27"/>
        <v>0.14489969842784753</v>
      </c>
      <c r="AN10" s="1">
        <f t="shared" ca="1" si="28"/>
        <v>53</v>
      </c>
      <c r="AO10" s="1">
        <f t="shared" ca="1" si="29"/>
        <v>8</v>
      </c>
      <c r="AQ10" s="1">
        <f t="shared" ca="1" si="30"/>
        <v>159</v>
      </c>
      <c r="AR10" s="1">
        <f t="shared" ca="1" si="31"/>
        <v>10</v>
      </c>
      <c r="AS10" s="1">
        <f t="shared" ca="1" si="32"/>
        <v>45</v>
      </c>
      <c r="AU10" s="1">
        <f t="shared" ca="1" si="33"/>
        <v>243</v>
      </c>
      <c r="AV10" s="1">
        <f t="shared" ca="1" si="34"/>
        <v>10</v>
      </c>
      <c r="AW10" s="1">
        <f t="shared" ca="1" si="35"/>
        <v>0.15050896166549335</v>
      </c>
      <c r="AY10" s="1">
        <f t="shared" ca="1" si="36"/>
        <v>1.9345707418308284</v>
      </c>
      <c r="AZ10" s="1">
        <f t="shared" ca="1" si="37"/>
        <v>305</v>
      </c>
      <c r="BA10" s="1">
        <f t="shared" ca="1" si="38"/>
        <v>6.0089908090804993E-3</v>
      </c>
      <c r="BV10" s="1">
        <f t="shared" ca="1" si="39"/>
        <v>0.82096079110104947</v>
      </c>
      <c r="BW10" s="1">
        <f t="shared" ca="1" si="40"/>
        <v>347</v>
      </c>
      <c r="BX10" s="1">
        <f t="shared" ca="1" si="41"/>
        <v>5.0416881066264827E-4</v>
      </c>
      <c r="BY10" s="1">
        <f t="shared" ca="1" si="42"/>
        <v>1.3610821390821683E-2</v>
      </c>
      <c r="BZ10" s="1">
        <f t="shared" ca="1" si="43"/>
        <v>0.24535276577961995</v>
      </c>
      <c r="CB10" s="1">
        <f t="shared" ca="1" si="44"/>
        <v>316</v>
      </c>
      <c r="CC10" s="1">
        <f t="shared" ca="1" si="45"/>
        <v>15</v>
      </c>
      <c r="CD10" s="1">
        <f t="shared" ca="1" si="46"/>
        <v>0.29895210492048474</v>
      </c>
      <c r="CE10" s="1">
        <f t="shared" ca="1" si="47"/>
        <v>0.5143722920153404</v>
      </c>
      <c r="CF10" s="1">
        <f t="shared" ca="1" si="47"/>
        <v>0.87311229129495693</v>
      </c>
      <c r="CH10" s="3">
        <f t="shared" ca="1" si="48"/>
        <v>0.28717409786587883</v>
      </c>
      <c r="CI10" s="3">
        <f t="shared" ca="1" si="49"/>
        <v>0.97394266063478707</v>
      </c>
      <c r="CJ10" s="3">
        <f t="shared" ca="1" si="50"/>
        <v>580</v>
      </c>
      <c r="CK10" s="3">
        <f t="shared" ca="1" si="51"/>
        <v>8.6427734447610367E-4</v>
      </c>
      <c r="CL10" s="3">
        <f t="shared" ca="1" si="52"/>
        <v>1</v>
      </c>
      <c r="CM10" s="3"/>
      <c r="CN10" s="1">
        <f t="shared" ca="1" si="53"/>
        <v>15.075933828056263</v>
      </c>
      <c r="CO10" s="1">
        <f t="shared" ca="1" si="54"/>
        <v>0.16973150903433901</v>
      </c>
      <c r="CP10" s="1">
        <f t="shared" ca="1" si="55"/>
        <v>1</v>
      </c>
      <c r="DH10" s="1">
        <f t="shared" ca="1" si="56"/>
        <v>289</v>
      </c>
      <c r="DI10" s="1">
        <f t="shared" ca="1" si="57"/>
        <v>0.27351274597351782</v>
      </c>
      <c r="DJ10" s="1">
        <f t="shared" ca="1" si="58"/>
        <v>18</v>
      </c>
      <c r="DL10" s="1">
        <f t="shared" ca="1" si="59"/>
        <v>0.14586084523507564</v>
      </c>
      <c r="DM10" s="1">
        <f t="shared" ca="1" si="60"/>
        <v>147</v>
      </c>
      <c r="DN10" s="1">
        <f t="shared" ca="1" si="61"/>
        <v>4</v>
      </c>
    </row>
    <row r="11" spans="2:121" x14ac:dyDescent="0.25">
      <c r="B11">
        <f t="shared" ca="1" si="0"/>
        <v>467</v>
      </c>
      <c r="C11">
        <f t="shared" ca="1" si="1"/>
        <v>48</v>
      </c>
      <c r="D11">
        <f t="shared" ca="1" si="2"/>
        <v>0.21736162072258977</v>
      </c>
      <c r="F11" s="1">
        <f t="shared" ca="1" si="3"/>
        <v>48</v>
      </c>
      <c r="G11" s="1">
        <f t="shared" ca="1" si="4"/>
        <v>10</v>
      </c>
      <c r="H11" s="1">
        <f t="shared" ca="1" si="5"/>
        <v>9</v>
      </c>
      <c r="I11" s="1"/>
      <c r="J11" s="1">
        <f t="shared" ca="1" si="6"/>
        <v>16</v>
      </c>
      <c r="K11" s="1">
        <f t="shared" ca="1" si="7"/>
        <v>1.9361557443076045</v>
      </c>
      <c r="L11" s="1">
        <f t="shared" ca="1" si="8"/>
        <v>32</v>
      </c>
      <c r="M11" s="1"/>
      <c r="N11" s="1">
        <f t="shared" ca="1" si="9"/>
        <v>174</v>
      </c>
      <c r="O11" s="1">
        <f t="shared" ca="1" si="10"/>
        <v>29</v>
      </c>
      <c r="P11" s="1"/>
      <c r="Q11" s="1">
        <f t="shared" ca="1" si="11"/>
        <v>0.63910630444960748</v>
      </c>
      <c r="R11" s="1">
        <f t="shared" ca="1" si="12"/>
        <v>447</v>
      </c>
      <c r="S11" s="1"/>
      <c r="T11" s="1">
        <f t="shared" ca="1" si="13"/>
        <v>0.11606137223861912</v>
      </c>
      <c r="U11" s="1">
        <f t="shared" ca="1" si="14"/>
        <v>432</v>
      </c>
      <c r="V11" s="1">
        <f t="shared" ca="1" si="15"/>
        <v>14</v>
      </c>
      <c r="W11" s="1"/>
      <c r="X11" s="1">
        <f t="shared" ca="1" si="16"/>
        <v>6.4025108232419132</v>
      </c>
      <c r="Y11" s="1">
        <f t="shared" ca="1" si="17"/>
        <v>0.9655955830177817</v>
      </c>
      <c r="Z11" s="1">
        <f t="shared" ca="1" si="18"/>
        <v>518</v>
      </c>
      <c r="AB11" s="1">
        <f t="shared" ca="1" si="19"/>
        <v>0.72919398653507206</v>
      </c>
      <c r="AC11" s="1">
        <f t="shared" ca="1" si="20"/>
        <v>116</v>
      </c>
      <c r="AD11" s="1">
        <f t="shared" ca="1" si="21"/>
        <v>7.7533306619155583E-4</v>
      </c>
      <c r="AE11" s="1"/>
      <c r="AF11" s="1">
        <f t="shared" ca="1" si="22"/>
        <v>0.8074833728813976</v>
      </c>
      <c r="AG11" s="1">
        <f t="shared" ca="1" si="23"/>
        <v>915</v>
      </c>
      <c r="AH11" s="1">
        <f t="shared" ca="1" si="24"/>
        <v>2.8424365294339282E-4</v>
      </c>
      <c r="AJ11" s="1">
        <f t="shared" ca="1" si="25"/>
        <v>0.25161872143737729</v>
      </c>
      <c r="AK11" s="1">
        <f t="shared" ca="1" si="26"/>
        <v>6.6442337363062228E-3</v>
      </c>
      <c r="AL11" s="1"/>
      <c r="AM11" s="1">
        <f t="shared" ca="1" si="27"/>
        <v>0.1811081443758174</v>
      </c>
      <c r="AN11" s="1">
        <f t="shared" ca="1" si="28"/>
        <v>51</v>
      </c>
      <c r="AO11" s="1">
        <f t="shared" ca="1" si="29"/>
        <v>14</v>
      </c>
      <c r="AQ11" s="1">
        <f t="shared" ca="1" si="30"/>
        <v>155</v>
      </c>
      <c r="AR11" s="1">
        <f t="shared" ca="1" si="31"/>
        <v>0</v>
      </c>
      <c r="AS11" s="1">
        <f t="shared" ca="1" si="32"/>
        <v>34</v>
      </c>
      <c r="AU11" s="1">
        <f t="shared" ca="1" si="33"/>
        <v>269</v>
      </c>
      <c r="AV11" s="1">
        <f t="shared" ca="1" si="34"/>
        <v>5</v>
      </c>
      <c r="AW11" s="1">
        <f t="shared" ca="1" si="35"/>
        <v>5.2929789650021743E-2</v>
      </c>
      <c r="AY11" s="1">
        <f t="shared" ca="1" si="36"/>
        <v>1.8660276389405546</v>
      </c>
      <c r="AZ11" s="1">
        <f t="shared" ca="1" si="37"/>
        <v>477</v>
      </c>
      <c r="BA11" s="1">
        <f t="shared" ca="1" si="38"/>
        <v>9.8048192655503363E-3</v>
      </c>
      <c r="BV11" s="1">
        <f t="shared" ca="1" si="39"/>
        <v>0.93167720088900408</v>
      </c>
      <c r="BW11" s="1">
        <f t="shared" ca="1" si="40"/>
        <v>704</v>
      </c>
      <c r="BX11" s="1">
        <f t="shared" ca="1" si="41"/>
        <v>6.7729849213321583E-3</v>
      </c>
      <c r="BY11" s="1">
        <f t="shared" ca="1" si="42"/>
        <v>7.6890347042244025E-2</v>
      </c>
      <c r="BZ11" s="1">
        <f t="shared" ca="1" si="43"/>
        <v>6.3156377266196051E-2</v>
      </c>
      <c r="CB11" s="1">
        <f t="shared" ca="1" si="44"/>
        <v>363</v>
      </c>
      <c r="CC11" s="1">
        <f t="shared" ca="1" si="45"/>
        <v>12</v>
      </c>
      <c r="CD11" s="1">
        <f t="shared" ca="1" si="46"/>
        <v>0.14142028148817523</v>
      </c>
      <c r="CE11" s="1">
        <f t="shared" ca="1" si="47"/>
        <v>0.68775507534099178</v>
      </c>
      <c r="CF11" s="1">
        <f t="shared" ca="1" si="47"/>
        <v>0.52107191902906025</v>
      </c>
      <c r="CH11" s="3">
        <f t="shared" ca="1" si="48"/>
        <v>0.91525613942882278</v>
      </c>
      <c r="CI11" s="3">
        <f t="shared" ca="1" si="49"/>
        <v>0.25283492572139904</v>
      </c>
      <c r="CJ11" s="3">
        <f t="shared" ca="1" si="50"/>
        <v>379</v>
      </c>
      <c r="CK11" s="3">
        <f t="shared" ca="1" si="51"/>
        <v>7.1029750069525853E-3</v>
      </c>
      <c r="CL11" s="3">
        <f t="shared" ca="1" si="52"/>
        <v>0</v>
      </c>
      <c r="CM11" s="3"/>
      <c r="CN11" s="1">
        <f t="shared" ca="1" si="53"/>
        <v>5.1629755556001529</v>
      </c>
      <c r="CO11" s="1">
        <f t="shared" ca="1" si="54"/>
        <v>7.8334079528137493E-2</v>
      </c>
      <c r="CP11" s="1">
        <f t="shared" ca="1" si="55"/>
        <v>4</v>
      </c>
      <c r="DH11" s="1">
        <f t="shared" ca="1" si="56"/>
        <v>747</v>
      </c>
      <c r="DI11" s="1">
        <f t="shared" ca="1" si="57"/>
        <v>0.73223260522530953</v>
      </c>
      <c r="DJ11" s="1">
        <f t="shared" ca="1" si="58"/>
        <v>22</v>
      </c>
      <c r="DL11" s="1">
        <f t="shared" ca="1" si="59"/>
        <v>8.1842003044627076E-2</v>
      </c>
      <c r="DM11" s="1">
        <f t="shared" ca="1" si="60"/>
        <v>237</v>
      </c>
      <c r="DN11" s="1">
        <f t="shared" ca="1" si="61"/>
        <v>8</v>
      </c>
    </row>
    <row r="12" spans="2:121" x14ac:dyDescent="0.25">
      <c r="B12">
        <f t="shared" ca="1" si="0"/>
        <v>396</v>
      </c>
      <c r="C12">
        <f t="shared" ca="1" si="1"/>
        <v>17</v>
      </c>
      <c r="D12">
        <f t="shared" ca="1" si="2"/>
        <v>0.19414842942359711</v>
      </c>
      <c r="F12" s="1">
        <f t="shared" ca="1" si="3"/>
        <v>27</v>
      </c>
      <c r="G12" s="1">
        <f t="shared" ca="1" si="4"/>
        <v>20</v>
      </c>
      <c r="H12" s="1">
        <f t="shared" ca="1" si="5"/>
        <v>14</v>
      </c>
      <c r="I12" s="1"/>
      <c r="J12" s="1">
        <f t="shared" ca="1" si="6"/>
        <v>15</v>
      </c>
      <c r="K12" s="1">
        <f t="shared" ca="1" si="7"/>
        <v>2.0708359323634502</v>
      </c>
      <c r="L12" s="1">
        <f t="shared" ca="1" si="8"/>
        <v>26</v>
      </c>
      <c r="M12" s="1"/>
      <c r="N12" s="1">
        <f t="shared" ca="1" si="9"/>
        <v>799</v>
      </c>
      <c r="O12" s="1">
        <f t="shared" ca="1" si="10"/>
        <v>13</v>
      </c>
      <c r="P12" s="1"/>
      <c r="Q12" s="1">
        <f t="shared" ca="1" si="11"/>
        <v>2.6214989650631964</v>
      </c>
      <c r="R12" s="1">
        <f t="shared" ca="1" si="12"/>
        <v>1007</v>
      </c>
      <c r="S12" s="1"/>
      <c r="T12" s="1">
        <f t="shared" ca="1" si="13"/>
        <v>0.10541931828757892</v>
      </c>
      <c r="U12" s="1">
        <f t="shared" ca="1" si="14"/>
        <v>145</v>
      </c>
      <c r="V12" s="1">
        <f t="shared" ca="1" si="15"/>
        <v>37</v>
      </c>
      <c r="W12" s="1"/>
      <c r="X12" s="1">
        <f t="shared" ca="1" si="16"/>
        <v>1.3443002621926494</v>
      </c>
      <c r="Y12" s="1">
        <f t="shared" ca="1" si="17"/>
        <v>0.77366619205668674</v>
      </c>
      <c r="Z12" s="1">
        <f t="shared" ca="1" si="18"/>
        <v>996</v>
      </c>
      <c r="AB12" s="1">
        <f t="shared" ca="1" si="19"/>
        <v>0.10002385563378931</v>
      </c>
      <c r="AC12" s="1">
        <f t="shared" ca="1" si="20"/>
        <v>305</v>
      </c>
      <c r="AD12" s="1">
        <f t="shared" ca="1" si="21"/>
        <v>6.1065823011646481E-3</v>
      </c>
      <c r="AE12" s="1"/>
      <c r="AF12" s="1">
        <f t="shared" ca="1" si="22"/>
        <v>0.32434516435686278</v>
      </c>
      <c r="AG12" s="1">
        <f t="shared" ca="1" si="23"/>
        <v>988</v>
      </c>
      <c r="AH12" s="1">
        <f t="shared" ca="1" si="24"/>
        <v>4.5362451094235878E-3</v>
      </c>
      <c r="AJ12" s="1">
        <f t="shared" ca="1" si="25"/>
        <v>0.73153413640654363</v>
      </c>
      <c r="AK12" s="1">
        <f t="shared" ca="1" si="26"/>
        <v>2.8809128712288944E-3</v>
      </c>
      <c r="AL12" s="1"/>
      <c r="AM12" s="1">
        <f t="shared" ca="1" si="27"/>
        <v>5.1743857769289747E-2</v>
      </c>
      <c r="AN12" s="1">
        <f t="shared" ca="1" si="28"/>
        <v>26</v>
      </c>
      <c r="AO12" s="1">
        <f t="shared" ca="1" si="29"/>
        <v>2</v>
      </c>
      <c r="AQ12" s="1">
        <f t="shared" ca="1" si="30"/>
        <v>70</v>
      </c>
      <c r="AR12" s="1">
        <f t="shared" ca="1" si="31"/>
        <v>10</v>
      </c>
      <c r="AS12" s="1">
        <f t="shared" ca="1" si="32"/>
        <v>95</v>
      </c>
      <c r="AU12" s="1">
        <f t="shared" ca="1" si="33"/>
        <v>265</v>
      </c>
      <c r="AV12" s="1">
        <f t="shared" ca="1" si="34"/>
        <v>10</v>
      </c>
      <c r="AW12" s="1">
        <f t="shared" ca="1" si="35"/>
        <v>0.13809571477677041</v>
      </c>
      <c r="AY12" s="1">
        <f t="shared" ca="1" si="36"/>
        <v>1.2639952991837309</v>
      </c>
      <c r="AZ12" s="1">
        <f t="shared" ca="1" si="37"/>
        <v>489</v>
      </c>
      <c r="BA12" s="1">
        <f t="shared" ca="1" si="38"/>
        <v>5.8894000412362223E-3</v>
      </c>
      <c r="BV12" s="1">
        <f t="shared" ca="1" si="39"/>
        <v>0.13555540304518929</v>
      </c>
      <c r="BW12" s="1">
        <f t="shared" ca="1" si="40"/>
        <v>967</v>
      </c>
      <c r="BX12" s="1">
        <f t="shared" ca="1" si="41"/>
        <v>1.0738210938650448E-3</v>
      </c>
      <c r="BY12" s="1">
        <f t="shared" ca="1" si="42"/>
        <v>3.2487466243356399E-3</v>
      </c>
      <c r="BZ12" s="1">
        <f t="shared" ca="1" si="43"/>
        <v>0.53652564151808013</v>
      </c>
      <c r="CB12" s="1">
        <f t="shared" ca="1" si="44"/>
        <v>122</v>
      </c>
      <c r="CC12" s="1">
        <f t="shared" ca="1" si="45"/>
        <v>10</v>
      </c>
      <c r="CD12" s="1">
        <f t="shared" ca="1" si="46"/>
        <v>2.0986152111423649E-2</v>
      </c>
      <c r="CE12" s="1">
        <f t="shared" ca="1" si="47"/>
        <v>0.7653755898155703</v>
      </c>
      <c r="CF12" s="1">
        <f t="shared" ca="1" si="47"/>
        <v>0.52225748244195558</v>
      </c>
      <c r="CH12" s="3">
        <f t="shared" ca="1" si="48"/>
        <v>0.55852290773036994</v>
      </c>
      <c r="CI12" s="3">
        <f t="shared" ca="1" si="49"/>
        <v>0.40944587462470811</v>
      </c>
      <c r="CJ12" s="3">
        <f t="shared" ca="1" si="50"/>
        <v>1598</v>
      </c>
      <c r="CK12" s="3">
        <f t="shared" ca="1" si="51"/>
        <v>4.8981940771124126E-3</v>
      </c>
      <c r="CL12" s="3">
        <f t="shared" ca="1" si="52"/>
        <v>0</v>
      </c>
      <c r="CM12" s="3"/>
      <c r="CN12" s="1">
        <f t="shared" ca="1" si="53"/>
        <v>10.545133059671599</v>
      </c>
      <c r="CO12" s="1">
        <f t="shared" ca="1" si="54"/>
        <v>0.1567451863148269</v>
      </c>
      <c r="CP12" s="1">
        <f t="shared" ca="1" si="55"/>
        <v>2</v>
      </c>
      <c r="DH12" s="1">
        <f t="shared" ca="1" si="56"/>
        <v>204</v>
      </c>
      <c r="DI12" s="1">
        <f t="shared" ca="1" si="57"/>
        <v>8.9714689653920973E-2</v>
      </c>
      <c r="DJ12" s="1">
        <f t="shared" ca="1" si="58"/>
        <v>5</v>
      </c>
      <c r="DL12" s="1">
        <f t="shared" ca="1" si="59"/>
        <v>3.1874401806675154E-2</v>
      </c>
      <c r="DM12" s="1">
        <f t="shared" ca="1" si="60"/>
        <v>239</v>
      </c>
      <c r="DN12" s="1">
        <f t="shared" ca="1" si="61"/>
        <v>4</v>
      </c>
    </row>
    <row r="13" spans="2:121" x14ac:dyDescent="0.25">
      <c r="B13">
        <f t="shared" ca="1" si="0"/>
        <v>429</v>
      </c>
      <c r="C13">
        <f t="shared" ca="1" si="1"/>
        <v>36</v>
      </c>
      <c r="D13">
        <f t="shared" ca="1" si="2"/>
        <v>7.9334377498059397E-2</v>
      </c>
      <c r="F13" s="1">
        <f t="shared" ca="1" si="3"/>
        <v>43</v>
      </c>
      <c r="G13" s="1">
        <f t="shared" ca="1" si="4"/>
        <v>11</v>
      </c>
      <c r="H13" s="1">
        <f t="shared" ca="1" si="5"/>
        <v>15</v>
      </c>
      <c r="I13" s="1"/>
      <c r="J13" s="1">
        <f t="shared" ca="1" si="6"/>
        <v>37</v>
      </c>
      <c r="K13" s="1">
        <f t="shared" ca="1" si="7"/>
        <v>1.5693576118180461</v>
      </c>
      <c r="L13" s="1">
        <f t="shared" ca="1" si="8"/>
        <v>3</v>
      </c>
      <c r="M13" s="1"/>
      <c r="N13" s="1">
        <f t="shared" ca="1" si="9"/>
        <v>896</v>
      </c>
      <c r="O13" s="1">
        <f t="shared" ca="1" si="10"/>
        <v>11</v>
      </c>
      <c r="P13" s="1"/>
      <c r="Q13" s="1">
        <f t="shared" ca="1" si="11"/>
        <v>2.5604252522160089</v>
      </c>
      <c r="R13" s="1">
        <f t="shared" ca="1" si="12"/>
        <v>780</v>
      </c>
      <c r="S13" s="1"/>
      <c r="T13" s="1">
        <f t="shared" ca="1" si="13"/>
        <v>2.5728362944675814E-2</v>
      </c>
      <c r="U13" s="1">
        <f t="shared" ca="1" si="14"/>
        <v>344</v>
      </c>
      <c r="V13" s="1">
        <f t="shared" ca="1" si="15"/>
        <v>22</v>
      </c>
      <c r="W13" s="1"/>
      <c r="X13" s="1">
        <f t="shared" ca="1" si="16"/>
        <v>4.9932816932989654</v>
      </c>
      <c r="Y13" s="1">
        <f t="shared" ca="1" si="17"/>
        <v>0.98190977144381952</v>
      </c>
      <c r="Z13" s="1">
        <f t="shared" ca="1" si="18"/>
        <v>1616</v>
      </c>
      <c r="AB13" s="1">
        <f t="shared" ca="1" si="19"/>
        <v>0.7358265251087206</v>
      </c>
      <c r="AC13" s="1">
        <f t="shared" ca="1" si="20"/>
        <v>528</v>
      </c>
      <c r="AD13" s="1">
        <f t="shared" ca="1" si="21"/>
        <v>2.6957092578753204E-4</v>
      </c>
      <c r="AE13" s="1"/>
      <c r="AF13" s="1">
        <f t="shared" ca="1" si="22"/>
        <v>0.79725453998488749</v>
      </c>
      <c r="AG13" s="1">
        <f t="shared" ca="1" si="23"/>
        <v>582</v>
      </c>
      <c r="AH13" s="1">
        <f t="shared" ca="1" si="24"/>
        <v>3.9983796677015258E-3</v>
      </c>
      <c r="AJ13" s="1">
        <f t="shared" ca="1" si="25"/>
        <v>0.55912819316939977</v>
      </c>
      <c r="AK13" s="1">
        <f t="shared" ca="1" si="26"/>
        <v>3.3165598742623311E-3</v>
      </c>
      <c r="AL13" s="1"/>
      <c r="AM13" s="1">
        <f t="shared" ca="1" si="27"/>
        <v>3.0213810182959926E-2</v>
      </c>
      <c r="AN13" s="1">
        <f t="shared" ca="1" si="28"/>
        <v>75</v>
      </c>
      <c r="AO13" s="1">
        <f t="shared" ca="1" si="29"/>
        <v>16</v>
      </c>
      <c r="AQ13" s="1">
        <f t="shared" ca="1" si="30"/>
        <v>55</v>
      </c>
      <c r="AR13" s="1">
        <f t="shared" ca="1" si="31"/>
        <v>2</v>
      </c>
      <c r="AS13" s="1">
        <f t="shared" ca="1" si="32"/>
        <v>12</v>
      </c>
      <c r="AU13" s="1">
        <f t="shared" ca="1" si="33"/>
        <v>73</v>
      </c>
      <c r="AV13" s="1">
        <f t="shared" ca="1" si="34"/>
        <v>7</v>
      </c>
      <c r="AW13" s="1">
        <f t="shared" ca="1" si="35"/>
        <v>0.17783192923152649</v>
      </c>
      <c r="AY13" s="1">
        <f t="shared" ca="1" si="36"/>
        <v>1.1712569473661252</v>
      </c>
      <c r="AZ13" s="1">
        <f t="shared" ca="1" si="37"/>
        <v>344</v>
      </c>
      <c r="BA13" s="1">
        <f t="shared" ca="1" si="38"/>
        <v>5.6594481720078898E-3</v>
      </c>
      <c r="BV13" s="1">
        <f t="shared" ca="1" si="39"/>
        <v>0.72336122951150761</v>
      </c>
      <c r="BW13" s="1">
        <f t="shared" ca="1" si="40"/>
        <v>918</v>
      </c>
      <c r="BX13" s="1">
        <f t="shared" ca="1" si="41"/>
        <v>4.3080025285662633E-4</v>
      </c>
      <c r="BY13" s="1">
        <f t="shared" ca="1" si="42"/>
        <v>9.675385771078622E-2</v>
      </c>
      <c r="BZ13" s="1">
        <f t="shared" ca="1" si="43"/>
        <v>0.54477560690186122</v>
      </c>
      <c r="CB13" s="1">
        <f t="shared" ca="1" si="44"/>
        <v>317</v>
      </c>
      <c r="CC13" s="1">
        <f t="shared" ca="1" si="45"/>
        <v>8</v>
      </c>
      <c r="CD13" s="1">
        <f t="shared" ca="1" si="46"/>
        <v>0.26380800903223012</v>
      </c>
      <c r="CE13" s="1">
        <f t="shared" ca="1" si="47"/>
        <v>0.53942468173708247</v>
      </c>
      <c r="CF13" s="1">
        <f t="shared" ca="1" si="47"/>
        <v>0.91249141025493352</v>
      </c>
      <c r="CH13" s="3">
        <f t="shared" ca="1" si="48"/>
        <v>0.8922146514262751</v>
      </c>
      <c r="CI13" s="3">
        <f t="shared" ca="1" si="49"/>
        <v>0.40793695397803481</v>
      </c>
      <c r="CJ13" s="3">
        <f t="shared" ca="1" si="50"/>
        <v>842</v>
      </c>
      <c r="CK13" s="3">
        <f t="shared" ca="1" si="51"/>
        <v>6.714751405525847E-3</v>
      </c>
      <c r="CL13" s="3">
        <f t="shared" ca="1" si="52"/>
        <v>0</v>
      </c>
      <c r="CM13" s="3"/>
      <c r="CN13" s="1">
        <f t="shared" ca="1" si="53"/>
        <v>8.3733721283163689</v>
      </c>
      <c r="CO13" s="1">
        <f t="shared" ca="1" si="54"/>
        <v>0.45046635565405163</v>
      </c>
      <c r="CP13" s="1">
        <f t="shared" ca="1" si="55"/>
        <v>5</v>
      </c>
      <c r="DH13" s="1">
        <f t="shared" ca="1" si="56"/>
        <v>618</v>
      </c>
      <c r="DI13" s="1">
        <f t="shared" ca="1" si="57"/>
        <v>0.97914261097926614</v>
      </c>
      <c r="DJ13" s="1">
        <f t="shared" ca="1" si="58"/>
        <v>10</v>
      </c>
      <c r="DL13" s="1">
        <f t="shared" ca="1" si="59"/>
        <v>0.17198006309247812</v>
      </c>
      <c r="DM13" s="1">
        <f t="shared" ca="1" si="60"/>
        <v>297</v>
      </c>
      <c r="DN13" s="1">
        <f t="shared" ca="1" si="61"/>
        <v>6</v>
      </c>
    </row>
    <row r="14" spans="2:121" x14ac:dyDescent="0.25">
      <c r="B14">
        <f t="shared" ca="1" si="0"/>
        <v>879</v>
      </c>
      <c r="C14">
        <f t="shared" ca="1" si="1"/>
        <v>10</v>
      </c>
      <c r="D14">
        <f t="shared" ca="1" si="2"/>
        <v>0.13873161827216307</v>
      </c>
      <c r="F14" s="1">
        <f t="shared" ca="1" si="3"/>
        <v>40</v>
      </c>
      <c r="G14" s="1">
        <f t="shared" ca="1" si="4"/>
        <v>2</v>
      </c>
      <c r="H14" s="1">
        <f t="shared" ca="1" si="5"/>
        <v>10</v>
      </c>
      <c r="I14" s="1"/>
      <c r="J14" s="1">
        <f t="shared" ca="1" si="6"/>
        <v>25</v>
      </c>
      <c r="K14" s="1">
        <f t="shared" ca="1" si="7"/>
        <v>1.9114896183308268</v>
      </c>
      <c r="L14" s="1">
        <f t="shared" ca="1" si="8"/>
        <v>32</v>
      </c>
      <c r="M14" s="1"/>
      <c r="N14" s="1">
        <f t="shared" ca="1" si="9"/>
        <v>233</v>
      </c>
      <c r="O14" s="1">
        <f t="shared" ca="1" si="10"/>
        <v>24</v>
      </c>
      <c r="P14" s="1"/>
      <c r="Q14" s="1">
        <f t="shared" ca="1" si="11"/>
        <v>4.1639577468964362</v>
      </c>
      <c r="R14" s="1">
        <f t="shared" ca="1" si="12"/>
        <v>252</v>
      </c>
      <c r="S14" s="1"/>
      <c r="T14" s="1">
        <f t="shared" ca="1" si="13"/>
        <v>0.19684502435765008</v>
      </c>
      <c r="U14" s="1">
        <f t="shared" ca="1" si="14"/>
        <v>104</v>
      </c>
      <c r="V14" s="1">
        <f t="shared" ca="1" si="15"/>
        <v>24</v>
      </c>
      <c r="W14" s="1"/>
      <c r="X14" s="1">
        <f t="shared" ca="1" si="16"/>
        <v>2.308266949743691</v>
      </c>
      <c r="Y14" s="1">
        <f t="shared" ca="1" si="17"/>
        <v>0.16814205136256521</v>
      </c>
      <c r="Z14" s="1">
        <f t="shared" ca="1" si="18"/>
        <v>1544</v>
      </c>
      <c r="AB14" s="1">
        <f t="shared" ca="1" si="19"/>
        <v>0.98617816595741425</v>
      </c>
      <c r="AC14" s="1">
        <f t="shared" ca="1" si="20"/>
        <v>837</v>
      </c>
      <c r="AD14" s="1">
        <f t="shared" ca="1" si="21"/>
        <v>5.3549134974811407E-3</v>
      </c>
      <c r="AE14" s="1"/>
      <c r="AF14" s="1">
        <f t="shared" ca="1" si="22"/>
        <v>0.45749890478176369</v>
      </c>
      <c r="AG14" s="1">
        <f t="shared" ca="1" si="23"/>
        <v>195</v>
      </c>
      <c r="AH14" s="1">
        <f t="shared" ca="1" si="24"/>
        <v>1.9001272318023484E-4</v>
      </c>
      <c r="AJ14" s="1">
        <f t="shared" ca="1" si="25"/>
        <v>0.2599197920707863</v>
      </c>
      <c r="AK14" s="1">
        <f t="shared" ca="1" si="26"/>
        <v>5.1401347975429789E-3</v>
      </c>
      <c r="AL14" s="1"/>
      <c r="AM14" s="1">
        <f t="shared" ca="1" si="27"/>
        <v>4.2934744922242883E-2</v>
      </c>
      <c r="AN14" s="1">
        <f t="shared" ca="1" si="28"/>
        <v>45</v>
      </c>
      <c r="AO14" s="1">
        <f t="shared" ca="1" si="29"/>
        <v>8</v>
      </c>
      <c r="AQ14" s="1">
        <f t="shared" ca="1" si="30"/>
        <v>85</v>
      </c>
      <c r="AR14" s="1">
        <f t="shared" ca="1" si="31"/>
        <v>9</v>
      </c>
      <c r="AS14" s="1">
        <f t="shared" ca="1" si="32"/>
        <v>75</v>
      </c>
      <c r="AU14" s="1">
        <f t="shared" ca="1" si="33"/>
        <v>169</v>
      </c>
      <c r="AV14" s="1">
        <f t="shared" ca="1" si="34"/>
        <v>4</v>
      </c>
      <c r="AW14" s="1">
        <f t="shared" ca="1" si="35"/>
        <v>0.12214364984468588</v>
      </c>
      <c r="AY14" s="1">
        <f t="shared" ca="1" si="36"/>
        <v>1.6839540974168123</v>
      </c>
      <c r="AZ14" s="1">
        <f t="shared" ca="1" si="37"/>
        <v>418</v>
      </c>
      <c r="BA14" s="1">
        <f t="shared" ca="1" si="38"/>
        <v>6.932701472437618E-3</v>
      </c>
      <c r="BV14" s="1">
        <f t="shared" ca="1" si="39"/>
        <v>0.86280815503340169</v>
      </c>
      <c r="BW14" s="1">
        <f t="shared" ca="1" si="40"/>
        <v>947</v>
      </c>
      <c r="BX14" s="1">
        <f t="shared" ca="1" si="41"/>
        <v>5.7667932934987037E-3</v>
      </c>
      <c r="BY14" s="1">
        <f t="shared" ca="1" si="42"/>
        <v>9.7579760185832046E-2</v>
      </c>
      <c r="BZ14" s="1">
        <f t="shared" ca="1" si="43"/>
        <v>0.1030560466850472</v>
      </c>
      <c r="CB14" s="1">
        <f t="shared" ca="1" si="44"/>
        <v>272</v>
      </c>
      <c r="CC14" s="1">
        <f t="shared" ca="1" si="45"/>
        <v>14</v>
      </c>
      <c r="CD14" s="1">
        <f t="shared" ca="1" si="46"/>
        <v>0.28013608533985002</v>
      </c>
      <c r="CE14" s="1">
        <f t="shared" ca="1" si="47"/>
        <v>0.98666676429126166</v>
      </c>
      <c r="CF14" s="1">
        <f t="shared" ca="1" si="47"/>
        <v>0.86454426152428865</v>
      </c>
      <c r="CH14" s="3">
        <f t="shared" ca="1" si="48"/>
        <v>0.41422294198485171</v>
      </c>
      <c r="CI14" s="3">
        <f t="shared" ca="1" si="49"/>
        <v>0.72777624578183264</v>
      </c>
      <c r="CJ14" s="3">
        <f t="shared" ca="1" si="50"/>
        <v>271</v>
      </c>
      <c r="CK14" s="3">
        <f t="shared" ca="1" si="51"/>
        <v>7.9936400836009731E-3</v>
      </c>
      <c r="CL14" s="3">
        <f t="shared" ca="1" si="52"/>
        <v>0</v>
      </c>
      <c r="CM14" s="3"/>
      <c r="CN14" s="1">
        <f t="shared" ca="1" si="53"/>
        <v>8.4661727633296131</v>
      </c>
      <c r="CO14" s="1">
        <f t="shared" ca="1" si="54"/>
        <v>0.3577095540964409</v>
      </c>
      <c r="CP14" s="1">
        <f t="shared" ca="1" si="55"/>
        <v>1</v>
      </c>
      <c r="DH14" s="1">
        <f t="shared" ca="1" si="56"/>
        <v>131</v>
      </c>
      <c r="DI14" s="1">
        <f t="shared" ca="1" si="57"/>
        <v>0.41409801420482073</v>
      </c>
      <c r="DJ14" s="1">
        <f t="shared" ca="1" si="58"/>
        <v>5</v>
      </c>
      <c r="DL14" s="1">
        <f t="shared" ca="1" si="59"/>
        <v>0.13170070867173386</v>
      </c>
      <c r="DM14" s="1">
        <f t="shared" ca="1" si="60"/>
        <v>56</v>
      </c>
      <c r="DN14" s="1">
        <f t="shared" ca="1" si="61"/>
        <v>4</v>
      </c>
    </row>
    <row r="15" spans="2:121" x14ac:dyDescent="0.25">
      <c r="B15">
        <f t="shared" ca="1" si="0"/>
        <v>747</v>
      </c>
      <c r="C15">
        <f t="shared" ca="1" si="1"/>
        <v>52</v>
      </c>
      <c r="D15">
        <f t="shared" ca="1" si="2"/>
        <v>0.14015779352577468</v>
      </c>
      <c r="F15" s="1">
        <f t="shared" ca="1" si="3"/>
        <v>34</v>
      </c>
      <c r="G15" s="1">
        <f t="shared" ca="1" si="4"/>
        <v>11</v>
      </c>
      <c r="H15" s="1">
        <f t="shared" ca="1" si="5"/>
        <v>5</v>
      </c>
      <c r="I15" s="1"/>
      <c r="J15" s="1">
        <f t="shared" ca="1" si="6"/>
        <v>11</v>
      </c>
      <c r="K15" s="1">
        <f t="shared" ca="1" si="7"/>
        <v>2.1823441671611503</v>
      </c>
      <c r="L15" s="1">
        <f t="shared" ca="1" si="8"/>
        <v>19</v>
      </c>
      <c r="M15" s="1"/>
      <c r="N15" s="1">
        <f t="shared" ca="1" si="9"/>
        <v>24</v>
      </c>
      <c r="O15" s="1">
        <f t="shared" ca="1" si="10"/>
        <v>13</v>
      </c>
      <c r="P15" s="1"/>
      <c r="Q15" s="1">
        <f t="shared" ca="1" si="11"/>
        <v>2.1049268330171755</v>
      </c>
      <c r="R15" s="1">
        <f t="shared" ca="1" si="12"/>
        <v>1085</v>
      </c>
      <c r="S15" s="1"/>
      <c r="T15" s="1">
        <f t="shared" ca="1" si="13"/>
        <v>3.8543491051938064E-2</v>
      </c>
      <c r="U15" s="1">
        <f t="shared" ca="1" si="14"/>
        <v>122</v>
      </c>
      <c r="V15" s="1">
        <f t="shared" ca="1" si="15"/>
        <v>4</v>
      </c>
      <c r="W15" s="1"/>
      <c r="X15" s="1">
        <f t="shared" ca="1" si="16"/>
        <v>2.5292894121551672</v>
      </c>
      <c r="Y15" s="1">
        <f t="shared" ca="1" si="17"/>
        <v>0.68525524509336522</v>
      </c>
      <c r="Z15" s="1">
        <f t="shared" ca="1" si="18"/>
        <v>1069</v>
      </c>
      <c r="AB15" s="1">
        <f t="shared" ca="1" si="19"/>
        <v>0.60849480287871016</v>
      </c>
      <c r="AC15" s="1">
        <f t="shared" ca="1" si="20"/>
        <v>408</v>
      </c>
      <c r="AD15" s="1">
        <f t="shared" ca="1" si="21"/>
        <v>1.3361938412414999E-3</v>
      </c>
      <c r="AE15" s="1"/>
      <c r="AF15" s="1">
        <f t="shared" ca="1" si="22"/>
        <v>0.31889464619092744</v>
      </c>
      <c r="AG15" s="1">
        <f t="shared" ca="1" si="23"/>
        <v>586</v>
      </c>
      <c r="AH15" s="1">
        <f t="shared" ca="1" si="24"/>
        <v>4.7998748938883184E-3</v>
      </c>
      <c r="AJ15" s="1">
        <f t="shared" ca="1" si="25"/>
        <v>0.48954778972460011</v>
      </c>
      <c r="AK15" s="1">
        <f t="shared" ca="1" si="26"/>
        <v>3.9085664162336175E-3</v>
      </c>
      <c r="AL15" s="1"/>
      <c r="AM15" s="1">
        <f t="shared" ca="1" si="27"/>
        <v>0.12385747639713102</v>
      </c>
      <c r="AN15" s="1">
        <f t="shared" ca="1" si="28"/>
        <v>21</v>
      </c>
      <c r="AO15" s="1">
        <f t="shared" ca="1" si="29"/>
        <v>-1</v>
      </c>
      <c r="AQ15" s="1">
        <f t="shared" ca="1" si="30"/>
        <v>190</v>
      </c>
      <c r="AR15" s="1">
        <f t="shared" ca="1" si="31"/>
        <v>2</v>
      </c>
      <c r="AS15" s="1">
        <f t="shared" ca="1" si="32"/>
        <v>15</v>
      </c>
      <c r="AU15" s="1">
        <f t="shared" ca="1" si="33"/>
        <v>98</v>
      </c>
      <c r="AV15" s="1">
        <f t="shared" ca="1" si="34"/>
        <v>2</v>
      </c>
      <c r="AW15" s="1">
        <f t="shared" ca="1" si="35"/>
        <v>0.19290824784438027</v>
      </c>
      <c r="AY15" s="1">
        <f t="shared" ca="1" si="36"/>
        <v>1.3461024605806939</v>
      </c>
      <c r="AZ15" s="1">
        <f t="shared" ca="1" si="37"/>
        <v>154</v>
      </c>
      <c r="BA15" s="1">
        <f t="shared" ca="1" si="38"/>
        <v>3.5694672641027347E-3</v>
      </c>
      <c r="BV15" s="1">
        <f t="shared" ca="1" si="39"/>
        <v>0.22185450805107318</v>
      </c>
      <c r="BW15" s="1">
        <f t="shared" ca="1" si="40"/>
        <v>992</v>
      </c>
      <c r="BX15" s="1">
        <f t="shared" ca="1" si="41"/>
        <v>1.6906442030654148E-3</v>
      </c>
      <c r="BY15" s="1">
        <f t="shared" ca="1" si="42"/>
        <v>9.8714779919355927E-2</v>
      </c>
      <c r="BZ15" s="1">
        <f t="shared" ca="1" si="43"/>
        <v>0.40652215182810703</v>
      </c>
      <c r="CB15" s="1">
        <f t="shared" ca="1" si="44"/>
        <v>121</v>
      </c>
      <c r="CC15" s="1">
        <f t="shared" ca="1" si="45"/>
        <v>7</v>
      </c>
      <c r="CD15" s="1">
        <f t="shared" ca="1" si="46"/>
        <v>9.9001796547584495E-2</v>
      </c>
      <c r="CE15" s="1">
        <f t="shared" ca="1" si="47"/>
        <v>0.50559725576052317</v>
      </c>
      <c r="CF15" s="1">
        <f t="shared" ca="1" si="47"/>
        <v>0.92668924929428442</v>
      </c>
      <c r="CH15" s="3">
        <f t="shared" ca="1" si="48"/>
        <v>9.3320129260178936E-2</v>
      </c>
      <c r="CI15" s="3">
        <f t="shared" ca="1" si="49"/>
        <v>0.20648640191973922</v>
      </c>
      <c r="CJ15" s="3">
        <f t="shared" ca="1" si="50"/>
        <v>1780</v>
      </c>
      <c r="CK15" s="3">
        <f t="shared" ca="1" si="51"/>
        <v>3.28446510094281E-3</v>
      </c>
      <c r="CL15" s="3">
        <f t="shared" ca="1" si="52"/>
        <v>1</v>
      </c>
      <c r="CM15" s="3"/>
      <c r="CN15" s="1">
        <f t="shared" ca="1" si="53"/>
        <v>2.9951617003297355</v>
      </c>
      <c r="CO15" s="1">
        <f t="shared" ca="1" si="54"/>
        <v>0.38020881476963014</v>
      </c>
      <c r="CP15" s="1">
        <f t="shared" ca="1" si="55"/>
        <v>5</v>
      </c>
      <c r="DH15" s="1">
        <f t="shared" ca="1" si="56"/>
        <v>532</v>
      </c>
      <c r="DI15" s="1">
        <f t="shared" ca="1" si="57"/>
        <v>0.71548667622325379</v>
      </c>
      <c r="DJ15" s="1">
        <f t="shared" ca="1" si="58"/>
        <v>4</v>
      </c>
      <c r="DL15" s="1">
        <f t="shared" ca="1" si="59"/>
        <v>1.0578033327958416E-2</v>
      </c>
      <c r="DM15" s="1">
        <f t="shared" ca="1" si="60"/>
        <v>271</v>
      </c>
      <c r="DN15" s="1">
        <f t="shared" ca="1" si="61"/>
        <v>2</v>
      </c>
    </row>
    <row r="16" spans="2:121" x14ac:dyDescent="0.25">
      <c r="B16">
        <f t="shared" ca="1" si="0"/>
        <v>533</v>
      </c>
      <c r="C16">
        <f t="shared" ca="1" si="1"/>
        <v>47</v>
      </c>
      <c r="D16">
        <f t="shared" ca="1" si="2"/>
        <v>0.29478499586006018</v>
      </c>
      <c r="F16" s="1">
        <f t="shared" ca="1" si="3"/>
        <v>11</v>
      </c>
      <c r="G16" s="1">
        <f t="shared" ca="1" si="4"/>
        <v>11</v>
      </c>
      <c r="H16" s="1">
        <f t="shared" ca="1" si="5"/>
        <v>1</v>
      </c>
      <c r="I16" s="1"/>
      <c r="J16" s="1">
        <f t="shared" ca="1" si="6"/>
        <v>36</v>
      </c>
      <c r="K16" s="1">
        <f t="shared" ca="1" si="7"/>
        <v>2.6269887119716024</v>
      </c>
      <c r="L16" s="1">
        <f t="shared" ca="1" si="8"/>
        <v>3</v>
      </c>
      <c r="M16" s="1"/>
      <c r="N16" s="1">
        <f t="shared" ca="1" si="9"/>
        <v>623</v>
      </c>
      <c r="O16" s="1">
        <f t="shared" ca="1" si="10"/>
        <v>8</v>
      </c>
      <c r="P16" s="1"/>
      <c r="Q16" s="1">
        <f t="shared" ca="1" si="11"/>
        <v>3.9539197043162124</v>
      </c>
      <c r="R16" s="1">
        <f t="shared" ca="1" si="12"/>
        <v>281</v>
      </c>
      <c r="S16" s="1"/>
      <c r="T16" s="1">
        <f t="shared" ca="1" si="13"/>
        <v>0.19460897158579032</v>
      </c>
      <c r="U16" s="1">
        <f t="shared" ca="1" si="14"/>
        <v>216</v>
      </c>
      <c r="V16" s="1">
        <f t="shared" ca="1" si="15"/>
        <v>40</v>
      </c>
      <c r="W16" s="1"/>
      <c r="X16" s="1">
        <f t="shared" ca="1" si="16"/>
        <v>0.91720538416480368</v>
      </c>
      <c r="Y16" s="1">
        <f t="shared" ca="1" si="17"/>
        <v>0.43050605142838849</v>
      </c>
      <c r="Z16" s="1">
        <f t="shared" ca="1" si="18"/>
        <v>1204</v>
      </c>
      <c r="AB16" s="1">
        <f t="shared" ca="1" si="19"/>
        <v>0.46341617215193942</v>
      </c>
      <c r="AC16" s="1">
        <f t="shared" ca="1" si="20"/>
        <v>587</v>
      </c>
      <c r="AD16" s="1">
        <f t="shared" ca="1" si="21"/>
        <v>8.5409098558682558E-3</v>
      </c>
      <c r="AE16" s="1"/>
      <c r="AF16" s="1">
        <f t="shared" ca="1" si="22"/>
        <v>0.3915194824670476</v>
      </c>
      <c r="AG16" s="1">
        <f t="shared" ca="1" si="23"/>
        <v>385</v>
      </c>
      <c r="AH16" s="1">
        <f t="shared" ca="1" si="24"/>
        <v>6.6417168080227986E-4</v>
      </c>
      <c r="AJ16" s="1">
        <f t="shared" ca="1" si="25"/>
        <v>0.12258089023955987</v>
      </c>
      <c r="AK16" s="1">
        <f t="shared" ca="1" si="26"/>
        <v>1.420947250113442E-3</v>
      </c>
      <c r="AL16" s="1"/>
      <c r="AM16" s="1">
        <f t="shared" ca="1" si="27"/>
        <v>0.16231629469226</v>
      </c>
      <c r="AN16" s="1">
        <f t="shared" ca="1" si="28"/>
        <v>73</v>
      </c>
      <c r="AO16" s="1">
        <f t="shared" ca="1" si="29"/>
        <v>0</v>
      </c>
      <c r="AQ16" s="1">
        <f t="shared" ca="1" si="30"/>
        <v>148</v>
      </c>
      <c r="AR16" s="1">
        <f t="shared" ca="1" si="31"/>
        <v>0</v>
      </c>
      <c r="AS16" s="1">
        <f t="shared" ca="1" si="32"/>
        <v>49</v>
      </c>
      <c r="AU16" s="1">
        <f t="shared" ca="1" si="33"/>
        <v>400</v>
      </c>
      <c r="AV16" s="1">
        <f t="shared" ca="1" si="34"/>
        <v>9</v>
      </c>
      <c r="AW16" s="1">
        <f t="shared" ca="1" si="35"/>
        <v>7.1859913633411085E-2</v>
      </c>
      <c r="AY16" s="1">
        <f t="shared" ca="1" si="36"/>
        <v>1.3538635176711413</v>
      </c>
      <c r="AZ16" s="1">
        <f t="shared" ca="1" si="37"/>
        <v>425</v>
      </c>
      <c r="BA16" s="1">
        <f t="shared" ca="1" si="38"/>
        <v>8.3020904709691992E-3</v>
      </c>
      <c r="BV16" s="1">
        <f t="shared" ca="1" si="39"/>
        <v>0.9067530289098954</v>
      </c>
      <c r="BW16" s="1">
        <f t="shared" ca="1" si="40"/>
        <v>476</v>
      </c>
      <c r="BX16" s="1">
        <f t="shared" ca="1" si="41"/>
        <v>6.6597134061419875E-3</v>
      </c>
      <c r="BY16" s="1">
        <f t="shared" ca="1" si="42"/>
        <v>4.3063402810298503E-2</v>
      </c>
      <c r="BZ16" s="1">
        <f t="shared" ca="1" si="43"/>
        <v>0.68056201899059843</v>
      </c>
      <c r="CB16" s="1">
        <f t="shared" ca="1" si="44"/>
        <v>273</v>
      </c>
      <c r="CC16" s="1">
        <f t="shared" ca="1" si="45"/>
        <v>14</v>
      </c>
      <c r="CD16" s="1">
        <f t="shared" ca="1" si="46"/>
        <v>0.19871609173566038</v>
      </c>
      <c r="CE16" s="1">
        <f t="shared" ca="1" si="47"/>
        <v>0.96095539864868584</v>
      </c>
      <c r="CF16" s="1">
        <f t="shared" ca="1" si="47"/>
        <v>0.84031271708498356</v>
      </c>
      <c r="CH16" s="3">
        <f t="shared" ca="1" si="48"/>
        <v>0.52051676514641887</v>
      </c>
      <c r="CI16" s="3">
        <f t="shared" ca="1" si="49"/>
        <v>0.32868633445112011</v>
      </c>
      <c r="CJ16" s="3">
        <f t="shared" ca="1" si="50"/>
        <v>1221</v>
      </c>
      <c r="CK16" s="3">
        <f t="shared" ca="1" si="51"/>
        <v>3.1457387219004937E-3</v>
      </c>
      <c r="CL16" s="3">
        <f t="shared" ca="1" si="52"/>
        <v>1</v>
      </c>
      <c r="CM16" s="3"/>
      <c r="CN16" s="1">
        <f t="shared" ca="1" si="53"/>
        <v>6.3299914387391762</v>
      </c>
      <c r="CO16" s="1">
        <f t="shared" ca="1" si="54"/>
        <v>0.25468487855923161</v>
      </c>
      <c r="CP16" s="1">
        <f t="shared" ca="1" si="55"/>
        <v>5</v>
      </c>
      <c r="DH16" s="1">
        <f t="shared" ca="1" si="56"/>
        <v>629</v>
      </c>
      <c r="DI16" s="1">
        <f t="shared" ca="1" si="57"/>
        <v>0.46645012359243865</v>
      </c>
      <c r="DJ16" s="1">
        <f t="shared" ca="1" si="58"/>
        <v>28</v>
      </c>
      <c r="DL16" s="1">
        <f t="shared" ca="1" si="59"/>
        <v>0.16566603832810481</v>
      </c>
      <c r="DM16" s="1">
        <f t="shared" ca="1" si="60"/>
        <v>107</v>
      </c>
      <c r="DN16" s="1">
        <f t="shared" ca="1" si="61"/>
        <v>6</v>
      </c>
    </row>
    <row r="17" spans="2:118" x14ac:dyDescent="0.25">
      <c r="B17">
        <f t="shared" ca="1" si="0"/>
        <v>395</v>
      </c>
      <c r="C17">
        <f t="shared" ca="1" si="1"/>
        <v>11</v>
      </c>
      <c r="D17">
        <f t="shared" ca="1" si="2"/>
        <v>3.4522756671329251E-2</v>
      </c>
      <c r="F17" s="1">
        <f t="shared" ca="1" si="3"/>
        <v>47</v>
      </c>
      <c r="G17" s="1">
        <f t="shared" ca="1" si="4"/>
        <v>9</v>
      </c>
      <c r="H17" s="1">
        <f t="shared" ca="1" si="5"/>
        <v>3</v>
      </c>
      <c r="I17" s="1"/>
      <c r="J17" s="1">
        <f t="shared" ca="1" si="6"/>
        <v>12</v>
      </c>
      <c r="K17" s="1">
        <f t="shared" ca="1" si="7"/>
        <v>1.1968996197636517</v>
      </c>
      <c r="L17" s="1">
        <f t="shared" ca="1" si="8"/>
        <v>18</v>
      </c>
      <c r="M17" s="1"/>
      <c r="N17" s="1">
        <f t="shared" ca="1" si="9"/>
        <v>283</v>
      </c>
      <c r="O17" s="1">
        <f t="shared" ca="1" si="10"/>
        <v>8</v>
      </c>
      <c r="P17" s="1"/>
      <c r="Q17" s="1">
        <f t="shared" ca="1" si="11"/>
        <v>1.1709372245237715</v>
      </c>
      <c r="R17" s="1">
        <f t="shared" ca="1" si="12"/>
        <v>1188</v>
      </c>
      <c r="S17" s="1"/>
      <c r="T17" s="1">
        <f t="shared" ca="1" si="13"/>
        <v>6.885182779032778E-2</v>
      </c>
      <c r="U17" s="1">
        <f t="shared" ca="1" si="14"/>
        <v>180</v>
      </c>
      <c r="V17" s="1">
        <f t="shared" ca="1" si="15"/>
        <v>47</v>
      </c>
      <c r="W17" s="1"/>
      <c r="X17" s="1">
        <f t="shared" ca="1" si="16"/>
        <v>8.3097093852249664</v>
      </c>
      <c r="Y17" s="1">
        <f t="shared" ca="1" si="17"/>
        <v>4.5322890942871237E-2</v>
      </c>
      <c r="Z17" s="1">
        <f t="shared" ca="1" si="18"/>
        <v>650</v>
      </c>
      <c r="AB17" s="1">
        <f t="shared" ca="1" si="19"/>
        <v>0.28657081553823538</v>
      </c>
      <c r="AC17" s="1">
        <f t="shared" ca="1" si="20"/>
        <v>379</v>
      </c>
      <c r="AD17" s="1">
        <f t="shared" ca="1" si="21"/>
        <v>4.0578511316893082E-3</v>
      </c>
      <c r="AE17" s="1"/>
      <c r="AF17" s="1">
        <f t="shared" ca="1" si="22"/>
        <v>0.85243293827292399</v>
      </c>
      <c r="AG17" s="1">
        <f t="shared" ca="1" si="23"/>
        <v>831</v>
      </c>
      <c r="AH17" s="1">
        <f t="shared" ca="1" si="24"/>
        <v>5.3493252337136624E-3</v>
      </c>
      <c r="AJ17" s="1">
        <f t="shared" ca="1" si="25"/>
        <v>0.91834460050972377</v>
      </c>
      <c r="AK17" s="1">
        <f t="shared" ca="1" si="26"/>
        <v>4.4946099957033905E-3</v>
      </c>
      <c r="AL17" s="1"/>
      <c r="AM17" s="1">
        <f t="shared" ca="1" si="27"/>
        <v>5.0692233079983155E-2</v>
      </c>
      <c r="AN17" s="1">
        <f t="shared" ca="1" si="28"/>
        <v>72</v>
      </c>
      <c r="AO17" s="1">
        <f t="shared" ca="1" si="29"/>
        <v>-1</v>
      </c>
      <c r="AQ17" s="1">
        <f t="shared" ca="1" si="30"/>
        <v>126</v>
      </c>
      <c r="AR17" s="1">
        <f t="shared" ca="1" si="31"/>
        <v>2</v>
      </c>
      <c r="AS17" s="1">
        <f t="shared" ca="1" si="32"/>
        <v>73</v>
      </c>
      <c r="AU17" s="1">
        <f t="shared" ca="1" si="33"/>
        <v>295</v>
      </c>
      <c r="AV17" s="1">
        <f t="shared" ca="1" si="34"/>
        <v>5</v>
      </c>
      <c r="AW17" s="1">
        <f t="shared" ca="1" si="35"/>
        <v>0.16110793297570433</v>
      </c>
      <c r="AY17" s="1">
        <f t="shared" ca="1" si="36"/>
        <v>1.8182241803323254</v>
      </c>
      <c r="AZ17" s="1">
        <f t="shared" ca="1" si="37"/>
        <v>496</v>
      </c>
      <c r="BA17" s="1">
        <f t="shared" ca="1" si="38"/>
        <v>6.1211564813094376E-3</v>
      </c>
      <c r="BV17" s="1">
        <f t="shared" ca="1" si="39"/>
        <v>0.32636658300017596</v>
      </c>
      <c r="BW17" s="1">
        <f t="shared" ca="1" si="40"/>
        <v>431</v>
      </c>
      <c r="BX17" s="1">
        <f t="shared" ca="1" si="41"/>
        <v>3.8636461584287481E-3</v>
      </c>
      <c r="BY17" s="1">
        <f t="shared" ca="1" si="42"/>
        <v>3.7335203205265108E-2</v>
      </c>
      <c r="BZ17" s="1">
        <f t="shared" ca="1" si="43"/>
        <v>0.38947292393867439</v>
      </c>
      <c r="CB17" s="1">
        <f t="shared" ca="1" si="44"/>
        <v>334</v>
      </c>
      <c r="CC17" s="1">
        <f t="shared" ca="1" si="45"/>
        <v>3</v>
      </c>
      <c r="CD17" s="1">
        <f t="shared" ca="1" si="46"/>
        <v>0.12204367453845784</v>
      </c>
      <c r="CE17" s="1">
        <f t="shared" ca="1" si="47"/>
        <v>0.96318122498950176</v>
      </c>
      <c r="CF17" s="1">
        <f t="shared" ca="1" si="47"/>
        <v>0.52831059549566683</v>
      </c>
      <c r="CH17" s="3">
        <f t="shared" ca="1" si="48"/>
        <v>0.49144278738656777</v>
      </c>
      <c r="CI17" s="3">
        <f t="shared" ca="1" si="49"/>
        <v>0.72337363016065082</v>
      </c>
      <c r="CJ17" s="3">
        <f t="shared" ca="1" si="50"/>
        <v>1021</v>
      </c>
      <c r="CK17" s="3">
        <f t="shared" ca="1" si="51"/>
        <v>5.7510086428173594E-3</v>
      </c>
      <c r="CL17" s="3">
        <f t="shared" ca="1" si="52"/>
        <v>1</v>
      </c>
      <c r="CM17" s="3"/>
      <c r="CN17" s="1">
        <f t="shared" ca="1" si="53"/>
        <v>16.442148116212245</v>
      </c>
      <c r="CO17" s="1">
        <f t="shared" ca="1" si="54"/>
        <v>0.44272292774170641</v>
      </c>
      <c r="CP17" s="1">
        <f t="shared" ca="1" si="55"/>
        <v>1</v>
      </c>
      <c r="DH17" s="1">
        <f t="shared" ca="1" si="56"/>
        <v>595</v>
      </c>
      <c r="DI17" s="1">
        <f t="shared" ca="1" si="57"/>
        <v>0.80401748658676142</v>
      </c>
      <c r="DJ17" s="1">
        <f t="shared" ca="1" si="58"/>
        <v>9</v>
      </c>
      <c r="DL17" s="1">
        <f t="shared" ca="1" si="59"/>
        <v>4.3011502966833301E-2</v>
      </c>
      <c r="DM17" s="1">
        <f t="shared" ca="1" si="60"/>
        <v>138</v>
      </c>
      <c r="DN17" s="1">
        <f t="shared" ca="1" si="61"/>
        <v>10</v>
      </c>
    </row>
    <row r="18" spans="2:118" x14ac:dyDescent="0.25">
      <c r="B18">
        <f t="shared" ca="1" si="0"/>
        <v>978</v>
      </c>
      <c r="C18">
        <f t="shared" ca="1" si="1"/>
        <v>43</v>
      </c>
      <c r="D18">
        <f t="shared" ca="1" si="2"/>
        <v>0.19758795237920451</v>
      </c>
      <c r="F18" s="1">
        <f t="shared" ca="1" si="3"/>
        <v>15</v>
      </c>
      <c r="G18" s="1">
        <f t="shared" ca="1" si="4"/>
        <v>11</v>
      </c>
      <c r="H18" s="1">
        <f t="shared" ca="1" si="5"/>
        <v>3</v>
      </c>
      <c r="I18" s="1"/>
      <c r="J18" s="1">
        <f t="shared" ca="1" si="6"/>
        <v>10</v>
      </c>
      <c r="K18" s="1">
        <f t="shared" ca="1" si="7"/>
        <v>1.3462015421041509</v>
      </c>
      <c r="L18" s="1">
        <f t="shared" ca="1" si="8"/>
        <v>4</v>
      </c>
      <c r="M18" s="1"/>
      <c r="N18" s="1">
        <f t="shared" ca="1" si="9"/>
        <v>120</v>
      </c>
      <c r="O18" s="1">
        <f t="shared" ca="1" si="10"/>
        <v>41</v>
      </c>
      <c r="P18" s="1"/>
      <c r="Q18" s="1">
        <f t="shared" ca="1" si="11"/>
        <v>1.503214652605579</v>
      </c>
      <c r="R18" s="1">
        <f t="shared" ca="1" si="12"/>
        <v>564</v>
      </c>
      <c r="S18" s="1"/>
      <c r="T18" s="1">
        <f t="shared" ca="1" si="13"/>
        <v>8.6775889989561886E-2</v>
      </c>
      <c r="U18" s="1">
        <f t="shared" ca="1" si="14"/>
        <v>401</v>
      </c>
      <c r="V18" s="1">
        <f t="shared" ca="1" si="15"/>
        <v>20</v>
      </c>
      <c r="W18" s="1"/>
      <c r="X18" s="1">
        <f t="shared" ca="1" si="16"/>
        <v>8.5091741440700641</v>
      </c>
      <c r="Y18" s="1">
        <f t="shared" ca="1" si="17"/>
        <v>0.29300812514296787</v>
      </c>
      <c r="Z18" s="1">
        <f t="shared" ca="1" si="18"/>
        <v>1081</v>
      </c>
      <c r="AB18" s="1">
        <f t="shared" ca="1" si="19"/>
        <v>0.72123844385683866</v>
      </c>
      <c r="AC18" s="1">
        <f t="shared" ca="1" si="20"/>
        <v>154</v>
      </c>
      <c r="AD18" s="1">
        <f t="shared" ca="1" si="21"/>
        <v>7.559972859246129E-3</v>
      </c>
      <c r="AE18" s="1"/>
      <c r="AF18" s="1">
        <f t="shared" ca="1" si="22"/>
        <v>0.5415072615548947</v>
      </c>
      <c r="AG18" s="1">
        <f t="shared" ca="1" si="23"/>
        <v>995</v>
      </c>
      <c r="AH18" s="1">
        <f t="shared" ca="1" si="24"/>
        <v>4.756726936690929E-3</v>
      </c>
      <c r="AJ18" s="1">
        <f t="shared" ca="1" si="25"/>
        <v>0.68094336437197123</v>
      </c>
      <c r="AK18" s="1">
        <f t="shared" ca="1" si="26"/>
        <v>5.1160569247600399E-4</v>
      </c>
      <c r="AL18" s="1"/>
      <c r="AM18" s="1">
        <f t="shared" ca="1" si="27"/>
        <v>0.16110582194125808</v>
      </c>
      <c r="AN18" s="1">
        <f t="shared" ca="1" si="28"/>
        <v>55</v>
      </c>
      <c r="AO18" s="1">
        <f t="shared" ca="1" si="29"/>
        <v>5</v>
      </c>
      <c r="AQ18" s="1">
        <f t="shared" ca="1" si="30"/>
        <v>89</v>
      </c>
      <c r="AR18" s="1">
        <f t="shared" ca="1" si="31"/>
        <v>7</v>
      </c>
      <c r="AS18" s="1">
        <f t="shared" ca="1" si="32"/>
        <v>10</v>
      </c>
      <c r="AU18" s="1">
        <f t="shared" ca="1" si="33"/>
        <v>190</v>
      </c>
      <c r="AV18" s="1">
        <f t="shared" ca="1" si="34"/>
        <v>9</v>
      </c>
      <c r="AW18" s="1">
        <f t="shared" ca="1" si="35"/>
        <v>0.18072603789878011</v>
      </c>
      <c r="AY18" s="1">
        <f t="shared" ca="1" si="36"/>
        <v>1.1051033203848479</v>
      </c>
      <c r="AZ18" s="1">
        <f t="shared" ca="1" si="37"/>
        <v>464</v>
      </c>
      <c r="BA18" s="1">
        <f t="shared" ca="1" si="38"/>
        <v>2.5158575740796938E-3</v>
      </c>
      <c r="BV18" s="1">
        <f t="shared" ca="1" si="39"/>
        <v>0.67586359174413491</v>
      </c>
      <c r="BW18" s="1">
        <f t="shared" ca="1" si="40"/>
        <v>106</v>
      </c>
      <c r="BX18" s="1">
        <f t="shared" ca="1" si="41"/>
        <v>4.4204739179426198E-3</v>
      </c>
      <c r="BY18" s="1">
        <f t="shared" ca="1" si="42"/>
        <v>7.9375667155607774E-2</v>
      </c>
      <c r="BZ18" s="1">
        <f t="shared" ca="1" si="43"/>
        <v>0.61421470273194889</v>
      </c>
      <c r="CB18" s="1">
        <f t="shared" ca="1" si="44"/>
        <v>478</v>
      </c>
      <c r="CC18" s="1">
        <f t="shared" ca="1" si="45"/>
        <v>12</v>
      </c>
      <c r="CD18" s="1">
        <f t="shared" ca="1" si="46"/>
        <v>0.11286971820106635</v>
      </c>
      <c r="CE18" s="1">
        <f t="shared" ca="1" si="47"/>
        <v>0.95361776514104002</v>
      </c>
      <c r="CF18" s="1">
        <f t="shared" ca="1" si="47"/>
        <v>0.9437891534110151</v>
      </c>
      <c r="CH18" s="3">
        <f t="shared" ca="1" si="48"/>
        <v>0.63804050415318414</v>
      </c>
      <c r="CI18" s="3">
        <f t="shared" ca="1" si="49"/>
        <v>0.62187087014179632</v>
      </c>
      <c r="CJ18" s="3">
        <f t="shared" ca="1" si="50"/>
        <v>152</v>
      </c>
      <c r="CK18" s="3">
        <f t="shared" ca="1" si="51"/>
        <v>8.1960208572574543E-3</v>
      </c>
      <c r="CL18" s="3">
        <f t="shared" ca="1" si="52"/>
        <v>0</v>
      </c>
      <c r="CM18" s="3"/>
      <c r="CN18" s="1">
        <f t="shared" ca="1" si="53"/>
        <v>3.2196582887134402</v>
      </c>
      <c r="CO18" s="1">
        <f t="shared" ca="1" si="54"/>
        <v>0.42541271042569329</v>
      </c>
      <c r="CP18" s="1">
        <f t="shared" ca="1" si="55"/>
        <v>2</v>
      </c>
      <c r="DH18" s="1">
        <f t="shared" ca="1" si="56"/>
        <v>232</v>
      </c>
      <c r="DI18" s="1">
        <f t="shared" ca="1" si="57"/>
        <v>0.89890218839285474</v>
      </c>
      <c r="DJ18" s="1">
        <f t="shared" ca="1" si="58"/>
        <v>12</v>
      </c>
      <c r="DL18" s="1">
        <f t="shared" ca="1" si="59"/>
        <v>0.1744490270588514</v>
      </c>
      <c r="DM18" s="1">
        <f t="shared" ca="1" si="60"/>
        <v>219</v>
      </c>
      <c r="DN18" s="1">
        <f t="shared" ca="1" si="61"/>
        <v>2</v>
      </c>
    </row>
    <row r="19" spans="2:118" x14ac:dyDescent="0.25">
      <c r="B19">
        <f t="shared" ca="1" si="0"/>
        <v>942</v>
      </c>
      <c r="C19">
        <f t="shared" ca="1" si="1"/>
        <v>17</v>
      </c>
      <c r="D19">
        <f t="shared" ca="1" si="2"/>
        <v>0.22512655168007217</v>
      </c>
      <c r="F19" s="1">
        <f t="shared" ca="1" si="3"/>
        <v>14</v>
      </c>
      <c r="G19" s="1">
        <f t="shared" ca="1" si="4"/>
        <v>11</v>
      </c>
      <c r="H19" s="1">
        <f t="shared" ca="1" si="5"/>
        <v>1</v>
      </c>
      <c r="I19" s="1"/>
      <c r="J19" s="1">
        <f t="shared" ca="1" si="6"/>
        <v>12</v>
      </c>
      <c r="K19" s="1">
        <f t="shared" ca="1" si="7"/>
        <v>2.5504106534276647</v>
      </c>
      <c r="L19" s="1">
        <f t="shared" ca="1" si="8"/>
        <v>27</v>
      </c>
      <c r="M19" s="1"/>
      <c r="N19" s="1">
        <f t="shared" ca="1" si="9"/>
        <v>205</v>
      </c>
      <c r="O19" s="1">
        <f t="shared" ca="1" si="10"/>
        <v>10</v>
      </c>
      <c r="P19" s="1"/>
      <c r="Q19" s="1">
        <f t="shared" ca="1" si="11"/>
        <v>1.2054253575002316</v>
      </c>
      <c r="R19" s="1">
        <f t="shared" ca="1" si="12"/>
        <v>547</v>
      </c>
      <c r="S19" s="1"/>
      <c r="T19" s="1">
        <f t="shared" ca="1" si="13"/>
        <v>6.9500381964851574E-2</v>
      </c>
      <c r="U19" s="1">
        <f t="shared" ca="1" si="14"/>
        <v>83</v>
      </c>
      <c r="V19" s="1">
        <f t="shared" ca="1" si="15"/>
        <v>10</v>
      </c>
      <c r="W19" s="1"/>
      <c r="X19" s="1">
        <f t="shared" ca="1" si="16"/>
        <v>3.8254791744885472</v>
      </c>
      <c r="Y19" s="1">
        <f t="shared" ca="1" si="17"/>
        <v>0.41095763216511583</v>
      </c>
      <c r="Z19" s="1">
        <f t="shared" ca="1" si="18"/>
        <v>1552</v>
      </c>
      <c r="AB19" s="1">
        <f t="shared" ca="1" si="19"/>
        <v>0.18540549880314042</v>
      </c>
      <c r="AC19" s="1">
        <f t="shared" ca="1" si="20"/>
        <v>253</v>
      </c>
      <c r="AD19" s="1">
        <f t="shared" ca="1" si="21"/>
        <v>4.9616617016897072E-3</v>
      </c>
      <c r="AE19" s="1"/>
      <c r="AF19" s="1">
        <f t="shared" ca="1" si="22"/>
        <v>0.15421985868784277</v>
      </c>
      <c r="AG19" s="1">
        <f t="shared" ca="1" si="23"/>
        <v>184</v>
      </c>
      <c r="AH19" s="1">
        <f t="shared" ca="1" si="24"/>
        <v>5.6282459007396037E-5</v>
      </c>
      <c r="AJ19" s="1">
        <f t="shared" ca="1" si="25"/>
        <v>0.74947564815941692</v>
      </c>
      <c r="AK19" s="1">
        <f t="shared" ca="1" si="26"/>
        <v>4.3646704181351048E-3</v>
      </c>
      <c r="AL19" s="1"/>
      <c r="AM19" s="1">
        <f t="shared" ca="1" si="27"/>
        <v>9.1752003335297219E-2</v>
      </c>
      <c r="AN19" s="1">
        <f t="shared" ca="1" si="28"/>
        <v>63</v>
      </c>
      <c r="AO19" s="1">
        <f t="shared" ca="1" si="29"/>
        <v>3</v>
      </c>
      <c r="AQ19" s="1">
        <f t="shared" ca="1" si="30"/>
        <v>85</v>
      </c>
      <c r="AR19" s="1">
        <f t="shared" ca="1" si="31"/>
        <v>2</v>
      </c>
      <c r="AS19" s="1">
        <f t="shared" ca="1" si="32"/>
        <v>37</v>
      </c>
      <c r="AU19" s="1">
        <f t="shared" ca="1" si="33"/>
        <v>173</v>
      </c>
      <c r="AV19" s="1">
        <f t="shared" ca="1" si="34"/>
        <v>4</v>
      </c>
      <c r="AW19" s="1">
        <f t="shared" ca="1" si="35"/>
        <v>0.13214920555212195</v>
      </c>
      <c r="AY19" s="1">
        <f t="shared" ca="1" si="36"/>
        <v>1.1369258039460131</v>
      </c>
      <c r="AZ19" s="1">
        <f t="shared" ca="1" si="37"/>
        <v>80</v>
      </c>
      <c r="BA19" s="1">
        <f t="shared" ca="1" si="38"/>
        <v>5.5260218684073344E-4</v>
      </c>
      <c r="BV19" s="1">
        <f t="shared" ca="1" si="39"/>
        <v>0.98288430445351183</v>
      </c>
      <c r="BW19" s="1">
        <f t="shared" ca="1" si="40"/>
        <v>185</v>
      </c>
      <c r="BX19" s="1">
        <f t="shared" ca="1" si="41"/>
        <v>7.5315812655867946E-3</v>
      </c>
      <c r="BY19" s="1">
        <f t="shared" ca="1" si="42"/>
        <v>1.814146372443904E-2</v>
      </c>
      <c r="BZ19" s="1">
        <f t="shared" ca="1" si="43"/>
        <v>0.94267306365321957</v>
      </c>
      <c r="CB19" s="1">
        <f t="shared" ca="1" si="44"/>
        <v>425</v>
      </c>
      <c r="CC19" s="1">
        <f t="shared" ca="1" si="45"/>
        <v>4</v>
      </c>
      <c r="CD19" s="1">
        <f t="shared" ca="1" si="46"/>
        <v>0.17776398714154074</v>
      </c>
      <c r="CE19" s="1">
        <f t="shared" ca="1" si="47"/>
        <v>0.85296260191561557</v>
      </c>
      <c r="CF19" s="1">
        <f t="shared" ca="1" si="47"/>
        <v>0.81172261721443417</v>
      </c>
      <c r="CH19" s="3">
        <f t="shared" ca="1" si="48"/>
        <v>0.38529965908707059</v>
      </c>
      <c r="CI19" s="3">
        <f t="shared" ca="1" si="49"/>
        <v>2.120687108688948E-2</v>
      </c>
      <c r="CJ19" s="3">
        <f t="shared" ca="1" si="50"/>
        <v>1454</v>
      </c>
      <c r="CK19" s="3">
        <f t="shared" ca="1" si="51"/>
        <v>5.4047573026518546E-3</v>
      </c>
      <c r="CL19" s="3">
        <f t="shared" ca="1" si="52"/>
        <v>0</v>
      </c>
      <c r="CM19" s="3"/>
      <c r="CN19" s="1">
        <f t="shared" ca="1" si="53"/>
        <v>2.5068219557638831</v>
      </c>
      <c r="CO19" s="1">
        <f t="shared" ca="1" si="54"/>
        <v>3.4175756777606286E-2</v>
      </c>
      <c r="CP19" s="1">
        <f t="shared" ca="1" si="55"/>
        <v>1</v>
      </c>
      <c r="DH19" s="1">
        <f t="shared" ca="1" si="56"/>
        <v>562</v>
      </c>
      <c r="DI19" s="1">
        <f t="shared" ca="1" si="57"/>
        <v>0.25362232962881237</v>
      </c>
      <c r="DJ19" s="1">
        <f t="shared" ca="1" si="58"/>
        <v>2</v>
      </c>
      <c r="DL19" s="1">
        <f t="shared" ca="1" si="59"/>
        <v>0.17234425211527316</v>
      </c>
      <c r="DM19" s="1">
        <f t="shared" ca="1" si="60"/>
        <v>255</v>
      </c>
      <c r="DN19" s="1">
        <f t="shared" ca="1" si="61"/>
        <v>9</v>
      </c>
    </row>
    <row r="20" spans="2:118" x14ac:dyDescent="0.25">
      <c r="B20">
        <f t="shared" ca="1" si="0"/>
        <v>892</v>
      </c>
      <c r="C20">
        <f t="shared" ca="1" si="1"/>
        <v>16</v>
      </c>
      <c r="D20">
        <f t="shared" ca="1" si="2"/>
        <v>0.15518663000823554</v>
      </c>
      <c r="F20" s="1">
        <f t="shared" ca="1" si="3"/>
        <v>39</v>
      </c>
      <c r="G20" s="1">
        <f t="shared" ca="1" si="4"/>
        <v>26</v>
      </c>
      <c r="H20" s="1">
        <f t="shared" ca="1" si="5"/>
        <v>15</v>
      </c>
      <c r="I20" s="1"/>
      <c r="J20" s="1">
        <f t="shared" ca="1" si="6"/>
        <v>1</v>
      </c>
      <c r="K20" s="1">
        <f t="shared" ca="1" si="7"/>
        <v>1.3538528362305475</v>
      </c>
      <c r="L20" s="1">
        <f t="shared" ca="1" si="8"/>
        <v>15</v>
      </c>
      <c r="M20" s="1"/>
      <c r="N20" s="1">
        <f t="shared" ca="1" si="9"/>
        <v>452</v>
      </c>
      <c r="O20" s="1">
        <f t="shared" ca="1" si="10"/>
        <v>32</v>
      </c>
      <c r="P20" s="1"/>
      <c r="Q20" s="1">
        <f t="shared" ca="1" si="11"/>
        <v>4.6978022316830401</v>
      </c>
      <c r="R20" s="1">
        <f t="shared" ca="1" si="12"/>
        <v>785</v>
      </c>
      <c r="S20" s="1"/>
      <c r="T20" s="1">
        <f t="shared" ca="1" si="13"/>
        <v>9.5502693757356316E-2</v>
      </c>
      <c r="U20" s="1">
        <f t="shared" ca="1" si="14"/>
        <v>383</v>
      </c>
      <c r="V20" s="1">
        <f t="shared" ca="1" si="15"/>
        <v>24</v>
      </c>
      <c r="W20" s="1"/>
      <c r="X20" s="1">
        <f t="shared" ca="1" si="16"/>
        <v>6.3581575248703333</v>
      </c>
      <c r="Y20" s="1">
        <f t="shared" ca="1" si="17"/>
        <v>5.2770272097220315E-2</v>
      </c>
      <c r="Z20" s="1">
        <f t="shared" ca="1" si="18"/>
        <v>1065</v>
      </c>
      <c r="AB20" s="1">
        <f t="shared" ca="1" si="19"/>
        <v>0.67724107019801227</v>
      </c>
      <c r="AC20" s="1">
        <f t="shared" ca="1" si="20"/>
        <v>281</v>
      </c>
      <c r="AD20" s="1">
        <f t="shared" ca="1" si="21"/>
        <v>7.8210438306756495E-3</v>
      </c>
      <c r="AE20" s="1"/>
      <c r="AF20" s="1">
        <f t="shared" ca="1" si="22"/>
        <v>0.40204710777436703</v>
      </c>
      <c r="AG20" s="1">
        <f t="shared" ca="1" si="23"/>
        <v>806</v>
      </c>
      <c r="AH20" s="1">
        <f t="shared" ca="1" si="24"/>
        <v>4.5348223999664566E-3</v>
      </c>
      <c r="AJ20" s="1">
        <f t="shared" ca="1" si="25"/>
        <v>0.36995606611239795</v>
      </c>
      <c r="AK20" s="1">
        <f t="shared" ca="1" si="26"/>
        <v>6.7460014234320097E-3</v>
      </c>
      <c r="AL20" s="1"/>
      <c r="AM20" s="1">
        <f t="shared" ca="1" si="27"/>
        <v>0.13793408447406613</v>
      </c>
      <c r="AN20" s="1">
        <f t="shared" ca="1" si="28"/>
        <v>53</v>
      </c>
      <c r="AO20" s="1">
        <f t="shared" ca="1" si="29"/>
        <v>18</v>
      </c>
      <c r="AQ20" s="1">
        <f t="shared" ca="1" si="30"/>
        <v>146</v>
      </c>
      <c r="AR20" s="1">
        <f t="shared" ca="1" si="31"/>
        <v>3</v>
      </c>
      <c r="AS20" s="1">
        <f t="shared" ca="1" si="32"/>
        <v>28</v>
      </c>
      <c r="AU20" s="1">
        <f t="shared" ca="1" si="33"/>
        <v>97</v>
      </c>
      <c r="AV20" s="1">
        <f t="shared" ca="1" si="34"/>
        <v>10</v>
      </c>
      <c r="AW20" s="1">
        <f t="shared" ca="1" si="35"/>
        <v>0.1399492042153237</v>
      </c>
      <c r="AY20" s="1">
        <f t="shared" ca="1" si="36"/>
        <v>1.8461555483394789</v>
      </c>
      <c r="AZ20" s="1">
        <f t="shared" ca="1" si="37"/>
        <v>162</v>
      </c>
      <c r="BA20" s="1">
        <f t="shared" ca="1" si="38"/>
        <v>7.8279762063365212E-3</v>
      </c>
      <c r="BV20" s="1">
        <f t="shared" ca="1" si="39"/>
        <v>0.992301884103436</v>
      </c>
      <c r="BW20" s="1">
        <f t="shared" ca="1" si="40"/>
        <v>330</v>
      </c>
      <c r="BX20" s="1">
        <f t="shared" ca="1" si="41"/>
        <v>2.5101385075563289E-3</v>
      </c>
      <c r="BY20" s="1">
        <f t="shared" ca="1" si="42"/>
        <v>9.8471875002781359E-2</v>
      </c>
      <c r="BZ20" s="1">
        <f t="shared" ca="1" si="43"/>
        <v>0.28533293157581818</v>
      </c>
      <c r="CB20" s="1">
        <f t="shared" ca="1" si="44"/>
        <v>331</v>
      </c>
      <c r="CC20" s="1">
        <f t="shared" ca="1" si="45"/>
        <v>12</v>
      </c>
      <c r="CD20" s="1">
        <f t="shared" ca="1" si="46"/>
        <v>5.6833207132283833E-2</v>
      </c>
      <c r="CE20" s="1">
        <f t="shared" ca="1" si="47"/>
        <v>0.70715653784115895</v>
      </c>
      <c r="CF20" s="1">
        <f t="shared" ca="1" si="47"/>
        <v>0.70124388673402616</v>
      </c>
      <c r="CH20" s="3">
        <f t="shared" ca="1" si="48"/>
        <v>3.0717982424110765E-2</v>
      </c>
      <c r="CI20" s="3">
        <f t="shared" ca="1" si="49"/>
        <v>0.61073146384781729</v>
      </c>
      <c r="CJ20" s="3">
        <f t="shared" ca="1" si="50"/>
        <v>480</v>
      </c>
      <c r="CK20" s="3">
        <f t="shared" ca="1" si="51"/>
        <v>1.881856135835265E-3</v>
      </c>
      <c r="CL20" s="3">
        <f t="shared" ca="1" si="52"/>
        <v>1</v>
      </c>
      <c r="CM20" s="3"/>
      <c r="CN20" s="1">
        <f t="shared" ca="1" si="53"/>
        <v>16.902846773605837</v>
      </c>
      <c r="CO20" s="1">
        <f t="shared" ca="1" si="54"/>
        <v>0.48403943540864636</v>
      </c>
      <c r="CP20" s="1">
        <f t="shared" ca="1" si="55"/>
        <v>2</v>
      </c>
      <c r="DH20" s="1">
        <f t="shared" ca="1" si="56"/>
        <v>413</v>
      </c>
      <c r="DI20" s="1">
        <f t="shared" ca="1" si="57"/>
        <v>0.57619323463820393</v>
      </c>
      <c r="DJ20" s="1">
        <f t="shared" ca="1" si="58"/>
        <v>18</v>
      </c>
      <c r="DL20" s="1">
        <f t="shared" ca="1" si="59"/>
        <v>5.4940314525174262E-2</v>
      </c>
      <c r="DM20" s="1">
        <f t="shared" ca="1" si="60"/>
        <v>84</v>
      </c>
      <c r="DN20" s="1">
        <f t="shared" ca="1" si="61"/>
        <v>10</v>
      </c>
    </row>
    <row r="21" spans="2:118" x14ac:dyDescent="0.25">
      <c r="B21">
        <f t="shared" ca="1" si="0"/>
        <v>994</v>
      </c>
      <c r="C21">
        <f t="shared" ca="1" si="1"/>
        <v>45</v>
      </c>
      <c r="D21">
        <f t="shared" ca="1" si="2"/>
        <v>0.26944057343355104</v>
      </c>
      <c r="F21" s="1">
        <f t="shared" ca="1" si="3"/>
        <v>10</v>
      </c>
      <c r="G21" s="1">
        <f t="shared" ca="1" si="4"/>
        <v>2</v>
      </c>
      <c r="H21" s="1">
        <f t="shared" ca="1" si="5"/>
        <v>13</v>
      </c>
      <c r="I21" s="1"/>
      <c r="J21" s="1">
        <f t="shared" ca="1" si="6"/>
        <v>22</v>
      </c>
      <c r="K21" s="1">
        <f t="shared" ca="1" si="7"/>
        <v>1.4389433992179403</v>
      </c>
      <c r="L21" s="1">
        <f t="shared" ca="1" si="8"/>
        <v>13</v>
      </c>
      <c r="M21" s="1"/>
      <c r="N21" s="1">
        <f t="shared" ca="1" si="9"/>
        <v>46</v>
      </c>
      <c r="O21" s="1">
        <f t="shared" ca="1" si="10"/>
        <v>4</v>
      </c>
      <c r="P21" s="1"/>
      <c r="Q21" s="1">
        <f t="shared" ca="1" si="11"/>
        <v>6.6337035019251547E-2</v>
      </c>
      <c r="R21" s="1">
        <f t="shared" ca="1" si="12"/>
        <v>1184</v>
      </c>
      <c r="S21" s="1"/>
      <c r="T21" s="1">
        <f t="shared" ca="1" si="13"/>
        <v>0.11141883277091279</v>
      </c>
      <c r="U21" s="1">
        <f t="shared" ca="1" si="14"/>
        <v>365</v>
      </c>
      <c r="V21" s="1">
        <f t="shared" ca="1" si="15"/>
        <v>26</v>
      </c>
      <c r="W21" s="1"/>
      <c r="X21" s="1">
        <f t="shared" ca="1" si="16"/>
        <v>7.9179562382709676</v>
      </c>
      <c r="Y21" s="1">
        <f t="shared" ca="1" si="17"/>
        <v>0.152488615219291</v>
      </c>
      <c r="Z21" s="1">
        <f t="shared" ca="1" si="18"/>
        <v>1365</v>
      </c>
      <c r="AB21" s="1">
        <f t="shared" ca="1" si="19"/>
        <v>0.93314961050610246</v>
      </c>
      <c r="AC21" s="1">
        <f t="shared" ca="1" si="20"/>
        <v>296</v>
      </c>
      <c r="AD21" s="1">
        <f t="shared" ca="1" si="21"/>
        <v>7.6607094394102772E-3</v>
      </c>
      <c r="AE21" s="1"/>
      <c r="AF21" s="1">
        <f t="shared" ca="1" si="22"/>
        <v>0.27146383661159168</v>
      </c>
      <c r="AG21" s="1">
        <f t="shared" ca="1" si="23"/>
        <v>570</v>
      </c>
      <c r="AH21" s="1">
        <f t="shared" ca="1" si="24"/>
        <v>6.4779782468784056E-4</v>
      </c>
      <c r="AJ21" s="1">
        <f t="shared" ca="1" si="25"/>
        <v>0.69045779072047531</v>
      </c>
      <c r="AK21" s="1">
        <f t="shared" ca="1" si="26"/>
        <v>3.5998676241663775E-3</v>
      </c>
      <c r="AL21" s="1"/>
      <c r="AM21" s="1">
        <f t="shared" ca="1" si="27"/>
        <v>8.0136833792006076E-2</v>
      </c>
      <c r="AN21" s="1">
        <f t="shared" ca="1" si="28"/>
        <v>20</v>
      </c>
      <c r="AO21" s="1">
        <f t="shared" ca="1" si="29"/>
        <v>3</v>
      </c>
      <c r="AQ21" s="1">
        <f t="shared" ca="1" si="30"/>
        <v>194</v>
      </c>
      <c r="AR21" s="1">
        <f t="shared" ca="1" si="31"/>
        <v>4</v>
      </c>
      <c r="AS21" s="1">
        <f t="shared" ca="1" si="32"/>
        <v>43</v>
      </c>
      <c r="AU21" s="1">
        <f t="shared" ca="1" si="33"/>
        <v>128</v>
      </c>
      <c r="AV21" s="1">
        <f t="shared" ca="1" si="34"/>
        <v>2</v>
      </c>
      <c r="AW21" s="1">
        <f t="shared" ca="1" si="35"/>
        <v>0.14267081777359733</v>
      </c>
      <c r="AY21" s="1">
        <f t="shared" ca="1" si="36"/>
        <v>1.3346699972462552</v>
      </c>
      <c r="AZ21" s="1">
        <f t="shared" ca="1" si="37"/>
        <v>402</v>
      </c>
      <c r="BA21" s="1">
        <f t="shared" ca="1" si="38"/>
        <v>9.1232620844014251E-3</v>
      </c>
      <c r="BV21" s="1">
        <f t="shared" ca="1" si="39"/>
        <v>0.79032532517145304</v>
      </c>
      <c r="BW21" s="1">
        <f t="shared" ca="1" si="40"/>
        <v>263</v>
      </c>
      <c r="BX21" s="1">
        <f t="shared" ca="1" si="41"/>
        <v>6.4857727431440896E-3</v>
      </c>
      <c r="BY21" s="1">
        <f t="shared" ca="1" si="42"/>
        <v>8.266976730518745E-2</v>
      </c>
      <c r="BZ21" s="1">
        <f t="shared" ca="1" si="43"/>
        <v>0.86347807297323909</v>
      </c>
      <c r="CB21" s="1">
        <f t="shared" ca="1" si="44"/>
        <v>361</v>
      </c>
      <c r="CC21" s="1">
        <f t="shared" ca="1" si="45"/>
        <v>15</v>
      </c>
      <c r="CD21" s="1">
        <f t="shared" ca="1" si="46"/>
        <v>0.26524785074210327</v>
      </c>
      <c r="CE21" s="1">
        <f t="shared" ca="1" si="47"/>
        <v>0.72862365237806048</v>
      </c>
      <c r="CF21" s="1">
        <f t="shared" ca="1" si="47"/>
        <v>0.92437724378130359</v>
      </c>
      <c r="CH21" s="3">
        <f t="shared" ca="1" si="48"/>
        <v>0.57709373151789201</v>
      </c>
      <c r="CI21" s="3">
        <f t="shared" ca="1" si="49"/>
        <v>0.21406370720742146</v>
      </c>
      <c r="CJ21" s="3">
        <f t="shared" ca="1" si="50"/>
        <v>996</v>
      </c>
      <c r="CK21" s="3">
        <f t="shared" ca="1" si="51"/>
        <v>6.9173065464214435E-3</v>
      </c>
      <c r="CL21" s="3">
        <f t="shared" ca="1" si="52"/>
        <v>0</v>
      </c>
      <c r="CM21" s="3"/>
      <c r="CN21" s="1">
        <f t="shared" ca="1" si="53"/>
        <v>4.7086528166461079</v>
      </c>
      <c r="CO21" s="1">
        <f t="shared" ca="1" si="54"/>
        <v>0.40332254632412362</v>
      </c>
      <c r="CP21" s="1">
        <f t="shared" ca="1" si="55"/>
        <v>5</v>
      </c>
      <c r="DH21" s="1">
        <f t="shared" ca="1" si="56"/>
        <v>628</v>
      </c>
      <c r="DI21" s="1">
        <f t="shared" ca="1" si="57"/>
        <v>2.4497955035566621E-2</v>
      </c>
      <c r="DJ21" s="1">
        <f t="shared" ca="1" si="58"/>
        <v>12</v>
      </c>
      <c r="DL21" s="1">
        <f t="shared" ca="1" si="59"/>
        <v>4.6851917215523599E-2</v>
      </c>
      <c r="DM21" s="1">
        <f t="shared" ca="1" si="60"/>
        <v>128</v>
      </c>
      <c r="DN21" s="1">
        <f t="shared" ca="1" si="61"/>
        <v>2</v>
      </c>
    </row>
    <row r="22" spans="2:118" x14ac:dyDescent="0.25">
      <c r="B22">
        <f t="shared" ca="1" si="0"/>
        <v>41</v>
      </c>
      <c r="C22">
        <f t="shared" ca="1" si="1"/>
        <v>42</v>
      </c>
      <c r="D22">
        <f t="shared" ca="1" si="2"/>
        <v>0.1246221408590391</v>
      </c>
      <c r="F22" s="1">
        <f t="shared" ca="1" si="3"/>
        <v>38</v>
      </c>
      <c r="G22" s="1">
        <f t="shared" ca="1" si="4"/>
        <v>22</v>
      </c>
      <c r="H22" s="1">
        <f t="shared" ca="1" si="5"/>
        <v>7</v>
      </c>
      <c r="I22" s="1"/>
      <c r="J22" s="1">
        <f t="shared" ca="1" si="6"/>
        <v>10</v>
      </c>
      <c r="K22" s="1">
        <f t="shared" ca="1" si="7"/>
        <v>1.2449203732954162</v>
      </c>
      <c r="L22" s="1">
        <f t="shared" ca="1" si="8"/>
        <v>11</v>
      </c>
      <c r="M22" s="1"/>
      <c r="N22" s="1">
        <f t="shared" ca="1" si="9"/>
        <v>349</v>
      </c>
      <c r="O22" s="1">
        <f t="shared" ca="1" si="10"/>
        <v>15</v>
      </c>
      <c r="P22" s="1"/>
      <c r="Q22" s="1">
        <f t="shared" ca="1" si="11"/>
        <v>0.62549609153108199</v>
      </c>
      <c r="R22" s="1">
        <f t="shared" ca="1" si="12"/>
        <v>650</v>
      </c>
      <c r="S22" s="1"/>
      <c r="T22" s="1">
        <f t="shared" ca="1" si="13"/>
        <v>0.12974215798065222</v>
      </c>
      <c r="U22" s="1">
        <f t="shared" ca="1" si="14"/>
        <v>332</v>
      </c>
      <c r="V22" s="1">
        <f t="shared" ca="1" si="15"/>
        <v>29</v>
      </c>
      <c r="W22" s="1"/>
      <c r="X22" s="1">
        <f t="shared" ca="1" si="16"/>
        <v>3.1715746499636031</v>
      </c>
      <c r="Y22" s="1">
        <f t="shared" ca="1" si="17"/>
        <v>5.2955985637350926E-2</v>
      </c>
      <c r="Z22" s="1">
        <f t="shared" ca="1" si="18"/>
        <v>361</v>
      </c>
      <c r="AB22" s="1">
        <f t="shared" ca="1" si="19"/>
        <v>0.61598494469473886</v>
      </c>
      <c r="AC22" s="1">
        <f t="shared" ca="1" si="20"/>
        <v>103</v>
      </c>
      <c r="AD22" s="1">
        <f t="shared" ca="1" si="21"/>
        <v>9.3338436454148271E-3</v>
      </c>
      <c r="AE22" s="1"/>
      <c r="AF22" s="1">
        <f t="shared" ca="1" si="22"/>
        <v>0.38559353177182631</v>
      </c>
      <c r="AG22" s="1">
        <f t="shared" ca="1" si="23"/>
        <v>682</v>
      </c>
      <c r="AH22" s="1">
        <f t="shared" ca="1" si="24"/>
        <v>3.6518578724157244E-3</v>
      </c>
      <c r="AJ22" s="1">
        <f t="shared" ca="1" si="25"/>
        <v>0.41765292877204052</v>
      </c>
      <c r="AK22" s="1">
        <f t="shared" ca="1" si="26"/>
        <v>7.9084247531713125E-3</v>
      </c>
      <c r="AL22" s="1"/>
      <c r="AM22" s="1">
        <f t="shared" ca="1" si="27"/>
        <v>0.15347974758749214</v>
      </c>
      <c r="AN22" s="1">
        <f t="shared" ca="1" si="28"/>
        <v>71</v>
      </c>
      <c r="AO22" s="1">
        <f t="shared" ca="1" si="29"/>
        <v>1</v>
      </c>
      <c r="AQ22" s="1">
        <f t="shared" ca="1" si="30"/>
        <v>138</v>
      </c>
      <c r="AR22" s="1">
        <f t="shared" ca="1" si="31"/>
        <v>8</v>
      </c>
      <c r="AS22" s="1">
        <f t="shared" ca="1" si="32"/>
        <v>32</v>
      </c>
      <c r="AU22" s="1">
        <f t="shared" ca="1" si="33"/>
        <v>144</v>
      </c>
      <c r="AV22" s="1">
        <f t="shared" ca="1" si="34"/>
        <v>8</v>
      </c>
      <c r="AW22" s="1">
        <f t="shared" ca="1" si="35"/>
        <v>5.9153698377707939E-2</v>
      </c>
      <c r="AY22" s="1">
        <f t="shared" ca="1" si="36"/>
        <v>1.109591831934118</v>
      </c>
      <c r="AZ22" s="1">
        <f t="shared" ca="1" si="37"/>
        <v>74</v>
      </c>
      <c r="BA22" s="1">
        <f t="shared" ca="1" si="38"/>
        <v>9.5135406846032153E-3</v>
      </c>
      <c r="BV22" s="1">
        <f t="shared" ca="1" si="39"/>
        <v>0.62160222262644294</v>
      </c>
      <c r="BW22" s="1">
        <f t="shared" ca="1" si="40"/>
        <v>704</v>
      </c>
      <c r="BX22" s="1">
        <f t="shared" ca="1" si="41"/>
        <v>3.7413480790659441E-3</v>
      </c>
      <c r="BY22" s="1">
        <f t="shared" ca="1" si="42"/>
        <v>8.6204091712719547E-2</v>
      </c>
      <c r="BZ22" s="1">
        <f t="shared" ca="1" si="43"/>
        <v>0.50022080924397216</v>
      </c>
      <c r="CB22" s="1">
        <f t="shared" ca="1" si="44"/>
        <v>303</v>
      </c>
      <c r="CC22" s="1">
        <f t="shared" ca="1" si="45"/>
        <v>11</v>
      </c>
      <c r="CD22" s="1">
        <f t="shared" ca="1" si="46"/>
        <v>0.20136935564186736</v>
      </c>
      <c r="CE22" s="1">
        <f t="shared" ca="1" si="47"/>
        <v>0.57314532034651855</v>
      </c>
      <c r="CF22" s="1">
        <f t="shared" ca="1" si="47"/>
        <v>0.50501056025591429</v>
      </c>
      <c r="CH22" s="3">
        <f t="shared" ca="1" si="48"/>
        <v>0.43125431021374594</v>
      </c>
      <c r="CI22" s="3">
        <f t="shared" ca="1" si="49"/>
        <v>0.38492858477486103</v>
      </c>
      <c r="CJ22" s="3">
        <f t="shared" ca="1" si="50"/>
        <v>1623</v>
      </c>
      <c r="CK22" s="3">
        <f t="shared" ca="1" si="51"/>
        <v>9.442820521932925E-3</v>
      </c>
      <c r="CL22" s="3">
        <f t="shared" ca="1" si="52"/>
        <v>0</v>
      </c>
      <c r="CM22" s="3"/>
      <c r="CN22" s="1">
        <f t="shared" ca="1" si="53"/>
        <v>19.163028173045646</v>
      </c>
      <c r="CO22" s="1">
        <f t="shared" ca="1" si="54"/>
        <v>0.41591917449748772</v>
      </c>
      <c r="CP22" s="1">
        <f t="shared" ca="1" si="55"/>
        <v>1</v>
      </c>
      <c r="DH22" s="1">
        <f t="shared" ca="1" si="56"/>
        <v>850</v>
      </c>
      <c r="DI22" s="1">
        <f t="shared" ca="1" si="57"/>
        <v>0.38152753786529497</v>
      </c>
      <c r="DJ22" s="1">
        <f t="shared" ca="1" si="58"/>
        <v>26</v>
      </c>
      <c r="DL22" s="1">
        <f t="shared" ca="1" si="59"/>
        <v>9.6505319790083935E-2</v>
      </c>
      <c r="DM22" s="1">
        <f t="shared" ca="1" si="60"/>
        <v>210</v>
      </c>
      <c r="DN22" s="1">
        <f t="shared" ca="1" si="61"/>
        <v>2</v>
      </c>
    </row>
    <row r="23" spans="2:118" x14ac:dyDescent="0.25">
      <c r="B23">
        <f t="shared" ca="1" si="0"/>
        <v>692</v>
      </c>
      <c r="C23">
        <f t="shared" ca="1" si="1"/>
        <v>32</v>
      </c>
      <c r="D23">
        <f t="shared" ca="1" si="2"/>
        <v>0.1257689567878843</v>
      </c>
      <c r="F23" s="1">
        <f t="shared" ca="1" si="3"/>
        <v>39</v>
      </c>
      <c r="G23" s="1">
        <f t="shared" ca="1" si="4"/>
        <v>12</v>
      </c>
      <c r="H23" s="1">
        <f t="shared" ca="1" si="5"/>
        <v>11</v>
      </c>
      <c r="I23" s="1"/>
      <c r="J23" s="1">
        <f t="shared" ca="1" si="6"/>
        <v>22</v>
      </c>
      <c r="K23" s="1">
        <f t="shared" ca="1" si="7"/>
        <v>1.5019422576200114</v>
      </c>
      <c r="L23" s="1">
        <f t="shared" ca="1" si="8"/>
        <v>29</v>
      </c>
      <c r="M23" s="1"/>
      <c r="N23" s="1">
        <f t="shared" ca="1" si="9"/>
        <v>380</v>
      </c>
      <c r="O23" s="1">
        <f t="shared" ca="1" si="10"/>
        <v>16</v>
      </c>
      <c r="P23" s="1"/>
      <c r="Q23" s="1">
        <f t="shared" ca="1" si="11"/>
        <v>1.6584785272689075</v>
      </c>
      <c r="R23" s="1">
        <f t="shared" ca="1" si="12"/>
        <v>363</v>
      </c>
      <c r="S23" s="1"/>
      <c r="T23" s="1">
        <f t="shared" ca="1" si="13"/>
        <v>0.13097287844808198</v>
      </c>
      <c r="U23" s="1">
        <f t="shared" ca="1" si="14"/>
        <v>120</v>
      </c>
      <c r="V23" s="1">
        <f t="shared" ca="1" si="15"/>
        <v>46</v>
      </c>
      <c r="W23" s="1"/>
      <c r="X23" s="1">
        <f t="shared" ca="1" si="16"/>
        <v>7.3162450665344423</v>
      </c>
      <c r="Y23" s="1">
        <f t="shared" ca="1" si="17"/>
        <v>0.23521175217737042</v>
      </c>
      <c r="Z23" s="1">
        <f t="shared" ca="1" si="18"/>
        <v>1528</v>
      </c>
      <c r="AB23" s="1">
        <f t="shared" ca="1" si="19"/>
        <v>0.41766078526399897</v>
      </c>
      <c r="AC23" s="1">
        <f t="shared" ca="1" si="20"/>
        <v>615</v>
      </c>
      <c r="AD23" s="1">
        <f t="shared" ca="1" si="21"/>
        <v>5.1673424346906395E-3</v>
      </c>
      <c r="AE23" s="1"/>
      <c r="AF23" s="1">
        <f t="shared" ca="1" si="22"/>
        <v>0.71585482957750668</v>
      </c>
      <c r="AG23" s="1">
        <f t="shared" ca="1" si="23"/>
        <v>798</v>
      </c>
      <c r="AH23" s="1">
        <f t="shared" ca="1" si="24"/>
        <v>4.561124428615667E-3</v>
      </c>
      <c r="AJ23" s="1">
        <f t="shared" ca="1" si="25"/>
        <v>3.53532836647652E-2</v>
      </c>
      <c r="AK23" s="1">
        <f t="shared" ca="1" si="26"/>
        <v>8.522398432752043E-3</v>
      </c>
      <c r="AL23" s="1"/>
      <c r="AM23" s="1">
        <f t="shared" ca="1" si="27"/>
        <v>2.6997170346441168E-2</v>
      </c>
      <c r="AN23" s="1">
        <f t="shared" ca="1" si="28"/>
        <v>40</v>
      </c>
      <c r="AO23" s="1">
        <f t="shared" ca="1" si="29"/>
        <v>18</v>
      </c>
      <c r="AQ23" s="1">
        <f t="shared" ca="1" si="30"/>
        <v>173</v>
      </c>
      <c r="AR23" s="1">
        <f t="shared" ca="1" si="31"/>
        <v>3</v>
      </c>
      <c r="AS23" s="1">
        <f t="shared" ca="1" si="32"/>
        <v>39</v>
      </c>
      <c r="AU23" s="1">
        <f t="shared" ca="1" si="33"/>
        <v>393</v>
      </c>
      <c r="AV23" s="1">
        <f t="shared" ca="1" si="34"/>
        <v>5</v>
      </c>
      <c r="AW23" s="1">
        <f t="shared" ca="1" si="35"/>
        <v>3.9866628374271927E-2</v>
      </c>
      <c r="AY23" s="1">
        <f t="shared" ca="1" si="36"/>
        <v>1.7107137173895104</v>
      </c>
      <c r="AZ23" s="1">
        <f t="shared" ca="1" si="37"/>
        <v>451</v>
      </c>
      <c r="BA23" s="1">
        <f t="shared" ca="1" si="38"/>
        <v>9.7971124428947749E-3</v>
      </c>
      <c r="BV23" s="1">
        <f t="shared" ca="1" si="39"/>
        <v>0.41603329541884088</v>
      </c>
      <c r="BW23" s="1">
        <f t="shared" ca="1" si="40"/>
        <v>996</v>
      </c>
      <c r="BX23" s="1">
        <f t="shared" ca="1" si="41"/>
        <v>1.4016691096446906E-3</v>
      </c>
      <c r="BY23" s="1">
        <f t="shared" ca="1" si="42"/>
        <v>6.7899001929345532E-2</v>
      </c>
      <c r="BZ23" s="1">
        <f t="shared" ca="1" si="43"/>
        <v>8.0522968155369634E-2</v>
      </c>
      <c r="CB23" s="1">
        <f t="shared" ca="1" si="44"/>
        <v>409</v>
      </c>
      <c r="CC23" s="1">
        <f t="shared" ca="1" si="45"/>
        <v>4</v>
      </c>
      <c r="CD23" s="1">
        <f t="shared" ca="1" si="46"/>
        <v>3.7879449007687617E-2</v>
      </c>
      <c r="CE23" s="1">
        <f t="shared" ca="1" si="47"/>
        <v>0.52839788407179733</v>
      </c>
      <c r="CF23" s="1">
        <f t="shared" ca="1" si="47"/>
        <v>0.99421146065723487</v>
      </c>
      <c r="CH23" s="3">
        <f t="shared" ca="1" si="48"/>
        <v>0.98404203063288631</v>
      </c>
      <c r="CI23" s="3">
        <f t="shared" ca="1" si="49"/>
        <v>0.9546435088473183</v>
      </c>
      <c r="CJ23" s="3">
        <f t="shared" ca="1" si="50"/>
        <v>710</v>
      </c>
      <c r="CK23" s="3">
        <f t="shared" ca="1" si="51"/>
        <v>9.0184136378538803E-3</v>
      </c>
      <c r="CL23" s="3">
        <f t="shared" ca="1" si="52"/>
        <v>1</v>
      </c>
      <c r="CM23" s="3"/>
      <c r="CN23" s="1">
        <f t="shared" ca="1" si="53"/>
        <v>8.4516342321450146</v>
      </c>
      <c r="CO23" s="1">
        <f t="shared" ca="1" si="54"/>
        <v>0.10341143839623491</v>
      </c>
      <c r="CP23" s="1">
        <f t="shared" ca="1" si="55"/>
        <v>4</v>
      </c>
      <c r="DH23" s="1">
        <f t="shared" ca="1" si="56"/>
        <v>700</v>
      </c>
      <c r="DI23" s="1">
        <f t="shared" ca="1" si="57"/>
        <v>0.70416143079971494</v>
      </c>
      <c r="DJ23" s="1">
        <f t="shared" ca="1" si="58"/>
        <v>2</v>
      </c>
      <c r="DL23" s="1">
        <f t="shared" ca="1" si="59"/>
        <v>0.19450537795824555</v>
      </c>
      <c r="DM23" s="1">
        <f t="shared" ca="1" si="60"/>
        <v>297</v>
      </c>
      <c r="DN23" s="1">
        <f t="shared" ca="1" si="61"/>
        <v>3</v>
      </c>
    </row>
    <row r="24" spans="2:118" x14ac:dyDescent="0.25">
      <c r="B24">
        <f t="shared" ca="1" si="0"/>
        <v>291</v>
      </c>
      <c r="C24">
        <f t="shared" ca="1" si="1"/>
        <v>47</v>
      </c>
      <c r="D24">
        <f t="shared" ca="1" si="2"/>
        <v>0.19405887635542127</v>
      </c>
      <c r="F24" s="1">
        <f t="shared" ca="1" si="3"/>
        <v>17</v>
      </c>
      <c r="G24" s="1">
        <f t="shared" ca="1" si="4"/>
        <v>8</v>
      </c>
      <c r="H24" s="1">
        <f t="shared" ca="1" si="5"/>
        <v>4</v>
      </c>
      <c r="I24" s="1"/>
      <c r="J24" s="1">
        <f t="shared" ca="1" si="6"/>
        <v>23</v>
      </c>
      <c r="K24" s="1">
        <f t="shared" ca="1" si="7"/>
        <v>1.5812324443836943</v>
      </c>
      <c r="L24" s="1">
        <f t="shared" ca="1" si="8"/>
        <v>14</v>
      </c>
      <c r="M24" s="1"/>
      <c r="N24" s="1">
        <f t="shared" ca="1" si="9"/>
        <v>72</v>
      </c>
      <c r="O24" s="1">
        <f t="shared" ca="1" si="10"/>
        <v>17</v>
      </c>
      <c r="P24" s="1"/>
      <c r="Q24" s="1">
        <f t="shared" ca="1" si="11"/>
        <v>1.6011180311952014</v>
      </c>
      <c r="R24" s="1">
        <f t="shared" ca="1" si="12"/>
        <v>447</v>
      </c>
      <c r="S24" s="1"/>
      <c r="T24" s="1">
        <f t="shared" ca="1" si="13"/>
        <v>1.6187779342773587E-2</v>
      </c>
      <c r="U24" s="1">
        <f t="shared" ca="1" si="14"/>
        <v>406</v>
      </c>
      <c r="V24" s="1">
        <f t="shared" ca="1" si="15"/>
        <v>40</v>
      </c>
      <c r="W24" s="1"/>
      <c r="X24" s="1">
        <f t="shared" ca="1" si="16"/>
        <v>8.7731996567567432</v>
      </c>
      <c r="Y24" s="1">
        <f t="shared" ca="1" si="17"/>
        <v>0.61869394025834934</v>
      </c>
      <c r="Z24" s="1">
        <f t="shared" ca="1" si="18"/>
        <v>1178</v>
      </c>
      <c r="AB24" s="1">
        <f t="shared" ca="1" si="19"/>
        <v>0.73813210259715178</v>
      </c>
      <c r="AC24" s="1">
        <f t="shared" ca="1" si="20"/>
        <v>995</v>
      </c>
      <c r="AD24" s="1">
        <f t="shared" ca="1" si="21"/>
        <v>2.1623474377521767E-3</v>
      </c>
      <c r="AE24" s="1"/>
      <c r="AF24" s="1">
        <f t="shared" ca="1" si="22"/>
        <v>0.50400535080829301</v>
      </c>
      <c r="AG24" s="1">
        <f t="shared" ca="1" si="23"/>
        <v>337</v>
      </c>
      <c r="AH24" s="1">
        <f t="shared" ca="1" si="24"/>
        <v>9.2932463323895393E-3</v>
      </c>
      <c r="AJ24" s="1">
        <f t="shared" ca="1" si="25"/>
        <v>0.46772234623116393</v>
      </c>
      <c r="AK24" s="1">
        <f t="shared" ca="1" si="26"/>
        <v>4.7983359356519942E-3</v>
      </c>
      <c r="AL24" s="1"/>
      <c r="AM24" s="1">
        <f t="shared" ca="1" si="27"/>
        <v>6.8242423829906626E-2</v>
      </c>
      <c r="AN24" s="1">
        <f t="shared" ca="1" si="28"/>
        <v>25</v>
      </c>
      <c r="AO24" s="1">
        <f t="shared" ca="1" si="29"/>
        <v>5</v>
      </c>
      <c r="AQ24" s="1">
        <f t="shared" ca="1" si="30"/>
        <v>181</v>
      </c>
      <c r="AR24" s="1">
        <f t="shared" ca="1" si="31"/>
        <v>8</v>
      </c>
      <c r="AS24" s="1">
        <f t="shared" ca="1" si="32"/>
        <v>65</v>
      </c>
      <c r="AU24" s="1">
        <f t="shared" ca="1" si="33"/>
        <v>238</v>
      </c>
      <c r="AV24" s="1">
        <f t="shared" ca="1" si="34"/>
        <v>10</v>
      </c>
      <c r="AW24" s="1">
        <f t="shared" ca="1" si="35"/>
        <v>0.17908072113618759</v>
      </c>
      <c r="AY24" s="1">
        <f t="shared" ca="1" si="36"/>
        <v>1.9641890600274823</v>
      </c>
      <c r="AZ24" s="1">
        <f t="shared" ca="1" si="37"/>
        <v>175</v>
      </c>
      <c r="BA24" s="1">
        <f t="shared" ca="1" si="38"/>
        <v>8.1796879001170136E-3</v>
      </c>
      <c r="BV24" s="1">
        <f t="shared" ca="1" si="39"/>
        <v>0.395158765318113</v>
      </c>
      <c r="BW24" s="1">
        <f t="shared" ca="1" si="40"/>
        <v>189</v>
      </c>
      <c r="BX24" s="1">
        <f t="shared" ca="1" si="41"/>
        <v>7.0949378151505902E-3</v>
      </c>
      <c r="BY24" s="1">
        <f t="shared" ca="1" si="42"/>
        <v>1.3257758999411073E-2</v>
      </c>
      <c r="BZ24" s="1">
        <f t="shared" ca="1" si="43"/>
        <v>0.18045733864081237</v>
      </c>
      <c r="CB24" s="1">
        <f t="shared" ca="1" si="44"/>
        <v>208</v>
      </c>
      <c r="CC24" s="1">
        <f t="shared" ca="1" si="45"/>
        <v>12</v>
      </c>
      <c r="CD24" s="1">
        <f t="shared" ca="1" si="46"/>
        <v>0.29161856179292384</v>
      </c>
      <c r="CE24" s="1">
        <f t="shared" ca="1" si="47"/>
        <v>0.83140866414775738</v>
      </c>
      <c r="CF24" s="1">
        <f t="shared" ca="1" si="47"/>
        <v>0.82616560622328616</v>
      </c>
      <c r="CH24" s="3">
        <f t="shared" ca="1" si="48"/>
        <v>0.27237182256037323</v>
      </c>
      <c r="CI24" s="3">
        <f t="shared" ca="1" si="49"/>
        <v>0.38052602085697068</v>
      </c>
      <c r="CJ24" s="3">
        <f t="shared" ca="1" si="50"/>
        <v>300</v>
      </c>
      <c r="CK24" s="3">
        <f t="shared" ca="1" si="51"/>
        <v>3.8225613257167894E-3</v>
      </c>
      <c r="CL24" s="3">
        <f t="shared" ca="1" si="52"/>
        <v>1</v>
      </c>
      <c r="CM24" s="3"/>
      <c r="CN24" s="1">
        <f t="shared" ca="1" si="53"/>
        <v>12.751502285666236</v>
      </c>
      <c r="CO24" s="1">
        <f t="shared" ca="1" si="54"/>
        <v>0.28122875335992786</v>
      </c>
      <c r="CP24" s="1">
        <f t="shared" ca="1" si="55"/>
        <v>3</v>
      </c>
      <c r="DH24" s="1">
        <f t="shared" ca="1" si="56"/>
        <v>269</v>
      </c>
      <c r="DI24" s="1">
        <f t="shared" ca="1" si="57"/>
        <v>0.71029830149294848</v>
      </c>
      <c r="DJ24" s="1">
        <f t="shared" ca="1" si="58"/>
        <v>12</v>
      </c>
      <c r="DL24" s="1">
        <f t="shared" ca="1" si="59"/>
        <v>9.9126649134578998E-2</v>
      </c>
      <c r="DM24" s="1">
        <f t="shared" ca="1" si="60"/>
        <v>221</v>
      </c>
      <c r="DN24" s="1">
        <f t="shared" ca="1" si="61"/>
        <v>5</v>
      </c>
    </row>
    <row r="25" spans="2:118" x14ac:dyDescent="0.25">
      <c r="B25">
        <f t="shared" ca="1" si="0"/>
        <v>826</v>
      </c>
      <c r="C25">
        <f t="shared" ca="1" si="1"/>
        <v>18</v>
      </c>
      <c r="D25">
        <f t="shared" ca="1" si="2"/>
        <v>0.11641743125886395</v>
      </c>
      <c r="F25" s="1">
        <f t="shared" ca="1" si="3"/>
        <v>8</v>
      </c>
      <c r="G25" s="1">
        <f t="shared" ca="1" si="4"/>
        <v>7</v>
      </c>
      <c r="H25" s="1">
        <f t="shared" ca="1" si="5"/>
        <v>6</v>
      </c>
      <c r="I25" s="1"/>
      <c r="J25" s="1">
        <f t="shared" ca="1" si="6"/>
        <v>39</v>
      </c>
      <c r="K25" s="1">
        <f t="shared" ca="1" si="7"/>
        <v>2.6323605509648962</v>
      </c>
      <c r="L25" s="1">
        <f t="shared" ca="1" si="8"/>
        <v>31</v>
      </c>
      <c r="M25" s="1"/>
      <c r="N25" s="1">
        <f t="shared" ca="1" si="9"/>
        <v>388</v>
      </c>
      <c r="O25" s="1">
        <f t="shared" ca="1" si="10"/>
        <v>36</v>
      </c>
      <c r="P25" s="1"/>
      <c r="Q25" s="1">
        <f t="shared" ca="1" si="11"/>
        <v>4.0410004067185339</v>
      </c>
      <c r="R25" s="1">
        <f t="shared" ca="1" si="12"/>
        <v>575</v>
      </c>
      <c r="S25" s="1"/>
      <c r="T25" s="1">
        <f t="shared" ca="1" si="13"/>
        <v>1.4095206857191244E-2</v>
      </c>
      <c r="U25" s="1">
        <f t="shared" ca="1" si="14"/>
        <v>185</v>
      </c>
      <c r="V25" s="1">
        <f t="shared" ca="1" si="15"/>
        <v>43</v>
      </c>
      <c r="W25" s="1"/>
      <c r="X25" s="1">
        <f t="shared" ca="1" si="16"/>
        <v>3.4412907157640156</v>
      </c>
      <c r="Y25" s="1">
        <f t="shared" ca="1" si="17"/>
        <v>0.30623678964401341</v>
      </c>
      <c r="Z25" s="1">
        <f t="shared" ca="1" si="18"/>
        <v>1181</v>
      </c>
      <c r="AB25" s="1">
        <f t="shared" ca="1" si="19"/>
        <v>0.22497567997707754</v>
      </c>
      <c r="AC25" s="1">
        <f t="shared" ca="1" si="20"/>
        <v>824</v>
      </c>
      <c r="AD25" s="1">
        <f t="shared" ca="1" si="21"/>
        <v>8.004389172066419E-3</v>
      </c>
      <c r="AE25" s="1"/>
      <c r="AF25" s="1">
        <f t="shared" ca="1" si="22"/>
        <v>0.77652074518132974</v>
      </c>
      <c r="AG25" s="1">
        <f t="shared" ca="1" si="23"/>
        <v>163</v>
      </c>
      <c r="AH25" s="1">
        <f t="shared" ca="1" si="24"/>
        <v>3.6922995415972549E-3</v>
      </c>
      <c r="AJ25" s="1">
        <f t="shared" ca="1" si="25"/>
        <v>0.98122857124709428</v>
      </c>
      <c r="AK25" s="1">
        <f t="shared" ca="1" si="26"/>
        <v>2.3818112869994309E-3</v>
      </c>
      <c r="AL25" s="1"/>
      <c r="AM25" s="1">
        <f t="shared" ca="1" si="27"/>
        <v>7.2029292795655855E-2</v>
      </c>
      <c r="AN25" s="1">
        <f t="shared" ca="1" si="28"/>
        <v>23</v>
      </c>
      <c r="AO25" s="1">
        <f t="shared" ca="1" si="29"/>
        <v>17</v>
      </c>
      <c r="AQ25" s="1">
        <f t="shared" ca="1" si="30"/>
        <v>176</v>
      </c>
      <c r="AR25" s="1">
        <f t="shared" ca="1" si="31"/>
        <v>5</v>
      </c>
      <c r="AS25" s="1">
        <f t="shared" ca="1" si="32"/>
        <v>51</v>
      </c>
      <c r="AU25" s="1">
        <f t="shared" ca="1" si="33"/>
        <v>205</v>
      </c>
      <c r="AV25" s="1">
        <f t="shared" ca="1" si="34"/>
        <v>10</v>
      </c>
      <c r="AW25" s="1">
        <f t="shared" ca="1" si="35"/>
        <v>0.17850448091066162</v>
      </c>
      <c r="AY25" s="1">
        <f t="shared" ca="1" si="36"/>
        <v>1.5292550803563871</v>
      </c>
      <c r="AZ25" s="1">
        <f t="shared" ca="1" si="37"/>
        <v>145</v>
      </c>
      <c r="BA25" s="1">
        <f t="shared" ca="1" si="38"/>
        <v>2.9840672481001099E-3</v>
      </c>
      <c r="BV25" s="1">
        <f t="shared" ca="1" si="39"/>
        <v>0.86642563069830714</v>
      </c>
      <c r="BW25" s="1">
        <f t="shared" ca="1" si="40"/>
        <v>984</v>
      </c>
      <c r="BX25" s="1">
        <f t="shared" ca="1" si="41"/>
        <v>3.3130057319938669E-3</v>
      </c>
      <c r="BY25" s="1">
        <f t="shared" ca="1" si="42"/>
        <v>8.4458926953150867E-2</v>
      </c>
      <c r="BZ25" s="1">
        <f t="shared" ca="1" si="43"/>
        <v>0.91534647488126952</v>
      </c>
      <c r="CB25" s="1">
        <f t="shared" ca="1" si="44"/>
        <v>105</v>
      </c>
      <c r="CC25" s="1">
        <f t="shared" ca="1" si="45"/>
        <v>9</v>
      </c>
      <c r="CD25" s="1">
        <f t="shared" ca="1" si="46"/>
        <v>0.18842967837273758</v>
      </c>
      <c r="CE25" s="1">
        <f t="shared" ca="1" si="47"/>
        <v>0.95092424382164853</v>
      </c>
      <c r="CF25" s="1">
        <f t="shared" ca="1" si="47"/>
        <v>0.55823210696225756</v>
      </c>
      <c r="CH25" s="3">
        <f t="shared" ca="1" si="48"/>
        <v>0.63749015104261242</v>
      </c>
      <c r="CI25" s="3">
        <f t="shared" ca="1" si="49"/>
        <v>7.8820349500902484E-2</v>
      </c>
      <c r="CJ25" s="3">
        <f t="shared" ca="1" si="50"/>
        <v>229</v>
      </c>
      <c r="CK25" s="3">
        <f t="shared" ca="1" si="51"/>
        <v>9.9056243166556757E-3</v>
      </c>
      <c r="CL25" s="3">
        <f t="shared" ca="1" si="52"/>
        <v>1</v>
      </c>
      <c r="CM25" s="3"/>
      <c r="CN25" s="1">
        <f t="shared" ca="1" si="53"/>
        <v>7.0369482837792843</v>
      </c>
      <c r="CO25" s="1">
        <f t="shared" ca="1" si="54"/>
        <v>0.39675456657723684</v>
      </c>
      <c r="CP25" s="1">
        <f t="shared" ca="1" si="55"/>
        <v>3</v>
      </c>
      <c r="DH25" s="1">
        <f t="shared" ca="1" si="56"/>
        <v>753</v>
      </c>
      <c r="DI25" s="1">
        <f t="shared" ca="1" si="57"/>
        <v>0.21375445676607399</v>
      </c>
      <c r="DJ25" s="1">
        <f t="shared" ca="1" si="58"/>
        <v>10</v>
      </c>
      <c r="DL25" s="1">
        <f t="shared" ca="1" si="59"/>
        <v>0.1412612976082</v>
      </c>
      <c r="DM25" s="1">
        <f t="shared" ca="1" si="60"/>
        <v>101</v>
      </c>
      <c r="DN25" s="1">
        <f t="shared" ca="1" si="61"/>
        <v>7</v>
      </c>
    </row>
    <row r="26" spans="2:118" x14ac:dyDescent="0.25">
      <c r="B26">
        <f t="shared" ca="1" si="0"/>
        <v>287</v>
      </c>
      <c r="C26">
        <f t="shared" ca="1" si="1"/>
        <v>42</v>
      </c>
      <c r="D26">
        <f t="shared" ca="1" si="2"/>
        <v>6.2731075606565337E-2</v>
      </c>
      <c r="F26" s="1">
        <f t="shared" ca="1" si="3"/>
        <v>49</v>
      </c>
      <c r="G26" s="1">
        <f t="shared" ca="1" si="4"/>
        <v>13</v>
      </c>
      <c r="H26" s="1">
        <f t="shared" ca="1" si="5"/>
        <v>4</v>
      </c>
      <c r="I26" s="1"/>
      <c r="J26" s="1">
        <f t="shared" ca="1" si="6"/>
        <v>39</v>
      </c>
      <c r="K26" s="1">
        <f t="shared" ca="1" si="7"/>
        <v>1.3515869915242411</v>
      </c>
      <c r="L26" s="1">
        <f t="shared" ca="1" si="8"/>
        <v>17</v>
      </c>
      <c r="M26" s="1"/>
      <c r="N26" s="1">
        <f t="shared" ca="1" si="9"/>
        <v>565</v>
      </c>
      <c r="O26" s="1">
        <f t="shared" ca="1" si="10"/>
        <v>42</v>
      </c>
      <c r="P26" s="1"/>
      <c r="Q26" s="1">
        <f t="shared" ca="1" si="11"/>
        <v>2.6095625517417345</v>
      </c>
      <c r="R26" s="1">
        <f t="shared" ca="1" si="12"/>
        <v>641</v>
      </c>
      <c r="S26" s="1"/>
      <c r="T26" s="1">
        <f t="shared" ca="1" si="13"/>
        <v>0.11245547234593417</v>
      </c>
      <c r="U26" s="1">
        <f t="shared" ca="1" si="14"/>
        <v>368</v>
      </c>
      <c r="V26" s="1">
        <f t="shared" ca="1" si="15"/>
        <v>38</v>
      </c>
      <c r="W26" s="1"/>
      <c r="X26" s="1">
        <f t="shared" ca="1" si="16"/>
        <v>1.9968688243359969</v>
      </c>
      <c r="Y26" s="1">
        <f t="shared" ca="1" si="17"/>
        <v>0.68256133661985297</v>
      </c>
      <c r="Z26" s="1">
        <f t="shared" ca="1" si="18"/>
        <v>177</v>
      </c>
      <c r="AB26" s="1">
        <f t="shared" ca="1" si="19"/>
        <v>0.20466663949475408</v>
      </c>
      <c r="AC26" s="1">
        <f t="shared" ca="1" si="20"/>
        <v>404</v>
      </c>
      <c r="AD26" s="1">
        <f t="shared" ca="1" si="21"/>
        <v>3.6536857226564855E-5</v>
      </c>
      <c r="AE26" s="1"/>
      <c r="AF26" s="1">
        <f t="shared" ca="1" si="22"/>
        <v>0.49218386346342358</v>
      </c>
      <c r="AG26" s="1">
        <f t="shared" ca="1" si="23"/>
        <v>976</v>
      </c>
      <c r="AH26" s="1">
        <f t="shared" ca="1" si="24"/>
        <v>5.6435448994165598E-3</v>
      </c>
      <c r="AJ26" s="1">
        <f t="shared" ca="1" si="25"/>
        <v>0.49726741507660455</v>
      </c>
      <c r="AK26" s="1">
        <f t="shared" ca="1" si="26"/>
        <v>7.7113762831094316E-3</v>
      </c>
      <c r="AL26" s="1"/>
      <c r="AM26" s="1">
        <f t="shared" ca="1" si="27"/>
        <v>0.11739371350684435</v>
      </c>
      <c r="AN26" s="1">
        <f t="shared" ca="1" si="28"/>
        <v>61</v>
      </c>
      <c r="AO26" s="1">
        <f t="shared" ca="1" si="29"/>
        <v>14</v>
      </c>
      <c r="AQ26" s="1">
        <f t="shared" ca="1" si="30"/>
        <v>30</v>
      </c>
      <c r="AR26" s="1">
        <f t="shared" ca="1" si="31"/>
        <v>0</v>
      </c>
      <c r="AS26" s="1">
        <f t="shared" ca="1" si="32"/>
        <v>19</v>
      </c>
      <c r="AU26" s="1">
        <f t="shared" ca="1" si="33"/>
        <v>301</v>
      </c>
      <c r="AV26" s="1">
        <f t="shared" ca="1" si="34"/>
        <v>9</v>
      </c>
      <c r="AW26" s="1">
        <f t="shared" ca="1" si="35"/>
        <v>0.19442043793774361</v>
      </c>
      <c r="AY26" s="1">
        <f t="shared" ca="1" si="36"/>
        <v>1.6769287165039497</v>
      </c>
      <c r="AZ26" s="1">
        <f t="shared" ca="1" si="37"/>
        <v>70</v>
      </c>
      <c r="BA26" s="1">
        <f t="shared" ca="1" si="38"/>
        <v>1.4462821603792742E-3</v>
      </c>
      <c r="BV26" s="1">
        <f t="shared" ca="1" si="39"/>
        <v>3.2233387511027028E-2</v>
      </c>
      <c r="BW26" s="1">
        <f t="shared" ca="1" si="40"/>
        <v>842</v>
      </c>
      <c r="BX26" s="1">
        <f t="shared" ca="1" si="41"/>
        <v>2.2019178515821631E-3</v>
      </c>
      <c r="BY26" s="1">
        <f t="shared" ca="1" si="42"/>
        <v>8.3699691784553124E-2</v>
      </c>
      <c r="BZ26" s="1">
        <f t="shared" ca="1" si="43"/>
        <v>0.38376205169709643</v>
      </c>
      <c r="CB26" s="1">
        <f t="shared" ca="1" si="44"/>
        <v>189</v>
      </c>
      <c r="CC26" s="1">
        <f t="shared" ca="1" si="45"/>
        <v>8</v>
      </c>
      <c r="CD26" s="1">
        <f t="shared" ca="1" si="46"/>
        <v>5.5113587747428132E-2</v>
      </c>
      <c r="CE26" s="1">
        <f t="shared" ca="1" si="47"/>
        <v>0.90319737158829849</v>
      </c>
      <c r="CF26" s="1">
        <f t="shared" ca="1" si="47"/>
        <v>0.59740605475840802</v>
      </c>
      <c r="CH26" s="3">
        <f t="shared" ca="1" si="48"/>
        <v>0.567168752878347</v>
      </c>
      <c r="CI26" s="3">
        <f t="shared" ca="1" si="49"/>
        <v>0.71605836009246759</v>
      </c>
      <c r="CJ26" s="3">
        <f t="shared" ca="1" si="50"/>
        <v>1460</v>
      </c>
      <c r="CK26" s="3">
        <f t="shared" ca="1" si="51"/>
        <v>9.1035801884541256E-3</v>
      </c>
      <c r="CL26" s="3">
        <f t="shared" ca="1" si="52"/>
        <v>0</v>
      </c>
      <c r="CM26" s="3"/>
      <c r="CN26" s="1">
        <f t="shared" ca="1" si="53"/>
        <v>14.243244554814394</v>
      </c>
      <c r="CO26" s="1">
        <f t="shared" ca="1" si="54"/>
        <v>0.28353495163873726</v>
      </c>
      <c r="CP26" s="1">
        <f t="shared" ca="1" si="55"/>
        <v>5</v>
      </c>
      <c r="DH26" s="1">
        <f t="shared" ca="1" si="56"/>
        <v>526</v>
      </c>
      <c r="DI26" s="1">
        <f t="shared" ca="1" si="57"/>
        <v>0.44471608794770218</v>
      </c>
      <c r="DJ26" s="1">
        <f t="shared" ca="1" si="58"/>
        <v>11</v>
      </c>
      <c r="DL26" s="1">
        <f t="shared" ca="1" si="59"/>
        <v>1.4940217241137196E-2</v>
      </c>
      <c r="DM26" s="1">
        <f t="shared" ca="1" si="60"/>
        <v>72</v>
      </c>
      <c r="DN26" s="1">
        <f t="shared" ca="1" si="61"/>
        <v>3</v>
      </c>
    </row>
    <row r="27" spans="2:118" x14ac:dyDescent="0.25">
      <c r="B27">
        <f t="shared" ca="1" si="0"/>
        <v>932</v>
      </c>
      <c r="C27">
        <f t="shared" ca="1" si="1"/>
        <v>34</v>
      </c>
      <c r="D27">
        <f t="shared" ca="1" si="2"/>
        <v>0.27614869340618697</v>
      </c>
      <c r="F27" s="1">
        <f t="shared" ca="1" si="3"/>
        <v>26</v>
      </c>
      <c r="G27" s="1">
        <f t="shared" ca="1" si="4"/>
        <v>6</v>
      </c>
      <c r="H27" s="1">
        <f t="shared" ca="1" si="5"/>
        <v>10</v>
      </c>
      <c r="I27" s="1"/>
      <c r="J27" s="1">
        <f t="shared" ca="1" si="6"/>
        <v>13</v>
      </c>
      <c r="K27" s="1">
        <f t="shared" ca="1" si="7"/>
        <v>2.3114855474398857</v>
      </c>
      <c r="L27" s="1">
        <f t="shared" ca="1" si="8"/>
        <v>24</v>
      </c>
      <c r="M27" s="1"/>
      <c r="N27" s="1">
        <f t="shared" ca="1" si="9"/>
        <v>609</v>
      </c>
      <c r="O27" s="1">
        <f t="shared" ca="1" si="10"/>
        <v>12</v>
      </c>
      <c r="P27" s="1"/>
      <c r="Q27" s="1">
        <f t="shared" ca="1" si="11"/>
        <v>4.5317168547877058</v>
      </c>
      <c r="R27" s="1">
        <f t="shared" ca="1" si="12"/>
        <v>1108</v>
      </c>
      <c r="S27" s="1"/>
      <c r="T27" s="1">
        <f t="shared" ca="1" si="13"/>
        <v>0.17211099006855263</v>
      </c>
      <c r="U27" s="1">
        <f t="shared" ca="1" si="14"/>
        <v>334</v>
      </c>
      <c r="V27" s="1">
        <f t="shared" ca="1" si="15"/>
        <v>35</v>
      </c>
      <c r="W27" s="1"/>
      <c r="X27" s="1">
        <f t="shared" ca="1" si="16"/>
        <v>0.84332354727009085</v>
      </c>
      <c r="Y27" s="1">
        <f t="shared" ca="1" si="17"/>
        <v>0.99081253421704085</v>
      </c>
      <c r="Z27" s="1">
        <f t="shared" ca="1" si="18"/>
        <v>1422</v>
      </c>
      <c r="AB27" s="1">
        <f t="shared" ca="1" si="19"/>
        <v>0.58022703407060994</v>
      </c>
      <c r="AC27" s="1">
        <f t="shared" ca="1" si="20"/>
        <v>437</v>
      </c>
      <c r="AD27" s="1">
        <f t="shared" ca="1" si="21"/>
        <v>3.8173034073919416E-3</v>
      </c>
      <c r="AE27" s="1"/>
      <c r="AF27" s="1">
        <f t="shared" ca="1" si="22"/>
        <v>0.59388973818766544</v>
      </c>
      <c r="AG27" s="1">
        <f t="shared" ca="1" si="23"/>
        <v>216</v>
      </c>
      <c r="AH27" s="1">
        <f t="shared" ca="1" si="24"/>
        <v>1.1922590911421301E-3</v>
      </c>
      <c r="AJ27" s="1">
        <f t="shared" ca="1" si="25"/>
        <v>0.2947835213153025</v>
      </c>
      <c r="AK27" s="1">
        <f t="shared" ca="1" si="26"/>
        <v>4.1279752610569988E-3</v>
      </c>
      <c r="AL27" s="1"/>
      <c r="AM27" s="1">
        <f t="shared" ca="1" si="27"/>
        <v>0.11995958544790696</v>
      </c>
      <c r="AN27" s="1">
        <f t="shared" ca="1" si="28"/>
        <v>25</v>
      </c>
      <c r="AO27" s="1">
        <f t="shared" ca="1" si="29"/>
        <v>1</v>
      </c>
      <c r="AQ27" s="1">
        <f t="shared" ca="1" si="30"/>
        <v>82</v>
      </c>
      <c r="AR27" s="1">
        <f t="shared" ca="1" si="31"/>
        <v>9</v>
      </c>
      <c r="AS27" s="1">
        <f t="shared" ca="1" si="32"/>
        <v>89</v>
      </c>
      <c r="AU27" s="1">
        <f t="shared" ca="1" si="33"/>
        <v>86</v>
      </c>
      <c r="AV27" s="1">
        <f t="shared" ca="1" si="34"/>
        <v>9</v>
      </c>
      <c r="AW27" s="1">
        <f t="shared" ca="1" si="35"/>
        <v>0.17426275429612073</v>
      </c>
      <c r="AY27" s="1">
        <f t="shared" ca="1" si="36"/>
        <v>1.3250644037468173</v>
      </c>
      <c r="AZ27" s="1">
        <f t="shared" ca="1" si="37"/>
        <v>194</v>
      </c>
      <c r="BA27" s="1">
        <f t="shared" ca="1" si="38"/>
        <v>6.8816325913891099E-3</v>
      </c>
      <c r="BV27" s="1">
        <f t="shared" ca="1" si="39"/>
        <v>0.58020417759600562</v>
      </c>
      <c r="BW27" s="1">
        <f t="shared" ca="1" si="40"/>
        <v>752</v>
      </c>
      <c r="BX27" s="1">
        <f t="shared" ca="1" si="41"/>
        <v>5.8990115618719717E-4</v>
      </c>
      <c r="BY27" s="1">
        <f t="shared" ca="1" si="42"/>
        <v>2.4631233477934864E-2</v>
      </c>
      <c r="BZ27" s="1">
        <f t="shared" ca="1" si="43"/>
        <v>5.8098382632202461E-2</v>
      </c>
      <c r="CB27" s="1">
        <f t="shared" ca="1" si="44"/>
        <v>300</v>
      </c>
      <c r="CC27" s="1">
        <f t="shared" ca="1" si="45"/>
        <v>4</v>
      </c>
      <c r="CD27" s="1">
        <f t="shared" ca="1" si="46"/>
        <v>0.26257254886471704</v>
      </c>
      <c r="CE27" s="1">
        <f t="shared" ca="1" si="47"/>
        <v>0.83399618105395601</v>
      </c>
      <c r="CF27" s="1">
        <f t="shared" ca="1" si="47"/>
        <v>0.85265012365235471</v>
      </c>
      <c r="CH27" s="3">
        <f t="shared" ca="1" si="48"/>
        <v>0.73876793485008152</v>
      </c>
      <c r="CI27" s="3">
        <f t="shared" ca="1" si="49"/>
        <v>0.34395261202824279</v>
      </c>
      <c r="CJ27" s="3">
        <f t="shared" ca="1" si="50"/>
        <v>1939</v>
      </c>
      <c r="CK27" s="3">
        <f t="shared" ca="1" si="51"/>
        <v>6.6738794907699782E-3</v>
      </c>
      <c r="CL27" s="3">
        <f t="shared" ca="1" si="52"/>
        <v>1</v>
      </c>
      <c r="CM27" s="3"/>
      <c r="CN27" s="1">
        <f t="shared" ca="1" si="53"/>
        <v>17.436671333674237</v>
      </c>
      <c r="CO27" s="1">
        <f t="shared" ca="1" si="54"/>
        <v>0.42564222463592094</v>
      </c>
      <c r="CP27" s="1">
        <f t="shared" ca="1" si="55"/>
        <v>4</v>
      </c>
      <c r="DH27" s="1">
        <f t="shared" ca="1" si="56"/>
        <v>585</v>
      </c>
      <c r="DI27" s="1">
        <f t="shared" ca="1" si="57"/>
        <v>0.29615769823080024</v>
      </c>
      <c r="DJ27" s="1">
        <f t="shared" ca="1" si="58"/>
        <v>18</v>
      </c>
      <c r="DL27" s="1">
        <f t="shared" ca="1" si="59"/>
        <v>0.15284035281619127</v>
      </c>
      <c r="DM27" s="1">
        <f t="shared" ca="1" si="60"/>
        <v>93</v>
      </c>
      <c r="DN27" s="1">
        <f t="shared" ca="1" si="61"/>
        <v>4</v>
      </c>
    </row>
    <row r="28" spans="2:118" x14ac:dyDescent="0.25">
      <c r="B28">
        <f t="shared" ca="1" si="0"/>
        <v>933</v>
      </c>
      <c r="C28">
        <f t="shared" ca="1" si="1"/>
        <v>25</v>
      </c>
      <c r="D28">
        <f t="shared" ca="1" si="2"/>
        <v>0.23504399592723754</v>
      </c>
      <c r="F28" s="1">
        <f t="shared" ca="1" si="3"/>
        <v>36</v>
      </c>
      <c r="G28" s="1">
        <f t="shared" ca="1" si="4"/>
        <v>18</v>
      </c>
      <c r="H28" s="1">
        <f t="shared" ca="1" si="5"/>
        <v>8</v>
      </c>
      <c r="I28" s="1"/>
      <c r="J28" s="1">
        <f t="shared" ca="1" si="6"/>
        <v>24</v>
      </c>
      <c r="K28" s="1">
        <f t="shared" ca="1" si="7"/>
        <v>1.9138900922239435</v>
      </c>
      <c r="L28" s="1">
        <f t="shared" ca="1" si="8"/>
        <v>15</v>
      </c>
      <c r="M28" s="1"/>
      <c r="N28" s="1">
        <f t="shared" ca="1" si="9"/>
        <v>453</v>
      </c>
      <c r="O28" s="1">
        <f t="shared" ca="1" si="10"/>
        <v>28</v>
      </c>
      <c r="P28" s="1"/>
      <c r="Q28" s="1">
        <f t="shared" ca="1" si="11"/>
        <v>1.816662199598958</v>
      </c>
      <c r="R28" s="1">
        <f t="shared" ca="1" si="12"/>
        <v>986</v>
      </c>
      <c r="S28" s="1"/>
      <c r="T28" s="1">
        <f t="shared" ca="1" si="13"/>
        <v>0.16695184215699196</v>
      </c>
      <c r="U28" s="1">
        <f t="shared" ca="1" si="14"/>
        <v>73</v>
      </c>
      <c r="V28" s="1">
        <f t="shared" ca="1" si="15"/>
        <v>29</v>
      </c>
      <c r="W28" s="1"/>
      <c r="X28" s="1">
        <f t="shared" ca="1" si="16"/>
        <v>6.3543746717596372</v>
      </c>
      <c r="Y28" s="1">
        <f t="shared" ca="1" si="17"/>
        <v>0.84020520263707921</v>
      </c>
      <c r="Z28" s="1">
        <f t="shared" ca="1" si="18"/>
        <v>811</v>
      </c>
      <c r="AB28" s="1">
        <f t="shared" ca="1" si="19"/>
        <v>0.10323801216752657</v>
      </c>
      <c r="AC28" s="1">
        <f t="shared" ca="1" si="20"/>
        <v>969</v>
      </c>
      <c r="AD28" s="1">
        <f t="shared" ca="1" si="21"/>
        <v>3.3482765972034879E-3</v>
      </c>
      <c r="AE28" s="1"/>
      <c r="AF28" s="1">
        <f t="shared" ca="1" si="22"/>
        <v>0.26471698043208258</v>
      </c>
      <c r="AG28" s="1">
        <f t="shared" ca="1" si="23"/>
        <v>549</v>
      </c>
      <c r="AH28" s="1">
        <f t="shared" ca="1" si="24"/>
        <v>1.2508986653549507E-3</v>
      </c>
      <c r="AJ28" s="1">
        <f t="shared" ca="1" si="25"/>
        <v>0.74356200048458809</v>
      </c>
      <c r="AK28" s="1">
        <f t="shared" ca="1" si="26"/>
        <v>2.6053619272754184E-3</v>
      </c>
      <c r="AL28" s="1"/>
      <c r="AM28" s="1">
        <f t="shared" ca="1" si="27"/>
        <v>0.14266619972070721</v>
      </c>
      <c r="AN28" s="1">
        <f t="shared" ca="1" si="28"/>
        <v>51</v>
      </c>
      <c r="AO28" s="1">
        <f t="shared" ca="1" si="29"/>
        <v>12</v>
      </c>
      <c r="AQ28" s="1">
        <f t="shared" ca="1" si="30"/>
        <v>115</v>
      </c>
      <c r="AR28" s="1">
        <f t="shared" ca="1" si="31"/>
        <v>3</v>
      </c>
      <c r="AS28" s="1">
        <f t="shared" ca="1" si="32"/>
        <v>44</v>
      </c>
      <c r="AU28" s="1">
        <f t="shared" ca="1" si="33"/>
        <v>384</v>
      </c>
      <c r="AV28" s="1">
        <f t="shared" ca="1" si="34"/>
        <v>4</v>
      </c>
      <c r="AW28" s="1">
        <f t="shared" ca="1" si="35"/>
        <v>0.12253353110612621</v>
      </c>
      <c r="AY28" s="1">
        <f t="shared" ca="1" si="36"/>
        <v>1.1093609369923711</v>
      </c>
      <c r="AZ28" s="1">
        <f t="shared" ca="1" si="37"/>
        <v>425</v>
      </c>
      <c r="BA28" s="1">
        <f t="shared" ca="1" si="38"/>
        <v>5.5122698208114043E-3</v>
      </c>
      <c r="BV28" s="1">
        <f t="shared" ca="1" si="39"/>
        <v>0.75652920744380481</v>
      </c>
      <c r="BW28" s="1">
        <f t="shared" ca="1" si="40"/>
        <v>723</v>
      </c>
      <c r="BX28" s="1">
        <f t="shared" ca="1" si="41"/>
        <v>5.7967742115687011E-3</v>
      </c>
      <c r="BY28" s="1">
        <f t="shared" ca="1" si="42"/>
        <v>7.2362592939590326E-3</v>
      </c>
      <c r="BZ28" s="1">
        <f t="shared" ca="1" si="43"/>
        <v>0.48576408543800687</v>
      </c>
      <c r="CB28" s="1">
        <f t="shared" ca="1" si="44"/>
        <v>424</v>
      </c>
      <c r="CC28" s="1">
        <f t="shared" ca="1" si="45"/>
        <v>11</v>
      </c>
      <c r="CD28" s="1">
        <f t="shared" ca="1" si="46"/>
        <v>0.19241713335369026</v>
      </c>
      <c r="CE28" s="1">
        <f t="shared" ca="1" si="47"/>
        <v>0.90334748504662632</v>
      </c>
      <c r="CF28" s="1">
        <f t="shared" ca="1" si="47"/>
        <v>0.67403733070796834</v>
      </c>
      <c r="CH28" s="3">
        <f t="shared" ca="1" si="48"/>
        <v>0.17305785227432913</v>
      </c>
      <c r="CI28" s="3">
        <f t="shared" ca="1" si="49"/>
        <v>0.33154678403122356</v>
      </c>
      <c r="CJ28" s="3">
        <f t="shared" ca="1" si="50"/>
        <v>215</v>
      </c>
      <c r="CK28" s="3">
        <f t="shared" ca="1" si="51"/>
        <v>9.8220513822186179E-3</v>
      </c>
      <c r="CL28" s="3">
        <f t="shared" ca="1" si="52"/>
        <v>0</v>
      </c>
      <c r="CM28" s="3"/>
      <c r="CN28" s="1">
        <f t="shared" ca="1" si="53"/>
        <v>6.1566439722916773</v>
      </c>
      <c r="CO28" s="1">
        <f t="shared" ca="1" si="54"/>
        <v>5.8853081999058129E-2</v>
      </c>
      <c r="CP28" s="1">
        <f t="shared" ca="1" si="55"/>
        <v>3</v>
      </c>
      <c r="DH28" s="1">
        <f t="shared" ca="1" si="56"/>
        <v>835</v>
      </c>
      <c r="DI28" s="1">
        <f t="shared" ca="1" si="57"/>
        <v>0.72022183896229686</v>
      </c>
      <c r="DJ28" s="1">
        <f t="shared" ca="1" si="58"/>
        <v>30</v>
      </c>
      <c r="DL28" s="1">
        <f t="shared" ca="1" si="59"/>
        <v>2.1945110813630677E-2</v>
      </c>
      <c r="DM28" s="1">
        <f t="shared" ca="1" si="60"/>
        <v>173</v>
      </c>
      <c r="DN28" s="1">
        <f t="shared" ca="1" si="61"/>
        <v>8</v>
      </c>
    </row>
    <row r="29" spans="2:118" x14ac:dyDescent="0.25">
      <c r="B29">
        <f t="shared" ca="1" si="0"/>
        <v>926</v>
      </c>
      <c r="C29">
        <f t="shared" ca="1" si="1"/>
        <v>23</v>
      </c>
      <c r="D29">
        <f t="shared" ca="1" si="2"/>
        <v>0.19114657578568367</v>
      </c>
      <c r="F29" s="1">
        <f t="shared" ca="1" si="3"/>
        <v>41</v>
      </c>
      <c r="G29" s="1">
        <f t="shared" ca="1" si="4"/>
        <v>29</v>
      </c>
      <c r="H29" s="1">
        <f t="shared" ca="1" si="5"/>
        <v>6</v>
      </c>
      <c r="I29" s="1"/>
      <c r="J29" s="1">
        <f t="shared" ca="1" si="6"/>
        <v>31</v>
      </c>
      <c r="K29" s="1">
        <f t="shared" ca="1" si="7"/>
        <v>1.3708117203991537</v>
      </c>
      <c r="L29" s="1">
        <f t="shared" ca="1" si="8"/>
        <v>22</v>
      </c>
      <c r="M29" s="1"/>
      <c r="N29" s="1">
        <f t="shared" ca="1" si="9"/>
        <v>218</v>
      </c>
      <c r="O29" s="1">
        <f t="shared" ca="1" si="10"/>
        <v>28</v>
      </c>
      <c r="P29" s="1"/>
      <c r="Q29" s="1">
        <f t="shared" ca="1" si="11"/>
        <v>4.635900275947006</v>
      </c>
      <c r="R29" s="1">
        <f t="shared" ca="1" si="12"/>
        <v>944</v>
      </c>
      <c r="S29" s="1"/>
      <c r="T29" s="1">
        <f t="shared" ca="1" si="13"/>
        <v>0.12004450835287842</v>
      </c>
      <c r="U29" s="1">
        <f t="shared" ca="1" si="14"/>
        <v>112</v>
      </c>
      <c r="V29" s="1">
        <f t="shared" ca="1" si="15"/>
        <v>19</v>
      </c>
      <c r="W29" s="1"/>
      <c r="X29" s="1">
        <f t="shared" ca="1" si="16"/>
        <v>5.823252730697341</v>
      </c>
      <c r="Y29" s="1">
        <f t="shared" ca="1" si="17"/>
        <v>0.82016498973769425</v>
      </c>
      <c r="Z29" s="1">
        <f t="shared" ca="1" si="18"/>
        <v>588</v>
      </c>
      <c r="AB29" s="1">
        <f t="shared" ca="1" si="19"/>
        <v>0.26575337450881648</v>
      </c>
      <c r="AC29" s="1">
        <f t="shared" ca="1" si="20"/>
        <v>310</v>
      </c>
      <c r="AD29" s="1">
        <f t="shared" ca="1" si="21"/>
        <v>2.4570082624610153E-3</v>
      </c>
      <c r="AE29" s="1"/>
      <c r="AF29" s="1">
        <f t="shared" ca="1" si="22"/>
        <v>0.54939332614197978</v>
      </c>
      <c r="AG29" s="1">
        <f t="shared" ca="1" si="23"/>
        <v>640</v>
      </c>
      <c r="AH29" s="1">
        <f t="shared" ca="1" si="24"/>
        <v>2.6558602242801545E-4</v>
      </c>
      <c r="AJ29" s="1">
        <f t="shared" ca="1" si="25"/>
        <v>2.9123171689170779E-2</v>
      </c>
      <c r="AK29" s="1">
        <f t="shared" ca="1" si="26"/>
        <v>1.3231881011217482E-3</v>
      </c>
      <c r="AL29" s="1"/>
      <c r="AM29" s="1">
        <f t="shared" ca="1" si="27"/>
        <v>0.17110758933513934</v>
      </c>
      <c r="AN29" s="1">
        <f t="shared" ca="1" si="28"/>
        <v>69</v>
      </c>
      <c r="AO29" s="1">
        <f t="shared" ca="1" si="29"/>
        <v>4</v>
      </c>
      <c r="AQ29" s="1">
        <f t="shared" ca="1" si="30"/>
        <v>142</v>
      </c>
      <c r="AR29" s="1">
        <f t="shared" ca="1" si="31"/>
        <v>10</v>
      </c>
      <c r="AS29" s="1">
        <f t="shared" ca="1" si="32"/>
        <v>7</v>
      </c>
      <c r="AU29" s="1">
        <f t="shared" ca="1" si="33"/>
        <v>252</v>
      </c>
      <c r="AV29" s="1">
        <f t="shared" ca="1" si="34"/>
        <v>6</v>
      </c>
      <c r="AW29" s="1">
        <f t="shared" ca="1" si="35"/>
        <v>9.2642745877335092E-2</v>
      </c>
      <c r="AY29" s="1">
        <f t="shared" ca="1" si="36"/>
        <v>1.5426154368180502</v>
      </c>
      <c r="AZ29" s="1">
        <f t="shared" ca="1" si="37"/>
        <v>163</v>
      </c>
      <c r="BA29" s="1">
        <f t="shared" ca="1" si="38"/>
        <v>8.1194149250936962E-3</v>
      </c>
      <c r="BV29" s="1">
        <f t="shared" ca="1" si="39"/>
        <v>2.0220371402402605E-2</v>
      </c>
      <c r="BW29" s="1">
        <f t="shared" ca="1" si="40"/>
        <v>192</v>
      </c>
      <c r="BX29" s="1">
        <f t="shared" ca="1" si="41"/>
        <v>6.949787866469102E-3</v>
      </c>
      <c r="BY29" s="1">
        <f t="shared" ca="1" si="42"/>
        <v>7.5759395103431784E-2</v>
      </c>
      <c r="BZ29" s="1">
        <f t="shared" ca="1" si="43"/>
        <v>0.80365017296183483</v>
      </c>
      <c r="CB29" s="1">
        <f t="shared" ca="1" si="44"/>
        <v>441</v>
      </c>
      <c r="CC29" s="1">
        <f t="shared" ca="1" si="45"/>
        <v>6</v>
      </c>
      <c r="CD29" s="1">
        <f t="shared" ca="1" si="46"/>
        <v>0.21811594220641994</v>
      </c>
      <c r="CE29" s="1">
        <f t="shared" ca="1" si="47"/>
        <v>0.93731437932140493</v>
      </c>
      <c r="CF29" s="1">
        <f t="shared" ca="1" si="47"/>
        <v>0.9979669600631107</v>
      </c>
      <c r="CH29" s="3">
        <f t="shared" ca="1" si="48"/>
        <v>0.6017614436581189</v>
      </c>
      <c r="CI29" s="3">
        <f t="shared" ca="1" si="49"/>
        <v>0.20211003569868485</v>
      </c>
      <c r="CJ29" s="3">
        <f t="shared" ca="1" si="50"/>
        <v>1546</v>
      </c>
      <c r="CK29" s="3">
        <f t="shared" ca="1" si="51"/>
        <v>9.6296208875790174E-3</v>
      </c>
      <c r="CL29" s="3">
        <f t="shared" ca="1" si="52"/>
        <v>0</v>
      </c>
      <c r="CM29" s="3"/>
      <c r="CN29" s="1">
        <f t="shared" ca="1" si="53"/>
        <v>5.0422604996378162</v>
      </c>
      <c r="CO29" s="1">
        <f t="shared" ca="1" si="54"/>
        <v>0.42954812798517428</v>
      </c>
      <c r="CP29" s="1">
        <f t="shared" ca="1" si="55"/>
        <v>5</v>
      </c>
      <c r="DH29" s="1">
        <f t="shared" ca="1" si="56"/>
        <v>655</v>
      </c>
      <c r="DI29" s="1">
        <f t="shared" ca="1" si="57"/>
        <v>0.74858830852724112</v>
      </c>
      <c r="DJ29" s="1">
        <f t="shared" ca="1" si="58"/>
        <v>23</v>
      </c>
      <c r="DL29" s="1">
        <f t="shared" ca="1" si="59"/>
        <v>0.18764761483839384</v>
      </c>
      <c r="DM29" s="1">
        <f t="shared" ca="1" si="60"/>
        <v>190</v>
      </c>
      <c r="DN29" s="1">
        <f t="shared" ca="1" si="61"/>
        <v>9</v>
      </c>
    </row>
    <row r="30" spans="2:118" x14ac:dyDescent="0.25">
      <c r="B30">
        <f t="shared" ca="1" si="0"/>
        <v>112</v>
      </c>
      <c r="C30">
        <f t="shared" ca="1" si="1"/>
        <v>52</v>
      </c>
      <c r="D30">
        <f t="shared" ca="1" si="2"/>
        <v>0.25209346300683977</v>
      </c>
      <c r="F30" s="1">
        <f t="shared" ca="1" si="3"/>
        <v>3</v>
      </c>
      <c r="G30" s="1">
        <f t="shared" ca="1" si="4"/>
        <v>17</v>
      </c>
      <c r="H30" s="1">
        <f t="shared" ca="1" si="5"/>
        <v>15</v>
      </c>
      <c r="I30" s="1"/>
      <c r="J30" s="1">
        <f t="shared" ca="1" si="6"/>
        <v>19</v>
      </c>
      <c r="K30" s="1">
        <f t="shared" ca="1" si="7"/>
        <v>1.5519099211159286</v>
      </c>
      <c r="L30" s="1">
        <f t="shared" ca="1" si="8"/>
        <v>8</v>
      </c>
      <c r="M30" s="1"/>
      <c r="N30" s="1">
        <f t="shared" ca="1" si="9"/>
        <v>957</v>
      </c>
      <c r="O30" s="1">
        <f t="shared" ca="1" si="10"/>
        <v>50</v>
      </c>
      <c r="P30" s="1"/>
      <c r="Q30" s="1">
        <f t="shared" ca="1" si="11"/>
        <v>2.460972255496964</v>
      </c>
      <c r="R30" s="1">
        <f t="shared" ca="1" si="12"/>
        <v>268</v>
      </c>
      <c r="S30" s="1"/>
      <c r="T30" s="1">
        <f t="shared" ca="1" si="13"/>
        <v>1.4280460992819178E-2</v>
      </c>
      <c r="U30" s="1">
        <f t="shared" ca="1" si="14"/>
        <v>274</v>
      </c>
      <c r="V30" s="1">
        <f t="shared" ca="1" si="15"/>
        <v>10</v>
      </c>
      <c r="W30" s="1"/>
      <c r="X30" s="1">
        <f t="shared" ca="1" si="16"/>
        <v>2.8960062181756347</v>
      </c>
      <c r="Y30" s="1">
        <f t="shared" ca="1" si="17"/>
        <v>0.92993603852424067</v>
      </c>
      <c r="Z30" s="1">
        <f t="shared" ca="1" si="18"/>
        <v>321</v>
      </c>
      <c r="AB30" s="1">
        <f t="shared" ca="1" si="19"/>
        <v>0.58291000144569904</v>
      </c>
      <c r="AC30" s="1">
        <f t="shared" ca="1" si="20"/>
        <v>731</v>
      </c>
      <c r="AD30" s="1">
        <f t="shared" ca="1" si="21"/>
        <v>7.4727049252445955E-3</v>
      </c>
      <c r="AE30" s="1"/>
      <c r="AF30" s="1">
        <f t="shared" ca="1" si="22"/>
        <v>0.48464831619072024</v>
      </c>
      <c r="AG30" s="1">
        <f t="shared" ca="1" si="23"/>
        <v>160</v>
      </c>
      <c r="AH30" s="1">
        <f t="shared" ca="1" si="24"/>
        <v>2.3778658274473756E-3</v>
      </c>
      <c r="AJ30" s="1">
        <f t="shared" ca="1" si="25"/>
        <v>0.49946004472731031</v>
      </c>
      <c r="AK30" s="1">
        <f t="shared" ca="1" si="26"/>
        <v>1.9203429624263827E-3</v>
      </c>
      <c r="AL30" s="1"/>
      <c r="AM30" s="1">
        <f t="shared" ca="1" si="27"/>
        <v>0.11037069807989032</v>
      </c>
      <c r="AN30" s="1">
        <f t="shared" ca="1" si="28"/>
        <v>57</v>
      </c>
      <c r="AO30" s="1">
        <f t="shared" ca="1" si="29"/>
        <v>7</v>
      </c>
      <c r="AQ30" s="1">
        <f t="shared" ca="1" si="30"/>
        <v>47</v>
      </c>
      <c r="AR30" s="1">
        <f t="shared" ca="1" si="31"/>
        <v>3</v>
      </c>
      <c r="AS30" s="1">
        <f t="shared" ca="1" si="32"/>
        <v>83</v>
      </c>
      <c r="AU30" s="1">
        <f t="shared" ca="1" si="33"/>
        <v>165</v>
      </c>
      <c r="AV30" s="1">
        <f t="shared" ca="1" si="34"/>
        <v>3</v>
      </c>
      <c r="AW30" s="1">
        <f t="shared" ca="1" si="35"/>
        <v>0.17771675643248896</v>
      </c>
      <c r="AY30" s="1">
        <f t="shared" ca="1" si="36"/>
        <v>1.4680145284023509</v>
      </c>
      <c r="AZ30" s="1">
        <f t="shared" ca="1" si="37"/>
        <v>86</v>
      </c>
      <c r="BA30" s="1">
        <f t="shared" ca="1" si="38"/>
        <v>1.4960732121955649E-4</v>
      </c>
      <c r="BV30" s="1">
        <f t="shared" ca="1" si="39"/>
        <v>0.99835941938538131</v>
      </c>
      <c r="BW30" s="1">
        <f t="shared" ca="1" si="40"/>
        <v>890</v>
      </c>
      <c r="BX30" s="1">
        <f t="shared" ca="1" si="41"/>
        <v>5.5830573216123797E-3</v>
      </c>
      <c r="BY30" s="1">
        <f t="shared" ca="1" si="42"/>
        <v>1.1254984613484535E-2</v>
      </c>
      <c r="BZ30" s="1">
        <f t="shared" ca="1" si="43"/>
        <v>0.19132004540812109</v>
      </c>
      <c r="CB30" s="1">
        <f t="shared" ca="1" si="44"/>
        <v>357</v>
      </c>
      <c r="CC30" s="1">
        <f t="shared" ca="1" si="45"/>
        <v>5</v>
      </c>
      <c r="CD30" s="1">
        <f t="shared" ca="1" si="46"/>
        <v>0.12624791023039247</v>
      </c>
      <c r="CE30" s="1">
        <f t="shared" ca="1" si="47"/>
        <v>0.78867140252051815</v>
      </c>
      <c r="CF30" s="1">
        <f t="shared" ca="1" si="47"/>
        <v>0.63365208637016468</v>
      </c>
      <c r="CH30" s="3">
        <f t="shared" ca="1" si="48"/>
        <v>0.40397941744116783</v>
      </c>
      <c r="CI30" s="3">
        <f t="shared" ca="1" si="49"/>
        <v>0.84111067394647121</v>
      </c>
      <c r="CJ30" s="3">
        <f t="shared" ca="1" si="50"/>
        <v>1901</v>
      </c>
      <c r="CK30" s="3">
        <f t="shared" ca="1" si="51"/>
        <v>8.9444701952189655E-3</v>
      </c>
      <c r="CL30" s="3">
        <f t="shared" ca="1" si="52"/>
        <v>0</v>
      </c>
      <c r="CM30" s="3"/>
      <c r="CN30" s="1">
        <f t="shared" ca="1" si="53"/>
        <v>13.163849439631168</v>
      </c>
      <c r="CO30" s="1">
        <f t="shared" ca="1" si="54"/>
        <v>0.13280363654297633</v>
      </c>
      <c r="CP30" s="1">
        <f t="shared" ca="1" si="55"/>
        <v>1</v>
      </c>
      <c r="DH30" s="1">
        <f t="shared" ca="1" si="56"/>
        <v>511</v>
      </c>
      <c r="DI30" s="1">
        <f t="shared" ca="1" si="57"/>
        <v>0.77388840269963943</v>
      </c>
      <c r="DJ30" s="1">
        <f t="shared" ca="1" si="58"/>
        <v>10</v>
      </c>
      <c r="DL30" s="1">
        <f t="shared" ca="1" si="59"/>
        <v>0.10937539169276735</v>
      </c>
      <c r="DM30" s="1">
        <f t="shared" ca="1" si="60"/>
        <v>127</v>
      </c>
      <c r="DN30" s="1">
        <f t="shared" ca="1" si="61"/>
        <v>7</v>
      </c>
    </row>
    <row r="31" spans="2:118" x14ac:dyDescent="0.25">
      <c r="B31">
        <f t="shared" ca="1" si="0"/>
        <v>523</v>
      </c>
      <c r="C31">
        <f t="shared" ca="1" si="1"/>
        <v>22</v>
      </c>
      <c r="D31">
        <f t="shared" ca="1" si="2"/>
        <v>0.1628216159636296</v>
      </c>
      <c r="F31" s="1">
        <f t="shared" ca="1" si="3"/>
        <v>31</v>
      </c>
      <c r="G31" s="1">
        <f t="shared" ca="1" si="4"/>
        <v>2</v>
      </c>
      <c r="H31" s="1">
        <f t="shared" ca="1" si="5"/>
        <v>7</v>
      </c>
      <c r="I31" s="1"/>
      <c r="J31" s="1">
        <f t="shared" ca="1" si="6"/>
        <v>18</v>
      </c>
      <c r="K31" s="1">
        <f t="shared" ca="1" si="7"/>
        <v>1.0543605912448573</v>
      </c>
      <c r="L31" s="1">
        <f t="shared" ca="1" si="8"/>
        <v>16</v>
      </c>
      <c r="M31" s="1"/>
      <c r="N31" s="1">
        <f t="shared" ca="1" si="9"/>
        <v>275</v>
      </c>
      <c r="O31" s="1">
        <f t="shared" ca="1" si="10"/>
        <v>20</v>
      </c>
      <c r="P31" s="1"/>
      <c r="Q31" s="1">
        <f t="shared" ca="1" si="11"/>
        <v>0.56499557477018869</v>
      </c>
      <c r="R31" s="1">
        <f t="shared" ca="1" si="12"/>
        <v>600</v>
      </c>
      <c r="S31" s="1"/>
      <c r="T31" s="1">
        <f t="shared" ca="1" si="13"/>
        <v>0.18089361847605831</v>
      </c>
      <c r="U31" s="1">
        <f t="shared" ca="1" si="14"/>
        <v>177</v>
      </c>
      <c r="V31" s="1">
        <f t="shared" ca="1" si="15"/>
        <v>32</v>
      </c>
      <c r="W31" s="1"/>
      <c r="X31" s="1">
        <f t="shared" ca="1" si="16"/>
        <v>0.79442898898914249</v>
      </c>
      <c r="Y31" s="1">
        <f t="shared" ca="1" si="17"/>
        <v>0.72743840479198341</v>
      </c>
      <c r="Z31" s="1">
        <f t="shared" ca="1" si="18"/>
        <v>1644</v>
      </c>
      <c r="AB31" s="1">
        <f t="shared" ca="1" si="19"/>
        <v>0.53079780348901917</v>
      </c>
      <c r="AC31" s="1">
        <f t="shared" ca="1" si="20"/>
        <v>885</v>
      </c>
      <c r="AD31" s="1">
        <f t="shared" ca="1" si="21"/>
        <v>3.1736651070602482E-3</v>
      </c>
      <c r="AE31" s="1"/>
      <c r="AF31" s="1">
        <f t="shared" ca="1" si="22"/>
        <v>0.22284985445402494</v>
      </c>
      <c r="AG31" s="1">
        <f t="shared" ca="1" si="23"/>
        <v>220</v>
      </c>
      <c r="AH31" s="1">
        <f t="shared" ca="1" si="24"/>
        <v>9.9157584292238424E-3</v>
      </c>
      <c r="AJ31" s="1">
        <f t="shared" ca="1" si="25"/>
        <v>0.96858420554797964</v>
      </c>
      <c r="AK31" s="1">
        <f t="shared" ca="1" si="26"/>
        <v>4.0169888709810954E-3</v>
      </c>
      <c r="AL31" s="1"/>
      <c r="AM31" s="1">
        <f t="shared" ca="1" si="27"/>
        <v>5.9073840435957224E-2</v>
      </c>
      <c r="AN31" s="1">
        <f t="shared" ca="1" si="28"/>
        <v>51</v>
      </c>
      <c r="AO31" s="1">
        <f t="shared" ca="1" si="29"/>
        <v>14</v>
      </c>
      <c r="AQ31" s="1">
        <f t="shared" ca="1" si="30"/>
        <v>52</v>
      </c>
      <c r="AR31" s="1">
        <f t="shared" ca="1" si="31"/>
        <v>8</v>
      </c>
      <c r="AS31" s="1">
        <f t="shared" ca="1" si="32"/>
        <v>77</v>
      </c>
      <c r="AU31" s="1">
        <f t="shared" ca="1" si="33"/>
        <v>187</v>
      </c>
      <c r="AV31" s="1">
        <f t="shared" ca="1" si="34"/>
        <v>5</v>
      </c>
      <c r="AW31" s="1">
        <f t="shared" ca="1" si="35"/>
        <v>3.3130618691144087E-2</v>
      </c>
      <c r="AY31" s="1">
        <f t="shared" ca="1" si="36"/>
        <v>1.7515900868729974</v>
      </c>
      <c r="AZ31" s="1">
        <f t="shared" ca="1" si="37"/>
        <v>177</v>
      </c>
      <c r="BA31" s="1">
        <f t="shared" ca="1" si="38"/>
        <v>1.4573315551911538E-3</v>
      </c>
      <c r="BV31" s="1">
        <f t="shared" ca="1" si="39"/>
        <v>0.42363789585701794</v>
      </c>
      <c r="BW31" s="1">
        <f t="shared" ca="1" si="40"/>
        <v>598</v>
      </c>
      <c r="BX31" s="1">
        <f t="shared" ca="1" si="41"/>
        <v>2.0136772980391382E-3</v>
      </c>
      <c r="BY31" s="1">
        <f t="shared" ca="1" si="42"/>
        <v>2.2295273891581851E-2</v>
      </c>
      <c r="BZ31" s="1">
        <f t="shared" ca="1" si="43"/>
        <v>0.82685813108818351</v>
      </c>
      <c r="CB31" s="1">
        <f t="shared" ca="1" si="44"/>
        <v>144</v>
      </c>
      <c r="CC31" s="1">
        <f t="shared" ca="1" si="45"/>
        <v>3</v>
      </c>
      <c r="CD31" s="1">
        <f t="shared" ca="1" si="46"/>
        <v>0.22918459522028409</v>
      </c>
      <c r="CE31" s="1">
        <f t="shared" ca="1" si="47"/>
        <v>0.71049333519007751</v>
      </c>
      <c r="CF31" s="1">
        <f t="shared" ca="1" si="47"/>
        <v>0.98810600102191759</v>
      </c>
      <c r="CH31" s="3">
        <f t="shared" ca="1" si="48"/>
        <v>0.61217944495970567</v>
      </c>
      <c r="CI31" s="3">
        <f t="shared" ca="1" si="49"/>
        <v>7.5097081370557831E-2</v>
      </c>
      <c r="CJ31" s="3">
        <f t="shared" ca="1" si="50"/>
        <v>189</v>
      </c>
      <c r="CK31" s="3">
        <f t="shared" ca="1" si="51"/>
        <v>4.8485199873175228E-3</v>
      </c>
      <c r="CL31" s="3">
        <f t="shared" ca="1" si="52"/>
        <v>1</v>
      </c>
      <c r="CM31" s="3"/>
      <c r="CN31" s="1">
        <f t="shared" ca="1" si="53"/>
        <v>0.83720486298132979</v>
      </c>
      <c r="CO31" s="1">
        <f t="shared" ca="1" si="54"/>
        <v>5.5067052724481452E-2</v>
      </c>
      <c r="CP31" s="1">
        <f t="shared" ca="1" si="55"/>
        <v>3</v>
      </c>
      <c r="DH31" s="1">
        <f t="shared" ca="1" si="56"/>
        <v>152</v>
      </c>
      <c r="DI31" s="1">
        <f t="shared" ca="1" si="57"/>
        <v>0.91472858243719224</v>
      </c>
      <c r="DJ31" s="1">
        <f t="shared" ca="1" si="58"/>
        <v>2</v>
      </c>
      <c r="DL31" s="1">
        <f t="shared" ca="1" si="59"/>
        <v>2.1518886937189348E-2</v>
      </c>
      <c r="DM31" s="1">
        <f t="shared" ca="1" si="60"/>
        <v>207</v>
      </c>
      <c r="DN31" s="1">
        <f t="shared" ca="1" si="61"/>
        <v>8</v>
      </c>
    </row>
    <row r="32" spans="2:118" x14ac:dyDescent="0.25">
      <c r="B32">
        <f t="shared" ca="1" si="0"/>
        <v>666</v>
      </c>
      <c r="C32">
        <f t="shared" ca="1" si="1"/>
        <v>50</v>
      </c>
      <c r="D32">
        <f t="shared" ca="1" si="2"/>
        <v>0.28626127340098717</v>
      </c>
      <c r="F32" s="1">
        <f t="shared" ca="1" si="3"/>
        <v>44</v>
      </c>
      <c r="G32" s="1">
        <f t="shared" ca="1" si="4"/>
        <v>13</v>
      </c>
      <c r="H32" s="1">
        <f t="shared" ca="1" si="5"/>
        <v>3</v>
      </c>
      <c r="I32" s="1"/>
      <c r="J32" s="1">
        <f t="shared" ca="1" si="6"/>
        <v>31</v>
      </c>
      <c r="K32" s="1">
        <f t="shared" ca="1" si="7"/>
        <v>2.3843421625164383</v>
      </c>
      <c r="L32" s="1">
        <f t="shared" ca="1" si="8"/>
        <v>12</v>
      </c>
      <c r="M32" s="1"/>
      <c r="N32" s="1">
        <f t="shared" ca="1" si="9"/>
        <v>409</v>
      </c>
      <c r="O32" s="1">
        <f t="shared" ca="1" si="10"/>
        <v>37</v>
      </c>
      <c r="P32" s="1"/>
      <c r="Q32" s="1">
        <f t="shared" ca="1" si="11"/>
        <v>4.9555909483259084</v>
      </c>
      <c r="R32" s="1">
        <f t="shared" ca="1" si="12"/>
        <v>1109</v>
      </c>
      <c r="S32" s="1"/>
      <c r="T32" s="1">
        <f t="shared" ca="1" si="13"/>
        <v>0.17544647652347242</v>
      </c>
      <c r="U32" s="1">
        <f t="shared" ca="1" si="14"/>
        <v>151</v>
      </c>
      <c r="V32" s="1">
        <f t="shared" ca="1" si="15"/>
        <v>14</v>
      </c>
      <c r="W32" s="1"/>
      <c r="X32" s="1">
        <f t="shared" ca="1" si="16"/>
        <v>1.7551179670271373</v>
      </c>
      <c r="Y32" s="1">
        <f t="shared" ca="1" si="17"/>
        <v>4.5864240261513131E-2</v>
      </c>
      <c r="Z32" s="1">
        <f t="shared" ca="1" si="18"/>
        <v>1103</v>
      </c>
      <c r="AB32" s="1">
        <f t="shared" ca="1" si="19"/>
        <v>6.5621216250223158E-2</v>
      </c>
      <c r="AC32" s="1">
        <f t="shared" ca="1" si="20"/>
        <v>691</v>
      </c>
      <c r="AD32" s="1">
        <f t="shared" ca="1" si="21"/>
        <v>7.0375629949154979E-3</v>
      </c>
      <c r="AE32" s="1"/>
      <c r="AF32" s="1">
        <f t="shared" ca="1" si="22"/>
        <v>0.86083395913976257</v>
      </c>
      <c r="AG32" s="1">
        <f t="shared" ca="1" si="23"/>
        <v>689</v>
      </c>
      <c r="AH32" s="1">
        <f t="shared" ca="1" si="24"/>
        <v>4.1994190085648565E-3</v>
      </c>
      <c r="AJ32" s="1">
        <f t="shared" ca="1" si="25"/>
        <v>0.59912411799410992</v>
      </c>
      <c r="AK32" s="1">
        <f t="shared" ca="1" si="26"/>
        <v>7.3664220789383473E-3</v>
      </c>
      <c r="AL32" s="1"/>
      <c r="AM32" s="1">
        <f t="shared" ca="1" si="27"/>
        <v>3.663920884008947E-2</v>
      </c>
      <c r="AN32" s="1">
        <f t="shared" ca="1" si="28"/>
        <v>60</v>
      </c>
      <c r="AO32" s="1">
        <f t="shared" ca="1" si="29"/>
        <v>11</v>
      </c>
      <c r="AQ32" s="1">
        <f t="shared" ca="1" si="30"/>
        <v>14</v>
      </c>
      <c r="AR32" s="1">
        <f t="shared" ca="1" si="31"/>
        <v>0</v>
      </c>
      <c r="AS32" s="1">
        <f t="shared" ca="1" si="32"/>
        <v>37</v>
      </c>
      <c r="AU32" s="1">
        <f t="shared" ca="1" si="33"/>
        <v>290</v>
      </c>
      <c r="AV32" s="1">
        <f t="shared" ca="1" si="34"/>
        <v>7</v>
      </c>
      <c r="AW32" s="1">
        <f t="shared" ca="1" si="35"/>
        <v>9.9013164990370342E-2</v>
      </c>
      <c r="AY32" s="1">
        <f t="shared" ca="1" si="36"/>
        <v>1.4190096292258523</v>
      </c>
      <c r="AZ32" s="1">
        <f t="shared" ca="1" si="37"/>
        <v>281</v>
      </c>
      <c r="BA32" s="1">
        <f t="shared" ca="1" si="38"/>
        <v>7.4117470678421709E-3</v>
      </c>
      <c r="BV32" s="1">
        <f t="shared" ca="1" si="39"/>
        <v>0.29256317771131085</v>
      </c>
      <c r="BW32" s="1">
        <f t="shared" ca="1" si="40"/>
        <v>885</v>
      </c>
      <c r="BX32" s="1">
        <f t="shared" ca="1" si="41"/>
        <v>6.7397616554643013E-3</v>
      </c>
      <c r="BY32" s="1">
        <f t="shared" ca="1" si="42"/>
        <v>3.5769304347770425E-2</v>
      </c>
      <c r="BZ32" s="1">
        <f t="shared" ca="1" si="43"/>
        <v>0.16619808927414514</v>
      </c>
      <c r="CB32" s="1">
        <f t="shared" ca="1" si="44"/>
        <v>430</v>
      </c>
      <c r="CC32" s="1">
        <f t="shared" ca="1" si="45"/>
        <v>5</v>
      </c>
      <c r="CD32" s="1">
        <f t="shared" ca="1" si="46"/>
        <v>0.17618007095974053</v>
      </c>
      <c r="CE32" s="1">
        <f t="shared" ca="1" si="47"/>
        <v>0.65911687452515011</v>
      </c>
      <c r="CF32" s="1">
        <f t="shared" ca="1" si="47"/>
        <v>0.6623026442421357</v>
      </c>
      <c r="CH32" s="3">
        <f t="shared" ca="1" si="48"/>
        <v>0.1094513165387777</v>
      </c>
      <c r="CI32" s="3">
        <f t="shared" ca="1" si="49"/>
        <v>0.22302430941289061</v>
      </c>
      <c r="CJ32" s="3">
        <f t="shared" ca="1" si="50"/>
        <v>824</v>
      </c>
      <c r="CK32" s="3">
        <f t="shared" ca="1" si="51"/>
        <v>2.9519155609816238E-3</v>
      </c>
      <c r="CL32" s="3">
        <f t="shared" ca="1" si="52"/>
        <v>0</v>
      </c>
      <c r="CM32" s="3"/>
      <c r="CN32" s="1">
        <f t="shared" ca="1" si="53"/>
        <v>5.2200324718763094</v>
      </c>
      <c r="CO32" s="1">
        <f t="shared" ca="1" si="54"/>
        <v>0.22500000648062793</v>
      </c>
      <c r="CP32" s="1">
        <f t="shared" ca="1" si="55"/>
        <v>5</v>
      </c>
      <c r="DH32" s="1">
        <f t="shared" ca="1" si="56"/>
        <v>115</v>
      </c>
      <c r="DI32" s="1">
        <f t="shared" ca="1" si="57"/>
        <v>0.76591493778752262</v>
      </c>
      <c r="DJ32" s="1">
        <f t="shared" ca="1" si="58"/>
        <v>14</v>
      </c>
      <c r="DL32" s="1">
        <f t="shared" ca="1" si="59"/>
        <v>0.11966481001248229</v>
      </c>
      <c r="DM32" s="1">
        <f t="shared" ca="1" si="60"/>
        <v>212</v>
      </c>
      <c r="DN32" s="1">
        <f t="shared" ca="1" si="61"/>
        <v>7</v>
      </c>
    </row>
    <row r="33" spans="2:118" x14ac:dyDescent="0.25">
      <c r="B33">
        <f t="shared" ca="1" si="0"/>
        <v>862</v>
      </c>
      <c r="C33">
        <f t="shared" ca="1" si="1"/>
        <v>23</v>
      </c>
      <c r="D33">
        <f t="shared" ca="1" si="2"/>
        <v>1.9500480094442801E-2</v>
      </c>
      <c r="F33" s="1">
        <f t="shared" ca="1" si="3"/>
        <v>11</v>
      </c>
      <c r="G33" s="1">
        <f t="shared" ca="1" si="4"/>
        <v>10</v>
      </c>
      <c r="H33" s="1">
        <f t="shared" ca="1" si="5"/>
        <v>12</v>
      </c>
      <c r="I33" s="1"/>
      <c r="J33" s="1">
        <f t="shared" ca="1" si="6"/>
        <v>1</v>
      </c>
      <c r="K33" s="1">
        <f t="shared" ca="1" si="7"/>
        <v>1.3455211609700546</v>
      </c>
      <c r="L33" s="1">
        <f t="shared" ca="1" si="8"/>
        <v>30</v>
      </c>
      <c r="M33" s="1"/>
      <c r="N33" s="1">
        <f t="shared" ca="1" si="9"/>
        <v>891</v>
      </c>
      <c r="O33" s="1">
        <f t="shared" ca="1" si="10"/>
        <v>30</v>
      </c>
      <c r="P33" s="1"/>
      <c r="Q33" s="1">
        <f t="shared" ca="1" si="11"/>
        <v>3.4027047583522045</v>
      </c>
      <c r="R33" s="1">
        <f t="shared" ca="1" si="12"/>
        <v>536</v>
      </c>
      <c r="S33" s="1"/>
      <c r="T33" s="1">
        <f t="shared" ca="1" si="13"/>
        <v>4.718493078285891E-2</v>
      </c>
      <c r="U33" s="1">
        <f t="shared" ca="1" si="14"/>
        <v>113</v>
      </c>
      <c r="V33" s="1">
        <f t="shared" ca="1" si="15"/>
        <v>23</v>
      </c>
      <c r="W33" s="1"/>
      <c r="X33" s="1">
        <f t="shared" ca="1" si="16"/>
        <v>2.1078169495874373</v>
      </c>
      <c r="Y33" s="1">
        <f t="shared" ca="1" si="17"/>
        <v>6.0919691736513147E-2</v>
      </c>
      <c r="Z33" s="1">
        <f t="shared" ca="1" si="18"/>
        <v>1002</v>
      </c>
      <c r="AB33" s="1">
        <f t="shared" ca="1" si="19"/>
        <v>0.65141455174445562</v>
      </c>
      <c r="AC33" s="1">
        <f t="shared" ca="1" si="20"/>
        <v>829</v>
      </c>
      <c r="AD33" s="1">
        <f t="shared" ca="1" si="21"/>
        <v>8.3472645080781751E-3</v>
      </c>
      <c r="AE33" s="1"/>
      <c r="AF33" s="1">
        <f t="shared" ca="1" si="22"/>
        <v>0.65818528558268752</v>
      </c>
      <c r="AG33" s="1">
        <f t="shared" ca="1" si="23"/>
        <v>895</v>
      </c>
      <c r="AH33" s="1">
        <f t="shared" ca="1" si="24"/>
        <v>4.6355634660742683E-3</v>
      </c>
      <c r="AJ33" s="1">
        <f t="shared" ca="1" si="25"/>
        <v>8.378829768405005E-2</v>
      </c>
      <c r="AK33" s="1">
        <f t="shared" ca="1" si="26"/>
        <v>3.8556082316767333E-3</v>
      </c>
      <c r="AL33" s="1"/>
      <c r="AM33" s="1">
        <f t="shared" ca="1" si="27"/>
        <v>0.11941417517343955</v>
      </c>
      <c r="AN33" s="1">
        <f t="shared" ca="1" si="28"/>
        <v>69</v>
      </c>
      <c r="AO33" s="1">
        <f t="shared" ca="1" si="29"/>
        <v>12</v>
      </c>
      <c r="AQ33" s="1">
        <f t="shared" ca="1" si="30"/>
        <v>156</v>
      </c>
      <c r="AR33" s="1">
        <f t="shared" ca="1" si="31"/>
        <v>4</v>
      </c>
      <c r="AS33" s="1">
        <f t="shared" ca="1" si="32"/>
        <v>48</v>
      </c>
      <c r="AU33" s="1">
        <f t="shared" ca="1" si="33"/>
        <v>374</v>
      </c>
      <c r="AV33" s="1">
        <f t="shared" ca="1" si="34"/>
        <v>3</v>
      </c>
      <c r="AW33" s="1">
        <f t="shared" ca="1" si="35"/>
        <v>0.19497426049583136</v>
      </c>
      <c r="AY33" s="1">
        <f t="shared" ca="1" si="36"/>
        <v>1.6199866503844269</v>
      </c>
      <c r="AZ33" s="1">
        <f t="shared" ca="1" si="37"/>
        <v>384</v>
      </c>
      <c r="BA33" s="1">
        <f t="shared" ca="1" si="38"/>
        <v>7.4998431763137743E-3</v>
      </c>
      <c r="BV33" s="1">
        <f t="shared" ca="1" si="39"/>
        <v>0.78925071250347489</v>
      </c>
      <c r="BW33" s="1">
        <f t="shared" ca="1" si="40"/>
        <v>969</v>
      </c>
      <c r="BX33" s="1">
        <f t="shared" ca="1" si="41"/>
        <v>5.1514371266948283E-3</v>
      </c>
      <c r="BY33" s="1">
        <f t="shared" ca="1" si="42"/>
        <v>1.091029199151167E-2</v>
      </c>
      <c r="BZ33" s="1">
        <f t="shared" ca="1" si="43"/>
        <v>0.4972805380709544</v>
      </c>
      <c r="CB33" s="1">
        <f t="shared" ca="1" si="44"/>
        <v>72</v>
      </c>
      <c r="CC33" s="1">
        <f t="shared" ca="1" si="45"/>
        <v>5</v>
      </c>
      <c r="CD33" s="1">
        <f t="shared" ca="1" si="46"/>
        <v>0.19004177713195278</v>
      </c>
      <c r="CE33" s="1">
        <f t="shared" ca="1" si="47"/>
        <v>0.93978940780606035</v>
      </c>
      <c r="CF33" s="1">
        <f t="shared" ca="1" si="47"/>
        <v>0.58578584956062418</v>
      </c>
      <c r="CH33" s="3">
        <f t="shared" ca="1" si="48"/>
        <v>0.62956061002595542</v>
      </c>
      <c r="CI33" s="3">
        <f t="shared" ca="1" si="49"/>
        <v>0.38976325914711302</v>
      </c>
      <c r="CJ33" s="3">
        <f t="shared" ca="1" si="50"/>
        <v>427</v>
      </c>
      <c r="CK33" s="3">
        <f t="shared" ca="1" si="51"/>
        <v>3.9269248707213024E-3</v>
      </c>
      <c r="CL33" s="3">
        <f t="shared" ca="1" si="52"/>
        <v>1</v>
      </c>
      <c r="CM33" s="3"/>
      <c r="CN33" s="1">
        <f t="shared" ca="1" si="53"/>
        <v>18.813815500172694</v>
      </c>
      <c r="CO33" s="1">
        <f t="shared" ca="1" si="54"/>
        <v>0.43369036913265069</v>
      </c>
      <c r="CP33" s="1">
        <f t="shared" ca="1" si="55"/>
        <v>2</v>
      </c>
      <c r="DH33" s="1">
        <f t="shared" ca="1" si="56"/>
        <v>164</v>
      </c>
      <c r="DI33" s="1">
        <f t="shared" ca="1" si="57"/>
        <v>0.10112915688751285</v>
      </c>
      <c r="DJ33" s="1">
        <f t="shared" ca="1" si="58"/>
        <v>8</v>
      </c>
      <c r="DL33" s="1">
        <f t="shared" ca="1" si="59"/>
        <v>5.0584589771793295E-2</v>
      </c>
      <c r="DM33" s="1">
        <f t="shared" ca="1" si="60"/>
        <v>53</v>
      </c>
      <c r="DN33" s="1">
        <f t="shared" ca="1" si="61"/>
        <v>7</v>
      </c>
    </row>
    <row r="34" spans="2:118" x14ac:dyDescent="0.25">
      <c r="B34">
        <f t="shared" ca="1" si="0"/>
        <v>764</v>
      </c>
      <c r="C34">
        <f t="shared" ca="1" si="1"/>
        <v>16</v>
      </c>
      <c r="D34">
        <f t="shared" ca="1" si="2"/>
        <v>0.26507550426209592</v>
      </c>
      <c r="F34" s="1">
        <f t="shared" ca="1" si="3"/>
        <v>27</v>
      </c>
      <c r="G34" s="1">
        <f t="shared" ca="1" si="4"/>
        <v>26</v>
      </c>
      <c r="H34" s="1">
        <f t="shared" ca="1" si="5"/>
        <v>1</v>
      </c>
      <c r="I34" s="1"/>
      <c r="J34" s="1">
        <f t="shared" ca="1" si="6"/>
        <v>10</v>
      </c>
      <c r="K34" s="1">
        <f t="shared" ca="1" si="7"/>
        <v>2.2605785063675272</v>
      </c>
      <c r="L34" s="1">
        <f t="shared" ca="1" si="8"/>
        <v>22</v>
      </c>
      <c r="M34" s="1"/>
      <c r="N34" s="1">
        <f t="shared" ca="1" si="9"/>
        <v>609</v>
      </c>
      <c r="O34" s="1">
        <f t="shared" ca="1" si="10"/>
        <v>12</v>
      </c>
      <c r="P34" s="1"/>
      <c r="Q34" s="1">
        <f t="shared" ca="1" si="11"/>
        <v>4.3021741106053595</v>
      </c>
      <c r="R34" s="1">
        <f t="shared" ca="1" si="12"/>
        <v>853</v>
      </c>
      <c r="S34" s="1"/>
      <c r="T34" s="1">
        <f t="shared" ca="1" si="13"/>
        <v>0.18475747705048268</v>
      </c>
      <c r="U34" s="1">
        <f t="shared" ca="1" si="14"/>
        <v>368</v>
      </c>
      <c r="V34" s="1">
        <f t="shared" ca="1" si="15"/>
        <v>49</v>
      </c>
      <c r="W34" s="1"/>
      <c r="X34" s="1">
        <f t="shared" ca="1" si="16"/>
        <v>3.9294277185160364</v>
      </c>
      <c r="Y34" s="1">
        <f t="shared" ca="1" si="17"/>
        <v>6.3718294938242645E-2</v>
      </c>
      <c r="Z34" s="1">
        <f t="shared" ca="1" si="18"/>
        <v>1016</v>
      </c>
      <c r="AB34" s="1">
        <f t="shared" ca="1" si="19"/>
        <v>0.13396172585627994</v>
      </c>
      <c r="AC34" s="1">
        <f t="shared" ca="1" si="20"/>
        <v>896</v>
      </c>
      <c r="AD34" s="1">
        <f t="shared" ca="1" si="21"/>
        <v>9.5681178774447966E-3</v>
      </c>
      <c r="AE34" s="1"/>
      <c r="AF34" s="1">
        <f t="shared" ca="1" si="22"/>
        <v>0.59209244627367807</v>
      </c>
      <c r="AG34" s="1">
        <f t="shared" ca="1" si="23"/>
        <v>481</v>
      </c>
      <c r="AH34" s="1">
        <f t="shared" ca="1" si="24"/>
        <v>2.4693221630318397E-3</v>
      </c>
      <c r="AJ34" s="1">
        <f t="shared" ca="1" si="25"/>
        <v>0.12878590953680091</v>
      </c>
      <c r="AK34" s="1">
        <f t="shared" ca="1" si="26"/>
        <v>9.189162682287904E-3</v>
      </c>
      <c r="AL34" s="1"/>
      <c r="AM34" s="1">
        <f t="shared" ca="1" si="27"/>
        <v>4.8506504934580079E-2</v>
      </c>
      <c r="AN34" s="1">
        <f t="shared" ca="1" si="28"/>
        <v>59</v>
      </c>
      <c r="AO34" s="1">
        <f t="shared" ca="1" si="29"/>
        <v>9</v>
      </c>
      <c r="AQ34" s="1">
        <f t="shared" ca="1" si="30"/>
        <v>122</v>
      </c>
      <c r="AR34" s="1">
        <f t="shared" ca="1" si="31"/>
        <v>0</v>
      </c>
      <c r="AS34" s="1">
        <f t="shared" ca="1" si="32"/>
        <v>64</v>
      </c>
      <c r="AU34" s="1">
        <f t="shared" ca="1" si="33"/>
        <v>59</v>
      </c>
      <c r="AV34" s="1">
        <f t="shared" ca="1" si="34"/>
        <v>8</v>
      </c>
      <c r="AW34" s="1">
        <f t="shared" ca="1" si="35"/>
        <v>0.12601105878480764</v>
      </c>
      <c r="AY34" s="1">
        <f t="shared" ca="1" si="36"/>
        <v>1.1298798830372969</v>
      </c>
      <c r="AZ34" s="1">
        <f t="shared" ca="1" si="37"/>
        <v>172</v>
      </c>
      <c r="BA34" s="1">
        <f t="shared" ca="1" si="38"/>
        <v>9.267331688836802E-3</v>
      </c>
      <c r="BV34" s="1">
        <f t="shared" ca="1" si="39"/>
        <v>0.42470129425916453</v>
      </c>
      <c r="BW34" s="1">
        <f t="shared" ca="1" si="40"/>
        <v>529</v>
      </c>
      <c r="BX34" s="1">
        <f t="shared" ca="1" si="41"/>
        <v>9.8822648681887969E-3</v>
      </c>
      <c r="BY34" s="1">
        <f t="shared" ca="1" si="42"/>
        <v>2.6124961845871517E-3</v>
      </c>
      <c r="BZ34" s="1">
        <f t="shared" ca="1" si="43"/>
        <v>5.1708738316679881E-2</v>
      </c>
      <c r="CB34" s="1">
        <f t="shared" ca="1" si="44"/>
        <v>269</v>
      </c>
      <c r="CC34" s="1">
        <f t="shared" ca="1" si="45"/>
        <v>9</v>
      </c>
      <c r="CD34" s="1">
        <f t="shared" ca="1" si="46"/>
        <v>3.2690267300852227E-2</v>
      </c>
      <c r="CE34" s="1">
        <f t="shared" ca="1" si="47"/>
        <v>0.9713658023564069</v>
      </c>
      <c r="CF34" s="1">
        <f t="shared" ca="1" si="47"/>
        <v>0.7901672532969013</v>
      </c>
      <c r="CH34" s="3">
        <f t="shared" ca="1" si="48"/>
        <v>0.73223106830027629</v>
      </c>
      <c r="CI34" s="3">
        <f t="shared" ca="1" si="49"/>
        <v>0.92121377791519377</v>
      </c>
      <c r="CJ34" s="3">
        <f t="shared" ca="1" si="50"/>
        <v>1290</v>
      </c>
      <c r="CK34" s="3">
        <f t="shared" ca="1" si="51"/>
        <v>6.5470079974571877E-3</v>
      </c>
      <c r="CL34" s="3">
        <f t="shared" ca="1" si="52"/>
        <v>1</v>
      </c>
      <c r="CM34" s="3"/>
      <c r="CN34" s="1">
        <f t="shared" ca="1" si="53"/>
        <v>8.2234851195210688</v>
      </c>
      <c r="CO34" s="1">
        <f t="shared" ca="1" si="54"/>
        <v>0.18917345304129862</v>
      </c>
      <c r="CP34" s="1">
        <f t="shared" ca="1" si="55"/>
        <v>3</v>
      </c>
      <c r="DH34" s="1">
        <f t="shared" ca="1" si="56"/>
        <v>659</v>
      </c>
      <c r="DI34" s="1">
        <f t="shared" ca="1" si="57"/>
        <v>0.95413875586555752</v>
      </c>
      <c r="DJ34" s="1">
        <f t="shared" ca="1" si="58"/>
        <v>26</v>
      </c>
      <c r="DL34" s="1">
        <f t="shared" ca="1" si="59"/>
        <v>8.358809531650685E-2</v>
      </c>
      <c r="DM34" s="1">
        <f t="shared" ca="1" si="60"/>
        <v>64</v>
      </c>
      <c r="DN34" s="1">
        <f t="shared" ca="1" si="61"/>
        <v>6</v>
      </c>
    </row>
    <row r="35" spans="2:118" x14ac:dyDescent="0.25">
      <c r="B35">
        <f t="shared" ca="1" si="0"/>
        <v>20</v>
      </c>
      <c r="C35">
        <f t="shared" ca="1" si="1"/>
        <v>28</v>
      </c>
      <c r="D35">
        <f t="shared" ca="1" si="2"/>
        <v>0.20957164445166857</v>
      </c>
      <c r="F35" s="1">
        <f t="shared" ca="1" si="3"/>
        <v>37</v>
      </c>
      <c r="G35" s="1">
        <f t="shared" ca="1" si="4"/>
        <v>10</v>
      </c>
      <c r="H35" s="1">
        <f t="shared" ca="1" si="5"/>
        <v>10</v>
      </c>
      <c r="I35" s="1"/>
      <c r="J35" s="1">
        <f t="shared" ca="1" si="6"/>
        <v>25</v>
      </c>
      <c r="K35" s="1">
        <f t="shared" ca="1" si="7"/>
        <v>1.8611102278512819</v>
      </c>
      <c r="L35" s="1">
        <f t="shared" ca="1" si="8"/>
        <v>24</v>
      </c>
      <c r="M35" s="1"/>
      <c r="N35" s="1">
        <f t="shared" ca="1" si="9"/>
        <v>670</v>
      </c>
      <c r="O35" s="1">
        <f t="shared" ca="1" si="10"/>
        <v>27</v>
      </c>
      <c r="P35" s="1"/>
      <c r="Q35" s="1">
        <f t="shared" ca="1" si="11"/>
        <v>0.91318208534011935</v>
      </c>
      <c r="R35" s="1">
        <f t="shared" ca="1" si="12"/>
        <v>1084</v>
      </c>
      <c r="S35" s="1"/>
      <c r="T35" s="1">
        <f t="shared" ca="1" si="13"/>
        <v>1.3714850140445288E-2</v>
      </c>
      <c r="U35" s="1">
        <f t="shared" ca="1" si="14"/>
        <v>450</v>
      </c>
      <c r="V35" s="1">
        <f t="shared" ca="1" si="15"/>
        <v>4</v>
      </c>
      <c r="W35" s="1"/>
      <c r="X35" s="1">
        <f t="shared" ca="1" si="16"/>
        <v>7.506869913058825</v>
      </c>
      <c r="Y35" s="1">
        <f t="shared" ca="1" si="17"/>
        <v>0.17098299980178691</v>
      </c>
      <c r="Z35" s="1">
        <f t="shared" ca="1" si="18"/>
        <v>705</v>
      </c>
      <c r="AB35" s="1">
        <f t="shared" ca="1" si="19"/>
        <v>0.53525799437997557</v>
      </c>
      <c r="AC35" s="1">
        <f t="shared" ca="1" si="20"/>
        <v>754</v>
      </c>
      <c r="AD35" s="1">
        <f t="shared" ca="1" si="21"/>
        <v>1.0209054363457591E-3</v>
      </c>
      <c r="AE35" s="1"/>
      <c r="AF35" s="1">
        <f t="shared" ca="1" si="22"/>
        <v>0.814267296814004</v>
      </c>
      <c r="AG35" s="1">
        <f t="shared" ca="1" si="23"/>
        <v>944</v>
      </c>
      <c r="AH35" s="1">
        <f t="shared" ca="1" si="24"/>
        <v>7.8355145067358078E-3</v>
      </c>
      <c r="AJ35" s="1">
        <f t="shared" ca="1" si="25"/>
        <v>0.9810937635317325</v>
      </c>
      <c r="AK35" s="1">
        <f t="shared" ca="1" si="26"/>
        <v>1.899482074530988E-3</v>
      </c>
      <c r="AL35" s="1"/>
      <c r="AM35" s="1">
        <f t="shared" ca="1" si="27"/>
        <v>0.19471896835479552</v>
      </c>
      <c r="AN35" s="1">
        <f t="shared" ca="1" si="28"/>
        <v>13</v>
      </c>
      <c r="AO35" s="1">
        <f t="shared" ca="1" si="29"/>
        <v>15</v>
      </c>
      <c r="AQ35" s="1">
        <f t="shared" ca="1" si="30"/>
        <v>70</v>
      </c>
      <c r="AR35" s="1">
        <f t="shared" ca="1" si="31"/>
        <v>4</v>
      </c>
      <c r="AS35" s="1">
        <f t="shared" ca="1" si="32"/>
        <v>22</v>
      </c>
      <c r="AU35" s="1">
        <f t="shared" ca="1" si="33"/>
        <v>342</v>
      </c>
      <c r="AV35" s="1">
        <f t="shared" ca="1" si="34"/>
        <v>6</v>
      </c>
      <c r="AW35" s="1">
        <f t="shared" ca="1" si="35"/>
        <v>9.3818165947614066E-2</v>
      </c>
      <c r="AY35" s="1">
        <f t="shared" ca="1" si="36"/>
        <v>1.5995582382053712</v>
      </c>
      <c r="AZ35" s="1">
        <f t="shared" ca="1" si="37"/>
        <v>336</v>
      </c>
      <c r="BA35" s="1">
        <f t="shared" ca="1" si="38"/>
        <v>2.1331340566082642E-3</v>
      </c>
      <c r="BV35" s="1">
        <f t="shared" ca="1" si="39"/>
        <v>0.54614706954209224</v>
      </c>
      <c r="BW35" s="1">
        <f t="shared" ca="1" si="40"/>
        <v>429</v>
      </c>
      <c r="BX35" s="1">
        <f t="shared" ca="1" si="41"/>
        <v>2.4712965581698957E-3</v>
      </c>
      <c r="BY35" s="1">
        <f t="shared" ca="1" si="42"/>
        <v>3.0463415836495283E-2</v>
      </c>
      <c r="BZ35" s="1">
        <f t="shared" ca="1" si="43"/>
        <v>0.69492112845447651</v>
      </c>
      <c r="CB35" s="1">
        <f t="shared" ca="1" si="44"/>
        <v>109</v>
      </c>
      <c r="CC35" s="1">
        <f t="shared" ca="1" si="45"/>
        <v>6</v>
      </c>
      <c r="CD35" s="1">
        <f t="shared" ca="1" si="46"/>
        <v>1.3415723828784851E-2</v>
      </c>
      <c r="CE35" s="1">
        <f t="shared" ca="1" si="47"/>
        <v>0.83505964710425296</v>
      </c>
      <c r="CF35" s="1">
        <f t="shared" ca="1" si="47"/>
        <v>0.54786398623596622</v>
      </c>
      <c r="CH35" s="3">
        <f t="shared" ca="1" si="48"/>
        <v>5.5618304620892581E-2</v>
      </c>
      <c r="CI35" s="3">
        <f t="shared" ca="1" si="49"/>
        <v>0.12140296529276097</v>
      </c>
      <c r="CJ35" s="3">
        <f t="shared" ca="1" si="50"/>
        <v>952</v>
      </c>
      <c r="CK35" s="3">
        <f t="shared" ca="1" si="51"/>
        <v>8.6440803552433956E-3</v>
      </c>
      <c r="CL35" s="3">
        <f t="shared" ca="1" si="52"/>
        <v>0</v>
      </c>
      <c r="CM35" s="3"/>
      <c r="CN35" s="1">
        <f t="shared" ca="1" si="53"/>
        <v>6.275658736814127</v>
      </c>
      <c r="CO35" s="1">
        <f t="shared" ca="1" si="54"/>
        <v>0.33828601215142728</v>
      </c>
      <c r="CP35" s="1">
        <f t="shared" ca="1" si="55"/>
        <v>4</v>
      </c>
      <c r="DH35" s="1">
        <f t="shared" ca="1" si="56"/>
        <v>428</v>
      </c>
      <c r="DI35" s="1">
        <f t="shared" ca="1" si="57"/>
        <v>0.56697138298312044</v>
      </c>
      <c r="DJ35" s="1">
        <f t="shared" ca="1" si="58"/>
        <v>27</v>
      </c>
      <c r="DL35" s="1">
        <f t="shared" ca="1" si="59"/>
        <v>0.10716764172218726</v>
      </c>
      <c r="DM35" s="1">
        <f t="shared" ca="1" si="60"/>
        <v>58</v>
      </c>
      <c r="DN35" s="1">
        <f t="shared" ca="1" si="61"/>
        <v>2</v>
      </c>
    </row>
    <row r="36" spans="2:118" x14ac:dyDescent="0.25">
      <c r="B36">
        <f t="shared" ca="1" si="0"/>
        <v>869</v>
      </c>
      <c r="C36">
        <f t="shared" ca="1" si="1"/>
        <v>16</v>
      </c>
      <c r="D36">
        <f t="shared" ca="1" si="2"/>
        <v>0.2956370829453715</v>
      </c>
      <c r="F36" s="1">
        <f t="shared" ca="1" si="3"/>
        <v>19</v>
      </c>
      <c r="G36" s="1">
        <f t="shared" ca="1" si="4"/>
        <v>30</v>
      </c>
      <c r="H36" s="1">
        <f t="shared" ca="1" si="5"/>
        <v>11</v>
      </c>
      <c r="I36" s="1"/>
      <c r="J36" s="1">
        <f t="shared" ca="1" si="6"/>
        <v>19</v>
      </c>
      <c r="K36" s="1">
        <f t="shared" ca="1" si="7"/>
        <v>2.9106803007946129</v>
      </c>
      <c r="L36" s="1">
        <f t="shared" ca="1" si="8"/>
        <v>13</v>
      </c>
      <c r="M36" s="1"/>
      <c r="N36" s="1">
        <f t="shared" ca="1" si="9"/>
        <v>213</v>
      </c>
      <c r="O36" s="1">
        <f t="shared" ca="1" si="10"/>
        <v>27</v>
      </c>
      <c r="P36" s="1"/>
      <c r="Q36" s="1">
        <f t="shared" ca="1" si="11"/>
        <v>2.3097104640545885</v>
      </c>
      <c r="R36" s="1">
        <f t="shared" ca="1" si="12"/>
        <v>935</v>
      </c>
      <c r="S36" s="1"/>
      <c r="T36" s="1">
        <f t="shared" ca="1" si="13"/>
        <v>0.16115358882723727</v>
      </c>
      <c r="U36" s="1">
        <f t="shared" ca="1" si="14"/>
        <v>298</v>
      </c>
      <c r="V36" s="1">
        <f t="shared" ca="1" si="15"/>
        <v>45</v>
      </c>
      <c r="W36" s="1"/>
      <c r="X36" s="1">
        <f t="shared" ca="1" si="16"/>
        <v>5.4740353242820262E-2</v>
      </c>
      <c r="Y36" s="1">
        <f t="shared" ca="1" si="17"/>
        <v>0.74723730646474684</v>
      </c>
      <c r="Z36" s="1">
        <f t="shared" ca="1" si="18"/>
        <v>1765</v>
      </c>
      <c r="AB36" s="1">
        <f t="shared" ca="1" si="19"/>
        <v>0.47238667530458656</v>
      </c>
      <c r="AC36" s="1">
        <f t="shared" ca="1" si="20"/>
        <v>568</v>
      </c>
      <c r="AD36" s="1">
        <f t="shared" ca="1" si="21"/>
        <v>3.8772349093945443E-4</v>
      </c>
      <c r="AE36" s="1"/>
      <c r="AF36" s="1">
        <f t="shared" ca="1" si="22"/>
        <v>0.41878458367422644</v>
      </c>
      <c r="AG36" s="1">
        <f t="shared" ca="1" si="23"/>
        <v>687</v>
      </c>
      <c r="AH36" s="1">
        <f t="shared" ca="1" si="24"/>
        <v>4.7636577219593848E-3</v>
      </c>
      <c r="AJ36" s="1">
        <f t="shared" ca="1" si="25"/>
        <v>0.36956378986779059</v>
      </c>
      <c r="AK36" s="1">
        <f t="shared" ca="1" si="26"/>
        <v>2.3255216175228316E-3</v>
      </c>
      <c r="AL36" s="1"/>
      <c r="AM36" s="1">
        <f t="shared" ca="1" si="27"/>
        <v>0.1730565295418843</v>
      </c>
      <c r="AN36" s="1">
        <f t="shared" ca="1" si="28"/>
        <v>61</v>
      </c>
      <c r="AO36" s="1">
        <f t="shared" ca="1" si="29"/>
        <v>7</v>
      </c>
      <c r="AQ36" s="1">
        <f t="shared" ca="1" si="30"/>
        <v>40</v>
      </c>
      <c r="AR36" s="1">
        <f t="shared" ca="1" si="31"/>
        <v>10</v>
      </c>
      <c r="AS36" s="1">
        <f t="shared" ca="1" si="32"/>
        <v>8</v>
      </c>
      <c r="AU36" s="1">
        <f t="shared" ca="1" si="33"/>
        <v>118</v>
      </c>
      <c r="AV36" s="1">
        <f t="shared" ca="1" si="34"/>
        <v>6</v>
      </c>
      <c r="AW36" s="1">
        <f t="shared" ca="1" si="35"/>
        <v>0.15006300305844281</v>
      </c>
      <c r="AY36" s="1">
        <f t="shared" ca="1" si="36"/>
        <v>1.2339530074831684</v>
      </c>
      <c r="AZ36" s="1">
        <f t="shared" ca="1" si="37"/>
        <v>186</v>
      </c>
      <c r="BA36" s="1">
        <f t="shared" ca="1" si="38"/>
        <v>8.2776493715366554E-3</v>
      </c>
      <c r="BV36" s="1">
        <f t="shared" ca="1" si="39"/>
        <v>0.59343322487836592</v>
      </c>
      <c r="BW36" s="1">
        <f t="shared" ca="1" si="40"/>
        <v>247</v>
      </c>
      <c r="BX36" s="1">
        <f t="shared" ca="1" si="41"/>
        <v>8.6641260392840234E-3</v>
      </c>
      <c r="BY36" s="1">
        <f t="shared" ca="1" si="42"/>
        <v>1.4353439975839323E-2</v>
      </c>
      <c r="BZ36" s="1">
        <f t="shared" ca="1" si="43"/>
        <v>0.48319186731303698</v>
      </c>
      <c r="CB36" s="1">
        <f t="shared" ca="1" si="44"/>
        <v>278</v>
      </c>
      <c r="CC36" s="1">
        <f t="shared" ca="1" si="45"/>
        <v>6</v>
      </c>
      <c r="CD36" s="1">
        <f t="shared" ca="1" si="46"/>
        <v>0.22127707606416419</v>
      </c>
      <c r="CE36" s="1">
        <f t="shared" ref="CE36:CF67" ca="1" si="62">RAND()*(1-0.5)+0.5</f>
        <v>0.65321870423998374</v>
      </c>
      <c r="CF36" s="1">
        <f t="shared" ca="1" si="62"/>
        <v>0.85115763024648838</v>
      </c>
      <c r="CH36" s="3">
        <f t="shared" ca="1" si="48"/>
        <v>0.17065512816166389</v>
      </c>
      <c r="CI36" s="3">
        <f t="shared" ca="1" si="49"/>
        <v>0.70279408157102508</v>
      </c>
      <c r="CJ36" s="3">
        <f t="shared" ca="1" si="50"/>
        <v>540</v>
      </c>
      <c r="CK36" s="3">
        <f t="shared" ca="1" si="51"/>
        <v>5.9313168928600557E-3</v>
      </c>
      <c r="CL36" s="3">
        <f t="shared" ca="1" si="52"/>
        <v>0</v>
      </c>
      <c r="CM36" s="3"/>
      <c r="CN36" s="1">
        <f t="shared" ca="1" si="53"/>
        <v>1.0467934490749891</v>
      </c>
      <c r="CO36" s="1">
        <f t="shared" ca="1" si="54"/>
        <v>0.20369911420753392</v>
      </c>
      <c r="CP36" s="1">
        <f t="shared" ca="1" si="55"/>
        <v>4</v>
      </c>
      <c r="DH36" s="1">
        <f t="shared" ca="1" si="56"/>
        <v>826</v>
      </c>
      <c r="DI36" s="1">
        <f t="shared" ca="1" si="57"/>
        <v>3.3725130456310884E-2</v>
      </c>
      <c r="DJ36" s="1">
        <f t="shared" ca="1" si="58"/>
        <v>4</v>
      </c>
      <c r="DL36" s="1">
        <f t="shared" ca="1" si="59"/>
        <v>3.7103121292694975E-2</v>
      </c>
      <c r="DM36" s="1">
        <f t="shared" ca="1" si="60"/>
        <v>154</v>
      </c>
      <c r="DN36" s="1">
        <f t="shared" ca="1" si="61"/>
        <v>1</v>
      </c>
    </row>
    <row r="37" spans="2:118" x14ac:dyDescent="0.25">
      <c r="B37">
        <f t="shared" ca="1" si="0"/>
        <v>136</v>
      </c>
      <c r="C37">
        <f t="shared" ca="1" si="1"/>
        <v>41</v>
      </c>
      <c r="D37">
        <f t="shared" ca="1" si="2"/>
        <v>0.10285158636977494</v>
      </c>
      <c r="F37" s="1">
        <f t="shared" ca="1" si="3"/>
        <v>8</v>
      </c>
      <c r="G37" s="1">
        <f t="shared" ca="1" si="4"/>
        <v>30</v>
      </c>
      <c r="H37" s="1">
        <f t="shared" ca="1" si="5"/>
        <v>2</v>
      </c>
      <c r="I37" s="1"/>
      <c r="J37" s="1">
        <f t="shared" ca="1" si="6"/>
        <v>39</v>
      </c>
      <c r="K37" s="1">
        <f t="shared" ca="1" si="7"/>
        <v>1.6619210671761351</v>
      </c>
      <c r="L37" s="1">
        <f t="shared" ca="1" si="8"/>
        <v>16</v>
      </c>
      <c r="M37" s="1"/>
      <c r="N37" s="1">
        <f t="shared" ca="1" si="9"/>
        <v>438</v>
      </c>
      <c r="O37" s="1">
        <f t="shared" ca="1" si="10"/>
        <v>36</v>
      </c>
      <c r="P37" s="1"/>
      <c r="Q37" s="1">
        <f t="shared" ca="1" si="11"/>
        <v>4.763078867259801</v>
      </c>
      <c r="R37" s="1">
        <f t="shared" ca="1" si="12"/>
        <v>211</v>
      </c>
      <c r="S37" s="1"/>
      <c r="T37" s="1">
        <f t="shared" ca="1" si="13"/>
        <v>0.15173637408118218</v>
      </c>
      <c r="U37" s="1">
        <f t="shared" ca="1" si="14"/>
        <v>411</v>
      </c>
      <c r="V37" s="1">
        <f t="shared" ca="1" si="15"/>
        <v>13</v>
      </c>
      <c r="W37" s="1"/>
      <c r="X37" s="1">
        <f t="shared" ca="1" si="16"/>
        <v>0.3297823647200937</v>
      </c>
      <c r="Y37" s="1">
        <f t="shared" ca="1" si="17"/>
        <v>0.8937950152449724</v>
      </c>
      <c r="Z37" s="1">
        <f t="shared" ca="1" si="18"/>
        <v>635</v>
      </c>
      <c r="AB37" s="1">
        <f t="shared" ca="1" si="19"/>
        <v>0.546248528962615</v>
      </c>
      <c r="AC37" s="1">
        <f t="shared" ca="1" si="20"/>
        <v>656</v>
      </c>
      <c r="AD37" s="1">
        <f t="shared" ca="1" si="21"/>
        <v>9.68388420536926E-3</v>
      </c>
      <c r="AE37" s="1"/>
      <c r="AF37" s="1">
        <f t="shared" ca="1" si="22"/>
        <v>0.8788574106348841</v>
      </c>
      <c r="AG37" s="1">
        <f t="shared" ca="1" si="23"/>
        <v>709</v>
      </c>
      <c r="AH37" s="1">
        <f t="shared" ca="1" si="24"/>
        <v>8.8656170115720551E-3</v>
      </c>
      <c r="AJ37" s="1">
        <f t="shared" ca="1" si="25"/>
        <v>0.25166720370061535</v>
      </c>
      <c r="AK37" s="1">
        <f t="shared" ca="1" si="26"/>
        <v>1.1479567831697672E-3</v>
      </c>
      <c r="AL37" s="1"/>
      <c r="AM37" s="1">
        <f t="shared" ca="1" si="27"/>
        <v>1.039944033960262E-2</v>
      </c>
      <c r="AN37" s="1">
        <f t="shared" ca="1" si="28"/>
        <v>35</v>
      </c>
      <c r="AO37" s="1">
        <f t="shared" ca="1" si="29"/>
        <v>10</v>
      </c>
      <c r="AQ37" s="1">
        <f t="shared" ca="1" si="30"/>
        <v>42</v>
      </c>
      <c r="AR37" s="1">
        <f t="shared" ca="1" si="31"/>
        <v>9</v>
      </c>
      <c r="AS37" s="1">
        <f t="shared" ca="1" si="32"/>
        <v>41</v>
      </c>
      <c r="AU37" s="1">
        <f t="shared" ca="1" si="33"/>
        <v>123</v>
      </c>
      <c r="AV37" s="1">
        <f t="shared" ca="1" si="34"/>
        <v>4</v>
      </c>
      <c r="AW37" s="1">
        <f t="shared" ca="1" si="35"/>
        <v>6.7609824391188705E-2</v>
      </c>
      <c r="AY37" s="1">
        <f t="shared" ca="1" si="36"/>
        <v>1.7160357647579383</v>
      </c>
      <c r="AZ37" s="1">
        <f t="shared" ca="1" si="37"/>
        <v>73</v>
      </c>
      <c r="BA37" s="1">
        <f t="shared" ca="1" si="38"/>
        <v>2.1610677206275329E-3</v>
      </c>
      <c r="BV37" s="1">
        <f t="shared" ca="1" si="39"/>
        <v>0.36878291940986391</v>
      </c>
      <c r="BW37" s="1">
        <f t="shared" ca="1" si="40"/>
        <v>548</v>
      </c>
      <c r="BX37" s="1">
        <f t="shared" ca="1" si="41"/>
        <v>9.8121231605223028E-3</v>
      </c>
      <c r="BY37" s="1">
        <f t="shared" ca="1" si="42"/>
        <v>1.6324774655368066E-2</v>
      </c>
      <c r="BZ37" s="1">
        <f t="shared" ca="1" si="43"/>
        <v>0.51219687135247383</v>
      </c>
      <c r="CB37" s="1">
        <f t="shared" ca="1" si="44"/>
        <v>453</v>
      </c>
      <c r="CC37" s="1">
        <f t="shared" ca="1" si="45"/>
        <v>15</v>
      </c>
      <c r="CD37" s="1">
        <f t="shared" ca="1" si="46"/>
        <v>0.15858754943378875</v>
      </c>
      <c r="CE37" s="1">
        <f t="shared" ca="1" si="62"/>
        <v>0.70753137486574813</v>
      </c>
      <c r="CF37" s="1">
        <f t="shared" ca="1" si="62"/>
        <v>0.67179415576062085</v>
      </c>
      <c r="CH37" s="3">
        <f t="shared" ca="1" si="48"/>
        <v>0.66372279622773178</v>
      </c>
      <c r="CI37" s="3">
        <f t="shared" ca="1" si="49"/>
        <v>0.68091141534102462</v>
      </c>
      <c r="CJ37" s="3">
        <f t="shared" ca="1" si="50"/>
        <v>1245</v>
      </c>
      <c r="CK37" s="3">
        <f t="shared" ca="1" si="51"/>
        <v>2.9497437495038512E-4</v>
      </c>
      <c r="CL37" s="3">
        <f t="shared" ca="1" si="52"/>
        <v>1</v>
      </c>
      <c r="CM37" s="3"/>
      <c r="CN37" s="1">
        <f t="shared" ca="1" si="53"/>
        <v>16.357906819439691</v>
      </c>
      <c r="CO37" s="1">
        <f t="shared" ca="1" si="54"/>
        <v>0.21590495049915431</v>
      </c>
      <c r="CP37" s="1">
        <f t="shared" ca="1" si="55"/>
        <v>5</v>
      </c>
      <c r="DH37" s="1">
        <f t="shared" ca="1" si="56"/>
        <v>796</v>
      </c>
      <c r="DI37" s="1">
        <f t="shared" ca="1" si="57"/>
        <v>0.32391710893580994</v>
      </c>
      <c r="DJ37" s="1">
        <f t="shared" ca="1" si="58"/>
        <v>19</v>
      </c>
      <c r="DL37" s="1">
        <f t="shared" ca="1" si="59"/>
        <v>0.15991513604203761</v>
      </c>
      <c r="DM37" s="1">
        <f t="shared" ca="1" si="60"/>
        <v>217</v>
      </c>
      <c r="DN37" s="1">
        <f t="shared" ca="1" si="61"/>
        <v>7</v>
      </c>
    </row>
    <row r="38" spans="2:118" x14ac:dyDescent="0.25">
      <c r="B38">
        <f t="shared" ca="1" si="0"/>
        <v>954</v>
      </c>
      <c r="C38">
        <f t="shared" ca="1" si="1"/>
        <v>52</v>
      </c>
      <c r="D38">
        <f t="shared" ca="1" si="2"/>
        <v>0.18209316332886699</v>
      </c>
      <c r="F38" s="1">
        <f t="shared" ca="1" si="3"/>
        <v>33</v>
      </c>
      <c r="G38" s="1">
        <f t="shared" ca="1" si="4"/>
        <v>8</v>
      </c>
      <c r="H38" s="1">
        <f t="shared" ca="1" si="5"/>
        <v>6</v>
      </c>
      <c r="I38" s="1"/>
      <c r="J38" s="1">
        <f t="shared" ca="1" si="6"/>
        <v>9</v>
      </c>
      <c r="K38" s="1">
        <f t="shared" ca="1" si="7"/>
        <v>1.6671162134433153</v>
      </c>
      <c r="L38" s="1">
        <f t="shared" ca="1" si="8"/>
        <v>33</v>
      </c>
      <c r="M38" s="1"/>
      <c r="N38" s="1">
        <f t="shared" ca="1" si="9"/>
        <v>458</v>
      </c>
      <c r="O38" s="1">
        <f t="shared" ca="1" si="10"/>
        <v>28</v>
      </c>
      <c r="P38" s="1"/>
      <c r="Q38" s="1">
        <f t="shared" ca="1" si="11"/>
        <v>3.3568311033251512</v>
      </c>
      <c r="R38" s="1">
        <f t="shared" ca="1" si="12"/>
        <v>906</v>
      </c>
      <c r="S38" s="1"/>
      <c r="T38" s="1">
        <f t="shared" ca="1" si="13"/>
        <v>3.5936202960351771E-2</v>
      </c>
      <c r="U38" s="1">
        <f t="shared" ca="1" si="14"/>
        <v>130</v>
      </c>
      <c r="V38" s="1">
        <f t="shared" ca="1" si="15"/>
        <v>25</v>
      </c>
      <c r="W38" s="1"/>
      <c r="X38" s="1">
        <f t="shared" ca="1" si="16"/>
        <v>5.3383942192765677</v>
      </c>
      <c r="Y38" s="1">
        <f t="shared" ca="1" si="17"/>
        <v>2.0324383918270374E-2</v>
      </c>
      <c r="Z38" s="1">
        <f t="shared" ca="1" si="18"/>
        <v>113</v>
      </c>
      <c r="AB38" s="1">
        <f t="shared" ca="1" si="19"/>
        <v>0.46617214154563086</v>
      </c>
      <c r="AC38" s="1">
        <f t="shared" ca="1" si="20"/>
        <v>414</v>
      </c>
      <c r="AD38" s="1">
        <f t="shared" ca="1" si="21"/>
        <v>3.2079181938767898E-3</v>
      </c>
      <c r="AE38" s="1"/>
      <c r="AF38" s="1">
        <f t="shared" ca="1" si="22"/>
        <v>0.71921832145544695</v>
      </c>
      <c r="AG38" s="1">
        <f t="shared" ca="1" si="23"/>
        <v>148</v>
      </c>
      <c r="AH38" s="1">
        <f t="shared" ca="1" si="24"/>
        <v>3.0647324869495841E-3</v>
      </c>
      <c r="AJ38" s="1">
        <f t="shared" ca="1" si="25"/>
        <v>0.58089962532897077</v>
      </c>
      <c r="AK38" s="1">
        <f t="shared" ca="1" si="26"/>
        <v>1.8997694847523088E-3</v>
      </c>
      <c r="AL38" s="1"/>
      <c r="AM38" s="1">
        <f t="shared" ca="1" si="27"/>
        <v>8.2641685891886571E-2</v>
      </c>
      <c r="AN38" s="1">
        <f t="shared" ca="1" si="28"/>
        <v>63</v>
      </c>
      <c r="AO38" s="1">
        <f t="shared" ca="1" si="29"/>
        <v>14</v>
      </c>
      <c r="AQ38" s="1">
        <f t="shared" ca="1" si="30"/>
        <v>36</v>
      </c>
      <c r="AR38" s="1">
        <f t="shared" ca="1" si="31"/>
        <v>5</v>
      </c>
      <c r="AS38" s="1">
        <f t="shared" ca="1" si="32"/>
        <v>44</v>
      </c>
      <c r="AU38" s="1">
        <f t="shared" ca="1" si="33"/>
        <v>355</v>
      </c>
      <c r="AV38" s="1">
        <f t="shared" ca="1" si="34"/>
        <v>7</v>
      </c>
      <c r="AW38" s="1">
        <f t="shared" ca="1" si="35"/>
        <v>4.3653100852842963E-2</v>
      </c>
      <c r="AY38" s="1">
        <f t="shared" ca="1" si="36"/>
        <v>1.3721409165963441</v>
      </c>
      <c r="AZ38" s="1">
        <f t="shared" ca="1" si="37"/>
        <v>102</v>
      </c>
      <c r="BA38" s="1">
        <f t="shared" ca="1" si="38"/>
        <v>9.1892516563110652E-3</v>
      </c>
      <c r="BV38" s="1">
        <f t="shared" ca="1" si="39"/>
        <v>0.12920612996788169</v>
      </c>
      <c r="BW38" s="1">
        <f t="shared" ca="1" si="40"/>
        <v>481</v>
      </c>
      <c r="BX38" s="1">
        <f t="shared" ca="1" si="41"/>
        <v>8.8625842779708839E-3</v>
      </c>
      <c r="BY38" s="1">
        <f t="shared" ca="1" si="42"/>
        <v>9.22705170362004E-2</v>
      </c>
      <c r="BZ38" s="1">
        <f t="shared" ca="1" si="43"/>
        <v>0.61668091970822636</v>
      </c>
      <c r="CB38" s="1">
        <f t="shared" ca="1" si="44"/>
        <v>408</v>
      </c>
      <c r="CC38" s="1">
        <f t="shared" ca="1" si="45"/>
        <v>13</v>
      </c>
      <c r="CD38" s="1">
        <f t="shared" ca="1" si="46"/>
        <v>7.664704553425486E-2</v>
      </c>
      <c r="CE38" s="1">
        <f t="shared" ca="1" si="62"/>
        <v>0.87796070020293926</v>
      </c>
      <c r="CF38" s="1">
        <f t="shared" ca="1" si="62"/>
        <v>0.95957988829716556</v>
      </c>
      <c r="CH38" s="3">
        <f t="shared" ca="1" si="48"/>
        <v>0.20604855363776942</v>
      </c>
      <c r="CI38" s="3">
        <f t="shared" ca="1" si="49"/>
        <v>0.79590111714317124</v>
      </c>
      <c r="CJ38" s="3">
        <f t="shared" ca="1" si="50"/>
        <v>1770</v>
      </c>
      <c r="CK38" s="3">
        <f t="shared" ca="1" si="51"/>
        <v>7.0587078579217848E-3</v>
      </c>
      <c r="CL38" s="3">
        <f t="shared" ca="1" si="52"/>
        <v>0</v>
      </c>
      <c r="CM38" s="3"/>
      <c r="CN38" s="1">
        <f t="shared" ca="1" si="53"/>
        <v>13.691845043499592</v>
      </c>
      <c r="CO38" s="1">
        <f t="shared" ca="1" si="54"/>
        <v>0.46068416198329304</v>
      </c>
      <c r="CP38" s="1">
        <f t="shared" ca="1" si="55"/>
        <v>1</v>
      </c>
      <c r="DH38" s="1">
        <f t="shared" ca="1" si="56"/>
        <v>677</v>
      </c>
      <c r="DI38" s="1">
        <f t="shared" ca="1" si="57"/>
        <v>3.3103350871164207E-2</v>
      </c>
      <c r="DJ38" s="1">
        <f t="shared" ca="1" si="58"/>
        <v>25</v>
      </c>
      <c r="DL38" s="1">
        <f t="shared" ca="1" si="59"/>
        <v>0.10150708250070448</v>
      </c>
      <c r="DM38" s="1">
        <f t="shared" ca="1" si="60"/>
        <v>261</v>
      </c>
      <c r="DN38" s="1">
        <f t="shared" ca="1" si="61"/>
        <v>2</v>
      </c>
    </row>
    <row r="39" spans="2:118" x14ac:dyDescent="0.25">
      <c r="B39">
        <f t="shared" ca="1" si="0"/>
        <v>358</v>
      </c>
      <c r="C39">
        <f t="shared" ca="1" si="1"/>
        <v>18</v>
      </c>
      <c r="D39">
        <f t="shared" ca="1" si="2"/>
        <v>0.28222002188970818</v>
      </c>
      <c r="F39" s="1">
        <f t="shared" ca="1" si="3"/>
        <v>42</v>
      </c>
      <c r="G39" s="1">
        <f t="shared" ca="1" si="4"/>
        <v>20</v>
      </c>
      <c r="H39" s="1">
        <f t="shared" ca="1" si="5"/>
        <v>12</v>
      </c>
      <c r="I39" s="1"/>
      <c r="J39" s="1">
        <f t="shared" ca="1" si="6"/>
        <v>30</v>
      </c>
      <c r="K39" s="1">
        <f t="shared" ca="1" si="7"/>
        <v>1.603913809367767</v>
      </c>
      <c r="L39" s="1">
        <f t="shared" ca="1" si="8"/>
        <v>4</v>
      </c>
      <c r="M39" s="1"/>
      <c r="N39" s="1">
        <f t="shared" ca="1" si="9"/>
        <v>228</v>
      </c>
      <c r="O39" s="1">
        <f t="shared" ca="1" si="10"/>
        <v>25</v>
      </c>
      <c r="P39" s="1"/>
      <c r="Q39" s="1">
        <f t="shared" ca="1" si="11"/>
        <v>3.8270210566439529</v>
      </c>
      <c r="R39" s="1">
        <f t="shared" ca="1" si="12"/>
        <v>1077</v>
      </c>
      <c r="S39" s="1"/>
      <c r="T39" s="1">
        <f t="shared" ca="1" si="13"/>
        <v>0.11686048226625494</v>
      </c>
      <c r="U39" s="1">
        <f t="shared" ca="1" si="14"/>
        <v>147</v>
      </c>
      <c r="V39" s="1">
        <f t="shared" ca="1" si="15"/>
        <v>43</v>
      </c>
      <c r="W39" s="1"/>
      <c r="X39" s="1">
        <f t="shared" ca="1" si="16"/>
        <v>3.8839228812428574</v>
      </c>
      <c r="Y39" s="1">
        <f t="shared" ca="1" si="17"/>
        <v>0.77462468848713928</v>
      </c>
      <c r="Z39" s="1">
        <f t="shared" ca="1" si="18"/>
        <v>319</v>
      </c>
      <c r="AB39" s="1">
        <f t="shared" ca="1" si="19"/>
        <v>0.92784877751539341</v>
      </c>
      <c r="AC39" s="1">
        <f t="shared" ca="1" si="20"/>
        <v>591</v>
      </c>
      <c r="AD39" s="1">
        <f t="shared" ca="1" si="21"/>
        <v>2.2615944841377738E-4</v>
      </c>
      <c r="AE39" s="1"/>
      <c r="AF39" s="1">
        <f t="shared" ca="1" si="22"/>
        <v>0.6806868181538841</v>
      </c>
      <c r="AG39" s="1">
        <f t="shared" ca="1" si="23"/>
        <v>335</v>
      </c>
      <c r="AH39" s="1">
        <f t="shared" ca="1" si="24"/>
        <v>3.1698775676783418E-4</v>
      </c>
      <c r="AJ39" s="1">
        <f t="shared" ca="1" si="25"/>
        <v>0.98184423665247245</v>
      </c>
      <c r="AK39" s="1">
        <f t="shared" ca="1" si="26"/>
        <v>4.8521365175029424E-3</v>
      </c>
      <c r="AL39" s="1"/>
      <c r="AM39" s="1">
        <f t="shared" ca="1" si="27"/>
        <v>3.9911168300495237E-2</v>
      </c>
      <c r="AN39" s="1">
        <f t="shared" ca="1" si="28"/>
        <v>19</v>
      </c>
      <c r="AO39" s="1">
        <f t="shared" ca="1" si="29"/>
        <v>13</v>
      </c>
      <c r="AQ39" s="1">
        <f t="shared" ca="1" si="30"/>
        <v>137</v>
      </c>
      <c r="AR39" s="1">
        <f t="shared" ca="1" si="31"/>
        <v>1</v>
      </c>
      <c r="AS39" s="1">
        <f t="shared" ca="1" si="32"/>
        <v>10</v>
      </c>
      <c r="AU39" s="1">
        <f t="shared" ca="1" si="33"/>
        <v>115</v>
      </c>
      <c r="AV39" s="1">
        <f t="shared" ca="1" si="34"/>
        <v>7</v>
      </c>
      <c r="AW39" s="1">
        <f t="shared" ca="1" si="35"/>
        <v>6.0236143110922527E-2</v>
      </c>
      <c r="AY39" s="1">
        <f t="shared" ca="1" si="36"/>
        <v>1.3175391494312909</v>
      </c>
      <c r="AZ39" s="1">
        <f t="shared" ca="1" si="37"/>
        <v>362</v>
      </c>
      <c r="BA39" s="1">
        <f t="shared" ca="1" si="38"/>
        <v>6.0326258269966038E-3</v>
      </c>
      <c r="BV39" s="1">
        <f t="shared" ca="1" si="39"/>
        <v>0.71220193875453841</v>
      </c>
      <c r="BW39" s="1">
        <f t="shared" ca="1" si="40"/>
        <v>990</v>
      </c>
      <c r="BX39" s="1">
        <f t="shared" ca="1" si="41"/>
        <v>3.2064582180369973E-4</v>
      </c>
      <c r="BY39" s="1">
        <f t="shared" ca="1" si="42"/>
        <v>9.6278636362531839E-2</v>
      </c>
      <c r="BZ39" s="1">
        <f t="shared" ca="1" si="43"/>
        <v>0.80618146786932543</v>
      </c>
      <c r="CB39" s="1">
        <f t="shared" ca="1" si="44"/>
        <v>426</v>
      </c>
      <c r="CC39" s="1">
        <f t="shared" ca="1" si="45"/>
        <v>9</v>
      </c>
      <c r="CD39" s="1">
        <f t="shared" ca="1" si="46"/>
        <v>0.2995836866341573</v>
      </c>
      <c r="CE39" s="1">
        <f t="shared" ca="1" si="62"/>
        <v>0.56463803233440324</v>
      </c>
      <c r="CF39" s="1">
        <f t="shared" ca="1" si="62"/>
        <v>0.73664993231440823</v>
      </c>
      <c r="CH39" s="3">
        <f t="shared" ca="1" si="48"/>
        <v>0.72533240702001389</v>
      </c>
      <c r="CI39" s="3">
        <f t="shared" ca="1" si="49"/>
        <v>0.78459336566540772</v>
      </c>
      <c r="CJ39" s="3">
        <f t="shared" ca="1" si="50"/>
        <v>545</v>
      </c>
      <c r="CK39" s="3">
        <f t="shared" ca="1" si="51"/>
        <v>6.0040170583699481E-3</v>
      </c>
      <c r="CL39" s="3">
        <f t="shared" ca="1" si="52"/>
        <v>1</v>
      </c>
      <c r="CM39" s="3"/>
      <c r="CN39" s="1">
        <f t="shared" ca="1" si="53"/>
        <v>5.7694991220605489</v>
      </c>
      <c r="CO39" s="1">
        <f t="shared" ca="1" si="54"/>
        <v>0.49700017714866829</v>
      </c>
      <c r="CP39" s="1">
        <f t="shared" ca="1" si="55"/>
        <v>2</v>
      </c>
      <c r="DH39" s="1">
        <f t="shared" ca="1" si="56"/>
        <v>211</v>
      </c>
      <c r="DI39" s="1">
        <f t="shared" ca="1" si="57"/>
        <v>0.95308986290880449</v>
      </c>
      <c r="DJ39" s="1">
        <f t="shared" ca="1" si="58"/>
        <v>4</v>
      </c>
      <c r="DL39" s="1">
        <f t="shared" ca="1" si="59"/>
        <v>0.13440442369596625</v>
      </c>
      <c r="DM39" s="1">
        <f t="shared" ca="1" si="60"/>
        <v>51</v>
      </c>
      <c r="DN39" s="1">
        <f t="shared" ca="1" si="61"/>
        <v>4</v>
      </c>
    </row>
    <row r="40" spans="2:118" x14ac:dyDescent="0.25">
      <c r="B40">
        <f t="shared" ca="1" si="0"/>
        <v>91</v>
      </c>
      <c r="C40">
        <f t="shared" ca="1" si="1"/>
        <v>20</v>
      </c>
      <c r="D40">
        <f t="shared" ca="1" si="2"/>
        <v>0.26028997730718373</v>
      </c>
      <c r="F40" s="1">
        <f t="shared" ca="1" si="3"/>
        <v>29</v>
      </c>
      <c r="G40" s="1">
        <f t="shared" ca="1" si="4"/>
        <v>21</v>
      </c>
      <c r="H40" s="1">
        <f t="shared" ca="1" si="5"/>
        <v>9</v>
      </c>
      <c r="I40" s="1"/>
      <c r="J40" s="1">
        <f t="shared" ca="1" si="6"/>
        <v>27</v>
      </c>
      <c r="K40" s="1">
        <f t="shared" ca="1" si="7"/>
        <v>1.9393496989090462</v>
      </c>
      <c r="L40" s="1">
        <f t="shared" ca="1" si="8"/>
        <v>6</v>
      </c>
      <c r="M40" s="1"/>
      <c r="N40" s="1">
        <f t="shared" ca="1" si="9"/>
        <v>28</v>
      </c>
      <c r="O40" s="1">
        <f t="shared" ca="1" si="10"/>
        <v>50</v>
      </c>
      <c r="P40" s="1"/>
      <c r="Q40" s="1">
        <f t="shared" ca="1" si="11"/>
        <v>4.207197000650118</v>
      </c>
      <c r="R40" s="1">
        <f t="shared" ca="1" si="12"/>
        <v>563</v>
      </c>
      <c r="S40" s="1"/>
      <c r="T40" s="1">
        <f t="shared" ca="1" si="13"/>
        <v>4.4704932715038184E-2</v>
      </c>
      <c r="U40" s="1">
        <f t="shared" ca="1" si="14"/>
        <v>341</v>
      </c>
      <c r="V40" s="1">
        <f t="shared" ca="1" si="15"/>
        <v>20</v>
      </c>
      <c r="W40" s="1"/>
      <c r="X40" s="1">
        <f t="shared" ca="1" si="16"/>
        <v>0.22248608640597764</v>
      </c>
      <c r="Y40" s="1">
        <f t="shared" ca="1" si="17"/>
        <v>0.91484080894520603</v>
      </c>
      <c r="Z40" s="1">
        <f t="shared" ca="1" si="18"/>
        <v>261</v>
      </c>
      <c r="AB40" s="1">
        <f t="shared" ca="1" si="19"/>
        <v>1.6259569266652882E-2</v>
      </c>
      <c r="AC40" s="1">
        <f t="shared" ca="1" si="20"/>
        <v>165</v>
      </c>
      <c r="AD40" s="1">
        <f t="shared" ca="1" si="21"/>
        <v>4.8715672495001023E-3</v>
      </c>
      <c r="AE40" s="1"/>
      <c r="AF40" s="1">
        <f t="shared" ca="1" si="22"/>
        <v>0.82127771960257101</v>
      </c>
      <c r="AG40" s="1">
        <f t="shared" ca="1" si="23"/>
        <v>997</v>
      </c>
      <c r="AH40" s="1">
        <f t="shared" ca="1" si="24"/>
        <v>9.8357117099598726E-3</v>
      </c>
      <c r="AJ40" s="1">
        <f t="shared" ca="1" si="25"/>
        <v>3.457543075932612E-2</v>
      </c>
      <c r="AK40" s="1">
        <f t="shared" ca="1" si="26"/>
        <v>7.2268138669695642E-3</v>
      </c>
      <c r="AL40" s="1"/>
      <c r="AM40" s="1">
        <f t="shared" ca="1" si="27"/>
        <v>0.16038469562036978</v>
      </c>
      <c r="AN40" s="1">
        <f t="shared" ca="1" si="28"/>
        <v>80</v>
      </c>
      <c r="AO40" s="1">
        <f t="shared" ca="1" si="29"/>
        <v>-1</v>
      </c>
      <c r="AQ40" s="1">
        <f t="shared" ca="1" si="30"/>
        <v>194</v>
      </c>
      <c r="AR40" s="1">
        <f t="shared" ca="1" si="31"/>
        <v>9</v>
      </c>
      <c r="AS40" s="1">
        <f t="shared" ca="1" si="32"/>
        <v>36</v>
      </c>
      <c r="AU40" s="1">
        <f t="shared" ca="1" si="33"/>
        <v>111</v>
      </c>
      <c r="AV40" s="1">
        <f t="shared" ca="1" si="34"/>
        <v>2</v>
      </c>
      <c r="AW40" s="1">
        <f t="shared" ca="1" si="35"/>
        <v>0.12919075828499652</v>
      </c>
      <c r="AY40" s="1">
        <f t="shared" ca="1" si="36"/>
        <v>1.7021104442227526</v>
      </c>
      <c r="AZ40" s="1">
        <f t="shared" ca="1" si="37"/>
        <v>324</v>
      </c>
      <c r="BA40" s="1">
        <f t="shared" ca="1" si="38"/>
        <v>8.9030834090868122E-3</v>
      </c>
      <c r="BV40" s="1">
        <f t="shared" ca="1" si="39"/>
        <v>0.8560481090190919</v>
      </c>
      <c r="BW40" s="1">
        <f t="shared" ca="1" si="40"/>
        <v>598</v>
      </c>
      <c r="BX40" s="1">
        <f t="shared" ca="1" si="41"/>
        <v>9.4494677747659745E-5</v>
      </c>
      <c r="BY40" s="1">
        <f t="shared" ca="1" si="42"/>
        <v>4.8350409789200237E-2</v>
      </c>
      <c r="BZ40" s="1">
        <f t="shared" ca="1" si="43"/>
        <v>0.24925392169686422</v>
      </c>
      <c r="CB40" s="1">
        <f t="shared" ca="1" si="44"/>
        <v>193</v>
      </c>
      <c r="CC40" s="1">
        <f t="shared" ca="1" si="45"/>
        <v>6</v>
      </c>
      <c r="CD40" s="1">
        <f t="shared" ca="1" si="46"/>
        <v>0.12679620183830734</v>
      </c>
      <c r="CE40" s="1">
        <f t="shared" ca="1" si="62"/>
        <v>0.71631840701980354</v>
      </c>
      <c r="CF40" s="1">
        <f t="shared" ca="1" si="62"/>
        <v>0.88331651611168183</v>
      </c>
      <c r="CH40" s="3">
        <f t="shared" ca="1" si="48"/>
        <v>0.42817889705506995</v>
      </c>
      <c r="CI40" s="3">
        <f t="shared" ca="1" si="49"/>
        <v>0.35798974205690309</v>
      </c>
      <c r="CJ40" s="3">
        <f t="shared" ca="1" si="50"/>
        <v>884</v>
      </c>
      <c r="CK40" s="3">
        <f t="shared" ca="1" si="51"/>
        <v>5.5840817630605629E-3</v>
      </c>
      <c r="CL40" s="3">
        <f t="shared" ca="1" si="52"/>
        <v>0</v>
      </c>
      <c r="CM40" s="3"/>
      <c r="CN40" s="1">
        <f t="shared" ca="1" si="53"/>
        <v>4.4296142763442674</v>
      </c>
      <c r="CO40" s="1">
        <f t="shared" ca="1" si="54"/>
        <v>0.34667798663217336</v>
      </c>
      <c r="CP40" s="1">
        <f t="shared" ca="1" si="55"/>
        <v>2</v>
      </c>
      <c r="DH40" s="1">
        <f t="shared" ca="1" si="56"/>
        <v>326</v>
      </c>
      <c r="DI40" s="1">
        <f t="shared" ca="1" si="57"/>
        <v>0.92325627473181704</v>
      </c>
      <c r="DJ40" s="1">
        <f t="shared" ca="1" si="58"/>
        <v>2</v>
      </c>
      <c r="DL40" s="1">
        <f t="shared" ca="1" si="59"/>
        <v>0.19848504402954298</v>
      </c>
      <c r="DM40" s="1">
        <f t="shared" ca="1" si="60"/>
        <v>115</v>
      </c>
      <c r="DN40" s="1">
        <f t="shared" ca="1" si="61"/>
        <v>4</v>
      </c>
    </row>
    <row r="41" spans="2:118" x14ac:dyDescent="0.25">
      <c r="B41">
        <f t="shared" ca="1" si="0"/>
        <v>358</v>
      </c>
      <c r="C41">
        <f t="shared" ca="1" si="1"/>
        <v>41</v>
      </c>
      <c r="D41">
        <f t="shared" ca="1" si="2"/>
        <v>4.9271617168286902E-2</v>
      </c>
      <c r="F41" s="1">
        <f t="shared" ca="1" si="3"/>
        <v>12</v>
      </c>
      <c r="G41" s="1">
        <f t="shared" ca="1" si="4"/>
        <v>20</v>
      </c>
      <c r="H41" s="1">
        <f t="shared" ca="1" si="5"/>
        <v>5</v>
      </c>
      <c r="I41" s="1"/>
      <c r="J41" s="1">
        <f t="shared" ca="1" si="6"/>
        <v>25</v>
      </c>
      <c r="K41" s="1">
        <f t="shared" ca="1" si="7"/>
        <v>2.3455818693580781</v>
      </c>
      <c r="L41" s="1">
        <f t="shared" ca="1" si="8"/>
        <v>30</v>
      </c>
      <c r="M41" s="1"/>
      <c r="N41" s="1">
        <f t="shared" ca="1" si="9"/>
        <v>900</v>
      </c>
      <c r="O41" s="1">
        <f t="shared" ca="1" si="10"/>
        <v>24</v>
      </c>
      <c r="P41" s="1"/>
      <c r="Q41" s="1">
        <f t="shared" ca="1" si="11"/>
        <v>4.2151333169043363</v>
      </c>
      <c r="R41" s="1">
        <f t="shared" ca="1" si="12"/>
        <v>432</v>
      </c>
      <c r="S41" s="1"/>
      <c r="T41" s="1">
        <f t="shared" ca="1" si="13"/>
        <v>7.7078605362994906E-2</v>
      </c>
      <c r="U41" s="1">
        <f t="shared" ca="1" si="14"/>
        <v>288</v>
      </c>
      <c r="V41" s="1">
        <f t="shared" ca="1" si="15"/>
        <v>2</v>
      </c>
      <c r="W41" s="1"/>
      <c r="X41" s="1">
        <f t="shared" ca="1" si="16"/>
        <v>3.9684794892581237</v>
      </c>
      <c r="Y41" s="1">
        <f t="shared" ca="1" si="17"/>
        <v>0.90636293667343182</v>
      </c>
      <c r="Z41" s="1">
        <f t="shared" ca="1" si="18"/>
        <v>469</v>
      </c>
      <c r="AB41" s="1">
        <f t="shared" ca="1" si="19"/>
        <v>0.87339360411732081</v>
      </c>
      <c r="AC41" s="1">
        <f t="shared" ca="1" si="20"/>
        <v>995</v>
      </c>
      <c r="AD41" s="1">
        <f t="shared" ca="1" si="21"/>
        <v>1.1055970316919119E-3</v>
      </c>
      <c r="AE41" s="1"/>
      <c r="AF41" s="1">
        <f t="shared" ca="1" si="22"/>
        <v>0.65254467352922996</v>
      </c>
      <c r="AG41" s="1">
        <f t="shared" ca="1" si="23"/>
        <v>379</v>
      </c>
      <c r="AH41" s="1">
        <f t="shared" ca="1" si="24"/>
        <v>2.0718870991201094E-3</v>
      </c>
      <c r="AJ41" s="1">
        <f t="shared" ca="1" si="25"/>
        <v>0.93373626542994137</v>
      </c>
      <c r="AK41" s="1">
        <f t="shared" ca="1" si="26"/>
        <v>2.863797404026305E-3</v>
      </c>
      <c r="AL41" s="1"/>
      <c r="AM41" s="1">
        <f t="shared" ca="1" si="27"/>
        <v>7.1379845720457039E-2</v>
      </c>
      <c r="AN41" s="1">
        <f t="shared" ca="1" si="28"/>
        <v>72</v>
      </c>
      <c r="AO41" s="1">
        <f t="shared" ca="1" si="29"/>
        <v>-1</v>
      </c>
      <c r="AQ41" s="1">
        <f t="shared" ca="1" si="30"/>
        <v>12</v>
      </c>
      <c r="AR41" s="1">
        <f t="shared" ca="1" si="31"/>
        <v>7</v>
      </c>
      <c r="AS41" s="1">
        <f t="shared" ca="1" si="32"/>
        <v>5</v>
      </c>
      <c r="AU41" s="1">
        <f t="shared" ca="1" si="33"/>
        <v>136</v>
      </c>
      <c r="AV41" s="1">
        <f t="shared" ca="1" si="34"/>
        <v>4</v>
      </c>
      <c r="AW41" s="1">
        <f t="shared" ca="1" si="35"/>
        <v>0.14263636413174852</v>
      </c>
      <c r="AY41" s="1">
        <f t="shared" ca="1" si="36"/>
        <v>1.8365834969747352</v>
      </c>
      <c r="AZ41" s="1">
        <f t="shared" ca="1" si="37"/>
        <v>482</v>
      </c>
      <c r="BA41" s="1">
        <f t="shared" ca="1" si="38"/>
        <v>8.6664806765323604E-3</v>
      </c>
      <c r="BV41" s="1">
        <f t="shared" ca="1" si="39"/>
        <v>0.9322102398449178</v>
      </c>
      <c r="BW41" s="1">
        <f t="shared" ca="1" si="40"/>
        <v>540</v>
      </c>
      <c r="BX41" s="1">
        <f t="shared" ca="1" si="41"/>
        <v>8.2664625590844441E-3</v>
      </c>
      <c r="BY41" s="1">
        <f t="shared" ca="1" si="42"/>
        <v>9.2224513861786182E-3</v>
      </c>
      <c r="BZ41" s="1">
        <f t="shared" ca="1" si="43"/>
        <v>0.49261469988908402</v>
      </c>
      <c r="CB41" s="1">
        <f t="shared" ca="1" si="44"/>
        <v>336</v>
      </c>
      <c r="CC41" s="1">
        <f t="shared" ca="1" si="45"/>
        <v>11</v>
      </c>
      <c r="CD41" s="1">
        <f t="shared" ca="1" si="46"/>
        <v>0.22548129086717891</v>
      </c>
      <c r="CE41" s="1">
        <f t="shared" ca="1" si="62"/>
        <v>0.78282618481922395</v>
      </c>
      <c r="CF41" s="1">
        <f t="shared" ca="1" si="62"/>
        <v>0.79681065098947501</v>
      </c>
      <c r="CH41" s="3">
        <f t="shared" ca="1" si="48"/>
        <v>0.62783948929473354</v>
      </c>
      <c r="CI41" s="3">
        <f t="shared" ca="1" si="49"/>
        <v>0.30102569232579829</v>
      </c>
      <c r="CJ41" s="3">
        <f t="shared" ca="1" si="50"/>
        <v>742</v>
      </c>
      <c r="CK41" s="3">
        <f t="shared" ca="1" si="51"/>
        <v>3.708902437864035E-3</v>
      </c>
      <c r="CL41" s="3">
        <f t="shared" ca="1" si="52"/>
        <v>1</v>
      </c>
      <c r="CM41" s="3"/>
      <c r="CN41" s="1">
        <f t="shared" ca="1" si="53"/>
        <v>16.867670187823776</v>
      </c>
      <c r="CO41" s="1">
        <f t="shared" ca="1" si="54"/>
        <v>0.24576499622468279</v>
      </c>
      <c r="CP41" s="1">
        <f t="shared" ca="1" si="55"/>
        <v>1</v>
      </c>
      <c r="DH41" s="1">
        <f t="shared" ca="1" si="56"/>
        <v>91</v>
      </c>
      <c r="DI41" s="1">
        <f t="shared" ca="1" si="57"/>
        <v>0.47513684387883365</v>
      </c>
      <c r="DJ41" s="1">
        <f t="shared" ca="1" si="58"/>
        <v>20</v>
      </c>
      <c r="DL41" s="1">
        <f t="shared" ca="1" si="59"/>
        <v>0.17603775725450663</v>
      </c>
      <c r="DM41" s="1">
        <f t="shared" ca="1" si="60"/>
        <v>101</v>
      </c>
      <c r="DN41" s="1">
        <f t="shared" ca="1" si="61"/>
        <v>8</v>
      </c>
    </row>
    <row r="42" spans="2:118" x14ac:dyDescent="0.25">
      <c r="B42">
        <f t="shared" ca="1" si="0"/>
        <v>98</v>
      </c>
      <c r="C42">
        <f t="shared" ca="1" si="1"/>
        <v>27</v>
      </c>
      <c r="D42">
        <f t="shared" ca="1" si="2"/>
        <v>0.25958074494580585</v>
      </c>
      <c r="F42" s="1">
        <f t="shared" ca="1" si="3"/>
        <v>39</v>
      </c>
      <c r="G42" s="1">
        <f t="shared" ca="1" si="4"/>
        <v>14</v>
      </c>
      <c r="H42" s="1">
        <f t="shared" ca="1" si="5"/>
        <v>11</v>
      </c>
      <c r="I42" s="1"/>
      <c r="J42" s="1">
        <f t="shared" ca="1" si="6"/>
        <v>3</v>
      </c>
      <c r="K42" s="1">
        <f t="shared" ca="1" si="7"/>
        <v>2.9426815767939196</v>
      </c>
      <c r="L42" s="1">
        <f t="shared" ca="1" si="8"/>
        <v>20</v>
      </c>
      <c r="M42" s="1"/>
      <c r="N42" s="1">
        <f t="shared" ca="1" si="9"/>
        <v>925</v>
      </c>
      <c r="O42" s="1">
        <f t="shared" ca="1" si="10"/>
        <v>33</v>
      </c>
      <c r="P42" s="1"/>
      <c r="Q42" s="1">
        <f t="shared" ca="1" si="11"/>
        <v>0.51913408334313516</v>
      </c>
      <c r="R42" s="1">
        <f t="shared" ca="1" si="12"/>
        <v>215</v>
      </c>
      <c r="S42" s="1"/>
      <c r="T42" s="1">
        <f t="shared" ca="1" si="13"/>
        <v>2.9802568324668308E-2</v>
      </c>
      <c r="U42" s="1">
        <f t="shared" ca="1" si="14"/>
        <v>361</v>
      </c>
      <c r="V42" s="1">
        <f t="shared" ca="1" si="15"/>
        <v>44</v>
      </c>
      <c r="W42" s="1"/>
      <c r="X42" s="1">
        <f t="shared" ca="1" si="16"/>
        <v>6.303389065973672</v>
      </c>
      <c r="Y42" s="1">
        <f t="shared" ca="1" si="17"/>
        <v>0.63704508387132508</v>
      </c>
      <c r="Z42" s="1">
        <f t="shared" ca="1" si="18"/>
        <v>421</v>
      </c>
      <c r="AB42" s="1">
        <f t="shared" ca="1" si="19"/>
        <v>0.64921595151606337</v>
      </c>
      <c r="AC42" s="1">
        <f t="shared" ca="1" si="20"/>
        <v>275</v>
      </c>
      <c r="AD42" s="1">
        <f t="shared" ca="1" si="21"/>
        <v>9.8877373721708607E-3</v>
      </c>
      <c r="AE42" s="1"/>
      <c r="AF42" s="1">
        <f t="shared" ca="1" si="22"/>
        <v>0.14540483364921972</v>
      </c>
      <c r="AG42" s="1">
        <f t="shared" ca="1" si="23"/>
        <v>671</v>
      </c>
      <c r="AH42" s="1">
        <f t="shared" ca="1" si="24"/>
        <v>8.2646888480668781E-3</v>
      </c>
      <c r="AJ42" s="1">
        <f t="shared" ca="1" si="25"/>
        <v>0.36627962297687544</v>
      </c>
      <c r="AK42" s="1">
        <f t="shared" ca="1" si="26"/>
        <v>6.4098741061820851E-3</v>
      </c>
      <c r="AL42" s="1"/>
      <c r="AM42" s="1">
        <f t="shared" ca="1" si="27"/>
        <v>0.18205299468012043</v>
      </c>
      <c r="AN42" s="1">
        <f t="shared" ca="1" si="28"/>
        <v>11</v>
      </c>
      <c r="AO42" s="1">
        <f t="shared" ca="1" si="29"/>
        <v>-1</v>
      </c>
      <c r="AQ42" s="1">
        <f t="shared" ca="1" si="30"/>
        <v>170</v>
      </c>
      <c r="AR42" s="1">
        <f t="shared" ca="1" si="31"/>
        <v>10</v>
      </c>
      <c r="AS42" s="1">
        <f t="shared" ca="1" si="32"/>
        <v>26</v>
      </c>
      <c r="AU42" s="1">
        <f t="shared" ca="1" si="33"/>
        <v>150</v>
      </c>
      <c r="AV42" s="1">
        <f t="shared" ca="1" si="34"/>
        <v>8</v>
      </c>
      <c r="AW42" s="1">
        <f t="shared" ca="1" si="35"/>
        <v>0.19272118811945027</v>
      </c>
      <c r="AY42" s="1">
        <f t="shared" ca="1" si="36"/>
        <v>1.3364937409484472</v>
      </c>
      <c r="AZ42" s="1">
        <f t="shared" ca="1" si="37"/>
        <v>383</v>
      </c>
      <c r="BA42" s="1">
        <f t="shared" ca="1" si="38"/>
        <v>2.7245126548785439E-3</v>
      </c>
      <c r="BV42" s="1">
        <f t="shared" ca="1" si="39"/>
        <v>0.68393665514688362</v>
      </c>
      <c r="BW42" s="1">
        <f t="shared" ca="1" si="40"/>
        <v>218</v>
      </c>
      <c r="BX42" s="1">
        <f t="shared" ca="1" si="41"/>
        <v>5.7505224109999243E-3</v>
      </c>
      <c r="BY42" s="1">
        <f t="shared" ca="1" si="42"/>
        <v>2.6843568857521864E-2</v>
      </c>
      <c r="BZ42" s="1">
        <f t="shared" ca="1" si="43"/>
        <v>0.99025477794201067</v>
      </c>
      <c r="CB42" s="1">
        <f t="shared" ca="1" si="44"/>
        <v>212</v>
      </c>
      <c r="CC42" s="1">
        <f t="shared" ca="1" si="45"/>
        <v>12</v>
      </c>
      <c r="CD42" s="1">
        <f t="shared" ca="1" si="46"/>
        <v>0.28464255821736534</v>
      </c>
      <c r="CE42" s="1">
        <f t="shared" ca="1" si="62"/>
        <v>0.88953175173814325</v>
      </c>
      <c r="CF42" s="1">
        <f t="shared" ca="1" si="62"/>
        <v>0.8523918839322393</v>
      </c>
      <c r="CH42" s="3">
        <f t="shared" ca="1" si="48"/>
        <v>7.1541981579792127E-3</v>
      </c>
      <c r="CI42" s="3">
        <f t="shared" ca="1" si="49"/>
        <v>0.83915245740276678</v>
      </c>
      <c r="CJ42" s="3">
        <f t="shared" ca="1" si="50"/>
        <v>1738</v>
      </c>
      <c r="CK42" s="3">
        <f t="shared" ca="1" si="51"/>
        <v>4.186294811450701E-3</v>
      </c>
      <c r="CL42" s="3">
        <f t="shared" ca="1" si="52"/>
        <v>0</v>
      </c>
      <c r="CM42" s="3"/>
      <c r="CN42" s="1">
        <f t="shared" ca="1" si="53"/>
        <v>17.573451100875172</v>
      </c>
      <c r="CO42" s="1">
        <f t="shared" ca="1" si="54"/>
        <v>0.4487948098881569</v>
      </c>
      <c r="CP42" s="1">
        <f t="shared" ca="1" si="55"/>
        <v>2</v>
      </c>
      <c r="DH42" s="1">
        <f t="shared" ca="1" si="56"/>
        <v>285</v>
      </c>
      <c r="DI42" s="1">
        <f t="shared" ca="1" si="57"/>
        <v>0.6442750718529684</v>
      </c>
      <c r="DJ42" s="1">
        <f t="shared" ca="1" si="58"/>
        <v>1</v>
      </c>
      <c r="DL42" s="1">
        <f t="shared" ca="1" si="59"/>
        <v>3.7579169322536542E-2</v>
      </c>
      <c r="DM42" s="1">
        <f t="shared" ca="1" si="60"/>
        <v>86</v>
      </c>
      <c r="DN42" s="1">
        <f t="shared" ca="1" si="61"/>
        <v>2</v>
      </c>
    </row>
    <row r="43" spans="2:118" x14ac:dyDescent="0.25">
      <c r="B43">
        <f t="shared" ca="1" si="0"/>
        <v>799</v>
      </c>
      <c r="C43">
        <f t="shared" ca="1" si="1"/>
        <v>5</v>
      </c>
      <c r="D43">
        <f t="shared" ca="1" si="2"/>
        <v>8.6342640212713054E-2</v>
      </c>
      <c r="F43" s="1">
        <f t="shared" ca="1" si="3"/>
        <v>37</v>
      </c>
      <c r="G43" s="1">
        <f t="shared" ca="1" si="4"/>
        <v>9</v>
      </c>
      <c r="H43" s="1">
        <f t="shared" ca="1" si="5"/>
        <v>10</v>
      </c>
      <c r="I43" s="1"/>
      <c r="J43" s="1">
        <f t="shared" ca="1" si="6"/>
        <v>11</v>
      </c>
      <c r="K43" s="1">
        <f t="shared" ca="1" si="7"/>
        <v>2.690296338452808</v>
      </c>
      <c r="L43" s="1">
        <f t="shared" ca="1" si="8"/>
        <v>7</v>
      </c>
      <c r="M43" s="1"/>
      <c r="N43" s="1">
        <f t="shared" ca="1" si="9"/>
        <v>28</v>
      </c>
      <c r="O43" s="1">
        <f t="shared" ca="1" si="10"/>
        <v>15</v>
      </c>
      <c r="P43" s="1"/>
      <c r="Q43" s="1">
        <f t="shared" ca="1" si="11"/>
        <v>4.0259574681501293</v>
      </c>
      <c r="R43" s="1">
        <f t="shared" ca="1" si="12"/>
        <v>569</v>
      </c>
      <c r="S43" s="1"/>
      <c r="T43" s="1">
        <f t="shared" ca="1" si="13"/>
        <v>0.15911254708245859</v>
      </c>
      <c r="U43" s="1">
        <f t="shared" ca="1" si="14"/>
        <v>399</v>
      </c>
      <c r="V43" s="1">
        <f t="shared" ca="1" si="15"/>
        <v>6</v>
      </c>
      <c r="W43" s="1"/>
      <c r="X43" s="1">
        <f t="shared" ca="1" si="16"/>
        <v>3.4927300452900196</v>
      </c>
      <c r="Y43" s="1">
        <f t="shared" ca="1" si="17"/>
        <v>0.69317071613935477</v>
      </c>
      <c r="Z43" s="1">
        <f t="shared" ca="1" si="18"/>
        <v>1299</v>
      </c>
      <c r="AB43" s="1">
        <f t="shared" ca="1" si="19"/>
        <v>0.94118890835464275</v>
      </c>
      <c r="AC43" s="1">
        <f t="shared" ca="1" si="20"/>
        <v>316</v>
      </c>
      <c r="AD43" s="1">
        <f t="shared" ca="1" si="21"/>
        <v>5.6173315781875557E-3</v>
      </c>
      <c r="AE43" s="1"/>
      <c r="AF43" s="1">
        <f t="shared" ca="1" si="22"/>
        <v>0.31791481889543532</v>
      </c>
      <c r="AG43" s="1">
        <f t="shared" ca="1" si="23"/>
        <v>173</v>
      </c>
      <c r="AH43" s="1">
        <f t="shared" ca="1" si="24"/>
        <v>3.6879361495272649E-3</v>
      </c>
      <c r="AJ43" s="1">
        <f t="shared" ca="1" si="25"/>
        <v>0.93958252968582168</v>
      </c>
      <c r="AK43" s="1">
        <f t="shared" ca="1" si="26"/>
        <v>8.3968527571931968E-3</v>
      </c>
      <c r="AL43" s="1"/>
      <c r="AM43" s="1">
        <f t="shared" ca="1" si="27"/>
        <v>2.1919910129953212E-2</v>
      </c>
      <c r="AN43" s="1">
        <f t="shared" ca="1" si="28"/>
        <v>48</v>
      </c>
      <c r="AO43" s="1">
        <f t="shared" ca="1" si="29"/>
        <v>17</v>
      </c>
      <c r="AQ43" s="1">
        <f t="shared" ca="1" si="30"/>
        <v>48</v>
      </c>
      <c r="AR43" s="1">
        <f t="shared" ca="1" si="31"/>
        <v>6</v>
      </c>
      <c r="AS43" s="1">
        <f t="shared" ca="1" si="32"/>
        <v>9</v>
      </c>
      <c r="AU43" s="1">
        <f t="shared" ca="1" si="33"/>
        <v>76</v>
      </c>
      <c r="AV43" s="1">
        <f t="shared" ca="1" si="34"/>
        <v>6</v>
      </c>
      <c r="AW43" s="1">
        <f t="shared" ca="1" si="35"/>
        <v>0.14817893913049099</v>
      </c>
      <c r="AY43" s="1">
        <f t="shared" ca="1" si="36"/>
        <v>1.9479153377058025</v>
      </c>
      <c r="AZ43" s="1">
        <f t="shared" ca="1" si="37"/>
        <v>264</v>
      </c>
      <c r="BA43" s="1">
        <f t="shared" ca="1" si="38"/>
        <v>7.3274899222621022E-3</v>
      </c>
      <c r="BV43" s="1">
        <f t="shared" ca="1" si="39"/>
        <v>0.47463837890874888</v>
      </c>
      <c r="BW43" s="1">
        <f t="shared" ca="1" si="40"/>
        <v>938</v>
      </c>
      <c r="BX43" s="1">
        <f t="shared" ca="1" si="41"/>
        <v>4.8351952250706048E-4</v>
      </c>
      <c r="BY43" s="1">
        <f t="shared" ca="1" si="42"/>
        <v>8.4671075553815478E-2</v>
      </c>
      <c r="BZ43" s="1">
        <f t="shared" ca="1" si="43"/>
        <v>0.19102281587184977</v>
      </c>
      <c r="CB43" s="1">
        <f t="shared" ca="1" si="44"/>
        <v>442</v>
      </c>
      <c r="CC43" s="1">
        <f t="shared" ca="1" si="45"/>
        <v>12</v>
      </c>
      <c r="CD43" s="1">
        <f t="shared" ca="1" si="46"/>
        <v>0.19001472759858121</v>
      </c>
      <c r="CE43" s="1">
        <f t="shared" ca="1" si="62"/>
        <v>0.85758801162415366</v>
      </c>
      <c r="CF43" s="1">
        <f t="shared" ca="1" si="62"/>
        <v>0.5049622323896048</v>
      </c>
      <c r="CH43" s="3">
        <f t="shared" ca="1" si="48"/>
        <v>0.94521198084365343</v>
      </c>
      <c r="CI43" s="3">
        <f t="shared" ca="1" si="49"/>
        <v>8.4013168932437807E-2</v>
      </c>
      <c r="CJ43" s="3">
        <f t="shared" ca="1" si="50"/>
        <v>593</v>
      </c>
      <c r="CK43" s="3">
        <f t="shared" ca="1" si="51"/>
        <v>1.962656844430131E-3</v>
      </c>
      <c r="CL43" s="3">
        <f t="shared" ca="1" si="52"/>
        <v>1</v>
      </c>
      <c r="CM43" s="3"/>
      <c r="CN43" s="1">
        <f t="shared" ca="1" si="53"/>
        <v>4.025124624506323</v>
      </c>
      <c r="CO43" s="1">
        <f t="shared" ca="1" si="54"/>
        <v>0.16960202312839034</v>
      </c>
      <c r="CP43" s="1">
        <f t="shared" ca="1" si="55"/>
        <v>5</v>
      </c>
      <c r="DH43" s="1">
        <f t="shared" ca="1" si="56"/>
        <v>794</v>
      </c>
      <c r="DI43" s="1">
        <f t="shared" ca="1" si="57"/>
        <v>0.21272984969585604</v>
      </c>
      <c r="DJ43" s="1">
        <f t="shared" ca="1" si="58"/>
        <v>11</v>
      </c>
      <c r="DL43" s="1">
        <f t="shared" ca="1" si="59"/>
        <v>1.1276053813962945E-2</v>
      </c>
      <c r="DM43" s="1">
        <f t="shared" ca="1" si="60"/>
        <v>227</v>
      </c>
      <c r="DN43" s="1">
        <f t="shared" ca="1" si="61"/>
        <v>6</v>
      </c>
    </row>
    <row r="44" spans="2:118" x14ac:dyDescent="0.25">
      <c r="B44">
        <f t="shared" ca="1" si="0"/>
        <v>232</v>
      </c>
      <c r="C44">
        <f t="shared" ca="1" si="1"/>
        <v>24</v>
      </c>
      <c r="D44">
        <f t="shared" ca="1" si="2"/>
        <v>0.22588359821547391</v>
      </c>
      <c r="F44" s="1">
        <f t="shared" ca="1" si="3"/>
        <v>10</v>
      </c>
      <c r="G44" s="1">
        <f t="shared" ca="1" si="4"/>
        <v>3</v>
      </c>
      <c r="H44" s="1">
        <f t="shared" ca="1" si="5"/>
        <v>15</v>
      </c>
      <c r="I44" s="1"/>
      <c r="J44" s="1">
        <f t="shared" ca="1" si="6"/>
        <v>16</v>
      </c>
      <c r="K44" s="1">
        <f t="shared" ca="1" si="7"/>
        <v>1.738255615254608</v>
      </c>
      <c r="L44" s="1">
        <f t="shared" ca="1" si="8"/>
        <v>20</v>
      </c>
      <c r="M44" s="1"/>
      <c r="N44" s="1">
        <f t="shared" ca="1" si="9"/>
        <v>780</v>
      </c>
      <c r="O44" s="1">
        <f t="shared" ca="1" si="10"/>
        <v>42</v>
      </c>
      <c r="P44" s="1"/>
      <c r="Q44" s="1">
        <f t="shared" ca="1" si="11"/>
        <v>4.4678213243313714</v>
      </c>
      <c r="R44" s="1">
        <f t="shared" ca="1" si="12"/>
        <v>643</v>
      </c>
      <c r="S44" s="1"/>
      <c r="T44" s="1">
        <f t="shared" ca="1" si="13"/>
        <v>8.3851823473502632E-2</v>
      </c>
      <c r="U44" s="1">
        <f t="shared" ca="1" si="14"/>
        <v>204</v>
      </c>
      <c r="V44" s="1">
        <f t="shared" ca="1" si="15"/>
        <v>13</v>
      </c>
      <c r="W44" s="1"/>
      <c r="X44" s="1">
        <f t="shared" ca="1" si="16"/>
        <v>2.6961606605439545</v>
      </c>
      <c r="Y44" s="1">
        <f t="shared" ca="1" si="17"/>
        <v>0.37061168010050777</v>
      </c>
      <c r="Z44" s="1">
        <f t="shared" ca="1" si="18"/>
        <v>1570</v>
      </c>
      <c r="AB44" s="1">
        <f t="shared" ca="1" si="19"/>
        <v>0.47596069632467713</v>
      </c>
      <c r="AC44" s="1">
        <f t="shared" ca="1" si="20"/>
        <v>406</v>
      </c>
      <c r="AD44" s="1">
        <f t="shared" ca="1" si="21"/>
        <v>1.5068467466260213E-3</v>
      </c>
      <c r="AE44" s="1"/>
      <c r="AF44" s="1">
        <f t="shared" ca="1" si="22"/>
        <v>0.5976848194747687</v>
      </c>
      <c r="AG44" s="1">
        <f t="shared" ca="1" si="23"/>
        <v>633</v>
      </c>
      <c r="AH44" s="1">
        <f t="shared" ca="1" si="24"/>
        <v>6.3826419445349135E-3</v>
      </c>
      <c r="AJ44" s="1">
        <f t="shared" ca="1" si="25"/>
        <v>0.20745317224561077</v>
      </c>
      <c r="AK44" s="1">
        <f t="shared" ca="1" si="26"/>
        <v>7.5313238509740763E-3</v>
      </c>
      <c r="AL44" s="1"/>
      <c r="AM44" s="1">
        <f t="shared" ca="1" si="27"/>
        <v>8.3108613234617837E-2</v>
      </c>
      <c r="AN44" s="1">
        <f t="shared" ca="1" si="28"/>
        <v>63</v>
      </c>
      <c r="AO44" s="1">
        <f t="shared" ca="1" si="29"/>
        <v>15</v>
      </c>
      <c r="AQ44" s="1">
        <f t="shared" ca="1" si="30"/>
        <v>172</v>
      </c>
      <c r="AR44" s="1">
        <f t="shared" ca="1" si="31"/>
        <v>3</v>
      </c>
      <c r="AS44" s="1">
        <f t="shared" ca="1" si="32"/>
        <v>28</v>
      </c>
      <c r="AU44" s="1">
        <f t="shared" ca="1" si="33"/>
        <v>326</v>
      </c>
      <c r="AV44" s="1">
        <f t="shared" ca="1" si="34"/>
        <v>7</v>
      </c>
      <c r="AW44" s="1">
        <f t="shared" ca="1" si="35"/>
        <v>4.3686290972345221E-2</v>
      </c>
      <c r="AY44" s="1">
        <f t="shared" ca="1" si="36"/>
        <v>1.9941418713911019</v>
      </c>
      <c r="AZ44" s="1">
        <f t="shared" ca="1" si="37"/>
        <v>88</v>
      </c>
      <c r="BA44" s="1">
        <f t="shared" ca="1" si="38"/>
        <v>6.036261148706229E-3</v>
      </c>
      <c r="BV44" s="1">
        <f t="shared" ca="1" si="39"/>
        <v>0.59502464844402059</v>
      </c>
      <c r="BW44" s="1">
        <f t="shared" ca="1" si="40"/>
        <v>589</v>
      </c>
      <c r="BX44" s="1">
        <f t="shared" ca="1" si="41"/>
        <v>6.1582669871036166E-3</v>
      </c>
      <c r="BY44" s="1">
        <f t="shared" ca="1" si="42"/>
        <v>6.2971151235104328E-2</v>
      </c>
      <c r="BZ44" s="1">
        <f t="shared" ca="1" si="43"/>
        <v>7.8552845996862741E-2</v>
      </c>
      <c r="CB44" s="1">
        <f t="shared" ca="1" si="44"/>
        <v>266</v>
      </c>
      <c r="CC44" s="1">
        <f t="shared" ca="1" si="45"/>
        <v>15</v>
      </c>
      <c r="CD44" s="1">
        <f t="shared" ca="1" si="46"/>
        <v>0.21952369040006661</v>
      </c>
      <c r="CE44" s="1">
        <f t="shared" ca="1" si="62"/>
        <v>0.86443661468467559</v>
      </c>
      <c r="CF44" s="1">
        <f t="shared" ca="1" si="62"/>
        <v>0.76369180146382165</v>
      </c>
      <c r="CH44" s="3">
        <f t="shared" ca="1" si="48"/>
        <v>0.96333054460392709</v>
      </c>
      <c r="CI44" s="3">
        <f t="shared" ca="1" si="49"/>
        <v>0.88868432880063375</v>
      </c>
      <c r="CJ44" s="3">
        <f t="shared" ca="1" si="50"/>
        <v>198</v>
      </c>
      <c r="CK44" s="3">
        <f t="shared" ca="1" si="51"/>
        <v>9.1971214512255074E-3</v>
      </c>
      <c r="CL44" s="3">
        <f t="shared" ca="1" si="52"/>
        <v>1</v>
      </c>
      <c r="CM44" s="3"/>
      <c r="CN44" s="1">
        <f t="shared" ca="1" si="53"/>
        <v>12.175396208313867</v>
      </c>
      <c r="CO44" s="1">
        <f t="shared" ca="1" si="54"/>
        <v>0.35418498923470748</v>
      </c>
      <c r="CP44" s="1">
        <f t="shared" ca="1" si="55"/>
        <v>2</v>
      </c>
      <c r="DH44" s="1">
        <f t="shared" ca="1" si="56"/>
        <v>732</v>
      </c>
      <c r="DI44" s="1">
        <f t="shared" ca="1" si="57"/>
        <v>0.55773066921268444</v>
      </c>
      <c r="DJ44" s="1">
        <f t="shared" ca="1" si="58"/>
        <v>22</v>
      </c>
      <c r="DL44" s="1">
        <f t="shared" ca="1" si="59"/>
        <v>0.14913196708014298</v>
      </c>
      <c r="DM44" s="1">
        <f t="shared" ca="1" si="60"/>
        <v>101</v>
      </c>
      <c r="DN44" s="1">
        <f t="shared" ca="1" si="61"/>
        <v>9</v>
      </c>
    </row>
    <row r="45" spans="2:118" x14ac:dyDescent="0.25">
      <c r="B45">
        <f t="shared" ca="1" si="0"/>
        <v>171</v>
      </c>
      <c r="C45">
        <f t="shared" ca="1" si="1"/>
        <v>40</v>
      </c>
      <c r="D45">
        <f t="shared" ca="1" si="2"/>
        <v>1.8440924188572461E-2</v>
      </c>
      <c r="F45" s="1">
        <f t="shared" ca="1" si="3"/>
        <v>36</v>
      </c>
      <c r="G45" s="1">
        <f t="shared" ca="1" si="4"/>
        <v>30</v>
      </c>
      <c r="H45" s="1">
        <f t="shared" ca="1" si="5"/>
        <v>14</v>
      </c>
      <c r="I45" s="1"/>
      <c r="J45" s="1">
        <f t="shared" ca="1" si="6"/>
        <v>18</v>
      </c>
      <c r="K45" s="1">
        <f t="shared" ca="1" si="7"/>
        <v>2.0323744243477777</v>
      </c>
      <c r="L45" s="1">
        <f t="shared" ca="1" si="8"/>
        <v>30</v>
      </c>
      <c r="M45" s="1"/>
      <c r="N45" s="1">
        <f t="shared" ca="1" si="9"/>
        <v>404</v>
      </c>
      <c r="O45" s="1">
        <f t="shared" ca="1" si="10"/>
        <v>44</v>
      </c>
      <c r="P45" s="1"/>
      <c r="Q45" s="1">
        <f t="shared" ca="1" si="11"/>
        <v>4.0263887741082192</v>
      </c>
      <c r="R45" s="1">
        <f t="shared" ca="1" si="12"/>
        <v>312</v>
      </c>
      <c r="S45" s="1"/>
      <c r="T45" s="1">
        <f t="shared" ca="1" si="13"/>
        <v>3.1870917413033155E-2</v>
      </c>
      <c r="U45" s="1">
        <f t="shared" ca="1" si="14"/>
        <v>120</v>
      </c>
      <c r="V45" s="1">
        <f t="shared" ca="1" si="15"/>
        <v>14</v>
      </c>
      <c r="W45" s="1"/>
      <c r="X45" s="1">
        <f t="shared" ca="1" si="16"/>
        <v>6.934990940156478</v>
      </c>
      <c r="Y45" s="1">
        <f t="shared" ca="1" si="17"/>
        <v>0.47476184731307364</v>
      </c>
      <c r="Z45" s="1">
        <f t="shared" ca="1" si="18"/>
        <v>1348</v>
      </c>
      <c r="AB45" s="1">
        <f t="shared" ca="1" si="19"/>
        <v>0.91825934135207943</v>
      </c>
      <c r="AC45" s="1">
        <f t="shared" ca="1" si="20"/>
        <v>442</v>
      </c>
      <c r="AD45" s="1">
        <f t="shared" ca="1" si="21"/>
        <v>8.6162599923463503E-3</v>
      </c>
      <c r="AE45" s="1"/>
      <c r="AF45" s="1">
        <f t="shared" ca="1" si="22"/>
        <v>0.52419859186863949</v>
      </c>
      <c r="AG45" s="1">
        <f t="shared" ca="1" si="23"/>
        <v>577</v>
      </c>
      <c r="AH45" s="1">
        <f t="shared" ca="1" si="24"/>
        <v>9.2497622004464909E-3</v>
      </c>
      <c r="AJ45" s="1">
        <f t="shared" ca="1" si="25"/>
        <v>0.24437118914787304</v>
      </c>
      <c r="AK45" s="1">
        <f t="shared" ca="1" si="26"/>
        <v>7.7584082679097253E-3</v>
      </c>
      <c r="AL45" s="1"/>
      <c r="AM45" s="1">
        <f t="shared" ca="1" si="27"/>
        <v>0.16670186337381837</v>
      </c>
      <c r="AN45" s="1">
        <f t="shared" ca="1" si="28"/>
        <v>22</v>
      </c>
      <c r="AO45" s="1">
        <f t="shared" ca="1" si="29"/>
        <v>18</v>
      </c>
      <c r="AQ45" s="1">
        <f t="shared" ca="1" si="30"/>
        <v>111</v>
      </c>
      <c r="AR45" s="1">
        <f t="shared" ca="1" si="31"/>
        <v>3</v>
      </c>
      <c r="AS45" s="1">
        <f t="shared" ca="1" si="32"/>
        <v>91</v>
      </c>
      <c r="AU45" s="1">
        <f t="shared" ca="1" si="33"/>
        <v>384</v>
      </c>
      <c r="AV45" s="1">
        <f t="shared" ca="1" si="34"/>
        <v>10</v>
      </c>
      <c r="AW45" s="1">
        <f t="shared" ca="1" si="35"/>
        <v>0.11749375172001601</v>
      </c>
      <c r="AY45" s="1">
        <f t="shared" ca="1" si="36"/>
        <v>1.8182542744447983</v>
      </c>
      <c r="AZ45" s="1">
        <f t="shared" ca="1" si="37"/>
        <v>317</v>
      </c>
      <c r="BA45" s="1">
        <f t="shared" ca="1" si="38"/>
        <v>8.6943414790518862E-3</v>
      </c>
      <c r="BV45" s="1">
        <f t="shared" ca="1" si="39"/>
        <v>0.82751328294744786</v>
      </c>
      <c r="BW45" s="1">
        <f t="shared" ca="1" si="40"/>
        <v>721</v>
      </c>
      <c r="BX45" s="1">
        <f t="shared" ca="1" si="41"/>
        <v>9.0388952388463489E-3</v>
      </c>
      <c r="BY45" s="1">
        <f t="shared" ca="1" si="42"/>
        <v>7.9389624277260276E-2</v>
      </c>
      <c r="BZ45" s="1">
        <f t="shared" ca="1" si="43"/>
        <v>2.1662109732134116E-2</v>
      </c>
      <c r="CB45" s="1">
        <f t="shared" ca="1" si="44"/>
        <v>115</v>
      </c>
      <c r="CC45" s="1">
        <f t="shared" ca="1" si="45"/>
        <v>12</v>
      </c>
      <c r="CD45" s="1">
        <f t="shared" ca="1" si="46"/>
        <v>0.19343635125105407</v>
      </c>
      <c r="CE45" s="1">
        <f t="shared" ca="1" si="62"/>
        <v>0.81645918678862606</v>
      </c>
      <c r="CF45" s="1">
        <f t="shared" ca="1" si="62"/>
        <v>0.97929121407013731</v>
      </c>
      <c r="CH45" s="3">
        <f t="shared" ca="1" si="48"/>
        <v>0.10768467665727376</v>
      </c>
      <c r="CI45" s="3">
        <f t="shared" ca="1" si="49"/>
        <v>0.4864944702212049</v>
      </c>
      <c r="CJ45" s="3">
        <f t="shared" ca="1" si="50"/>
        <v>913</v>
      </c>
      <c r="CK45" s="3">
        <f t="shared" ca="1" si="51"/>
        <v>9.5186652914950702E-3</v>
      </c>
      <c r="CL45" s="3">
        <f t="shared" ca="1" si="52"/>
        <v>0</v>
      </c>
      <c r="CM45" s="3"/>
      <c r="CN45" s="1">
        <f t="shared" ca="1" si="53"/>
        <v>13.812787016541458</v>
      </c>
      <c r="CO45" s="1">
        <f t="shared" ca="1" si="54"/>
        <v>0.11975511074721149</v>
      </c>
      <c r="CP45" s="1">
        <f t="shared" ca="1" si="55"/>
        <v>2</v>
      </c>
      <c r="DH45" s="1">
        <f t="shared" ca="1" si="56"/>
        <v>490</v>
      </c>
      <c r="DI45" s="1">
        <f t="shared" ca="1" si="57"/>
        <v>0.81968959539675124</v>
      </c>
      <c r="DJ45" s="1">
        <f t="shared" ca="1" si="58"/>
        <v>29</v>
      </c>
      <c r="DL45" s="1">
        <f t="shared" ca="1" si="59"/>
        <v>6.2760172760579158E-2</v>
      </c>
      <c r="DM45" s="1">
        <f t="shared" ca="1" si="60"/>
        <v>229</v>
      </c>
      <c r="DN45" s="1">
        <f t="shared" ca="1" si="61"/>
        <v>8</v>
      </c>
    </row>
    <row r="46" spans="2:118" x14ac:dyDescent="0.25">
      <c r="B46">
        <f t="shared" ca="1" si="0"/>
        <v>395</v>
      </c>
      <c r="C46">
        <f t="shared" ca="1" si="1"/>
        <v>17</v>
      </c>
      <c r="D46">
        <f t="shared" ca="1" si="2"/>
        <v>6.2760838046245784E-2</v>
      </c>
      <c r="F46" s="1">
        <f t="shared" ca="1" si="3"/>
        <v>21</v>
      </c>
      <c r="G46" s="1">
        <f t="shared" ca="1" si="4"/>
        <v>27</v>
      </c>
      <c r="H46" s="1">
        <f t="shared" ca="1" si="5"/>
        <v>2</v>
      </c>
      <c r="I46" s="1"/>
      <c r="J46" s="1">
        <f t="shared" ca="1" si="6"/>
        <v>11</v>
      </c>
      <c r="K46" s="1">
        <f t="shared" ca="1" si="7"/>
        <v>1.7058969758648379</v>
      </c>
      <c r="L46" s="1">
        <f t="shared" ca="1" si="8"/>
        <v>35</v>
      </c>
      <c r="M46" s="1"/>
      <c r="N46" s="1">
        <f t="shared" ca="1" si="9"/>
        <v>862</v>
      </c>
      <c r="O46" s="1">
        <f t="shared" ca="1" si="10"/>
        <v>30</v>
      </c>
      <c r="P46" s="1"/>
      <c r="Q46" s="1">
        <f t="shared" ca="1" si="11"/>
        <v>1.3171946738061961</v>
      </c>
      <c r="R46" s="1">
        <f t="shared" ca="1" si="12"/>
        <v>387</v>
      </c>
      <c r="S46" s="1"/>
      <c r="T46" s="1">
        <f t="shared" ca="1" si="13"/>
        <v>5.7630913593836874E-2</v>
      </c>
      <c r="U46" s="1">
        <f t="shared" ca="1" si="14"/>
        <v>140</v>
      </c>
      <c r="V46" s="1">
        <f t="shared" ca="1" si="15"/>
        <v>31</v>
      </c>
      <c r="W46" s="1"/>
      <c r="X46" s="1">
        <f t="shared" ca="1" si="16"/>
        <v>0.79859021549838327</v>
      </c>
      <c r="Y46" s="1">
        <f t="shared" ca="1" si="17"/>
        <v>0.3872474772112296</v>
      </c>
      <c r="Z46" s="1">
        <f t="shared" ca="1" si="18"/>
        <v>299</v>
      </c>
      <c r="AB46" s="1">
        <f t="shared" ca="1" si="19"/>
        <v>0.9224914043803053</v>
      </c>
      <c r="AC46" s="1">
        <f t="shared" ca="1" si="20"/>
        <v>107</v>
      </c>
      <c r="AD46" s="1">
        <f t="shared" ca="1" si="21"/>
        <v>7.2628995490915229E-3</v>
      </c>
      <c r="AE46" s="1"/>
      <c r="AF46" s="1">
        <f t="shared" ca="1" si="22"/>
        <v>0.68598812276002552</v>
      </c>
      <c r="AG46" s="1">
        <f t="shared" ca="1" si="23"/>
        <v>207</v>
      </c>
      <c r="AH46" s="1">
        <f t="shared" ca="1" si="24"/>
        <v>6.7473407369479221E-3</v>
      </c>
      <c r="AJ46" s="1">
        <f t="shared" ca="1" si="25"/>
        <v>0.41813015040293233</v>
      </c>
      <c r="AK46" s="1">
        <f t="shared" ca="1" si="26"/>
        <v>4.6896369746617884E-3</v>
      </c>
      <c r="AL46" s="1"/>
      <c r="AM46" s="1">
        <f t="shared" ca="1" si="27"/>
        <v>0.19581679616603095</v>
      </c>
      <c r="AN46" s="1">
        <f t="shared" ca="1" si="28"/>
        <v>12</v>
      </c>
      <c r="AO46" s="1">
        <f t="shared" ca="1" si="29"/>
        <v>3</v>
      </c>
      <c r="AQ46" s="1">
        <f t="shared" ca="1" si="30"/>
        <v>97</v>
      </c>
      <c r="AR46" s="1">
        <f t="shared" ca="1" si="31"/>
        <v>1</v>
      </c>
      <c r="AS46" s="1">
        <f t="shared" ca="1" si="32"/>
        <v>98</v>
      </c>
      <c r="AU46" s="1">
        <f t="shared" ca="1" si="33"/>
        <v>175</v>
      </c>
      <c r="AV46" s="1">
        <f t="shared" ca="1" si="34"/>
        <v>5</v>
      </c>
      <c r="AW46" s="1">
        <f t="shared" ca="1" si="35"/>
        <v>0.13937652956388749</v>
      </c>
      <c r="AY46" s="1">
        <f t="shared" ca="1" si="36"/>
        <v>1.6210112932985044</v>
      </c>
      <c r="AZ46" s="1">
        <f t="shared" ca="1" si="37"/>
        <v>404</v>
      </c>
      <c r="BA46" s="1">
        <f t="shared" ca="1" si="38"/>
        <v>4.9361042412788235E-3</v>
      </c>
      <c r="BV46" s="1">
        <f t="shared" ca="1" si="39"/>
        <v>0.68186931417282637</v>
      </c>
      <c r="BW46" s="1">
        <f t="shared" ca="1" si="40"/>
        <v>785</v>
      </c>
      <c r="BX46" s="1">
        <f t="shared" ca="1" si="41"/>
        <v>7.7182139567366541E-3</v>
      </c>
      <c r="BY46" s="1">
        <f t="shared" ca="1" si="42"/>
        <v>7.200988089295654E-2</v>
      </c>
      <c r="BZ46" s="1">
        <f t="shared" ca="1" si="43"/>
        <v>0.14374056307710104</v>
      </c>
      <c r="CB46" s="1">
        <f t="shared" ca="1" si="44"/>
        <v>496</v>
      </c>
      <c r="CC46" s="1">
        <f t="shared" ca="1" si="45"/>
        <v>5</v>
      </c>
      <c r="CD46" s="1">
        <f t="shared" ca="1" si="46"/>
        <v>8.9546608829008792E-2</v>
      </c>
      <c r="CE46" s="1">
        <f t="shared" ca="1" si="62"/>
        <v>0.84331724600061131</v>
      </c>
      <c r="CF46" s="1">
        <f t="shared" ca="1" si="62"/>
        <v>0.89427705175055494</v>
      </c>
      <c r="CH46" s="3">
        <f t="shared" ca="1" si="48"/>
        <v>0.73424188200417895</v>
      </c>
      <c r="CI46" s="3">
        <f t="shared" ca="1" si="49"/>
        <v>0.19309500218830392</v>
      </c>
      <c r="CJ46" s="3">
        <f t="shared" ca="1" si="50"/>
        <v>1814</v>
      </c>
      <c r="CK46" s="3">
        <f t="shared" ca="1" si="51"/>
        <v>9.1858129772192203E-3</v>
      </c>
      <c r="CL46" s="3">
        <f t="shared" ca="1" si="52"/>
        <v>1</v>
      </c>
      <c r="CM46" s="3"/>
      <c r="CN46" s="1">
        <f t="shared" ca="1" si="53"/>
        <v>9.6448739886671913</v>
      </c>
      <c r="CO46" s="1">
        <f t="shared" ca="1" si="54"/>
        <v>4.9853343583045572E-2</v>
      </c>
      <c r="CP46" s="1">
        <f t="shared" ca="1" si="55"/>
        <v>3</v>
      </c>
      <c r="DH46" s="1">
        <f t="shared" ca="1" si="56"/>
        <v>481</v>
      </c>
      <c r="DI46" s="1">
        <f t="shared" ca="1" si="57"/>
        <v>0.17125111917378893</v>
      </c>
      <c r="DJ46" s="1">
        <f t="shared" ca="1" si="58"/>
        <v>15</v>
      </c>
      <c r="DL46" s="1">
        <f t="shared" ca="1" si="59"/>
        <v>6.5736283965152215E-2</v>
      </c>
      <c r="DM46" s="1">
        <f t="shared" ca="1" si="60"/>
        <v>286</v>
      </c>
      <c r="DN46" s="1">
        <f t="shared" ca="1" si="61"/>
        <v>10</v>
      </c>
    </row>
    <row r="47" spans="2:118" x14ac:dyDescent="0.25">
      <c r="B47">
        <f t="shared" ca="1" si="0"/>
        <v>454</v>
      </c>
      <c r="C47">
        <f t="shared" ca="1" si="1"/>
        <v>10</v>
      </c>
      <c r="D47">
        <f t="shared" ca="1" si="2"/>
        <v>0.17521539973614786</v>
      </c>
      <c r="F47" s="1">
        <f t="shared" ca="1" si="3"/>
        <v>6</v>
      </c>
      <c r="G47" s="1">
        <f t="shared" ca="1" si="4"/>
        <v>22</v>
      </c>
      <c r="H47" s="1">
        <f t="shared" ca="1" si="5"/>
        <v>6</v>
      </c>
      <c r="I47" s="1"/>
      <c r="J47" s="1">
        <f t="shared" ca="1" si="6"/>
        <v>19</v>
      </c>
      <c r="K47" s="1">
        <f t="shared" ca="1" si="7"/>
        <v>2.6707303146292345</v>
      </c>
      <c r="L47" s="1">
        <f t="shared" ca="1" si="8"/>
        <v>5</v>
      </c>
      <c r="M47" s="1"/>
      <c r="N47" s="1">
        <f t="shared" ca="1" si="9"/>
        <v>540</v>
      </c>
      <c r="O47" s="1">
        <f t="shared" ca="1" si="10"/>
        <v>7</v>
      </c>
      <c r="P47" s="1"/>
      <c r="Q47" s="1">
        <f t="shared" ca="1" si="11"/>
        <v>0.39184559100686722</v>
      </c>
      <c r="R47" s="1">
        <f t="shared" ca="1" si="12"/>
        <v>417</v>
      </c>
      <c r="S47" s="1"/>
      <c r="T47" s="1">
        <f t="shared" ca="1" si="13"/>
        <v>0.12080727797027768</v>
      </c>
      <c r="U47" s="1">
        <f t="shared" ca="1" si="14"/>
        <v>244</v>
      </c>
      <c r="V47" s="1">
        <f t="shared" ca="1" si="15"/>
        <v>23</v>
      </c>
      <c r="W47" s="1"/>
      <c r="X47" s="1">
        <f t="shared" ca="1" si="16"/>
        <v>1.3500953220008036</v>
      </c>
      <c r="Y47" s="1">
        <f t="shared" ca="1" si="17"/>
        <v>0.66288746645708074</v>
      </c>
      <c r="Z47" s="1">
        <f t="shared" ca="1" si="18"/>
        <v>387</v>
      </c>
      <c r="AB47" s="1">
        <f t="shared" ca="1" si="19"/>
        <v>0.79440778842668291</v>
      </c>
      <c r="AC47" s="1">
        <f t="shared" ca="1" si="20"/>
        <v>843</v>
      </c>
      <c r="AD47" s="1">
        <f t="shared" ca="1" si="21"/>
        <v>1.8256462630001145E-3</v>
      </c>
      <c r="AE47" s="1"/>
      <c r="AF47" s="1">
        <f t="shared" ca="1" si="22"/>
        <v>0.76860634399625039</v>
      </c>
      <c r="AG47" s="1">
        <f t="shared" ca="1" si="23"/>
        <v>390</v>
      </c>
      <c r="AH47" s="1">
        <f t="shared" ca="1" si="24"/>
        <v>6.7396795561122007E-3</v>
      </c>
      <c r="AJ47" s="1">
        <f t="shared" ca="1" si="25"/>
        <v>0.57018667584407612</v>
      </c>
      <c r="AK47" s="1">
        <f t="shared" ca="1" si="26"/>
        <v>5.1305984236464349E-3</v>
      </c>
      <c r="AL47" s="1"/>
      <c r="AM47" s="1">
        <f t="shared" ca="1" si="27"/>
        <v>0.17726609367706517</v>
      </c>
      <c r="AN47" s="1">
        <f t="shared" ca="1" si="28"/>
        <v>30</v>
      </c>
      <c r="AO47" s="1">
        <f t="shared" ca="1" si="29"/>
        <v>2</v>
      </c>
      <c r="AQ47" s="1">
        <f t="shared" ca="1" si="30"/>
        <v>132</v>
      </c>
      <c r="AR47" s="1">
        <f t="shared" ca="1" si="31"/>
        <v>9</v>
      </c>
      <c r="AS47" s="1">
        <f t="shared" ca="1" si="32"/>
        <v>78</v>
      </c>
      <c r="AU47" s="1">
        <f t="shared" ca="1" si="33"/>
        <v>341</v>
      </c>
      <c r="AV47" s="1">
        <f t="shared" ca="1" si="34"/>
        <v>10</v>
      </c>
      <c r="AW47" s="1">
        <f t="shared" ca="1" si="35"/>
        <v>6.1982369724971814E-2</v>
      </c>
      <c r="AY47" s="1">
        <f t="shared" ca="1" si="36"/>
        <v>1.3503902764255147</v>
      </c>
      <c r="AZ47" s="1">
        <f t="shared" ca="1" si="37"/>
        <v>101</v>
      </c>
      <c r="BA47" s="1">
        <f t="shared" ca="1" si="38"/>
        <v>4.7784504134234128E-3</v>
      </c>
      <c r="BV47" s="1">
        <f t="shared" ca="1" si="39"/>
        <v>0.19945323928115127</v>
      </c>
      <c r="BW47" s="1">
        <f t="shared" ca="1" si="40"/>
        <v>212</v>
      </c>
      <c r="BX47" s="1">
        <f t="shared" ca="1" si="41"/>
        <v>3.9634419455048695E-3</v>
      </c>
      <c r="BY47" s="1">
        <f t="shared" ca="1" si="42"/>
        <v>2.1721378723047077E-2</v>
      </c>
      <c r="BZ47" s="1">
        <f t="shared" ca="1" si="43"/>
        <v>7.9211040835003965E-2</v>
      </c>
      <c r="CB47" s="1">
        <f t="shared" ca="1" si="44"/>
        <v>333</v>
      </c>
      <c r="CC47" s="1">
        <f t="shared" ca="1" si="45"/>
        <v>4</v>
      </c>
      <c r="CD47" s="1">
        <f t="shared" ca="1" si="46"/>
        <v>0.13718407153906886</v>
      </c>
      <c r="CE47" s="1">
        <f t="shared" ca="1" si="62"/>
        <v>0.95020897532397575</v>
      </c>
      <c r="CF47" s="1">
        <f t="shared" ca="1" si="62"/>
        <v>0.66978224574412737</v>
      </c>
      <c r="CH47" s="3">
        <f t="shared" ca="1" si="48"/>
        <v>7.9676598781851321E-2</v>
      </c>
      <c r="CI47" s="3">
        <f t="shared" ca="1" si="49"/>
        <v>0.35426609772772472</v>
      </c>
      <c r="CJ47" s="3">
        <f t="shared" ca="1" si="50"/>
        <v>148</v>
      </c>
      <c r="CK47" s="3">
        <f t="shared" ca="1" si="51"/>
        <v>4.4456148735401348E-3</v>
      </c>
      <c r="CL47" s="3">
        <f t="shared" ca="1" si="52"/>
        <v>1</v>
      </c>
      <c r="CM47" s="3"/>
      <c r="CN47" s="1">
        <f t="shared" ca="1" si="53"/>
        <v>5.7953348159175295</v>
      </c>
      <c r="CO47" s="1">
        <f t="shared" ca="1" si="54"/>
        <v>0.46691480860787749</v>
      </c>
      <c r="CP47" s="1">
        <f t="shared" ca="1" si="55"/>
        <v>4</v>
      </c>
      <c r="DH47" s="1">
        <f t="shared" ca="1" si="56"/>
        <v>430</v>
      </c>
      <c r="DI47" s="1">
        <f t="shared" ca="1" si="57"/>
        <v>0.31629529329528366</v>
      </c>
      <c r="DJ47" s="1">
        <f t="shared" ca="1" si="58"/>
        <v>24</v>
      </c>
      <c r="DL47" s="1">
        <f t="shared" ca="1" si="59"/>
        <v>7.3917998724462516E-2</v>
      </c>
      <c r="DM47" s="1">
        <f t="shared" ca="1" si="60"/>
        <v>296</v>
      </c>
      <c r="DN47" s="1">
        <f t="shared" ca="1" si="61"/>
        <v>3</v>
      </c>
    </row>
    <row r="48" spans="2:118" x14ac:dyDescent="0.25">
      <c r="B48">
        <f t="shared" ca="1" si="0"/>
        <v>275</v>
      </c>
      <c r="C48">
        <f t="shared" ca="1" si="1"/>
        <v>14</v>
      </c>
      <c r="D48">
        <f t="shared" ca="1" si="2"/>
        <v>0.29605212863708696</v>
      </c>
      <c r="F48" s="1">
        <f t="shared" ca="1" si="3"/>
        <v>39</v>
      </c>
      <c r="G48" s="1">
        <f t="shared" ca="1" si="4"/>
        <v>3</v>
      </c>
      <c r="H48" s="1">
        <f t="shared" ca="1" si="5"/>
        <v>1</v>
      </c>
      <c r="I48" s="1"/>
      <c r="J48" s="1">
        <f t="shared" ca="1" si="6"/>
        <v>28</v>
      </c>
      <c r="K48" s="1">
        <f t="shared" ca="1" si="7"/>
        <v>1.4047365205269611</v>
      </c>
      <c r="L48" s="1">
        <f t="shared" ca="1" si="8"/>
        <v>21</v>
      </c>
      <c r="M48" s="1"/>
      <c r="N48" s="1">
        <f t="shared" ca="1" si="9"/>
        <v>94</v>
      </c>
      <c r="O48" s="1">
        <f t="shared" ca="1" si="10"/>
        <v>45</v>
      </c>
      <c r="P48" s="1"/>
      <c r="Q48" s="1">
        <f t="shared" ca="1" si="11"/>
        <v>2.2432905933358089</v>
      </c>
      <c r="R48" s="1">
        <f t="shared" ca="1" si="12"/>
        <v>785</v>
      </c>
      <c r="S48" s="1"/>
      <c r="T48" s="1">
        <f t="shared" ca="1" si="13"/>
        <v>0.103407823617682</v>
      </c>
      <c r="U48" s="1">
        <f t="shared" ca="1" si="14"/>
        <v>345</v>
      </c>
      <c r="V48" s="1">
        <f t="shared" ca="1" si="15"/>
        <v>6</v>
      </c>
      <c r="W48" s="1"/>
      <c r="X48" s="1">
        <f t="shared" ca="1" si="16"/>
        <v>9.9337168299951344</v>
      </c>
      <c r="Y48" s="1">
        <f t="shared" ca="1" si="17"/>
        <v>0.50121584291663379</v>
      </c>
      <c r="Z48" s="1">
        <f t="shared" ca="1" si="18"/>
        <v>695</v>
      </c>
      <c r="AB48" s="1">
        <f t="shared" ca="1" si="19"/>
        <v>0.48854238433985048</v>
      </c>
      <c r="AC48" s="1">
        <f t="shared" ca="1" si="20"/>
        <v>691</v>
      </c>
      <c r="AD48" s="1">
        <f t="shared" ca="1" si="21"/>
        <v>3.3628201354069178E-3</v>
      </c>
      <c r="AE48" s="1"/>
      <c r="AF48" s="1">
        <f t="shared" ca="1" si="22"/>
        <v>0.78213169895680112</v>
      </c>
      <c r="AG48" s="1">
        <f t="shared" ca="1" si="23"/>
        <v>404</v>
      </c>
      <c r="AH48" s="1">
        <f t="shared" ca="1" si="24"/>
        <v>9.6334116983888812E-3</v>
      </c>
      <c r="AJ48" s="1">
        <f t="shared" ca="1" si="25"/>
        <v>0.30862323504033518</v>
      </c>
      <c r="AK48" s="1">
        <f t="shared" ca="1" si="26"/>
        <v>3.6717705118515256E-3</v>
      </c>
      <c r="AL48" s="1"/>
      <c r="AM48" s="1">
        <f t="shared" ca="1" si="27"/>
        <v>7.8696180098324173E-2</v>
      </c>
      <c r="AN48" s="1">
        <f t="shared" ca="1" si="28"/>
        <v>30</v>
      </c>
      <c r="AO48" s="1">
        <f t="shared" ca="1" si="29"/>
        <v>11</v>
      </c>
      <c r="AQ48" s="1">
        <f t="shared" ca="1" si="30"/>
        <v>118</v>
      </c>
      <c r="AR48" s="1">
        <f t="shared" ca="1" si="31"/>
        <v>5</v>
      </c>
      <c r="AS48" s="1">
        <f t="shared" ca="1" si="32"/>
        <v>97</v>
      </c>
      <c r="AU48" s="1">
        <f t="shared" ca="1" si="33"/>
        <v>162</v>
      </c>
      <c r="AV48" s="1">
        <f t="shared" ca="1" si="34"/>
        <v>10</v>
      </c>
      <c r="AW48" s="1">
        <f t="shared" ca="1" si="35"/>
        <v>0.19725996660258777</v>
      </c>
      <c r="AY48" s="1">
        <f t="shared" ca="1" si="36"/>
        <v>1.9219643498718046</v>
      </c>
      <c r="AZ48" s="1">
        <f t="shared" ca="1" si="37"/>
        <v>335</v>
      </c>
      <c r="BA48" s="1">
        <f t="shared" ca="1" si="38"/>
        <v>2.5092633347553717E-3</v>
      </c>
      <c r="BV48" s="1">
        <f t="shared" ca="1" si="39"/>
        <v>0.84778462970410373</v>
      </c>
      <c r="BW48" s="1">
        <f t="shared" ca="1" si="40"/>
        <v>111</v>
      </c>
      <c r="BX48" s="1">
        <f t="shared" ca="1" si="41"/>
        <v>6.5293540121967794E-3</v>
      </c>
      <c r="BY48" s="1">
        <f t="shared" ca="1" si="42"/>
        <v>7.9094483452810851E-2</v>
      </c>
      <c r="BZ48" s="1">
        <f t="shared" ca="1" si="43"/>
        <v>4.5882316292602643E-2</v>
      </c>
      <c r="CB48" s="1">
        <f t="shared" ca="1" si="44"/>
        <v>457</v>
      </c>
      <c r="CC48" s="1">
        <f t="shared" ca="1" si="45"/>
        <v>11</v>
      </c>
      <c r="CD48" s="1">
        <f t="shared" ca="1" si="46"/>
        <v>0.23614019255205015</v>
      </c>
      <c r="CE48" s="1">
        <f t="shared" ca="1" si="62"/>
        <v>0.65992959194558032</v>
      </c>
      <c r="CF48" s="1">
        <f t="shared" ca="1" si="62"/>
        <v>0.65064661421297054</v>
      </c>
      <c r="CH48" s="3">
        <f t="shared" ca="1" si="48"/>
        <v>0.37682268600202135</v>
      </c>
      <c r="CI48" s="3">
        <f t="shared" ca="1" si="49"/>
        <v>2.2283032252992708E-2</v>
      </c>
      <c r="CJ48" s="3">
        <f t="shared" ca="1" si="50"/>
        <v>1101</v>
      </c>
      <c r="CK48" s="3">
        <f t="shared" ca="1" si="51"/>
        <v>7.4737067617780479E-3</v>
      </c>
      <c r="CL48" s="3">
        <f t="shared" ca="1" si="52"/>
        <v>0</v>
      </c>
      <c r="CM48" s="3"/>
      <c r="CN48" s="1">
        <f t="shared" ca="1" si="53"/>
        <v>5.8095194232810048</v>
      </c>
      <c r="CO48" s="1">
        <f t="shared" ca="1" si="54"/>
        <v>0.27633307642113408</v>
      </c>
      <c r="CP48" s="1">
        <f t="shared" ca="1" si="55"/>
        <v>4</v>
      </c>
      <c r="DH48" s="1">
        <f t="shared" ca="1" si="56"/>
        <v>552</v>
      </c>
      <c r="DI48" s="1">
        <f t="shared" ca="1" si="57"/>
        <v>0.24567857779800023</v>
      </c>
      <c r="DJ48" s="1">
        <f t="shared" ca="1" si="58"/>
        <v>23</v>
      </c>
      <c r="DL48" s="1">
        <f t="shared" ca="1" si="59"/>
        <v>2.9373202851240003E-2</v>
      </c>
      <c r="DM48" s="1">
        <f t="shared" ca="1" si="60"/>
        <v>105</v>
      </c>
      <c r="DN48" s="1">
        <f t="shared" ca="1" si="61"/>
        <v>10</v>
      </c>
    </row>
    <row r="49" spans="2:118" x14ac:dyDescent="0.25">
      <c r="B49">
        <f t="shared" ca="1" si="0"/>
        <v>156</v>
      </c>
      <c r="C49">
        <f t="shared" ca="1" si="1"/>
        <v>21</v>
      </c>
      <c r="D49">
        <f t="shared" ca="1" si="2"/>
        <v>0.28539561499685939</v>
      </c>
      <c r="F49" s="1">
        <f t="shared" ca="1" si="3"/>
        <v>7</v>
      </c>
      <c r="G49" s="1">
        <f t="shared" ca="1" si="4"/>
        <v>11</v>
      </c>
      <c r="H49" s="1">
        <f t="shared" ca="1" si="5"/>
        <v>14</v>
      </c>
      <c r="I49" s="1"/>
      <c r="J49" s="1">
        <f t="shared" ca="1" si="6"/>
        <v>39</v>
      </c>
      <c r="K49" s="1">
        <f t="shared" ca="1" si="7"/>
        <v>1.393817374689333</v>
      </c>
      <c r="L49" s="1">
        <f t="shared" ca="1" si="8"/>
        <v>4</v>
      </c>
      <c r="M49" s="1"/>
      <c r="N49" s="1">
        <f t="shared" ca="1" si="9"/>
        <v>737</v>
      </c>
      <c r="O49" s="1">
        <f t="shared" ca="1" si="10"/>
        <v>18</v>
      </c>
      <c r="P49" s="1"/>
      <c r="Q49" s="1">
        <f t="shared" ca="1" si="11"/>
        <v>4.1771413845736793</v>
      </c>
      <c r="R49" s="1">
        <f t="shared" ca="1" si="12"/>
        <v>351</v>
      </c>
      <c r="S49" s="1"/>
      <c r="T49" s="1">
        <f t="shared" ca="1" si="13"/>
        <v>0.19754262691359781</v>
      </c>
      <c r="U49" s="1">
        <f t="shared" ca="1" si="14"/>
        <v>366</v>
      </c>
      <c r="V49" s="1">
        <f t="shared" ca="1" si="15"/>
        <v>4</v>
      </c>
      <c r="W49" s="1"/>
      <c r="X49" s="1">
        <f t="shared" ca="1" si="16"/>
        <v>2.2115831766816445</v>
      </c>
      <c r="Y49" s="1">
        <f t="shared" ca="1" si="17"/>
        <v>0.43763400930012658</v>
      </c>
      <c r="Z49" s="1">
        <f t="shared" ca="1" si="18"/>
        <v>964</v>
      </c>
      <c r="AB49" s="1">
        <f t="shared" ca="1" si="19"/>
        <v>0.32484405987037873</v>
      </c>
      <c r="AC49" s="1">
        <f t="shared" ca="1" si="20"/>
        <v>495</v>
      </c>
      <c r="AD49" s="1">
        <f t="shared" ca="1" si="21"/>
        <v>3.0343362423762041E-3</v>
      </c>
      <c r="AE49" s="1"/>
      <c r="AF49" s="1">
        <f t="shared" ca="1" si="22"/>
        <v>0.73063852692834785</v>
      </c>
      <c r="AG49" s="1">
        <f t="shared" ca="1" si="23"/>
        <v>714</v>
      </c>
      <c r="AH49" s="1">
        <f t="shared" ca="1" si="24"/>
        <v>1.1669097814991636E-3</v>
      </c>
      <c r="AJ49" s="1">
        <f t="shared" ca="1" si="25"/>
        <v>0.11978328414122086</v>
      </c>
      <c r="AK49" s="1">
        <f t="shared" ca="1" si="26"/>
        <v>1.055032330810919E-3</v>
      </c>
      <c r="AL49" s="1"/>
      <c r="AM49" s="1">
        <f t="shared" ca="1" si="27"/>
        <v>0.11023035316507179</v>
      </c>
      <c r="AN49" s="1">
        <f t="shared" ca="1" si="28"/>
        <v>57</v>
      </c>
      <c r="AO49" s="1">
        <f t="shared" ca="1" si="29"/>
        <v>8</v>
      </c>
      <c r="AQ49" s="1">
        <f t="shared" ca="1" si="30"/>
        <v>132</v>
      </c>
      <c r="AR49" s="1">
        <f t="shared" ca="1" si="31"/>
        <v>6</v>
      </c>
      <c r="AS49" s="1">
        <f t="shared" ca="1" si="32"/>
        <v>11</v>
      </c>
      <c r="AU49" s="1">
        <f t="shared" ca="1" si="33"/>
        <v>340</v>
      </c>
      <c r="AV49" s="1">
        <f t="shared" ca="1" si="34"/>
        <v>10</v>
      </c>
      <c r="AW49" s="1">
        <f t="shared" ca="1" si="35"/>
        <v>0.16426024247965715</v>
      </c>
      <c r="AY49" s="1">
        <f t="shared" ca="1" si="36"/>
        <v>1.5837493053068381</v>
      </c>
      <c r="AZ49" s="1">
        <f t="shared" ca="1" si="37"/>
        <v>93</v>
      </c>
      <c r="BA49" s="1">
        <f t="shared" ca="1" si="38"/>
        <v>3.148094616612202E-3</v>
      </c>
      <c r="BV49" s="1">
        <f t="shared" ca="1" si="39"/>
        <v>9.0649089838996444E-2</v>
      </c>
      <c r="BW49" s="1">
        <f t="shared" ca="1" si="40"/>
        <v>670</v>
      </c>
      <c r="BX49" s="1">
        <f t="shared" ca="1" si="41"/>
        <v>7.6206401578387453E-3</v>
      </c>
      <c r="BY49" s="1">
        <f t="shared" ca="1" si="42"/>
        <v>3.1901167215816761E-2</v>
      </c>
      <c r="BZ49" s="1">
        <f t="shared" ca="1" si="43"/>
        <v>0.15132772492613056</v>
      </c>
      <c r="CB49" s="1">
        <f t="shared" ca="1" si="44"/>
        <v>403</v>
      </c>
      <c r="CC49" s="1">
        <f t="shared" ca="1" si="45"/>
        <v>6</v>
      </c>
      <c r="CD49" s="1">
        <f t="shared" ca="1" si="46"/>
        <v>0.28063997255094308</v>
      </c>
      <c r="CE49" s="1">
        <f t="shared" ca="1" si="62"/>
        <v>0.64354301072527043</v>
      </c>
      <c r="CF49" s="1">
        <f t="shared" ca="1" si="62"/>
        <v>0.94417615800874877</v>
      </c>
      <c r="CH49" s="3">
        <f t="shared" ca="1" si="48"/>
        <v>0.56085088951654472</v>
      </c>
      <c r="CI49" s="3">
        <f t="shared" ca="1" si="49"/>
        <v>0.82677479919192098</v>
      </c>
      <c r="CJ49" s="3">
        <f t="shared" ca="1" si="50"/>
        <v>933</v>
      </c>
      <c r="CK49" s="3">
        <f t="shared" ca="1" si="51"/>
        <v>1.086841790385962E-3</v>
      </c>
      <c r="CL49" s="3">
        <f t="shared" ca="1" si="52"/>
        <v>1</v>
      </c>
      <c r="CM49" s="3"/>
      <c r="CN49" s="1">
        <f t="shared" ca="1" si="53"/>
        <v>16.045325507319415</v>
      </c>
      <c r="CO49" s="1">
        <f t="shared" ca="1" si="54"/>
        <v>0.30773262351834635</v>
      </c>
      <c r="CP49" s="1">
        <f t="shared" ca="1" si="55"/>
        <v>4</v>
      </c>
      <c r="DH49" s="1">
        <f t="shared" ca="1" si="56"/>
        <v>29</v>
      </c>
      <c r="DI49" s="1">
        <f t="shared" ca="1" si="57"/>
        <v>0.31974966402893373</v>
      </c>
      <c r="DJ49" s="1">
        <f t="shared" ca="1" si="58"/>
        <v>1</v>
      </c>
      <c r="DL49" s="1">
        <f t="shared" ca="1" si="59"/>
        <v>0.1580361653908684</v>
      </c>
      <c r="DM49" s="1">
        <f t="shared" ca="1" si="60"/>
        <v>143</v>
      </c>
      <c r="DN49" s="1">
        <f t="shared" ca="1" si="61"/>
        <v>1</v>
      </c>
    </row>
    <row r="50" spans="2:118" x14ac:dyDescent="0.25">
      <c r="B50">
        <f t="shared" ca="1" si="0"/>
        <v>184</v>
      </c>
      <c r="C50">
        <f t="shared" ca="1" si="1"/>
        <v>29</v>
      </c>
      <c r="D50">
        <f t="shared" ca="1" si="2"/>
        <v>0.12723004122904691</v>
      </c>
      <c r="F50" s="1">
        <f t="shared" ca="1" si="3"/>
        <v>23</v>
      </c>
      <c r="G50" s="1">
        <f t="shared" ca="1" si="4"/>
        <v>7</v>
      </c>
      <c r="H50" s="1">
        <f t="shared" ca="1" si="5"/>
        <v>1</v>
      </c>
      <c r="I50" s="1"/>
      <c r="J50" s="1">
        <f t="shared" ca="1" si="6"/>
        <v>13</v>
      </c>
      <c r="K50" s="1">
        <f t="shared" ca="1" si="7"/>
        <v>1.8629643138139709</v>
      </c>
      <c r="L50" s="1">
        <f t="shared" ca="1" si="8"/>
        <v>26</v>
      </c>
      <c r="M50" s="1"/>
      <c r="N50" s="1">
        <f t="shared" ca="1" si="9"/>
        <v>188</v>
      </c>
      <c r="O50" s="1">
        <f t="shared" ca="1" si="10"/>
        <v>44</v>
      </c>
      <c r="P50" s="1"/>
      <c r="Q50" s="1">
        <f t="shared" ca="1" si="11"/>
        <v>3.9754528356182641</v>
      </c>
      <c r="R50" s="1">
        <f t="shared" ca="1" si="12"/>
        <v>1037</v>
      </c>
      <c r="S50" s="1"/>
      <c r="T50" s="1">
        <f t="shared" ca="1" si="13"/>
        <v>0.15658519900463488</v>
      </c>
      <c r="U50" s="1">
        <f t="shared" ca="1" si="14"/>
        <v>361</v>
      </c>
      <c r="V50" s="1">
        <f t="shared" ca="1" si="15"/>
        <v>37</v>
      </c>
      <c r="W50" s="1"/>
      <c r="X50" s="1">
        <f t="shared" ca="1" si="16"/>
        <v>0.27685183559728638</v>
      </c>
      <c r="Y50" s="1">
        <f t="shared" ca="1" si="17"/>
        <v>0.75216546686333796</v>
      </c>
      <c r="Z50" s="1">
        <f t="shared" ca="1" si="18"/>
        <v>1025</v>
      </c>
      <c r="AB50" s="1">
        <f t="shared" ca="1" si="19"/>
        <v>1.4276625292165069E-3</v>
      </c>
      <c r="AC50" s="1">
        <f t="shared" ca="1" si="20"/>
        <v>763</v>
      </c>
      <c r="AD50" s="1">
        <f t="shared" ca="1" si="21"/>
        <v>3.4253990845045019E-3</v>
      </c>
      <c r="AE50" s="1"/>
      <c r="AF50" s="1">
        <f t="shared" ca="1" si="22"/>
        <v>0.82093050764176911</v>
      </c>
      <c r="AG50" s="1">
        <f t="shared" ca="1" si="23"/>
        <v>651</v>
      </c>
      <c r="AH50" s="1">
        <f t="shared" ca="1" si="24"/>
        <v>7.4057474761834684E-3</v>
      </c>
      <c r="AJ50" s="1">
        <f t="shared" ca="1" si="25"/>
        <v>0.11409919034304483</v>
      </c>
      <c r="AK50" s="1">
        <f t="shared" ca="1" si="26"/>
        <v>3.4355388030058568E-3</v>
      </c>
      <c r="AL50" s="1"/>
      <c r="AM50" s="1">
        <f t="shared" ca="1" si="27"/>
        <v>5.2025416100348755E-2</v>
      </c>
      <c r="AN50" s="1">
        <f t="shared" ca="1" si="28"/>
        <v>77</v>
      </c>
      <c r="AO50" s="1">
        <f t="shared" ca="1" si="29"/>
        <v>11</v>
      </c>
      <c r="AQ50" s="1">
        <f t="shared" ca="1" si="30"/>
        <v>13</v>
      </c>
      <c r="AR50" s="1">
        <f t="shared" ca="1" si="31"/>
        <v>5</v>
      </c>
      <c r="AS50" s="1">
        <f t="shared" ca="1" si="32"/>
        <v>45</v>
      </c>
      <c r="AU50" s="1">
        <f t="shared" ca="1" si="33"/>
        <v>243</v>
      </c>
      <c r="AV50" s="1">
        <f t="shared" ca="1" si="34"/>
        <v>6</v>
      </c>
      <c r="AW50" s="1">
        <f t="shared" ca="1" si="35"/>
        <v>0.1330231515870535</v>
      </c>
      <c r="AY50" s="1">
        <f t="shared" ca="1" si="36"/>
        <v>1.4695313223281166</v>
      </c>
      <c r="AZ50" s="1">
        <f t="shared" ca="1" si="37"/>
        <v>325</v>
      </c>
      <c r="BA50" s="1">
        <f t="shared" ca="1" si="38"/>
        <v>1.7387084955291239E-3</v>
      </c>
      <c r="BV50" s="1">
        <f t="shared" ca="1" si="39"/>
        <v>0.23041404329259269</v>
      </c>
      <c r="BW50" s="1">
        <f t="shared" ca="1" si="40"/>
        <v>874</v>
      </c>
      <c r="BX50" s="1">
        <f t="shared" ca="1" si="41"/>
        <v>7.632345260315909E-3</v>
      </c>
      <c r="BY50" s="1">
        <f t="shared" ca="1" si="42"/>
        <v>3.0669783758041618E-2</v>
      </c>
      <c r="BZ50" s="1">
        <f t="shared" ca="1" si="43"/>
        <v>0.76655034191693527</v>
      </c>
      <c r="CB50" s="1">
        <f t="shared" ca="1" si="44"/>
        <v>197</v>
      </c>
      <c r="CC50" s="1">
        <f t="shared" ca="1" si="45"/>
        <v>5</v>
      </c>
      <c r="CD50" s="1">
        <f t="shared" ca="1" si="46"/>
        <v>0.11124644857845566</v>
      </c>
      <c r="CE50" s="1">
        <f t="shared" ca="1" si="62"/>
        <v>0.73140736925551009</v>
      </c>
      <c r="CF50" s="1">
        <f t="shared" ca="1" si="62"/>
        <v>0.79825321777411995</v>
      </c>
      <c r="CH50" s="3">
        <f t="shared" ca="1" si="48"/>
        <v>0.10371721295723682</v>
      </c>
      <c r="CI50" s="3">
        <f t="shared" ca="1" si="49"/>
        <v>0.36446954774801393</v>
      </c>
      <c r="CJ50" s="3">
        <f t="shared" ca="1" si="50"/>
        <v>1809</v>
      </c>
      <c r="CK50" s="3">
        <f t="shared" ca="1" si="51"/>
        <v>8.5337337437496018E-3</v>
      </c>
      <c r="CL50" s="3">
        <f t="shared" ca="1" si="52"/>
        <v>0</v>
      </c>
      <c r="CM50" s="3"/>
      <c r="CN50" s="1">
        <f t="shared" ca="1" si="53"/>
        <v>3.4500441078602591</v>
      </c>
      <c r="CO50" s="1">
        <f t="shared" ca="1" si="54"/>
        <v>0.12787144860916452</v>
      </c>
      <c r="CP50" s="1">
        <f t="shared" ca="1" si="55"/>
        <v>1</v>
      </c>
      <c r="DH50" s="1">
        <f t="shared" ca="1" si="56"/>
        <v>752</v>
      </c>
      <c r="DI50" s="1">
        <f t="shared" ca="1" si="57"/>
        <v>0.11669852395378746</v>
      </c>
      <c r="DJ50" s="1">
        <f t="shared" ca="1" si="58"/>
        <v>9</v>
      </c>
      <c r="DL50" s="1">
        <f t="shared" ca="1" si="59"/>
        <v>0.15180960218418024</v>
      </c>
      <c r="DM50" s="1">
        <f t="shared" ca="1" si="60"/>
        <v>67</v>
      </c>
      <c r="DN50" s="1">
        <f t="shared" ca="1" si="61"/>
        <v>10</v>
      </c>
    </row>
    <row r="51" spans="2:118" x14ac:dyDescent="0.25">
      <c r="B51">
        <f t="shared" ca="1" si="0"/>
        <v>855</v>
      </c>
      <c r="C51">
        <f t="shared" ca="1" si="1"/>
        <v>21</v>
      </c>
      <c r="D51">
        <f t="shared" ca="1" si="2"/>
        <v>0.29947087307856463</v>
      </c>
      <c r="F51" s="1">
        <f t="shared" ca="1" si="3"/>
        <v>34</v>
      </c>
      <c r="G51" s="1">
        <f t="shared" ca="1" si="4"/>
        <v>12</v>
      </c>
      <c r="H51" s="1">
        <f t="shared" ca="1" si="5"/>
        <v>1</v>
      </c>
      <c r="I51" s="1"/>
      <c r="J51" s="1">
        <f t="shared" ca="1" si="6"/>
        <v>22</v>
      </c>
      <c r="K51" s="1">
        <f t="shared" ca="1" si="7"/>
        <v>2.8799799348585449</v>
      </c>
      <c r="L51" s="1">
        <f t="shared" ca="1" si="8"/>
        <v>16</v>
      </c>
      <c r="M51" s="1"/>
      <c r="N51" s="1">
        <f t="shared" ca="1" si="9"/>
        <v>141</v>
      </c>
      <c r="O51" s="1">
        <f t="shared" ca="1" si="10"/>
        <v>12</v>
      </c>
      <c r="P51" s="1"/>
      <c r="Q51" s="1">
        <f t="shared" ca="1" si="11"/>
        <v>0.72286077068454202</v>
      </c>
      <c r="R51" s="1">
        <f t="shared" ca="1" si="12"/>
        <v>494</v>
      </c>
      <c r="S51" s="1"/>
      <c r="T51" s="1">
        <f t="shared" ca="1" si="13"/>
        <v>0.10060115056095763</v>
      </c>
      <c r="U51" s="1">
        <f t="shared" ca="1" si="14"/>
        <v>282</v>
      </c>
      <c r="V51" s="1">
        <f t="shared" ca="1" si="15"/>
        <v>49</v>
      </c>
      <c r="W51" s="1"/>
      <c r="X51" s="1">
        <f t="shared" ca="1" si="16"/>
        <v>2.6643744334575996</v>
      </c>
      <c r="Y51" s="1">
        <f t="shared" ca="1" si="17"/>
        <v>9.1830072333313154E-2</v>
      </c>
      <c r="Z51" s="1">
        <f t="shared" ca="1" si="18"/>
        <v>1795</v>
      </c>
      <c r="AB51" s="1">
        <f t="shared" ca="1" si="19"/>
        <v>0.63969581597178293</v>
      </c>
      <c r="AC51" s="1">
        <f t="shared" ca="1" si="20"/>
        <v>801</v>
      </c>
      <c r="AD51" s="1">
        <f t="shared" ca="1" si="21"/>
        <v>1.2504199916389654E-3</v>
      </c>
      <c r="AE51" s="1"/>
      <c r="AF51" s="1">
        <f t="shared" ca="1" si="22"/>
        <v>0.60492336222968635</v>
      </c>
      <c r="AG51" s="1">
        <f t="shared" ca="1" si="23"/>
        <v>704</v>
      </c>
      <c r="AH51" s="1">
        <f t="shared" ca="1" si="24"/>
        <v>3.3550985242939806E-3</v>
      </c>
      <c r="AJ51" s="1">
        <f t="shared" ca="1" si="25"/>
        <v>0.90948572382554427</v>
      </c>
      <c r="AK51" s="1">
        <f t="shared" ca="1" si="26"/>
        <v>3.1163064289986449E-3</v>
      </c>
      <c r="AL51" s="1"/>
      <c r="AM51" s="1">
        <f t="shared" ca="1" si="27"/>
        <v>0.19186787740480282</v>
      </c>
      <c r="AN51" s="1">
        <f t="shared" ca="1" si="28"/>
        <v>21</v>
      </c>
      <c r="AO51" s="1">
        <f t="shared" ca="1" si="29"/>
        <v>1</v>
      </c>
      <c r="AQ51" s="1">
        <f t="shared" ca="1" si="30"/>
        <v>41</v>
      </c>
      <c r="AR51" s="1">
        <f t="shared" ca="1" si="31"/>
        <v>6</v>
      </c>
      <c r="AS51" s="1">
        <f t="shared" ca="1" si="32"/>
        <v>24</v>
      </c>
      <c r="AU51" s="1">
        <f t="shared" ca="1" si="33"/>
        <v>258</v>
      </c>
      <c r="AV51" s="1">
        <f t="shared" ca="1" si="34"/>
        <v>2</v>
      </c>
      <c r="AW51" s="1">
        <f t="shared" ca="1" si="35"/>
        <v>0.12376657417393785</v>
      </c>
      <c r="AY51" s="1">
        <f t="shared" ca="1" si="36"/>
        <v>1.2159826677347676</v>
      </c>
      <c r="AZ51" s="1">
        <f t="shared" ca="1" si="37"/>
        <v>59</v>
      </c>
      <c r="BA51" s="1">
        <f t="shared" ca="1" si="38"/>
        <v>7.4564259533856907E-3</v>
      </c>
      <c r="BV51" s="1">
        <f t="shared" ca="1" si="39"/>
        <v>0.26617587836143869</v>
      </c>
      <c r="BW51" s="1">
        <f t="shared" ca="1" si="40"/>
        <v>796</v>
      </c>
      <c r="BX51" s="1">
        <f t="shared" ca="1" si="41"/>
        <v>2.5206388956669087E-3</v>
      </c>
      <c r="BY51" s="1">
        <f t="shared" ca="1" si="42"/>
        <v>7.0804546131772811E-2</v>
      </c>
      <c r="BZ51" s="1">
        <f t="shared" ca="1" si="43"/>
        <v>0.14586656892279293</v>
      </c>
      <c r="CB51" s="1">
        <f t="shared" ca="1" si="44"/>
        <v>315</v>
      </c>
      <c r="CC51" s="1">
        <f t="shared" ca="1" si="45"/>
        <v>9</v>
      </c>
      <c r="CD51" s="1">
        <f t="shared" ca="1" si="46"/>
        <v>0.29395106308437946</v>
      </c>
      <c r="CE51" s="1">
        <f t="shared" ca="1" si="62"/>
        <v>0.56189679162506301</v>
      </c>
      <c r="CF51" s="1">
        <f t="shared" ca="1" si="62"/>
        <v>0.90467462631971174</v>
      </c>
      <c r="CH51" s="3">
        <f t="shared" ca="1" si="48"/>
        <v>0.18881157295882789</v>
      </c>
      <c r="CI51" s="3">
        <f t="shared" ca="1" si="49"/>
        <v>0.23426168796192715</v>
      </c>
      <c r="CJ51" s="3">
        <f t="shared" ca="1" si="50"/>
        <v>753</v>
      </c>
      <c r="CK51" s="3">
        <f t="shared" ca="1" si="51"/>
        <v>2.063883468238156E-3</v>
      </c>
      <c r="CL51" s="3">
        <f t="shared" ca="1" si="52"/>
        <v>0</v>
      </c>
      <c r="CM51" s="3"/>
      <c r="CN51" s="1">
        <f t="shared" ca="1" si="53"/>
        <v>8.1255261128495881</v>
      </c>
      <c r="CO51" s="1">
        <f t="shared" ca="1" si="54"/>
        <v>0.45662772283780556</v>
      </c>
      <c r="CP51" s="1">
        <f t="shared" ca="1" si="55"/>
        <v>2</v>
      </c>
      <c r="DH51" s="1">
        <f t="shared" ca="1" si="56"/>
        <v>317</v>
      </c>
      <c r="DI51" s="1">
        <f t="shared" ca="1" si="57"/>
        <v>0.53105483742171955</v>
      </c>
      <c r="DJ51" s="1">
        <f t="shared" ca="1" si="58"/>
        <v>29</v>
      </c>
      <c r="DL51" s="1">
        <f t="shared" ca="1" si="59"/>
        <v>2.6920511225208769E-2</v>
      </c>
      <c r="DM51" s="1">
        <f t="shared" ca="1" si="60"/>
        <v>133</v>
      </c>
      <c r="DN51" s="1">
        <f t="shared" ca="1" si="61"/>
        <v>1</v>
      </c>
    </row>
    <row r="52" spans="2:118" x14ac:dyDescent="0.25">
      <c r="B52">
        <f t="shared" ca="1" si="0"/>
        <v>792</v>
      </c>
      <c r="C52">
        <f t="shared" ca="1" si="1"/>
        <v>41</v>
      </c>
      <c r="D52">
        <f t="shared" ca="1" si="2"/>
        <v>7.108080620550343E-2</v>
      </c>
      <c r="F52" s="1">
        <f t="shared" ca="1" si="3"/>
        <v>36</v>
      </c>
      <c r="G52" s="1">
        <f t="shared" ca="1" si="4"/>
        <v>5</v>
      </c>
      <c r="H52" s="1">
        <f t="shared" ca="1" si="5"/>
        <v>6</v>
      </c>
      <c r="I52" s="1"/>
      <c r="J52" s="1">
        <f t="shared" ca="1" si="6"/>
        <v>8</v>
      </c>
      <c r="K52" s="1">
        <f t="shared" ca="1" si="7"/>
        <v>2.4493499820969866</v>
      </c>
      <c r="L52" s="1">
        <f t="shared" ca="1" si="8"/>
        <v>25</v>
      </c>
      <c r="M52" s="1"/>
      <c r="N52" s="1">
        <f t="shared" ca="1" si="9"/>
        <v>354</v>
      </c>
      <c r="O52" s="1">
        <f t="shared" ca="1" si="10"/>
        <v>33</v>
      </c>
      <c r="P52" s="1"/>
      <c r="Q52" s="1">
        <f t="shared" ca="1" si="11"/>
        <v>0.17062420540748072</v>
      </c>
      <c r="R52" s="1">
        <f t="shared" ca="1" si="12"/>
        <v>451</v>
      </c>
      <c r="S52" s="1"/>
      <c r="T52" s="1">
        <f t="shared" ca="1" si="13"/>
        <v>0.13702342836415507</v>
      </c>
      <c r="U52" s="1">
        <f t="shared" ca="1" si="14"/>
        <v>85</v>
      </c>
      <c r="V52" s="1">
        <f t="shared" ca="1" si="15"/>
        <v>18</v>
      </c>
      <c r="W52" s="1"/>
      <c r="X52" s="1">
        <f t="shared" ca="1" si="16"/>
        <v>2.4321931929776199</v>
      </c>
      <c r="Y52" s="1">
        <f t="shared" ca="1" si="17"/>
        <v>0.50136850532620902</v>
      </c>
      <c r="Z52" s="1">
        <f t="shared" ca="1" si="18"/>
        <v>532</v>
      </c>
      <c r="AB52" s="1">
        <f t="shared" ca="1" si="19"/>
        <v>0.4303171065046334</v>
      </c>
      <c r="AC52" s="1">
        <f t="shared" ca="1" si="20"/>
        <v>684</v>
      </c>
      <c r="AD52" s="1">
        <f t="shared" ca="1" si="21"/>
        <v>4.2724702771635347E-3</v>
      </c>
      <c r="AE52" s="1"/>
      <c r="AF52" s="1">
        <f t="shared" ca="1" si="22"/>
        <v>0.27820998396566632</v>
      </c>
      <c r="AG52" s="1">
        <f t="shared" ca="1" si="23"/>
        <v>811</v>
      </c>
      <c r="AH52" s="1">
        <f t="shared" ca="1" si="24"/>
        <v>8.1358322934248165E-3</v>
      </c>
      <c r="AJ52" s="1">
        <f t="shared" ca="1" si="25"/>
        <v>0.73831391670819324</v>
      </c>
      <c r="AK52" s="1">
        <f t="shared" ca="1" si="26"/>
        <v>9.7100036666689646E-4</v>
      </c>
      <c r="AL52" s="1"/>
      <c r="AM52" s="1">
        <f t="shared" ca="1" si="27"/>
        <v>0.19072583995249009</v>
      </c>
      <c r="AN52" s="1">
        <f t="shared" ca="1" si="28"/>
        <v>38</v>
      </c>
      <c r="AO52" s="1">
        <f t="shared" ca="1" si="29"/>
        <v>17</v>
      </c>
      <c r="AQ52" s="1">
        <f t="shared" ca="1" si="30"/>
        <v>131</v>
      </c>
      <c r="AR52" s="1">
        <f t="shared" ca="1" si="31"/>
        <v>1</v>
      </c>
      <c r="AS52" s="1">
        <f t="shared" ca="1" si="32"/>
        <v>9</v>
      </c>
      <c r="AU52" s="1">
        <f t="shared" ca="1" si="33"/>
        <v>61</v>
      </c>
      <c r="AV52" s="1">
        <f t="shared" ca="1" si="34"/>
        <v>9</v>
      </c>
      <c r="AW52" s="1">
        <f t="shared" ca="1" si="35"/>
        <v>0.11748198352710858</v>
      </c>
      <c r="AY52" s="1">
        <f t="shared" ca="1" si="36"/>
        <v>1.8852380642990421</v>
      </c>
      <c r="AZ52" s="1">
        <f t="shared" ca="1" si="37"/>
        <v>441</v>
      </c>
      <c r="BA52" s="1">
        <f t="shared" ca="1" si="38"/>
        <v>6.253355468264615E-3</v>
      </c>
      <c r="BV52" s="1">
        <f t="shared" ca="1" si="39"/>
        <v>0.66296661883567232</v>
      </c>
      <c r="BW52" s="1">
        <f t="shared" ca="1" si="40"/>
        <v>300</v>
      </c>
      <c r="BX52" s="1">
        <f t="shared" ca="1" si="41"/>
        <v>8.8056163763790812E-3</v>
      </c>
      <c r="BY52" s="1">
        <f t="shared" ca="1" si="42"/>
        <v>6.2304392888557894E-2</v>
      </c>
      <c r="BZ52" s="1">
        <f t="shared" ca="1" si="43"/>
        <v>0.15989820042884728</v>
      </c>
      <c r="CB52" s="1">
        <f t="shared" ca="1" si="44"/>
        <v>120</v>
      </c>
      <c r="CC52" s="1">
        <f t="shared" ca="1" si="45"/>
        <v>11</v>
      </c>
      <c r="CD52" s="1">
        <f t="shared" ca="1" si="46"/>
        <v>0.2607612625164199</v>
      </c>
      <c r="CE52" s="1">
        <f t="shared" ca="1" si="62"/>
        <v>0.86210623846044743</v>
      </c>
      <c r="CF52" s="1">
        <f t="shared" ca="1" si="62"/>
        <v>0.71585134961886576</v>
      </c>
      <c r="CH52" s="3">
        <f t="shared" ca="1" si="48"/>
        <v>0.53489989057392318</v>
      </c>
      <c r="CI52" s="3">
        <f t="shared" ca="1" si="49"/>
        <v>0.10503362739391967</v>
      </c>
      <c r="CJ52" s="3">
        <f t="shared" ca="1" si="50"/>
        <v>309</v>
      </c>
      <c r="CK52" s="3">
        <f t="shared" ca="1" si="51"/>
        <v>3.9058242480886052E-3</v>
      </c>
      <c r="CL52" s="3">
        <f t="shared" ca="1" si="52"/>
        <v>1</v>
      </c>
      <c r="CM52" s="3"/>
      <c r="CN52" s="1">
        <f t="shared" ca="1" si="53"/>
        <v>2.1295775016852723</v>
      </c>
      <c r="CO52" s="1">
        <f t="shared" ca="1" si="54"/>
        <v>0.2355313807652854</v>
      </c>
      <c r="CP52" s="1">
        <f t="shared" ca="1" si="55"/>
        <v>2</v>
      </c>
      <c r="DH52" s="1">
        <f t="shared" ca="1" si="56"/>
        <v>737</v>
      </c>
      <c r="DI52" s="1">
        <f t="shared" ca="1" si="57"/>
        <v>0.28681271554995608</v>
      </c>
      <c r="DJ52" s="1">
        <f t="shared" ca="1" si="58"/>
        <v>7</v>
      </c>
      <c r="DL52" s="1">
        <f t="shared" ca="1" si="59"/>
        <v>5.5344398062937311E-2</v>
      </c>
      <c r="DM52" s="1">
        <f t="shared" ca="1" si="60"/>
        <v>265</v>
      </c>
      <c r="DN52" s="1">
        <f t="shared" ca="1" si="61"/>
        <v>10</v>
      </c>
    </row>
    <row r="53" spans="2:118" x14ac:dyDescent="0.25">
      <c r="B53">
        <f t="shared" ca="1" si="0"/>
        <v>138</v>
      </c>
      <c r="C53">
        <f t="shared" ca="1" si="1"/>
        <v>9</v>
      </c>
      <c r="D53">
        <f t="shared" ca="1" si="2"/>
        <v>0.11816382693531879</v>
      </c>
      <c r="F53" s="1">
        <f t="shared" ca="1" si="3"/>
        <v>23</v>
      </c>
      <c r="G53" s="1">
        <f t="shared" ca="1" si="4"/>
        <v>30</v>
      </c>
      <c r="H53" s="1">
        <f t="shared" ca="1" si="5"/>
        <v>5</v>
      </c>
      <c r="I53" s="1"/>
      <c r="J53" s="1">
        <f t="shared" ca="1" si="6"/>
        <v>30</v>
      </c>
      <c r="K53" s="1">
        <f t="shared" ca="1" si="7"/>
        <v>1.46096390332412</v>
      </c>
      <c r="L53" s="1">
        <f t="shared" ca="1" si="8"/>
        <v>30</v>
      </c>
      <c r="M53" s="1"/>
      <c r="N53" s="1">
        <f t="shared" ca="1" si="9"/>
        <v>992</v>
      </c>
      <c r="O53" s="1">
        <f t="shared" ca="1" si="10"/>
        <v>40</v>
      </c>
      <c r="P53" s="1"/>
      <c r="Q53" s="1">
        <f t="shared" ca="1" si="11"/>
        <v>0.17264446198020325</v>
      </c>
      <c r="R53" s="1">
        <f t="shared" ca="1" si="12"/>
        <v>897</v>
      </c>
      <c r="S53" s="1"/>
      <c r="T53" s="1">
        <f t="shared" ca="1" si="13"/>
        <v>7.221299532697123E-2</v>
      </c>
      <c r="U53" s="1">
        <f t="shared" ca="1" si="14"/>
        <v>141</v>
      </c>
      <c r="V53" s="1">
        <f t="shared" ca="1" si="15"/>
        <v>43</v>
      </c>
      <c r="W53" s="1"/>
      <c r="X53" s="1">
        <f t="shared" ca="1" si="16"/>
        <v>5.212454236426896</v>
      </c>
      <c r="Y53" s="1">
        <f t="shared" ca="1" si="17"/>
        <v>0.71103782065412013</v>
      </c>
      <c r="Z53" s="1">
        <f t="shared" ca="1" si="18"/>
        <v>665</v>
      </c>
      <c r="AB53" s="1">
        <f t="shared" ca="1" si="19"/>
        <v>0.9261643258054203</v>
      </c>
      <c r="AC53" s="1">
        <f t="shared" ca="1" si="20"/>
        <v>412</v>
      </c>
      <c r="AD53" s="1">
        <f t="shared" ca="1" si="21"/>
        <v>2.0649004220952417E-3</v>
      </c>
      <c r="AE53" s="1"/>
      <c r="AF53" s="1">
        <f t="shared" ca="1" si="22"/>
        <v>0.46377388320194857</v>
      </c>
      <c r="AG53" s="1">
        <f t="shared" ca="1" si="23"/>
        <v>826</v>
      </c>
      <c r="AH53" s="1">
        <f t="shared" ca="1" si="24"/>
        <v>3.2640574487205489E-3</v>
      </c>
      <c r="AJ53" s="1">
        <f t="shared" ca="1" si="25"/>
        <v>0.24706616590285191</v>
      </c>
      <c r="AK53" s="1">
        <f t="shared" ca="1" si="26"/>
        <v>4.2844586922172051E-3</v>
      </c>
      <c r="AL53" s="1"/>
      <c r="AM53" s="1">
        <f t="shared" ca="1" si="27"/>
        <v>5.0520405128444872E-3</v>
      </c>
      <c r="AN53" s="1">
        <f t="shared" ca="1" si="28"/>
        <v>66</v>
      </c>
      <c r="AO53" s="1">
        <f t="shared" ca="1" si="29"/>
        <v>8</v>
      </c>
      <c r="AQ53" s="1">
        <f t="shared" ca="1" si="30"/>
        <v>50</v>
      </c>
      <c r="AR53" s="1">
        <f t="shared" ca="1" si="31"/>
        <v>4</v>
      </c>
      <c r="AS53" s="1">
        <f t="shared" ca="1" si="32"/>
        <v>97</v>
      </c>
      <c r="AU53" s="1">
        <f t="shared" ca="1" si="33"/>
        <v>256</v>
      </c>
      <c r="AV53" s="1">
        <f t="shared" ca="1" si="34"/>
        <v>10</v>
      </c>
      <c r="AW53" s="1">
        <f t="shared" ca="1" si="35"/>
        <v>2.4941679553618725E-2</v>
      </c>
      <c r="AY53" s="1">
        <f t="shared" ca="1" si="36"/>
        <v>1.2376155150039936</v>
      </c>
      <c r="AZ53" s="1">
        <f t="shared" ca="1" si="37"/>
        <v>82</v>
      </c>
      <c r="BA53" s="1">
        <f t="shared" ca="1" si="38"/>
        <v>7.8736597233978987E-3</v>
      </c>
      <c r="BV53" s="1">
        <f t="shared" ca="1" si="39"/>
        <v>0.52869325656397803</v>
      </c>
      <c r="BW53" s="1">
        <f t="shared" ca="1" si="40"/>
        <v>158</v>
      </c>
      <c r="BX53" s="1">
        <f t="shared" ca="1" si="41"/>
        <v>2.0417260687893369E-4</v>
      </c>
      <c r="BY53" s="1">
        <f t="shared" ca="1" si="42"/>
        <v>1.0765685269730912E-2</v>
      </c>
      <c r="BZ53" s="1">
        <f t="shared" ca="1" si="43"/>
        <v>8.8890208646469571E-2</v>
      </c>
      <c r="CB53" s="1">
        <f t="shared" ca="1" si="44"/>
        <v>493</v>
      </c>
      <c r="CC53" s="1">
        <f t="shared" ca="1" si="45"/>
        <v>12</v>
      </c>
      <c r="CD53" s="1">
        <f t="shared" ca="1" si="46"/>
        <v>0.29691319987468251</v>
      </c>
      <c r="CE53" s="1">
        <f t="shared" ca="1" si="62"/>
        <v>0.82088647945888882</v>
      </c>
      <c r="CF53" s="1">
        <f t="shared" ca="1" si="62"/>
        <v>0.70716821524468099</v>
      </c>
      <c r="CH53" s="3">
        <f t="shared" ca="1" si="48"/>
        <v>0.22660857565491851</v>
      </c>
      <c r="CI53" s="3">
        <f t="shared" ca="1" si="49"/>
        <v>0.35706374961745024</v>
      </c>
      <c r="CJ53" s="3">
        <f t="shared" ca="1" si="50"/>
        <v>215</v>
      </c>
      <c r="CK53" s="3">
        <f t="shared" ca="1" si="51"/>
        <v>7.1272471334102791E-3</v>
      </c>
      <c r="CL53" s="3">
        <f t="shared" ca="1" si="52"/>
        <v>0</v>
      </c>
      <c r="CM53" s="3"/>
      <c r="CN53" s="1">
        <f t="shared" ca="1" si="53"/>
        <v>12.113057226920731</v>
      </c>
      <c r="CO53" s="1">
        <f t="shared" ca="1" si="54"/>
        <v>0.1184773994120286</v>
      </c>
      <c r="CP53" s="1">
        <f t="shared" ca="1" si="55"/>
        <v>1</v>
      </c>
      <c r="DH53" s="1">
        <f t="shared" ca="1" si="56"/>
        <v>369</v>
      </c>
      <c r="DI53" s="1">
        <f t="shared" ca="1" si="57"/>
        <v>0.98989021917586328</v>
      </c>
      <c r="DJ53" s="1">
        <f t="shared" ca="1" si="58"/>
        <v>11</v>
      </c>
      <c r="DL53" s="1">
        <f t="shared" ca="1" si="59"/>
        <v>0.18174738314653069</v>
      </c>
      <c r="DM53" s="1">
        <f t="shared" ca="1" si="60"/>
        <v>108</v>
      </c>
      <c r="DN53" s="1">
        <f t="shared" ca="1" si="61"/>
        <v>9</v>
      </c>
    </row>
    <row r="54" spans="2:118" x14ac:dyDescent="0.25">
      <c r="B54">
        <f t="shared" ca="1" si="0"/>
        <v>399</v>
      </c>
      <c r="C54">
        <f t="shared" ca="1" si="1"/>
        <v>37</v>
      </c>
      <c r="D54">
        <f t="shared" ca="1" si="2"/>
        <v>0.23127205520110111</v>
      </c>
      <c r="F54" s="1">
        <f t="shared" ca="1" si="3"/>
        <v>10</v>
      </c>
      <c r="G54" s="1">
        <f t="shared" ca="1" si="4"/>
        <v>25</v>
      </c>
      <c r="H54" s="1">
        <f t="shared" ca="1" si="5"/>
        <v>1</v>
      </c>
      <c r="I54" s="1"/>
      <c r="J54" s="1">
        <f t="shared" ca="1" si="6"/>
        <v>3</v>
      </c>
      <c r="K54" s="1">
        <f t="shared" ca="1" si="7"/>
        <v>1.3877572054819842</v>
      </c>
      <c r="L54" s="1">
        <f t="shared" ca="1" si="8"/>
        <v>33</v>
      </c>
      <c r="M54" s="1"/>
      <c r="N54" s="1">
        <f t="shared" ca="1" si="9"/>
        <v>414</v>
      </c>
      <c r="O54" s="1">
        <f t="shared" ca="1" si="10"/>
        <v>2</v>
      </c>
      <c r="P54" s="1"/>
      <c r="Q54" s="1">
        <f t="shared" ca="1" si="11"/>
        <v>4.4053525106222171</v>
      </c>
      <c r="R54" s="1">
        <f t="shared" ca="1" si="12"/>
        <v>1171</v>
      </c>
      <c r="S54" s="1"/>
      <c r="T54" s="1">
        <f t="shared" ca="1" si="13"/>
        <v>2.4373186648897878E-2</v>
      </c>
      <c r="U54" s="1">
        <f t="shared" ca="1" si="14"/>
        <v>309</v>
      </c>
      <c r="V54" s="1">
        <f t="shared" ca="1" si="15"/>
        <v>40</v>
      </c>
      <c r="W54" s="1"/>
      <c r="X54" s="1">
        <f t="shared" ca="1" si="16"/>
        <v>1.1437818378650009</v>
      </c>
      <c r="Y54" s="1">
        <f t="shared" ca="1" si="17"/>
        <v>2.6794971148337746E-2</v>
      </c>
      <c r="Z54" s="1">
        <f t="shared" ca="1" si="18"/>
        <v>520</v>
      </c>
      <c r="AB54" s="1">
        <f t="shared" ca="1" si="19"/>
        <v>0.76974996639203475</v>
      </c>
      <c r="AC54" s="1">
        <f t="shared" ca="1" si="20"/>
        <v>339</v>
      </c>
      <c r="AD54" s="1">
        <f t="shared" ca="1" si="21"/>
        <v>5.967196241057935E-3</v>
      </c>
      <c r="AE54" s="1"/>
      <c r="AF54" s="1">
        <f t="shared" ca="1" si="22"/>
        <v>0.58140008145845257</v>
      </c>
      <c r="AG54" s="1">
        <f t="shared" ca="1" si="23"/>
        <v>473</v>
      </c>
      <c r="AH54" s="1">
        <f t="shared" ca="1" si="24"/>
        <v>9.4603195851901897E-3</v>
      </c>
      <c r="AJ54" s="1">
        <f t="shared" ca="1" si="25"/>
        <v>0.94169173232755121</v>
      </c>
      <c r="AK54" s="1">
        <f t="shared" ca="1" si="26"/>
        <v>4.0850686257137142E-3</v>
      </c>
      <c r="AL54" s="1"/>
      <c r="AM54" s="1">
        <f t="shared" ca="1" si="27"/>
        <v>0.19768180279483971</v>
      </c>
      <c r="AN54" s="1">
        <f t="shared" ca="1" si="28"/>
        <v>80</v>
      </c>
      <c r="AO54" s="1">
        <f t="shared" ca="1" si="29"/>
        <v>0</v>
      </c>
      <c r="AQ54" s="1">
        <f t="shared" ca="1" si="30"/>
        <v>27</v>
      </c>
      <c r="AR54" s="1">
        <f t="shared" ca="1" si="31"/>
        <v>4</v>
      </c>
      <c r="AS54" s="1">
        <f t="shared" ca="1" si="32"/>
        <v>38</v>
      </c>
      <c r="AU54" s="1">
        <f t="shared" ca="1" si="33"/>
        <v>277</v>
      </c>
      <c r="AV54" s="1">
        <f t="shared" ca="1" si="34"/>
        <v>7</v>
      </c>
      <c r="AW54" s="1">
        <f t="shared" ca="1" si="35"/>
        <v>4.4520901008597479E-2</v>
      </c>
      <c r="AY54" s="1">
        <f t="shared" ca="1" si="36"/>
        <v>1.8426819649177648</v>
      </c>
      <c r="AZ54" s="1">
        <f t="shared" ca="1" si="37"/>
        <v>58</v>
      </c>
      <c r="BA54" s="1">
        <f t="shared" ca="1" si="38"/>
        <v>5.9098733849525988E-3</v>
      </c>
      <c r="BV54" s="1">
        <f t="shared" ca="1" si="39"/>
        <v>0.57039186292763189</v>
      </c>
      <c r="BW54" s="1">
        <f t="shared" ca="1" si="40"/>
        <v>174</v>
      </c>
      <c r="BX54" s="1">
        <f t="shared" ca="1" si="41"/>
        <v>3.3926688861654394E-3</v>
      </c>
      <c r="BY54" s="1">
        <f t="shared" ca="1" si="42"/>
        <v>9.1183223016569892E-2</v>
      </c>
      <c r="BZ54" s="1">
        <f t="shared" ca="1" si="43"/>
        <v>0.74472632129141003</v>
      </c>
      <c r="CB54" s="1">
        <f t="shared" ca="1" si="44"/>
        <v>223</v>
      </c>
      <c r="CC54" s="1">
        <f t="shared" ca="1" si="45"/>
        <v>12</v>
      </c>
      <c r="CD54" s="1">
        <f t="shared" ca="1" si="46"/>
        <v>3.6540706199237126E-2</v>
      </c>
      <c r="CE54" s="1">
        <f t="shared" ca="1" si="62"/>
        <v>0.70031145357976188</v>
      </c>
      <c r="CF54" s="1">
        <f t="shared" ca="1" si="62"/>
        <v>0.83037021536506628</v>
      </c>
      <c r="CH54" s="3">
        <f t="shared" ca="1" si="48"/>
        <v>0.76253520458876967</v>
      </c>
      <c r="CI54" s="3">
        <f t="shared" ca="1" si="49"/>
        <v>0.69599035296844314</v>
      </c>
      <c r="CJ54" s="3">
        <f t="shared" ca="1" si="50"/>
        <v>1008</v>
      </c>
      <c r="CK54" s="3">
        <f t="shared" ca="1" si="51"/>
        <v>4.2223323990241363E-3</v>
      </c>
      <c r="CL54" s="3">
        <f t="shared" ca="1" si="52"/>
        <v>1</v>
      </c>
      <c r="CM54" s="3"/>
      <c r="CN54" s="1">
        <f t="shared" ca="1" si="53"/>
        <v>0.96799832993260004</v>
      </c>
      <c r="CO54" s="1">
        <f t="shared" ca="1" si="54"/>
        <v>0.15889908283335846</v>
      </c>
      <c r="CP54" s="1">
        <f t="shared" ca="1" si="55"/>
        <v>4</v>
      </c>
      <c r="DH54" s="1">
        <f t="shared" ca="1" si="56"/>
        <v>356</v>
      </c>
      <c r="DI54" s="1">
        <f t="shared" ca="1" si="57"/>
        <v>0.83975550324470027</v>
      </c>
      <c r="DJ54" s="1">
        <f t="shared" ca="1" si="58"/>
        <v>30</v>
      </c>
      <c r="DL54" s="1">
        <f t="shared" ca="1" si="59"/>
        <v>8.7990422654318126E-2</v>
      </c>
      <c r="DM54" s="1">
        <f t="shared" ca="1" si="60"/>
        <v>113</v>
      </c>
      <c r="DN54" s="1">
        <f t="shared" ca="1" si="61"/>
        <v>6</v>
      </c>
    </row>
    <row r="55" spans="2:118" x14ac:dyDescent="0.25">
      <c r="B55">
        <f t="shared" ca="1" si="0"/>
        <v>828</v>
      </c>
      <c r="C55">
        <f t="shared" ca="1" si="1"/>
        <v>7</v>
      </c>
      <c r="D55">
        <f t="shared" ca="1" si="2"/>
        <v>0.19490933356982806</v>
      </c>
      <c r="F55" s="1">
        <f t="shared" ca="1" si="3"/>
        <v>28</v>
      </c>
      <c r="G55" s="1">
        <f t="shared" ca="1" si="4"/>
        <v>13</v>
      </c>
      <c r="H55" s="1">
        <f t="shared" ca="1" si="5"/>
        <v>4</v>
      </c>
      <c r="I55" s="1"/>
      <c r="J55" s="1">
        <f t="shared" ca="1" si="6"/>
        <v>13</v>
      </c>
      <c r="K55" s="1">
        <f t="shared" ca="1" si="7"/>
        <v>2.7260011395403092</v>
      </c>
      <c r="L55" s="1">
        <f t="shared" ca="1" si="8"/>
        <v>21</v>
      </c>
      <c r="M55" s="1"/>
      <c r="N55" s="1">
        <f t="shared" ca="1" si="9"/>
        <v>188</v>
      </c>
      <c r="O55" s="1">
        <f t="shared" ca="1" si="10"/>
        <v>14</v>
      </c>
      <c r="P55" s="1"/>
      <c r="Q55" s="1">
        <f t="shared" ca="1" si="11"/>
        <v>2.3386080429992977</v>
      </c>
      <c r="R55" s="1">
        <f t="shared" ca="1" si="12"/>
        <v>771</v>
      </c>
      <c r="S55" s="1"/>
      <c r="T55" s="1">
        <f t="shared" ca="1" si="13"/>
        <v>0.18384667767202892</v>
      </c>
      <c r="U55" s="1">
        <f t="shared" ca="1" si="14"/>
        <v>65</v>
      </c>
      <c r="V55" s="1">
        <f t="shared" ca="1" si="15"/>
        <v>30</v>
      </c>
      <c r="W55" s="1"/>
      <c r="X55" s="1">
        <f t="shared" ca="1" si="16"/>
        <v>3.0807045519826532</v>
      </c>
      <c r="Y55" s="1">
        <f t="shared" ca="1" si="17"/>
        <v>0.29026012128882284</v>
      </c>
      <c r="Z55" s="1">
        <f t="shared" ca="1" si="18"/>
        <v>770</v>
      </c>
      <c r="AB55" s="1">
        <f t="shared" ca="1" si="19"/>
        <v>0.69032984622825255</v>
      </c>
      <c r="AC55" s="1">
        <f t="shared" ca="1" si="20"/>
        <v>746</v>
      </c>
      <c r="AD55" s="1">
        <f t="shared" ca="1" si="21"/>
        <v>1.7481019122459502E-3</v>
      </c>
      <c r="AE55" s="1"/>
      <c r="AF55" s="1">
        <f t="shared" ca="1" si="22"/>
        <v>0.75046166563759686</v>
      </c>
      <c r="AG55" s="1">
        <f t="shared" ca="1" si="23"/>
        <v>584</v>
      </c>
      <c r="AH55" s="1">
        <f t="shared" ca="1" si="24"/>
        <v>4.3838746747242209E-4</v>
      </c>
      <c r="AJ55" s="1">
        <f t="shared" ca="1" si="25"/>
        <v>0.36592570268628444</v>
      </c>
      <c r="AK55" s="1">
        <f t="shared" ca="1" si="26"/>
        <v>5.0805987932910817E-4</v>
      </c>
      <c r="AL55" s="1"/>
      <c r="AM55" s="1">
        <f t="shared" ca="1" si="27"/>
        <v>0.1303100406720826</v>
      </c>
      <c r="AN55" s="1">
        <f t="shared" ca="1" si="28"/>
        <v>10</v>
      </c>
      <c r="AO55" s="1">
        <f t="shared" ca="1" si="29"/>
        <v>6</v>
      </c>
      <c r="AQ55" s="1">
        <f t="shared" ca="1" si="30"/>
        <v>153</v>
      </c>
      <c r="AR55" s="1">
        <f t="shared" ca="1" si="31"/>
        <v>3</v>
      </c>
      <c r="AS55" s="1">
        <f t="shared" ca="1" si="32"/>
        <v>98</v>
      </c>
      <c r="AU55" s="1">
        <f t="shared" ca="1" si="33"/>
        <v>182</v>
      </c>
      <c r="AV55" s="1">
        <f t="shared" ca="1" si="34"/>
        <v>4</v>
      </c>
      <c r="AW55" s="1">
        <f t="shared" ca="1" si="35"/>
        <v>9.252622786098863E-2</v>
      </c>
      <c r="AY55" s="1">
        <f t="shared" ca="1" si="36"/>
        <v>1.1927207113402609</v>
      </c>
      <c r="AZ55" s="1">
        <f t="shared" ca="1" si="37"/>
        <v>100</v>
      </c>
      <c r="BA55" s="1">
        <f t="shared" ca="1" si="38"/>
        <v>1.3153575193342961E-3</v>
      </c>
      <c r="BV55" s="1">
        <f t="shared" ca="1" si="39"/>
        <v>0.24068691500217201</v>
      </c>
      <c r="BW55" s="1">
        <f t="shared" ca="1" si="40"/>
        <v>437</v>
      </c>
      <c r="BX55" s="1">
        <f t="shared" ca="1" si="41"/>
        <v>8.3105654284045087E-3</v>
      </c>
      <c r="BY55" s="1">
        <f t="shared" ca="1" si="42"/>
        <v>7.3140196748506289E-2</v>
      </c>
      <c r="BZ55" s="1">
        <f t="shared" ca="1" si="43"/>
        <v>0.27340868258541584</v>
      </c>
      <c r="CB55" s="1">
        <f t="shared" ca="1" si="44"/>
        <v>469</v>
      </c>
      <c r="CC55" s="1">
        <f t="shared" ca="1" si="45"/>
        <v>15</v>
      </c>
      <c r="CD55" s="1">
        <f t="shared" ca="1" si="46"/>
        <v>0.2563316276278863</v>
      </c>
      <c r="CE55" s="1">
        <f t="shared" ca="1" si="62"/>
        <v>0.97191267475948107</v>
      </c>
      <c r="CF55" s="1">
        <f t="shared" ca="1" si="62"/>
        <v>0.88141437746859874</v>
      </c>
      <c r="CH55" s="3">
        <f t="shared" ca="1" si="48"/>
        <v>0.90916576151131967</v>
      </c>
      <c r="CI55" s="3">
        <f t="shared" ca="1" si="49"/>
        <v>0.92847776509658753</v>
      </c>
      <c r="CJ55" s="3">
        <f t="shared" ca="1" si="50"/>
        <v>1325</v>
      </c>
      <c r="CK55" s="3">
        <f t="shared" ca="1" si="51"/>
        <v>6.318871517905787E-3</v>
      </c>
      <c r="CL55" s="3">
        <f t="shared" ca="1" si="52"/>
        <v>0</v>
      </c>
      <c r="CM55" s="3"/>
      <c r="CN55" s="1">
        <f t="shared" ca="1" si="53"/>
        <v>11.71865053267668</v>
      </c>
      <c r="CO55" s="1">
        <f t="shared" ca="1" si="54"/>
        <v>0.14464598190637432</v>
      </c>
      <c r="CP55" s="1">
        <f t="shared" ca="1" si="55"/>
        <v>5</v>
      </c>
      <c r="DH55" s="1">
        <f t="shared" ca="1" si="56"/>
        <v>607</v>
      </c>
      <c r="DI55" s="1">
        <f t="shared" ca="1" si="57"/>
        <v>0.74644439164339615</v>
      </c>
      <c r="DJ55" s="1">
        <f t="shared" ca="1" si="58"/>
        <v>27</v>
      </c>
      <c r="DL55" s="1">
        <f t="shared" ca="1" si="59"/>
        <v>0.15351490586284605</v>
      </c>
      <c r="DM55" s="1">
        <f t="shared" ca="1" si="60"/>
        <v>96</v>
      </c>
      <c r="DN55" s="1">
        <f t="shared" ca="1" si="61"/>
        <v>8</v>
      </c>
    </row>
    <row r="56" spans="2:118" x14ac:dyDescent="0.25">
      <c r="B56">
        <f t="shared" ca="1" si="0"/>
        <v>858</v>
      </c>
      <c r="C56">
        <f t="shared" ca="1" si="1"/>
        <v>14</v>
      </c>
      <c r="D56">
        <f t="shared" ca="1" si="2"/>
        <v>8.4448205214854605E-2</v>
      </c>
      <c r="F56" s="1">
        <f t="shared" ca="1" si="3"/>
        <v>5</v>
      </c>
      <c r="G56" s="1">
        <f t="shared" ca="1" si="4"/>
        <v>30</v>
      </c>
      <c r="H56" s="1">
        <f t="shared" ca="1" si="5"/>
        <v>3</v>
      </c>
      <c r="I56" s="1"/>
      <c r="J56" s="1">
        <f t="shared" ca="1" si="6"/>
        <v>37</v>
      </c>
      <c r="K56" s="1">
        <f t="shared" ca="1" si="7"/>
        <v>1.0618251263510992</v>
      </c>
      <c r="L56" s="1">
        <f t="shared" ca="1" si="8"/>
        <v>14</v>
      </c>
      <c r="M56" s="1"/>
      <c r="N56" s="1">
        <f t="shared" ca="1" si="9"/>
        <v>871</v>
      </c>
      <c r="O56" s="1">
        <f t="shared" ca="1" si="10"/>
        <v>32</v>
      </c>
      <c r="P56" s="1"/>
      <c r="Q56" s="1">
        <f t="shared" ca="1" si="11"/>
        <v>4.5601213090086512</v>
      </c>
      <c r="R56" s="1">
        <f t="shared" ca="1" si="12"/>
        <v>267</v>
      </c>
      <c r="S56" s="1"/>
      <c r="T56" s="1">
        <f t="shared" ca="1" si="13"/>
        <v>2.1728779254099499E-2</v>
      </c>
      <c r="U56" s="1">
        <f t="shared" ca="1" si="14"/>
        <v>314</v>
      </c>
      <c r="V56" s="1">
        <f t="shared" ca="1" si="15"/>
        <v>15</v>
      </c>
      <c r="W56" s="1"/>
      <c r="X56" s="1">
        <f t="shared" ca="1" si="16"/>
        <v>0.33568376649196191</v>
      </c>
      <c r="Y56" s="1">
        <f t="shared" ca="1" si="17"/>
        <v>0.82573315981700091</v>
      </c>
      <c r="Z56" s="1">
        <f t="shared" ca="1" si="18"/>
        <v>1965</v>
      </c>
      <c r="AB56" s="1">
        <f t="shared" ca="1" si="19"/>
        <v>0.41613833528625632</v>
      </c>
      <c r="AC56" s="1">
        <f t="shared" ca="1" si="20"/>
        <v>907</v>
      </c>
      <c r="AD56" s="1">
        <f t="shared" ca="1" si="21"/>
        <v>5.6177677559984688E-3</v>
      </c>
      <c r="AE56" s="1"/>
      <c r="AF56" s="1">
        <f t="shared" ca="1" si="22"/>
        <v>0.58531227391036633</v>
      </c>
      <c r="AG56" s="1">
        <f t="shared" ca="1" si="23"/>
        <v>902</v>
      </c>
      <c r="AH56" s="1">
        <f t="shared" ca="1" si="24"/>
        <v>9.6048612922407899E-3</v>
      </c>
      <c r="AJ56" s="1">
        <f t="shared" ca="1" si="25"/>
        <v>0.84249924540280863</v>
      </c>
      <c r="AK56" s="1">
        <f t="shared" ca="1" si="26"/>
        <v>8.0817559423464018E-3</v>
      </c>
      <c r="AL56" s="1"/>
      <c r="AM56" s="1">
        <f t="shared" ca="1" si="27"/>
        <v>0.12975336137239477</v>
      </c>
      <c r="AN56" s="1">
        <f t="shared" ca="1" si="28"/>
        <v>45</v>
      </c>
      <c r="AO56" s="1">
        <f t="shared" ca="1" si="29"/>
        <v>-1</v>
      </c>
      <c r="AQ56" s="1">
        <f t="shared" ca="1" si="30"/>
        <v>120</v>
      </c>
      <c r="AR56" s="1">
        <f t="shared" ca="1" si="31"/>
        <v>7</v>
      </c>
      <c r="AS56" s="1">
        <f t="shared" ca="1" si="32"/>
        <v>64</v>
      </c>
      <c r="AU56" s="1">
        <f t="shared" ca="1" si="33"/>
        <v>82</v>
      </c>
      <c r="AV56" s="1">
        <f t="shared" ca="1" si="34"/>
        <v>9</v>
      </c>
      <c r="AW56" s="1">
        <f t="shared" ca="1" si="35"/>
        <v>0.18544532630649396</v>
      </c>
      <c r="AY56" s="1">
        <f t="shared" ca="1" si="36"/>
        <v>1.9405842094834993</v>
      </c>
      <c r="AZ56" s="1">
        <f t="shared" ca="1" si="37"/>
        <v>210</v>
      </c>
      <c r="BA56" s="1">
        <f t="shared" ca="1" si="38"/>
        <v>1.0196056990521222E-3</v>
      </c>
      <c r="BV56" s="1">
        <f t="shared" ca="1" si="39"/>
        <v>0.57797897678677213</v>
      </c>
      <c r="BW56" s="1">
        <f t="shared" ca="1" si="40"/>
        <v>326</v>
      </c>
      <c r="BX56" s="1">
        <f t="shared" ca="1" si="41"/>
        <v>8.8925195777849464E-3</v>
      </c>
      <c r="BY56" s="1">
        <f t="shared" ca="1" si="42"/>
        <v>9.2183014170539271E-2</v>
      </c>
      <c r="BZ56" s="1">
        <f t="shared" ca="1" si="43"/>
        <v>0.81184051376799371</v>
      </c>
      <c r="CB56" s="1">
        <f t="shared" ca="1" si="44"/>
        <v>319</v>
      </c>
      <c r="CC56" s="1">
        <f t="shared" ca="1" si="45"/>
        <v>8</v>
      </c>
      <c r="CD56" s="1">
        <f t="shared" ca="1" si="46"/>
        <v>0.26312776194543597</v>
      </c>
      <c r="CE56" s="1">
        <f t="shared" ca="1" si="62"/>
        <v>0.90824252826108243</v>
      </c>
      <c r="CF56" s="1">
        <f t="shared" ca="1" si="62"/>
        <v>0.97455874442978374</v>
      </c>
      <c r="CH56" s="3">
        <f t="shared" ca="1" si="48"/>
        <v>0.64552910880686454</v>
      </c>
      <c r="CI56" s="3">
        <f t="shared" ca="1" si="49"/>
        <v>1.1895019331379651E-2</v>
      </c>
      <c r="CJ56" s="3">
        <f t="shared" ca="1" si="50"/>
        <v>1680</v>
      </c>
      <c r="CK56" s="3">
        <f t="shared" ca="1" si="51"/>
        <v>9.8263341961877717E-3</v>
      </c>
      <c r="CL56" s="3">
        <f t="shared" ca="1" si="52"/>
        <v>1</v>
      </c>
      <c r="CM56" s="3"/>
      <c r="CN56" s="1">
        <f t="shared" ca="1" si="53"/>
        <v>14.816005782337273</v>
      </c>
      <c r="CO56" s="1">
        <f t="shared" ca="1" si="54"/>
        <v>0.39991990613068779</v>
      </c>
      <c r="CP56" s="1">
        <f t="shared" ca="1" si="55"/>
        <v>2</v>
      </c>
      <c r="DH56" s="1">
        <f t="shared" ca="1" si="56"/>
        <v>609</v>
      </c>
      <c r="DI56" s="1">
        <f t="shared" ca="1" si="57"/>
        <v>0.71155563972091551</v>
      </c>
      <c r="DJ56" s="1">
        <f t="shared" ca="1" si="58"/>
        <v>27</v>
      </c>
      <c r="DL56" s="1">
        <f t="shared" ca="1" si="59"/>
        <v>2.7980200405043391E-2</v>
      </c>
      <c r="DM56" s="1">
        <f t="shared" ca="1" si="60"/>
        <v>207</v>
      </c>
      <c r="DN56" s="1">
        <f t="shared" ca="1" si="61"/>
        <v>5</v>
      </c>
    </row>
    <row r="57" spans="2:118" x14ac:dyDescent="0.25">
      <c r="B57">
        <f t="shared" ca="1" si="0"/>
        <v>801</v>
      </c>
      <c r="C57">
        <f t="shared" ca="1" si="1"/>
        <v>26</v>
      </c>
      <c r="D57">
        <f t="shared" ca="1" si="2"/>
        <v>0.22816330648581012</v>
      </c>
      <c r="F57" s="1">
        <f t="shared" ca="1" si="3"/>
        <v>23</v>
      </c>
      <c r="G57" s="1">
        <f t="shared" ca="1" si="4"/>
        <v>17</v>
      </c>
      <c r="H57" s="1">
        <f t="shared" ca="1" si="5"/>
        <v>2</v>
      </c>
      <c r="I57" s="1"/>
      <c r="J57" s="1">
        <f t="shared" ca="1" si="6"/>
        <v>20</v>
      </c>
      <c r="K57" s="1">
        <f t="shared" ca="1" si="7"/>
        <v>2.4835741807452663</v>
      </c>
      <c r="L57" s="1">
        <f t="shared" ca="1" si="8"/>
        <v>19</v>
      </c>
      <c r="M57" s="1"/>
      <c r="N57" s="1">
        <f t="shared" ca="1" si="9"/>
        <v>439</v>
      </c>
      <c r="O57" s="1">
        <f t="shared" ca="1" si="10"/>
        <v>35</v>
      </c>
      <c r="P57" s="1"/>
      <c r="Q57" s="1">
        <f t="shared" ca="1" si="11"/>
        <v>3.844780094734277</v>
      </c>
      <c r="R57" s="1">
        <f t="shared" ca="1" si="12"/>
        <v>690</v>
      </c>
      <c r="S57" s="1"/>
      <c r="T57" s="1">
        <f t="shared" ca="1" si="13"/>
        <v>0.12377069116695012</v>
      </c>
      <c r="U57" s="1">
        <f t="shared" ca="1" si="14"/>
        <v>113</v>
      </c>
      <c r="V57" s="1">
        <f t="shared" ca="1" si="15"/>
        <v>33</v>
      </c>
      <c r="W57" s="1"/>
      <c r="X57" s="1">
        <f t="shared" ca="1" si="16"/>
        <v>2.4886563234073042</v>
      </c>
      <c r="Y57" s="1">
        <f t="shared" ca="1" si="17"/>
        <v>0.38147856293029664</v>
      </c>
      <c r="Z57" s="1">
        <f t="shared" ca="1" si="18"/>
        <v>666</v>
      </c>
      <c r="AB57" s="1">
        <f t="shared" ca="1" si="19"/>
        <v>7.8234363389505332E-2</v>
      </c>
      <c r="AC57" s="1">
        <f t="shared" ca="1" si="20"/>
        <v>609</v>
      </c>
      <c r="AD57" s="1">
        <f t="shared" ca="1" si="21"/>
        <v>3.8705527803583671E-3</v>
      </c>
      <c r="AE57" s="1"/>
      <c r="AF57" s="1">
        <f t="shared" ca="1" si="22"/>
        <v>0.47703590259474526</v>
      </c>
      <c r="AG57" s="1">
        <f t="shared" ca="1" si="23"/>
        <v>885</v>
      </c>
      <c r="AH57" s="1">
        <f t="shared" ca="1" si="24"/>
        <v>4.7560558923090681E-3</v>
      </c>
      <c r="AJ57" s="1">
        <f t="shared" ca="1" si="25"/>
        <v>0.85012297525288771</v>
      </c>
      <c r="AK57" s="1">
        <f t="shared" ca="1" si="26"/>
        <v>9.6095878123852348E-3</v>
      </c>
      <c r="AL57" s="1"/>
      <c r="AM57" s="1">
        <f t="shared" ca="1" si="27"/>
        <v>3.9080969194287773E-2</v>
      </c>
      <c r="AN57" s="1">
        <f t="shared" ca="1" si="28"/>
        <v>61</v>
      </c>
      <c r="AO57" s="1">
        <f t="shared" ca="1" si="29"/>
        <v>6</v>
      </c>
      <c r="AQ57" s="1">
        <f t="shared" ca="1" si="30"/>
        <v>63</v>
      </c>
      <c r="AR57" s="1">
        <f t="shared" ca="1" si="31"/>
        <v>4</v>
      </c>
      <c r="AS57" s="1">
        <f t="shared" ca="1" si="32"/>
        <v>56</v>
      </c>
      <c r="AU57" s="1">
        <f t="shared" ca="1" si="33"/>
        <v>368</v>
      </c>
      <c r="AV57" s="1">
        <f t="shared" ca="1" si="34"/>
        <v>8</v>
      </c>
      <c r="AW57" s="1">
        <f t="shared" ca="1" si="35"/>
        <v>0.12421619473172121</v>
      </c>
      <c r="AY57" s="1">
        <f t="shared" ca="1" si="36"/>
        <v>1.5106978490388654</v>
      </c>
      <c r="AZ57" s="1">
        <f t="shared" ca="1" si="37"/>
        <v>289</v>
      </c>
      <c r="BA57" s="1">
        <f t="shared" ca="1" si="38"/>
        <v>4.1296863071189288E-3</v>
      </c>
      <c r="BV57" s="1">
        <f t="shared" ca="1" si="39"/>
        <v>0.78994406176883825</v>
      </c>
      <c r="BW57" s="1">
        <f t="shared" ca="1" si="40"/>
        <v>349</v>
      </c>
      <c r="BX57" s="1">
        <f t="shared" ca="1" si="41"/>
        <v>7.6321847530131642E-3</v>
      </c>
      <c r="BY57" s="1">
        <f t="shared" ca="1" si="42"/>
        <v>1.8647757339463954E-2</v>
      </c>
      <c r="BZ57" s="1">
        <f t="shared" ca="1" si="43"/>
        <v>0.7853357468623271</v>
      </c>
      <c r="CB57" s="1">
        <f t="shared" ca="1" si="44"/>
        <v>255</v>
      </c>
      <c r="CC57" s="1">
        <f t="shared" ca="1" si="45"/>
        <v>14</v>
      </c>
      <c r="CD57" s="1">
        <f t="shared" ca="1" si="46"/>
        <v>0.12780330994374595</v>
      </c>
      <c r="CE57" s="1">
        <f t="shared" ca="1" si="62"/>
        <v>0.61564133649556951</v>
      </c>
      <c r="CF57" s="1">
        <f t="shared" ca="1" si="62"/>
        <v>0.83334907914677703</v>
      </c>
      <c r="CH57" s="3">
        <f t="shared" ca="1" si="48"/>
        <v>0.65341417283917835</v>
      </c>
      <c r="CI57" s="3">
        <f t="shared" ca="1" si="49"/>
        <v>0.65915790371844918</v>
      </c>
      <c r="CJ57" s="3">
        <f t="shared" ca="1" si="50"/>
        <v>210</v>
      </c>
      <c r="CK57" s="3">
        <f t="shared" ca="1" si="51"/>
        <v>2.6213497937699628E-3</v>
      </c>
      <c r="CL57" s="3">
        <f t="shared" ca="1" si="52"/>
        <v>1</v>
      </c>
      <c r="CM57" s="3"/>
      <c r="CN57" s="1">
        <f t="shared" ca="1" si="53"/>
        <v>10.946532458786573</v>
      </c>
      <c r="CO57" s="1">
        <f t="shared" ca="1" si="54"/>
        <v>0.37123465687680102</v>
      </c>
      <c r="CP57" s="1">
        <f t="shared" ca="1" si="55"/>
        <v>4</v>
      </c>
      <c r="DH57" s="1">
        <f t="shared" ca="1" si="56"/>
        <v>152</v>
      </c>
      <c r="DI57" s="1">
        <f t="shared" ca="1" si="57"/>
        <v>0.16746611653484683</v>
      </c>
      <c r="DJ57" s="1">
        <f t="shared" ca="1" si="58"/>
        <v>28</v>
      </c>
      <c r="DL57" s="1">
        <f t="shared" ca="1" si="59"/>
        <v>2.8294876718650802E-2</v>
      </c>
      <c r="DM57" s="1">
        <f t="shared" ca="1" si="60"/>
        <v>58</v>
      </c>
      <c r="DN57" s="1">
        <f t="shared" ca="1" si="61"/>
        <v>5</v>
      </c>
    </row>
    <row r="58" spans="2:118" x14ac:dyDescent="0.25">
      <c r="B58">
        <f t="shared" ca="1" si="0"/>
        <v>833</v>
      </c>
      <c r="C58">
        <f t="shared" ca="1" si="1"/>
        <v>46</v>
      </c>
      <c r="D58">
        <f t="shared" ca="1" si="2"/>
        <v>0.21021730061405566</v>
      </c>
      <c r="F58" s="1">
        <f t="shared" ca="1" si="3"/>
        <v>21</v>
      </c>
      <c r="G58" s="1">
        <f t="shared" ca="1" si="4"/>
        <v>17</v>
      </c>
      <c r="H58" s="1">
        <f t="shared" ca="1" si="5"/>
        <v>4</v>
      </c>
      <c r="I58" s="1"/>
      <c r="J58" s="1">
        <f t="shared" ca="1" si="6"/>
        <v>33</v>
      </c>
      <c r="K58" s="1">
        <f t="shared" ca="1" si="7"/>
        <v>2.2912332347118767</v>
      </c>
      <c r="L58" s="1">
        <f t="shared" ca="1" si="8"/>
        <v>34</v>
      </c>
      <c r="M58" s="1"/>
      <c r="N58" s="1">
        <f t="shared" ca="1" si="9"/>
        <v>440</v>
      </c>
      <c r="O58" s="1">
        <f t="shared" ca="1" si="10"/>
        <v>6</v>
      </c>
      <c r="P58" s="1"/>
      <c r="Q58" s="1">
        <f t="shared" ca="1" si="11"/>
        <v>2.0746614040514051</v>
      </c>
      <c r="R58" s="1">
        <f t="shared" ca="1" si="12"/>
        <v>340</v>
      </c>
      <c r="S58" s="1"/>
      <c r="T58" s="1">
        <f t="shared" ca="1" si="13"/>
        <v>5.5336421919846883E-2</v>
      </c>
      <c r="U58" s="1">
        <f t="shared" ca="1" si="14"/>
        <v>336</v>
      </c>
      <c r="V58" s="1">
        <f t="shared" ca="1" si="15"/>
        <v>18</v>
      </c>
      <c r="W58" s="1"/>
      <c r="X58" s="1">
        <f t="shared" ca="1" si="16"/>
        <v>2.6520696521875995</v>
      </c>
      <c r="Y58" s="1">
        <f t="shared" ca="1" si="17"/>
        <v>0.58536341522489921</v>
      </c>
      <c r="Z58" s="1">
        <f t="shared" ca="1" si="18"/>
        <v>672</v>
      </c>
      <c r="AB58" s="1">
        <f t="shared" ca="1" si="19"/>
        <v>0.54685084049926946</v>
      </c>
      <c r="AC58" s="1">
        <f t="shared" ca="1" si="20"/>
        <v>220</v>
      </c>
      <c r="AD58" s="1">
        <f t="shared" ca="1" si="21"/>
        <v>5.4747840907735041E-3</v>
      </c>
      <c r="AE58" s="1"/>
      <c r="AF58" s="1">
        <f t="shared" ca="1" si="22"/>
        <v>0.44791529766392701</v>
      </c>
      <c r="AG58" s="1">
        <f t="shared" ca="1" si="23"/>
        <v>800</v>
      </c>
      <c r="AH58" s="1">
        <f t="shared" ca="1" si="24"/>
        <v>1.4501579706625186E-3</v>
      </c>
      <c r="AJ58" s="1">
        <f t="shared" ca="1" si="25"/>
        <v>0.17492251135226877</v>
      </c>
      <c r="AK58" s="1">
        <f t="shared" ca="1" si="26"/>
        <v>7.802226317307176E-3</v>
      </c>
      <c r="AL58" s="1"/>
      <c r="AM58" s="1">
        <f t="shared" ca="1" si="27"/>
        <v>8.9465512809281542E-2</v>
      </c>
      <c r="AN58" s="1">
        <f t="shared" ca="1" si="28"/>
        <v>60</v>
      </c>
      <c r="AO58" s="1">
        <f t="shared" ca="1" si="29"/>
        <v>6</v>
      </c>
      <c r="AQ58" s="1">
        <f t="shared" ca="1" si="30"/>
        <v>179</v>
      </c>
      <c r="AR58" s="1">
        <f t="shared" ca="1" si="31"/>
        <v>4</v>
      </c>
      <c r="AS58" s="1">
        <f t="shared" ca="1" si="32"/>
        <v>14</v>
      </c>
      <c r="AU58" s="1">
        <f t="shared" ca="1" si="33"/>
        <v>128</v>
      </c>
      <c r="AV58" s="1">
        <f t="shared" ca="1" si="34"/>
        <v>2</v>
      </c>
      <c r="AW58" s="1">
        <f t="shared" ca="1" si="35"/>
        <v>5.7534265066503429E-2</v>
      </c>
      <c r="AY58" s="1">
        <f t="shared" ca="1" si="36"/>
        <v>1.2135173343451831</v>
      </c>
      <c r="AZ58" s="1">
        <f t="shared" ca="1" si="37"/>
        <v>427</v>
      </c>
      <c r="BA58" s="1">
        <f t="shared" ca="1" si="38"/>
        <v>3.6543117355685869E-3</v>
      </c>
      <c r="BV58" s="1">
        <f t="shared" ca="1" si="39"/>
        <v>1.3667009182880465E-2</v>
      </c>
      <c r="BW58" s="1">
        <f t="shared" ca="1" si="40"/>
        <v>356</v>
      </c>
      <c r="BX58" s="1">
        <f t="shared" ca="1" si="41"/>
        <v>1.8346901815916372E-4</v>
      </c>
      <c r="BY58" s="1">
        <f t="shared" ca="1" si="42"/>
        <v>6.7843434363274303E-4</v>
      </c>
      <c r="BZ58" s="1">
        <f t="shared" ca="1" si="43"/>
        <v>0.60392653980748046</v>
      </c>
      <c r="CB58" s="1">
        <f t="shared" ca="1" si="44"/>
        <v>183</v>
      </c>
      <c r="CC58" s="1">
        <f t="shared" ca="1" si="45"/>
        <v>6</v>
      </c>
      <c r="CD58" s="1">
        <f t="shared" ca="1" si="46"/>
        <v>8.4033651697625042E-2</v>
      </c>
      <c r="CE58" s="1">
        <f t="shared" ca="1" si="62"/>
        <v>0.97070623123874644</v>
      </c>
      <c r="CF58" s="1">
        <f t="shared" ca="1" si="62"/>
        <v>0.74211799382287924</v>
      </c>
      <c r="CH58" s="3">
        <f t="shared" ca="1" si="48"/>
        <v>0.56402955643896624</v>
      </c>
      <c r="CI58" s="3">
        <f t="shared" ca="1" si="49"/>
        <v>0.86222840000631051</v>
      </c>
      <c r="CJ58" s="3">
        <f t="shared" ca="1" si="50"/>
        <v>1915</v>
      </c>
      <c r="CK58" s="3">
        <f t="shared" ca="1" si="51"/>
        <v>6.5990149397850938E-3</v>
      </c>
      <c r="CL58" s="3">
        <f t="shared" ca="1" si="52"/>
        <v>0</v>
      </c>
      <c r="CM58" s="3"/>
      <c r="CN58" s="1">
        <f t="shared" ca="1" si="53"/>
        <v>18.415819418921714</v>
      </c>
      <c r="CO58" s="1">
        <f t="shared" ca="1" si="54"/>
        <v>0.47223196178076499</v>
      </c>
      <c r="CP58" s="1">
        <f t="shared" ca="1" si="55"/>
        <v>4</v>
      </c>
      <c r="DH58" s="1">
        <f t="shared" ca="1" si="56"/>
        <v>174</v>
      </c>
      <c r="DI58" s="1">
        <f t="shared" ca="1" si="57"/>
        <v>0.88081897720625579</v>
      </c>
      <c r="DJ58" s="1">
        <f t="shared" ca="1" si="58"/>
        <v>3</v>
      </c>
      <c r="DL58" s="1">
        <f t="shared" ca="1" si="59"/>
        <v>6.1710464161416297E-2</v>
      </c>
      <c r="DM58" s="1">
        <f t="shared" ca="1" si="60"/>
        <v>73</v>
      </c>
      <c r="DN58" s="1">
        <f t="shared" ca="1" si="61"/>
        <v>3</v>
      </c>
    </row>
    <row r="59" spans="2:118" x14ac:dyDescent="0.25">
      <c r="B59">
        <f t="shared" ca="1" si="0"/>
        <v>216</v>
      </c>
      <c r="C59">
        <f t="shared" ca="1" si="1"/>
        <v>17</v>
      </c>
      <c r="D59">
        <f t="shared" ca="1" si="2"/>
        <v>0.26987114059456024</v>
      </c>
      <c r="F59" s="1">
        <f t="shared" ca="1" si="3"/>
        <v>36</v>
      </c>
      <c r="G59" s="1">
        <f t="shared" ca="1" si="4"/>
        <v>10</v>
      </c>
      <c r="H59" s="1">
        <f t="shared" ca="1" si="5"/>
        <v>1</v>
      </c>
      <c r="I59" s="1"/>
      <c r="J59" s="1">
        <f t="shared" ca="1" si="6"/>
        <v>19</v>
      </c>
      <c r="K59" s="1">
        <f t="shared" ca="1" si="7"/>
        <v>2.9253352222132092</v>
      </c>
      <c r="L59" s="1">
        <f t="shared" ca="1" si="8"/>
        <v>18</v>
      </c>
      <c r="M59" s="1"/>
      <c r="N59" s="1">
        <f t="shared" ca="1" si="9"/>
        <v>570</v>
      </c>
      <c r="O59" s="1">
        <f t="shared" ca="1" si="10"/>
        <v>16</v>
      </c>
      <c r="P59" s="1"/>
      <c r="Q59" s="1">
        <f t="shared" ca="1" si="11"/>
        <v>3.4280305448357478</v>
      </c>
      <c r="R59" s="1">
        <f t="shared" ca="1" si="12"/>
        <v>437</v>
      </c>
      <c r="S59" s="1"/>
      <c r="T59" s="1">
        <f t="shared" ca="1" si="13"/>
        <v>0.13190390785032341</v>
      </c>
      <c r="U59" s="1">
        <f t="shared" ca="1" si="14"/>
        <v>103</v>
      </c>
      <c r="V59" s="1">
        <f t="shared" ca="1" si="15"/>
        <v>48</v>
      </c>
      <c r="W59" s="1"/>
      <c r="X59" s="1">
        <f t="shared" ca="1" si="16"/>
        <v>9.8500538799648201</v>
      </c>
      <c r="Y59" s="1">
        <f t="shared" ca="1" si="17"/>
        <v>0.15471323690132752</v>
      </c>
      <c r="Z59" s="1">
        <f t="shared" ca="1" si="18"/>
        <v>370</v>
      </c>
      <c r="AB59" s="1">
        <f t="shared" ca="1" si="19"/>
        <v>9.6110905726543794E-2</v>
      </c>
      <c r="AC59" s="1">
        <f t="shared" ca="1" si="20"/>
        <v>814</v>
      </c>
      <c r="AD59" s="1">
        <f t="shared" ca="1" si="21"/>
        <v>9.4840275111978574E-3</v>
      </c>
      <c r="AE59" s="1"/>
      <c r="AF59" s="1">
        <f t="shared" ca="1" si="22"/>
        <v>0.75151275896118919</v>
      </c>
      <c r="AG59" s="1">
        <f t="shared" ca="1" si="23"/>
        <v>965</v>
      </c>
      <c r="AH59" s="1">
        <f t="shared" ca="1" si="24"/>
        <v>7.6557698576704856E-3</v>
      </c>
      <c r="AJ59" s="1">
        <f t="shared" ca="1" si="25"/>
        <v>0.87701725789635887</v>
      </c>
      <c r="AK59" s="1">
        <f t="shared" ca="1" si="26"/>
        <v>3.6228358365393422E-3</v>
      </c>
      <c r="AL59" s="1"/>
      <c r="AM59" s="1">
        <f t="shared" ca="1" si="27"/>
        <v>6.3433107791282292E-2</v>
      </c>
      <c r="AN59" s="1">
        <f t="shared" ca="1" si="28"/>
        <v>64</v>
      </c>
      <c r="AO59" s="1">
        <f t="shared" ca="1" si="29"/>
        <v>0</v>
      </c>
      <c r="AQ59" s="1">
        <f t="shared" ca="1" si="30"/>
        <v>89</v>
      </c>
      <c r="AR59" s="1">
        <f t="shared" ca="1" si="31"/>
        <v>9</v>
      </c>
      <c r="AS59" s="1">
        <f t="shared" ca="1" si="32"/>
        <v>18</v>
      </c>
      <c r="AU59" s="1">
        <f t="shared" ca="1" si="33"/>
        <v>130</v>
      </c>
      <c r="AV59" s="1">
        <f t="shared" ca="1" si="34"/>
        <v>8</v>
      </c>
      <c r="AW59" s="1">
        <f t="shared" ca="1" si="35"/>
        <v>0.15133458390818796</v>
      </c>
      <c r="AY59" s="1">
        <f t="shared" ca="1" si="36"/>
        <v>1.8953374486147914</v>
      </c>
      <c r="AZ59" s="1">
        <f t="shared" ca="1" si="37"/>
        <v>131</v>
      </c>
      <c r="BA59" s="1">
        <f t="shared" ca="1" si="38"/>
        <v>2.2469012692638702E-3</v>
      </c>
      <c r="BV59" s="1">
        <f t="shared" ca="1" si="39"/>
        <v>7.5238134019579295E-2</v>
      </c>
      <c r="BW59" s="1">
        <f t="shared" ca="1" si="40"/>
        <v>533</v>
      </c>
      <c r="BX59" s="1">
        <f t="shared" ca="1" si="41"/>
        <v>9.0162244084210901E-3</v>
      </c>
      <c r="BY59" s="1">
        <f t="shared" ca="1" si="42"/>
        <v>1.1653695002383623E-3</v>
      </c>
      <c r="BZ59" s="1">
        <f t="shared" ca="1" si="43"/>
        <v>0.75667997759869621</v>
      </c>
      <c r="CB59" s="1">
        <f t="shared" ca="1" si="44"/>
        <v>106</v>
      </c>
      <c r="CC59" s="1">
        <f t="shared" ca="1" si="45"/>
        <v>10</v>
      </c>
      <c r="CD59" s="1">
        <f t="shared" ca="1" si="46"/>
        <v>0.17679382381648079</v>
      </c>
      <c r="CE59" s="1">
        <f t="shared" ca="1" si="62"/>
        <v>0.77133262120019797</v>
      </c>
      <c r="CF59" s="1">
        <f t="shared" ca="1" si="62"/>
        <v>0.70261465900403608</v>
      </c>
      <c r="CH59" s="3">
        <f t="shared" ca="1" si="48"/>
        <v>0.11389154814409803</v>
      </c>
      <c r="CI59" s="3">
        <f t="shared" ca="1" si="49"/>
        <v>0.57416474419407826</v>
      </c>
      <c r="CJ59" s="3">
        <f t="shared" ca="1" si="50"/>
        <v>1199</v>
      </c>
      <c r="CK59" s="3">
        <f t="shared" ca="1" si="51"/>
        <v>7.2269720423515258E-3</v>
      </c>
      <c r="CL59" s="3">
        <f t="shared" ca="1" si="52"/>
        <v>0</v>
      </c>
      <c r="CM59" s="3"/>
      <c r="CN59" s="1">
        <f t="shared" ca="1" si="53"/>
        <v>14.002534368012745</v>
      </c>
      <c r="CO59" s="1">
        <f t="shared" ca="1" si="54"/>
        <v>0.46653753417477972</v>
      </c>
      <c r="CP59" s="1">
        <f t="shared" ca="1" si="55"/>
        <v>5</v>
      </c>
      <c r="DH59" s="1">
        <f t="shared" ca="1" si="56"/>
        <v>895</v>
      </c>
      <c r="DI59" s="1">
        <f t="shared" ca="1" si="57"/>
        <v>0.16886627037104518</v>
      </c>
      <c r="DJ59" s="1">
        <f t="shared" ca="1" si="58"/>
        <v>19</v>
      </c>
      <c r="DL59" s="1">
        <f t="shared" ca="1" si="59"/>
        <v>5.2815114951058298E-2</v>
      </c>
      <c r="DM59" s="1">
        <f t="shared" ca="1" si="60"/>
        <v>250</v>
      </c>
      <c r="DN59" s="1">
        <f t="shared" ca="1" si="61"/>
        <v>6</v>
      </c>
    </row>
    <row r="60" spans="2:118" x14ac:dyDescent="0.25">
      <c r="B60">
        <f t="shared" ca="1" si="0"/>
        <v>482</v>
      </c>
      <c r="C60">
        <f t="shared" ca="1" si="1"/>
        <v>48</v>
      </c>
      <c r="D60">
        <f t="shared" ca="1" si="2"/>
        <v>0.26522246667080218</v>
      </c>
      <c r="F60" s="1">
        <f t="shared" ca="1" si="3"/>
        <v>40</v>
      </c>
      <c r="G60" s="1">
        <f t="shared" ca="1" si="4"/>
        <v>11</v>
      </c>
      <c r="H60" s="1">
        <f t="shared" ca="1" si="5"/>
        <v>11</v>
      </c>
      <c r="I60" s="1"/>
      <c r="J60" s="1">
        <f t="shared" ca="1" si="6"/>
        <v>35</v>
      </c>
      <c r="K60" s="1">
        <f t="shared" ca="1" si="7"/>
        <v>1.171041500162735</v>
      </c>
      <c r="L60" s="1">
        <f t="shared" ca="1" si="8"/>
        <v>13</v>
      </c>
      <c r="M60" s="1"/>
      <c r="N60" s="1">
        <f t="shared" ca="1" si="9"/>
        <v>103</v>
      </c>
      <c r="O60" s="1">
        <f t="shared" ca="1" si="10"/>
        <v>50</v>
      </c>
      <c r="P60" s="1"/>
      <c r="Q60" s="1">
        <f t="shared" ca="1" si="11"/>
        <v>0.82522984220073947</v>
      </c>
      <c r="R60" s="1">
        <f t="shared" ca="1" si="12"/>
        <v>910</v>
      </c>
      <c r="S60" s="1"/>
      <c r="T60" s="1">
        <f t="shared" ca="1" si="13"/>
        <v>0.19737248629372717</v>
      </c>
      <c r="U60" s="1">
        <f t="shared" ca="1" si="14"/>
        <v>150</v>
      </c>
      <c r="V60" s="1">
        <f t="shared" ca="1" si="15"/>
        <v>44</v>
      </c>
      <c r="W60" s="1"/>
      <c r="X60" s="1">
        <f t="shared" ca="1" si="16"/>
        <v>6.2496746722720982</v>
      </c>
      <c r="Y60" s="1">
        <f t="shared" ca="1" si="17"/>
        <v>0.85152752710230317</v>
      </c>
      <c r="Z60" s="1">
        <f t="shared" ca="1" si="18"/>
        <v>1749</v>
      </c>
      <c r="AB60" s="1">
        <f t="shared" ca="1" si="19"/>
        <v>0.2483175922004611</v>
      </c>
      <c r="AC60" s="1">
        <f t="shared" ca="1" si="20"/>
        <v>797</v>
      </c>
      <c r="AD60" s="1">
        <f t="shared" ca="1" si="21"/>
        <v>2.2313923845304461E-3</v>
      </c>
      <c r="AE60" s="1"/>
      <c r="AF60" s="1">
        <f t="shared" ca="1" si="22"/>
        <v>0.45450593902860903</v>
      </c>
      <c r="AG60" s="1">
        <f t="shared" ca="1" si="23"/>
        <v>947</v>
      </c>
      <c r="AH60" s="1">
        <f t="shared" ca="1" si="24"/>
        <v>6.3913601742876221E-3</v>
      </c>
      <c r="AJ60" s="1">
        <f t="shared" ca="1" si="25"/>
        <v>0.45981507234050834</v>
      </c>
      <c r="AK60" s="1">
        <f t="shared" ca="1" si="26"/>
        <v>3.5127419233813564E-3</v>
      </c>
      <c r="AL60" s="1"/>
      <c r="AM60" s="1">
        <f t="shared" ca="1" si="27"/>
        <v>0.15486826636661549</v>
      </c>
      <c r="AN60" s="1">
        <f t="shared" ca="1" si="28"/>
        <v>36</v>
      </c>
      <c r="AO60" s="1">
        <f t="shared" ca="1" si="29"/>
        <v>13</v>
      </c>
      <c r="AQ60" s="1">
        <f t="shared" ca="1" si="30"/>
        <v>66</v>
      </c>
      <c r="AR60" s="1">
        <f t="shared" ca="1" si="31"/>
        <v>3</v>
      </c>
      <c r="AS60" s="1">
        <f t="shared" ca="1" si="32"/>
        <v>26</v>
      </c>
      <c r="AU60" s="1">
        <f t="shared" ca="1" si="33"/>
        <v>272</v>
      </c>
      <c r="AV60" s="1">
        <f t="shared" ca="1" si="34"/>
        <v>2</v>
      </c>
      <c r="AW60" s="1">
        <f t="shared" ca="1" si="35"/>
        <v>0.18499002885558666</v>
      </c>
      <c r="AY60" s="1">
        <f t="shared" ca="1" si="36"/>
        <v>1.8778988720233416</v>
      </c>
      <c r="AZ60" s="1">
        <f t="shared" ca="1" si="37"/>
        <v>79</v>
      </c>
      <c r="BA60" s="1">
        <f t="shared" ca="1" si="38"/>
        <v>5.035154279470504E-3</v>
      </c>
      <c r="BV60" s="1">
        <f t="shared" ca="1" si="39"/>
        <v>0.79845403986098618</v>
      </c>
      <c r="BW60" s="1">
        <f t="shared" ca="1" si="40"/>
        <v>642</v>
      </c>
      <c r="BX60" s="1">
        <f t="shared" ca="1" si="41"/>
        <v>2.3552031492638094E-3</v>
      </c>
      <c r="BY60" s="1">
        <f t="shared" ca="1" si="42"/>
        <v>8.8132470233279234E-2</v>
      </c>
      <c r="BZ60" s="1">
        <f t="shared" ca="1" si="43"/>
        <v>0.6107697041936444</v>
      </c>
      <c r="CB60" s="1">
        <f t="shared" ca="1" si="44"/>
        <v>425</v>
      </c>
      <c r="CC60" s="1">
        <f t="shared" ca="1" si="45"/>
        <v>15</v>
      </c>
      <c r="CD60" s="1">
        <f t="shared" ca="1" si="46"/>
        <v>0.21757577608487902</v>
      </c>
      <c r="CE60" s="1">
        <f t="shared" ca="1" si="62"/>
        <v>0.81753952302371058</v>
      </c>
      <c r="CF60" s="1">
        <f t="shared" ca="1" si="62"/>
        <v>0.89685496508332685</v>
      </c>
      <c r="CH60" s="3">
        <f t="shared" ca="1" si="48"/>
        <v>0.46493960006926027</v>
      </c>
      <c r="CI60" s="3">
        <f t="shared" ca="1" si="49"/>
        <v>0.74102049404745041</v>
      </c>
      <c r="CJ60" s="3">
        <f t="shared" ca="1" si="50"/>
        <v>1444</v>
      </c>
      <c r="CK60" s="3">
        <f t="shared" ca="1" si="51"/>
        <v>4.9219927742863104E-3</v>
      </c>
      <c r="CL60" s="3">
        <f t="shared" ca="1" si="52"/>
        <v>0</v>
      </c>
      <c r="CM60" s="3"/>
      <c r="CN60" s="1">
        <f t="shared" ca="1" si="53"/>
        <v>1.808823904084512</v>
      </c>
      <c r="CO60" s="1">
        <f t="shared" ca="1" si="54"/>
        <v>0.37885088291464764</v>
      </c>
      <c r="CP60" s="1">
        <f t="shared" ca="1" si="55"/>
        <v>5</v>
      </c>
      <c r="DH60" s="1">
        <f t="shared" ca="1" si="56"/>
        <v>11</v>
      </c>
      <c r="DI60" s="1">
        <f t="shared" ca="1" si="57"/>
        <v>0.7044906884389337</v>
      </c>
      <c r="DJ60" s="1">
        <f t="shared" ca="1" si="58"/>
        <v>28</v>
      </c>
      <c r="DL60" s="1">
        <f t="shared" ca="1" si="59"/>
        <v>5.3235075732609362E-2</v>
      </c>
      <c r="DM60" s="1">
        <f t="shared" ca="1" si="60"/>
        <v>230</v>
      </c>
      <c r="DN60" s="1">
        <f t="shared" ca="1" si="61"/>
        <v>2</v>
      </c>
    </row>
    <row r="61" spans="2:118" x14ac:dyDescent="0.25">
      <c r="B61">
        <f t="shared" ca="1" si="0"/>
        <v>766</v>
      </c>
      <c r="C61">
        <f t="shared" ca="1" si="1"/>
        <v>35</v>
      </c>
      <c r="D61">
        <f t="shared" ca="1" si="2"/>
        <v>0.22636985367171505</v>
      </c>
      <c r="F61" s="1">
        <f t="shared" ca="1" si="3"/>
        <v>42</v>
      </c>
      <c r="G61" s="1">
        <f t="shared" ca="1" si="4"/>
        <v>30</v>
      </c>
      <c r="H61" s="1">
        <f t="shared" ca="1" si="5"/>
        <v>13</v>
      </c>
      <c r="I61" s="1"/>
      <c r="J61" s="1">
        <f t="shared" ca="1" si="6"/>
        <v>11</v>
      </c>
      <c r="K61" s="1">
        <f t="shared" ca="1" si="7"/>
        <v>1.561109922436057</v>
      </c>
      <c r="L61" s="1">
        <f t="shared" ca="1" si="8"/>
        <v>29</v>
      </c>
      <c r="M61" s="1"/>
      <c r="N61" s="1">
        <f t="shared" ca="1" si="9"/>
        <v>525</v>
      </c>
      <c r="O61" s="1">
        <f t="shared" ca="1" si="10"/>
        <v>31</v>
      </c>
      <c r="P61" s="1"/>
      <c r="Q61" s="1">
        <f t="shared" ca="1" si="11"/>
        <v>2.75889448420235</v>
      </c>
      <c r="R61" s="1">
        <f t="shared" ca="1" si="12"/>
        <v>851</v>
      </c>
      <c r="S61" s="1"/>
      <c r="T61" s="1">
        <f t="shared" ca="1" si="13"/>
        <v>5.0596495472873579E-2</v>
      </c>
      <c r="U61" s="1">
        <f t="shared" ca="1" si="14"/>
        <v>109</v>
      </c>
      <c r="V61" s="1">
        <f t="shared" ca="1" si="15"/>
        <v>37</v>
      </c>
      <c r="W61" s="1"/>
      <c r="X61" s="1">
        <f t="shared" ca="1" si="16"/>
        <v>2.5954259053542272</v>
      </c>
      <c r="Y61" s="1">
        <f t="shared" ca="1" si="17"/>
        <v>0.65966901784117282</v>
      </c>
      <c r="Z61" s="1">
        <f t="shared" ca="1" si="18"/>
        <v>963</v>
      </c>
      <c r="AB61" s="1">
        <f t="shared" ca="1" si="19"/>
        <v>0.82981865277003042</v>
      </c>
      <c r="AC61" s="1">
        <f t="shared" ca="1" si="20"/>
        <v>950</v>
      </c>
      <c r="AD61" s="1">
        <f t="shared" ca="1" si="21"/>
        <v>3.4948742565064734E-3</v>
      </c>
      <c r="AE61" s="1"/>
      <c r="AF61" s="1">
        <f t="shared" ca="1" si="22"/>
        <v>0.73385495668731149</v>
      </c>
      <c r="AG61" s="1">
        <f t="shared" ca="1" si="23"/>
        <v>209</v>
      </c>
      <c r="AH61" s="1">
        <f t="shared" ca="1" si="24"/>
        <v>7.0987348112384972E-3</v>
      </c>
      <c r="AJ61" s="1">
        <f t="shared" ca="1" si="25"/>
        <v>0.17259371308071436</v>
      </c>
      <c r="AK61" s="1">
        <f t="shared" ca="1" si="26"/>
        <v>9.9028726934452891E-3</v>
      </c>
      <c r="AL61" s="1"/>
      <c r="AM61" s="1">
        <f t="shared" ca="1" si="27"/>
        <v>1.464639203885737E-2</v>
      </c>
      <c r="AN61" s="1">
        <f t="shared" ca="1" si="28"/>
        <v>36</v>
      </c>
      <c r="AO61" s="1">
        <f t="shared" ca="1" si="29"/>
        <v>4</v>
      </c>
      <c r="AQ61" s="1">
        <f t="shared" ca="1" si="30"/>
        <v>191</v>
      </c>
      <c r="AR61" s="1">
        <f t="shared" ca="1" si="31"/>
        <v>1</v>
      </c>
      <c r="AS61" s="1">
        <f t="shared" ca="1" si="32"/>
        <v>63</v>
      </c>
      <c r="AU61" s="1">
        <f t="shared" ca="1" si="33"/>
        <v>94</v>
      </c>
      <c r="AV61" s="1">
        <f t="shared" ca="1" si="34"/>
        <v>2</v>
      </c>
      <c r="AW61" s="1">
        <f t="shared" ca="1" si="35"/>
        <v>2.1151322612145335E-2</v>
      </c>
      <c r="AY61" s="1">
        <f t="shared" ca="1" si="36"/>
        <v>1.2509673044258625</v>
      </c>
      <c r="AZ61" s="1">
        <f t="shared" ca="1" si="37"/>
        <v>191</v>
      </c>
      <c r="BA61" s="1">
        <f t="shared" ca="1" si="38"/>
        <v>9.0645923448437193E-3</v>
      </c>
      <c r="BV61" s="1">
        <f t="shared" ca="1" si="39"/>
        <v>1.9746503049075353E-2</v>
      </c>
      <c r="BW61" s="1">
        <f t="shared" ca="1" si="40"/>
        <v>918</v>
      </c>
      <c r="BX61" s="1">
        <f t="shared" ca="1" si="41"/>
        <v>5.9275263372248149E-4</v>
      </c>
      <c r="BY61" s="1">
        <f t="shared" ca="1" si="42"/>
        <v>6.6217115566646695E-2</v>
      </c>
      <c r="BZ61" s="1">
        <f t="shared" ca="1" si="43"/>
        <v>0.98254524582195202</v>
      </c>
      <c r="CB61" s="1">
        <f t="shared" ca="1" si="44"/>
        <v>78</v>
      </c>
      <c r="CC61" s="1">
        <f t="shared" ca="1" si="45"/>
        <v>9</v>
      </c>
      <c r="CD61" s="1">
        <f t="shared" ca="1" si="46"/>
        <v>7.9312600286676818E-2</v>
      </c>
      <c r="CE61" s="1">
        <f t="shared" ca="1" si="62"/>
        <v>0.72285523004201546</v>
      </c>
      <c r="CF61" s="1">
        <f t="shared" ca="1" si="62"/>
        <v>0.79641267539443994</v>
      </c>
      <c r="CH61" s="3">
        <f t="shared" ca="1" si="48"/>
        <v>0.37012190484135987</v>
      </c>
      <c r="CI61" s="3">
        <f t="shared" ca="1" si="49"/>
        <v>0.26754602488021284</v>
      </c>
      <c r="CJ61" s="3">
        <f t="shared" ca="1" si="50"/>
        <v>103</v>
      </c>
      <c r="CK61" s="3">
        <f t="shared" ca="1" si="51"/>
        <v>4.2304797717932279E-3</v>
      </c>
      <c r="CL61" s="3">
        <f t="shared" ca="1" si="52"/>
        <v>0</v>
      </c>
      <c r="CM61" s="3"/>
      <c r="CN61" s="1">
        <f t="shared" ca="1" si="53"/>
        <v>10.015181418989849</v>
      </c>
      <c r="CO61" s="1">
        <f t="shared" ca="1" si="54"/>
        <v>0.26472207744939358</v>
      </c>
      <c r="CP61" s="1">
        <f t="shared" ca="1" si="55"/>
        <v>1</v>
      </c>
      <c r="DH61" s="1">
        <f t="shared" ca="1" si="56"/>
        <v>698</v>
      </c>
      <c r="DI61" s="1">
        <f t="shared" ca="1" si="57"/>
        <v>0.14285251759871131</v>
      </c>
      <c r="DJ61" s="1">
        <f t="shared" ca="1" si="58"/>
        <v>10</v>
      </c>
      <c r="DL61" s="1">
        <f t="shared" ca="1" si="59"/>
        <v>0.12397442839671489</v>
      </c>
      <c r="DM61" s="1">
        <f t="shared" ca="1" si="60"/>
        <v>160</v>
      </c>
      <c r="DN61" s="1">
        <f t="shared" ca="1" si="61"/>
        <v>3</v>
      </c>
    </row>
    <row r="62" spans="2:118" x14ac:dyDescent="0.25">
      <c r="B62">
        <f t="shared" ca="1" si="0"/>
        <v>540</v>
      </c>
      <c r="C62">
        <f t="shared" ca="1" si="1"/>
        <v>14</v>
      </c>
      <c r="D62">
        <f t="shared" ca="1" si="2"/>
        <v>4.065181362449035E-2</v>
      </c>
      <c r="F62" s="1">
        <f t="shared" ca="1" si="3"/>
        <v>30</v>
      </c>
      <c r="G62" s="1">
        <f t="shared" ca="1" si="4"/>
        <v>28</v>
      </c>
      <c r="H62" s="1">
        <f t="shared" ca="1" si="5"/>
        <v>13</v>
      </c>
      <c r="I62" s="1"/>
      <c r="J62" s="1">
        <f t="shared" ca="1" si="6"/>
        <v>16</v>
      </c>
      <c r="K62" s="1">
        <f t="shared" ca="1" si="7"/>
        <v>1.4468121335121344</v>
      </c>
      <c r="L62" s="1">
        <f t="shared" ca="1" si="8"/>
        <v>32</v>
      </c>
      <c r="M62" s="1"/>
      <c r="N62" s="1">
        <f t="shared" ca="1" si="9"/>
        <v>938</v>
      </c>
      <c r="O62" s="1">
        <f t="shared" ca="1" si="10"/>
        <v>19</v>
      </c>
      <c r="P62" s="1"/>
      <c r="Q62" s="1">
        <f t="shared" ca="1" si="11"/>
        <v>2.3855310423654936</v>
      </c>
      <c r="R62" s="1">
        <f t="shared" ca="1" si="12"/>
        <v>974</v>
      </c>
      <c r="S62" s="1"/>
      <c r="T62" s="1">
        <f t="shared" ca="1" si="13"/>
        <v>3.4366443583432695E-2</v>
      </c>
      <c r="U62" s="1">
        <f t="shared" ca="1" si="14"/>
        <v>261</v>
      </c>
      <c r="V62" s="1">
        <f t="shared" ca="1" si="15"/>
        <v>12</v>
      </c>
      <c r="W62" s="1"/>
      <c r="X62" s="1">
        <f t="shared" ca="1" si="16"/>
        <v>4.6204971971232167</v>
      </c>
      <c r="Y62" s="1">
        <f t="shared" ca="1" si="17"/>
        <v>0.62070657584720457</v>
      </c>
      <c r="Z62" s="1">
        <f t="shared" ca="1" si="18"/>
        <v>596</v>
      </c>
      <c r="AB62" s="1">
        <f t="shared" ca="1" si="19"/>
        <v>0.87766387363912324</v>
      </c>
      <c r="AC62" s="1">
        <f t="shared" ca="1" si="20"/>
        <v>514</v>
      </c>
      <c r="AD62" s="1">
        <f t="shared" ca="1" si="21"/>
        <v>2.2312029973596634E-3</v>
      </c>
      <c r="AE62" s="1"/>
      <c r="AF62" s="1">
        <f t="shared" ca="1" si="22"/>
        <v>0.15631748429495362</v>
      </c>
      <c r="AG62" s="1">
        <f t="shared" ca="1" si="23"/>
        <v>838</v>
      </c>
      <c r="AH62" s="1">
        <f t="shared" ca="1" si="24"/>
        <v>8.0665249757270411E-3</v>
      </c>
      <c r="AJ62" s="1">
        <f t="shared" ca="1" si="25"/>
        <v>0.38289542808686994</v>
      </c>
      <c r="AK62" s="1">
        <f t="shared" ca="1" si="26"/>
        <v>4.0056779711305709E-3</v>
      </c>
      <c r="AL62" s="1"/>
      <c r="AM62" s="1">
        <f t="shared" ca="1" si="27"/>
        <v>2.9983784680299014E-2</v>
      </c>
      <c r="AN62" s="1">
        <f t="shared" ca="1" si="28"/>
        <v>19</v>
      </c>
      <c r="AO62" s="1">
        <f t="shared" ca="1" si="29"/>
        <v>12</v>
      </c>
      <c r="AQ62" s="1">
        <f t="shared" ca="1" si="30"/>
        <v>77</v>
      </c>
      <c r="AR62" s="1">
        <f t="shared" ca="1" si="31"/>
        <v>8</v>
      </c>
      <c r="AS62" s="1">
        <f t="shared" ca="1" si="32"/>
        <v>78</v>
      </c>
      <c r="AU62" s="1">
        <f t="shared" ca="1" si="33"/>
        <v>221</v>
      </c>
      <c r="AV62" s="1">
        <f t="shared" ca="1" si="34"/>
        <v>4</v>
      </c>
      <c r="AW62" s="1">
        <f t="shared" ca="1" si="35"/>
        <v>0.13967833585202874</v>
      </c>
      <c r="AY62" s="1">
        <f t="shared" ca="1" si="36"/>
        <v>1.5415020077119537</v>
      </c>
      <c r="AZ62" s="1">
        <f t="shared" ca="1" si="37"/>
        <v>350</v>
      </c>
      <c r="BA62" s="1">
        <f t="shared" ca="1" si="38"/>
        <v>4.3184342381114953E-3</v>
      </c>
      <c r="BV62" s="1">
        <f t="shared" ca="1" si="39"/>
        <v>0.21105911901313035</v>
      </c>
      <c r="BW62" s="1">
        <f t="shared" ca="1" si="40"/>
        <v>566</v>
      </c>
      <c r="BX62" s="1">
        <f t="shared" ca="1" si="41"/>
        <v>4.9775443116469665E-3</v>
      </c>
      <c r="BY62" s="1">
        <f t="shared" ca="1" si="42"/>
        <v>3.8490508395095067E-2</v>
      </c>
      <c r="BZ62" s="1">
        <f t="shared" ca="1" si="43"/>
        <v>0.48967575583660161</v>
      </c>
      <c r="CB62" s="1">
        <f t="shared" ca="1" si="44"/>
        <v>99</v>
      </c>
      <c r="CC62" s="1">
        <f t="shared" ca="1" si="45"/>
        <v>10</v>
      </c>
      <c r="CD62" s="1">
        <f t="shared" ca="1" si="46"/>
        <v>7.2144458620923793E-2</v>
      </c>
      <c r="CE62" s="1">
        <f t="shared" ca="1" si="62"/>
        <v>0.98805233013532756</v>
      </c>
      <c r="CF62" s="1">
        <f t="shared" ca="1" si="62"/>
        <v>0.65630838896403343</v>
      </c>
      <c r="CH62" s="3">
        <f t="shared" ca="1" si="48"/>
        <v>0.11677683668249814</v>
      </c>
      <c r="CI62" s="3">
        <f t="shared" ca="1" si="49"/>
        <v>0.91521012522019696</v>
      </c>
      <c r="CJ62" s="3">
        <f t="shared" ca="1" si="50"/>
        <v>1774</v>
      </c>
      <c r="CK62" s="3">
        <f t="shared" ca="1" si="51"/>
        <v>3.6306210129967461E-3</v>
      </c>
      <c r="CL62" s="3">
        <f t="shared" ca="1" si="52"/>
        <v>0</v>
      </c>
      <c r="CM62" s="3"/>
      <c r="CN62" s="1">
        <f t="shared" ca="1" si="53"/>
        <v>18.493563755326434</v>
      </c>
      <c r="CO62" s="1">
        <f t="shared" ca="1" si="54"/>
        <v>7.474149728202221E-3</v>
      </c>
      <c r="CP62" s="1">
        <f t="shared" ca="1" si="55"/>
        <v>5</v>
      </c>
      <c r="DH62" s="1">
        <f t="shared" ca="1" si="56"/>
        <v>579</v>
      </c>
      <c r="DI62" s="1">
        <f t="shared" ca="1" si="57"/>
        <v>8.042708728626255E-2</v>
      </c>
      <c r="DJ62" s="1">
        <f t="shared" ca="1" si="58"/>
        <v>24</v>
      </c>
      <c r="DL62" s="1">
        <f t="shared" ca="1" si="59"/>
        <v>9.8873033798767967E-2</v>
      </c>
      <c r="DM62" s="1">
        <f t="shared" ca="1" si="60"/>
        <v>60</v>
      </c>
      <c r="DN62" s="1">
        <f t="shared" ca="1" si="61"/>
        <v>7</v>
      </c>
    </row>
    <row r="63" spans="2:118" x14ac:dyDescent="0.25">
      <c r="B63">
        <f t="shared" ca="1" si="0"/>
        <v>28</v>
      </c>
      <c r="C63">
        <f t="shared" ca="1" si="1"/>
        <v>48</v>
      </c>
      <c r="D63">
        <f t="shared" ca="1" si="2"/>
        <v>8.310947662270031E-2</v>
      </c>
      <c r="F63" s="1">
        <f t="shared" ca="1" si="3"/>
        <v>30</v>
      </c>
      <c r="G63" s="1">
        <f t="shared" ca="1" si="4"/>
        <v>2</v>
      </c>
      <c r="H63" s="1">
        <f t="shared" ca="1" si="5"/>
        <v>9</v>
      </c>
      <c r="I63" s="1"/>
      <c r="J63" s="1">
        <f t="shared" ca="1" si="6"/>
        <v>18</v>
      </c>
      <c r="K63" s="1">
        <f t="shared" ca="1" si="7"/>
        <v>1.1560047357344825</v>
      </c>
      <c r="L63" s="1">
        <f t="shared" ca="1" si="8"/>
        <v>2</v>
      </c>
      <c r="M63" s="1"/>
      <c r="N63" s="1">
        <f t="shared" ca="1" si="9"/>
        <v>128</v>
      </c>
      <c r="O63" s="1">
        <f t="shared" ca="1" si="10"/>
        <v>9</v>
      </c>
      <c r="P63" s="1"/>
      <c r="Q63" s="1">
        <f t="shared" ca="1" si="11"/>
        <v>4.9901969601894107</v>
      </c>
      <c r="R63" s="1">
        <f t="shared" ca="1" si="12"/>
        <v>1199</v>
      </c>
      <c r="S63" s="1"/>
      <c r="T63" s="1">
        <f t="shared" ca="1" si="13"/>
        <v>4.4183718746869341E-2</v>
      </c>
      <c r="U63" s="1">
        <f t="shared" ca="1" si="14"/>
        <v>214</v>
      </c>
      <c r="V63" s="1">
        <f t="shared" ca="1" si="15"/>
        <v>49</v>
      </c>
      <c r="W63" s="1"/>
      <c r="X63" s="1">
        <f t="shared" ca="1" si="16"/>
        <v>3.6901118530603005</v>
      </c>
      <c r="Y63" s="1">
        <f t="shared" ca="1" si="17"/>
        <v>0.4197746765421001</v>
      </c>
      <c r="Z63" s="1">
        <f t="shared" ca="1" si="18"/>
        <v>1246</v>
      </c>
      <c r="AB63" s="1">
        <f t="shared" ca="1" si="19"/>
        <v>0.99493644165106254</v>
      </c>
      <c r="AC63" s="1">
        <f t="shared" ca="1" si="20"/>
        <v>886</v>
      </c>
      <c r="AD63" s="1">
        <f t="shared" ca="1" si="21"/>
        <v>6.9969069640071612E-3</v>
      </c>
      <c r="AE63" s="1"/>
      <c r="AF63" s="1">
        <f t="shared" ca="1" si="22"/>
        <v>0.27171647982800817</v>
      </c>
      <c r="AG63" s="1">
        <f t="shared" ca="1" si="23"/>
        <v>452</v>
      </c>
      <c r="AH63" s="1">
        <f t="shared" ca="1" si="24"/>
        <v>1.3377344314237612E-3</v>
      </c>
      <c r="AJ63" s="1">
        <f t="shared" ca="1" si="25"/>
        <v>0.81602843281784987</v>
      </c>
      <c r="AK63" s="1">
        <f t="shared" ca="1" si="26"/>
        <v>9.2642022824636306E-4</v>
      </c>
      <c r="AL63" s="1"/>
      <c r="AM63" s="1">
        <f t="shared" ca="1" si="27"/>
        <v>0.196854693312627</v>
      </c>
      <c r="AN63" s="1">
        <f t="shared" ca="1" si="28"/>
        <v>18</v>
      </c>
      <c r="AO63" s="1">
        <f t="shared" ca="1" si="29"/>
        <v>16</v>
      </c>
      <c r="AQ63" s="1">
        <f t="shared" ca="1" si="30"/>
        <v>46</v>
      </c>
      <c r="AR63" s="1">
        <f t="shared" ca="1" si="31"/>
        <v>4</v>
      </c>
      <c r="AS63" s="1">
        <f t="shared" ca="1" si="32"/>
        <v>72</v>
      </c>
      <c r="AU63" s="1">
        <f t="shared" ca="1" si="33"/>
        <v>328</v>
      </c>
      <c r="AV63" s="1">
        <f t="shared" ca="1" si="34"/>
        <v>10</v>
      </c>
      <c r="AW63" s="1">
        <f t="shared" ca="1" si="35"/>
        <v>7.3064985507423158E-2</v>
      </c>
      <c r="AY63" s="1">
        <f t="shared" ca="1" si="36"/>
        <v>1.596935137223884</v>
      </c>
      <c r="AZ63" s="1">
        <f t="shared" ca="1" si="37"/>
        <v>405</v>
      </c>
      <c r="BA63" s="1">
        <f t="shared" ca="1" si="38"/>
        <v>4.7853153348853305E-3</v>
      </c>
      <c r="BV63" s="1">
        <f t="shared" ca="1" si="39"/>
        <v>0.15403612487475793</v>
      </c>
      <c r="BW63" s="1">
        <f t="shared" ca="1" si="40"/>
        <v>619</v>
      </c>
      <c r="BX63" s="1">
        <f t="shared" ca="1" si="41"/>
        <v>9.2194870991202523E-4</v>
      </c>
      <c r="BY63" s="1">
        <f t="shared" ca="1" si="42"/>
        <v>9.8378675796837095E-2</v>
      </c>
      <c r="BZ63" s="1">
        <f t="shared" ca="1" si="43"/>
        <v>0.85320654918960037</v>
      </c>
      <c r="CB63" s="1">
        <f t="shared" ca="1" si="44"/>
        <v>113</v>
      </c>
      <c r="CC63" s="1">
        <f t="shared" ca="1" si="45"/>
        <v>12</v>
      </c>
      <c r="CD63" s="1">
        <f t="shared" ca="1" si="46"/>
        <v>2.9288871615947891E-2</v>
      </c>
      <c r="CE63" s="1">
        <f t="shared" ca="1" si="62"/>
        <v>0.94613740580155459</v>
      </c>
      <c r="CF63" s="1">
        <f t="shared" ca="1" si="62"/>
        <v>0.6642722079825365</v>
      </c>
      <c r="CH63" s="3">
        <f t="shared" ca="1" si="48"/>
        <v>0.68641657414251978</v>
      </c>
      <c r="CI63" s="3">
        <f t="shared" ca="1" si="49"/>
        <v>0.66841746343529485</v>
      </c>
      <c r="CJ63" s="3">
        <f t="shared" ca="1" si="50"/>
        <v>1660</v>
      </c>
      <c r="CK63" s="3">
        <f t="shared" ca="1" si="51"/>
        <v>4.6063686832302541E-3</v>
      </c>
      <c r="CL63" s="3">
        <f t="shared" ca="1" si="52"/>
        <v>0</v>
      </c>
      <c r="CM63" s="3"/>
      <c r="CN63" s="1">
        <f t="shared" ca="1" si="53"/>
        <v>18.097235384298841</v>
      </c>
      <c r="CO63" s="1">
        <f t="shared" ca="1" si="54"/>
        <v>0.14773385675338488</v>
      </c>
      <c r="CP63" s="1">
        <f t="shared" ca="1" si="55"/>
        <v>3</v>
      </c>
      <c r="DH63" s="1">
        <f t="shared" ca="1" si="56"/>
        <v>216</v>
      </c>
      <c r="DI63" s="1">
        <f t="shared" ca="1" si="57"/>
        <v>0.2839047053623594</v>
      </c>
      <c r="DJ63" s="1">
        <f t="shared" ca="1" si="58"/>
        <v>2</v>
      </c>
      <c r="DL63" s="1">
        <f t="shared" ca="1" si="59"/>
        <v>0.11786452424427876</v>
      </c>
      <c r="DM63" s="1">
        <f t="shared" ca="1" si="60"/>
        <v>95</v>
      </c>
      <c r="DN63" s="1">
        <f t="shared" ca="1" si="61"/>
        <v>4</v>
      </c>
    </row>
    <row r="64" spans="2:118" x14ac:dyDescent="0.25">
      <c r="B64">
        <f t="shared" ca="1" si="0"/>
        <v>138</v>
      </c>
      <c r="C64">
        <f t="shared" ca="1" si="1"/>
        <v>42</v>
      </c>
      <c r="D64">
        <f t="shared" ca="1" si="2"/>
        <v>0.26045455702775927</v>
      </c>
      <c r="F64" s="1">
        <f t="shared" ca="1" si="3"/>
        <v>23</v>
      </c>
      <c r="G64" s="1">
        <f t="shared" ca="1" si="4"/>
        <v>24</v>
      </c>
      <c r="H64" s="1">
        <f t="shared" ca="1" si="5"/>
        <v>11</v>
      </c>
      <c r="I64" s="1"/>
      <c r="J64" s="1">
        <f t="shared" ca="1" si="6"/>
        <v>34</v>
      </c>
      <c r="K64" s="1">
        <f t="shared" ca="1" si="7"/>
        <v>1.728329984481296</v>
      </c>
      <c r="L64" s="1">
        <f t="shared" ca="1" si="8"/>
        <v>7</v>
      </c>
      <c r="M64" s="1"/>
      <c r="N64" s="1">
        <f t="shared" ca="1" si="9"/>
        <v>535</v>
      </c>
      <c r="O64" s="1">
        <f t="shared" ca="1" si="10"/>
        <v>9</v>
      </c>
      <c r="P64" s="1"/>
      <c r="Q64" s="1">
        <f t="shared" ca="1" si="11"/>
        <v>4.0264572017868678</v>
      </c>
      <c r="R64" s="1">
        <f t="shared" ca="1" si="12"/>
        <v>420</v>
      </c>
      <c r="S64" s="1"/>
      <c r="T64" s="1">
        <f t="shared" ca="1" si="13"/>
        <v>2.8852104302801898E-2</v>
      </c>
      <c r="U64" s="1">
        <f t="shared" ca="1" si="14"/>
        <v>391</v>
      </c>
      <c r="V64" s="1">
        <f t="shared" ca="1" si="15"/>
        <v>10</v>
      </c>
      <c r="W64" s="1"/>
      <c r="X64" s="1">
        <f t="shared" ca="1" si="16"/>
        <v>6.0316552152065759</v>
      </c>
      <c r="Y64" s="1">
        <f t="shared" ca="1" si="17"/>
        <v>0.70999733799105413</v>
      </c>
      <c r="Z64" s="1">
        <f t="shared" ca="1" si="18"/>
        <v>472</v>
      </c>
      <c r="AB64" s="1">
        <f t="shared" ca="1" si="19"/>
        <v>0.43288381049680813</v>
      </c>
      <c r="AC64" s="1">
        <f t="shared" ca="1" si="20"/>
        <v>215</v>
      </c>
      <c r="AD64" s="1">
        <f t="shared" ca="1" si="21"/>
        <v>5.0280656340520862E-4</v>
      </c>
      <c r="AE64" s="1"/>
      <c r="AF64" s="1">
        <f t="shared" ca="1" si="22"/>
        <v>0.70320569881310557</v>
      </c>
      <c r="AG64" s="1">
        <f t="shared" ca="1" si="23"/>
        <v>432</v>
      </c>
      <c r="AH64" s="1">
        <f t="shared" ca="1" si="24"/>
        <v>5.6349650176407183E-3</v>
      </c>
      <c r="AJ64" s="1">
        <f t="shared" ca="1" si="25"/>
        <v>0.6267828460680841</v>
      </c>
      <c r="AK64" s="1">
        <f t="shared" ca="1" si="26"/>
        <v>8.0870127720065361E-3</v>
      </c>
      <c r="AL64" s="1"/>
      <c r="AM64" s="1">
        <f t="shared" ca="1" si="27"/>
        <v>9.2307918131168773E-2</v>
      </c>
      <c r="AN64" s="1">
        <f t="shared" ca="1" si="28"/>
        <v>27</v>
      </c>
      <c r="AO64" s="1">
        <f t="shared" ca="1" si="29"/>
        <v>14</v>
      </c>
      <c r="AQ64" s="1">
        <f t="shared" ca="1" si="30"/>
        <v>60</v>
      </c>
      <c r="AR64" s="1">
        <f t="shared" ca="1" si="31"/>
        <v>0</v>
      </c>
      <c r="AS64" s="1">
        <f t="shared" ca="1" si="32"/>
        <v>55</v>
      </c>
      <c r="AU64" s="1">
        <f t="shared" ca="1" si="33"/>
        <v>236</v>
      </c>
      <c r="AV64" s="1">
        <f t="shared" ca="1" si="34"/>
        <v>3</v>
      </c>
      <c r="AW64" s="1">
        <f t="shared" ca="1" si="35"/>
        <v>0.11185983168461743</v>
      </c>
      <c r="AY64" s="1">
        <f t="shared" ca="1" si="36"/>
        <v>1.411665957699467</v>
      </c>
      <c r="AZ64" s="1">
        <f t="shared" ca="1" si="37"/>
        <v>476</v>
      </c>
      <c r="BA64" s="1">
        <f t="shared" ca="1" si="38"/>
        <v>3.654125989438802E-3</v>
      </c>
      <c r="BV64" s="1">
        <f t="shared" ca="1" si="39"/>
        <v>0.95920348232655639</v>
      </c>
      <c r="BW64" s="1">
        <f t="shared" ca="1" si="40"/>
        <v>732</v>
      </c>
      <c r="BX64" s="1">
        <f t="shared" ca="1" si="41"/>
        <v>1.2619902562987203E-3</v>
      </c>
      <c r="BY64" s="1">
        <f t="shared" ca="1" si="42"/>
        <v>6.3070461741025E-2</v>
      </c>
      <c r="BZ64" s="1">
        <f t="shared" ca="1" si="43"/>
        <v>0.83260487343073564</v>
      </c>
      <c r="CB64" s="1">
        <f t="shared" ca="1" si="44"/>
        <v>239</v>
      </c>
      <c r="CC64" s="1">
        <f t="shared" ca="1" si="45"/>
        <v>12</v>
      </c>
      <c r="CD64" s="1">
        <f t="shared" ca="1" si="46"/>
        <v>7.7651661108779427E-2</v>
      </c>
      <c r="CE64" s="1">
        <f t="shared" ca="1" si="62"/>
        <v>0.97340406996919704</v>
      </c>
      <c r="CF64" s="1">
        <f t="shared" ca="1" si="62"/>
        <v>0.867372719010161</v>
      </c>
      <c r="CH64" s="3">
        <f t="shared" ca="1" si="48"/>
        <v>0.29850568854073517</v>
      </c>
      <c r="CI64" s="3">
        <f t="shared" ca="1" si="49"/>
        <v>0.86624439366256467</v>
      </c>
      <c r="CJ64" s="3">
        <f t="shared" ca="1" si="50"/>
        <v>1321</v>
      </c>
      <c r="CK64" s="3">
        <f t="shared" ca="1" si="51"/>
        <v>4.2812555503640914E-3</v>
      </c>
      <c r="CL64" s="3">
        <f t="shared" ca="1" si="52"/>
        <v>1</v>
      </c>
      <c r="CM64" s="3"/>
      <c r="CN64" s="1">
        <f t="shared" ca="1" si="53"/>
        <v>6.8371032636817759</v>
      </c>
      <c r="CO64" s="1">
        <f t="shared" ca="1" si="54"/>
        <v>0.22136058388881605</v>
      </c>
      <c r="CP64" s="1">
        <f t="shared" ca="1" si="55"/>
        <v>1</v>
      </c>
      <c r="DH64" s="1">
        <f t="shared" ca="1" si="56"/>
        <v>889</v>
      </c>
      <c r="DI64" s="1">
        <f t="shared" ca="1" si="57"/>
        <v>0.14100043648825447</v>
      </c>
      <c r="DJ64" s="1">
        <f t="shared" ca="1" si="58"/>
        <v>10</v>
      </c>
      <c r="DL64" s="1">
        <f t="shared" ca="1" si="59"/>
        <v>3.6558682540505476E-2</v>
      </c>
      <c r="DM64" s="1">
        <f t="shared" ca="1" si="60"/>
        <v>73</v>
      </c>
      <c r="DN64" s="1">
        <f t="shared" ca="1" si="61"/>
        <v>10</v>
      </c>
    </row>
    <row r="65" spans="2:118" x14ac:dyDescent="0.25">
      <c r="B65">
        <f t="shared" ca="1" si="0"/>
        <v>423</v>
      </c>
      <c r="C65">
        <f t="shared" ca="1" si="1"/>
        <v>36</v>
      </c>
      <c r="D65">
        <f t="shared" ca="1" si="2"/>
        <v>0.19198073631992241</v>
      </c>
      <c r="F65" s="1">
        <f t="shared" ca="1" si="3"/>
        <v>38</v>
      </c>
      <c r="G65" s="1">
        <f t="shared" ca="1" si="4"/>
        <v>5</v>
      </c>
      <c r="H65" s="1">
        <f t="shared" ca="1" si="5"/>
        <v>12</v>
      </c>
      <c r="I65" s="1"/>
      <c r="J65" s="1">
        <f t="shared" ca="1" si="6"/>
        <v>2</v>
      </c>
      <c r="K65" s="1">
        <f t="shared" ca="1" si="7"/>
        <v>1.500951302096182</v>
      </c>
      <c r="L65" s="1">
        <f t="shared" ca="1" si="8"/>
        <v>4</v>
      </c>
      <c r="M65" s="1"/>
      <c r="N65" s="1">
        <f t="shared" ca="1" si="9"/>
        <v>59</v>
      </c>
      <c r="O65" s="1">
        <f t="shared" ca="1" si="10"/>
        <v>50</v>
      </c>
      <c r="P65" s="1"/>
      <c r="Q65" s="1">
        <f t="shared" ca="1" si="11"/>
        <v>0.94560416673523395</v>
      </c>
      <c r="R65" s="1">
        <f t="shared" ca="1" si="12"/>
        <v>1038</v>
      </c>
      <c r="S65" s="1"/>
      <c r="T65" s="1">
        <f t="shared" ca="1" si="13"/>
        <v>6.7195867869300013E-2</v>
      </c>
      <c r="U65" s="1">
        <f t="shared" ca="1" si="14"/>
        <v>251</v>
      </c>
      <c r="V65" s="1">
        <f t="shared" ca="1" si="15"/>
        <v>51</v>
      </c>
      <c r="W65" s="1"/>
      <c r="X65" s="1">
        <f t="shared" ca="1" si="16"/>
        <v>7.6262785943451865</v>
      </c>
      <c r="Y65" s="1">
        <f t="shared" ca="1" si="17"/>
        <v>0.42188398532593047</v>
      </c>
      <c r="Z65" s="1">
        <f t="shared" ca="1" si="18"/>
        <v>1933</v>
      </c>
      <c r="AB65" s="1">
        <f t="shared" ca="1" si="19"/>
        <v>0.64144557617511022</v>
      </c>
      <c r="AC65" s="1">
        <f t="shared" ca="1" si="20"/>
        <v>165</v>
      </c>
      <c r="AD65" s="1">
        <f t="shared" ca="1" si="21"/>
        <v>1.2785860642033459E-3</v>
      </c>
      <c r="AE65" s="1"/>
      <c r="AF65" s="1">
        <f t="shared" ca="1" si="22"/>
        <v>0.68941831104400275</v>
      </c>
      <c r="AG65" s="1">
        <f t="shared" ca="1" si="23"/>
        <v>129</v>
      </c>
      <c r="AH65" s="1">
        <f t="shared" ca="1" si="24"/>
        <v>7.4909701809383231E-4</v>
      </c>
      <c r="AJ65" s="1">
        <f t="shared" ca="1" si="25"/>
        <v>0.4140061004738711</v>
      </c>
      <c r="AK65" s="1">
        <f t="shared" ca="1" si="26"/>
        <v>7.0634150533447244E-3</v>
      </c>
      <c r="AL65" s="1"/>
      <c r="AM65" s="1">
        <f t="shared" ca="1" si="27"/>
        <v>0.10303910857122954</v>
      </c>
      <c r="AN65" s="1">
        <f t="shared" ca="1" si="28"/>
        <v>57</v>
      </c>
      <c r="AO65" s="1">
        <f t="shared" ca="1" si="29"/>
        <v>-1</v>
      </c>
      <c r="AQ65" s="1">
        <f t="shared" ca="1" si="30"/>
        <v>138</v>
      </c>
      <c r="AR65" s="1">
        <f t="shared" ca="1" si="31"/>
        <v>9</v>
      </c>
      <c r="AS65" s="1">
        <f t="shared" ca="1" si="32"/>
        <v>6</v>
      </c>
      <c r="AU65" s="1">
        <f t="shared" ca="1" si="33"/>
        <v>217</v>
      </c>
      <c r="AV65" s="1">
        <f t="shared" ca="1" si="34"/>
        <v>3</v>
      </c>
      <c r="AW65" s="1">
        <f t="shared" ca="1" si="35"/>
        <v>6.3894605301390239E-2</v>
      </c>
      <c r="AY65" s="1">
        <f t="shared" ca="1" si="36"/>
        <v>1.606604010056208</v>
      </c>
      <c r="AZ65" s="1">
        <f t="shared" ca="1" si="37"/>
        <v>73</v>
      </c>
      <c r="BA65" s="1">
        <f t="shared" ca="1" si="38"/>
        <v>4.5216096669938128E-3</v>
      </c>
      <c r="BV65" s="1">
        <f t="shared" ca="1" si="39"/>
        <v>0.30822949570798891</v>
      </c>
      <c r="BW65" s="1">
        <f t="shared" ca="1" si="40"/>
        <v>205</v>
      </c>
      <c r="BX65" s="1">
        <f t="shared" ca="1" si="41"/>
        <v>5.9241004360256911E-3</v>
      </c>
      <c r="BY65" s="1">
        <f t="shared" ca="1" si="42"/>
        <v>5.6905224619310531E-2</v>
      </c>
      <c r="BZ65" s="1">
        <f t="shared" ca="1" si="43"/>
        <v>0.59424211127172832</v>
      </c>
      <c r="CB65" s="1">
        <f t="shared" ca="1" si="44"/>
        <v>409</v>
      </c>
      <c r="CC65" s="1">
        <f t="shared" ca="1" si="45"/>
        <v>5</v>
      </c>
      <c r="CD65" s="1">
        <f t="shared" ca="1" si="46"/>
        <v>0.16232202121504674</v>
      </c>
      <c r="CE65" s="1">
        <f t="shared" ca="1" si="62"/>
        <v>0.71342486821319062</v>
      </c>
      <c r="CF65" s="1">
        <f t="shared" ca="1" si="62"/>
        <v>0.58466756476074599</v>
      </c>
      <c r="CH65" s="3">
        <f t="shared" ca="1" si="48"/>
        <v>0.10255855726905674</v>
      </c>
      <c r="CI65" s="3">
        <f t="shared" ca="1" si="49"/>
        <v>0.46900754761503788</v>
      </c>
      <c r="CJ65" s="3">
        <f t="shared" ca="1" si="50"/>
        <v>517</v>
      </c>
      <c r="CK65" s="3">
        <f t="shared" ca="1" si="51"/>
        <v>2.0326376139034861E-3</v>
      </c>
      <c r="CL65" s="3">
        <f t="shared" ca="1" si="52"/>
        <v>1</v>
      </c>
      <c r="CM65" s="3"/>
      <c r="CN65" s="1">
        <f t="shared" ca="1" si="53"/>
        <v>9.327367230272877</v>
      </c>
      <c r="CO65" s="1">
        <f t="shared" ca="1" si="54"/>
        <v>0.27799586689711875</v>
      </c>
      <c r="CP65" s="1">
        <f t="shared" ca="1" si="55"/>
        <v>4</v>
      </c>
      <c r="DH65" s="1">
        <f t="shared" ca="1" si="56"/>
        <v>617</v>
      </c>
      <c r="DI65" s="1">
        <f t="shared" ca="1" si="57"/>
        <v>0.12051228167033054</v>
      </c>
      <c r="DJ65" s="1">
        <f t="shared" ca="1" si="58"/>
        <v>8</v>
      </c>
      <c r="DL65" s="1">
        <f t="shared" ca="1" si="59"/>
        <v>0.18827785306916101</v>
      </c>
      <c r="DM65" s="1">
        <f t="shared" ca="1" si="60"/>
        <v>119</v>
      </c>
      <c r="DN65" s="1">
        <f t="shared" ca="1" si="61"/>
        <v>8</v>
      </c>
    </row>
    <row r="66" spans="2:118" x14ac:dyDescent="0.25">
      <c r="B66">
        <f t="shared" ca="1" si="0"/>
        <v>719</v>
      </c>
      <c r="C66">
        <f t="shared" ca="1" si="1"/>
        <v>47</v>
      </c>
      <c r="D66">
        <f t="shared" ca="1" si="2"/>
        <v>0.19787312000443588</v>
      </c>
      <c r="F66" s="1">
        <f t="shared" ca="1" si="3"/>
        <v>51</v>
      </c>
      <c r="G66" s="1">
        <f t="shared" ca="1" si="4"/>
        <v>18</v>
      </c>
      <c r="H66" s="1">
        <f t="shared" ca="1" si="5"/>
        <v>9</v>
      </c>
      <c r="I66" s="1"/>
      <c r="J66" s="1">
        <f t="shared" ca="1" si="6"/>
        <v>1</v>
      </c>
      <c r="K66" s="1">
        <f t="shared" ca="1" si="7"/>
        <v>2.1133459183038044</v>
      </c>
      <c r="L66" s="1">
        <f t="shared" ca="1" si="8"/>
        <v>35</v>
      </c>
      <c r="M66" s="1"/>
      <c r="N66" s="1">
        <f t="shared" ca="1" si="9"/>
        <v>42</v>
      </c>
      <c r="O66" s="1">
        <f t="shared" ca="1" si="10"/>
        <v>46</v>
      </c>
      <c r="P66" s="1"/>
      <c r="Q66" s="1">
        <f t="shared" ca="1" si="11"/>
        <v>0.89560532444484364</v>
      </c>
      <c r="R66" s="1">
        <f t="shared" ca="1" si="12"/>
        <v>655</v>
      </c>
      <c r="S66" s="1"/>
      <c r="T66" s="1">
        <f t="shared" ca="1" si="13"/>
        <v>0.14547294004491346</v>
      </c>
      <c r="U66" s="1">
        <f t="shared" ca="1" si="14"/>
        <v>74</v>
      </c>
      <c r="V66" s="1">
        <f t="shared" ca="1" si="15"/>
        <v>31</v>
      </c>
      <c r="W66" s="1"/>
      <c r="X66" s="1">
        <f t="shared" ca="1" si="16"/>
        <v>6.3860071807365673</v>
      </c>
      <c r="Y66" s="1">
        <f t="shared" ca="1" si="17"/>
        <v>0.55659978603066207</v>
      </c>
      <c r="Z66" s="1">
        <f t="shared" ca="1" si="18"/>
        <v>1360</v>
      </c>
      <c r="AB66" s="1">
        <f t="shared" ca="1" si="19"/>
        <v>0.15316423778860905</v>
      </c>
      <c r="AC66" s="1">
        <f t="shared" ca="1" si="20"/>
        <v>941</v>
      </c>
      <c r="AD66" s="1">
        <f t="shared" ca="1" si="21"/>
        <v>7.1722556826530259E-3</v>
      </c>
      <c r="AE66" s="1"/>
      <c r="AF66" s="1">
        <f t="shared" ca="1" si="22"/>
        <v>0.70534172209614709</v>
      </c>
      <c r="AG66" s="1">
        <f t="shared" ca="1" si="23"/>
        <v>185</v>
      </c>
      <c r="AH66" s="1">
        <f t="shared" ca="1" si="24"/>
        <v>1.0396748452923519E-3</v>
      </c>
      <c r="AJ66" s="1">
        <f t="shared" ca="1" si="25"/>
        <v>0.56339059110148015</v>
      </c>
      <c r="AK66" s="1">
        <f t="shared" ca="1" si="26"/>
        <v>9.82419079848308E-3</v>
      </c>
      <c r="AL66" s="1"/>
      <c r="AM66" s="1">
        <f t="shared" ca="1" si="27"/>
        <v>0.18904854473258326</v>
      </c>
      <c r="AN66" s="1">
        <f t="shared" ca="1" si="28"/>
        <v>63</v>
      </c>
      <c r="AO66" s="1">
        <f t="shared" ca="1" si="29"/>
        <v>6</v>
      </c>
      <c r="AQ66" s="1">
        <f t="shared" ca="1" si="30"/>
        <v>21</v>
      </c>
      <c r="AR66" s="1">
        <f t="shared" ca="1" si="31"/>
        <v>10</v>
      </c>
      <c r="AS66" s="1">
        <f t="shared" ca="1" si="32"/>
        <v>36</v>
      </c>
      <c r="AU66" s="1">
        <f t="shared" ca="1" si="33"/>
        <v>279</v>
      </c>
      <c r="AV66" s="1">
        <f t="shared" ca="1" si="34"/>
        <v>2</v>
      </c>
      <c r="AW66" s="1">
        <f t="shared" ca="1" si="35"/>
        <v>0.18773545958844892</v>
      </c>
      <c r="AY66" s="1">
        <f t="shared" ca="1" si="36"/>
        <v>1.2056430273873908</v>
      </c>
      <c r="AZ66" s="1">
        <f t="shared" ca="1" si="37"/>
        <v>165</v>
      </c>
      <c r="BA66" s="1">
        <f t="shared" ca="1" si="38"/>
        <v>2.1399448588662945E-3</v>
      </c>
      <c r="BV66" s="1">
        <f t="shared" ca="1" si="39"/>
        <v>0.63403504520561549</v>
      </c>
      <c r="BW66" s="1">
        <f t="shared" ca="1" si="40"/>
        <v>926</v>
      </c>
      <c r="BX66" s="1">
        <f t="shared" ca="1" si="41"/>
        <v>7.4449519250156431E-3</v>
      </c>
      <c r="BY66" s="1">
        <f t="shared" ca="1" si="42"/>
        <v>1.9798030305138027E-2</v>
      </c>
      <c r="BZ66" s="1">
        <f t="shared" ca="1" si="43"/>
        <v>0.69099899964768829</v>
      </c>
      <c r="CB66" s="1">
        <f t="shared" ca="1" si="44"/>
        <v>96</v>
      </c>
      <c r="CC66" s="1">
        <f t="shared" ca="1" si="45"/>
        <v>14</v>
      </c>
      <c r="CD66" s="1">
        <f t="shared" ca="1" si="46"/>
        <v>0.16673713685675939</v>
      </c>
      <c r="CE66" s="1">
        <f t="shared" ca="1" si="62"/>
        <v>0.53996694650595822</v>
      </c>
      <c r="CF66" s="1">
        <f t="shared" ca="1" si="62"/>
        <v>0.91498400737486651</v>
      </c>
      <c r="CH66" s="3">
        <f t="shared" ca="1" si="48"/>
        <v>6.1072845119658173E-2</v>
      </c>
      <c r="CI66" s="3">
        <f t="shared" ca="1" si="49"/>
        <v>0.76839291553512312</v>
      </c>
      <c r="CJ66" s="3">
        <f t="shared" ca="1" si="50"/>
        <v>1579</v>
      </c>
      <c r="CK66" s="3">
        <f t="shared" ca="1" si="51"/>
        <v>2.3508371161270361E-3</v>
      </c>
      <c r="CL66" s="3">
        <f t="shared" ca="1" si="52"/>
        <v>0</v>
      </c>
      <c r="CM66" s="3"/>
      <c r="CN66" s="1">
        <f t="shared" ca="1" si="53"/>
        <v>16.492830873631746</v>
      </c>
      <c r="CO66" s="1">
        <f t="shared" ca="1" si="54"/>
        <v>0.39729249916173359</v>
      </c>
      <c r="CP66" s="1">
        <f t="shared" ca="1" si="55"/>
        <v>1</v>
      </c>
      <c r="DH66" s="1">
        <f t="shared" ca="1" si="56"/>
        <v>396</v>
      </c>
      <c r="DI66" s="1">
        <f t="shared" ca="1" si="57"/>
        <v>3.2827692210207209E-3</v>
      </c>
      <c r="DJ66" s="1">
        <f t="shared" ca="1" si="58"/>
        <v>28</v>
      </c>
      <c r="DL66" s="1">
        <f t="shared" ca="1" si="59"/>
        <v>4.9887276784284958E-2</v>
      </c>
      <c r="DM66" s="1">
        <f t="shared" ca="1" si="60"/>
        <v>171</v>
      </c>
      <c r="DN66" s="1">
        <f t="shared" ca="1" si="61"/>
        <v>6</v>
      </c>
    </row>
    <row r="67" spans="2:118" x14ac:dyDescent="0.25">
      <c r="B67">
        <f t="shared" ca="1" si="0"/>
        <v>830</v>
      </c>
      <c r="C67">
        <f t="shared" ca="1" si="1"/>
        <v>48</v>
      </c>
      <c r="D67">
        <f t="shared" ca="1" si="2"/>
        <v>7.5433732258211122E-2</v>
      </c>
      <c r="F67" s="1">
        <f t="shared" ca="1" si="3"/>
        <v>29</v>
      </c>
      <c r="G67" s="1">
        <f t="shared" ca="1" si="4"/>
        <v>24</v>
      </c>
      <c r="H67" s="1">
        <f t="shared" ca="1" si="5"/>
        <v>10</v>
      </c>
      <c r="I67" s="1"/>
      <c r="J67" s="1">
        <f t="shared" ca="1" si="6"/>
        <v>5</v>
      </c>
      <c r="K67" s="1">
        <f t="shared" ca="1" si="7"/>
        <v>1.7472772668935856</v>
      </c>
      <c r="L67" s="1">
        <f t="shared" ca="1" si="8"/>
        <v>10</v>
      </c>
      <c r="M67" s="1"/>
      <c r="N67" s="1">
        <f t="shared" ca="1" si="9"/>
        <v>623</v>
      </c>
      <c r="O67" s="1">
        <f t="shared" ca="1" si="10"/>
        <v>40</v>
      </c>
      <c r="P67" s="1"/>
      <c r="Q67" s="1">
        <f t="shared" ca="1" si="11"/>
        <v>3.2861506309507837</v>
      </c>
      <c r="R67" s="1">
        <f t="shared" ca="1" si="12"/>
        <v>906</v>
      </c>
      <c r="S67" s="1"/>
      <c r="T67" s="1">
        <f t="shared" ca="1" si="13"/>
        <v>0.16159957605030398</v>
      </c>
      <c r="U67" s="1">
        <f t="shared" ca="1" si="14"/>
        <v>322</v>
      </c>
      <c r="V67" s="1">
        <f t="shared" ca="1" si="15"/>
        <v>10</v>
      </c>
      <c r="W67" s="1"/>
      <c r="X67" s="1">
        <f t="shared" ca="1" si="16"/>
        <v>3.293294159817246</v>
      </c>
      <c r="Y67" s="1">
        <f t="shared" ca="1" si="17"/>
        <v>0.48601484056401273</v>
      </c>
      <c r="Z67" s="1">
        <f t="shared" ca="1" si="18"/>
        <v>565</v>
      </c>
      <c r="AB67" s="1">
        <f t="shared" ca="1" si="19"/>
        <v>0.2974155944315271</v>
      </c>
      <c r="AC67" s="1">
        <f t="shared" ca="1" si="20"/>
        <v>967</v>
      </c>
      <c r="AD67" s="1">
        <f t="shared" ca="1" si="21"/>
        <v>2.8935428350097625E-3</v>
      </c>
      <c r="AE67" s="1"/>
      <c r="AF67" s="1">
        <f t="shared" ca="1" si="22"/>
        <v>0.37770415316419703</v>
      </c>
      <c r="AG67" s="1">
        <f t="shared" ca="1" si="23"/>
        <v>893</v>
      </c>
      <c r="AH67" s="1">
        <f t="shared" ca="1" si="24"/>
        <v>3.9240137076279854E-3</v>
      </c>
      <c r="AJ67" s="1">
        <f t="shared" ca="1" si="25"/>
        <v>4.0751290602215828E-2</v>
      </c>
      <c r="AK67" s="1">
        <f t="shared" ca="1" si="26"/>
        <v>1.8529283879017255E-3</v>
      </c>
      <c r="AL67" s="1"/>
      <c r="AM67" s="1">
        <f t="shared" ca="1" si="27"/>
        <v>1.7499852750273853E-2</v>
      </c>
      <c r="AN67" s="1">
        <f t="shared" ca="1" si="28"/>
        <v>37</v>
      </c>
      <c r="AO67" s="1">
        <f t="shared" ca="1" si="29"/>
        <v>2</v>
      </c>
      <c r="AQ67" s="1">
        <f t="shared" ca="1" si="30"/>
        <v>30</v>
      </c>
      <c r="AR67" s="1">
        <f t="shared" ca="1" si="31"/>
        <v>4</v>
      </c>
      <c r="AS67" s="1">
        <f t="shared" ca="1" si="32"/>
        <v>25</v>
      </c>
      <c r="AU67" s="1">
        <f t="shared" ca="1" si="33"/>
        <v>217</v>
      </c>
      <c r="AV67" s="1">
        <f t="shared" ca="1" si="34"/>
        <v>7</v>
      </c>
      <c r="AW67" s="1">
        <f t="shared" ca="1" si="35"/>
        <v>0.14364772911172455</v>
      </c>
      <c r="AY67" s="1">
        <f t="shared" ca="1" si="36"/>
        <v>1.1334823202607767</v>
      </c>
      <c r="AZ67" s="1">
        <f t="shared" ca="1" si="37"/>
        <v>379</v>
      </c>
      <c r="BA67" s="1">
        <f t="shared" ca="1" si="38"/>
        <v>5.3419395061112835E-3</v>
      </c>
      <c r="BV67" s="1">
        <f t="shared" ca="1" si="39"/>
        <v>0.60844808862352739</v>
      </c>
      <c r="BW67" s="1">
        <f t="shared" ca="1" si="40"/>
        <v>168</v>
      </c>
      <c r="BX67" s="1">
        <f t="shared" ca="1" si="41"/>
        <v>7.8241837348899008E-3</v>
      </c>
      <c r="BY67" s="1">
        <f t="shared" ca="1" si="42"/>
        <v>5.0348949983455522E-2</v>
      </c>
      <c r="BZ67" s="1">
        <f t="shared" ca="1" si="43"/>
        <v>0.61622926837930447</v>
      </c>
      <c r="CB67" s="1">
        <f t="shared" ca="1" si="44"/>
        <v>327</v>
      </c>
      <c r="CC67" s="1">
        <f t="shared" ca="1" si="45"/>
        <v>10</v>
      </c>
      <c r="CD67" s="1">
        <f t="shared" ca="1" si="46"/>
        <v>0.17278951808430326</v>
      </c>
      <c r="CE67" s="1">
        <f t="shared" ca="1" si="62"/>
        <v>0.78541823202096017</v>
      </c>
      <c r="CF67" s="1">
        <f t="shared" ca="1" si="62"/>
        <v>0.72833187326024207</v>
      </c>
      <c r="CH67" s="3">
        <f t="shared" ca="1" si="48"/>
        <v>0.9614640629135528</v>
      </c>
      <c r="CI67" s="3">
        <f t="shared" ca="1" si="49"/>
        <v>0.30545736188450806</v>
      </c>
      <c r="CJ67" s="3">
        <f t="shared" ca="1" si="50"/>
        <v>1382</v>
      </c>
      <c r="CK67" s="3">
        <f t="shared" ca="1" si="51"/>
        <v>6.260288065709837E-3</v>
      </c>
      <c r="CL67" s="3">
        <f t="shared" ca="1" si="52"/>
        <v>1</v>
      </c>
      <c r="CM67" s="3"/>
      <c r="CN67" s="1">
        <f t="shared" ca="1" si="53"/>
        <v>1.7164092757905594</v>
      </c>
      <c r="CO67" s="1">
        <f t="shared" ca="1" si="54"/>
        <v>0.41403073131490165</v>
      </c>
      <c r="CP67" s="1">
        <f t="shared" ca="1" si="55"/>
        <v>4</v>
      </c>
      <c r="DH67" s="1">
        <f t="shared" ca="1" si="56"/>
        <v>228</v>
      </c>
      <c r="DI67" s="1">
        <f t="shared" ca="1" si="57"/>
        <v>0.35386459567927114</v>
      </c>
      <c r="DJ67" s="1">
        <f t="shared" ca="1" si="58"/>
        <v>3</v>
      </c>
      <c r="DL67" s="1">
        <f t="shared" ca="1" si="59"/>
        <v>5.0487072469231446E-2</v>
      </c>
      <c r="DM67" s="1">
        <f t="shared" ca="1" si="60"/>
        <v>164</v>
      </c>
      <c r="DN67" s="1">
        <f t="shared" ca="1" si="61"/>
        <v>4</v>
      </c>
    </row>
    <row r="68" spans="2:118" x14ac:dyDescent="0.25">
      <c r="B68">
        <f t="shared" ref="B68:B131" ca="1" si="63">RANDBETWEEN(15,1000)</f>
        <v>194</v>
      </c>
      <c r="C68">
        <f t="shared" ref="C68:C131" ca="1" si="64">RANDBETWEEN(2,52)</f>
        <v>11</v>
      </c>
      <c r="D68">
        <f t="shared" ref="D68:D131" ca="1" si="65">RAND()*(0.3-0.01)+0.01</f>
        <v>0.26044961613898687</v>
      </c>
      <c r="F68" s="1">
        <f t="shared" ref="F68:F131" ca="1" si="66">RANDBETWEEN(2,52)</f>
        <v>18</v>
      </c>
      <c r="G68" s="1">
        <f t="shared" ref="G68:G131" ca="1" si="67">RANDBETWEEN(2,30)</f>
        <v>12</v>
      </c>
      <c r="H68" s="1">
        <f t="shared" ref="H68:H131" ca="1" si="68">RANDBETWEEN(1,15)</f>
        <v>13</v>
      </c>
      <c r="I68" s="1"/>
      <c r="J68" s="1">
        <f t="shared" ref="J68:J131" ca="1" si="69">RANDBETWEEN(1,39)</f>
        <v>16</v>
      </c>
      <c r="K68" s="1">
        <f t="shared" ref="K68:K131" ca="1" si="70">RAND()*(3-1)+1</f>
        <v>2.6447988512004459</v>
      </c>
      <c r="L68" s="1">
        <f t="shared" ref="L68:L131" ca="1" si="71">RANDBETWEEN(2,35)</f>
        <v>34</v>
      </c>
      <c r="M68" s="1"/>
      <c r="N68" s="1">
        <f t="shared" ref="N68:N131" ca="1" si="72">RANDBETWEEN(15,1000)</f>
        <v>706</v>
      </c>
      <c r="O68" s="1">
        <f t="shared" ref="O68:O131" ca="1" si="73">RANDBETWEEN(2,52)</f>
        <v>32</v>
      </c>
      <c r="P68" s="1"/>
      <c r="Q68" s="1">
        <f t="shared" ref="Q68:Q131" ca="1" si="74">RAND()*(5-0.01)+0.01</f>
        <v>4.7059271400949179</v>
      </c>
      <c r="R68" s="1">
        <f t="shared" ref="R68:R131" ca="1" si="75">RANDBETWEEN(200,1200)</f>
        <v>1181</v>
      </c>
      <c r="S68" s="1"/>
      <c r="T68" s="1">
        <f t="shared" ref="T68:T131" ca="1" si="76">RAND()*(0.2-0.01)+0.01</f>
        <v>8.8326851022346678E-2</v>
      </c>
      <c r="U68" s="1">
        <f t="shared" ref="U68:U131" ca="1" si="77">RANDBETWEEN(50,450)</f>
        <v>147</v>
      </c>
      <c r="V68" s="1">
        <f t="shared" ref="V68:V131" ca="1" si="78">RANDBETWEEN(2,52)</f>
        <v>17</v>
      </c>
      <c r="W68" s="1"/>
      <c r="X68" s="1">
        <f t="shared" ref="X68:X131" ca="1" si="79">RAND()*(10-0.01)+0.01</f>
        <v>0.91457951307717367</v>
      </c>
      <c r="Y68" s="1">
        <f t="shared" ref="Y68:Y131" ca="1" si="80">RAND()*(1-0.0001)+0.0001</f>
        <v>0.98105258383598326</v>
      </c>
      <c r="Z68" s="1">
        <f t="shared" ref="Z68:Z131" ca="1" si="81">RANDBETWEEN(100,2000)</f>
        <v>735</v>
      </c>
      <c r="AB68" s="1">
        <f t="shared" ref="AB68:AB131" ca="1" si="82">RAND()*(1-0.0001)+0.0001</f>
        <v>0.40799337615453685</v>
      </c>
      <c r="AC68" s="1">
        <f t="shared" ref="AC68:AC131" ca="1" si="83">RANDBETWEEN(100,1000)</f>
        <v>225</v>
      </c>
      <c r="AD68" s="1">
        <f t="shared" ref="AD68:AD131" ca="1" si="84">RAND()*(0.01-0.00001)+0.00001</f>
        <v>8.4411123093983175E-4</v>
      </c>
      <c r="AE68" s="1"/>
      <c r="AF68" s="1">
        <f t="shared" ref="AF68:AF131" ca="1" si="85">RAND()*(0.9-0.1)+0.1</f>
        <v>0.88718519836571985</v>
      </c>
      <c r="AG68" s="1">
        <f t="shared" ref="AG68:AG131" ca="1" si="86">RANDBETWEEN(100,1000)</f>
        <v>718</v>
      </c>
      <c r="AH68" s="1">
        <f t="shared" ref="AH68:AH131" ca="1" si="87">RAND()*(0.01-0.00001)+0.00001</f>
        <v>7.4571092196837113E-3</v>
      </c>
      <c r="AJ68" s="1">
        <f t="shared" ref="AJ68:AJ131" ca="1" si="88">RAND()*(1-0)+0</f>
        <v>0.36103869680161327</v>
      </c>
      <c r="AK68" s="1">
        <f t="shared" ref="AK68:AK131" ca="1" si="89">RAND()*(0.01-0.00001)+0.00001</f>
        <v>9.3180910974784564E-3</v>
      </c>
      <c r="AL68" s="1"/>
      <c r="AM68" s="1">
        <f t="shared" ref="AM68:AM131" ca="1" si="90">RAND()*(0.2-0.005)+0.005</f>
        <v>9.5600531788880228E-2</v>
      </c>
      <c r="AN68" s="1">
        <f t="shared" ref="AN68:AN131" ca="1" si="91">RANDBETWEEN(10,80)</f>
        <v>39</v>
      </c>
      <c r="AO68" s="1">
        <f t="shared" ref="AO68:AO131" ca="1" si="92">RANDBETWEEN(-1,20)</f>
        <v>16</v>
      </c>
      <c r="AQ68" s="1">
        <f t="shared" ref="AQ68:AQ131" ca="1" si="93">RANDBETWEEN(10,200)</f>
        <v>67</v>
      </c>
      <c r="AR68" s="1">
        <f t="shared" ref="AR68:AR131" ca="1" si="94">RANDBETWEEN(0,10)</f>
        <v>8</v>
      </c>
      <c r="AS68" s="1">
        <f t="shared" ref="AS68:AS131" ca="1" si="95">RANDBETWEEN(1,100)</f>
        <v>86</v>
      </c>
      <c r="AU68" s="1">
        <f t="shared" ref="AU68:AU131" ca="1" si="96">RANDBETWEEN(50,400)</f>
        <v>204</v>
      </c>
      <c r="AV68" s="1">
        <f t="shared" ref="AV68:AV131" ca="1" si="97">RANDBETWEEN(2,10)</f>
        <v>6</v>
      </c>
      <c r="AW68" s="1">
        <f t="shared" ref="AW68:AW131" ca="1" si="98">RAND()*(0.2-0.01)+0.01</f>
        <v>6.5616637807024078E-2</v>
      </c>
      <c r="AY68" s="1">
        <f t="shared" ref="AY68:AY131" ca="1" si="99">RAND()*(2-1.1)+1.1</f>
        <v>1.5345640750095582</v>
      </c>
      <c r="AZ68" s="1">
        <f t="shared" ref="AZ68:AZ131" ca="1" si="100">RANDBETWEEN(50,500)</f>
        <v>448</v>
      </c>
      <c r="BA68" s="1">
        <f t="shared" ref="BA68:BA131" ca="1" si="101">RAND()*(0.01-0.00001)+0.00001</f>
        <v>3.7455429617816193E-3</v>
      </c>
      <c r="BV68" s="1">
        <f t="shared" ref="BV68:BV131" ca="1" si="102">RAND()*(1-0.0001)+0.0001</f>
        <v>0.98899609332245186</v>
      </c>
      <c r="BW68" s="1">
        <f t="shared" ref="BW68:BW131" ca="1" si="103">RANDBETWEEN(100,1000)</f>
        <v>315</v>
      </c>
      <c r="BX68" s="1">
        <f t="shared" ref="BX68:BX131" ca="1" si="104">RAND()*(0.01-0.00001)+0.00001</f>
        <v>8.5164623265662695E-3</v>
      </c>
      <c r="BY68" s="1">
        <f t="shared" ref="BY68:BY131" ca="1" si="105">RAND()*(0.1-0.0001)+0.0001</f>
        <v>3.746757125991055E-2</v>
      </c>
      <c r="BZ68" s="1">
        <f t="shared" ref="BZ68:BZ131" ca="1" si="106">RAND()*(1-0)+0</f>
        <v>0.2137441950893163</v>
      </c>
      <c r="CB68" s="1">
        <f t="shared" ref="CB68:CB131" ca="1" si="107">RANDBETWEEN(50,500)</f>
        <v>311</v>
      </c>
      <c r="CC68" s="1">
        <f t="shared" ref="CC68:CC131" ca="1" si="108">RANDBETWEEN(3,15)</f>
        <v>13</v>
      </c>
      <c r="CD68" s="1">
        <f t="shared" ref="CD68:CD131" ca="1" si="109">RAND()*(0.3-0.01)+0.01</f>
        <v>0.19471101683904174</v>
      </c>
      <c r="CE68" s="1">
        <f t="shared" ref="CE68:CF99" ca="1" si="110">RAND()*(1-0.5)+0.5</f>
        <v>0.79569715822909526</v>
      </c>
      <c r="CF68" s="1">
        <f t="shared" ca="1" si="110"/>
        <v>0.99033556062396999</v>
      </c>
      <c r="CH68" s="3">
        <f t="shared" ref="CH68:CH131" ca="1" si="111">RAND()*(1-0.0001)+0.0001</f>
        <v>0.83402975699553561</v>
      </c>
      <c r="CI68" s="3">
        <f t="shared" ref="CI68:CI131" ca="1" si="112">RAND()*(0.99-0.01)+0.01</f>
        <v>0.59405131950362666</v>
      </c>
      <c r="CJ68" s="3">
        <f t="shared" ref="CJ68:CJ131" ca="1" si="113">RANDBETWEEN(100,2000)</f>
        <v>642</v>
      </c>
      <c r="CK68" s="3">
        <f t="shared" ref="CK68:CK131" ca="1" si="114">RAND()*(0.01-0.000001)+0.000001</f>
        <v>2.7651488473730938E-3</v>
      </c>
      <c r="CL68" s="3">
        <f t="shared" ref="CL68:CL131" ca="1" si="115">RANDBETWEEN(0,1)</f>
        <v>1</v>
      </c>
      <c r="CM68" s="3"/>
      <c r="CN68" s="1">
        <f t="shared" ref="CN68:CN131" ca="1" si="116">RAND()*(20-0.1)+0.1</f>
        <v>13.13398313899777</v>
      </c>
      <c r="CO68" s="1">
        <f t="shared" ref="CO68:CO131" ca="1" si="117">RAND()*(0.5-0.001)+0.001</f>
        <v>0.47547509263322402</v>
      </c>
      <c r="CP68" s="1">
        <f t="shared" ref="CP68:CP131" ca="1" si="118">RANDBETWEEN(1,5)</f>
        <v>4</v>
      </c>
      <c r="DH68" s="1">
        <f t="shared" ref="DH68:DH131" ca="1" si="119">RANDBETWEEN(10,900)</f>
        <v>572</v>
      </c>
      <c r="DI68" s="1">
        <f t="shared" ref="DI68:DI131" ca="1" si="120">RAND()*(1-0.001)+0.001</f>
        <v>0.48007967485852721</v>
      </c>
      <c r="DJ68" s="1">
        <f t="shared" ref="DJ68:DJ131" ca="1" si="121">RANDBETWEEN(1,30)</f>
        <v>23</v>
      </c>
      <c r="DL68" s="1">
        <f t="shared" ref="DL68:DL131" ca="1" si="122">RAND()*(0.2-0.01)+0.01</f>
        <v>0.17315071276652774</v>
      </c>
      <c r="DM68" s="1">
        <f t="shared" ref="DM68:DM131" ca="1" si="123">RANDBETWEEN(50,300)</f>
        <v>108</v>
      </c>
      <c r="DN68" s="1">
        <f t="shared" ref="DN68:DN131" ca="1" si="124">RANDBETWEEN(1,10)</f>
        <v>7</v>
      </c>
    </row>
    <row r="69" spans="2:118" x14ac:dyDescent="0.25">
      <c r="B69">
        <f t="shared" ca="1" si="63"/>
        <v>391</v>
      </c>
      <c r="C69">
        <f t="shared" ca="1" si="64"/>
        <v>14</v>
      </c>
      <c r="D69">
        <f t="shared" ca="1" si="65"/>
        <v>8.7213467312790241E-2</v>
      </c>
      <c r="F69" s="1">
        <f t="shared" ca="1" si="66"/>
        <v>30</v>
      </c>
      <c r="G69" s="1">
        <f t="shared" ca="1" si="67"/>
        <v>18</v>
      </c>
      <c r="H69" s="1">
        <f t="shared" ca="1" si="68"/>
        <v>7</v>
      </c>
      <c r="I69" s="1"/>
      <c r="J69" s="1">
        <f t="shared" ca="1" si="69"/>
        <v>25</v>
      </c>
      <c r="K69" s="1">
        <f t="shared" ca="1" si="70"/>
        <v>1.9106157413676521</v>
      </c>
      <c r="L69" s="1">
        <f t="shared" ca="1" si="71"/>
        <v>7</v>
      </c>
      <c r="M69" s="1"/>
      <c r="N69" s="1">
        <f t="shared" ca="1" si="72"/>
        <v>471</v>
      </c>
      <c r="O69" s="1">
        <f t="shared" ca="1" si="73"/>
        <v>10</v>
      </c>
      <c r="P69" s="1"/>
      <c r="Q69" s="1">
        <f t="shared" ca="1" si="74"/>
        <v>0.99382260513362197</v>
      </c>
      <c r="R69" s="1">
        <f t="shared" ca="1" si="75"/>
        <v>1062</v>
      </c>
      <c r="S69" s="1"/>
      <c r="T69" s="1">
        <f t="shared" ca="1" si="76"/>
        <v>2.5581248192735953E-2</v>
      </c>
      <c r="U69" s="1">
        <f t="shared" ca="1" si="77"/>
        <v>212</v>
      </c>
      <c r="V69" s="1">
        <f t="shared" ca="1" si="78"/>
        <v>34</v>
      </c>
      <c r="W69" s="1"/>
      <c r="X69" s="1">
        <f t="shared" ca="1" si="79"/>
        <v>5.8574083153535943</v>
      </c>
      <c r="Y69" s="1">
        <f t="shared" ca="1" si="80"/>
        <v>0.59746483367660397</v>
      </c>
      <c r="Z69" s="1">
        <f t="shared" ca="1" si="81"/>
        <v>1177</v>
      </c>
      <c r="AB69" s="1">
        <f t="shared" ca="1" si="82"/>
        <v>0.93155038283985603</v>
      </c>
      <c r="AC69" s="1">
        <f t="shared" ca="1" si="83"/>
        <v>959</v>
      </c>
      <c r="AD69" s="1">
        <f t="shared" ca="1" si="84"/>
        <v>3.6733497023402825E-3</v>
      </c>
      <c r="AE69" s="1"/>
      <c r="AF69" s="1">
        <f t="shared" ca="1" si="85"/>
        <v>0.32371894037876991</v>
      </c>
      <c r="AG69" s="1">
        <f t="shared" ca="1" si="86"/>
        <v>615</v>
      </c>
      <c r="AH69" s="1">
        <f t="shared" ca="1" si="87"/>
        <v>2.3404310281705453E-3</v>
      </c>
      <c r="AJ69" s="1">
        <f t="shared" ca="1" si="88"/>
        <v>0.28223274508207152</v>
      </c>
      <c r="AK69" s="1">
        <f t="shared" ca="1" si="89"/>
        <v>5.0133790394340453E-4</v>
      </c>
      <c r="AL69" s="1"/>
      <c r="AM69" s="1">
        <f t="shared" ca="1" si="90"/>
        <v>5.0992733564226601E-3</v>
      </c>
      <c r="AN69" s="1">
        <f t="shared" ca="1" si="91"/>
        <v>26</v>
      </c>
      <c r="AO69" s="1">
        <f t="shared" ca="1" si="92"/>
        <v>-1</v>
      </c>
      <c r="AQ69" s="1">
        <f t="shared" ca="1" si="93"/>
        <v>59</v>
      </c>
      <c r="AR69" s="1">
        <f t="shared" ca="1" si="94"/>
        <v>0</v>
      </c>
      <c r="AS69" s="1">
        <f t="shared" ca="1" si="95"/>
        <v>62</v>
      </c>
      <c r="AU69" s="1">
        <f t="shared" ca="1" si="96"/>
        <v>94</v>
      </c>
      <c r="AV69" s="1">
        <f t="shared" ca="1" si="97"/>
        <v>2</v>
      </c>
      <c r="AW69" s="1">
        <f t="shared" ca="1" si="98"/>
        <v>0.15189269626952204</v>
      </c>
      <c r="AY69" s="1">
        <f t="shared" ca="1" si="99"/>
        <v>1.6552270218496221</v>
      </c>
      <c r="AZ69" s="1">
        <f t="shared" ca="1" si="100"/>
        <v>143</v>
      </c>
      <c r="BA69" s="1">
        <f t="shared" ca="1" si="101"/>
        <v>4.8058406114097306E-3</v>
      </c>
      <c r="BV69" s="1">
        <f t="shared" ca="1" si="102"/>
        <v>0.84826882395485759</v>
      </c>
      <c r="BW69" s="1">
        <f t="shared" ca="1" si="103"/>
        <v>515</v>
      </c>
      <c r="BX69" s="1">
        <f t="shared" ca="1" si="104"/>
        <v>4.7797481500941492E-3</v>
      </c>
      <c r="BY69" s="1">
        <f t="shared" ca="1" si="105"/>
        <v>6.4407486604546343E-2</v>
      </c>
      <c r="BZ69" s="1">
        <f t="shared" ca="1" si="106"/>
        <v>8.0852836970225161E-2</v>
      </c>
      <c r="CB69" s="1">
        <f t="shared" ca="1" si="107"/>
        <v>215</v>
      </c>
      <c r="CC69" s="1">
        <f t="shared" ca="1" si="108"/>
        <v>3</v>
      </c>
      <c r="CD69" s="1">
        <f t="shared" ca="1" si="109"/>
        <v>2.1080463133191452E-2</v>
      </c>
      <c r="CE69" s="1">
        <f t="shared" ca="1" si="110"/>
        <v>0.6188414330896046</v>
      </c>
      <c r="CF69" s="1">
        <f t="shared" ca="1" si="110"/>
        <v>0.57242523562084691</v>
      </c>
      <c r="CH69" s="3">
        <f t="shared" ca="1" si="111"/>
        <v>0.80763007551996324</v>
      </c>
      <c r="CI69" s="3">
        <f t="shared" ca="1" si="112"/>
        <v>5.2271535915741685E-2</v>
      </c>
      <c r="CJ69" s="3">
        <f t="shared" ca="1" si="113"/>
        <v>1381</v>
      </c>
      <c r="CK69" s="3">
        <f t="shared" ca="1" si="114"/>
        <v>2.5878317084722553E-3</v>
      </c>
      <c r="CL69" s="3">
        <f t="shared" ca="1" si="115"/>
        <v>1</v>
      </c>
      <c r="CM69" s="3"/>
      <c r="CN69" s="1">
        <f t="shared" ca="1" si="116"/>
        <v>5.8553838706796961</v>
      </c>
      <c r="CO69" s="1">
        <f t="shared" ca="1" si="117"/>
        <v>9.9667260389860943E-2</v>
      </c>
      <c r="CP69" s="1">
        <f t="shared" ca="1" si="118"/>
        <v>4</v>
      </c>
      <c r="DH69" s="1">
        <f t="shared" ca="1" si="119"/>
        <v>396</v>
      </c>
      <c r="DI69" s="1">
        <f t="shared" ca="1" si="120"/>
        <v>0.59923138973329093</v>
      </c>
      <c r="DJ69" s="1">
        <f t="shared" ca="1" si="121"/>
        <v>2</v>
      </c>
      <c r="DL69" s="1">
        <f t="shared" ca="1" si="122"/>
        <v>0.16640007349657393</v>
      </c>
      <c r="DM69" s="1">
        <f t="shared" ca="1" si="123"/>
        <v>100</v>
      </c>
      <c r="DN69" s="1">
        <f t="shared" ca="1" si="124"/>
        <v>7</v>
      </c>
    </row>
    <row r="70" spans="2:118" x14ac:dyDescent="0.25">
      <c r="B70">
        <f t="shared" ca="1" si="63"/>
        <v>429</v>
      </c>
      <c r="C70">
        <f t="shared" ca="1" si="64"/>
        <v>9</v>
      </c>
      <c r="D70">
        <f t="shared" ca="1" si="65"/>
        <v>0.21435489569355859</v>
      </c>
      <c r="F70" s="1">
        <f t="shared" ca="1" si="66"/>
        <v>22</v>
      </c>
      <c r="G70" s="1">
        <f t="shared" ca="1" si="67"/>
        <v>16</v>
      </c>
      <c r="H70" s="1">
        <f t="shared" ca="1" si="68"/>
        <v>1</v>
      </c>
      <c r="I70" s="1"/>
      <c r="J70" s="1">
        <f t="shared" ca="1" si="69"/>
        <v>19</v>
      </c>
      <c r="K70" s="1">
        <f t="shared" ca="1" si="70"/>
        <v>2.7868996129488242</v>
      </c>
      <c r="L70" s="1">
        <f t="shared" ca="1" si="71"/>
        <v>26</v>
      </c>
      <c r="M70" s="1"/>
      <c r="N70" s="1">
        <f t="shared" ca="1" si="72"/>
        <v>830</v>
      </c>
      <c r="O70" s="1">
        <f t="shared" ca="1" si="73"/>
        <v>10</v>
      </c>
      <c r="P70" s="1"/>
      <c r="Q70" s="1">
        <f t="shared" ca="1" si="74"/>
        <v>4.7756824748704432</v>
      </c>
      <c r="R70" s="1">
        <f t="shared" ca="1" si="75"/>
        <v>364</v>
      </c>
      <c r="S70" s="1"/>
      <c r="T70" s="1">
        <f t="shared" ca="1" si="76"/>
        <v>8.9851016112703436E-2</v>
      </c>
      <c r="U70" s="1">
        <f t="shared" ca="1" si="77"/>
        <v>225</v>
      </c>
      <c r="V70" s="1">
        <f t="shared" ca="1" si="78"/>
        <v>49</v>
      </c>
      <c r="W70" s="1"/>
      <c r="X70" s="1">
        <f t="shared" ca="1" si="79"/>
        <v>4.5896649444807842</v>
      </c>
      <c r="Y70" s="1">
        <f t="shared" ca="1" si="80"/>
        <v>0.22511143846713261</v>
      </c>
      <c r="Z70" s="1">
        <f t="shared" ca="1" si="81"/>
        <v>912</v>
      </c>
      <c r="AB70" s="1">
        <f t="shared" ca="1" si="82"/>
        <v>2.0948397771663619E-2</v>
      </c>
      <c r="AC70" s="1">
        <f t="shared" ca="1" si="83"/>
        <v>291</v>
      </c>
      <c r="AD70" s="1">
        <f t="shared" ca="1" si="84"/>
        <v>1.7889463288697461E-3</v>
      </c>
      <c r="AE70" s="1"/>
      <c r="AF70" s="1">
        <f t="shared" ca="1" si="85"/>
        <v>0.81713649375211006</v>
      </c>
      <c r="AG70" s="1">
        <f t="shared" ca="1" si="86"/>
        <v>538</v>
      </c>
      <c r="AH70" s="1">
        <f t="shared" ca="1" si="87"/>
        <v>3.0280757985009831E-3</v>
      </c>
      <c r="AJ70" s="1">
        <f t="shared" ca="1" si="88"/>
        <v>0.77103017068000479</v>
      </c>
      <c r="AK70" s="1">
        <f t="shared" ca="1" si="89"/>
        <v>6.7688188944280353E-3</v>
      </c>
      <c r="AL70" s="1"/>
      <c r="AM70" s="1">
        <f t="shared" ca="1" si="90"/>
        <v>0.10791599012969137</v>
      </c>
      <c r="AN70" s="1">
        <f t="shared" ca="1" si="91"/>
        <v>17</v>
      </c>
      <c r="AO70" s="1">
        <f t="shared" ca="1" si="92"/>
        <v>5</v>
      </c>
      <c r="AQ70" s="1">
        <f t="shared" ca="1" si="93"/>
        <v>151</v>
      </c>
      <c r="AR70" s="1">
        <f t="shared" ca="1" si="94"/>
        <v>7</v>
      </c>
      <c r="AS70" s="1">
        <f t="shared" ca="1" si="95"/>
        <v>26</v>
      </c>
      <c r="AU70" s="1">
        <f t="shared" ca="1" si="96"/>
        <v>110</v>
      </c>
      <c r="AV70" s="1">
        <f t="shared" ca="1" si="97"/>
        <v>9</v>
      </c>
      <c r="AW70" s="1">
        <f t="shared" ca="1" si="98"/>
        <v>0.18281738500346537</v>
      </c>
      <c r="AY70" s="1">
        <f t="shared" ca="1" si="99"/>
        <v>1.8210719548559826</v>
      </c>
      <c r="AZ70" s="1">
        <f t="shared" ca="1" si="100"/>
        <v>226</v>
      </c>
      <c r="BA70" s="1">
        <f t="shared" ca="1" si="101"/>
        <v>4.2160623775918081E-3</v>
      </c>
      <c r="BV70" s="1">
        <f t="shared" ca="1" si="102"/>
        <v>0.78368363413364794</v>
      </c>
      <c r="BW70" s="1">
        <f t="shared" ca="1" si="103"/>
        <v>195</v>
      </c>
      <c r="BX70" s="1">
        <f t="shared" ca="1" si="104"/>
        <v>3.7554912195246252E-3</v>
      </c>
      <c r="BY70" s="1">
        <f t="shared" ca="1" si="105"/>
        <v>1.1989101302669187E-2</v>
      </c>
      <c r="BZ70" s="1">
        <f t="shared" ca="1" si="106"/>
        <v>0.49052092221436627</v>
      </c>
      <c r="CB70" s="1">
        <f t="shared" ca="1" si="107"/>
        <v>476</v>
      </c>
      <c r="CC70" s="1">
        <f t="shared" ca="1" si="108"/>
        <v>7</v>
      </c>
      <c r="CD70" s="1">
        <f t="shared" ca="1" si="109"/>
        <v>0.27750097159057291</v>
      </c>
      <c r="CE70" s="1">
        <f t="shared" ca="1" si="110"/>
        <v>0.80345243079537865</v>
      </c>
      <c r="CF70" s="1">
        <f t="shared" ca="1" si="110"/>
        <v>0.84172715509935891</v>
      </c>
      <c r="CH70" s="3">
        <f t="shared" ca="1" si="111"/>
        <v>0.81177147134329231</v>
      </c>
      <c r="CI70" s="3">
        <f t="shared" ca="1" si="112"/>
        <v>0.81535407144096972</v>
      </c>
      <c r="CJ70" s="3">
        <f t="shared" ca="1" si="113"/>
        <v>246</v>
      </c>
      <c r="CK70" s="3">
        <f t="shared" ca="1" si="114"/>
        <v>1.8555658174075279E-3</v>
      </c>
      <c r="CL70" s="3">
        <f t="shared" ca="1" si="115"/>
        <v>1</v>
      </c>
      <c r="CM70" s="3"/>
      <c r="CN70" s="1">
        <f t="shared" ca="1" si="116"/>
        <v>2.2942468782012568</v>
      </c>
      <c r="CO70" s="1">
        <f t="shared" ca="1" si="117"/>
        <v>0.49228401788176068</v>
      </c>
      <c r="CP70" s="1">
        <f t="shared" ca="1" si="118"/>
        <v>2</v>
      </c>
      <c r="DH70" s="1">
        <f t="shared" ca="1" si="119"/>
        <v>162</v>
      </c>
      <c r="DI70" s="1">
        <f t="shared" ca="1" si="120"/>
        <v>0.40522641927717395</v>
      </c>
      <c r="DJ70" s="1">
        <f t="shared" ca="1" si="121"/>
        <v>28</v>
      </c>
      <c r="DL70" s="1">
        <f t="shared" ca="1" si="122"/>
        <v>3.024250173050274E-2</v>
      </c>
      <c r="DM70" s="1">
        <f t="shared" ca="1" si="123"/>
        <v>223</v>
      </c>
      <c r="DN70" s="1">
        <f t="shared" ca="1" si="124"/>
        <v>10</v>
      </c>
    </row>
    <row r="71" spans="2:118" x14ac:dyDescent="0.25">
      <c r="B71">
        <f t="shared" ca="1" si="63"/>
        <v>384</v>
      </c>
      <c r="C71">
        <f t="shared" ca="1" si="64"/>
        <v>27</v>
      </c>
      <c r="D71">
        <f t="shared" ca="1" si="65"/>
        <v>0.13731331248660042</v>
      </c>
      <c r="F71" s="1">
        <f t="shared" ca="1" si="66"/>
        <v>14</v>
      </c>
      <c r="G71" s="1">
        <f t="shared" ca="1" si="67"/>
        <v>13</v>
      </c>
      <c r="H71" s="1">
        <f t="shared" ca="1" si="68"/>
        <v>7</v>
      </c>
      <c r="I71" s="1"/>
      <c r="J71" s="1">
        <f t="shared" ca="1" si="69"/>
        <v>24</v>
      </c>
      <c r="K71" s="1">
        <f t="shared" ca="1" si="70"/>
        <v>1.9046245638854276</v>
      </c>
      <c r="L71" s="1">
        <f t="shared" ca="1" si="71"/>
        <v>8</v>
      </c>
      <c r="M71" s="1"/>
      <c r="N71" s="1">
        <f t="shared" ca="1" si="72"/>
        <v>170</v>
      </c>
      <c r="O71" s="1">
        <f t="shared" ca="1" si="73"/>
        <v>50</v>
      </c>
      <c r="P71" s="1"/>
      <c r="Q71" s="1">
        <f t="shared" ca="1" si="74"/>
        <v>2.8121966551784912</v>
      </c>
      <c r="R71" s="1">
        <f t="shared" ca="1" si="75"/>
        <v>712</v>
      </c>
      <c r="S71" s="1"/>
      <c r="T71" s="1">
        <f t="shared" ca="1" si="76"/>
        <v>0.18687362058590873</v>
      </c>
      <c r="U71" s="1">
        <f t="shared" ca="1" si="77"/>
        <v>210</v>
      </c>
      <c r="V71" s="1">
        <f t="shared" ca="1" si="78"/>
        <v>27</v>
      </c>
      <c r="W71" s="1"/>
      <c r="X71" s="1">
        <f t="shared" ca="1" si="79"/>
        <v>8.835559341822794</v>
      </c>
      <c r="Y71" s="1">
        <f t="shared" ca="1" si="80"/>
        <v>0.97030859803958891</v>
      </c>
      <c r="Z71" s="1">
        <f t="shared" ca="1" si="81"/>
        <v>1882</v>
      </c>
      <c r="AB71" s="1">
        <f t="shared" ca="1" si="82"/>
        <v>0.77889425172201532</v>
      </c>
      <c r="AC71" s="1">
        <f t="shared" ca="1" si="83"/>
        <v>165</v>
      </c>
      <c r="AD71" s="1">
        <f t="shared" ca="1" si="84"/>
        <v>2.8038770178451423E-4</v>
      </c>
      <c r="AE71" s="1"/>
      <c r="AF71" s="1">
        <f t="shared" ca="1" si="85"/>
        <v>0.80564739488589532</v>
      </c>
      <c r="AG71" s="1">
        <f t="shared" ca="1" si="86"/>
        <v>354</v>
      </c>
      <c r="AH71" s="1">
        <f t="shared" ca="1" si="87"/>
        <v>3.9835301198659105E-3</v>
      </c>
      <c r="AJ71" s="1">
        <f t="shared" ca="1" si="88"/>
        <v>0.57411886508105692</v>
      </c>
      <c r="AK71" s="1">
        <f t="shared" ca="1" si="89"/>
        <v>5.4386320718837781E-3</v>
      </c>
      <c r="AL71" s="1"/>
      <c r="AM71" s="1">
        <f t="shared" ca="1" si="90"/>
        <v>0.19061914939073529</v>
      </c>
      <c r="AN71" s="1">
        <f t="shared" ca="1" si="91"/>
        <v>67</v>
      </c>
      <c r="AO71" s="1">
        <f t="shared" ca="1" si="92"/>
        <v>17</v>
      </c>
      <c r="AQ71" s="1">
        <f t="shared" ca="1" si="93"/>
        <v>154</v>
      </c>
      <c r="AR71" s="1">
        <f t="shared" ca="1" si="94"/>
        <v>0</v>
      </c>
      <c r="AS71" s="1">
        <f t="shared" ca="1" si="95"/>
        <v>31</v>
      </c>
      <c r="AU71" s="1">
        <f t="shared" ca="1" si="96"/>
        <v>362</v>
      </c>
      <c r="AV71" s="1">
        <f t="shared" ca="1" si="97"/>
        <v>5</v>
      </c>
      <c r="AW71" s="1">
        <f t="shared" ca="1" si="98"/>
        <v>0.1208384949879962</v>
      </c>
      <c r="AY71" s="1">
        <f t="shared" ca="1" si="99"/>
        <v>1.8120555453948439</v>
      </c>
      <c r="AZ71" s="1">
        <f t="shared" ca="1" si="100"/>
        <v>213</v>
      </c>
      <c r="BA71" s="1">
        <f t="shared" ca="1" si="101"/>
        <v>2.9216056184351862E-3</v>
      </c>
      <c r="BV71" s="1">
        <f t="shared" ca="1" si="102"/>
        <v>0.50561293780747807</v>
      </c>
      <c r="BW71" s="1">
        <f t="shared" ca="1" si="103"/>
        <v>603</v>
      </c>
      <c r="BX71" s="1">
        <f t="shared" ca="1" si="104"/>
        <v>9.8976447653387981E-3</v>
      </c>
      <c r="BY71" s="1">
        <f t="shared" ca="1" si="105"/>
        <v>4.129320704798773E-2</v>
      </c>
      <c r="BZ71" s="1">
        <f t="shared" ca="1" si="106"/>
        <v>0.84967568372717817</v>
      </c>
      <c r="CB71" s="1">
        <f t="shared" ca="1" si="107"/>
        <v>51</v>
      </c>
      <c r="CC71" s="1">
        <f t="shared" ca="1" si="108"/>
        <v>3</v>
      </c>
      <c r="CD71" s="1">
        <f t="shared" ca="1" si="109"/>
        <v>0.22177673823465083</v>
      </c>
      <c r="CE71" s="1">
        <f t="shared" ca="1" si="110"/>
        <v>0.87109579092661449</v>
      </c>
      <c r="CF71" s="1">
        <f t="shared" ca="1" si="110"/>
        <v>0.65819836571381085</v>
      </c>
      <c r="CH71" s="3">
        <f t="shared" ca="1" si="111"/>
        <v>0.73453030372007211</v>
      </c>
      <c r="CI71" s="3">
        <f t="shared" ca="1" si="112"/>
        <v>0.8566652368742842</v>
      </c>
      <c r="CJ71" s="3">
        <f t="shared" ca="1" si="113"/>
        <v>604</v>
      </c>
      <c r="CK71" s="3">
        <f t="shared" ca="1" si="114"/>
        <v>5.5457014747217698E-3</v>
      </c>
      <c r="CL71" s="3">
        <f t="shared" ca="1" si="115"/>
        <v>0</v>
      </c>
      <c r="CM71" s="3"/>
      <c r="CN71" s="1">
        <f t="shared" ca="1" si="116"/>
        <v>15.453249235991569</v>
      </c>
      <c r="CO71" s="1">
        <f t="shared" ca="1" si="117"/>
        <v>0.25090047629087331</v>
      </c>
      <c r="CP71" s="1">
        <f t="shared" ca="1" si="118"/>
        <v>2</v>
      </c>
      <c r="DH71" s="1">
        <f t="shared" ca="1" si="119"/>
        <v>668</v>
      </c>
      <c r="DI71" s="1">
        <f t="shared" ca="1" si="120"/>
        <v>0.38627644101914455</v>
      </c>
      <c r="DJ71" s="1">
        <f t="shared" ca="1" si="121"/>
        <v>30</v>
      </c>
      <c r="DL71" s="1">
        <f t="shared" ca="1" si="122"/>
        <v>0.13430801448346039</v>
      </c>
      <c r="DM71" s="1">
        <f t="shared" ca="1" si="123"/>
        <v>134</v>
      </c>
      <c r="DN71" s="1">
        <f t="shared" ca="1" si="124"/>
        <v>9</v>
      </c>
    </row>
    <row r="72" spans="2:118" x14ac:dyDescent="0.25">
      <c r="B72">
        <f t="shared" ca="1" si="63"/>
        <v>23</v>
      </c>
      <c r="C72">
        <f t="shared" ca="1" si="64"/>
        <v>12</v>
      </c>
      <c r="D72">
        <f t="shared" ca="1" si="65"/>
        <v>0.17318411297706565</v>
      </c>
      <c r="F72" s="1">
        <f t="shared" ca="1" si="66"/>
        <v>52</v>
      </c>
      <c r="G72" s="1">
        <f t="shared" ca="1" si="67"/>
        <v>6</v>
      </c>
      <c r="H72" s="1">
        <f t="shared" ca="1" si="68"/>
        <v>8</v>
      </c>
      <c r="I72" s="1"/>
      <c r="J72" s="1">
        <f t="shared" ca="1" si="69"/>
        <v>8</v>
      </c>
      <c r="K72" s="1">
        <f t="shared" ca="1" si="70"/>
        <v>1.9869705437976275</v>
      </c>
      <c r="L72" s="1">
        <f t="shared" ca="1" si="71"/>
        <v>24</v>
      </c>
      <c r="M72" s="1"/>
      <c r="N72" s="1">
        <f t="shared" ca="1" si="72"/>
        <v>597</v>
      </c>
      <c r="O72" s="1">
        <f t="shared" ca="1" si="73"/>
        <v>36</v>
      </c>
      <c r="P72" s="1"/>
      <c r="Q72" s="1">
        <f t="shared" ca="1" si="74"/>
        <v>1.5791060444087133</v>
      </c>
      <c r="R72" s="1">
        <f t="shared" ca="1" si="75"/>
        <v>1178</v>
      </c>
      <c r="S72" s="1"/>
      <c r="T72" s="1">
        <f t="shared" ca="1" si="76"/>
        <v>0.12853380067587941</v>
      </c>
      <c r="U72" s="1">
        <f t="shared" ca="1" si="77"/>
        <v>265</v>
      </c>
      <c r="V72" s="1">
        <f t="shared" ca="1" si="78"/>
        <v>15</v>
      </c>
      <c r="W72" s="1"/>
      <c r="X72" s="1">
        <f t="shared" ca="1" si="79"/>
        <v>5.1888891238593944</v>
      </c>
      <c r="Y72" s="1">
        <f t="shared" ca="1" si="80"/>
        <v>0.21237523837065397</v>
      </c>
      <c r="Z72" s="1">
        <f t="shared" ca="1" si="81"/>
        <v>883</v>
      </c>
      <c r="AB72" s="1">
        <f t="shared" ca="1" si="82"/>
        <v>2.9527563321083559E-2</v>
      </c>
      <c r="AC72" s="1">
        <f t="shared" ca="1" si="83"/>
        <v>173</v>
      </c>
      <c r="AD72" s="1">
        <f t="shared" ca="1" si="84"/>
        <v>7.3193098731225833E-3</v>
      </c>
      <c r="AE72" s="1"/>
      <c r="AF72" s="1">
        <f t="shared" ca="1" si="85"/>
        <v>0.20702317494688316</v>
      </c>
      <c r="AG72" s="1">
        <f t="shared" ca="1" si="86"/>
        <v>840</v>
      </c>
      <c r="AH72" s="1">
        <f t="shared" ca="1" si="87"/>
        <v>1.1046099467166778E-3</v>
      </c>
      <c r="AJ72" s="1">
        <f t="shared" ca="1" si="88"/>
        <v>1.5489442613404014E-2</v>
      </c>
      <c r="AK72" s="1">
        <f t="shared" ca="1" si="89"/>
        <v>1.2388099648234429E-3</v>
      </c>
      <c r="AL72" s="1"/>
      <c r="AM72" s="1">
        <f t="shared" ca="1" si="90"/>
        <v>1.3277249051017164E-2</v>
      </c>
      <c r="AN72" s="1">
        <f t="shared" ca="1" si="91"/>
        <v>27</v>
      </c>
      <c r="AO72" s="1">
        <f t="shared" ca="1" si="92"/>
        <v>6</v>
      </c>
      <c r="AQ72" s="1">
        <f t="shared" ca="1" si="93"/>
        <v>104</v>
      </c>
      <c r="AR72" s="1">
        <f t="shared" ca="1" si="94"/>
        <v>5</v>
      </c>
      <c r="AS72" s="1">
        <f t="shared" ca="1" si="95"/>
        <v>84</v>
      </c>
      <c r="AU72" s="1">
        <f t="shared" ca="1" si="96"/>
        <v>236</v>
      </c>
      <c r="AV72" s="1">
        <f t="shared" ca="1" si="97"/>
        <v>7</v>
      </c>
      <c r="AW72" s="1">
        <f t="shared" ca="1" si="98"/>
        <v>0.15000027570148269</v>
      </c>
      <c r="AY72" s="1">
        <f t="shared" ca="1" si="99"/>
        <v>1.9770029034708325</v>
      </c>
      <c r="AZ72" s="1">
        <f t="shared" ca="1" si="100"/>
        <v>465</v>
      </c>
      <c r="BA72" s="1">
        <f t="shared" ca="1" si="101"/>
        <v>1.4739535189197534E-4</v>
      </c>
      <c r="BV72" s="1">
        <f t="shared" ca="1" si="102"/>
        <v>8.2691342498905404E-2</v>
      </c>
      <c r="BW72" s="1">
        <f t="shared" ca="1" si="103"/>
        <v>178</v>
      </c>
      <c r="BX72" s="1">
        <f t="shared" ca="1" si="104"/>
        <v>8.3438159282564345E-3</v>
      </c>
      <c r="BY72" s="1">
        <f t="shared" ca="1" si="105"/>
        <v>1.6811973336646354E-2</v>
      </c>
      <c r="BZ72" s="1">
        <f t="shared" ca="1" si="106"/>
        <v>0.29375927221846054</v>
      </c>
      <c r="CB72" s="1">
        <f t="shared" ca="1" si="107"/>
        <v>121</v>
      </c>
      <c r="CC72" s="1">
        <f t="shared" ca="1" si="108"/>
        <v>14</v>
      </c>
      <c r="CD72" s="1">
        <f t="shared" ca="1" si="109"/>
        <v>0.2903324862878523</v>
      </c>
      <c r="CE72" s="1">
        <f t="shared" ca="1" si="110"/>
        <v>0.79765383463243</v>
      </c>
      <c r="CF72" s="1">
        <f t="shared" ca="1" si="110"/>
        <v>0.82790009158172317</v>
      </c>
      <c r="CH72" s="3">
        <f t="shared" ca="1" si="111"/>
        <v>6.826673698787708E-2</v>
      </c>
      <c r="CI72" s="3">
        <f t="shared" ca="1" si="112"/>
        <v>0.12315493694738151</v>
      </c>
      <c r="CJ72" s="3">
        <f t="shared" ca="1" si="113"/>
        <v>652</v>
      </c>
      <c r="CK72" s="3">
        <f t="shared" ca="1" si="114"/>
        <v>3.5940543023721674E-3</v>
      </c>
      <c r="CL72" s="3">
        <f t="shared" ca="1" si="115"/>
        <v>0</v>
      </c>
      <c r="CM72" s="3"/>
      <c r="CN72" s="1">
        <f t="shared" ca="1" si="116"/>
        <v>18.590870423269347</v>
      </c>
      <c r="CO72" s="1">
        <f t="shared" ca="1" si="117"/>
        <v>0.22995162314845766</v>
      </c>
      <c r="CP72" s="1">
        <f t="shared" ca="1" si="118"/>
        <v>4</v>
      </c>
      <c r="DH72" s="1">
        <f t="shared" ca="1" si="119"/>
        <v>670</v>
      </c>
      <c r="DI72" s="1">
        <f t="shared" ca="1" si="120"/>
        <v>0.98764213215425689</v>
      </c>
      <c r="DJ72" s="1">
        <f t="shared" ca="1" si="121"/>
        <v>27</v>
      </c>
      <c r="DL72" s="1">
        <f t="shared" ca="1" si="122"/>
        <v>3.3518755254748143E-2</v>
      </c>
      <c r="DM72" s="1">
        <f t="shared" ca="1" si="123"/>
        <v>238</v>
      </c>
      <c r="DN72" s="1">
        <f t="shared" ca="1" si="124"/>
        <v>8</v>
      </c>
    </row>
    <row r="73" spans="2:118" x14ac:dyDescent="0.25">
      <c r="B73">
        <f t="shared" ca="1" si="63"/>
        <v>861</v>
      </c>
      <c r="C73">
        <f t="shared" ca="1" si="64"/>
        <v>23</v>
      </c>
      <c r="D73">
        <f t="shared" ca="1" si="65"/>
        <v>0.21639610403040022</v>
      </c>
      <c r="F73" s="1">
        <f t="shared" ca="1" si="66"/>
        <v>43</v>
      </c>
      <c r="G73" s="1">
        <f t="shared" ca="1" si="67"/>
        <v>17</v>
      </c>
      <c r="H73" s="1">
        <f t="shared" ca="1" si="68"/>
        <v>9</v>
      </c>
      <c r="I73" s="1"/>
      <c r="J73" s="1">
        <f t="shared" ca="1" si="69"/>
        <v>24</v>
      </c>
      <c r="K73" s="1">
        <f t="shared" ca="1" si="70"/>
        <v>2.4858363630609102</v>
      </c>
      <c r="L73" s="1">
        <f t="shared" ca="1" si="71"/>
        <v>17</v>
      </c>
      <c r="M73" s="1"/>
      <c r="N73" s="1">
        <f t="shared" ca="1" si="72"/>
        <v>530</v>
      </c>
      <c r="O73" s="1">
        <f t="shared" ca="1" si="73"/>
        <v>28</v>
      </c>
      <c r="P73" s="1"/>
      <c r="Q73" s="1">
        <f t="shared" ca="1" si="74"/>
        <v>2.4147233177000618</v>
      </c>
      <c r="R73" s="1">
        <f t="shared" ca="1" si="75"/>
        <v>791</v>
      </c>
      <c r="S73" s="1"/>
      <c r="T73" s="1">
        <f t="shared" ca="1" si="76"/>
        <v>0.16175777843697231</v>
      </c>
      <c r="U73" s="1">
        <f t="shared" ca="1" si="77"/>
        <v>55</v>
      </c>
      <c r="V73" s="1">
        <f t="shared" ca="1" si="78"/>
        <v>19</v>
      </c>
      <c r="W73" s="1"/>
      <c r="X73" s="1">
        <f t="shared" ca="1" si="79"/>
        <v>3.8861436388621762</v>
      </c>
      <c r="Y73" s="1">
        <f t="shared" ca="1" si="80"/>
        <v>3.3329963332839121E-2</v>
      </c>
      <c r="Z73" s="1">
        <f t="shared" ca="1" si="81"/>
        <v>565</v>
      </c>
      <c r="AB73" s="1">
        <f t="shared" ca="1" si="82"/>
        <v>1.6821510789915468E-2</v>
      </c>
      <c r="AC73" s="1">
        <f t="shared" ca="1" si="83"/>
        <v>123</v>
      </c>
      <c r="AD73" s="1">
        <f t="shared" ca="1" si="84"/>
        <v>7.3817471460222456E-3</v>
      </c>
      <c r="AE73" s="1"/>
      <c r="AF73" s="1">
        <f t="shared" ca="1" si="85"/>
        <v>0.3327147276454252</v>
      </c>
      <c r="AG73" s="1">
        <f t="shared" ca="1" si="86"/>
        <v>570</v>
      </c>
      <c r="AH73" s="1">
        <f t="shared" ca="1" si="87"/>
        <v>5.878180591990744E-3</v>
      </c>
      <c r="AJ73" s="1">
        <f t="shared" ca="1" si="88"/>
        <v>0.25952746048084929</v>
      </c>
      <c r="AK73" s="1">
        <f t="shared" ca="1" si="89"/>
        <v>6.6615571293955891E-3</v>
      </c>
      <c r="AL73" s="1"/>
      <c r="AM73" s="1">
        <f t="shared" ca="1" si="90"/>
        <v>7.3249169195360175E-2</v>
      </c>
      <c r="AN73" s="1">
        <f t="shared" ca="1" si="91"/>
        <v>62</v>
      </c>
      <c r="AO73" s="1">
        <f t="shared" ca="1" si="92"/>
        <v>4</v>
      </c>
      <c r="AQ73" s="1">
        <f t="shared" ca="1" si="93"/>
        <v>19</v>
      </c>
      <c r="AR73" s="1">
        <f t="shared" ca="1" si="94"/>
        <v>6</v>
      </c>
      <c r="AS73" s="1">
        <f t="shared" ca="1" si="95"/>
        <v>14</v>
      </c>
      <c r="AU73" s="1">
        <f t="shared" ca="1" si="96"/>
        <v>54</v>
      </c>
      <c r="AV73" s="1">
        <f t="shared" ca="1" si="97"/>
        <v>4</v>
      </c>
      <c r="AW73" s="1">
        <f t="shared" ca="1" si="98"/>
        <v>0.14990299847584329</v>
      </c>
      <c r="AY73" s="1">
        <f t="shared" ca="1" si="99"/>
        <v>1.7912466756401504</v>
      </c>
      <c r="AZ73" s="1">
        <f t="shared" ca="1" si="100"/>
        <v>417</v>
      </c>
      <c r="BA73" s="1">
        <f t="shared" ca="1" si="101"/>
        <v>4.3978102508546056E-3</v>
      </c>
      <c r="BV73" s="1">
        <f t="shared" ca="1" si="102"/>
        <v>0.42610011477967069</v>
      </c>
      <c r="BW73" s="1">
        <f t="shared" ca="1" si="103"/>
        <v>937</v>
      </c>
      <c r="BX73" s="1">
        <f t="shared" ca="1" si="104"/>
        <v>6.3790670768056881E-3</v>
      </c>
      <c r="BY73" s="1">
        <f t="shared" ca="1" si="105"/>
        <v>6.4106456722751601E-2</v>
      </c>
      <c r="BZ73" s="1">
        <f t="shared" ca="1" si="106"/>
        <v>0.50121157502701197</v>
      </c>
      <c r="CB73" s="1">
        <f t="shared" ca="1" si="107"/>
        <v>142</v>
      </c>
      <c r="CC73" s="1">
        <f t="shared" ca="1" si="108"/>
        <v>3</v>
      </c>
      <c r="CD73" s="1">
        <f t="shared" ca="1" si="109"/>
        <v>0.1458095136448673</v>
      </c>
      <c r="CE73" s="1">
        <f t="shared" ca="1" si="110"/>
        <v>0.86296599391572582</v>
      </c>
      <c r="CF73" s="1">
        <f t="shared" ca="1" si="110"/>
        <v>0.93379486198984629</v>
      </c>
      <c r="CH73" s="3">
        <f t="shared" ca="1" si="111"/>
        <v>0.63405507904630531</v>
      </c>
      <c r="CI73" s="3">
        <f t="shared" ca="1" si="112"/>
        <v>0.92523908662967824</v>
      </c>
      <c r="CJ73" s="3">
        <f t="shared" ca="1" si="113"/>
        <v>919</v>
      </c>
      <c r="CK73" s="3">
        <f t="shared" ca="1" si="114"/>
        <v>5.0437157072839066E-3</v>
      </c>
      <c r="CL73" s="3">
        <f t="shared" ca="1" si="115"/>
        <v>1</v>
      </c>
      <c r="CM73" s="3"/>
      <c r="CN73" s="1">
        <f t="shared" ca="1" si="116"/>
        <v>16.851550501133019</v>
      </c>
      <c r="CO73" s="1">
        <f t="shared" ca="1" si="117"/>
        <v>0.14649283105066438</v>
      </c>
      <c r="CP73" s="1">
        <f t="shared" ca="1" si="118"/>
        <v>1</v>
      </c>
      <c r="DH73" s="1">
        <f t="shared" ca="1" si="119"/>
        <v>27</v>
      </c>
      <c r="DI73" s="1">
        <f t="shared" ca="1" si="120"/>
        <v>0.23327020709930979</v>
      </c>
      <c r="DJ73" s="1">
        <f t="shared" ca="1" si="121"/>
        <v>24</v>
      </c>
      <c r="DL73" s="1">
        <f t="shared" ca="1" si="122"/>
        <v>0.18615594787967213</v>
      </c>
      <c r="DM73" s="1">
        <f t="shared" ca="1" si="123"/>
        <v>166</v>
      </c>
      <c r="DN73" s="1">
        <f t="shared" ca="1" si="124"/>
        <v>10</v>
      </c>
    </row>
    <row r="74" spans="2:118" x14ac:dyDescent="0.25">
      <c r="B74">
        <f t="shared" ca="1" si="63"/>
        <v>892</v>
      </c>
      <c r="C74">
        <f t="shared" ca="1" si="64"/>
        <v>25</v>
      </c>
      <c r="D74">
        <f t="shared" ca="1" si="65"/>
        <v>4.1248245324655937E-2</v>
      </c>
      <c r="F74" s="1">
        <f t="shared" ca="1" si="66"/>
        <v>41</v>
      </c>
      <c r="G74" s="1">
        <f t="shared" ca="1" si="67"/>
        <v>13</v>
      </c>
      <c r="H74" s="1">
        <f t="shared" ca="1" si="68"/>
        <v>14</v>
      </c>
      <c r="I74" s="1"/>
      <c r="J74" s="1">
        <f t="shared" ca="1" si="69"/>
        <v>33</v>
      </c>
      <c r="K74" s="1">
        <f t="shared" ca="1" si="70"/>
        <v>1.4906014932326683</v>
      </c>
      <c r="L74" s="1">
        <f t="shared" ca="1" si="71"/>
        <v>7</v>
      </c>
      <c r="M74" s="1"/>
      <c r="N74" s="1">
        <f t="shared" ca="1" si="72"/>
        <v>944</v>
      </c>
      <c r="O74" s="1">
        <f t="shared" ca="1" si="73"/>
        <v>2</v>
      </c>
      <c r="P74" s="1"/>
      <c r="Q74" s="1">
        <f t="shared" ca="1" si="74"/>
        <v>0.43848465843266815</v>
      </c>
      <c r="R74" s="1">
        <f t="shared" ca="1" si="75"/>
        <v>532</v>
      </c>
      <c r="S74" s="1"/>
      <c r="T74" s="1">
        <f t="shared" ca="1" si="76"/>
        <v>0.1911243902961044</v>
      </c>
      <c r="U74" s="1">
        <f t="shared" ca="1" si="77"/>
        <v>107</v>
      </c>
      <c r="V74" s="1">
        <f t="shared" ca="1" si="78"/>
        <v>37</v>
      </c>
      <c r="W74" s="1"/>
      <c r="X74" s="1">
        <f t="shared" ca="1" si="79"/>
        <v>2.8828931430740012</v>
      </c>
      <c r="Y74" s="1">
        <f t="shared" ca="1" si="80"/>
        <v>0.98388006704666442</v>
      </c>
      <c r="Z74" s="1">
        <f t="shared" ca="1" si="81"/>
        <v>1302</v>
      </c>
      <c r="AB74" s="1">
        <f t="shared" ca="1" si="82"/>
        <v>0.94084364139449117</v>
      </c>
      <c r="AC74" s="1">
        <f t="shared" ca="1" si="83"/>
        <v>533</v>
      </c>
      <c r="AD74" s="1">
        <f t="shared" ca="1" si="84"/>
        <v>7.2652865612099129E-3</v>
      </c>
      <c r="AE74" s="1"/>
      <c r="AF74" s="1">
        <f t="shared" ca="1" si="85"/>
        <v>0.26169395824895447</v>
      </c>
      <c r="AG74" s="1">
        <f t="shared" ca="1" si="86"/>
        <v>199</v>
      </c>
      <c r="AH74" s="1">
        <f t="shared" ca="1" si="87"/>
        <v>3.148186305208999E-3</v>
      </c>
      <c r="AJ74" s="1">
        <f t="shared" ca="1" si="88"/>
        <v>0.54442975961720919</v>
      </c>
      <c r="AK74" s="1">
        <f t="shared" ca="1" si="89"/>
        <v>9.2196662937721226E-3</v>
      </c>
      <c r="AL74" s="1"/>
      <c r="AM74" s="1">
        <f t="shared" ca="1" si="90"/>
        <v>7.2588619158824419E-2</v>
      </c>
      <c r="AN74" s="1">
        <f t="shared" ca="1" si="91"/>
        <v>72</v>
      </c>
      <c r="AO74" s="1">
        <f t="shared" ca="1" si="92"/>
        <v>3</v>
      </c>
      <c r="AQ74" s="1">
        <f t="shared" ca="1" si="93"/>
        <v>17</v>
      </c>
      <c r="AR74" s="1">
        <f t="shared" ca="1" si="94"/>
        <v>8</v>
      </c>
      <c r="AS74" s="1">
        <f t="shared" ca="1" si="95"/>
        <v>68</v>
      </c>
      <c r="AU74" s="1">
        <f t="shared" ca="1" si="96"/>
        <v>292</v>
      </c>
      <c r="AV74" s="1">
        <f t="shared" ca="1" si="97"/>
        <v>5</v>
      </c>
      <c r="AW74" s="1">
        <f t="shared" ca="1" si="98"/>
        <v>0.12627880009173939</v>
      </c>
      <c r="AY74" s="1">
        <f t="shared" ca="1" si="99"/>
        <v>1.5801459350903269</v>
      </c>
      <c r="AZ74" s="1">
        <f t="shared" ca="1" si="100"/>
        <v>57</v>
      </c>
      <c r="BA74" s="1">
        <f t="shared" ca="1" si="101"/>
        <v>9.450455913817872E-3</v>
      </c>
      <c r="BV74" s="1">
        <f t="shared" ca="1" si="102"/>
        <v>0.36773433345460599</v>
      </c>
      <c r="BW74" s="1">
        <f t="shared" ca="1" si="103"/>
        <v>173</v>
      </c>
      <c r="BX74" s="1">
        <f t="shared" ca="1" si="104"/>
        <v>2.9661632319287041E-3</v>
      </c>
      <c r="BY74" s="1">
        <f t="shared" ca="1" si="105"/>
        <v>1.3210010207465518E-2</v>
      </c>
      <c r="BZ74" s="1">
        <f t="shared" ca="1" si="106"/>
        <v>0.88217733513337315</v>
      </c>
      <c r="CB74" s="1">
        <f t="shared" ca="1" si="107"/>
        <v>80</v>
      </c>
      <c r="CC74" s="1">
        <f t="shared" ca="1" si="108"/>
        <v>12</v>
      </c>
      <c r="CD74" s="1">
        <f t="shared" ca="1" si="109"/>
        <v>0.12842440791453999</v>
      </c>
      <c r="CE74" s="1">
        <f t="shared" ca="1" si="110"/>
        <v>0.55060525315475251</v>
      </c>
      <c r="CF74" s="1">
        <f t="shared" ca="1" si="110"/>
        <v>0.57836725558747148</v>
      </c>
      <c r="CH74" s="3">
        <f t="shared" ca="1" si="111"/>
        <v>0.9790470143392539</v>
      </c>
      <c r="CI74" s="3">
        <f t="shared" ca="1" si="112"/>
        <v>0.10750664249766678</v>
      </c>
      <c r="CJ74" s="3">
        <f t="shared" ca="1" si="113"/>
        <v>448</v>
      </c>
      <c r="CK74" s="3">
        <f t="shared" ca="1" si="114"/>
        <v>8.0670501730462901E-3</v>
      </c>
      <c r="CL74" s="3">
        <f t="shared" ca="1" si="115"/>
        <v>1</v>
      </c>
      <c r="CM74" s="3"/>
      <c r="CN74" s="1">
        <f t="shared" ca="1" si="116"/>
        <v>6.4949243078844212</v>
      </c>
      <c r="CO74" s="1">
        <f t="shared" ca="1" si="117"/>
        <v>0.10551469458229155</v>
      </c>
      <c r="CP74" s="1">
        <f t="shared" ca="1" si="118"/>
        <v>5</v>
      </c>
      <c r="DH74" s="1">
        <f t="shared" ca="1" si="119"/>
        <v>552</v>
      </c>
      <c r="DI74" s="1">
        <f t="shared" ca="1" si="120"/>
        <v>0.32089004334812898</v>
      </c>
      <c r="DJ74" s="1">
        <f t="shared" ca="1" si="121"/>
        <v>18</v>
      </c>
      <c r="DL74" s="1">
        <f t="shared" ca="1" si="122"/>
        <v>6.4601224046345704E-2</v>
      </c>
      <c r="DM74" s="1">
        <f t="shared" ca="1" si="123"/>
        <v>283</v>
      </c>
      <c r="DN74" s="1">
        <f t="shared" ca="1" si="124"/>
        <v>6</v>
      </c>
    </row>
    <row r="75" spans="2:118" x14ac:dyDescent="0.25">
      <c r="B75">
        <f t="shared" ca="1" si="63"/>
        <v>29</v>
      </c>
      <c r="C75">
        <f t="shared" ca="1" si="64"/>
        <v>12</v>
      </c>
      <c r="D75">
        <f t="shared" ca="1" si="65"/>
        <v>0.13522937593633308</v>
      </c>
      <c r="F75" s="1">
        <f t="shared" ca="1" si="66"/>
        <v>11</v>
      </c>
      <c r="G75" s="1">
        <f t="shared" ca="1" si="67"/>
        <v>16</v>
      </c>
      <c r="H75" s="1">
        <f t="shared" ca="1" si="68"/>
        <v>6</v>
      </c>
      <c r="I75" s="1"/>
      <c r="J75" s="1">
        <f t="shared" ca="1" si="69"/>
        <v>24</v>
      </c>
      <c r="K75" s="1">
        <f t="shared" ca="1" si="70"/>
        <v>2.3842613017319976</v>
      </c>
      <c r="L75" s="1">
        <f t="shared" ca="1" si="71"/>
        <v>12</v>
      </c>
      <c r="M75" s="1"/>
      <c r="N75" s="1">
        <f t="shared" ca="1" si="72"/>
        <v>710</v>
      </c>
      <c r="O75" s="1">
        <f t="shared" ca="1" si="73"/>
        <v>23</v>
      </c>
      <c r="P75" s="1"/>
      <c r="Q75" s="1">
        <f t="shared" ca="1" si="74"/>
        <v>4.4047252986363236E-2</v>
      </c>
      <c r="R75" s="1">
        <f t="shared" ca="1" si="75"/>
        <v>348</v>
      </c>
      <c r="S75" s="1"/>
      <c r="T75" s="1">
        <f t="shared" ca="1" si="76"/>
        <v>5.016917859491949E-2</v>
      </c>
      <c r="U75" s="1">
        <f t="shared" ca="1" si="77"/>
        <v>119</v>
      </c>
      <c r="V75" s="1">
        <f t="shared" ca="1" si="78"/>
        <v>51</v>
      </c>
      <c r="W75" s="1"/>
      <c r="X75" s="1">
        <f t="shared" ca="1" si="79"/>
        <v>4.4069380599842152</v>
      </c>
      <c r="Y75" s="1">
        <f t="shared" ca="1" si="80"/>
        <v>0.98102595493531541</v>
      </c>
      <c r="Z75" s="1">
        <f t="shared" ca="1" si="81"/>
        <v>1568</v>
      </c>
      <c r="AB75" s="1">
        <f t="shared" ca="1" si="82"/>
        <v>0.98472642123942222</v>
      </c>
      <c r="AC75" s="1">
        <f t="shared" ca="1" si="83"/>
        <v>579</v>
      </c>
      <c r="AD75" s="1">
        <f t="shared" ca="1" si="84"/>
        <v>4.8689668601940034E-3</v>
      </c>
      <c r="AE75" s="1"/>
      <c r="AF75" s="1">
        <f t="shared" ca="1" si="85"/>
        <v>0.84322188906622075</v>
      </c>
      <c r="AG75" s="1">
        <f t="shared" ca="1" si="86"/>
        <v>219</v>
      </c>
      <c r="AH75" s="1">
        <f t="shared" ca="1" si="87"/>
        <v>1.4963681513452079E-3</v>
      </c>
      <c r="AJ75" s="1">
        <f t="shared" ca="1" si="88"/>
        <v>0.14311565079050059</v>
      </c>
      <c r="AK75" s="1">
        <f t="shared" ca="1" si="89"/>
        <v>3.3495124121433995E-3</v>
      </c>
      <c r="AL75" s="1"/>
      <c r="AM75" s="1">
        <f t="shared" ca="1" si="90"/>
        <v>0.10543543708735273</v>
      </c>
      <c r="AN75" s="1">
        <f t="shared" ca="1" si="91"/>
        <v>69</v>
      </c>
      <c r="AO75" s="1">
        <f t="shared" ca="1" si="92"/>
        <v>10</v>
      </c>
      <c r="AQ75" s="1">
        <f t="shared" ca="1" si="93"/>
        <v>160</v>
      </c>
      <c r="AR75" s="1">
        <f t="shared" ca="1" si="94"/>
        <v>7</v>
      </c>
      <c r="AS75" s="1">
        <f t="shared" ca="1" si="95"/>
        <v>16</v>
      </c>
      <c r="AU75" s="1">
        <f t="shared" ca="1" si="96"/>
        <v>103</v>
      </c>
      <c r="AV75" s="1">
        <f t="shared" ca="1" si="97"/>
        <v>8</v>
      </c>
      <c r="AW75" s="1">
        <f t="shared" ca="1" si="98"/>
        <v>0.13714225767584109</v>
      </c>
      <c r="AY75" s="1">
        <f t="shared" ca="1" si="99"/>
        <v>1.375958499300143</v>
      </c>
      <c r="AZ75" s="1">
        <f t="shared" ca="1" si="100"/>
        <v>268</v>
      </c>
      <c r="BA75" s="1">
        <f t="shared" ca="1" si="101"/>
        <v>9.6398969445008961E-3</v>
      </c>
      <c r="BV75" s="1">
        <f t="shared" ca="1" si="102"/>
        <v>0.45143267821890992</v>
      </c>
      <c r="BW75" s="1">
        <f t="shared" ca="1" si="103"/>
        <v>259</v>
      </c>
      <c r="BX75" s="1">
        <f t="shared" ca="1" si="104"/>
        <v>1.8869290595330025E-3</v>
      </c>
      <c r="BY75" s="1">
        <f t="shared" ca="1" si="105"/>
        <v>3.5190455931871069E-2</v>
      </c>
      <c r="BZ75" s="1">
        <f t="shared" ca="1" si="106"/>
        <v>0.22858481464251312</v>
      </c>
      <c r="CB75" s="1">
        <f t="shared" ca="1" si="107"/>
        <v>339</v>
      </c>
      <c r="CC75" s="1">
        <f t="shared" ca="1" si="108"/>
        <v>5</v>
      </c>
      <c r="CD75" s="1">
        <f t="shared" ca="1" si="109"/>
        <v>7.5531546663277563E-2</v>
      </c>
      <c r="CE75" s="1">
        <f t="shared" ca="1" si="110"/>
        <v>0.64337326270805928</v>
      </c>
      <c r="CF75" s="1">
        <f t="shared" ca="1" si="110"/>
        <v>0.66633481485138657</v>
      </c>
      <c r="CH75" s="3">
        <f t="shared" ca="1" si="111"/>
        <v>0.50307442532493107</v>
      </c>
      <c r="CI75" s="3">
        <f t="shared" ca="1" si="112"/>
        <v>0.75513777805795956</v>
      </c>
      <c r="CJ75" s="3">
        <f t="shared" ca="1" si="113"/>
        <v>1385</v>
      </c>
      <c r="CK75" s="3">
        <f t="shared" ca="1" si="114"/>
        <v>1.7823350339243303E-3</v>
      </c>
      <c r="CL75" s="3">
        <f t="shared" ca="1" si="115"/>
        <v>1</v>
      </c>
      <c r="CM75" s="3"/>
      <c r="CN75" s="1">
        <f t="shared" ca="1" si="116"/>
        <v>14.477818019088861</v>
      </c>
      <c r="CO75" s="1">
        <f t="shared" ca="1" si="117"/>
        <v>0.25527741053675396</v>
      </c>
      <c r="CP75" s="1">
        <f t="shared" ca="1" si="118"/>
        <v>4</v>
      </c>
      <c r="DH75" s="1">
        <f t="shared" ca="1" si="119"/>
        <v>225</v>
      </c>
      <c r="DI75" s="1">
        <f t="shared" ca="1" si="120"/>
        <v>0.41627797596138694</v>
      </c>
      <c r="DJ75" s="1">
        <f t="shared" ca="1" si="121"/>
        <v>21</v>
      </c>
      <c r="DL75" s="1">
        <f t="shared" ca="1" si="122"/>
        <v>4.512366662456925E-2</v>
      </c>
      <c r="DM75" s="1">
        <f t="shared" ca="1" si="123"/>
        <v>109</v>
      </c>
      <c r="DN75" s="1">
        <f t="shared" ca="1" si="124"/>
        <v>9</v>
      </c>
    </row>
    <row r="76" spans="2:118" x14ac:dyDescent="0.25">
      <c r="B76">
        <f t="shared" ca="1" si="63"/>
        <v>180</v>
      </c>
      <c r="C76">
        <f t="shared" ca="1" si="64"/>
        <v>5</v>
      </c>
      <c r="D76">
        <f t="shared" ca="1" si="65"/>
        <v>0.17557249834773486</v>
      </c>
      <c r="F76" s="1">
        <f t="shared" ca="1" si="66"/>
        <v>6</v>
      </c>
      <c r="G76" s="1">
        <f t="shared" ca="1" si="67"/>
        <v>10</v>
      </c>
      <c r="H76" s="1">
        <f t="shared" ca="1" si="68"/>
        <v>10</v>
      </c>
      <c r="I76" s="1"/>
      <c r="J76" s="1">
        <f t="shared" ca="1" si="69"/>
        <v>2</v>
      </c>
      <c r="K76" s="1">
        <f t="shared" ca="1" si="70"/>
        <v>1.5245574891337454</v>
      </c>
      <c r="L76" s="1">
        <f t="shared" ca="1" si="71"/>
        <v>34</v>
      </c>
      <c r="M76" s="1"/>
      <c r="N76" s="1">
        <f t="shared" ca="1" si="72"/>
        <v>285</v>
      </c>
      <c r="O76" s="1">
        <f t="shared" ca="1" si="73"/>
        <v>21</v>
      </c>
      <c r="P76" s="1"/>
      <c r="Q76" s="1">
        <f t="shared" ca="1" si="74"/>
        <v>4.0403436583195029</v>
      </c>
      <c r="R76" s="1">
        <f t="shared" ca="1" si="75"/>
        <v>564</v>
      </c>
      <c r="S76" s="1"/>
      <c r="T76" s="1">
        <f t="shared" ca="1" si="76"/>
        <v>0.18640918396627143</v>
      </c>
      <c r="U76" s="1">
        <f t="shared" ca="1" si="77"/>
        <v>164</v>
      </c>
      <c r="V76" s="1">
        <f t="shared" ca="1" si="78"/>
        <v>28</v>
      </c>
      <c r="W76" s="1"/>
      <c r="X76" s="1">
        <f t="shared" ca="1" si="79"/>
        <v>6.0903357146477264</v>
      </c>
      <c r="Y76" s="1">
        <f t="shared" ca="1" si="80"/>
        <v>0.74771577932673827</v>
      </c>
      <c r="Z76" s="1">
        <f t="shared" ca="1" si="81"/>
        <v>1746</v>
      </c>
      <c r="AB76" s="1">
        <f t="shared" ca="1" si="82"/>
        <v>0.39108728009133747</v>
      </c>
      <c r="AC76" s="1">
        <f t="shared" ca="1" si="83"/>
        <v>780</v>
      </c>
      <c r="AD76" s="1">
        <f t="shared" ca="1" si="84"/>
        <v>6.520628102264326E-3</v>
      </c>
      <c r="AE76" s="1"/>
      <c r="AF76" s="1">
        <f t="shared" ca="1" si="85"/>
        <v>0.33806792262808671</v>
      </c>
      <c r="AG76" s="1">
        <f t="shared" ca="1" si="86"/>
        <v>496</v>
      </c>
      <c r="AH76" s="1">
        <f t="shared" ca="1" si="87"/>
        <v>3.5107730009788506E-4</v>
      </c>
      <c r="AJ76" s="1">
        <f t="shared" ca="1" si="88"/>
        <v>0.82582413588935821</v>
      </c>
      <c r="AK76" s="1">
        <f t="shared" ca="1" si="89"/>
        <v>4.3648570415445662E-3</v>
      </c>
      <c r="AL76" s="1"/>
      <c r="AM76" s="1">
        <f t="shared" ca="1" si="90"/>
        <v>9.1842290426237955E-2</v>
      </c>
      <c r="AN76" s="1">
        <f t="shared" ca="1" si="91"/>
        <v>30</v>
      </c>
      <c r="AO76" s="1">
        <f t="shared" ca="1" si="92"/>
        <v>3</v>
      </c>
      <c r="AQ76" s="1">
        <f t="shared" ca="1" si="93"/>
        <v>55</v>
      </c>
      <c r="AR76" s="1">
        <f t="shared" ca="1" si="94"/>
        <v>9</v>
      </c>
      <c r="AS76" s="1">
        <f t="shared" ca="1" si="95"/>
        <v>47</v>
      </c>
      <c r="AU76" s="1">
        <f t="shared" ca="1" si="96"/>
        <v>178</v>
      </c>
      <c r="AV76" s="1">
        <f t="shared" ca="1" si="97"/>
        <v>8</v>
      </c>
      <c r="AW76" s="1">
        <f t="shared" ca="1" si="98"/>
        <v>0.12750266385622136</v>
      </c>
      <c r="AY76" s="1">
        <f t="shared" ca="1" si="99"/>
        <v>1.7202393778469545</v>
      </c>
      <c r="AZ76" s="1">
        <f t="shared" ca="1" si="100"/>
        <v>126</v>
      </c>
      <c r="BA76" s="1">
        <f t="shared" ca="1" si="101"/>
        <v>7.1181122312644063E-3</v>
      </c>
      <c r="BV76" s="1">
        <f t="shared" ca="1" si="102"/>
        <v>0.29757669120631475</v>
      </c>
      <c r="BW76" s="1">
        <f t="shared" ca="1" si="103"/>
        <v>385</v>
      </c>
      <c r="BX76" s="1">
        <f t="shared" ca="1" si="104"/>
        <v>2.9797622500668487E-3</v>
      </c>
      <c r="BY76" s="1">
        <f t="shared" ca="1" si="105"/>
        <v>7.2301008306178013E-2</v>
      </c>
      <c r="BZ76" s="1">
        <f t="shared" ca="1" si="106"/>
        <v>0.70760790490943859</v>
      </c>
      <c r="CB76" s="1">
        <f t="shared" ca="1" si="107"/>
        <v>419</v>
      </c>
      <c r="CC76" s="1">
        <f t="shared" ca="1" si="108"/>
        <v>11</v>
      </c>
      <c r="CD76" s="1">
        <f t="shared" ca="1" si="109"/>
        <v>0.22221715252140192</v>
      </c>
      <c r="CE76" s="1">
        <f t="shared" ca="1" si="110"/>
        <v>0.88861252219319142</v>
      </c>
      <c r="CF76" s="1">
        <f t="shared" ca="1" si="110"/>
        <v>0.9748654574629807</v>
      </c>
      <c r="CH76" s="3">
        <f t="shared" ca="1" si="111"/>
        <v>0.31296815159818847</v>
      </c>
      <c r="CI76" s="3">
        <f t="shared" ca="1" si="112"/>
        <v>0.43144890492332066</v>
      </c>
      <c r="CJ76" s="3">
        <f t="shared" ca="1" si="113"/>
        <v>1726</v>
      </c>
      <c r="CK76" s="3">
        <f t="shared" ca="1" si="114"/>
        <v>4.4473392633384134E-3</v>
      </c>
      <c r="CL76" s="3">
        <f t="shared" ca="1" si="115"/>
        <v>0</v>
      </c>
      <c r="CM76" s="3"/>
      <c r="CN76" s="1">
        <f t="shared" ca="1" si="116"/>
        <v>12.82361034915486</v>
      </c>
      <c r="CO76" s="1">
        <f t="shared" ca="1" si="117"/>
        <v>7.9593791639863257E-2</v>
      </c>
      <c r="CP76" s="1">
        <f t="shared" ca="1" si="118"/>
        <v>4</v>
      </c>
      <c r="DH76" s="1">
        <f t="shared" ca="1" si="119"/>
        <v>68</v>
      </c>
      <c r="DI76" s="1">
        <f t="shared" ca="1" si="120"/>
        <v>0.97138696447407114</v>
      </c>
      <c r="DJ76" s="1">
        <f t="shared" ca="1" si="121"/>
        <v>24</v>
      </c>
      <c r="DL76" s="1">
        <f t="shared" ca="1" si="122"/>
        <v>0.13525381362926375</v>
      </c>
      <c r="DM76" s="1">
        <f t="shared" ca="1" si="123"/>
        <v>56</v>
      </c>
      <c r="DN76" s="1">
        <f t="shared" ca="1" si="124"/>
        <v>4</v>
      </c>
    </row>
    <row r="77" spans="2:118" x14ac:dyDescent="0.25">
      <c r="B77">
        <f t="shared" ca="1" si="63"/>
        <v>499</v>
      </c>
      <c r="C77">
        <f t="shared" ca="1" si="64"/>
        <v>4</v>
      </c>
      <c r="D77">
        <f t="shared" ca="1" si="65"/>
        <v>3.6244416078925513E-2</v>
      </c>
      <c r="F77" s="1">
        <f t="shared" ca="1" si="66"/>
        <v>38</v>
      </c>
      <c r="G77" s="1">
        <f t="shared" ca="1" si="67"/>
        <v>12</v>
      </c>
      <c r="H77" s="1">
        <f t="shared" ca="1" si="68"/>
        <v>3</v>
      </c>
      <c r="I77" s="1"/>
      <c r="J77" s="1">
        <f t="shared" ca="1" si="69"/>
        <v>6</v>
      </c>
      <c r="K77" s="1">
        <f t="shared" ca="1" si="70"/>
        <v>1.059675189790251</v>
      </c>
      <c r="L77" s="1">
        <f t="shared" ca="1" si="71"/>
        <v>29</v>
      </c>
      <c r="M77" s="1"/>
      <c r="N77" s="1">
        <f t="shared" ca="1" si="72"/>
        <v>842</v>
      </c>
      <c r="O77" s="1">
        <f t="shared" ca="1" si="73"/>
        <v>23</v>
      </c>
      <c r="P77" s="1"/>
      <c r="Q77" s="1">
        <f t="shared" ca="1" si="74"/>
        <v>3.9908223168803589</v>
      </c>
      <c r="R77" s="1">
        <f t="shared" ca="1" si="75"/>
        <v>963</v>
      </c>
      <c r="S77" s="1"/>
      <c r="T77" s="1">
        <f t="shared" ca="1" si="76"/>
        <v>0.18229390851447841</v>
      </c>
      <c r="U77" s="1">
        <f t="shared" ca="1" si="77"/>
        <v>284</v>
      </c>
      <c r="V77" s="1">
        <f t="shared" ca="1" si="78"/>
        <v>35</v>
      </c>
      <c r="W77" s="1"/>
      <c r="X77" s="1">
        <f t="shared" ca="1" si="79"/>
        <v>6.4860973527184989</v>
      </c>
      <c r="Y77" s="1">
        <f t="shared" ca="1" si="80"/>
        <v>0.64266944801354553</v>
      </c>
      <c r="Z77" s="1">
        <f t="shared" ca="1" si="81"/>
        <v>728</v>
      </c>
      <c r="AB77" s="1">
        <f t="shared" ca="1" si="82"/>
        <v>0.88310492382379824</v>
      </c>
      <c r="AC77" s="1">
        <f t="shared" ca="1" si="83"/>
        <v>243</v>
      </c>
      <c r="AD77" s="1">
        <f t="shared" ca="1" si="84"/>
        <v>7.5440732087897625E-3</v>
      </c>
      <c r="AE77" s="1"/>
      <c r="AF77" s="1">
        <f t="shared" ca="1" si="85"/>
        <v>0.559224820011056</v>
      </c>
      <c r="AG77" s="1">
        <f t="shared" ca="1" si="86"/>
        <v>596</v>
      </c>
      <c r="AH77" s="1">
        <f t="shared" ca="1" si="87"/>
        <v>5.9897255758014859E-3</v>
      </c>
      <c r="AJ77" s="1">
        <f t="shared" ca="1" si="88"/>
        <v>0.89495891468445998</v>
      </c>
      <c r="AK77" s="1">
        <f t="shared" ca="1" si="89"/>
        <v>2.6913130734823121E-3</v>
      </c>
      <c r="AL77" s="1"/>
      <c r="AM77" s="1">
        <f t="shared" ca="1" si="90"/>
        <v>3.5293418070171757E-2</v>
      </c>
      <c r="AN77" s="1">
        <f t="shared" ca="1" si="91"/>
        <v>68</v>
      </c>
      <c r="AO77" s="1">
        <f t="shared" ca="1" si="92"/>
        <v>9</v>
      </c>
      <c r="AQ77" s="1">
        <f t="shared" ca="1" si="93"/>
        <v>51</v>
      </c>
      <c r="AR77" s="1">
        <f t="shared" ca="1" si="94"/>
        <v>10</v>
      </c>
      <c r="AS77" s="1">
        <f t="shared" ca="1" si="95"/>
        <v>62</v>
      </c>
      <c r="AU77" s="1">
        <f t="shared" ca="1" si="96"/>
        <v>88</v>
      </c>
      <c r="AV77" s="1">
        <f t="shared" ca="1" si="97"/>
        <v>5</v>
      </c>
      <c r="AW77" s="1">
        <f t="shared" ca="1" si="98"/>
        <v>0.17509500840686706</v>
      </c>
      <c r="AY77" s="1">
        <f t="shared" ca="1" si="99"/>
        <v>1.258885511464916</v>
      </c>
      <c r="AZ77" s="1">
        <f t="shared" ca="1" si="100"/>
        <v>397</v>
      </c>
      <c r="BA77" s="1">
        <f t="shared" ca="1" si="101"/>
        <v>7.6666188580043985E-3</v>
      </c>
      <c r="BV77" s="1">
        <f t="shared" ca="1" si="102"/>
        <v>0.24426110908405776</v>
      </c>
      <c r="BW77" s="1">
        <f t="shared" ca="1" si="103"/>
        <v>674</v>
      </c>
      <c r="BX77" s="1">
        <f t="shared" ca="1" si="104"/>
        <v>7.54405024752717E-4</v>
      </c>
      <c r="BY77" s="1">
        <f t="shared" ca="1" si="105"/>
        <v>3.1738218374732605E-2</v>
      </c>
      <c r="BZ77" s="1">
        <f t="shared" ca="1" si="106"/>
        <v>0.47049958785440482</v>
      </c>
      <c r="CB77" s="1">
        <f t="shared" ca="1" si="107"/>
        <v>461</v>
      </c>
      <c r="CC77" s="1">
        <f t="shared" ca="1" si="108"/>
        <v>9</v>
      </c>
      <c r="CD77" s="1">
        <f t="shared" ca="1" si="109"/>
        <v>0.29089480263356804</v>
      </c>
      <c r="CE77" s="1">
        <f t="shared" ca="1" si="110"/>
        <v>0.93393034455881874</v>
      </c>
      <c r="CF77" s="1">
        <f t="shared" ca="1" si="110"/>
        <v>0.78922276440645533</v>
      </c>
      <c r="CH77" s="3">
        <f t="shared" ca="1" si="111"/>
        <v>0.69307572359645597</v>
      </c>
      <c r="CI77" s="3">
        <f t="shared" ca="1" si="112"/>
        <v>0.12103637168419143</v>
      </c>
      <c r="CJ77" s="3">
        <f t="shared" ca="1" si="113"/>
        <v>1835</v>
      </c>
      <c r="CK77" s="3">
        <f t="shared" ca="1" si="114"/>
        <v>5.1715205216299621E-3</v>
      </c>
      <c r="CL77" s="3">
        <f t="shared" ca="1" si="115"/>
        <v>1</v>
      </c>
      <c r="CM77" s="3"/>
      <c r="CN77" s="1">
        <f t="shared" ca="1" si="116"/>
        <v>15.103881550085649</v>
      </c>
      <c r="CO77" s="1">
        <f t="shared" ca="1" si="117"/>
        <v>0.31521295252607784</v>
      </c>
      <c r="CP77" s="1">
        <f t="shared" ca="1" si="118"/>
        <v>4</v>
      </c>
      <c r="DH77" s="1">
        <f t="shared" ca="1" si="119"/>
        <v>671</v>
      </c>
      <c r="DI77" s="1">
        <f t="shared" ca="1" si="120"/>
        <v>0.43301398101737204</v>
      </c>
      <c r="DJ77" s="1">
        <f t="shared" ca="1" si="121"/>
        <v>19</v>
      </c>
      <c r="DL77" s="1">
        <f t="shared" ca="1" si="122"/>
        <v>0.14812025342435323</v>
      </c>
      <c r="DM77" s="1">
        <f t="shared" ca="1" si="123"/>
        <v>275</v>
      </c>
      <c r="DN77" s="1">
        <f t="shared" ca="1" si="124"/>
        <v>2</v>
      </c>
    </row>
    <row r="78" spans="2:118" x14ac:dyDescent="0.25">
      <c r="B78">
        <f t="shared" ca="1" si="63"/>
        <v>46</v>
      </c>
      <c r="C78">
        <f t="shared" ca="1" si="64"/>
        <v>10</v>
      </c>
      <c r="D78">
        <f t="shared" ca="1" si="65"/>
        <v>7.9330373623484565E-2</v>
      </c>
      <c r="F78" s="1">
        <f t="shared" ca="1" si="66"/>
        <v>10</v>
      </c>
      <c r="G78" s="1">
        <f t="shared" ca="1" si="67"/>
        <v>24</v>
      </c>
      <c r="H78" s="1">
        <f t="shared" ca="1" si="68"/>
        <v>14</v>
      </c>
      <c r="I78" s="1"/>
      <c r="J78" s="1">
        <f t="shared" ca="1" si="69"/>
        <v>4</v>
      </c>
      <c r="K78" s="1">
        <f t="shared" ca="1" si="70"/>
        <v>1.3192915438460882</v>
      </c>
      <c r="L78" s="1">
        <f t="shared" ca="1" si="71"/>
        <v>4</v>
      </c>
      <c r="M78" s="1"/>
      <c r="N78" s="1">
        <f t="shared" ca="1" si="72"/>
        <v>979</v>
      </c>
      <c r="O78" s="1">
        <f t="shared" ca="1" si="73"/>
        <v>49</v>
      </c>
      <c r="P78" s="1"/>
      <c r="Q78" s="1">
        <f t="shared" ca="1" si="74"/>
        <v>0.81145621956446401</v>
      </c>
      <c r="R78" s="1">
        <f t="shared" ca="1" si="75"/>
        <v>653</v>
      </c>
      <c r="S78" s="1"/>
      <c r="T78" s="1">
        <f t="shared" ca="1" si="76"/>
        <v>4.180372299325464E-2</v>
      </c>
      <c r="U78" s="1">
        <f t="shared" ca="1" si="77"/>
        <v>151</v>
      </c>
      <c r="V78" s="1">
        <f t="shared" ca="1" si="78"/>
        <v>24</v>
      </c>
      <c r="W78" s="1"/>
      <c r="X78" s="1">
        <f t="shared" ca="1" si="79"/>
        <v>6.1369554475740893</v>
      </c>
      <c r="Y78" s="1">
        <f t="shared" ca="1" si="80"/>
        <v>0.20563610414427735</v>
      </c>
      <c r="Z78" s="1">
        <f t="shared" ca="1" si="81"/>
        <v>1867</v>
      </c>
      <c r="AB78" s="1">
        <f t="shared" ca="1" si="82"/>
        <v>0.82615549054960025</v>
      </c>
      <c r="AC78" s="1">
        <f t="shared" ca="1" si="83"/>
        <v>204</v>
      </c>
      <c r="AD78" s="1">
        <f t="shared" ca="1" si="84"/>
        <v>8.3115075526467522E-3</v>
      </c>
      <c r="AE78" s="1"/>
      <c r="AF78" s="1">
        <f t="shared" ca="1" si="85"/>
        <v>0.63274487527733581</v>
      </c>
      <c r="AG78" s="1">
        <f t="shared" ca="1" si="86"/>
        <v>216</v>
      </c>
      <c r="AH78" s="1">
        <f t="shared" ca="1" si="87"/>
        <v>2.7196242248785575E-3</v>
      </c>
      <c r="AJ78" s="1">
        <f t="shared" ca="1" si="88"/>
        <v>0.19709715505112968</v>
      </c>
      <c r="AK78" s="1">
        <f t="shared" ca="1" si="89"/>
        <v>8.3427863691359593E-3</v>
      </c>
      <c r="AL78" s="1"/>
      <c r="AM78" s="1">
        <f t="shared" ca="1" si="90"/>
        <v>6.8313537705727553E-2</v>
      </c>
      <c r="AN78" s="1">
        <f t="shared" ca="1" si="91"/>
        <v>51</v>
      </c>
      <c r="AO78" s="1">
        <f t="shared" ca="1" si="92"/>
        <v>14</v>
      </c>
      <c r="AQ78" s="1">
        <f t="shared" ca="1" si="93"/>
        <v>30</v>
      </c>
      <c r="AR78" s="1">
        <f t="shared" ca="1" si="94"/>
        <v>5</v>
      </c>
      <c r="AS78" s="1">
        <f t="shared" ca="1" si="95"/>
        <v>51</v>
      </c>
      <c r="AU78" s="1">
        <f t="shared" ca="1" si="96"/>
        <v>131</v>
      </c>
      <c r="AV78" s="1">
        <f t="shared" ca="1" si="97"/>
        <v>8</v>
      </c>
      <c r="AW78" s="1">
        <f t="shared" ca="1" si="98"/>
        <v>3.862847566071155E-2</v>
      </c>
      <c r="AY78" s="1">
        <f t="shared" ca="1" si="99"/>
        <v>1.5838329606491173</v>
      </c>
      <c r="AZ78" s="1">
        <f t="shared" ca="1" si="100"/>
        <v>314</v>
      </c>
      <c r="BA78" s="1">
        <f t="shared" ca="1" si="101"/>
        <v>2.3172326151700996E-3</v>
      </c>
      <c r="BV78" s="1">
        <f t="shared" ca="1" si="102"/>
        <v>0.14038718068084638</v>
      </c>
      <c r="BW78" s="1">
        <f t="shared" ca="1" si="103"/>
        <v>140</v>
      </c>
      <c r="BX78" s="1">
        <f t="shared" ca="1" si="104"/>
        <v>2.8498786169245845E-3</v>
      </c>
      <c r="BY78" s="1">
        <f t="shared" ca="1" si="105"/>
        <v>6.1325886040057419E-2</v>
      </c>
      <c r="BZ78" s="1">
        <f t="shared" ca="1" si="106"/>
        <v>0.1147498511047369</v>
      </c>
      <c r="CB78" s="1">
        <f t="shared" ca="1" si="107"/>
        <v>430</v>
      </c>
      <c r="CC78" s="1">
        <f t="shared" ca="1" si="108"/>
        <v>14</v>
      </c>
      <c r="CD78" s="1">
        <f t="shared" ca="1" si="109"/>
        <v>0.2131935309546038</v>
      </c>
      <c r="CE78" s="1">
        <f t="shared" ca="1" si="110"/>
        <v>0.72655077844388205</v>
      </c>
      <c r="CF78" s="1">
        <f t="shared" ca="1" si="110"/>
        <v>0.51065259283457975</v>
      </c>
      <c r="CH78" s="3">
        <f t="shared" ca="1" si="111"/>
        <v>0.24810847717683254</v>
      </c>
      <c r="CI78" s="3">
        <f t="shared" ca="1" si="112"/>
        <v>0.15277315896455057</v>
      </c>
      <c r="CJ78" s="3">
        <f t="shared" ca="1" si="113"/>
        <v>1493</v>
      </c>
      <c r="CK78" s="3">
        <f t="shared" ca="1" si="114"/>
        <v>5.1785825118674696E-3</v>
      </c>
      <c r="CL78" s="3">
        <f t="shared" ca="1" si="115"/>
        <v>0</v>
      </c>
      <c r="CM78" s="3"/>
      <c r="CN78" s="1">
        <f t="shared" ca="1" si="116"/>
        <v>17.900009206657518</v>
      </c>
      <c r="CO78" s="1">
        <f t="shared" ca="1" si="117"/>
        <v>5.3179414313470057E-2</v>
      </c>
      <c r="CP78" s="1">
        <f t="shared" ca="1" si="118"/>
        <v>3</v>
      </c>
      <c r="DH78" s="1">
        <f t="shared" ca="1" si="119"/>
        <v>175</v>
      </c>
      <c r="DI78" s="1">
        <f t="shared" ca="1" si="120"/>
        <v>0.65376652662634793</v>
      </c>
      <c r="DJ78" s="1">
        <f t="shared" ca="1" si="121"/>
        <v>12</v>
      </c>
      <c r="DL78" s="1">
        <f t="shared" ca="1" si="122"/>
        <v>0.17480756924371382</v>
      </c>
      <c r="DM78" s="1">
        <f t="shared" ca="1" si="123"/>
        <v>294</v>
      </c>
      <c r="DN78" s="1">
        <f t="shared" ca="1" si="124"/>
        <v>9</v>
      </c>
    </row>
    <row r="79" spans="2:118" x14ac:dyDescent="0.25">
      <c r="B79">
        <f t="shared" ca="1" si="63"/>
        <v>254</v>
      </c>
      <c r="C79">
        <f t="shared" ca="1" si="64"/>
        <v>49</v>
      </c>
      <c r="D79">
        <f t="shared" ca="1" si="65"/>
        <v>1.1983664785455208E-2</v>
      </c>
      <c r="F79" s="1">
        <f t="shared" ca="1" si="66"/>
        <v>38</v>
      </c>
      <c r="G79" s="1">
        <f t="shared" ca="1" si="67"/>
        <v>11</v>
      </c>
      <c r="H79" s="1">
        <f t="shared" ca="1" si="68"/>
        <v>3</v>
      </c>
      <c r="I79" s="1"/>
      <c r="J79" s="1">
        <f t="shared" ca="1" si="69"/>
        <v>23</v>
      </c>
      <c r="K79" s="1">
        <f t="shared" ca="1" si="70"/>
        <v>2.262836676765577</v>
      </c>
      <c r="L79" s="1">
        <f t="shared" ca="1" si="71"/>
        <v>17</v>
      </c>
      <c r="M79" s="1"/>
      <c r="N79" s="1">
        <f t="shared" ca="1" si="72"/>
        <v>947</v>
      </c>
      <c r="O79" s="1">
        <f t="shared" ca="1" si="73"/>
        <v>42</v>
      </c>
      <c r="P79" s="1"/>
      <c r="Q79" s="1">
        <f t="shared" ca="1" si="74"/>
        <v>3.471327459742457</v>
      </c>
      <c r="R79" s="1">
        <f t="shared" ca="1" si="75"/>
        <v>924</v>
      </c>
      <c r="S79" s="1"/>
      <c r="T79" s="1">
        <f t="shared" ca="1" si="76"/>
        <v>0.19130921789233934</v>
      </c>
      <c r="U79" s="1">
        <f t="shared" ca="1" si="77"/>
        <v>95</v>
      </c>
      <c r="V79" s="1">
        <f t="shared" ca="1" si="78"/>
        <v>23</v>
      </c>
      <c r="W79" s="1"/>
      <c r="X79" s="1">
        <f t="shared" ca="1" si="79"/>
        <v>6.161472869013485</v>
      </c>
      <c r="Y79" s="1">
        <f t="shared" ca="1" si="80"/>
        <v>0.64206398471065562</v>
      </c>
      <c r="Z79" s="1">
        <f t="shared" ca="1" si="81"/>
        <v>1014</v>
      </c>
      <c r="AB79" s="1">
        <f t="shared" ca="1" si="82"/>
        <v>0.6339881601154328</v>
      </c>
      <c r="AC79" s="1">
        <f t="shared" ca="1" si="83"/>
        <v>167</v>
      </c>
      <c r="AD79" s="1">
        <f t="shared" ca="1" si="84"/>
        <v>5.7893763602755695E-3</v>
      </c>
      <c r="AE79" s="1"/>
      <c r="AF79" s="1">
        <f t="shared" ca="1" si="85"/>
        <v>0.14891746680706747</v>
      </c>
      <c r="AG79" s="1">
        <f t="shared" ca="1" si="86"/>
        <v>784</v>
      </c>
      <c r="AH79" s="1">
        <f t="shared" ca="1" si="87"/>
        <v>7.1259590157570617E-3</v>
      </c>
      <c r="AJ79" s="1">
        <f t="shared" ca="1" si="88"/>
        <v>0.86567342164174288</v>
      </c>
      <c r="AK79" s="1">
        <f t="shared" ca="1" si="89"/>
        <v>7.1317381611717343E-3</v>
      </c>
      <c r="AL79" s="1"/>
      <c r="AM79" s="1">
        <f t="shared" ca="1" si="90"/>
        <v>2.409804974034006E-2</v>
      </c>
      <c r="AN79" s="1">
        <f t="shared" ca="1" si="91"/>
        <v>23</v>
      </c>
      <c r="AO79" s="1">
        <f t="shared" ca="1" si="92"/>
        <v>12</v>
      </c>
      <c r="AQ79" s="1">
        <f t="shared" ca="1" si="93"/>
        <v>33</v>
      </c>
      <c r="AR79" s="1">
        <f t="shared" ca="1" si="94"/>
        <v>1</v>
      </c>
      <c r="AS79" s="1">
        <f t="shared" ca="1" si="95"/>
        <v>76</v>
      </c>
      <c r="AU79" s="1">
        <f t="shared" ca="1" si="96"/>
        <v>65</v>
      </c>
      <c r="AV79" s="1">
        <f t="shared" ca="1" si="97"/>
        <v>10</v>
      </c>
      <c r="AW79" s="1">
        <f t="shared" ca="1" si="98"/>
        <v>3.6448857433792885E-2</v>
      </c>
      <c r="AY79" s="1">
        <f t="shared" ca="1" si="99"/>
        <v>1.2617763948158234</v>
      </c>
      <c r="AZ79" s="1">
        <f t="shared" ca="1" si="100"/>
        <v>476</v>
      </c>
      <c r="BA79" s="1">
        <f t="shared" ca="1" si="101"/>
        <v>5.594096033359401E-3</v>
      </c>
      <c r="BV79" s="1">
        <f t="shared" ca="1" si="102"/>
        <v>0.66922334893232416</v>
      </c>
      <c r="BW79" s="1">
        <f t="shared" ca="1" si="103"/>
        <v>276</v>
      </c>
      <c r="BX79" s="1">
        <f t="shared" ca="1" si="104"/>
        <v>9.4244103011877848E-4</v>
      </c>
      <c r="BY79" s="1">
        <f t="shared" ca="1" si="105"/>
        <v>2.2774132888208676E-2</v>
      </c>
      <c r="BZ79" s="1">
        <f t="shared" ca="1" si="106"/>
        <v>0.64749641511930167</v>
      </c>
      <c r="CB79" s="1">
        <f t="shared" ca="1" si="107"/>
        <v>363</v>
      </c>
      <c r="CC79" s="1">
        <f t="shared" ca="1" si="108"/>
        <v>11</v>
      </c>
      <c r="CD79" s="1">
        <f t="shared" ca="1" si="109"/>
        <v>0.24478052992940275</v>
      </c>
      <c r="CE79" s="1">
        <f t="shared" ca="1" si="110"/>
        <v>0.73762448105000256</v>
      </c>
      <c r="CF79" s="1">
        <f t="shared" ca="1" si="110"/>
        <v>0.61412543453343416</v>
      </c>
      <c r="CH79" s="3">
        <f t="shared" ca="1" si="111"/>
        <v>0.66111171072732466</v>
      </c>
      <c r="CI79" s="3">
        <f t="shared" ca="1" si="112"/>
        <v>0.32612241229644839</v>
      </c>
      <c r="CJ79" s="3">
        <f t="shared" ca="1" si="113"/>
        <v>107</v>
      </c>
      <c r="CK79" s="3">
        <f t="shared" ca="1" si="114"/>
        <v>5.558058067216925E-3</v>
      </c>
      <c r="CL79" s="3">
        <f t="shared" ca="1" si="115"/>
        <v>0</v>
      </c>
      <c r="CM79" s="3"/>
      <c r="CN79" s="1">
        <f t="shared" ca="1" si="116"/>
        <v>17.502274389927027</v>
      </c>
      <c r="CO79" s="1">
        <f t="shared" ca="1" si="117"/>
        <v>0.10537225437721544</v>
      </c>
      <c r="CP79" s="1">
        <f t="shared" ca="1" si="118"/>
        <v>3</v>
      </c>
      <c r="DH79" s="1">
        <f t="shared" ca="1" si="119"/>
        <v>367</v>
      </c>
      <c r="DI79" s="1">
        <f t="shared" ca="1" si="120"/>
        <v>0.25690663133261604</v>
      </c>
      <c r="DJ79" s="1">
        <f t="shared" ca="1" si="121"/>
        <v>19</v>
      </c>
      <c r="DL79" s="1">
        <f t="shared" ca="1" si="122"/>
        <v>0.14526189565044423</v>
      </c>
      <c r="DM79" s="1">
        <f t="shared" ca="1" si="123"/>
        <v>160</v>
      </c>
      <c r="DN79" s="1">
        <f t="shared" ca="1" si="124"/>
        <v>4</v>
      </c>
    </row>
    <row r="80" spans="2:118" x14ac:dyDescent="0.25">
      <c r="B80">
        <f t="shared" ca="1" si="63"/>
        <v>70</v>
      </c>
      <c r="C80">
        <f t="shared" ca="1" si="64"/>
        <v>44</v>
      </c>
      <c r="D80">
        <f t="shared" ca="1" si="65"/>
        <v>0.24355810550868273</v>
      </c>
      <c r="F80" s="1">
        <f t="shared" ca="1" si="66"/>
        <v>27</v>
      </c>
      <c r="G80" s="1">
        <f t="shared" ca="1" si="67"/>
        <v>21</v>
      </c>
      <c r="H80" s="1">
        <f t="shared" ca="1" si="68"/>
        <v>13</v>
      </c>
      <c r="I80" s="1"/>
      <c r="J80" s="1">
        <f t="shared" ca="1" si="69"/>
        <v>29</v>
      </c>
      <c r="K80" s="1">
        <f t="shared" ca="1" si="70"/>
        <v>2.7524960167385277</v>
      </c>
      <c r="L80" s="1">
        <f t="shared" ca="1" si="71"/>
        <v>11</v>
      </c>
      <c r="M80" s="1"/>
      <c r="N80" s="1">
        <f t="shared" ca="1" si="72"/>
        <v>960</v>
      </c>
      <c r="O80" s="1">
        <f t="shared" ca="1" si="73"/>
        <v>4</v>
      </c>
      <c r="P80" s="1"/>
      <c r="Q80" s="1">
        <f t="shared" ca="1" si="74"/>
        <v>4.6716653937706489</v>
      </c>
      <c r="R80" s="1">
        <f t="shared" ca="1" si="75"/>
        <v>565</v>
      </c>
      <c r="S80" s="1"/>
      <c r="T80" s="1">
        <f t="shared" ca="1" si="76"/>
        <v>0.14738287430696606</v>
      </c>
      <c r="U80" s="1">
        <f t="shared" ca="1" si="77"/>
        <v>55</v>
      </c>
      <c r="V80" s="1">
        <f t="shared" ca="1" si="78"/>
        <v>45</v>
      </c>
      <c r="W80" s="1"/>
      <c r="X80" s="1">
        <f t="shared" ca="1" si="79"/>
        <v>9.4382128790541078</v>
      </c>
      <c r="Y80" s="1">
        <f t="shared" ca="1" si="80"/>
        <v>0.84096158744987437</v>
      </c>
      <c r="Z80" s="1">
        <f t="shared" ca="1" si="81"/>
        <v>1787</v>
      </c>
      <c r="AB80" s="1">
        <f t="shared" ca="1" si="82"/>
        <v>9.0656426145500693E-2</v>
      </c>
      <c r="AC80" s="1">
        <f t="shared" ca="1" si="83"/>
        <v>501</v>
      </c>
      <c r="AD80" s="1">
        <f t="shared" ca="1" si="84"/>
        <v>7.2993111289848325E-3</v>
      </c>
      <c r="AE80" s="1"/>
      <c r="AF80" s="1">
        <f t="shared" ca="1" si="85"/>
        <v>0.770792642774491</v>
      </c>
      <c r="AG80" s="1">
        <f t="shared" ca="1" si="86"/>
        <v>483</v>
      </c>
      <c r="AH80" s="1">
        <f t="shared" ca="1" si="87"/>
        <v>4.9637897959011502E-3</v>
      </c>
      <c r="AJ80" s="1">
        <f t="shared" ca="1" si="88"/>
        <v>0.69027192797680625</v>
      </c>
      <c r="AK80" s="1">
        <f t="shared" ca="1" si="89"/>
        <v>2.8497864225793409E-3</v>
      </c>
      <c r="AL80" s="1"/>
      <c r="AM80" s="1">
        <f t="shared" ca="1" si="90"/>
        <v>0.18208103105881024</v>
      </c>
      <c r="AN80" s="1">
        <f t="shared" ca="1" si="91"/>
        <v>23</v>
      </c>
      <c r="AO80" s="1">
        <f t="shared" ca="1" si="92"/>
        <v>2</v>
      </c>
      <c r="AQ80" s="1">
        <f t="shared" ca="1" si="93"/>
        <v>185</v>
      </c>
      <c r="AR80" s="1">
        <f t="shared" ca="1" si="94"/>
        <v>4</v>
      </c>
      <c r="AS80" s="1">
        <f t="shared" ca="1" si="95"/>
        <v>29</v>
      </c>
      <c r="AU80" s="1">
        <f t="shared" ca="1" si="96"/>
        <v>205</v>
      </c>
      <c r="AV80" s="1">
        <f t="shared" ca="1" si="97"/>
        <v>7</v>
      </c>
      <c r="AW80" s="1">
        <f t="shared" ca="1" si="98"/>
        <v>2.1922429287749012E-2</v>
      </c>
      <c r="AY80" s="1">
        <f t="shared" ca="1" si="99"/>
        <v>1.7654225653467415</v>
      </c>
      <c r="AZ80" s="1">
        <f t="shared" ca="1" si="100"/>
        <v>499</v>
      </c>
      <c r="BA80" s="1">
        <f t="shared" ca="1" si="101"/>
        <v>1.43215223214301E-3</v>
      </c>
      <c r="BV80" s="1">
        <f t="shared" ca="1" si="102"/>
        <v>0.26078094669665358</v>
      </c>
      <c r="BW80" s="1">
        <f t="shared" ca="1" si="103"/>
        <v>690</v>
      </c>
      <c r="BX80" s="1">
        <f t="shared" ca="1" si="104"/>
        <v>7.2871304625810483E-3</v>
      </c>
      <c r="BY80" s="1">
        <f t="shared" ca="1" si="105"/>
        <v>1.6321719129203998E-3</v>
      </c>
      <c r="BZ80" s="1">
        <f t="shared" ca="1" si="106"/>
        <v>4.4069954050626303E-2</v>
      </c>
      <c r="CB80" s="1">
        <f t="shared" ca="1" si="107"/>
        <v>228</v>
      </c>
      <c r="CC80" s="1">
        <f t="shared" ca="1" si="108"/>
        <v>10</v>
      </c>
      <c r="CD80" s="1">
        <f t="shared" ca="1" si="109"/>
        <v>8.6338419331041735E-2</v>
      </c>
      <c r="CE80" s="1">
        <f t="shared" ca="1" si="110"/>
        <v>0.52938399945771097</v>
      </c>
      <c r="CF80" s="1">
        <f t="shared" ca="1" si="110"/>
        <v>0.51633166778422657</v>
      </c>
      <c r="CH80" s="3">
        <f t="shared" ca="1" si="111"/>
        <v>0.85170593977356657</v>
      </c>
      <c r="CI80" s="3">
        <f t="shared" ca="1" si="112"/>
        <v>0.26226418555406883</v>
      </c>
      <c r="CJ80" s="3">
        <f t="shared" ca="1" si="113"/>
        <v>1394</v>
      </c>
      <c r="CK80" s="3">
        <f t="shared" ca="1" si="114"/>
        <v>2.8258425300403465E-3</v>
      </c>
      <c r="CL80" s="3">
        <f t="shared" ca="1" si="115"/>
        <v>1</v>
      </c>
      <c r="CM80" s="3"/>
      <c r="CN80" s="1">
        <f t="shared" ca="1" si="116"/>
        <v>9.9961424917382242</v>
      </c>
      <c r="CO80" s="1">
        <f t="shared" ca="1" si="117"/>
        <v>5.0862076488898608E-2</v>
      </c>
      <c r="CP80" s="1">
        <f t="shared" ca="1" si="118"/>
        <v>5</v>
      </c>
      <c r="DH80" s="1">
        <f t="shared" ca="1" si="119"/>
        <v>784</v>
      </c>
      <c r="DI80" s="1">
        <f t="shared" ca="1" si="120"/>
        <v>0.34807760544014293</v>
      </c>
      <c r="DJ80" s="1">
        <f t="shared" ca="1" si="121"/>
        <v>27</v>
      </c>
      <c r="DL80" s="1">
        <f t="shared" ca="1" si="122"/>
        <v>2.7049037155495635E-2</v>
      </c>
      <c r="DM80" s="1">
        <f t="shared" ca="1" si="123"/>
        <v>212</v>
      </c>
      <c r="DN80" s="1">
        <f t="shared" ca="1" si="124"/>
        <v>4</v>
      </c>
    </row>
    <row r="81" spans="2:118" x14ac:dyDescent="0.25">
      <c r="B81">
        <f t="shared" ca="1" si="63"/>
        <v>876</v>
      </c>
      <c r="C81">
        <f t="shared" ca="1" si="64"/>
        <v>52</v>
      </c>
      <c r="D81">
        <f t="shared" ca="1" si="65"/>
        <v>9.9228799053208791E-2</v>
      </c>
      <c r="F81" s="1">
        <f t="shared" ca="1" si="66"/>
        <v>42</v>
      </c>
      <c r="G81" s="1">
        <f t="shared" ca="1" si="67"/>
        <v>28</v>
      </c>
      <c r="H81" s="1">
        <f t="shared" ca="1" si="68"/>
        <v>6</v>
      </c>
      <c r="I81" s="1"/>
      <c r="J81" s="1">
        <f t="shared" ca="1" si="69"/>
        <v>30</v>
      </c>
      <c r="K81" s="1">
        <f t="shared" ca="1" si="70"/>
        <v>2.8317889039265003</v>
      </c>
      <c r="L81" s="1">
        <f t="shared" ca="1" si="71"/>
        <v>17</v>
      </c>
      <c r="M81" s="1"/>
      <c r="N81" s="1">
        <f t="shared" ca="1" si="72"/>
        <v>578</v>
      </c>
      <c r="O81" s="1">
        <f t="shared" ca="1" si="73"/>
        <v>13</v>
      </c>
      <c r="P81" s="1"/>
      <c r="Q81" s="1">
        <f t="shared" ca="1" si="74"/>
        <v>3.0346537165427994</v>
      </c>
      <c r="R81" s="1">
        <f t="shared" ca="1" si="75"/>
        <v>635</v>
      </c>
      <c r="S81" s="1"/>
      <c r="T81" s="1">
        <f t="shared" ca="1" si="76"/>
        <v>9.0787922194059567E-2</v>
      </c>
      <c r="U81" s="1">
        <f t="shared" ca="1" si="77"/>
        <v>419</v>
      </c>
      <c r="V81" s="1">
        <f t="shared" ca="1" si="78"/>
        <v>43</v>
      </c>
      <c r="W81" s="1"/>
      <c r="X81" s="1">
        <f t="shared" ca="1" si="79"/>
        <v>4.3223473838147397</v>
      </c>
      <c r="Y81" s="1">
        <f t="shared" ca="1" si="80"/>
        <v>0.38237267758002613</v>
      </c>
      <c r="Z81" s="1">
        <f t="shared" ca="1" si="81"/>
        <v>1213</v>
      </c>
      <c r="AB81" s="1">
        <f t="shared" ca="1" si="82"/>
        <v>0.1107755319486584</v>
      </c>
      <c r="AC81" s="1">
        <f t="shared" ca="1" si="83"/>
        <v>120</v>
      </c>
      <c r="AD81" s="1">
        <f t="shared" ca="1" si="84"/>
        <v>3.1608298466475311E-3</v>
      </c>
      <c r="AE81" s="1"/>
      <c r="AF81" s="1">
        <f t="shared" ca="1" si="85"/>
        <v>0.2447508383567123</v>
      </c>
      <c r="AG81" s="1">
        <f t="shared" ca="1" si="86"/>
        <v>554</v>
      </c>
      <c r="AH81" s="1">
        <f t="shared" ca="1" si="87"/>
        <v>9.6009251159497582E-3</v>
      </c>
      <c r="AJ81" s="1">
        <f t="shared" ca="1" si="88"/>
        <v>0.24078668233526057</v>
      </c>
      <c r="AK81" s="1">
        <f t="shared" ca="1" si="89"/>
        <v>4.4810063451605287E-3</v>
      </c>
      <c r="AL81" s="1"/>
      <c r="AM81" s="1">
        <f t="shared" ca="1" si="90"/>
        <v>5.9243131656087938E-2</v>
      </c>
      <c r="AN81" s="1">
        <f t="shared" ca="1" si="91"/>
        <v>10</v>
      </c>
      <c r="AO81" s="1">
        <f t="shared" ca="1" si="92"/>
        <v>6</v>
      </c>
      <c r="AQ81" s="1">
        <f t="shared" ca="1" si="93"/>
        <v>116</v>
      </c>
      <c r="AR81" s="1">
        <f t="shared" ca="1" si="94"/>
        <v>6</v>
      </c>
      <c r="AS81" s="1">
        <f t="shared" ca="1" si="95"/>
        <v>25</v>
      </c>
      <c r="AU81" s="1">
        <f t="shared" ca="1" si="96"/>
        <v>247</v>
      </c>
      <c r="AV81" s="1">
        <f t="shared" ca="1" si="97"/>
        <v>8</v>
      </c>
      <c r="AW81" s="1">
        <f t="shared" ca="1" si="98"/>
        <v>0.11051834404570725</v>
      </c>
      <c r="AY81" s="1">
        <f t="shared" ca="1" si="99"/>
        <v>1.6615855094859273</v>
      </c>
      <c r="AZ81" s="1">
        <f t="shared" ca="1" si="100"/>
        <v>204</v>
      </c>
      <c r="BA81" s="1">
        <f t="shared" ca="1" si="101"/>
        <v>4.446394310047173E-3</v>
      </c>
      <c r="BV81" s="1">
        <f t="shared" ca="1" si="102"/>
        <v>0.90946255131704279</v>
      </c>
      <c r="BW81" s="1">
        <f t="shared" ca="1" si="103"/>
        <v>974</v>
      </c>
      <c r="BX81" s="1">
        <f t="shared" ca="1" si="104"/>
        <v>6.7248285257259961E-4</v>
      </c>
      <c r="BY81" s="1">
        <f t="shared" ca="1" si="105"/>
        <v>3.7026072298097519E-2</v>
      </c>
      <c r="BZ81" s="1">
        <f t="shared" ca="1" si="106"/>
        <v>0.15134384590982297</v>
      </c>
      <c r="CB81" s="1">
        <f t="shared" ca="1" si="107"/>
        <v>268</v>
      </c>
      <c r="CC81" s="1">
        <f t="shared" ca="1" si="108"/>
        <v>14</v>
      </c>
      <c r="CD81" s="1">
        <f t="shared" ca="1" si="109"/>
        <v>0.25762318447734739</v>
      </c>
      <c r="CE81" s="1">
        <f t="shared" ca="1" si="110"/>
        <v>0.66702918282888934</v>
      </c>
      <c r="CF81" s="1">
        <f t="shared" ca="1" si="110"/>
        <v>0.53801408340299739</v>
      </c>
      <c r="CH81" s="3">
        <f t="shared" ca="1" si="111"/>
        <v>0.96846114606205513</v>
      </c>
      <c r="CI81" s="3">
        <f t="shared" ca="1" si="112"/>
        <v>7.1385146377213271E-2</v>
      </c>
      <c r="CJ81" s="3">
        <f t="shared" ca="1" si="113"/>
        <v>219</v>
      </c>
      <c r="CK81" s="3">
        <f t="shared" ca="1" si="114"/>
        <v>3.9540163989550967E-3</v>
      </c>
      <c r="CL81" s="3">
        <f t="shared" ca="1" si="115"/>
        <v>1</v>
      </c>
      <c r="CM81" s="3"/>
      <c r="CN81" s="1">
        <f t="shared" ca="1" si="116"/>
        <v>7.9764232921019271</v>
      </c>
      <c r="CO81" s="1">
        <f t="shared" ca="1" si="117"/>
        <v>9.6221700692468118E-2</v>
      </c>
      <c r="CP81" s="1">
        <f t="shared" ca="1" si="118"/>
        <v>3</v>
      </c>
      <c r="DH81" s="1">
        <f t="shared" ca="1" si="119"/>
        <v>549</v>
      </c>
      <c r="DI81" s="1">
        <f t="shared" ca="1" si="120"/>
        <v>0.2093308137674936</v>
      </c>
      <c r="DJ81" s="1">
        <f t="shared" ca="1" si="121"/>
        <v>18</v>
      </c>
      <c r="DL81" s="1">
        <f t="shared" ca="1" si="122"/>
        <v>4.4973742002764661E-2</v>
      </c>
      <c r="DM81" s="1">
        <f t="shared" ca="1" si="123"/>
        <v>95</v>
      </c>
      <c r="DN81" s="1">
        <f t="shared" ca="1" si="124"/>
        <v>8</v>
      </c>
    </row>
    <row r="82" spans="2:118" x14ac:dyDescent="0.25">
      <c r="B82">
        <f t="shared" ca="1" si="63"/>
        <v>212</v>
      </c>
      <c r="C82">
        <f t="shared" ca="1" si="64"/>
        <v>43</v>
      </c>
      <c r="D82">
        <f t="shared" ca="1" si="65"/>
        <v>0.11349264606175426</v>
      </c>
      <c r="F82" s="1">
        <f t="shared" ca="1" si="66"/>
        <v>18</v>
      </c>
      <c r="G82" s="1">
        <f t="shared" ca="1" si="67"/>
        <v>2</v>
      </c>
      <c r="H82" s="1">
        <f t="shared" ca="1" si="68"/>
        <v>9</v>
      </c>
      <c r="I82" s="1"/>
      <c r="J82" s="1">
        <f t="shared" ca="1" si="69"/>
        <v>28</v>
      </c>
      <c r="K82" s="1">
        <f t="shared" ca="1" si="70"/>
        <v>2.0029039748649042</v>
      </c>
      <c r="L82" s="1">
        <f t="shared" ca="1" si="71"/>
        <v>14</v>
      </c>
      <c r="M82" s="1"/>
      <c r="N82" s="1">
        <f t="shared" ca="1" si="72"/>
        <v>405</v>
      </c>
      <c r="O82" s="1">
        <f t="shared" ca="1" si="73"/>
        <v>10</v>
      </c>
      <c r="P82" s="1"/>
      <c r="Q82" s="1">
        <f t="shared" ca="1" si="74"/>
        <v>0.76104710435590028</v>
      </c>
      <c r="R82" s="1">
        <f t="shared" ca="1" si="75"/>
        <v>396</v>
      </c>
      <c r="S82" s="1"/>
      <c r="T82" s="1">
        <f t="shared" ca="1" si="76"/>
        <v>1.9192922357316445E-2</v>
      </c>
      <c r="U82" s="1">
        <f t="shared" ca="1" si="77"/>
        <v>178</v>
      </c>
      <c r="V82" s="1">
        <f t="shared" ca="1" si="78"/>
        <v>39</v>
      </c>
      <c r="W82" s="1"/>
      <c r="X82" s="1">
        <f t="shared" ca="1" si="79"/>
        <v>3.3158048868526921</v>
      </c>
      <c r="Y82" s="1">
        <f t="shared" ca="1" si="80"/>
        <v>0.50024905434517253</v>
      </c>
      <c r="Z82" s="1">
        <f t="shared" ca="1" si="81"/>
        <v>1569</v>
      </c>
      <c r="AB82" s="1">
        <f t="shared" ca="1" si="82"/>
        <v>0.10057868965126113</v>
      </c>
      <c r="AC82" s="1">
        <f t="shared" ca="1" si="83"/>
        <v>373</v>
      </c>
      <c r="AD82" s="1">
        <f t="shared" ca="1" si="84"/>
        <v>1.7698385838556493E-3</v>
      </c>
      <c r="AE82" s="1"/>
      <c r="AF82" s="1">
        <f t="shared" ca="1" si="85"/>
        <v>0.58587012799084182</v>
      </c>
      <c r="AG82" s="1">
        <f t="shared" ca="1" si="86"/>
        <v>129</v>
      </c>
      <c r="AH82" s="1">
        <f t="shared" ca="1" si="87"/>
        <v>7.5905124058466642E-3</v>
      </c>
      <c r="AJ82" s="1">
        <f t="shared" ca="1" si="88"/>
        <v>0.12762331707888452</v>
      </c>
      <c r="AK82" s="1">
        <f t="shared" ca="1" si="89"/>
        <v>8.3490284593085128E-3</v>
      </c>
      <c r="AL82" s="1"/>
      <c r="AM82" s="1">
        <f t="shared" ca="1" si="90"/>
        <v>9.1744144015624501E-2</v>
      </c>
      <c r="AN82" s="1">
        <f t="shared" ca="1" si="91"/>
        <v>76</v>
      </c>
      <c r="AO82" s="1">
        <f t="shared" ca="1" si="92"/>
        <v>8</v>
      </c>
      <c r="AQ82" s="1">
        <f t="shared" ca="1" si="93"/>
        <v>155</v>
      </c>
      <c r="AR82" s="1">
        <f t="shared" ca="1" si="94"/>
        <v>5</v>
      </c>
      <c r="AS82" s="1">
        <f t="shared" ca="1" si="95"/>
        <v>22</v>
      </c>
      <c r="AU82" s="1">
        <f t="shared" ca="1" si="96"/>
        <v>130</v>
      </c>
      <c r="AV82" s="1">
        <f t="shared" ca="1" si="97"/>
        <v>7</v>
      </c>
      <c r="AW82" s="1">
        <f t="shared" ca="1" si="98"/>
        <v>5.744718195999441E-2</v>
      </c>
      <c r="AY82" s="1">
        <f t="shared" ca="1" si="99"/>
        <v>1.8433734612580404</v>
      </c>
      <c r="AZ82" s="1">
        <f t="shared" ca="1" si="100"/>
        <v>290</v>
      </c>
      <c r="BA82" s="1">
        <f t="shared" ca="1" si="101"/>
        <v>5.9723307612252908E-3</v>
      </c>
      <c r="BV82" s="1">
        <f t="shared" ca="1" si="102"/>
        <v>0.39345692504119256</v>
      </c>
      <c r="BW82" s="1">
        <f t="shared" ca="1" si="103"/>
        <v>724</v>
      </c>
      <c r="BX82" s="1">
        <f t="shared" ca="1" si="104"/>
        <v>2.7675438604853283E-3</v>
      </c>
      <c r="BY82" s="1">
        <f t="shared" ca="1" si="105"/>
        <v>1.8297734061555639E-2</v>
      </c>
      <c r="BZ82" s="1">
        <f t="shared" ca="1" si="106"/>
        <v>0.50062509766691976</v>
      </c>
      <c r="CB82" s="1">
        <f t="shared" ca="1" si="107"/>
        <v>424</v>
      </c>
      <c r="CC82" s="1">
        <f t="shared" ca="1" si="108"/>
        <v>6</v>
      </c>
      <c r="CD82" s="1">
        <f t="shared" ca="1" si="109"/>
        <v>0.18194505157580174</v>
      </c>
      <c r="CE82" s="1">
        <f t="shared" ca="1" si="110"/>
        <v>0.79308379213790703</v>
      </c>
      <c r="CF82" s="1">
        <f t="shared" ca="1" si="110"/>
        <v>0.7504564986367066</v>
      </c>
      <c r="CH82" s="3">
        <f t="shared" ca="1" si="111"/>
        <v>0.73946787209702791</v>
      </c>
      <c r="CI82" s="3">
        <f t="shared" ca="1" si="112"/>
        <v>0.24102217263712777</v>
      </c>
      <c r="CJ82" s="3">
        <f t="shared" ca="1" si="113"/>
        <v>1698</v>
      </c>
      <c r="CK82" s="3">
        <f t="shared" ca="1" si="114"/>
        <v>3.7703675320529839E-3</v>
      </c>
      <c r="CL82" s="3">
        <f t="shared" ca="1" si="115"/>
        <v>1</v>
      </c>
      <c r="CM82" s="3"/>
      <c r="CN82" s="1">
        <f t="shared" ca="1" si="116"/>
        <v>3.6277218483308489</v>
      </c>
      <c r="CO82" s="1">
        <f t="shared" ca="1" si="117"/>
        <v>0.43364461119262981</v>
      </c>
      <c r="CP82" s="1">
        <f t="shared" ca="1" si="118"/>
        <v>4</v>
      </c>
      <c r="DH82" s="1">
        <f t="shared" ca="1" si="119"/>
        <v>864</v>
      </c>
      <c r="DI82" s="1">
        <f t="shared" ca="1" si="120"/>
        <v>0.68907213266827894</v>
      </c>
      <c r="DJ82" s="1">
        <f t="shared" ca="1" si="121"/>
        <v>3</v>
      </c>
      <c r="DL82" s="1">
        <f t="shared" ca="1" si="122"/>
        <v>0.18297848267049646</v>
      </c>
      <c r="DM82" s="1">
        <f t="shared" ca="1" si="123"/>
        <v>287</v>
      </c>
      <c r="DN82" s="1">
        <f t="shared" ca="1" si="124"/>
        <v>10</v>
      </c>
    </row>
    <row r="83" spans="2:118" x14ac:dyDescent="0.25">
      <c r="B83">
        <f t="shared" ca="1" si="63"/>
        <v>695</v>
      </c>
      <c r="C83">
        <f t="shared" ca="1" si="64"/>
        <v>6</v>
      </c>
      <c r="D83">
        <f t="shared" ca="1" si="65"/>
        <v>0.22376338238801241</v>
      </c>
      <c r="F83" s="1">
        <f t="shared" ca="1" si="66"/>
        <v>35</v>
      </c>
      <c r="G83" s="1">
        <f t="shared" ca="1" si="67"/>
        <v>20</v>
      </c>
      <c r="H83" s="1">
        <f t="shared" ca="1" si="68"/>
        <v>3</v>
      </c>
      <c r="I83" s="1"/>
      <c r="J83" s="1">
        <f t="shared" ca="1" si="69"/>
        <v>1</v>
      </c>
      <c r="K83" s="1">
        <f t="shared" ca="1" si="70"/>
        <v>2.0476305959163263</v>
      </c>
      <c r="L83" s="1">
        <f t="shared" ca="1" si="71"/>
        <v>3</v>
      </c>
      <c r="M83" s="1"/>
      <c r="N83" s="1">
        <f t="shared" ca="1" si="72"/>
        <v>428</v>
      </c>
      <c r="O83" s="1">
        <f t="shared" ca="1" si="73"/>
        <v>25</v>
      </c>
      <c r="P83" s="1"/>
      <c r="Q83" s="1">
        <f t="shared" ca="1" si="74"/>
        <v>0.22372893157711407</v>
      </c>
      <c r="R83" s="1">
        <f t="shared" ca="1" si="75"/>
        <v>998</v>
      </c>
      <c r="S83" s="1"/>
      <c r="T83" s="1">
        <f t="shared" ca="1" si="76"/>
        <v>7.0771859968698003E-2</v>
      </c>
      <c r="U83" s="1">
        <f t="shared" ca="1" si="77"/>
        <v>340</v>
      </c>
      <c r="V83" s="1">
        <f t="shared" ca="1" si="78"/>
        <v>8</v>
      </c>
      <c r="W83" s="1"/>
      <c r="X83" s="1">
        <f t="shared" ca="1" si="79"/>
        <v>3.3058263476050667</v>
      </c>
      <c r="Y83" s="1">
        <f t="shared" ca="1" si="80"/>
        <v>0.52878121904939734</v>
      </c>
      <c r="Z83" s="1">
        <f t="shared" ca="1" si="81"/>
        <v>303</v>
      </c>
      <c r="AB83" s="1">
        <f t="shared" ca="1" si="82"/>
        <v>0.29299405535599171</v>
      </c>
      <c r="AC83" s="1">
        <f t="shared" ca="1" si="83"/>
        <v>346</v>
      </c>
      <c r="AD83" s="1">
        <f t="shared" ca="1" si="84"/>
        <v>5.9043651712511729E-3</v>
      </c>
      <c r="AE83" s="1"/>
      <c r="AF83" s="1">
        <f t="shared" ca="1" si="85"/>
        <v>0.17171223583272982</v>
      </c>
      <c r="AG83" s="1">
        <f t="shared" ca="1" si="86"/>
        <v>451</v>
      </c>
      <c r="AH83" s="1">
        <f t="shared" ca="1" si="87"/>
        <v>9.5441038226111909E-3</v>
      </c>
      <c r="AJ83" s="1">
        <f t="shared" ca="1" si="88"/>
        <v>0.92127611497682005</v>
      </c>
      <c r="AK83" s="1">
        <f t="shared" ca="1" si="89"/>
        <v>1.9982947263727257E-3</v>
      </c>
      <c r="AL83" s="1"/>
      <c r="AM83" s="1">
        <f t="shared" ca="1" si="90"/>
        <v>0.16186447385539932</v>
      </c>
      <c r="AN83" s="1">
        <f t="shared" ca="1" si="91"/>
        <v>49</v>
      </c>
      <c r="AO83" s="1">
        <f t="shared" ca="1" si="92"/>
        <v>20</v>
      </c>
      <c r="AQ83" s="1">
        <f t="shared" ca="1" si="93"/>
        <v>56</v>
      </c>
      <c r="AR83" s="1">
        <f t="shared" ca="1" si="94"/>
        <v>3</v>
      </c>
      <c r="AS83" s="1">
        <f t="shared" ca="1" si="95"/>
        <v>29</v>
      </c>
      <c r="AU83" s="1">
        <f t="shared" ca="1" si="96"/>
        <v>93</v>
      </c>
      <c r="AV83" s="1">
        <f t="shared" ca="1" si="97"/>
        <v>8</v>
      </c>
      <c r="AW83" s="1">
        <f t="shared" ca="1" si="98"/>
        <v>0.14746072484480366</v>
      </c>
      <c r="AY83" s="1">
        <f t="shared" ca="1" si="99"/>
        <v>1.3265685318100815</v>
      </c>
      <c r="AZ83" s="1">
        <f t="shared" ca="1" si="100"/>
        <v>322</v>
      </c>
      <c r="BA83" s="1">
        <f t="shared" ca="1" si="101"/>
        <v>2.4985524423859293E-3</v>
      </c>
      <c r="BV83" s="1">
        <f t="shared" ca="1" si="102"/>
        <v>0.83442092759014519</v>
      </c>
      <c r="BW83" s="1">
        <f t="shared" ca="1" si="103"/>
        <v>805</v>
      </c>
      <c r="BX83" s="1">
        <f t="shared" ca="1" si="104"/>
        <v>6.8712703183533156E-3</v>
      </c>
      <c r="BY83" s="1">
        <f t="shared" ca="1" si="105"/>
        <v>9.6018619781867112E-2</v>
      </c>
      <c r="BZ83" s="1">
        <f t="shared" ca="1" si="106"/>
        <v>0.36024425992850584</v>
      </c>
      <c r="CB83" s="1">
        <f t="shared" ca="1" si="107"/>
        <v>242</v>
      </c>
      <c r="CC83" s="1">
        <f t="shared" ca="1" si="108"/>
        <v>14</v>
      </c>
      <c r="CD83" s="1">
        <f t="shared" ca="1" si="109"/>
        <v>1.1569051263985478E-2</v>
      </c>
      <c r="CE83" s="1">
        <f t="shared" ca="1" si="110"/>
        <v>0.5394873135351006</v>
      </c>
      <c r="CF83" s="1">
        <f t="shared" ca="1" si="110"/>
        <v>0.60568046885539073</v>
      </c>
      <c r="CH83" s="3">
        <f t="shared" ca="1" si="111"/>
        <v>0.5187309760459714</v>
      </c>
      <c r="CI83" s="3">
        <f t="shared" ca="1" si="112"/>
        <v>0.74873242536440643</v>
      </c>
      <c r="CJ83" s="3">
        <f t="shared" ca="1" si="113"/>
        <v>649</v>
      </c>
      <c r="CK83" s="3">
        <f t="shared" ca="1" si="114"/>
        <v>4.2117659202216117E-3</v>
      </c>
      <c r="CL83" s="3">
        <f t="shared" ca="1" si="115"/>
        <v>0</v>
      </c>
      <c r="CM83" s="3"/>
      <c r="CN83" s="1">
        <f t="shared" ca="1" si="116"/>
        <v>11.597263493053351</v>
      </c>
      <c r="CO83" s="1">
        <f t="shared" ca="1" si="117"/>
        <v>0.21854613709274828</v>
      </c>
      <c r="CP83" s="1">
        <f t="shared" ca="1" si="118"/>
        <v>2</v>
      </c>
      <c r="DH83" s="1">
        <f t="shared" ca="1" si="119"/>
        <v>221</v>
      </c>
      <c r="DI83" s="1">
        <f t="shared" ca="1" si="120"/>
        <v>0.45589454459426598</v>
      </c>
      <c r="DJ83" s="1">
        <f t="shared" ca="1" si="121"/>
        <v>7</v>
      </c>
      <c r="DL83" s="1">
        <f t="shared" ca="1" si="122"/>
        <v>0.17932798494930721</v>
      </c>
      <c r="DM83" s="1">
        <f t="shared" ca="1" si="123"/>
        <v>154</v>
      </c>
      <c r="DN83" s="1">
        <f t="shared" ca="1" si="124"/>
        <v>9</v>
      </c>
    </row>
    <row r="84" spans="2:118" x14ac:dyDescent="0.25">
      <c r="B84">
        <f t="shared" ca="1" si="63"/>
        <v>617</v>
      </c>
      <c r="C84">
        <f t="shared" ca="1" si="64"/>
        <v>52</v>
      </c>
      <c r="D84">
        <f t="shared" ca="1" si="65"/>
        <v>0.2047298636452973</v>
      </c>
      <c r="F84" s="1">
        <f t="shared" ca="1" si="66"/>
        <v>20</v>
      </c>
      <c r="G84" s="1">
        <f t="shared" ca="1" si="67"/>
        <v>29</v>
      </c>
      <c r="H84" s="1">
        <f t="shared" ca="1" si="68"/>
        <v>2</v>
      </c>
      <c r="I84" s="1"/>
      <c r="J84" s="1">
        <f t="shared" ca="1" si="69"/>
        <v>14</v>
      </c>
      <c r="K84" s="1">
        <f t="shared" ca="1" si="70"/>
        <v>2.0498606119901241</v>
      </c>
      <c r="L84" s="1">
        <f t="shared" ca="1" si="71"/>
        <v>20</v>
      </c>
      <c r="M84" s="1"/>
      <c r="N84" s="1">
        <f t="shared" ca="1" si="72"/>
        <v>730</v>
      </c>
      <c r="O84" s="1">
        <f t="shared" ca="1" si="73"/>
        <v>47</v>
      </c>
      <c r="P84" s="1"/>
      <c r="Q84" s="1">
        <f t="shared" ca="1" si="74"/>
        <v>4.9214555558413151</v>
      </c>
      <c r="R84" s="1">
        <f t="shared" ca="1" si="75"/>
        <v>821</v>
      </c>
      <c r="S84" s="1"/>
      <c r="T84" s="1">
        <f t="shared" ca="1" si="76"/>
        <v>4.4331946281034026E-2</v>
      </c>
      <c r="U84" s="1">
        <f t="shared" ca="1" si="77"/>
        <v>396</v>
      </c>
      <c r="V84" s="1">
        <f t="shared" ca="1" si="78"/>
        <v>4</v>
      </c>
      <c r="W84" s="1"/>
      <c r="X84" s="1">
        <f t="shared" ca="1" si="79"/>
        <v>9.7307375031612384</v>
      </c>
      <c r="Y84" s="1">
        <f t="shared" ca="1" si="80"/>
        <v>0.70569332233045567</v>
      </c>
      <c r="Z84" s="1">
        <f t="shared" ca="1" si="81"/>
        <v>1995</v>
      </c>
      <c r="AB84" s="1">
        <f t="shared" ca="1" si="82"/>
        <v>0.57851658655380223</v>
      </c>
      <c r="AC84" s="1">
        <f t="shared" ca="1" si="83"/>
        <v>920</v>
      </c>
      <c r="AD84" s="1">
        <f t="shared" ca="1" si="84"/>
        <v>5.0267799925518553E-3</v>
      </c>
      <c r="AE84" s="1"/>
      <c r="AF84" s="1">
        <f t="shared" ca="1" si="85"/>
        <v>0.72641519623829953</v>
      </c>
      <c r="AG84" s="1">
        <f t="shared" ca="1" si="86"/>
        <v>485</v>
      </c>
      <c r="AH84" s="1">
        <f t="shared" ca="1" si="87"/>
        <v>4.4546493351896666E-3</v>
      </c>
      <c r="AJ84" s="1">
        <f t="shared" ca="1" si="88"/>
        <v>0.83880047451578799</v>
      </c>
      <c r="AK84" s="1">
        <f t="shared" ca="1" si="89"/>
        <v>9.0450248286448826E-4</v>
      </c>
      <c r="AL84" s="1"/>
      <c r="AM84" s="1">
        <f t="shared" ca="1" si="90"/>
        <v>6.9159597037100626E-3</v>
      </c>
      <c r="AN84" s="1">
        <f t="shared" ca="1" si="91"/>
        <v>58</v>
      </c>
      <c r="AO84" s="1">
        <f t="shared" ca="1" si="92"/>
        <v>17</v>
      </c>
      <c r="AQ84" s="1">
        <f t="shared" ca="1" si="93"/>
        <v>62</v>
      </c>
      <c r="AR84" s="1">
        <f t="shared" ca="1" si="94"/>
        <v>6</v>
      </c>
      <c r="AS84" s="1">
        <f t="shared" ca="1" si="95"/>
        <v>38</v>
      </c>
      <c r="AU84" s="1">
        <f t="shared" ca="1" si="96"/>
        <v>160</v>
      </c>
      <c r="AV84" s="1">
        <f t="shared" ca="1" si="97"/>
        <v>5</v>
      </c>
      <c r="AW84" s="1">
        <f t="shared" ca="1" si="98"/>
        <v>0.19723322558083339</v>
      </c>
      <c r="AY84" s="1">
        <f t="shared" ca="1" si="99"/>
        <v>1.9073923304288134</v>
      </c>
      <c r="AZ84" s="1">
        <f t="shared" ca="1" si="100"/>
        <v>325</v>
      </c>
      <c r="BA84" s="1">
        <f t="shared" ca="1" si="101"/>
        <v>8.7381199592058596E-3</v>
      </c>
      <c r="BV84" s="1">
        <f t="shared" ca="1" si="102"/>
        <v>0.88505211269477668</v>
      </c>
      <c r="BW84" s="1">
        <f t="shared" ca="1" si="103"/>
        <v>970</v>
      </c>
      <c r="BX84" s="1">
        <f t="shared" ca="1" si="104"/>
        <v>2.6701622015762347E-3</v>
      </c>
      <c r="BY84" s="1">
        <f t="shared" ca="1" si="105"/>
        <v>9.3058901171403224E-3</v>
      </c>
      <c r="BZ84" s="1">
        <f t="shared" ca="1" si="106"/>
        <v>0.52941608574170018</v>
      </c>
      <c r="CB84" s="1">
        <f t="shared" ca="1" si="107"/>
        <v>403</v>
      </c>
      <c r="CC84" s="1">
        <f t="shared" ca="1" si="108"/>
        <v>4</v>
      </c>
      <c r="CD84" s="1">
        <f t="shared" ca="1" si="109"/>
        <v>4.8105179800212582E-2</v>
      </c>
      <c r="CE84" s="1">
        <f t="shared" ca="1" si="110"/>
        <v>0.6777878246037371</v>
      </c>
      <c r="CF84" s="1">
        <f t="shared" ca="1" si="110"/>
        <v>0.93709770080970467</v>
      </c>
      <c r="CH84" s="3">
        <f t="shared" ca="1" si="111"/>
        <v>0.96080756602448436</v>
      </c>
      <c r="CI84" s="3">
        <f t="shared" ca="1" si="112"/>
        <v>0.86738316242506741</v>
      </c>
      <c r="CJ84" s="3">
        <f t="shared" ca="1" si="113"/>
        <v>1270</v>
      </c>
      <c r="CK84" s="3">
        <f t="shared" ca="1" si="114"/>
        <v>8.4357162154461256E-3</v>
      </c>
      <c r="CL84" s="3">
        <f t="shared" ca="1" si="115"/>
        <v>1</v>
      </c>
      <c r="CM84" s="3"/>
      <c r="CN84" s="1">
        <f t="shared" ca="1" si="116"/>
        <v>5.4774587886090833</v>
      </c>
      <c r="CO84" s="1">
        <f t="shared" ca="1" si="117"/>
        <v>0.41525153846040874</v>
      </c>
      <c r="CP84" s="1">
        <f t="shared" ca="1" si="118"/>
        <v>5</v>
      </c>
      <c r="DH84" s="1">
        <f t="shared" ca="1" si="119"/>
        <v>18</v>
      </c>
      <c r="DI84" s="1">
        <f t="shared" ca="1" si="120"/>
        <v>0.11324412862341772</v>
      </c>
      <c r="DJ84" s="1">
        <f t="shared" ca="1" si="121"/>
        <v>2</v>
      </c>
      <c r="DL84" s="1">
        <f t="shared" ca="1" si="122"/>
        <v>0.10935112311102542</v>
      </c>
      <c r="DM84" s="1">
        <f t="shared" ca="1" si="123"/>
        <v>88</v>
      </c>
      <c r="DN84" s="1">
        <f t="shared" ca="1" si="124"/>
        <v>1</v>
      </c>
    </row>
    <row r="85" spans="2:118" x14ac:dyDescent="0.25">
      <c r="B85">
        <f t="shared" ca="1" si="63"/>
        <v>718</v>
      </c>
      <c r="C85">
        <f t="shared" ca="1" si="64"/>
        <v>10</v>
      </c>
      <c r="D85">
        <f t="shared" ca="1" si="65"/>
        <v>0.24990308237272635</v>
      </c>
      <c r="F85" s="1">
        <f t="shared" ca="1" si="66"/>
        <v>17</v>
      </c>
      <c r="G85" s="1">
        <f t="shared" ca="1" si="67"/>
        <v>20</v>
      </c>
      <c r="H85" s="1">
        <f t="shared" ca="1" si="68"/>
        <v>7</v>
      </c>
      <c r="I85" s="1"/>
      <c r="J85" s="1">
        <f t="shared" ca="1" si="69"/>
        <v>34</v>
      </c>
      <c r="K85" s="1">
        <f t="shared" ca="1" si="70"/>
        <v>2.5406577712347178</v>
      </c>
      <c r="L85" s="1">
        <f t="shared" ca="1" si="71"/>
        <v>35</v>
      </c>
      <c r="M85" s="1"/>
      <c r="N85" s="1">
        <f t="shared" ca="1" si="72"/>
        <v>566</v>
      </c>
      <c r="O85" s="1">
        <f t="shared" ca="1" si="73"/>
        <v>51</v>
      </c>
      <c r="P85" s="1"/>
      <c r="Q85" s="1">
        <f t="shared" ca="1" si="74"/>
        <v>3.1761184597909353</v>
      </c>
      <c r="R85" s="1">
        <f t="shared" ca="1" si="75"/>
        <v>727</v>
      </c>
      <c r="S85" s="1"/>
      <c r="T85" s="1">
        <f t="shared" ca="1" si="76"/>
        <v>0.10960195589667854</v>
      </c>
      <c r="U85" s="1">
        <f t="shared" ca="1" si="77"/>
        <v>69</v>
      </c>
      <c r="V85" s="1">
        <f t="shared" ca="1" si="78"/>
        <v>51</v>
      </c>
      <c r="W85" s="1"/>
      <c r="X85" s="1">
        <f t="shared" ca="1" si="79"/>
        <v>1.1542429809964982</v>
      </c>
      <c r="Y85" s="1">
        <f t="shared" ca="1" si="80"/>
        <v>0.3420502066752561</v>
      </c>
      <c r="Z85" s="1">
        <f t="shared" ca="1" si="81"/>
        <v>1230</v>
      </c>
      <c r="AB85" s="1">
        <f t="shared" ca="1" si="82"/>
        <v>0.95363900201178742</v>
      </c>
      <c r="AC85" s="1">
        <f t="shared" ca="1" si="83"/>
        <v>486</v>
      </c>
      <c r="AD85" s="1">
        <f t="shared" ca="1" si="84"/>
        <v>1.0900864015759256E-3</v>
      </c>
      <c r="AE85" s="1"/>
      <c r="AF85" s="1">
        <f t="shared" ca="1" si="85"/>
        <v>0.27382947840634508</v>
      </c>
      <c r="AG85" s="1">
        <f t="shared" ca="1" si="86"/>
        <v>120</v>
      </c>
      <c r="AH85" s="1">
        <f t="shared" ca="1" si="87"/>
        <v>7.108692323459241E-3</v>
      </c>
      <c r="AJ85" s="1">
        <f t="shared" ca="1" si="88"/>
        <v>0.42816301923138156</v>
      </c>
      <c r="AK85" s="1">
        <f t="shared" ca="1" si="89"/>
        <v>9.5490517956534661E-3</v>
      </c>
      <c r="AL85" s="1"/>
      <c r="AM85" s="1">
        <f t="shared" ca="1" si="90"/>
        <v>0.18594414050163233</v>
      </c>
      <c r="AN85" s="1">
        <f t="shared" ca="1" si="91"/>
        <v>62</v>
      </c>
      <c r="AO85" s="1">
        <f t="shared" ca="1" si="92"/>
        <v>12</v>
      </c>
      <c r="AQ85" s="1">
        <f t="shared" ca="1" si="93"/>
        <v>55</v>
      </c>
      <c r="AR85" s="1">
        <f t="shared" ca="1" si="94"/>
        <v>0</v>
      </c>
      <c r="AS85" s="1">
        <f t="shared" ca="1" si="95"/>
        <v>72</v>
      </c>
      <c r="AU85" s="1">
        <f t="shared" ca="1" si="96"/>
        <v>301</v>
      </c>
      <c r="AV85" s="1">
        <f t="shared" ca="1" si="97"/>
        <v>9</v>
      </c>
      <c r="AW85" s="1">
        <f t="shared" ca="1" si="98"/>
        <v>2.2286822669362293E-2</v>
      </c>
      <c r="AY85" s="1">
        <f t="shared" ca="1" si="99"/>
        <v>1.8165806994506224</v>
      </c>
      <c r="AZ85" s="1">
        <f t="shared" ca="1" si="100"/>
        <v>246</v>
      </c>
      <c r="BA85" s="1">
        <f t="shared" ca="1" si="101"/>
        <v>9.0299627433655695E-3</v>
      </c>
      <c r="BV85" s="1">
        <f t="shared" ca="1" si="102"/>
        <v>0.8240481965220352</v>
      </c>
      <c r="BW85" s="1">
        <f t="shared" ca="1" si="103"/>
        <v>299</v>
      </c>
      <c r="BX85" s="1">
        <f t="shared" ca="1" si="104"/>
        <v>9.6705764639298999E-3</v>
      </c>
      <c r="BY85" s="1">
        <f t="shared" ca="1" si="105"/>
        <v>9.6729664756732517E-2</v>
      </c>
      <c r="BZ85" s="1">
        <f t="shared" ca="1" si="106"/>
        <v>0.87338182710408074</v>
      </c>
      <c r="CB85" s="1">
        <f t="shared" ca="1" si="107"/>
        <v>453</v>
      </c>
      <c r="CC85" s="1">
        <f t="shared" ca="1" si="108"/>
        <v>6</v>
      </c>
      <c r="CD85" s="1">
        <f t="shared" ca="1" si="109"/>
        <v>4.9898863536115765E-2</v>
      </c>
      <c r="CE85" s="1">
        <f t="shared" ca="1" si="110"/>
        <v>0.96124065721165408</v>
      </c>
      <c r="CF85" s="1">
        <f t="shared" ca="1" si="110"/>
        <v>0.88336615474410307</v>
      </c>
      <c r="CH85" s="3">
        <f t="shared" ca="1" si="111"/>
        <v>0.42397510380672293</v>
      </c>
      <c r="CI85" s="3">
        <f t="shared" ca="1" si="112"/>
        <v>8.5804419147232858E-2</v>
      </c>
      <c r="CJ85" s="3">
        <f t="shared" ca="1" si="113"/>
        <v>916</v>
      </c>
      <c r="CK85" s="3">
        <f t="shared" ca="1" si="114"/>
        <v>6.4200913265166975E-3</v>
      </c>
      <c r="CL85" s="3">
        <f t="shared" ca="1" si="115"/>
        <v>0</v>
      </c>
      <c r="CM85" s="3"/>
      <c r="CN85" s="1">
        <f t="shared" ca="1" si="116"/>
        <v>5.4222590252405531</v>
      </c>
      <c r="CO85" s="1">
        <f t="shared" ca="1" si="117"/>
        <v>0.2394286302956474</v>
      </c>
      <c r="CP85" s="1">
        <f t="shared" ca="1" si="118"/>
        <v>1</v>
      </c>
      <c r="DH85" s="1">
        <f t="shared" ca="1" si="119"/>
        <v>65</v>
      </c>
      <c r="DI85" s="1">
        <f t="shared" ca="1" si="120"/>
        <v>0.61515494682440164</v>
      </c>
      <c r="DJ85" s="1">
        <f t="shared" ca="1" si="121"/>
        <v>29</v>
      </c>
      <c r="DL85" s="1">
        <f t="shared" ca="1" si="122"/>
        <v>4.0460467372176366E-2</v>
      </c>
      <c r="DM85" s="1">
        <f t="shared" ca="1" si="123"/>
        <v>173</v>
      </c>
      <c r="DN85" s="1">
        <f t="shared" ca="1" si="124"/>
        <v>7</v>
      </c>
    </row>
    <row r="86" spans="2:118" x14ac:dyDescent="0.25">
      <c r="B86">
        <f t="shared" ca="1" si="63"/>
        <v>612</v>
      </c>
      <c r="C86">
        <f t="shared" ca="1" si="64"/>
        <v>16</v>
      </c>
      <c r="D86">
        <f t="shared" ca="1" si="65"/>
        <v>0.12213265838961747</v>
      </c>
      <c r="F86" s="1">
        <f t="shared" ca="1" si="66"/>
        <v>14</v>
      </c>
      <c r="G86" s="1">
        <f t="shared" ca="1" si="67"/>
        <v>28</v>
      </c>
      <c r="H86" s="1">
        <f t="shared" ca="1" si="68"/>
        <v>12</v>
      </c>
      <c r="I86" s="1"/>
      <c r="J86" s="1">
        <f t="shared" ca="1" si="69"/>
        <v>29</v>
      </c>
      <c r="K86" s="1">
        <f t="shared" ca="1" si="70"/>
        <v>1.7328878189749075</v>
      </c>
      <c r="L86" s="1">
        <f t="shared" ca="1" si="71"/>
        <v>29</v>
      </c>
      <c r="M86" s="1"/>
      <c r="N86" s="1">
        <f t="shared" ca="1" si="72"/>
        <v>542</v>
      </c>
      <c r="O86" s="1">
        <f t="shared" ca="1" si="73"/>
        <v>16</v>
      </c>
      <c r="P86" s="1"/>
      <c r="Q86" s="1">
        <f t="shared" ca="1" si="74"/>
        <v>3.6075022805768779</v>
      </c>
      <c r="R86" s="1">
        <f t="shared" ca="1" si="75"/>
        <v>963</v>
      </c>
      <c r="S86" s="1"/>
      <c r="T86" s="1">
        <f t="shared" ca="1" si="76"/>
        <v>6.4553096034992971E-2</v>
      </c>
      <c r="U86" s="1">
        <f t="shared" ca="1" si="77"/>
        <v>312</v>
      </c>
      <c r="V86" s="1">
        <f t="shared" ca="1" si="78"/>
        <v>19</v>
      </c>
      <c r="W86" s="1"/>
      <c r="X86" s="1">
        <f t="shared" ca="1" si="79"/>
        <v>1.1646909443993285</v>
      </c>
      <c r="Y86" s="1">
        <f t="shared" ca="1" si="80"/>
        <v>0.1971453978481465</v>
      </c>
      <c r="Z86" s="1">
        <f t="shared" ca="1" si="81"/>
        <v>1288</v>
      </c>
      <c r="AB86" s="1">
        <f t="shared" ca="1" si="82"/>
        <v>0.1434345069975404</v>
      </c>
      <c r="AC86" s="1">
        <f t="shared" ca="1" si="83"/>
        <v>528</v>
      </c>
      <c r="AD86" s="1">
        <f t="shared" ca="1" si="84"/>
        <v>9.3965147894570623E-4</v>
      </c>
      <c r="AE86" s="1"/>
      <c r="AF86" s="1">
        <f t="shared" ca="1" si="85"/>
        <v>0.25699002833738227</v>
      </c>
      <c r="AG86" s="1">
        <f t="shared" ca="1" si="86"/>
        <v>205</v>
      </c>
      <c r="AH86" s="1">
        <f t="shared" ca="1" si="87"/>
        <v>7.158796258918557E-3</v>
      </c>
      <c r="AJ86" s="1">
        <f t="shared" ca="1" si="88"/>
        <v>0.64956949414124232</v>
      </c>
      <c r="AK86" s="1">
        <f t="shared" ca="1" si="89"/>
        <v>8.707779544742918E-3</v>
      </c>
      <c r="AL86" s="1"/>
      <c r="AM86" s="1">
        <f t="shared" ca="1" si="90"/>
        <v>8.8114454021098187E-2</v>
      </c>
      <c r="AN86" s="1">
        <f t="shared" ca="1" si="91"/>
        <v>60</v>
      </c>
      <c r="AO86" s="1">
        <f t="shared" ca="1" si="92"/>
        <v>7</v>
      </c>
      <c r="AQ86" s="1">
        <f t="shared" ca="1" si="93"/>
        <v>169</v>
      </c>
      <c r="AR86" s="1">
        <f t="shared" ca="1" si="94"/>
        <v>2</v>
      </c>
      <c r="AS86" s="1">
        <f t="shared" ca="1" si="95"/>
        <v>42</v>
      </c>
      <c r="AU86" s="1">
        <f t="shared" ca="1" si="96"/>
        <v>130</v>
      </c>
      <c r="AV86" s="1">
        <f t="shared" ca="1" si="97"/>
        <v>8</v>
      </c>
      <c r="AW86" s="1">
        <f t="shared" ca="1" si="98"/>
        <v>0.17265267836387113</v>
      </c>
      <c r="AY86" s="1">
        <f t="shared" ca="1" si="99"/>
        <v>1.7642112574442854</v>
      </c>
      <c r="AZ86" s="1">
        <f t="shared" ca="1" si="100"/>
        <v>473</v>
      </c>
      <c r="BA86" s="1">
        <f t="shared" ca="1" si="101"/>
        <v>8.1233238933473995E-3</v>
      </c>
      <c r="BV86" s="1">
        <f t="shared" ca="1" si="102"/>
        <v>0.98199227432087088</v>
      </c>
      <c r="BW86" s="1">
        <f t="shared" ca="1" si="103"/>
        <v>735</v>
      </c>
      <c r="BX86" s="1">
        <f t="shared" ca="1" si="104"/>
        <v>6.8812736600416145E-3</v>
      </c>
      <c r="BY86" s="1">
        <f t="shared" ca="1" si="105"/>
        <v>8.6860634852147192E-2</v>
      </c>
      <c r="BZ86" s="1">
        <f t="shared" ca="1" si="106"/>
        <v>0.55878593374055241</v>
      </c>
      <c r="CB86" s="1">
        <f t="shared" ca="1" si="107"/>
        <v>86</v>
      </c>
      <c r="CC86" s="1">
        <f t="shared" ca="1" si="108"/>
        <v>9</v>
      </c>
      <c r="CD86" s="1">
        <f t="shared" ca="1" si="109"/>
        <v>0.11454804064290119</v>
      </c>
      <c r="CE86" s="1">
        <f t="shared" ca="1" si="110"/>
        <v>0.56680789563156986</v>
      </c>
      <c r="CF86" s="1">
        <f t="shared" ca="1" si="110"/>
        <v>0.82855883449163548</v>
      </c>
      <c r="CH86" s="3">
        <f t="shared" ca="1" si="111"/>
        <v>0.76459470871392832</v>
      </c>
      <c r="CI86" s="3">
        <f t="shared" ca="1" si="112"/>
        <v>0.89859341689906591</v>
      </c>
      <c r="CJ86" s="3">
        <f t="shared" ca="1" si="113"/>
        <v>215</v>
      </c>
      <c r="CK86" s="3">
        <f t="shared" ca="1" si="114"/>
        <v>4.7699783458107266E-3</v>
      </c>
      <c r="CL86" s="3">
        <f t="shared" ca="1" si="115"/>
        <v>0</v>
      </c>
      <c r="CM86" s="3"/>
      <c r="CN86" s="1">
        <f t="shared" ca="1" si="116"/>
        <v>17.627188159001818</v>
      </c>
      <c r="CO86" s="1">
        <f t="shared" ca="1" si="117"/>
        <v>0.417520100457627</v>
      </c>
      <c r="CP86" s="1">
        <f t="shared" ca="1" si="118"/>
        <v>2</v>
      </c>
      <c r="DH86" s="1">
        <f t="shared" ca="1" si="119"/>
        <v>587</v>
      </c>
      <c r="DI86" s="1">
        <f t="shared" ca="1" si="120"/>
        <v>7.7869550080075442E-2</v>
      </c>
      <c r="DJ86" s="1">
        <f t="shared" ca="1" si="121"/>
        <v>24</v>
      </c>
      <c r="DL86" s="1">
        <f t="shared" ca="1" si="122"/>
        <v>0.11877796946082902</v>
      </c>
      <c r="DM86" s="1">
        <f t="shared" ca="1" si="123"/>
        <v>144</v>
      </c>
      <c r="DN86" s="1">
        <f t="shared" ca="1" si="124"/>
        <v>3</v>
      </c>
    </row>
    <row r="87" spans="2:118" x14ac:dyDescent="0.25">
      <c r="B87">
        <f t="shared" ca="1" si="63"/>
        <v>100</v>
      </c>
      <c r="C87">
        <f t="shared" ca="1" si="64"/>
        <v>49</v>
      </c>
      <c r="D87">
        <f t="shared" ca="1" si="65"/>
        <v>0.27881467303639262</v>
      </c>
      <c r="F87" s="1">
        <f t="shared" ca="1" si="66"/>
        <v>45</v>
      </c>
      <c r="G87" s="1">
        <f t="shared" ca="1" si="67"/>
        <v>17</v>
      </c>
      <c r="H87" s="1">
        <f t="shared" ca="1" si="68"/>
        <v>14</v>
      </c>
      <c r="I87" s="1"/>
      <c r="J87" s="1">
        <f t="shared" ca="1" si="69"/>
        <v>37</v>
      </c>
      <c r="K87" s="1">
        <f t="shared" ca="1" si="70"/>
        <v>2.6379191798894999</v>
      </c>
      <c r="L87" s="1">
        <f t="shared" ca="1" si="71"/>
        <v>3</v>
      </c>
      <c r="M87" s="1"/>
      <c r="N87" s="1">
        <f t="shared" ca="1" si="72"/>
        <v>315</v>
      </c>
      <c r="O87" s="1">
        <f t="shared" ca="1" si="73"/>
        <v>32</v>
      </c>
      <c r="P87" s="1"/>
      <c r="Q87" s="1">
        <f t="shared" ca="1" si="74"/>
        <v>1.3069749253556244</v>
      </c>
      <c r="R87" s="1">
        <f t="shared" ca="1" si="75"/>
        <v>751</v>
      </c>
      <c r="S87" s="1"/>
      <c r="T87" s="1">
        <f t="shared" ca="1" si="76"/>
        <v>0.18168406801245376</v>
      </c>
      <c r="U87" s="1">
        <f t="shared" ca="1" si="77"/>
        <v>365</v>
      </c>
      <c r="V87" s="1">
        <f t="shared" ca="1" si="78"/>
        <v>38</v>
      </c>
      <c r="W87" s="1"/>
      <c r="X87" s="1">
        <f t="shared" ca="1" si="79"/>
        <v>4.0298237390566385</v>
      </c>
      <c r="Y87" s="1">
        <f t="shared" ca="1" si="80"/>
        <v>4.7663803979691749E-2</v>
      </c>
      <c r="Z87" s="1">
        <f t="shared" ca="1" si="81"/>
        <v>559</v>
      </c>
      <c r="AB87" s="1">
        <f t="shared" ca="1" si="82"/>
        <v>2.3686380837369989E-2</v>
      </c>
      <c r="AC87" s="1">
        <f t="shared" ca="1" si="83"/>
        <v>143</v>
      </c>
      <c r="AD87" s="1">
        <f t="shared" ca="1" si="84"/>
        <v>6.3940916239375945E-3</v>
      </c>
      <c r="AE87" s="1"/>
      <c r="AF87" s="1">
        <f t="shared" ca="1" si="85"/>
        <v>0.59096987172113657</v>
      </c>
      <c r="AG87" s="1">
        <f t="shared" ca="1" si="86"/>
        <v>674</v>
      </c>
      <c r="AH87" s="1">
        <f t="shared" ca="1" si="87"/>
        <v>2.0238992462419322E-3</v>
      </c>
      <c r="AJ87" s="1">
        <f t="shared" ca="1" si="88"/>
        <v>0.89148410914631937</v>
      </c>
      <c r="AK87" s="1">
        <f t="shared" ca="1" si="89"/>
        <v>9.5858098423404273E-3</v>
      </c>
      <c r="AL87" s="1"/>
      <c r="AM87" s="1">
        <f t="shared" ca="1" si="90"/>
        <v>0.12321457852937619</v>
      </c>
      <c r="AN87" s="1">
        <f t="shared" ca="1" si="91"/>
        <v>22</v>
      </c>
      <c r="AO87" s="1">
        <f t="shared" ca="1" si="92"/>
        <v>16</v>
      </c>
      <c r="AQ87" s="1">
        <f t="shared" ca="1" si="93"/>
        <v>47</v>
      </c>
      <c r="AR87" s="1">
        <f t="shared" ca="1" si="94"/>
        <v>7</v>
      </c>
      <c r="AS87" s="1">
        <f t="shared" ca="1" si="95"/>
        <v>95</v>
      </c>
      <c r="AU87" s="1">
        <f t="shared" ca="1" si="96"/>
        <v>299</v>
      </c>
      <c r="AV87" s="1">
        <f t="shared" ca="1" si="97"/>
        <v>10</v>
      </c>
      <c r="AW87" s="1">
        <f t="shared" ca="1" si="98"/>
        <v>0.10774167767929856</v>
      </c>
      <c r="AY87" s="1">
        <f t="shared" ca="1" si="99"/>
        <v>1.5702705722392256</v>
      </c>
      <c r="AZ87" s="1">
        <f t="shared" ca="1" si="100"/>
        <v>309</v>
      </c>
      <c r="BA87" s="1">
        <f t="shared" ca="1" si="101"/>
        <v>4.8959256917484335E-3</v>
      </c>
      <c r="BV87" s="1">
        <f t="shared" ca="1" si="102"/>
        <v>0.95063581989963575</v>
      </c>
      <c r="BW87" s="1">
        <f t="shared" ca="1" si="103"/>
        <v>891</v>
      </c>
      <c r="BX87" s="1">
        <f t="shared" ca="1" si="104"/>
        <v>6.5933137161911532E-3</v>
      </c>
      <c r="BY87" s="1">
        <f t="shared" ca="1" si="105"/>
        <v>9.5562765185189996E-2</v>
      </c>
      <c r="BZ87" s="1">
        <f t="shared" ca="1" si="106"/>
        <v>0.8869623471389444</v>
      </c>
      <c r="CB87" s="1">
        <f t="shared" ca="1" si="107"/>
        <v>480</v>
      </c>
      <c r="CC87" s="1">
        <f t="shared" ca="1" si="108"/>
        <v>9</v>
      </c>
      <c r="CD87" s="1">
        <f t="shared" ca="1" si="109"/>
        <v>0.29133006380477766</v>
      </c>
      <c r="CE87" s="1">
        <f t="shared" ca="1" si="110"/>
        <v>0.81939900222498629</v>
      </c>
      <c r="CF87" s="1">
        <f t="shared" ca="1" si="110"/>
        <v>0.81013779281305887</v>
      </c>
      <c r="CH87" s="3">
        <f t="shared" ca="1" si="111"/>
        <v>0.75507188533099767</v>
      </c>
      <c r="CI87" s="3">
        <f t="shared" ca="1" si="112"/>
        <v>0.86749500312556282</v>
      </c>
      <c r="CJ87" s="3">
        <f t="shared" ca="1" si="113"/>
        <v>1771</v>
      </c>
      <c r="CK87" s="3">
        <f t="shared" ca="1" si="114"/>
        <v>2.995100128989037E-3</v>
      </c>
      <c r="CL87" s="3">
        <f t="shared" ca="1" si="115"/>
        <v>1</v>
      </c>
      <c r="CM87" s="3"/>
      <c r="CN87" s="1">
        <f t="shared" ca="1" si="116"/>
        <v>1.879913594245447</v>
      </c>
      <c r="CO87" s="1">
        <f t="shared" ca="1" si="117"/>
        <v>0.31577051659896921</v>
      </c>
      <c r="CP87" s="1">
        <f t="shared" ca="1" si="118"/>
        <v>1</v>
      </c>
      <c r="DH87" s="1">
        <f t="shared" ca="1" si="119"/>
        <v>787</v>
      </c>
      <c r="DI87" s="1">
        <f t="shared" ca="1" si="120"/>
        <v>0.8382793236120345</v>
      </c>
      <c r="DJ87" s="1">
        <f t="shared" ca="1" si="121"/>
        <v>9</v>
      </c>
      <c r="DL87" s="1">
        <f t="shared" ca="1" si="122"/>
        <v>0.14518948255195577</v>
      </c>
      <c r="DM87" s="1">
        <f t="shared" ca="1" si="123"/>
        <v>75</v>
      </c>
      <c r="DN87" s="1">
        <f t="shared" ca="1" si="124"/>
        <v>7</v>
      </c>
    </row>
    <row r="88" spans="2:118" x14ac:dyDescent="0.25">
      <c r="B88">
        <f t="shared" ca="1" si="63"/>
        <v>504</v>
      </c>
      <c r="C88">
        <f t="shared" ca="1" si="64"/>
        <v>38</v>
      </c>
      <c r="D88">
        <f t="shared" ca="1" si="65"/>
        <v>3.4000730467093176E-2</v>
      </c>
      <c r="F88" s="1">
        <f t="shared" ca="1" si="66"/>
        <v>30</v>
      </c>
      <c r="G88" s="1">
        <f t="shared" ca="1" si="67"/>
        <v>9</v>
      </c>
      <c r="H88" s="1">
        <f t="shared" ca="1" si="68"/>
        <v>3</v>
      </c>
      <c r="I88" s="1"/>
      <c r="J88" s="1">
        <f t="shared" ca="1" si="69"/>
        <v>4</v>
      </c>
      <c r="K88" s="1">
        <f t="shared" ca="1" si="70"/>
        <v>1.3465478255727121</v>
      </c>
      <c r="L88" s="1">
        <f t="shared" ca="1" si="71"/>
        <v>20</v>
      </c>
      <c r="M88" s="1"/>
      <c r="N88" s="1">
        <f t="shared" ca="1" si="72"/>
        <v>530</v>
      </c>
      <c r="O88" s="1">
        <f t="shared" ca="1" si="73"/>
        <v>32</v>
      </c>
      <c r="P88" s="1"/>
      <c r="Q88" s="1">
        <f t="shared" ca="1" si="74"/>
        <v>3.0532671154979356</v>
      </c>
      <c r="R88" s="1">
        <f t="shared" ca="1" si="75"/>
        <v>823</v>
      </c>
      <c r="S88" s="1"/>
      <c r="T88" s="1">
        <f t="shared" ca="1" si="76"/>
        <v>1.7289809641108319E-2</v>
      </c>
      <c r="U88" s="1">
        <f t="shared" ca="1" si="77"/>
        <v>220</v>
      </c>
      <c r="V88" s="1">
        <f t="shared" ca="1" si="78"/>
        <v>11</v>
      </c>
      <c r="W88" s="1"/>
      <c r="X88" s="1">
        <f t="shared" ca="1" si="79"/>
        <v>5.8983263831157462</v>
      </c>
      <c r="Y88" s="1">
        <f t="shared" ca="1" si="80"/>
        <v>0.97635347079736534</v>
      </c>
      <c r="Z88" s="1">
        <f t="shared" ca="1" si="81"/>
        <v>317</v>
      </c>
      <c r="AB88" s="1">
        <f t="shared" ca="1" si="82"/>
        <v>0.4846473716030999</v>
      </c>
      <c r="AC88" s="1">
        <f t="shared" ca="1" si="83"/>
        <v>410</v>
      </c>
      <c r="AD88" s="1">
        <f t="shared" ca="1" si="84"/>
        <v>3.8320259760538516E-3</v>
      </c>
      <c r="AE88" s="1"/>
      <c r="AF88" s="1">
        <f t="shared" ca="1" si="85"/>
        <v>0.48625104426113397</v>
      </c>
      <c r="AG88" s="1">
        <f t="shared" ca="1" si="86"/>
        <v>233</v>
      </c>
      <c r="AH88" s="1">
        <f t="shared" ca="1" si="87"/>
        <v>5.7066059662234823E-3</v>
      </c>
      <c r="AJ88" s="1">
        <f t="shared" ca="1" si="88"/>
        <v>0.25661671189873847</v>
      </c>
      <c r="AK88" s="1">
        <f t="shared" ca="1" si="89"/>
        <v>8.5731355993205825E-4</v>
      </c>
      <c r="AL88" s="1"/>
      <c r="AM88" s="1">
        <f t="shared" ca="1" si="90"/>
        <v>9.2481814321742115E-2</v>
      </c>
      <c r="AN88" s="1">
        <f t="shared" ca="1" si="91"/>
        <v>74</v>
      </c>
      <c r="AO88" s="1">
        <f t="shared" ca="1" si="92"/>
        <v>15</v>
      </c>
      <c r="AQ88" s="1">
        <f t="shared" ca="1" si="93"/>
        <v>142</v>
      </c>
      <c r="AR88" s="1">
        <f t="shared" ca="1" si="94"/>
        <v>6</v>
      </c>
      <c r="AS88" s="1">
        <f t="shared" ca="1" si="95"/>
        <v>2</v>
      </c>
      <c r="AU88" s="1">
        <f t="shared" ca="1" si="96"/>
        <v>336</v>
      </c>
      <c r="AV88" s="1">
        <f t="shared" ca="1" si="97"/>
        <v>3</v>
      </c>
      <c r="AW88" s="1">
        <f t="shared" ca="1" si="98"/>
        <v>0.1818882051172819</v>
      </c>
      <c r="AY88" s="1">
        <f t="shared" ca="1" si="99"/>
        <v>1.2191106818947073</v>
      </c>
      <c r="AZ88" s="1">
        <f t="shared" ca="1" si="100"/>
        <v>460</v>
      </c>
      <c r="BA88" s="1">
        <f t="shared" ca="1" si="101"/>
        <v>8.0352132504728333E-5</v>
      </c>
      <c r="BV88" s="1">
        <f t="shared" ca="1" si="102"/>
        <v>0.41180322968360361</v>
      </c>
      <c r="BW88" s="1">
        <f t="shared" ca="1" si="103"/>
        <v>216</v>
      </c>
      <c r="BX88" s="1">
        <f t="shared" ca="1" si="104"/>
        <v>6.953989891797031E-3</v>
      </c>
      <c r="BY88" s="1">
        <f t="shared" ca="1" si="105"/>
        <v>1.3979755868476948E-2</v>
      </c>
      <c r="BZ88" s="1">
        <f t="shared" ca="1" si="106"/>
        <v>0.7305791992303845</v>
      </c>
      <c r="CB88" s="1">
        <f t="shared" ca="1" si="107"/>
        <v>227</v>
      </c>
      <c r="CC88" s="1">
        <f t="shared" ca="1" si="108"/>
        <v>11</v>
      </c>
      <c r="CD88" s="1">
        <f t="shared" ca="1" si="109"/>
        <v>0.19411294976445131</v>
      </c>
      <c r="CE88" s="1">
        <f t="shared" ca="1" si="110"/>
        <v>0.63961221401552426</v>
      </c>
      <c r="CF88" s="1">
        <f t="shared" ca="1" si="110"/>
        <v>0.65847288733332743</v>
      </c>
      <c r="CH88" s="3">
        <f t="shared" ca="1" si="111"/>
        <v>5.4086491015641863E-2</v>
      </c>
      <c r="CI88" s="3">
        <f t="shared" ca="1" si="112"/>
        <v>0.45354225797341752</v>
      </c>
      <c r="CJ88" s="3">
        <f t="shared" ca="1" si="113"/>
        <v>1993</v>
      </c>
      <c r="CK88" s="3">
        <f t="shared" ca="1" si="114"/>
        <v>6.431854846548523E-3</v>
      </c>
      <c r="CL88" s="3">
        <f t="shared" ca="1" si="115"/>
        <v>1</v>
      </c>
      <c r="CM88" s="3"/>
      <c r="CN88" s="1">
        <f t="shared" ca="1" si="116"/>
        <v>3.4170781211061532</v>
      </c>
      <c r="CO88" s="1">
        <f t="shared" ca="1" si="117"/>
        <v>0.20149302808700614</v>
      </c>
      <c r="CP88" s="1">
        <f t="shared" ca="1" si="118"/>
        <v>2</v>
      </c>
      <c r="DH88" s="1">
        <f t="shared" ca="1" si="119"/>
        <v>77</v>
      </c>
      <c r="DI88" s="1">
        <f t="shared" ca="1" si="120"/>
        <v>5.3516595863830028E-2</v>
      </c>
      <c r="DJ88" s="1">
        <f t="shared" ca="1" si="121"/>
        <v>2</v>
      </c>
      <c r="DL88" s="1">
        <f t="shared" ca="1" si="122"/>
        <v>0.19517648896193376</v>
      </c>
      <c r="DM88" s="1">
        <f t="shared" ca="1" si="123"/>
        <v>163</v>
      </c>
      <c r="DN88" s="1">
        <f t="shared" ca="1" si="124"/>
        <v>7</v>
      </c>
    </row>
    <row r="89" spans="2:118" x14ac:dyDescent="0.25">
      <c r="B89">
        <f t="shared" ca="1" si="63"/>
        <v>313</v>
      </c>
      <c r="C89">
        <f t="shared" ca="1" si="64"/>
        <v>35</v>
      </c>
      <c r="D89">
        <f t="shared" ca="1" si="65"/>
        <v>8.8206551471312303E-2</v>
      </c>
      <c r="F89" s="1">
        <f t="shared" ca="1" si="66"/>
        <v>3</v>
      </c>
      <c r="G89" s="1">
        <f t="shared" ca="1" si="67"/>
        <v>2</v>
      </c>
      <c r="H89" s="1">
        <f t="shared" ca="1" si="68"/>
        <v>3</v>
      </c>
      <c r="I89" s="1"/>
      <c r="J89" s="1">
        <f t="shared" ca="1" si="69"/>
        <v>36</v>
      </c>
      <c r="K89" s="1">
        <f t="shared" ca="1" si="70"/>
        <v>1.8385619399042539</v>
      </c>
      <c r="L89" s="1">
        <f t="shared" ca="1" si="71"/>
        <v>26</v>
      </c>
      <c r="M89" s="1"/>
      <c r="N89" s="1">
        <f t="shared" ca="1" si="72"/>
        <v>175</v>
      </c>
      <c r="O89" s="1">
        <f t="shared" ca="1" si="73"/>
        <v>16</v>
      </c>
      <c r="P89" s="1"/>
      <c r="Q89" s="1">
        <f t="shared" ca="1" si="74"/>
        <v>4.1513875132035896</v>
      </c>
      <c r="R89" s="1">
        <f t="shared" ca="1" si="75"/>
        <v>550</v>
      </c>
      <c r="S89" s="1"/>
      <c r="T89" s="1">
        <f t="shared" ca="1" si="76"/>
        <v>0.15104198514328213</v>
      </c>
      <c r="U89" s="1">
        <f t="shared" ca="1" si="77"/>
        <v>438</v>
      </c>
      <c r="V89" s="1">
        <f t="shared" ca="1" si="78"/>
        <v>26</v>
      </c>
      <c r="W89" s="1"/>
      <c r="X89" s="1">
        <f t="shared" ca="1" si="79"/>
        <v>0.19076982369034498</v>
      </c>
      <c r="Y89" s="1">
        <f t="shared" ca="1" si="80"/>
        <v>0.45479254147894915</v>
      </c>
      <c r="Z89" s="1">
        <f t="shared" ca="1" si="81"/>
        <v>173</v>
      </c>
      <c r="AB89" s="1">
        <f t="shared" ca="1" si="82"/>
        <v>0.83122921790142545</v>
      </c>
      <c r="AC89" s="1">
        <f t="shared" ca="1" si="83"/>
        <v>340</v>
      </c>
      <c r="AD89" s="1">
        <f t="shared" ca="1" si="84"/>
        <v>5.7457458652804584E-3</v>
      </c>
      <c r="AE89" s="1"/>
      <c r="AF89" s="1">
        <f t="shared" ca="1" si="85"/>
        <v>0.1144346857853627</v>
      </c>
      <c r="AG89" s="1">
        <f t="shared" ca="1" si="86"/>
        <v>887</v>
      </c>
      <c r="AH89" s="1">
        <f t="shared" ca="1" si="87"/>
        <v>4.2654452367784654E-3</v>
      </c>
      <c r="AJ89" s="1">
        <f t="shared" ca="1" si="88"/>
        <v>0.51239674676859248</v>
      </c>
      <c r="AK89" s="1">
        <f t="shared" ca="1" si="89"/>
        <v>1.4690672649910952E-3</v>
      </c>
      <c r="AL89" s="1"/>
      <c r="AM89" s="1">
        <f t="shared" ca="1" si="90"/>
        <v>0.121203941573977</v>
      </c>
      <c r="AN89" s="1">
        <f t="shared" ca="1" si="91"/>
        <v>67</v>
      </c>
      <c r="AO89" s="1">
        <f t="shared" ca="1" si="92"/>
        <v>14</v>
      </c>
      <c r="AQ89" s="1">
        <f t="shared" ca="1" si="93"/>
        <v>88</v>
      </c>
      <c r="AR89" s="1">
        <f t="shared" ca="1" si="94"/>
        <v>7</v>
      </c>
      <c r="AS89" s="1">
        <f t="shared" ca="1" si="95"/>
        <v>53</v>
      </c>
      <c r="AU89" s="1">
        <f t="shared" ca="1" si="96"/>
        <v>195</v>
      </c>
      <c r="AV89" s="1">
        <f t="shared" ca="1" si="97"/>
        <v>5</v>
      </c>
      <c r="AW89" s="1">
        <f t="shared" ca="1" si="98"/>
        <v>0.12698675750396313</v>
      </c>
      <c r="AY89" s="1">
        <f t="shared" ca="1" si="99"/>
        <v>1.5463867307881873</v>
      </c>
      <c r="AZ89" s="1">
        <f t="shared" ca="1" si="100"/>
        <v>193</v>
      </c>
      <c r="BA89" s="1">
        <f t="shared" ca="1" si="101"/>
        <v>2.5407497419603826E-3</v>
      </c>
      <c r="BV89" s="1">
        <f t="shared" ca="1" si="102"/>
        <v>0.70350670098319801</v>
      </c>
      <c r="BW89" s="1">
        <f t="shared" ca="1" si="103"/>
        <v>623</v>
      </c>
      <c r="BX89" s="1">
        <f t="shared" ca="1" si="104"/>
        <v>3.1599863739897784E-3</v>
      </c>
      <c r="BY89" s="1">
        <f t="shared" ca="1" si="105"/>
        <v>6.4153378537031902E-2</v>
      </c>
      <c r="BZ89" s="1">
        <f t="shared" ca="1" si="106"/>
        <v>0.29632529630823123</v>
      </c>
      <c r="CB89" s="1">
        <f t="shared" ca="1" si="107"/>
        <v>253</v>
      </c>
      <c r="CC89" s="1">
        <f t="shared" ca="1" si="108"/>
        <v>5</v>
      </c>
      <c r="CD89" s="1">
        <f t="shared" ca="1" si="109"/>
        <v>2.0906693510874222E-2</v>
      </c>
      <c r="CE89" s="1">
        <f t="shared" ca="1" si="110"/>
        <v>0.76320524728796224</v>
      </c>
      <c r="CF89" s="1">
        <f t="shared" ca="1" si="110"/>
        <v>0.9117207380865282</v>
      </c>
      <c r="CH89" s="3">
        <f t="shared" ca="1" si="111"/>
        <v>0.81256988078156256</v>
      </c>
      <c r="CI89" s="3">
        <f t="shared" ca="1" si="112"/>
        <v>0.81847494263154141</v>
      </c>
      <c r="CJ89" s="3">
        <f t="shared" ca="1" si="113"/>
        <v>244</v>
      </c>
      <c r="CK89" s="3">
        <f t="shared" ca="1" si="114"/>
        <v>2.2341795530421357E-3</v>
      </c>
      <c r="CL89" s="3">
        <f t="shared" ca="1" si="115"/>
        <v>1</v>
      </c>
      <c r="CM89" s="3"/>
      <c r="CN89" s="1">
        <f t="shared" ca="1" si="116"/>
        <v>8.5997495778164303</v>
      </c>
      <c r="CO89" s="1">
        <f t="shared" ca="1" si="117"/>
        <v>0.29118629202578777</v>
      </c>
      <c r="CP89" s="1">
        <f t="shared" ca="1" si="118"/>
        <v>5</v>
      </c>
      <c r="DH89" s="1">
        <f t="shared" ca="1" si="119"/>
        <v>91</v>
      </c>
      <c r="DI89" s="1">
        <f t="shared" ca="1" si="120"/>
        <v>2.5889506038566119E-2</v>
      </c>
      <c r="DJ89" s="1">
        <f t="shared" ca="1" si="121"/>
        <v>1</v>
      </c>
      <c r="DL89" s="1">
        <f t="shared" ca="1" si="122"/>
        <v>0.16123162438022526</v>
      </c>
      <c r="DM89" s="1">
        <f t="shared" ca="1" si="123"/>
        <v>208</v>
      </c>
      <c r="DN89" s="1">
        <f t="shared" ca="1" si="124"/>
        <v>5</v>
      </c>
    </row>
    <row r="90" spans="2:118" x14ac:dyDescent="0.25">
      <c r="B90">
        <f t="shared" ca="1" si="63"/>
        <v>368</v>
      </c>
      <c r="C90">
        <f t="shared" ca="1" si="64"/>
        <v>50</v>
      </c>
      <c r="D90">
        <f t="shared" ca="1" si="65"/>
        <v>0.13923160903291329</v>
      </c>
      <c r="F90" s="1">
        <f t="shared" ca="1" si="66"/>
        <v>48</v>
      </c>
      <c r="G90" s="1">
        <f t="shared" ca="1" si="67"/>
        <v>12</v>
      </c>
      <c r="H90" s="1">
        <f t="shared" ca="1" si="68"/>
        <v>14</v>
      </c>
      <c r="I90" s="1"/>
      <c r="J90" s="1">
        <f t="shared" ca="1" si="69"/>
        <v>25</v>
      </c>
      <c r="K90" s="1">
        <f t="shared" ca="1" si="70"/>
        <v>1.1496278348112732</v>
      </c>
      <c r="L90" s="1">
        <f t="shared" ca="1" si="71"/>
        <v>4</v>
      </c>
      <c r="M90" s="1"/>
      <c r="N90" s="1">
        <f t="shared" ca="1" si="72"/>
        <v>708</v>
      </c>
      <c r="O90" s="1">
        <f t="shared" ca="1" si="73"/>
        <v>26</v>
      </c>
      <c r="P90" s="1"/>
      <c r="Q90" s="1">
        <f t="shared" ca="1" si="74"/>
        <v>1.6447624929298363</v>
      </c>
      <c r="R90" s="1">
        <f t="shared" ca="1" si="75"/>
        <v>374</v>
      </c>
      <c r="S90" s="1"/>
      <c r="T90" s="1">
        <f t="shared" ca="1" si="76"/>
        <v>0.11698189925839454</v>
      </c>
      <c r="U90" s="1">
        <f t="shared" ca="1" si="77"/>
        <v>363</v>
      </c>
      <c r="V90" s="1">
        <f t="shared" ca="1" si="78"/>
        <v>17</v>
      </c>
      <c r="W90" s="1"/>
      <c r="X90" s="1">
        <f t="shared" ca="1" si="79"/>
        <v>2.4360825695616857</v>
      </c>
      <c r="Y90" s="1">
        <f t="shared" ca="1" si="80"/>
        <v>0.44679530006562257</v>
      </c>
      <c r="Z90" s="1">
        <f t="shared" ca="1" si="81"/>
        <v>1447</v>
      </c>
      <c r="AB90" s="1">
        <f t="shared" ca="1" si="82"/>
        <v>0.24795266690160017</v>
      </c>
      <c r="AC90" s="1">
        <f t="shared" ca="1" si="83"/>
        <v>489</v>
      </c>
      <c r="AD90" s="1">
        <f t="shared" ca="1" si="84"/>
        <v>7.4277165871168126E-3</v>
      </c>
      <c r="AE90" s="1"/>
      <c r="AF90" s="1">
        <f t="shared" ca="1" si="85"/>
        <v>0.44010793144780613</v>
      </c>
      <c r="AG90" s="1">
        <f t="shared" ca="1" si="86"/>
        <v>913</v>
      </c>
      <c r="AH90" s="1">
        <f t="shared" ca="1" si="87"/>
        <v>1.2904024742416006E-3</v>
      </c>
      <c r="AJ90" s="1">
        <f t="shared" ca="1" si="88"/>
        <v>0.90825317813834816</v>
      </c>
      <c r="AK90" s="1">
        <f t="shared" ca="1" si="89"/>
        <v>8.5057633430340972E-3</v>
      </c>
      <c r="AL90" s="1"/>
      <c r="AM90" s="1">
        <f t="shared" ca="1" si="90"/>
        <v>8.3956206882485965E-2</v>
      </c>
      <c r="AN90" s="1">
        <f t="shared" ca="1" si="91"/>
        <v>56</v>
      </c>
      <c r="AO90" s="1">
        <f t="shared" ca="1" si="92"/>
        <v>2</v>
      </c>
      <c r="AQ90" s="1">
        <f t="shared" ca="1" si="93"/>
        <v>27</v>
      </c>
      <c r="AR90" s="1">
        <f t="shared" ca="1" si="94"/>
        <v>2</v>
      </c>
      <c r="AS90" s="1">
        <f t="shared" ca="1" si="95"/>
        <v>22</v>
      </c>
      <c r="AU90" s="1">
        <f t="shared" ca="1" si="96"/>
        <v>258</v>
      </c>
      <c r="AV90" s="1">
        <f t="shared" ca="1" si="97"/>
        <v>8</v>
      </c>
      <c r="AW90" s="1">
        <f t="shared" ca="1" si="98"/>
        <v>0.12645006792966951</v>
      </c>
      <c r="AY90" s="1">
        <f t="shared" ca="1" si="99"/>
        <v>1.8671063285528493</v>
      </c>
      <c r="AZ90" s="1">
        <f t="shared" ca="1" si="100"/>
        <v>183</v>
      </c>
      <c r="BA90" s="1">
        <f t="shared" ca="1" si="101"/>
        <v>5.980448728046879E-3</v>
      </c>
      <c r="BV90" s="1">
        <f t="shared" ca="1" si="102"/>
        <v>0.33704535894882365</v>
      </c>
      <c r="BW90" s="1">
        <f t="shared" ca="1" si="103"/>
        <v>741</v>
      </c>
      <c r="BX90" s="1">
        <f t="shared" ca="1" si="104"/>
        <v>9.6792731700597805E-4</v>
      </c>
      <c r="BY90" s="1">
        <f t="shared" ca="1" si="105"/>
        <v>4.2546228411503816E-2</v>
      </c>
      <c r="BZ90" s="1">
        <f t="shared" ca="1" si="106"/>
        <v>0.27904414315269221</v>
      </c>
      <c r="CB90" s="1">
        <f t="shared" ca="1" si="107"/>
        <v>356</v>
      </c>
      <c r="CC90" s="1">
        <f t="shared" ca="1" si="108"/>
        <v>14</v>
      </c>
      <c r="CD90" s="1">
        <f t="shared" ca="1" si="109"/>
        <v>0.15751638007768778</v>
      </c>
      <c r="CE90" s="1">
        <f t="shared" ca="1" si="110"/>
        <v>0.87307025397878557</v>
      </c>
      <c r="CF90" s="1">
        <f t="shared" ca="1" si="110"/>
        <v>0.70336443409173222</v>
      </c>
      <c r="CH90" s="3">
        <f t="shared" ca="1" si="111"/>
        <v>0.71302229272278261</v>
      </c>
      <c r="CI90" s="3">
        <f t="shared" ca="1" si="112"/>
        <v>0.78515959697005167</v>
      </c>
      <c r="CJ90" s="3">
        <f t="shared" ca="1" si="113"/>
        <v>993</v>
      </c>
      <c r="CK90" s="3">
        <f t="shared" ca="1" si="114"/>
        <v>5.9294852589107201E-3</v>
      </c>
      <c r="CL90" s="3">
        <f t="shared" ca="1" si="115"/>
        <v>1</v>
      </c>
      <c r="CM90" s="3"/>
      <c r="CN90" s="1">
        <f t="shared" ca="1" si="116"/>
        <v>14.245014803976549</v>
      </c>
      <c r="CO90" s="1">
        <f t="shared" ca="1" si="117"/>
        <v>0.43732052406339145</v>
      </c>
      <c r="CP90" s="1">
        <f t="shared" ca="1" si="118"/>
        <v>3</v>
      </c>
      <c r="DH90" s="1">
        <f t="shared" ca="1" si="119"/>
        <v>208</v>
      </c>
      <c r="DI90" s="1">
        <f t="shared" ca="1" si="120"/>
        <v>0.6648157388132343</v>
      </c>
      <c r="DJ90" s="1">
        <f t="shared" ca="1" si="121"/>
        <v>7</v>
      </c>
      <c r="DL90" s="1">
        <f t="shared" ca="1" si="122"/>
        <v>7.1471755099971668E-2</v>
      </c>
      <c r="DM90" s="1">
        <f t="shared" ca="1" si="123"/>
        <v>75</v>
      </c>
      <c r="DN90" s="1">
        <f t="shared" ca="1" si="124"/>
        <v>5</v>
      </c>
    </row>
    <row r="91" spans="2:118" x14ac:dyDescent="0.25">
      <c r="B91">
        <f t="shared" ca="1" si="63"/>
        <v>654</v>
      </c>
      <c r="C91">
        <f t="shared" ca="1" si="64"/>
        <v>49</v>
      </c>
      <c r="D91">
        <f t="shared" ca="1" si="65"/>
        <v>0.17125114286536916</v>
      </c>
      <c r="F91" s="1">
        <f t="shared" ca="1" si="66"/>
        <v>37</v>
      </c>
      <c r="G91" s="1">
        <f t="shared" ca="1" si="67"/>
        <v>27</v>
      </c>
      <c r="H91" s="1">
        <f t="shared" ca="1" si="68"/>
        <v>14</v>
      </c>
      <c r="I91" s="1"/>
      <c r="J91" s="1">
        <f t="shared" ca="1" si="69"/>
        <v>34</v>
      </c>
      <c r="K91" s="1">
        <f t="shared" ca="1" si="70"/>
        <v>2.8868901396112925</v>
      </c>
      <c r="L91" s="1">
        <f t="shared" ca="1" si="71"/>
        <v>20</v>
      </c>
      <c r="M91" s="1"/>
      <c r="N91" s="1">
        <f t="shared" ca="1" si="72"/>
        <v>311</v>
      </c>
      <c r="O91" s="1">
        <f t="shared" ca="1" si="73"/>
        <v>16</v>
      </c>
      <c r="P91" s="1"/>
      <c r="Q91" s="1">
        <f t="shared" ca="1" si="74"/>
        <v>3.0896482206718225</v>
      </c>
      <c r="R91" s="1">
        <f t="shared" ca="1" si="75"/>
        <v>770</v>
      </c>
      <c r="S91" s="1"/>
      <c r="T91" s="1">
        <f t="shared" ca="1" si="76"/>
        <v>0.1070203674300116</v>
      </c>
      <c r="U91" s="1">
        <f t="shared" ca="1" si="77"/>
        <v>131</v>
      </c>
      <c r="V91" s="1">
        <f t="shared" ca="1" si="78"/>
        <v>25</v>
      </c>
      <c r="W91" s="1"/>
      <c r="X91" s="1">
        <f t="shared" ca="1" si="79"/>
        <v>2.7758827923405134</v>
      </c>
      <c r="Y91" s="1">
        <f t="shared" ca="1" si="80"/>
        <v>0.19365381123402337</v>
      </c>
      <c r="Z91" s="1">
        <f t="shared" ca="1" si="81"/>
        <v>862</v>
      </c>
      <c r="AB91" s="1">
        <f t="shared" ca="1" si="82"/>
        <v>0.20349859378003832</v>
      </c>
      <c r="AC91" s="1">
        <f t="shared" ca="1" si="83"/>
        <v>980</v>
      </c>
      <c r="AD91" s="1">
        <f t="shared" ca="1" si="84"/>
        <v>6.8833831282150756E-3</v>
      </c>
      <c r="AE91" s="1"/>
      <c r="AF91" s="1">
        <f t="shared" ca="1" si="85"/>
        <v>0.50576380947755772</v>
      </c>
      <c r="AG91" s="1">
        <f t="shared" ca="1" si="86"/>
        <v>360</v>
      </c>
      <c r="AH91" s="1">
        <f t="shared" ca="1" si="87"/>
        <v>5.6163517757202705E-3</v>
      </c>
      <c r="AJ91" s="1">
        <f t="shared" ca="1" si="88"/>
        <v>0.45465909317503417</v>
      </c>
      <c r="AK91" s="1">
        <f t="shared" ca="1" si="89"/>
        <v>9.8003583488333029E-3</v>
      </c>
      <c r="AL91" s="1"/>
      <c r="AM91" s="1">
        <f t="shared" ca="1" si="90"/>
        <v>4.1296932129531477E-2</v>
      </c>
      <c r="AN91" s="1">
        <f t="shared" ca="1" si="91"/>
        <v>32</v>
      </c>
      <c r="AO91" s="1">
        <f t="shared" ca="1" si="92"/>
        <v>12</v>
      </c>
      <c r="AQ91" s="1">
        <f t="shared" ca="1" si="93"/>
        <v>139</v>
      </c>
      <c r="AR91" s="1">
        <f t="shared" ca="1" si="94"/>
        <v>5</v>
      </c>
      <c r="AS91" s="1">
        <f t="shared" ca="1" si="95"/>
        <v>8</v>
      </c>
      <c r="AU91" s="1">
        <f t="shared" ca="1" si="96"/>
        <v>329</v>
      </c>
      <c r="AV91" s="1">
        <f t="shared" ca="1" si="97"/>
        <v>5</v>
      </c>
      <c r="AW91" s="1">
        <f t="shared" ca="1" si="98"/>
        <v>2.8792164514107758E-2</v>
      </c>
      <c r="AY91" s="1">
        <f t="shared" ca="1" si="99"/>
        <v>1.9083522081660687</v>
      </c>
      <c r="AZ91" s="1">
        <f t="shared" ca="1" si="100"/>
        <v>411</v>
      </c>
      <c r="BA91" s="1">
        <f t="shared" ca="1" si="101"/>
        <v>1.4618843375701035E-3</v>
      </c>
      <c r="BV91" s="1">
        <f t="shared" ca="1" si="102"/>
        <v>0.80896540714445364</v>
      </c>
      <c r="BW91" s="1">
        <f t="shared" ca="1" si="103"/>
        <v>999</v>
      </c>
      <c r="BX91" s="1">
        <f t="shared" ca="1" si="104"/>
        <v>3.8332364201224722E-3</v>
      </c>
      <c r="BY91" s="1">
        <f t="shared" ca="1" si="105"/>
        <v>5.5344748923795303E-2</v>
      </c>
      <c r="BZ91" s="1">
        <f t="shared" ca="1" si="106"/>
        <v>0.33940734653158211</v>
      </c>
      <c r="CB91" s="1">
        <f t="shared" ca="1" si="107"/>
        <v>238</v>
      </c>
      <c r="CC91" s="1">
        <f t="shared" ca="1" si="108"/>
        <v>12</v>
      </c>
      <c r="CD91" s="1">
        <f t="shared" ca="1" si="109"/>
        <v>0.24465181529888458</v>
      </c>
      <c r="CE91" s="1">
        <f t="shared" ca="1" si="110"/>
        <v>0.55106384922742846</v>
      </c>
      <c r="CF91" s="1">
        <f t="shared" ca="1" si="110"/>
        <v>0.7606340895566841</v>
      </c>
      <c r="CH91" s="3">
        <f t="shared" ca="1" si="111"/>
        <v>0.82677985445314328</v>
      </c>
      <c r="CI91" s="3">
        <f t="shared" ca="1" si="112"/>
        <v>0.2837318226736939</v>
      </c>
      <c r="CJ91" s="3">
        <f t="shared" ca="1" si="113"/>
        <v>777</v>
      </c>
      <c r="CK91" s="3">
        <f t="shared" ca="1" si="114"/>
        <v>3.7856396489030055E-3</v>
      </c>
      <c r="CL91" s="3">
        <f t="shared" ca="1" si="115"/>
        <v>0</v>
      </c>
      <c r="CM91" s="3"/>
      <c r="CN91" s="1">
        <f t="shared" ca="1" si="116"/>
        <v>0.84983463605472864</v>
      </c>
      <c r="CO91" s="1">
        <f t="shared" ca="1" si="117"/>
        <v>8.9221944306158305E-2</v>
      </c>
      <c r="CP91" s="1">
        <f t="shared" ca="1" si="118"/>
        <v>3</v>
      </c>
      <c r="DH91" s="1">
        <f t="shared" ca="1" si="119"/>
        <v>616</v>
      </c>
      <c r="DI91" s="1">
        <f t="shared" ca="1" si="120"/>
        <v>0.39652911509668659</v>
      </c>
      <c r="DJ91" s="1">
        <f t="shared" ca="1" si="121"/>
        <v>12</v>
      </c>
      <c r="DL91" s="1">
        <f t="shared" ca="1" si="122"/>
        <v>4.6115729126762962E-2</v>
      </c>
      <c r="DM91" s="1">
        <f t="shared" ca="1" si="123"/>
        <v>120</v>
      </c>
      <c r="DN91" s="1">
        <f t="shared" ca="1" si="124"/>
        <v>1</v>
      </c>
    </row>
    <row r="92" spans="2:118" x14ac:dyDescent="0.25">
      <c r="B92">
        <f t="shared" ca="1" si="63"/>
        <v>963</v>
      </c>
      <c r="C92">
        <f t="shared" ca="1" si="64"/>
        <v>37</v>
      </c>
      <c r="D92">
        <f t="shared" ca="1" si="65"/>
        <v>5.0478315823053989E-2</v>
      </c>
      <c r="F92" s="1">
        <f t="shared" ca="1" si="66"/>
        <v>11</v>
      </c>
      <c r="G92" s="1">
        <f t="shared" ca="1" si="67"/>
        <v>6</v>
      </c>
      <c r="H92" s="1">
        <f t="shared" ca="1" si="68"/>
        <v>11</v>
      </c>
      <c r="I92" s="1"/>
      <c r="J92" s="1">
        <f t="shared" ca="1" si="69"/>
        <v>27</v>
      </c>
      <c r="K92" s="1">
        <f t="shared" ca="1" si="70"/>
        <v>2.6448748892791452</v>
      </c>
      <c r="L92" s="1">
        <f t="shared" ca="1" si="71"/>
        <v>10</v>
      </c>
      <c r="M92" s="1"/>
      <c r="N92" s="1">
        <f t="shared" ca="1" si="72"/>
        <v>61</v>
      </c>
      <c r="O92" s="1">
        <f t="shared" ca="1" si="73"/>
        <v>50</v>
      </c>
      <c r="P92" s="1"/>
      <c r="Q92" s="1">
        <f t="shared" ca="1" si="74"/>
        <v>4.0952333438237032</v>
      </c>
      <c r="R92" s="1">
        <f t="shared" ca="1" si="75"/>
        <v>263</v>
      </c>
      <c r="S92" s="1"/>
      <c r="T92" s="1">
        <f t="shared" ca="1" si="76"/>
        <v>5.8314794454992297E-2</v>
      </c>
      <c r="U92" s="1">
        <f t="shared" ca="1" si="77"/>
        <v>449</v>
      </c>
      <c r="V92" s="1">
        <f t="shared" ca="1" si="78"/>
        <v>29</v>
      </c>
      <c r="W92" s="1"/>
      <c r="X92" s="1">
        <f t="shared" ca="1" si="79"/>
        <v>8.523192640036541</v>
      </c>
      <c r="Y92" s="1">
        <f t="shared" ca="1" si="80"/>
        <v>0.54549845940002561</v>
      </c>
      <c r="Z92" s="1">
        <f t="shared" ca="1" si="81"/>
        <v>1448</v>
      </c>
      <c r="AB92" s="1">
        <f t="shared" ca="1" si="82"/>
        <v>0.16941368222720241</v>
      </c>
      <c r="AC92" s="1">
        <f t="shared" ca="1" si="83"/>
        <v>675</v>
      </c>
      <c r="AD92" s="1">
        <f t="shared" ca="1" si="84"/>
        <v>7.2757489113358534E-3</v>
      </c>
      <c r="AE92" s="1"/>
      <c r="AF92" s="1">
        <f t="shared" ca="1" si="85"/>
        <v>0.66910536359363193</v>
      </c>
      <c r="AG92" s="1">
        <f t="shared" ca="1" si="86"/>
        <v>682</v>
      </c>
      <c r="AH92" s="1">
        <f t="shared" ca="1" si="87"/>
        <v>5.746484885718375E-3</v>
      </c>
      <c r="AJ92" s="1">
        <f t="shared" ca="1" si="88"/>
        <v>0.61162850692748483</v>
      </c>
      <c r="AK92" s="1">
        <f t="shared" ca="1" si="89"/>
        <v>4.9676046318937218E-3</v>
      </c>
      <c r="AL92" s="1"/>
      <c r="AM92" s="1">
        <f t="shared" ca="1" si="90"/>
        <v>0.19922755150559271</v>
      </c>
      <c r="AN92" s="1">
        <f t="shared" ca="1" si="91"/>
        <v>32</v>
      </c>
      <c r="AO92" s="1">
        <f t="shared" ca="1" si="92"/>
        <v>4</v>
      </c>
      <c r="AQ92" s="1">
        <f t="shared" ca="1" si="93"/>
        <v>87</v>
      </c>
      <c r="AR92" s="1">
        <f t="shared" ca="1" si="94"/>
        <v>2</v>
      </c>
      <c r="AS92" s="1">
        <f t="shared" ca="1" si="95"/>
        <v>37</v>
      </c>
      <c r="AU92" s="1">
        <f t="shared" ca="1" si="96"/>
        <v>387</v>
      </c>
      <c r="AV92" s="1">
        <f t="shared" ca="1" si="97"/>
        <v>9</v>
      </c>
      <c r="AW92" s="1">
        <f t="shared" ca="1" si="98"/>
        <v>7.4979546046177778E-2</v>
      </c>
      <c r="AY92" s="1">
        <f t="shared" ca="1" si="99"/>
        <v>1.1329244647937917</v>
      </c>
      <c r="AZ92" s="1">
        <f t="shared" ca="1" si="100"/>
        <v>391</v>
      </c>
      <c r="BA92" s="1">
        <f t="shared" ca="1" si="101"/>
        <v>5.5483762878878254E-3</v>
      </c>
      <c r="BV92" s="1">
        <f t="shared" ca="1" si="102"/>
        <v>0.32525204757964959</v>
      </c>
      <c r="BW92" s="1">
        <f t="shared" ca="1" si="103"/>
        <v>546</v>
      </c>
      <c r="BX92" s="1">
        <f t="shared" ca="1" si="104"/>
        <v>4.8264659385926197E-3</v>
      </c>
      <c r="BY92" s="1">
        <f t="shared" ca="1" si="105"/>
        <v>3.3456098972862855E-3</v>
      </c>
      <c r="BZ92" s="1">
        <f t="shared" ca="1" si="106"/>
        <v>0.75189374827635291</v>
      </c>
      <c r="CB92" s="1">
        <f t="shared" ca="1" si="107"/>
        <v>465</v>
      </c>
      <c r="CC92" s="1">
        <f t="shared" ca="1" si="108"/>
        <v>15</v>
      </c>
      <c r="CD92" s="1">
        <f t="shared" ca="1" si="109"/>
        <v>0.21281887024434526</v>
      </c>
      <c r="CE92" s="1">
        <f t="shared" ca="1" si="110"/>
        <v>0.81594854349785684</v>
      </c>
      <c r="CF92" s="1">
        <f t="shared" ca="1" si="110"/>
        <v>0.52189851063340753</v>
      </c>
      <c r="CH92" s="3">
        <f t="shared" ca="1" si="111"/>
        <v>0.21097965145681494</v>
      </c>
      <c r="CI92" s="3">
        <f t="shared" ca="1" si="112"/>
        <v>0.52494276609128243</v>
      </c>
      <c r="CJ92" s="3">
        <f t="shared" ca="1" si="113"/>
        <v>1679</v>
      </c>
      <c r="CK92" s="3">
        <f t="shared" ca="1" si="114"/>
        <v>1.6559597218010049E-3</v>
      </c>
      <c r="CL92" s="3">
        <f t="shared" ca="1" si="115"/>
        <v>0</v>
      </c>
      <c r="CM92" s="3"/>
      <c r="CN92" s="1">
        <f t="shared" ca="1" si="116"/>
        <v>12.936870767898174</v>
      </c>
      <c r="CO92" s="1">
        <f t="shared" ca="1" si="117"/>
        <v>1.6743022918051458E-2</v>
      </c>
      <c r="CP92" s="1">
        <f t="shared" ca="1" si="118"/>
        <v>4</v>
      </c>
      <c r="DH92" s="1">
        <f t="shared" ca="1" si="119"/>
        <v>268</v>
      </c>
      <c r="DI92" s="1">
        <f t="shared" ca="1" si="120"/>
        <v>9.5818295059161562E-2</v>
      </c>
      <c r="DJ92" s="1">
        <f t="shared" ca="1" si="121"/>
        <v>1</v>
      </c>
      <c r="DL92" s="1">
        <f t="shared" ca="1" si="122"/>
        <v>0.17361642210138697</v>
      </c>
      <c r="DM92" s="1">
        <f t="shared" ca="1" si="123"/>
        <v>101</v>
      </c>
      <c r="DN92" s="1">
        <f t="shared" ca="1" si="124"/>
        <v>4</v>
      </c>
    </row>
    <row r="93" spans="2:118" x14ac:dyDescent="0.25">
      <c r="B93">
        <f t="shared" ca="1" si="63"/>
        <v>223</v>
      </c>
      <c r="C93">
        <f t="shared" ca="1" si="64"/>
        <v>3</v>
      </c>
      <c r="D93">
        <f t="shared" ca="1" si="65"/>
        <v>0.26872041851234701</v>
      </c>
      <c r="F93" s="1">
        <f t="shared" ca="1" si="66"/>
        <v>24</v>
      </c>
      <c r="G93" s="1">
        <f t="shared" ca="1" si="67"/>
        <v>2</v>
      </c>
      <c r="H93" s="1">
        <f t="shared" ca="1" si="68"/>
        <v>8</v>
      </c>
      <c r="I93" s="1"/>
      <c r="J93" s="1">
        <f t="shared" ca="1" si="69"/>
        <v>28</v>
      </c>
      <c r="K93" s="1">
        <f t="shared" ca="1" si="70"/>
        <v>1.5431217385370883</v>
      </c>
      <c r="L93" s="1">
        <f t="shared" ca="1" si="71"/>
        <v>2</v>
      </c>
      <c r="M93" s="1"/>
      <c r="N93" s="1">
        <f t="shared" ca="1" si="72"/>
        <v>189</v>
      </c>
      <c r="O93" s="1">
        <f t="shared" ca="1" si="73"/>
        <v>50</v>
      </c>
      <c r="P93" s="1"/>
      <c r="Q93" s="1">
        <f t="shared" ca="1" si="74"/>
        <v>2.8515593462516944</v>
      </c>
      <c r="R93" s="1">
        <f t="shared" ca="1" si="75"/>
        <v>398</v>
      </c>
      <c r="S93" s="1"/>
      <c r="T93" s="1">
        <f t="shared" ca="1" si="76"/>
        <v>0.12524515294246494</v>
      </c>
      <c r="U93" s="1">
        <f t="shared" ca="1" si="77"/>
        <v>255</v>
      </c>
      <c r="V93" s="1">
        <f t="shared" ca="1" si="78"/>
        <v>50</v>
      </c>
      <c r="W93" s="1"/>
      <c r="X93" s="1">
        <f t="shared" ca="1" si="79"/>
        <v>8.0774039449381849</v>
      </c>
      <c r="Y93" s="1">
        <f t="shared" ca="1" si="80"/>
        <v>0.87228381938764099</v>
      </c>
      <c r="Z93" s="1">
        <f t="shared" ca="1" si="81"/>
        <v>624</v>
      </c>
      <c r="AB93" s="1">
        <f t="shared" ca="1" si="82"/>
        <v>0.79933035304388445</v>
      </c>
      <c r="AC93" s="1">
        <f t="shared" ca="1" si="83"/>
        <v>464</v>
      </c>
      <c r="AD93" s="1">
        <f t="shared" ca="1" si="84"/>
        <v>8.5619990000823046E-4</v>
      </c>
      <c r="AE93" s="1"/>
      <c r="AF93" s="1">
        <f t="shared" ca="1" si="85"/>
        <v>0.88788947235943838</v>
      </c>
      <c r="AG93" s="1">
        <f t="shared" ca="1" si="86"/>
        <v>474</v>
      </c>
      <c r="AH93" s="1">
        <f t="shared" ca="1" si="87"/>
        <v>3.254058000898809E-3</v>
      </c>
      <c r="AJ93" s="1">
        <f t="shared" ca="1" si="88"/>
        <v>0.16135693661821648</v>
      </c>
      <c r="AK93" s="1">
        <f t="shared" ca="1" si="89"/>
        <v>6.2691582593660169E-3</v>
      </c>
      <c r="AL93" s="1"/>
      <c r="AM93" s="1">
        <f t="shared" ca="1" si="90"/>
        <v>2.377518298182929E-2</v>
      </c>
      <c r="AN93" s="1">
        <f t="shared" ca="1" si="91"/>
        <v>48</v>
      </c>
      <c r="AO93" s="1">
        <f t="shared" ca="1" si="92"/>
        <v>15</v>
      </c>
      <c r="AQ93" s="1">
        <f t="shared" ca="1" si="93"/>
        <v>162</v>
      </c>
      <c r="AR93" s="1">
        <f t="shared" ca="1" si="94"/>
        <v>10</v>
      </c>
      <c r="AS93" s="1">
        <f t="shared" ca="1" si="95"/>
        <v>58</v>
      </c>
      <c r="AU93" s="1">
        <f t="shared" ca="1" si="96"/>
        <v>287</v>
      </c>
      <c r="AV93" s="1">
        <f t="shared" ca="1" si="97"/>
        <v>6</v>
      </c>
      <c r="AW93" s="1">
        <f t="shared" ca="1" si="98"/>
        <v>0.16088997668868643</v>
      </c>
      <c r="AY93" s="1">
        <f t="shared" ca="1" si="99"/>
        <v>1.5829390023278067</v>
      </c>
      <c r="AZ93" s="1">
        <f t="shared" ca="1" si="100"/>
        <v>351</v>
      </c>
      <c r="BA93" s="1">
        <f t="shared" ca="1" si="101"/>
        <v>3.916403549607558E-3</v>
      </c>
      <c r="BV93" s="1">
        <f t="shared" ca="1" si="102"/>
        <v>1.8429486424458453E-2</v>
      </c>
      <c r="BW93" s="1">
        <f t="shared" ca="1" si="103"/>
        <v>984</v>
      </c>
      <c r="BX93" s="1">
        <f t="shared" ca="1" si="104"/>
        <v>1.2469001345432923E-3</v>
      </c>
      <c r="BY93" s="1">
        <f t="shared" ca="1" si="105"/>
        <v>2.1780308530116001E-2</v>
      </c>
      <c r="BZ93" s="1">
        <f t="shared" ca="1" si="106"/>
        <v>0.50294776985586476</v>
      </c>
      <c r="CB93" s="1">
        <f t="shared" ca="1" si="107"/>
        <v>364</v>
      </c>
      <c r="CC93" s="1">
        <f t="shared" ca="1" si="108"/>
        <v>13</v>
      </c>
      <c r="CD93" s="1">
        <f t="shared" ca="1" si="109"/>
        <v>0.20639008549097018</v>
      </c>
      <c r="CE93" s="1">
        <f t="shared" ca="1" si="110"/>
        <v>0.66036273400370793</v>
      </c>
      <c r="CF93" s="1">
        <f t="shared" ca="1" si="110"/>
        <v>0.74672084625901691</v>
      </c>
      <c r="CH93" s="3">
        <f t="shared" ca="1" si="111"/>
        <v>0.24695000356494407</v>
      </c>
      <c r="CI93" s="3">
        <f t="shared" ca="1" si="112"/>
        <v>0.44815193782571755</v>
      </c>
      <c r="CJ93" s="3">
        <f t="shared" ca="1" si="113"/>
        <v>1362</v>
      </c>
      <c r="CK93" s="3">
        <f t="shared" ca="1" si="114"/>
        <v>3.060834946313509E-3</v>
      </c>
      <c r="CL93" s="3">
        <f t="shared" ca="1" si="115"/>
        <v>0</v>
      </c>
      <c r="CM93" s="3"/>
      <c r="CN93" s="1">
        <f t="shared" ca="1" si="116"/>
        <v>13.577370084448393</v>
      </c>
      <c r="CO93" s="1">
        <f t="shared" ca="1" si="117"/>
        <v>0.40701216419101499</v>
      </c>
      <c r="CP93" s="1">
        <f t="shared" ca="1" si="118"/>
        <v>5</v>
      </c>
      <c r="DH93" s="1">
        <f t="shared" ca="1" si="119"/>
        <v>40</v>
      </c>
      <c r="DI93" s="1">
        <f t="shared" ca="1" si="120"/>
        <v>0.96820767524253448</v>
      </c>
      <c r="DJ93" s="1">
        <f t="shared" ca="1" si="121"/>
        <v>13</v>
      </c>
      <c r="DL93" s="1">
        <f t="shared" ca="1" si="122"/>
        <v>6.8919497565385457E-2</v>
      </c>
      <c r="DM93" s="1">
        <f t="shared" ca="1" si="123"/>
        <v>57</v>
      </c>
      <c r="DN93" s="1">
        <f t="shared" ca="1" si="124"/>
        <v>8</v>
      </c>
    </row>
    <row r="94" spans="2:118" x14ac:dyDescent="0.25">
      <c r="B94">
        <f t="shared" ca="1" si="63"/>
        <v>717</v>
      </c>
      <c r="C94">
        <f t="shared" ca="1" si="64"/>
        <v>30</v>
      </c>
      <c r="D94">
        <f t="shared" ca="1" si="65"/>
        <v>0.1026085233161013</v>
      </c>
      <c r="F94" s="1">
        <f t="shared" ca="1" si="66"/>
        <v>5</v>
      </c>
      <c r="G94" s="1">
        <f t="shared" ca="1" si="67"/>
        <v>24</v>
      </c>
      <c r="H94" s="1">
        <f t="shared" ca="1" si="68"/>
        <v>14</v>
      </c>
      <c r="I94" s="1"/>
      <c r="J94" s="1">
        <f t="shared" ca="1" si="69"/>
        <v>23</v>
      </c>
      <c r="K94" s="1">
        <f t="shared" ca="1" si="70"/>
        <v>2.7925589951079881</v>
      </c>
      <c r="L94" s="1">
        <f t="shared" ca="1" si="71"/>
        <v>7</v>
      </c>
      <c r="M94" s="1"/>
      <c r="N94" s="1">
        <f t="shared" ca="1" si="72"/>
        <v>902</v>
      </c>
      <c r="O94" s="1">
        <f t="shared" ca="1" si="73"/>
        <v>20</v>
      </c>
      <c r="P94" s="1"/>
      <c r="Q94" s="1">
        <f t="shared" ca="1" si="74"/>
        <v>4.2185338736963889</v>
      </c>
      <c r="R94" s="1">
        <f t="shared" ca="1" si="75"/>
        <v>242</v>
      </c>
      <c r="S94" s="1"/>
      <c r="T94" s="1">
        <f t="shared" ca="1" si="76"/>
        <v>6.2867012253216517E-2</v>
      </c>
      <c r="U94" s="1">
        <f t="shared" ca="1" si="77"/>
        <v>90</v>
      </c>
      <c r="V94" s="1">
        <f t="shared" ca="1" si="78"/>
        <v>25</v>
      </c>
      <c r="W94" s="1"/>
      <c r="X94" s="1">
        <f t="shared" ca="1" si="79"/>
        <v>1.9803752986359542</v>
      </c>
      <c r="Y94" s="1">
        <f t="shared" ca="1" si="80"/>
        <v>0.13713969535027085</v>
      </c>
      <c r="Z94" s="1">
        <f t="shared" ca="1" si="81"/>
        <v>1955</v>
      </c>
      <c r="AB94" s="1">
        <f t="shared" ca="1" si="82"/>
        <v>5.5557093450970874E-2</v>
      </c>
      <c r="AC94" s="1">
        <f t="shared" ca="1" si="83"/>
        <v>185</v>
      </c>
      <c r="AD94" s="1">
        <f t="shared" ca="1" si="84"/>
        <v>6.9655821732560923E-3</v>
      </c>
      <c r="AE94" s="1"/>
      <c r="AF94" s="1">
        <f t="shared" ca="1" si="85"/>
        <v>0.63851362781959464</v>
      </c>
      <c r="AG94" s="1">
        <f t="shared" ca="1" si="86"/>
        <v>175</v>
      </c>
      <c r="AH94" s="1">
        <f t="shared" ca="1" si="87"/>
        <v>1.0667561175373053E-3</v>
      </c>
      <c r="AJ94" s="1">
        <f t="shared" ca="1" si="88"/>
        <v>7.0531700283975041E-2</v>
      </c>
      <c r="AK94" s="1">
        <f t="shared" ca="1" si="89"/>
        <v>7.3855129370379929E-4</v>
      </c>
      <c r="AL94" s="1"/>
      <c r="AM94" s="1">
        <f t="shared" ca="1" si="90"/>
        <v>6.3815985922454285E-2</v>
      </c>
      <c r="AN94" s="1">
        <f t="shared" ca="1" si="91"/>
        <v>33</v>
      </c>
      <c r="AO94" s="1">
        <f t="shared" ca="1" si="92"/>
        <v>20</v>
      </c>
      <c r="AQ94" s="1">
        <f t="shared" ca="1" si="93"/>
        <v>80</v>
      </c>
      <c r="AR94" s="1">
        <f t="shared" ca="1" si="94"/>
        <v>3</v>
      </c>
      <c r="AS94" s="1">
        <f t="shared" ca="1" si="95"/>
        <v>12</v>
      </c>
      <c r="AU94" s="1">
        <f t="shared" ca="1" si="96"/>
        <v>361</v>
      </c>
      <c r="AV94" s="1">
        <f t="shared" ca="1" si="97"/>
        <v>3</v>
      </c>
      <c r="AW94" s="1">
        <f t="shared" ca="1" si="98"/>
        <v>0.11016499022478571</v>
      </c>
      <c r="AY94" s="1">
        <f t="shared" ca="1" si="99"/>
        <v>1.6704902877770116</v>
      </c>
      <c r="AZ94" s="1">
        <f t="shared" ca="1" si="100"/>
        <v>70</v>
      </c>
      <c r="BA94" s="1">
        <f t="shared" ca="1" si="101"/>
        <v>4.6052707255908208E-3</v>
      </c>
      <c r="BV94" s="1">
        <f t="shared" ca="1" si="102"/>
        <v>0.31320302402550387</v>
      </c>
      <c r="BW94" s="1">
        <f t="shared" ca="1" si="103"/>
        <v>913</v>
      </c>
      <c r="BX94" s="1">
        <f t="shared" ca="1" si="104"/>
        <v>4.9609708377814738E-3</v>
      </c>
      <c r="BY94" s="1">
        <f t="shared" ca="1" si="105"/>
        <v>8.3505599796380933E-2</v>
      </c>
      <c r="BZ94" s="1">
        <f t="shared" ca="1" si="106"/>
        <v>0.74208105765857291</v>
      </c>
      <c r="CB94" s="1">
        <f t="shared" ca="1" si="107"/>
        <v>96</v>
      </c>
      <c r="CC94" s="1">
        <f t="shared" ca="1" si="108"/>
        <v>6</v>
      </c>
      <c r="CD94" s="1">
        <f t="shared" ca="1" si="109"/>
        <v>1.0556600959409124E-2</v>
      </c>
      <c r="CE94" s="1">
        <f t="shared" ca="1" si="110"/>
        <v>0.93502411544114139</v>
      </c>
      <c r="CF94" s="1">
        <f t="shared" ca="1" si="110"/>
        <v>0.70771009081068215</v>
      </c>
      <c r="CH94" s="3">
        <f t="shared" ca="1" si="111"/>
        <v>4.9701464664575312E-2</v>
      </c>
      <c r="CI94" s="3">
        <f t="shared" ca="1" si="112"/>
        <v>0.7879466108904305</v>
      </c>
      <c r="CJ94" s="3">
        <f t="shared" ca="1" si="113"/>
        <v>1228</v>
      </c>
      <c r="CK94" s="3">
        <f t="shared" ca="1" si="114"/>
        <v>5.9947672183809772E-3</v>
      </c>
      <c r="CL94" s="3">
        <f t="shared" ca="1" si="115"/>
        <v>1</v>
      </c>
      <c r="CM94" s="3"/>
      <c r="CN94" s="1">
        <f t="shared" ca="1" si="116"/>
        <v>10.038294628708609</v>
      </c>
      <c r="CO94" s="1">
        <f t="shared" ca="1" si="117"/>
        <v>0.26618470027730656</v>
      </c>
      <c r="CP94" s="1">
        <f t="shared" ca="1" si="118"/>
        <v>2</v>
      </c>
      <c r="DH94" s="1">
        <f t="shared" ca="1" si="119"/>
        <v>483</v>
      </c>
      <c r="DI94" s="1">
        <f t="shared" ca="1" si="120"/>
        <v>0.54908265649303845</v>
      </c>
      <c r="DJ94" s="1">
        <f t="shared" ca="1" si="121"/>
        <v>3</v>
      </c>
      <c r="DL94" s="1">
        <f t="shared" ca="1" si="122"/>
        <v>6.8270129303110688E-2</v>
      </c>
      <c r="DM94" s="1">
        <f t="shared" ca="1" si="123"/>
        <v>260</v>
      </c>
      <c r="DN94" s="1">
        <f t="shared" ca="1" si="124"/>
        <v>1</v>
      </c>
    </row>
    <row r="95" spans="2:118" x14ac:dyDescent="0.25">
      <c r="B95">
        <f t="shared" ca="1" si="63"/>
        <v>875</v>
      </c>
      <c r="C95">
        <f t="shared" ca="1" si="64"/>
        <v>44</v>
      </c>
      <c r="D95">
        <f t="shared" ca="1" si="65"/>
        <v>0.12910806588752533</v>
      </c>
      <c r="F95" s="1">
        <f t="shared" ca="1" si="66"/>
        <v>33</v>
      </c>
      <c r="G95" s="1">
        <f t="shared" ca="1" si="67"/>
        <v>9</v>
      </c>
      <c r="H95" s="1">
        <f t="shared" ca="1" si="68"/>
        <v>3</v>
      </c>
      <c r="I95" s="1"/>
      <c r="J95" s="1">
        <f t="shared" ca="1" si="69"/>
        <v>36</v>
      </c>
      <c r="K95" s="1">
        <f t="shared" ca="1" si="70"/>
        <v>2.9739384458983267</v>
      </c>
      <c r="L95" s="1">
        <f t="shared" ca="1" si="71"/>
        <v>16</v>
      </c>
      <c r="M95" s="1"/>
      <c r="N95" s="1">
        <f t="shared" ca="1" si="72"/>
        <v>297</v>
      </c>
      <c r="O95" s="1">
        <f t="shared" ca="1" si="73"/>
        <v>13</v>
      </c>
      <c r="P95" s="1"/>
      <c r="Q95" s="1">
        <f t="shared" ca="1" si="74"/>
        <v>3.4272002510705377</v>
      </c>
      <c r="R95" s="1">
        <f t="shared" ca="1" si="75"/>
        <v>981</v>
      </c>
      <c r="S95" s="1"/>
      <c r="T95" s="1">
        <f t="shared" ca="1" si="76"/>
        <v>1.124258095152102E-2</v>
      </c>
      <c r="U95" s="1">
        <f t="shared" ca="1" si="77"/>
        <v>56</v>
      </c>
      <c r="V95" s="1">
        <f t="shared" ca="1" si="78"/>
        <v>15</v>
      </c>
      <c r="W95" s="1"/>
      <c r="X95" s="1">
        <f t="shared" ca="1" si="79"/>
        <v>6.604288735475758</v>
      </c>
      <c r="Y95" s="1">
        <f t="shared" ca="1" si="80"/>
        <v>0.40125259178540779</v>
      </c>
      <c r="Z95" s="1">
        <f t="shared" ca="1" si="81"/>
        <v>1147</v>
      </c>
      <c r="AB95" s="1">
        <f t="shared" ca="1" si="82"/>
        <v>0.81540799908177963</v>
      </c>
      <c r="AC95" s="1">
        <f t="shared" ca="1" si="83"/>
        <v>981</v>
      </c>
      <c r="AD95" s="1">
        <f t="shared" ca="1" si="84"/>
        <v>5.3005030519347801E-3</v>
      </c>
      <c r="AE95" s="1"/>
      <c r="AF95" s="1">
        <f t="shared" ca="1" si="85"/>
        <v>0.37256946827368564</v>
      </c>
      <c r="AG95" s="1">
        <f t="shared" ca="1" si="86"/>
        <v>556</v>
      </c>
      <c r="AH95" s="1">
        <f t="shared" ca="1" si="87"/>
        <v>5.6589619934415856E-3</v>
      </c>
      <c r="AJ95" s="1">
        <f t="shared" ca="1" si="88"/>
        <v>0.91293920298787501</v>
      </c>
      <c r="AK95" s="1">
        <f t="shared" ca="1" si="89"/>
        <v>1.8199800580920255E-5</v>
      </c>
      <c r="AL95" s="1"/>
      <c r="AM95" s="1">
        <f t="shared" ca="1" si="90"/>
        <v>0.13094630589825412</v>
      </c>
      <c r="AN95" s="1">
        <f t="shared" ca="1" si="91"/>
        <v>64</v>
      </c>
      <c r="AO95" s="1">
        <f t="shared" ca="1" si="92"/>
        <v>8</v>
      </c>
      <c r="AQ95" s="1">
        <f t="shared" ca="1" si="93"/>
        <v>23</v>
      </c>
      <c r="AR95" s="1">
        <f t="shared" ca="1" si="94"/>
        <v>2</v>
      </c>
      <c r="AS95" s="1">
        <f t="shared" ca="1" si="95"/>
        <v>20</v>
      </c>
      <c r="AU95" s="1">
        <f t="shared" ca="1" si="96"/>
        <v>154</v>
      </c>
      <c r="AV95" s="1">
        <f t="shared" ca="1" si="97"/>
        <v>3</v>
      </c>
      <c r="AW95" s="1">
        <f t="shared" ca="1" si="98"/>
        <v>0.15615496538137738</v>
      </c>
      <c r="AY95" s="1">
        <f t="shared" ca="1" si="99"/>
        <v>1.5407733585507897</v>
      </c>
      <c r="AZ95" s="1">
        <f t="shared" ca="1" si="100"/>
        <v>466</v>
      </c>
      <c r="BA95" s="1">
        <f t="shared" ca="1" si="101"/>
        <v>4.2660329933302409E-4</v>
      </c>
      <c r="BV95" s="1">
        <f t="shared" ca="1" si="102"/>
        <v>0.57768714478689454</v>
      </c>
      <c r="BW95" s="1">
        <f t="shared" ca="1" si="103"/>
        <v>323</v>
      </c>
      <c r="BX95" s="1">
        <f t="shared" ca="1" si="104"/>
        <v>3.6290465355613608E-3</v>
      </c>
      <c r="BY95" s="1">
        <f t="shared" ca="1" si="105"/>
        <v>7.6554024232717677E-2</v>
      </c>
      <c r="BZ95" s="1">
        <f t="shared" ca="1" si="106"/>
        <v>0.63584572945677043</v>
      </c>
      <c r="CB95" s="1">
        <f t="shared" ca="1" si="107"/>
        <v>122</v>
      </c>
      <c r="CC95" s="1">
        <f t="shared" ca="1" si="108"/>
        <v>4</v>
      </c>
      <c r="CD95" s="1">
        <f t="shared" ca="1" si="109"/>
        <v>0.12519555693085282</v>
      </c>
      <c r="CE95" s="1">
        <f t="shared" ca="1" si="110"/>
        <v>0.52626731227855417</v>
      </c>
      <c r="CF95" s="1">
        <f t="shared" ca="1" si="110"/>
        <v>0.64234965920586606</v>
      </c>
      <c r="CH95" s="3">
        <f t="shared" ca="1" si="111"/>
        <v>0.42216294872018695</v>
      </c>
      <c r="CI95" s="3">
        <f t="shared" ca="1" si="112"/>
        <v>0.52409259720545698</v>
      </c>
      <c r="CJ95" s="3">
        <f t="shared" ca="1" si="113"/>
        <v>540</v>
      </c>
      <c r="CK95" s="3">
        <f t="shared" ca="1" si="114"/>
        <v>9.0315645629582605E-3</v>
      </c>
      <c r="CL95" s="3">
        <f t="shared" ca="1" si="115"/>
        <v>1</v>
      </c>
      <c r="CM95" s="3"/>
      <c r="CN95" s="1">
        <f t="shared" ca="1" si="116"/>
        <v>11.113491284625256</v>
      </c>
      <c r="CO95" s="1">
        <f t="shared" ca="1" si="117"/>
        <v>4.605863025806519E-2</v>
      </c>
      <c r="CP95" s="1">
        <f t="shared" ca="1" si="118"/>
        <v>4</v>
      </c>
      <c r="DH95" s="1">
        <f t="shared" ca="1" si="119"/>
        <v>142</v>
      </c>
      <c r="DI95" s="1">
        <f t="shared" ca="1" si="120"/>
        <v>0.11528138837769572</v>
      </c>
      <c r="DJ95" s="1">
        <f t="shared" ca="1" si="121"/>
        <v>26</v>
      </c>
      <c r="DL95" s="1">
        <f t="shared" ca="1" si="122"/>
        <v>0.12203974289815306</v>
      </c>
      <c r="DM95" s="1">
        <f t="shared" ca="1" si="123"/>
        <v>155</v>
      </c>
      <c r="DN95" s="1">
        <f t="shared" ca="1" si="124"/>
        <v>8</v>
      </c>
    </row>
    <row r="96" spans="2:118" x14ac:dyDescent="0.25">
      <c r="B96">
        <f t="shared" ca="1" si="63"/>
        <v>110</v>
      </c>
      <c r="C96">
        <f t="shared" ca="1" si="64"/>
        <v>39</v>
      </c>
      <c r="D96">
        <f t="shared" ca="1" si="65"/>
        <v>0.28812824003623627</v>
      </c>
      <c r="F96" s="1">
        <f t="shared" ca="1" si="66"/>
        <v>17</v>
      </c>
      <c r="G96" s="1">
        <f t="shared" ca="1" si="67"/>
        <v>6</v>
      </c>
      <c r="H96" s="1">
        <f t="shared" ca="1" si="68"/>
        <v>8</v>
      </c>
      <c r="I96" s="1"/>
      <c r="J96" s="1">
        <f t="shared" ca="1" si="69"/>
        <v>1</v>
      </c>
      <c r="K96" s="1">
        <f t="shared" ca="1" si="70"/>
        <v>2.2362107653091945</v>
      </c>
      <c r="L96" s="1">
        <f t="shared" ca="1" si="71"/>
        <v>9</v>
      </c>
      <c r="M96" s="1"/>
      <c r="N96" s="1">
        <f t="shared" ca="1" si="72"/>
        <v>964</v>
      </c>
      <c r="O96" s="1">
        <f t="shared" ca="1" si="73"/>
        <v>34</v>
      </c>
      <c r="P96" s="1"/>
      <c r="Q96" s="1">
        <f t="shared" ca="1" si="74"/>
        <v>1.1466354259949358</v>
      </c>
      <c r="R96" s="1">
        <f t="shared" ca="1" si="75"/>
        <v>846</v>
      </c>
      <c r="S96" s="1"/>
      <c r="T96" s="1">
        <f t="shared" ca="1" si="76"/>
        <v>0.10180272113442329</v>
      </c>
      <c r="U96" s="1">
        <f t="shared" ca="1" si="77"/>
        <v>71</v>
      </c>
      <c r="V96" s="1">
        <f t="shared" ca="1" si="78"/>
        <v>46</v>
      </c>
      <c r="W96" s="1"/>
      <c r="X96" s="1">
        <f t="shared" ca="1" si="79"/>
        <v>0.60561474557858419</v>
      </c>
      <c r="Y96" s="1">
        <f t="shared" ca="1" si="80"/>
        <v>0.75014290880108869</v>
      </c>
      <c r="Z96" s="1">
        <f t="shared" ca="1" si="81"/>
        <v>517</v>
      </c>
      <c r="AB96" s="1">
        <f t="shared" ca="1" si="82"/>
        <v>0.60205631697776152</v>
      </c>
      <c r="AC96" s="1">
        <f t="shared" ca="1" si="83"/>
        <v>576</v>
      </c>
      <c r="AD96" s="1">
        <f t="shared" ca="1" si="84"/>
        <v>1.5775505884825907E-4</v>
      </c>
      <c r="AE96" s="1"/>
      <c r="AF96" s="1">
        <f t="shared" ca="1" si="85"/>
        <v>0.46196684206935201</v>
      </c>
      <c r="AG96" s="1">
        <f t="shared" ca="1" si="86"/>
        <v>653</v>
      </c>
      <c r="AH96" s="1">
        <f t="shared" ca="1" si="87"/>
        <v>2.4114684628067352E-3</v>
      </c>
      <c r="AJ96" s="1">
        <f t="shared" ca="1" si="88"/>
        <v>0.60651712785481759</v>
      </c>
      <c r="AK96" s="1">
        <f t="shared" ca="1" si="89"/>
        <v>5.0042608375215651E-3</v>
      </c>
      <c r="AL96" s="1"/>
      <c r="AM96" s="1">
        <f t="shared" ca="1" si="90"/>
        <v>0.12904908766033649</v>
      </c>
      <c r="AN96" s="1">
        <f t="shared" ca="1" si="91"/>
        <v>55</v>
      </c>
      <c r="AO96" s="1">
        <f t="shared" ca="1" si="92"/>
        <v>4</v>
      </c>
      <c r="AQ96" s="1">
        <f t="shared" ca="1" si="93"/>
        <v>91</v>
      </c>
      <c r="AR96" s="1">
        <f t="shared" ca="1" si="94"/>
        <v>4</v>
      </c>
      <c r="AS96" s="1">
        <f t="shared" ca="1" si="95"/>
        <v>84</v>
      </c>
      <c r="AU96" s="1">
        <f t="shared" ca="1" si="96"/>
        <v>252</v>
      </c>
      <c r="AV96" s="1">
        <f t="shared" ca="1" si="97"/>
        <v>2</v>
      </c>
      <c r="AW96" s="1">
        <f t="shared" ca="1" si="98"/>
        <v>0.16029550677381546</v>
      </c>
      <c r="AY96" s="1">
        <f t="shared" ca="1" si="99"/>
        <v>1.5310357686073863</v>
      </c>
      <c r="AZ96" s="1">
        <f t="shared" ca="1" si="100"/>
        <v>115</v>
      </c>
      <c r="BA96" s="1">
        <f t="shared" ca="1" si="101"/>
        <v>8.7761979286266924E-3</v>
      </c>
      <c r="BV96" s="1">
        <f t="shared" ca="1" si="102"/>
        <v>0.92668103063016338</v>
      </c>
      <c r="BW96" s="1">
        <f t="shared" ca="1" si="103"/>
        <v>114</v>
      </c>
      <c r="BX96" s="1">
        <f t="shared" ca="1" si="104"/>
        <v>5.7136742781395333E-3</v>
      </c>
      <c r="BY96" s="1">
        <f t="shared" ca="1" si="105"/>
        <v>9.8705315281591294E-2</v>
      </c>
      <c r="BZ96" s="1">
        <f t="shared" ca="1" si="106"/>
        <v>0.45316485400861051</v>
      </c>
      <c r="CB96" s="1">
        <f t="shared" ca="1" si="107"/>
        <v>257</v>
      </c>
      <c r="CC96" s="1">
        <f t="shared" ca="1" si="108"/>
        <v>7</v>
      </c>
      <c r="CD96" s="1">
        <f t="shared" ca="1" si="109"/>
        <v>0.11477380453888059</v>
      </c>
      <c r="CE96" s="1">
        <f t="shared" ca="1" si="110"/>
        <v>0.50156287463869775</v>
      </c>
      <c r="CF96" s="1">
        <f t="shared" ca="1" si="110"/>
        <v>0.8717814368925958</v>
      </c>
      <c r="CH96" s="3">
        <f t="shared" ca="1" si="111"/>
        <v>9.7487658938428506E-2</v>
      </c>
      <c r="CI96" s="3">
        <f t="shared" ca="1" si="112"/>
        <v>4.0294218661144798E-2</v>
      </c>
      <c r="CJ96" s="3">
        <f t="shared" ca="1" si="113"/>
        <v>1927</v>
      </c>
      <c r="CK96" s="3">
        <f t="shared" ca="1" si="114"/>
        <v>9.1278672022273664E-3</v>
      </c>
      <c r="CL96" s="3">
        <f t="shared" ca="1" si="115"/>
        <v>1</v>
      </c>
      <c r="CM96" s="3"/>
      <c r="CN96" s="1">
        <f t="shared" ca="1" si="116"/>
        <v>7.9980498311278243</v>
      </c>
      <c r="CO96" s="1">
        <f t="shared" ca="1" si="117"/>
        <v>0.48966311437728244</v>
      </c>
      <c r="CP96" s="1">
        <f t="shared" ca="1" si="118"/>
        <v>5</v>
      </c>
      <c r="DH96" s="1">
        <f t="shared" ca="1" si="119"/>
        <v>186</v>
      </c>
      <c r="DI96" s="1">
        <f t="shared" ca="1" si="120"/>
        <v>0.41314664317543814</v>
      </c>
      <c r="DJ96" s="1">
        <f t="shared" ca="1" si="121"/>
        <v>30</v>
      </c>
      <c r="DL96" s="1">
        <f t="shared" ca="1" si="122"/>
        <v>0.17669774720465867</v>
      </c>
      <c r="DM96" s="1">
        <f t="shared" ca="1" si="123"/>
        <v>152</v>
      </c>
      <c r="DN96" s="1">
        <f t="shared" ca="1" si="124"/>
        <v>3</v>
      </c>
    </row>
    <row r="97" spans="2:118" x14ac:dyDescent="0.25">
      <c r="B97">
        <f t="shared" ca="1" si="63"/>
        <v>700</v>
      </c>
      <c r="C97">
        <f t="shared" ca="1" si="64"/>
        <v>21</v>
      </c>
      <c r="D97">
        <f t="shared" ca="1" si="65"/>
        <v>0.16249942045335003</v>
      </c>
      <c r="F97" s="1">
        <f t="shared" ca="1" si="66"/>
        <v>49</v>
      </c>
      <c r="G97" s="1">
        <f t="shared" ca="1" si="67"/>
        <v>7</v>
      </c>
      <c r="H97" s="1">
        <f t="shared" ca="1" si="68"/>
        <v>2</v>
      </c>
      <c r="I97" s="1"/>
      <c r="J97" s="1">
        <f t="shared" ca="1" si="69"/>
        <v>20</v>
      </c>
      <c r="K97" s="1">
        <f t="shared" ca="1" si="70"/>
        <v>2.3767188448068315</v>
      </c>
      <c r="L97" s="1">
        <f t="shared" ca="1" si="71"/>
        <v>15</v>
      </c>
      <c r="M97" s="1"/>
      <c r="N97" s="1">
        <f t="shared" ca="1" si="72"/>
        <v>831</v>
      </c>
      <c r="O97" s="1">
        <f t="shared" ca="1" si="73"/>
        <v>52</v>
      </c>
      <c r="P97" s="1"/>
      <c r="Q97" s="1">
        <f t="shared" ca="1" si="74"/>
        <v>0.78666393561589854</v>
      </c>
      <c r="R97" s="1">
        <f t="shared" ca="1" si="75"/>
        <v>665</v>
      </c>
      <c r="S97" s="1"/>
      <c r="T97" s="1">
        <f t="shared" ca="1" si="76"/>
        <v>9.2971928093646392E-2</v>
      </c>
      <c r="U97" s="1">
        <f t="shared" ca="1" si="77"/>
        <v>433</v>
      </c>
      <c r="V97" s="1">
        <f t="shared" ca="1" si="78"/>
        <v>25</v>
      </c>
      <c r="W97" s="1"/>
      <c r="X97" s="1">
        <f t="shared" ca="1" si="79"/>
        <v>7.1326994161051447</v>
      </c>
      <c r="Y97" s="1">
        <f t="shared" ca="1" si="80"/>
        <v>0.18923635286754112</v>
      </c>
      <c r="Z97" s="1">
        <f t="shared" ca="1" si="81"/>
        <v>1721</v>
      </c>
      <c r="AB97" s="1">
        <f t="shared" ca="1" si="82"/>
        <v>0.11878563958472292</v>
      </c>
      <c r="AC97" s="1">
        <f t="shared" ca="1" si="83"/>
        <v>728</v>
      </c>
      <c r="AD97" s="1">
        <f t="shared" ca="1" si="84"/>
        <v>1.7040171350949291E-3</v>
      </c>
      <c r="AE97" s="1"/>
      <c r="AF97" s="1">
        <f t="shared" ca="1" si="85"/>
        <v>0.68752694612371068</v>
      </c>
      <c r="AG97" s="1">
        <f t="shared" ca="1" si="86"/>
        <v>711</v>
      </c>
      <c r="AH97" s="1">
        <f t="shared" ca="1" si="87"/>
        <v>2.4820837451053862E-3</v>
      </c>
      <c r="AJ97" s="1">
        <f t="shared" ca="1" si="88"/>
        <v>0.66088395228089092</v>
      </c>
      <c r="AK97" s="1">
        <f t="shared" ca="1" si="89"/>
        <v>3.1127148218517372E-3</v>
      </c>
      <c r="AL97" s="1"/>
      <c r="AM97" s="1">
        <f t="shared" ca="1" si="90"/>
        <v>0.19115613085634042</v>
      </c>
      <c r="AN97" s="1">
        <f t="shared" ca="1" si="91"/>
        <v>33</v>
      </c>
      <c r="AO97" s="1">
        <f t="shared" ca="1" si="92"/>
        <v>15</v>
      </c>
      <c r="AQ97" s="1">
        <f t="shared" ca="1" si="93"/>
        <v>135</v>
      </c>
      <c r="AR97" s="1">
        <f t="shared" ca="1" si="94"/>
        <v>2</v>
      </c>
      <c r="AS97" s="1">
        <f t="shared" ca="1" si="95"/>
        <v>27</v>
      </c>
      <c r="AU97" s="1">
        <f t="shared" ca="1" si="96"/>
        <v>386</v>
      </c>
      <c r="AV97" s="1">
        <f t="shared" ca="1" si="97"/>
        <v>3</v>
      </c>
      <c r="AW97" s="1">
        <f t="shared" ca="1" si="98"/>
        <v>7.7372733180535613E-2</v>
      </c>
      <c r="AY97" s="1">
        <f t="shared" ca="1" si="99"/>
        <v>1.3792963612222291</v>
      </c>
      <c r="AZ97" s="1">
        <f t="shared" ca="1" si="100"/>
        <v>128</v>
      </c>
      <c r="BA97" s="1">
        <f t="shared" ca="1" si="101"/>
        <v>7.5359475961084086E-3</v>
      </c>
      <c r="BV97" s="1">
        <f t="shared" ca="1" si="102"/>
        <v>0.64225476104153845</v>
      </c>
      <c r="BW97" s="1">
        <f t="shared" ca="1" si="103"/>
        <v>801</v>
      </c>
      <c r="BX97" s="1">
        <f t="shared" ca="1" si="104"/>
        <v>7.0297968506415742E-3</v>
      </c>
      <c r="BY97" s="1">
        <f t="shared" ca="1" si="105"/>
        <v>9.6701593295281385E-2</v>
      </c>
      <c r="BZ97" s="1">
        <f t="shared" ca="1" si="106"/>
        <v>0.58739352680012569</v>
      </c>
      <c r="CB97" s="1">
        <f t="shared" ca="1" si="107"/>
        <v>109</v>
      </c>
      <c r="CC97" s="1">
        <f t="shared" ca="1" si="108"/>
        <v>10</v>
      </c>
      <c r="CD97" s="1">
        <f t="shared" ca="1" si="109"/>
        <v>0.23367198379919846</v>
      </c>
      <c r="CE97" s="1">
        <f t="shared" ca="1" si="110"/>
        <v>0.90971775964079726</v>
      </c>
      <c r="CF97" s="1">
        <f t="shared" ca="1" si="110"/>
        <v>0.50663089877923795</v>
      </c>
      <c r="CH97" s="3">
        <f t="shared" ca="1" si="111"/>
        <v>0.73798178260833946</v>
      </c>
      <c r="CI97" s="3">
        <f t="shared" ca="1" si="112"/>
        <v>0.18116595612352732</v>
      </c>
      <c r="CJ97" s="3">
        <f t="shared" ca="1" si="113"/>
        <v>325</v>
      </c>
      <c r="CK97" s="3">
        <f t="shared" ca="1" si="114"/>
        <v>3.491919515724441E-3</v>
      </c>
      <c r="CL97" s="3">
        <f t="shared" ca="1" si="115"/>
        <v>1</v>
      </c>
      <c r="CM97" s="3"/>
      <c r="CN97" s="1">
        <f t="shared" ca="1" si="116"/>
        <v>3.46780786502713</v>
      </c>
      <c r="CO97" s="1">
        <f t="shared" ca="1" si="117"/>
        <v>0.15683782678980374</v>
      </c>
      <c r="CP97" s="1">
        <f t="shared" ca="1" si="118"/>
        <v>5</v>
      </c>
      <c r="DH97" s="1">
        <f t="shared" ca="1" si="119"/>
        <v>268</v>
      </c>
      <c r="DI97" s="1">
        <f t="shared" ca="1" si="120"/>
        <v>0.98149445364222043</v>
      </c>
      <c r="DJ97" s="1">
        <f t="shared" ca="1" si="121"/>
        <v>22</v>
      </c>
      <c r="DL97" s="1">
        <f t="shared" ca="1" si="122"/>
        <v>0.12431372307285785</v>
      </c>
      <c r="DM97" s="1">
        <f t="shared" ca="1" si="123"/>
        <v>53</v>
      </c>
      <c r="DN97" s="1">
        <f t="shared" ca="1" si="124"/>
        <v>7</v>
      </c>
    </row>
    <row r="98" spans="2:118" x14ac:dyDescent="0.25">
      <c r="B98">
        <f t="shared" ca="1" si="63"/>
        <v>888</v>
      </c>
      <c r="C98">
        <f t="shared" ca="1" si="64"/>
        <v>47</v>
      </c>
      <c r="D98">
        <f t="shared" ca="1" si="65"/>
        <v>7.7014493012581384E-2</v>
      </c>
      <c r="F98" s="1">
        <f t="shared" ca="1" si="66"/>
        <v>47</v>
      </c>
      <c r="G98" s="1">
        <f t="shared" ca="1" si="67"/>
        <v>25</v>
      </c>
      <c r="H98" s="1">
        <f t="shared" ca="1" si="68"/>
        <v>7</v>
      </c>
      <c r="I98" s="1"/>
      <c r="J98" s="1">
        <f t="shared" ca="1" si="69"/>
        <v>21</v>
      </c>
      <c r="K98" s="1">
        <f t="shared" ca="1" si="70"/>
        <v>1.1689618007129368</v>
      </c>
      <c r="L98" s="1">
        <f t="shared" ca="1" si="71"/>
        <v>5</v>
      </c>
      <c r="M98" s="1"/>
      <c r="N98" s="1">
        <f t="shared" ca="1" si="72"/>
        <v>200</v>
      </c>
      <c r="O98" s="1">
        <f t="shared" ca="1" si="73"/>
        <v>13</v>
      </c>
      <c r="P98" s="1"/>
      <c r="Q98" s="1">
        <f t="shared" ca="1" si="74"/>
        <v>3.6028089780479515</v>
      </c>
      <c r="R98" s="1">
        <f t="shared" ca="1" si="75"/>
        <v>966</v>
      </c>
      <c r="S98" s="1"/>
      <c r="T98" s="1">
        <f t="shared" ca="1" si="76"/>
        <v>0.16732049875628852</v>
      </c>
      <c r="U98" s="1">
        <f t="shared" ca="1" si="77"/>
        <v>195</v>
      </c>
      <c r="V98" s="1">
        <f t="shared" ca="1" si="78"/>
        <v>25</v>
      </c>
      <c r="W98" s="1"/>
      <c r="X98" s="1">
        <f t="shared" ca="1" si="79"/>
        <v>9.8650372517916569</v>
      </c>
      <c r="Y98" s="1">
        <f t="shared" ca="1" si="80"/>
        <v>0.64973980127341135</v>
      </c>
      <c r="Z98" s="1">
        <f t="shared" ca="1" si="81"/>
        <v>662</v>
      </c>
      <c r="AB98" s="1">
        <f t="shared" ca="1" si="82"/>
        <v>0.66099242451717066</v>
      </c>
      <c r="AC98" s="1">
        <f t="shared" ca="1" si="83"/>
        <v>348</v>
      </c>
      <c r="AD98" s="1">
        <f t="shared" ca="1" si="84"/>
        <v>5.7198296376091938E-3</v>
      </c>
      <c r="AE98" s="1"/>
      <c r="AF98" s="1">
        <f t="shared" ca="1" si="85"/>
        <v>0.67758247317592246</v>
      </c>
      <c r="AG98" s="1">
        <f t="shared" ca="1" si="86"/>
        <v>290</v>
      </c>
      <c r="AH98" s="1">
        <f t="shared" ca="1" si="87"/>
        <v>5.3243881987461968E-3</v>
      </c>
      <c r="AJ98" s="1">
        <f t="shared" ca="1" si="88"/>
        <v>0.64223247659625526</v>
      </c>
      <c r="AK98" s="1">
        <f t="shared" ca="1" si="89"/>
        <v>1.6923962455442176E-3</v>
      </c>
      <c r="AL98" s="1"/>
      <c r="AM98" s="1">
        <f t="shared" ca="1" si="90"/>
        <v>5.4243030834002247E-2</v>
      </c>
      <c r="AN98" s="1">
        <f t="shared" ca="1" si="91"/>
        <v>52</v>
      </c>
      <c r="AO98" s="1">
        <f t="shared" ca="1" si="92"/>
        <v>8</v>
      </c>
      <c r="AQ98" s="1">
        <f t="shared" ca="1" si="93"/>
        <v>199</v>
      </c>
      <c r="AR98" s="1">
        <f t="shared" ca="1" si="94"/>
        <v>9</v>
      </c>
      <c r="AS98" s="1">
        <f t="shared" ca="1" si="95"/>
        <v>95</v>
      </c>
      <c r="AU98" s="1">
        <f t="shared" ca="1" si="96"/>
        <v>316</v>
      </c>
      <c r="AV98" s="1">
        <f t="shared" ca="1" si="97"/>
        <v>10</v>
      </c>
      <c r="AW98" s="1">
        <f t="shared" ca="1" si="98"/>
        <v>6.4094041448302053E-2</v>
      </c>
      <c r="AY98" s="1">
        <f t="shared" ca="1" si="99"/>
        <v>1.9441249749802558</v>
      </c>
      <c r="AZ98" s="1">
        <f t="shared" ca="1" si="100"/>
        <v>353</v>
      </c>
      <c r="BA98" s="1">
        <f t="shared" ca="1" si="101"/>
        <v>8.3591910640016618E-3</v>
      </c>
      <c r="BV98" s="1">
        <f t="shared" ca="1" si="102"/>
        <v>0.39007523321619558</v>
      </c>
      <c r="BW98" s="1">
        <f t="shared" ca="1" si="103"/>
        <v>903</v>
      </c>
      <c r="BX98" s="1">
        <f t="shared" ca="1" si="104"/>
        <v>4.5694856225512101E-3</v>
      </c>
      <c r="BY98" s="1">
        <f t="shared" ca="1" si="105"/>
        <v>9.7866023757243736E-2</v>
      </c>
      <c r="BZ98" s="1">
        <f t="shared" ca="1" si="106"/>
        <v>0.42901914703020749</v>
      </c>
      <c r="CB98" s="1">
        <f t="shared" ca="1" si="107"/>
        <v>220</v>
      </c>
      <c r="CC98" s="1">
        <f t="shared" ca="1" si="108"/>
        <v>14</v>
      </c>
      <c r="CD98" s="1">
        <f t="shared" ca="1" si="109"/>
        <v>8.1288971695857387E-2</v>
      </c>
      <c r="CE98" s="1">
        <f t="shared" ca="1" si="110"/>
        <v>0.87854964859075335</v>
      </c>
      <c r="CF98" s="1">
        <f t="shared" ca="1" si="110"/>
        <v>0.85537509839699633</v>
      </c>
      <c r="CH98" s="3">
        <f t="shared" ca="1" si="111"/>
        <v>0.44960814287375089</v>
      </c>
      <c r="CI98" s="3">
        <f t="shared" ca="1" si="112"/>
        <v>0.91913594230220741</v>
      </c>
      <c r="CJ98" s="3">
        <f t="shared" ca="1" si="113"/>
        <v>801</v>
      </c>
      <c r="CK98" s="3">
        <f t="shared" ca="1" si="114"/>
        <v>8.8445882102125683E-3</v>
      </c>
      <c r="CL98" s="3">
        <f t="shared" ca="1" si="115"/>
        <v>0</v>
      </c>
      <c r="CM98" s="3"/>
      <c r="CN98" s="1">
        <f t="shared" ca="1" si="116"/>
        <v>0.56919646062378682</v>
      </c>
      <c r="CO98" s="1">
        <f t="shared" ca="1" si="117"/>
        <v>0.43016986138797847</v>
      </c>
      <c r="CP98" s="1">
        <f t="shared" ca="1" si="118"/>
        <v>1</v>
      </c>
      <c r="DH98" s="1">
        <f t="shared" ca="1" si="119"/>
        <v>23</v>
      </c>
      <c r="DI98" s="1">
        <f t="shared" ca="1" si="120"/>
        <v>0.58232074472946704</v>
      </c>
      <c r="DJ98" s="1">
        <f t="shared" ca="1" si="121"/>
        <v>25</v>
      </c>
      <c r="DL98" s="1">
        <f t="shared" ca="1" si="122"/>
        <v>6.3712138767696089E-2</v>
      </c>
      <c r="DM98" s="1">
        <f t="shared" ca="1" si="123"/>
        <v>184</v>
      </c>
      <c r="DN98" s="1">
        <f t="shared" ca="1" si="124"/>
        <v>6</v>
      </c>
    </row>
    <row r="99" spans="2:118" x14ac:dyDescent="0.25">
      <c r="B99">
        <f t="shared" ca="1" si="63"/>
        <v>668</v>
      </c>
      <c r="C99">
        <f t="shared" ca="1" si="64"/>
        <v>13</v>
      </c>
      <c r="D99">
        <f t="shared" ca="1" si="65"/>
        <v>0.16303779338140012</v>
      </c>
      <c r="F99" s="1">
        <f t="shared" ca="1" si="66"/>
        <v>21</v>
      </c>
      <c r="G99" s="1">
        <f t="shared" ca="1" si="67"/>
        <v>6</v>
      </c>
      <c r="H99" s="1">
        <f t="shared" ca="1" si="68"/>
        <v>5</v>
      </c>
      <c r="I99" s="1"/>
      <c r="J99" s="1">
        <f t="shared" ca="1" si="69"/>
        <v>38</v>
      </c>
      <c r="K99" s="1">
        <f t="shared" ca="1" si="70"/>
        <v>2.5656569264419069</v>
      </c>
      <c r="L99" s="1">
        <f t="shared" ca="1" si="71"/>
        <v>23</v>
      </c>
      <c r="M99" s="1"/>
      <c r="N99" s="1">
        <f t="shared" ca="1" si="72"/>
        <v>797</v>
      </c>
      <c r="O99" s="1">
        <f t="shared" ca="1" si="73"/>
        <v>4</v>
      </c>
      <c r="P99" s="1"/>
      <c r="Q99" s="1">
        <f t="shared" ca="1" si="74"/>
        <v>4.687194051725009</v>
      </c>
      <c r="R99" s="1">
        <f t="shared" ca="1" si="75"/>
        <v>1111</v>
      </c>
      <c r="S99" s="1"/>
      <c r="T99" s="1">
        <f t="shared" ca="1" si="76"/>
        <v>0.19164609741807026</v>
      </c>
      <c r="U99" s="1">
        <f t="shared" ca="1" si="77"/>
        <v>385</v>
      </c>
      <c r="V99" s="1">
        <f t="shared" ca="1" si="78"/>
        <v>25</v>
      </c>
      <c r="W99" s="1"/>
      <c r="X99" s="1">
        <f t="shared" ca="1" si="79"/>
        <v>2.5001539335556173</v>
      </c>
      <c r="Y99" s="1">
        <f t="shared" ca="1" si="80"/>
        <v>0.58701654791051994</v>
      </c>
      <c r="Z99" s="1">
        <f t="shared" ca="1" si="81"/>
        <v>718</v>
      </c>
      <c r="AB99" s="1">
        <f t="shared" ca="1" si="82"/>
        <v>0.31152084646382888</v>
      </c>
      <c r="AC99" s="1">
        <f t="shared" ca="1" si="83"/>
        <v>469</v>
      </c>
      <c r="AD99" s="1">
        <f t="shared" ca="1" si="84"/>
        <v>3.0016515435057904E-3</v>
      </c>
      <c r="AE99" s="1"/>
      <c r="AF99" s="1">
        <f t="shared" ca="1" si="85"/>
        <v>0.30527405567530003</v>
      </c>
      <c r="AG99" s="1">
        <f t="shared" ca="1" si="86"/>
        <v>604</v>
      </c>
      <c r="AH99" s="1">
        <f t="shared" ca="1" si="87"/>
        <v>3.7657196812655911E-3</v>
      </c>
      <c r="AJ99" s="1">
        <f t="shared" ca="1" si="88"/>
        <v>1.9865313130672857E-2</v>
      </c>
      <c r="AK99" s="1">
        <f t="shared" ca="1" si="89"/>
        <v>3.255446682216397E-3</v>
      </c>
      <c r="AL99" s="1"/>
      <c r="AM99" s="1">
        <f t="shared" ca="1" si="90"/>
        <v>0.18006070579928712</v>
      </c>
      <c r="AN99" s="1">
        <f t="shared" ca="1" si="91"/>
        <v>64</v>
      </c>
      <c r="AO99" s="1">
        <f t="shared" ca="1" si="92"/>
        <v>4</v>
      </c>
      <c r="AQ99" s="1">
        <f t="shared" ca="1" si="93"/>
        <v>120</v>
      </c>
      <c r="AR99" s="1">
        <f t="shared" ca="1" si="94"/>
        <v>0</v>
      </c>
      <c r="AS99" s="1">
        <f t="shared" ca="1" si="95"/>
        <v>36</v>
      </c>
      <c r="AU99" s="1">
        <f t="shared" ca="1" si="96"/>
        <v>58</v>
      </c>
      <c r="AV99" s="1">
        <f t="shared" ca="1" si="97"/>
        <v>9</v>
      </c>
      <c r="AW99" s="1">
        <f t="shared" ca="1" si="98"/>
        <v>2.0074503132026366E-2</v>
      </c>
      <c r="AY99" s="1">
        <f t="shared" ca="1" si="99"/>
        <v>1.7065628369267909</v>
      </c>
      <c r="AZ99" s="1">
        <f t="shared" ca="1" si="100"/>
        <v>500</v>
      </c>
      <c r="BA99" s="1">
        <f t="shared" ca="1" si="101"/>
        <v>4.1223136463802244E-3</v>
      </c>
      <c r="BV99" s="1">
        <f t="shared" ca="1" si="102"/>
        <v>3.7093826219034814E-2</v>
      </c>
      <c r="BW99" s="1">
        <f t="shared" ca="1" si="103"/>
        <v>812</v>
      </c>
      <c r="BX99" s="1">
        <f t="shared" ca="1" si="104"/>
        <v>2.95783406057542E-3</v>
      </c>
      <c r="BY99" s="1">
        <f t="shared" ca="1" si="105"/>
        <v>6.3567087663847794E-3</v>
      </c>
      <c r="BZ99" s="1">
        <f t="shared" ca="1" si="106"/>
        <v>0.24524377121377261</v>
      </c>
      <c r="CB99" s="1">
        <f t="shared" ca="1" si="107"/>
        <v>67</v>
      </c>
      <c r="CC99" s="1">
        <f t="shared" ca="1" si="108"/>
        <v>9</v>
      </c>
      <c r="CD99" s="1">
        <f t="shared" ca="1" si="109"/>
        <v>6.5535363747914785E-2</v>
      </c>
      <c r="CE99" s="1">
        <f t="shared" ca="1" si="110"/>
        <v>0.82980965739512991</v>
      </c>
      <c r="CF99" s="1">
        <f t="shared" ca="1" si="110"/>
        <v>0.58692004548283971</v>
      </c>
      <c r="CH99" s="3">
        <f t="shared" ca="1" si="111"/>
        <v>0.29631631863362368</v>
      </c>
      <c r="CI99" s="3">
        <f t="shared" ca="1" si="112"/>
        <v>9.5080700239338553E-2</v>
      </c>
      <c r="CJ99" s="3">
        <f t="shared" ca="1" si="113"/>
        <v>162</v>
      </c>
      <c r="CK99" s="3">
        <f t="shared" ca="1" si="114"/>
        <v>3.1525695545665156E-3</v>
      </c>
      <c r="CL99" s="3">
        <f t="shared" ca="1" si="115"/>
        <v>1</v>
      </c>
      <c r="CM99" s="3"/>
      <c r="CN99" s="1">
        <f t="shared" ca="1" si="116"/>
        <v>16.734775706583491</v>
      </c>
      <c r="CO99" s="1">
        <f t="shared" ca="1" si="117"/>
        <v>0.1865779496486667</v>
      </c>
      <c r="CP99" s="1">
        <f t="shared" ca="1" si="118"/>
        <v>5</v>
      </c>
      <c r="DH99" s="1">
        <f t="shared" ca="1" si="119"/>
        <v>545</v>
      </c>
      <c r="DI99" s="1">
        <f t="shared" ca="1" si="120"/>
        <v>0.88363848804484069</v>
      </c>
      <c r="DJ99" s="1">
        <f t="shared" ca="1" si="121"/>
        <v>13</v>
      </c>
      <c r="DL99" s="1">
        <f t="shared" ca="1" si="122"/>
        <v>6.7394668759506143E-2</v>
      </c>
      <c r="DM99" s="1">
        <f t="shared" ca="1" si="123"/>
        <v>264</v>
      </c>
      <c r="DN99" s="1">
        <f t="shared" ca="1" si="124"/>
        <v>8</v>
      </c>
    </row>
    <row r="100" spans="2:118" x14ac:dyDescent="0.25">
      <c r="B100">
        <f t="shared" ca="1" si="63"/>
        <v>914</v>
      </c>
      <c r="C100">
        <f t="shared" ca="1" si="64"/>
        <v>13</v>
      </c>
      <c r="D100">
        <f t="shared" ca="1" si="65"/>
        <v>5.9785352286279805E-2</v>
      </c>
      <c r="F100" s="1">
        <f t="shared" ca="1" si="66"/>
        <v>11</v>
      </c>
      <c r="G100" s="1">
        <f t="shared" ca="1" si="67"/>
        <v>5</v>
      </c>
      <c r="H100" s="1">
        <f t="shared" ca="1" si="68"/>
        <v>12</v>
      </c>
      <c r="I100" s="1"/>
      <c r="J100" s="1">
        <f t="shared" ca="1" si="69"/>
        <v>38</v>
      </c>
      <c r="K100" s="1">
        <f t="shared" ca="1" si="70"/>
        <v>1.4374766696759047</v>
      </c>
      <c r="L100" s="1">
        <f t="shared" ca="1" si="71"/>
        <v>7</v>
      </c>
      <c r="M100" s="1"/>
      <c r="N100" s="1">
        <f t="shared" ca="1" si="72"/>
        <v>322</v>
      </c>
      <c r="O100" s="1">
        <f t="shared" ca="1" si="73"/>
        <v>7</v>
      </c>
      <c r="P100" s="1"/>
      <c r="Q100" s="1">
        <f t="shared" ca="1" si="74"/>
        <v>2.167065492430869</v>
      </c>
      <c r="R100" s="1">
        <f t="shared" ca="1" si="75"/>
        <v>1081</v>
      </c>
      <c r="S100" s="1"/>
      <c r="T100" s="1">
        <f t="shared" ca="1" si="76"/>
        <v>0.16087282235619524</v>
      </c>
      <c r="U100" s="1">
        <f t="shared" ca="1" si="77"/>
        <v>240</v>
      </c>
      <c r="V100" s="1">
        <f t="shared" ca="1" si="78"/>
        <v>13</v>
      </c>
      <c r="W100" s="1"/>
      <c r="X100" s="1">
        <f t="shared" ca="1" si="79"/>
        <v>4.7642580896178126</v>
      </c>
      <c r="Y100" s="1">
        <f t="shared" ca="1" si="80"/>
        <v>0.65886610313579741</v>
      </c>
      <c r="Z100" s="1">
        <f t="shared" ca="1" si="81"/>
        <v>1466</v>
      </c>
      <c r="AB100" s="1">
        <f t="shared" ca="1" si="82"/>
        <v>0.14556561684092725</v>
      </c>
      <c r="AC100" s="1">
        <f t="shared" ca="1" si="83"/>
        <v>353</v>
      </c>
      <c r="AD100" s="1">
        <f t="shared" ca="1" si="84"/>
        <v>1.3994102135174065E-3</v>
      </c>
      <c r="AE100" s="1"/>
      <c r="AF100" s="1">
        <f t="shared" ca="1" si="85"/>
        <v>0.76344978849825174</v>
      </c>
      <c r="AG100" s="1">
        <f t="shared" ca="1" si="86"/>
        <v>650</v>
      </c>
      <c r="AH100" s="1">
        <f t="shared" ca="1" si="87"/>
        <v>8.7673203277045496E-3</v>
      </c>
      <c r="AJ100" s="1">
        <f t="shared" ca="1" si="88"/>
        <v>0.55907231513288769</v>
      </c>
      <c r="AK100" s="1">
        <f t="shared" ca="1" si="89"/>
        <v>3.1102937033640082E-3</v>
      </c>
      <c r="AL100" s="1"/>
      <c r="AM100" s="1">
        <f t="shared" ca="1" si="90"/>
        <v>4.6645900792545505E-2</v>
      </c>
      <c r="AN100" s="1">
        <f t="shared" ca="1" si="91"/>
        <v>27</v>
      </c>
      <c r="AO100" s="1">
        <f t="shared" ca="1" si="92"/>
        <v>0</v>
      </c>
      <c r="AQ100" s="1">
        <f t="shared" ca="1" si="93"/>
        <v>182</v>
      </c>
      <c r="AR100" s="1">
        <f t="shared" ca="1" si="94"/>
        <v>8</v>
      </c>
      <c r="AS100" s="1">
        <f t="shared" ca="1" si="95"/>
        <v>16</v>
      </c>
      <c r="AU100" s="1">
        <f t="shared" ca="1" si="96"/>
        <v>269</v>
      </c>
      <c r="AV100" s="1">
        <f t="shared" ca="1" si="97"/>
        <v>7</v>
      </c>
      <c r="AW100" s="1">
        <f t="shared" ca="1" si="98"/>
        <v>0.196662456997521</v>
      </c>
      <c r="AY100" s="1">
        <f t="shared" ca="1" si="99"/>
        <v>1.7146690550148631</v>
      </c>
      <c r="AZ100" s="1">
        <f t="shared" ca="1" si="100"/>
        <v>211</v>
      </c>
      <c r="BA100" s="1">
        <f t="shared" ca="1" si="101"/>
        <v>8.2433080644192872E-3</v>
      </c>
      <c r="BV100" s="1">
        <f t="shared" ca="1" si="102"/>
        <v>0.27897911730222885</v>
      </c>
      <c r="BW100" s="1">
        <f t="shared" ca="1" si="103"/>
        <v>948</v>
      </c>
      <c r="BX100" s="1">
        <f t="shared" ca="1" si="104"/>
        <v>7.6619674339073263E-3</v>
      </c>
      <c r="BY100" s="1">
        <f t="shared" ca="1" si="105"/>
        <v>9.3841158555361001E-2</v>
      </c>
      <c r="BZ100" s="1">
        <f t="shared" ca="1" si="106"/>
        <v>0.43298860661100114</v>
      </c>
      <c r="CB100" s="1">
        <f t="shared" ca="1" si="107"/>
        <v>302</v>
      </c>
      <c r="CC100" s="1">
        <f t="shared" ca="1" si="108"/>
        <v>3</v>
      </c>
      <c r="CD100" s="1">
        <f t="shared" ca="1" si="109"/>
        <v>2.8449777201013264E-2</v>
      </c>
      <c r="CE100" s="1">
        <f t="shared" ref="CE100:CF131" ca="1" si="125">RAND()*(1-0.5)+0.5</f>
        <v>0.89149195030586592</v>
      </c>
      <c r="CF100" s="1">
        <f t="shared" ca="1" si="125"/>
        <v>0.80237056319466737</v>
      </c>
      <c r="CH100" s="3">
        <f t="shared" ca="1" si="111"/>
        <v>0.91398931691842944</v>
      </c>
      <c r="CI100" s="3">
        <f t="shared" ca="1" si="112"/>
        <v>0.96165910428534662</v>
      </c>
      <c r="CJ100" s="3">
        <f t="shared" ca="1" si="113"/>
        <v>677</v>
      </c>
      <c r="CK100" s="3">
        <f t="shared" ca="1" si="114"/>
        <v>5.0457405386575898E-3</v>
      </c>
      <c r="CL100" s="3">
        <f t="shared" ca="1" si="115"/>
        <v>0</v>
      </c>
      <c r="CM100" s="3"/>
      <c r="CN100" s="1">
        <f t="shared" ca="1" si="116"/>
        <v>6.9125927108102339</v>
      </c>
      <c r="CO100" s="1">
        <f t="shared" ca="1" si="117"/>
        <v>0.42716070443541648</v>
      </c>
      <c r="CP100" s="1">
        <f t="shared" ca="1" si="118"/>
        <v>1</v>
      </c>
      <c r="DH100" s="1">
        <f t="shared" ca="1" si="119"/>
        <v>572</v>
      </c>
      <c r="DI100" s="1">
        <f t="shared" ca="1" si="120"/>
        <v>0.56074469229719837</v>
      </c>
      <c r="DJ100" s="1">
        <f t="shared" ca="1" si="121"/>
        <v>28</v>
      </c>
      <c r="DL100" s="1">
        <f t="shared" ca="1" si="122"/>
        <v>1.7599032574477841E-2</v>
      </c>
      <c r="DM100" s="1">
        <f t="shared" ca="1" si="123"/>
        <v>264</v>
      </c>
      <c r="DN100" s="1">
        <f t="shared" ca="1" si="124"/>
        <v>1</v>
      </c>
    </row>
    <row r="101" spans="2:118" x14ac:dyDescent="0.25">
      <c r="B101">
        <f t="shared" ca="1" si="63"/>
        <v>248</v>
      </c>
      <c r="C101">
        <f t="shared" ca="1" si="64"/>
        <v>6</v>
      </c>
      <c r="D101">
        <f t="shared" ca="1" si="65"/>
        <v>0.29530026845002388</v>
      </c>
      <c r="F101" s="1">
        <f t="shared" ca="1" si="66"/>
        <v>16</v>
      </c>
      <c r="G101" s="1">
        <f t="shared" ca="1" si="67"/>
        <v>20</v>
      </c>
      <c r="H101" s="1">
        <f t="shared" ca="1" si="68"/>
        <v>1</v>
      </c>
      <c r="I101" s="1"/>
      <c r="J101" s="1">
        <f t="shared" ca="1" si="69"/>
        <v>3</v>
      </c>
      <c r="K101" s="1">
        <f t="shared" ca="1" si="70"/>
        <v>2.955865356496687</v>
      </c>
      <c r="L101" s="1">
        <f t="shared" ca="1" si="71"/>
        <v>20</v>
      </c>
      <c r="M101" s="1"/>
      <c r="N101" s="1">
        <f t="shared" ca="1" si="72"/>
        <v>126</v>
      </c>
      <c r="O101" s="1">
        <f t="shared" ca="1" si="73"/>
        <v>27</v>
      </c>
      <c r="P101" s="1"/>
      <c r="Q101" s="1">
        <f t="shared" ca="1" si="74"/>
        <v>3.7194387997947191</v>
      </c>
      <c r="R101" s="1">
        <f t="shared" ca="1" si="75"/>
        <v>664</v>
      </c>
      <c r="S101" s="1"/>
      <c r="T101" s="1">
        <f t="shared" ca="1" si="76"/>
        <v>3.2478434357081865E-2</v>
      </c>
      <c r="U101" s="1">
        <f t="shared" ca="1" si="77"/>
        <v>425</v>
      </c>
      <c r="V101" s="1">
        <f t="shared" ca="1" si="78"/>
        <v>27</v>
      </c>
      <c r="W101" s="1"/>
      <c r="X101" s="1">
        <f t="shared" ca="1" si="79"/>
        <v>9.2900455783214948</v>
      </c>
      <c r="Y101" s="1">
        <f t="shared" ca="1" si="80"/>
        <v>0.39259848364779582</v>
      </c>
      <c r="Z101" s="1">
        <f t="shared" ca="1" si="81"/>
        <v>1322</v>
      </c>
      <c r="AB101" s="1">
        <f t="shared" ca="1" si="82"/>
        <v>0.87444311350720505</v>
      </c>
      <c r="AC101" s="1">
        <f t="shared" ca="1" si="83"/>
        <v>986</v>
      </c>
      <c r="AD101" s="1">
        <f t="shared" ca="1" si="84"/>
        <v>7.3439602002570224E-4</v>
      </c>
      <c r="AE101" s="1"/>
      <c r="AF101" s="1">
        <f t="shared" ca="1" si="85"/>
        <v>0.13970746423194003</v>
      </c>
      <c r="AG101" s="1">
        <f t="shared" ca="1" si="86"/>
        <v>183</v>
      </c>
      <c r="AH101" s="1">
        <f t="shared" ca="1" si="87"/>
        <v>5.8435304607558185E-3</v>
      </c>
      <c r="AJ101" s="1">
        <f t="shared" ca="1" si="88"/>
        <v>0.3690105017838119</v>
      </c>
      <c r="AK101" s="1">
        <f t="shared" ca="1" si="89"/>
        <v>7.4698235100162744E-3</v>
      </c>
      <c r="AL101" s="1"/>
      <c r="AM101" s="1">
        <f t="shared" ca="1" si="90"/>
        <v>7.3222938165289991E-2</v>
      </c>
      <c r="AN101" s="1">
        <f t="shared" ca="1" si="91"/>
        <v>30</v>
      </c>
      <c r="AO101" s="1">
        <f t="shared" ca="1" si="92"/>
        <v>11</v>
      </c>
      <c r="AQ101" s="1">
        <f t="shared" ca="1" si="93"/>
        <v>11</v>
      </c>
      <c r="AR101" s="1">
        <f t="shared" ca="1" si="94"/>
        <v>9</v>
      </c>
      <c r="AS101" s="1">
        <f t="shared" ca="1" si="95"/>
        <v>56</v>
      </c>
      <c r="AU101" s="1">
        <f t="shared" ca="1" si="96"/>
        <v>298</v>
      </c>
      <c r="AV101" s="1">
        <f t="shared" ca="1" si="97"/>
        <v>9</v>
      </c>
      <c r="AW101" s="1">
        <f t="shared" ca="1" si="98"/>
        <v>9.0186001777079985E-2</v>
      </c>
      <c r="AY101" s="1">
        <f t="shared" ca="1" si="99"/>
        <v>1.4397592135040869</v>
      </c>
      <c r="AZ101" s="1">
        <f t="shared" ca="1" si="100"/>
        <v>204</v>
      </c>
      <c r="BA101" s="1">
        <f t="shared" ca="1" si="101"/>
        <v>3.4755866632580476E-3</v>
      </c>
      <c r="BV101" s="1">
        <f t="shared" ca="1" si="102"/>
        <v>0.42963139988373195</v>
      </c>
      <c r="BW101" s="1">
        <f t="shared" ca="1" si="103"/>
        <v>643</v>
      </c>
      <c r="BX101" s="1">
        <f t="shared" ca="1" si="104"/>
        <v>9.5374203130759345E-3</v>
      </c>
      <c r="BY101" s="1">
        <f t="shared" ca="1" si="105"/>
        <v>4.1527745526121311E-2</v>
      </c>
      <c r="BZ101" s="1">
        <f t="shared" ca="1" si="106"/>
        <v>9.5258080445368543E-2</v>
      </c>
      <c r="CB101" s="1">
        <f t="shared" ca="1" si="107"/>
        <v>324</v>
      </c>
      <c r="CC101" s="1">
        <f t="shared" ca="1" si="108"/>
        <v>13</v>
      </c>
      <c r="CD101" s="1">
        <f t="shared" ca="1" si="109"/>
        <v>0.25392646260084367</v>
      </c>
      <c r="CE101" s="1">
        <f t="shared" ca="1" si="125"/>
        <v>0.75175624725666546</v>
      </c>
      <c r="CF101" s="1">
        <f t="shared" ca="1" si="125"/>
        <v>0.98681102581647706</v>
      </c>
      <c r="CH101" s="3">
        <f t="shared" ca="1" si="111"/>
        <v>4.51517245990617E-3</v>
      </c>
      <c r="CI101" s="3">
        <f t="shared" ca="1" si="112"/>
        <v>0.34093514629302191</v>
      </c>
      <c r="CJ101" s="3">
        <f t="shared" ca="1" si="113"/>
        <v>797</v>
      </c>
      <c r="CK101" s="3">
        <f t="shared" ca="1" si="114"/>
        <v>8.7491872574068912E-3</v>
      </c>
      <c r="CL101" s="3">
        <f t="shared" ca="1" si="115"/>
        <v>1</v>
      </c>
      <c r="CM101" s="3"/>
      <c r="CN101" s="1">
        <f t="shared" ca="1" si="116"/>
        <v>9.3330929038788035</v>
      </c>
      <c r="CO101" s="1">
        <f t="shared" ca="1" si="117"/>
        <v>0.4695406094559873</v>
      </c>
      <c r="CP101" s="1">
        <f t="shared" ca="1" si="118"/>
        <v>1</v>
      </c>
      <c r="DH101" s="1">
        <f t="shared" ca="1" si="119"/>
        <v>248</v>
      </c>
      <c r="DI101" s="1">
        <f t="shared" ca="1" si="120"/>
        <v>6.2802494727034294E-2</v>
      </c>
      <c r="DJ101" s="1">
        <f t="shared" ca="1" si="121"/>
        <v>14</v>
      </c>
      <c r="DL101" s="1">
        <f t="shared" ca="1" si="122"/>
        <v>6.6542877818960844E-2</v>
      </c>
      <c r="DM101" s="1">
        <f t="shared" ca="1" si="123"/>
        <v>171</v>
      </c>
      <c r="DN101" s="1">
        <f t="shared" ca="1" si="124"/>
        <v>3</v>
      </c>
    </row>
    <row r="102" spans="2:118" x14ac:dyDescent="0.25">
      <c r="B102">
        <f t="shared" ca="1" si="63"/>
        <v>70</v>
      </c>
      <c r="C102">
        <f t="shared" ca="1" si="64"/>
        <v>13</v>
      </c>
      <c r="D102">
        <f t="shared" ca="1" si="65"/>
        <v>0.15914163627451855</v>
      </c>
      <c r="F102" s="1">
        <f t="shared" ca="1" si="66"/>
        <v>26</v>
      </c>
      <c r="G102" s="1">
        <f t="shared" ca="1" si="67"/>
        <v>25</v>
      </c>
      <c r="H102" s="1">
        <f t="shared" ca="1" si="68"/>
        <v>9</v>
      </c>
      <c r="I102" s="1"/>
      <c r="J102" s="1">
        <f t="shared" ca="1" si="69"/>
        <v>6</v>
      </c>
      <c r="K102" s="1">
        <f t="shared" ca="1" si="70"/>
        <v>1.8341999890764566</v>
      </c>
      <c r="L102" s="1">
        <f t="shared" ca="1" si="71"/>
        <v>8</v>
      </c>
      <c r="M102" s="1"/>
      <c r="N102" s="1">
        <f t="shared" ca="1" si="72"/>
        <v>973</v>
      </c>
      <c r="O102" s="1">
        <f t="shared" ca="1" si="73"/>
        <v>34</v>
      </c>
      <c r="P102" s="1"/>
      <c r="Q102" s="1">
        <f t="shared" ca="1" si="74"/>
        <v>1.0729373048915465</v>
      </c>
      <c r="R102" s="1">
        <f t="shared" ca="1" si="75"/>
        <v>498</v>
      </c>
      <c r="S102" s="1"/>
      <c r="T102" s="1">
        <f t="shared" ca="1" si="76"/>
        <v>0.19410965025994067</v>
      </c>
      <c r="U102" s="1">
        <f t="shared" ca="1" si="77"/>
        <v>370</v>
      </c>
      <c r="V102" s="1">
        <f t="shared" ca="1" si="78"/>
        <v>15</v>
      </c>
      <c r="W102" s="1"/>
      <c r="X102" s="1">
        <f t="shared" ca="1" si="79"/>
        <v>5.4298283663039895</v>
      </c>
      <c r="Y102" s="1">
        <f t="shared" ca="1" si="80"/>
        <v>0.13388544612760406</v>
      </c>
      <c r="Z102" s="1">
        <f t="shared" ca="1" si="81"/>
        <v>777</v>
      </c>
      <c r="AB102" s="1">
        <f t="shared" ca="1" si="82"/>
        <v>0.75738112327688467</v>
      </c>
      <c r="AC102" s="1">
        <f t="shared" ca="1" si="83"/>
        <v>334</v>
      </c>
      <c r="AD102" s="1">
        <f t="shared" ca="1" si="84"/>
        <v>4.3086876065619745E-3</v>
      </c>
      <c r="AE102" s="1"/>
      <c r="AF102" s="1">
        <f t="shared" ca="1" si="85"/>
        <v>0.24763776824149097</v>
      </c>
      <c r="AG102" s="1">
        <f t="shared" ca="1" si="86"/>
        <v>828</v>
      </c>
      <c r="AH102" s="1">
        <f t="shared" ca="1" si="87"/>
        <v>3.1436597768237868E-3</v>
      </c>
      <c r="AJ102" s="1">
        <f t="shared" ca="1" si="88"/>
        <v>0.12511365579919931</v>
      </c>
      <c r="AK102" s="1">
        <f t="shared" ca="1" si="89"/>
        <v>8.1537993448936551E-3</v>
      </c>
      <c r="AL102" s="1"/>
      <c r="AM102" s="1">
        <f t="shared" ca="1" si="90"/>
        <v>0.19512364297580187</v>
      </c>
      <c r="AN102" s="1">
        <f t="shared" ca="1" si="91"/>
        <v>58</v>
      </c>
      <c r="AO102" s="1">
        <f t="shared" ca="1" si="92"/>
        <v>4</v>
      </c>
      <c r="AQ102" s="1">
        <f t="shared" ca="1" si="93"/>
        <v>131</v>
      </c>
      <c r="AR102" s="1">
        <f t="shared" ca="1" si="94"/>
        <v>5</v>
      </c>
      <c r="AS102" s="1">
        <f t="shared" ca="1" si="95"/>
        <v>34</v>
      </c>
      <c r="AU102" s="1">
        <f t="shared" ca="1" si="96"/>
        <v>191</v>
      </c>
      <c r="AV102" s="1">
        <f t="shared" ca="1" si="97"/>
        <v>3</v>
      </c>
      <c r="AW102" s="1">
        <f t="shared" ca="1" si="98"/>
        <v>0.10868778296599634</v>
      </c>
      <c r="AY102" s="1">
        <f t="shared" ca="1" si="99"/>
        <v>1.452247907476665</v>
      </c>
      <c r="AZ102" s="1">
        <f t="shared" ca="1" si="100"/>
        <v>287</v>
      </c>
      <c r="BA102" s="1">
        <f t="shared" ca="1" si="101"/>
        <v>5.3587743942089964E-3</v>
      </c>
      <c r="BV102" s="1">
        <f t="shared" ca="1" si="102"/>
        <v>0.91396943856522261</v>
      </c>
      <c r="BW102" s="1">
        <f t="shared" ca="1" si="103"/>
        <v>794</v>
      </c>
      <c r="BX102" s="1">
        <f t="shared" ca="1" si="104"/>
        <v>4.448707031787973E-3</v>
      </c>
      <c r="BY102" s="1">
        <f t="shared" ca="1" si="105"/>
        <v>4.8109696479891502E-3</v>
      </c>
      <c r="BZ102" s="1">
        <f t="shared" ca="1" si="106"/>
        <v>0.22145998643403519</v>
      </c>
      <c r="CB102" s="1">
        <f t="shared" ca="1" si="107"/>
        <v>126</v>
      </c>
      <c r="CC102" s="1">
        <f t="shared" ca="1" si="108"/>
        <v>15</v>
      </c>
      <c r="CD102" s="1">
        <f t="shared" ca="1" si="109"/>
        <v>0.19610630006626734</v>
      </c>
      <c r="CE102" s="1">
        <f t="shared" ca="1" si="125"/>
        <v>0.73558030806572827</v>
      </c>
      <c r="CF102" s="1">
        <f t="shared" ca="1" si="125"/>
        <v>0.95155648053421826</v>
      </c>
      <c r="CH102" s="3">
        <f t="shared" ca="1" si="111"/>
        <v>0.30321262042016173</v>
      </c>
      <c r="CI102" s="3">
        <f t="shared" ca="1" si="112"/>
        <v>0.88893898638197444</v>
      </c>
      <c r="CJ102" s="3">
        <f t="shared" ca="1" si="113"/>
        <v>1137</v>
      </c>
      <c r="CK102" s="3">
        <f t="shared" ca="1" si="114"/>
        <v>7.8364293800823881E-3</v>
      </c>
      <c r="CL102" s="3">
        <f t="shared" ca="1" si="115"/>
        <v>0</v>
      </c>
      <c r="CM102" s="3"/>
      <c r="CN102" s="1">
        <f t="shared" ca="1" si="116"/>
        <v>0.6081411985516112</v>
      </c>
      <c r="CO102" s="1">
        <f t="shared" ca="1" si="117"/>
        <v>0.45705893076047654</v>
      </c>
      <c r="CP102" s="1">
        <f t="shared" ca="1" si="118"/>
        <v>4</v>
      </c>
      <c r="DH102" s="1">
        <f t="shared" ca="1" si="119"/>
        <v>228</v>
      </c>
      <c r="DI102" s="1">
        <f t="shared" ca="1" si="120"/>
        <v>0.89014793514473645</v>
      </c>
      <c r="DJ102" s="1">
        <f t="shared" ca="1" si="121"/>
        <v>1</v>
      </c>
      <c r="DL102" s="1">
        <f t="shared" ca="1" si="122"/>
        <v>0.14186683354715726</v>
      </c>
      <c r="DM102" s="1">
        <f t="shared" ca="1" si="123"/>
        <v>69</v>
      </c>
      <c r="DN102" s="1">
        <f t="shared" ca="1" si="124"/>
        <v>10</v>
      </c>
    </row>
    <row r="103" spans="2:118" x14ac:dyDescent="0.25">
      <c r="B103">
        <f t="shared" ca="1" si="63"/>
        <v>732</v>
      </c>
      <c r="C103">
        <f t="shared" ca="1" si="64"/>
        <v>42</v>
      </c>
      <c r="D103">
        <f t="shared" ca="1" si="65"/>
        <v>0.16401280230989349</v>
      </c>
      <c r="F103" s="1">
        <f t="shared" ca="1" si="66"/>
        <v>39</v>
      </c>
      <c r="G103" s="1">
        <f t="shared" ca="1" si="67"/>
        <v>13</v>
      </c>
      <c r="H103" s="1">
        <f t="shared" ca="1" si="68"/>
        <v>1</v>
      </c>
      <c r="I103" s="1"/>
      <c r="J103" s="1">
        <f t="shared" ca="1" si="69"/>
        <v>29</v>
      </c>
      <c r="K103" s="1">
        <f t="shared" ca="1" si="70"/>
        <v>1.72134487483187</v>
      </c>
      <c r="L103" s="1">
        <f t="shared" ca="1" si="71"/>
        <v>33</v>
      </c>
      <c r="M103" s="1"/>
      <c r="N103" s="1">
        <f t="shared" ca="1" si="72"/>
        <v>183</v>
      </c>
      <c r="O103" s="1">
        <f t="shared" ca="1" si="73"/>
        <v>33</v>
      </c>
      <c r="P103" s="1"/>
      <c r="Q103" s="1">
        <f t="shared" ca="1" si="74"/>
        <v>1.2326206585807606</v>
      </c>
      <c r="R103" s="1">
        <f t="shared" ca="1" si="75"/>
        <v>666</v>
      </c>
      <c r="S103" s="1"/>
      <c r="T103" s="1">
        <f t="shared" ca="1" si="76"/>
        <v>0.19714271895088911</v>
      </c>
      <c r="U103" s="1">
        <f t="shared" ca="1" si="77"/>
        <v>408</v>
      </c>
      <c r="V103" s="1">
        <f t="shared" ca="1" si="78"/>
        <v>43</v>
      </c>
      <c r="W103" s="1"/>
      <c r="X103" s="1">
        <f t="shared" ca="1" si="79"/>
        <v>0.13573457230358144</v>
      </c>
      <c r="Y103" s="1">
        <f t="shared" ca="1" si="80"/>
        <v>9.1310696235612346E-2</v>
      </c>
      <c r="Z103" s="1">
        <f t="shared" ca="1" si="81"/>
        <v>1635</v>
      </c>
      <c r="AB103" s="1">
        <f t="shared" ca="1" si="82"/>
        <v>0.84549808623582878</v>
      </c>
      <c r="AC103" s="1">
        <f t="shared" ca="1" si="83"/>
        <v>481</v>
      </c>
      <c r="AD103" s="1">
        <f t="shared" ca="1" si="84"/>
        <v>9.0494930112038716E-3</v>
      </c>
      <c r="AE103" s="1"/>
      <c r="AF103" s="1">
        <f t="shared" ca="1" si="85"/>
        <v>0.89470428761305276</v>
      </c>
      <c r="AG103" s="1">
        <f t="shared" ca="1" si="86"/>
        <v>576</v>
      </c>
      <c r="AH103" s="1">
        <f t="shared" ca="1" si="87"/>
        <v>3.7490879014541148E-3</v>
      </c>
      <c r="AJ103" s="1">
        <f t="shared" ca="1" si="88"/>
        <v>0.6718994794017823</v>
      </c>
      <c r="AK103" s="1">
        <f t="shared" ca="1" si="89"/>
        <v>6.5869231293925268E-3</v>
      </c>
      <c r="AL103" s="1"/>
      <c r="AM103" s="1">
        <f t="shared" ca="1" si="90"/>
        <v>5.9352478101490587E-2</v>
      </c>
      <c r="AN103" s="1">
        <f t="shared" ca="1" si="91"/>
        <v>68</v>
      </c>
      <c r="AO103" s="1">
        <f t="shared" ca="1" si="92"/>
        <v>6</v>
      </c>
      <c r="AQ103" s="1">
        <f t="shared" ca="1" si="93"/>
        <v>37</v>
      </c>
      <c r="AR103" s="1">
        <f t="shared" ca="1" si="94"/>
        <v>1</v>
      </c>
      <c r="AS103" s="1">
        <f t="shared" ca="1" si="95"/>
        <v>66</v>
      </c>
      <c r="AU103" s="1">
        <f t="shared" ca="1" si="96"/>
        <v>251</v>
      </c>
      <c r="AV103" s="1">
        <f t="shared" ca="1" si="97"/>
        <v>4</v>
      </c>
      <c r="AW103" s="1">
        <f t="shared" ca="1" si="98"/>
        <v>0.15918133308275362</v>
      </c>
      <c r="AY103" s="1">
        <f t="shared" ca="1" si="99"/>
        <v>1.2319153684185291</v>
      </c>
      <c r="AZ103" s="1">
        <f t="shared" ca="1" si="100"/>
        <v>424</v>
      </c>
      <c r="BA103" s="1">
        <f t="shared" ca="1" si="101"/>
        <v>8.0224311464592978E-3</v>
      </c>
      <c r="BV103" s="1">
        <f t="shared" ca="1" si="102"/>
        <v>0.43182594365847443</v>
      </c>
      <c r="BW103" s="1">
        <f t="shared" ca="1" si="103"/>
        <v>602</v>
      </c>
      <c r="BX103" s="1">
        <f t="shared" ca="1" si="104"/>
        <v>2.8886534972439506E-3</v>
      </c>
      <c r="BY103" s="1">
        <f t="shared" ca="1" si="105"/>
        <v>6.7979020584390806E-3</v>
      </c>
      <c r="BZ103" s="1">
        <f t="shared" ca="1" si="106"/>
        <v>0.28962044576271495</v>
      </c>
      <c r="CB103" s="1">
        <f t="shared" ca="1" si="107"/>
        <v>159</v>
      </c>
      <c r="CC103" s="1">
        <f t="shared" ca="1" si="108"/>
        <v>9</v>
      </c>
      <c r="CD103" s="1">
        <f t="shared" ca="1" si="109"/>
        <v>0.17603452519692037</v>
      </c>
      <c r="CE103" s="1">
        <f t="shared" ca="1" si="125"/>
        <v>0.66876434635559101</v>
      </c>
      <c r="CF103" s="1">
        <f t="shared" ca="1" si="125"/>
        <v>0.71600827078545737</v>
      </c>
      <c r="CH103" s="3">
        <f t="shared" ca="1" si="111"/>
        <v>0.58435675627253203</v>
      </c>
      <c r="CI103" s="3">
        <f t="shared" ca="1" si="112"/>
        <v>0.12985783017375624</v>
      </c>
      <c r="CJ103" s="3">
        <f t="shared" ca="1" si="113"/>
        <v>855</v>
      </c>
      <c r="CK103" s="3">
        <f t="shared" ca="1" si="114"/>
        <v>8.4213803743285187E-3</v>
      </c>
      <c r="CL103" s="3">
        <f t="shared" ca="1" si="115"/>
        <v>0</v>
      </c>
      <c r="CM103" s="3"/>
      <c r="CN103" s="1">
        <f t="shared" ca="1" si="116"/>
        <v>2.438061591650615</v>
      </c>
      <c r="CO103" s="1">
        <f t="shared" ca="1" si="117"/>
        <v>0.17534695544720763</v>
      </c>
      <c r="CP103" s="1">
        <f t="shared" ca="1" si="118"/>
        <v>1</v>
      </c>
      <c r="DH103" s="1">
        <f t="shared" ca="1" si="119"/>
        <v>773</v>
      </c>
      <c r="DI103" s="1">
        <f t="shared" ca="1" si="120"/>
        <v>1.0394199272421217E-2</v>
      </c>
      <c r="DJ103" s="1">
        <f t="shared" ca="1" si="121"/>
        <v>15</v>
      </c>
      <c r="DL103" s="1">
        <f t="shared" ca="1" si="122"/>
        <v>0.11845884257083508</v>
      </c>
      <c r="DM103" s="1">
        <f t="shared" ca="1" si="123"/>
        <v>211</v>
      </c>
      <c r="DN103" s="1">
        <f t="shared" ca="1" si="124"/>
        <v>6</v>
      </c>
    </row>
    <row r="104" spans="2:118" x14ac:dyDescent="0.25">
      <c r="B104">
        <f t="shared" ca="1" si="63"/>
        <v>748</v>
      </c>
      <c r="C104">
        <f t="shared" ca="1" si="64"/>
        <v>9</v>
      </c>
      <c r="D104">
        <f t="shared" ca="1" si="65"/>
        <v>6.6809496760090153E-2</v>
      </c>
      <c r="F104" s="1">
        <f t="shared" ca="1" si="66"/>
        <v>49</v>
      </c>
      <c r="G104" s="1">
        <f t="shared" ca="1" si="67"/>
        <v>19</v>
      </c>
      <c r="H104" s="1">
        <f t="shared" ca="1" si="68"/>
        <v>11</v>
      </c>
      <c r="I104" s="1"/>
      <c r="J104" s="1">
        <f t="shared" ca="1" si="69"/>
        <v>17</v>
      </c>
      <c r="K104" s="1">
        <f t="shared" ca="1" si="70"/>
        <v>2.5999717599796952</v>
      </c>
      <c r="L104" s="1">
        <f t="shared" ca="1" si="71"/>
        <v>33</v>
      </c>
      <c r="M104" s="1"/>
      <c r="N104" s="1">
        <f t="shared" ca="1" si="72"/>
        <v>97</v>
      </c>
      <c r="O104" s="1">
        <f t="shared" ca="1" si="73"/>
        <v>15</v>
      </c>
      <c r="P104" s="1"/>
      <c r="Q104" s="1">
        <f t="shared" ca="1" si="74"/>
        <v>3.1034115590782658</v>
      </c>
      <c r="R104" s="1">
        <f t="shared" ca="1" si="75"/>
        <v>280</v>
      </c>
      <c r="S104" s="1"/>
      <c r="T104" s="1">
        <f t="shared" ca="1" si="76"/>
        <v>0.17292673785302104</v>
      </c>
      <c r="U104" s="1">
        <f t="shared" ca="1" si="77"/>
        <v>397</v>
      </c>
      <c r="V104" s="1">
        <f t="shared" ca="1" si="78"/>
        <v>23</v>
      </c>
      <c r="W104" s="1"/>
      <c r="X104" s="1">
        <f t="shared" ca="1" si="79"/>
        <v>4.0559376145675481</v>
      </c>
      <c r="Y104" s="1">
        <f t="shared" ca="1" si="80"/>
        <v>0.85096003420426403</v>
      </c>
      <c r="Z104" s="1">
        <f t="shared" ca="1" si="81"/>
        <v>1938</v>
      </c>
      <c r="AB104" s="1">
        <f t="shared" ca="1" si="82"/>
        <v>0.17930809279048343</v>
      </c>
      <c r="AC104" s="1">
        <f t="shared" ca="1" si="83"/>
        <v>612</v>
      </c>
      <c r="AD104" s="1">
        <f t="shared" ca="1" si="84"/>
        <v>5.3823522329827685E-3</v>
      </c>
      <c r="AE104" s="1"/>
      <c r="AF104" s="1">
        <f t="shared" ca="1" si="85"/>
        <v>0.1495152240196557</v>
      </c>
      <c r="AG104" s="1">
        <f t="shared" ca="1" si="86"/>
        <v>120</v>
      </c>
      <c r="AH104" s="1">
        <f t="shared" ca="1" si="87"/>
        <v>3.0811956603341464E-3</v>
      </c>
      <c r="AJ104" s="1">
        <f t="shared" ca="1" si="88"/>
        <v>0.81969159534238845</v>
      </c>
      <c r="AK104" s="1">
        <f t="shared" ca="1" si="89"/>
        <v>1.1134877588014076E-3</v>
      </c>
      <c r="AL104" s="1"/>
      <c r="AM104" s="1">
        <f t="shared" ca="1" si="90"/>
        <v>6.213769693802957E-2</v>
      </c>
      <c r="AN104" s="1">
        <f t="shared" ca="1" si="91"/>
        <v>35</v>
      </c>
      <c r="AO104" s="1">
        <f t="shared" ca="1" si="92"/>
        <v>11</v>
      </c>
      <c r="AQ104" s="1">
        <f t="shared" ca="1" si="93"/>
        <v>85</v>
      </c>
      <c r="AR104" s="1">
        <f t="shared" ca="1" si="94"/>
        <v>0</v>
      </c>
      <c r="AS104" s="1">
        <f t="shared" ca="1" si="95"/>
        <v>10</v>
      </c>
      <c r="AU104" s="1">
        <f t="shared" ca="1" si="96"/>
        <v>229</v>
      </c>
      <c r="AV104" s="1">
        <f t="shared" ca="1" si="97"/>
        <v>3</v>
      </c>
      <c r="AW104" s="1">
        <f t="shared" ca="1" si="98"/>
        <v>9.778295090580362E-2</v>
      </c>
      <c r="AY104" s="1">
        <f t="shared" ca="1" si="99"/>
        <v>1.5459828291488666</v>
      </c>
      <c r="AZ104" s="1">
        <f t="shared" ca="1" si="100"/>
        <v>180</v>
      </c>
      <c r="BA104" s="1">
        <f t="shared" ca="1" si="101"/>
        <v>5.0679544741106131E-3</v>
      </c>
      <c r="BV104" s="1">
        <f t="shared" ca="1" si="102"/>
        <v>0.85320139614784662</v>
      </c>
      <c r="BW104" s="1">
        <f t="shared" ca="1" si="103"/>
        <v>990</v>
      </c>
      <c r="BX104" s="1">
        <f t="shared" ca="1" si="104"/>
        <v>9.8489390692378265E-3</v>
      </c>
      <c r="BY104" s="1">
        <f t="shared" ca="1" si="105"/>
        <v>7.1929189268065241E-2</v>
      </c>
      <c r="BZ104" s="1">
        <f t="shared" ca="1" si="106"/>
        <v>0.70757209806366395</v>
      </c>
      <c r="CB104" s="1">
        <f t="shared" ca="1" si="107"/>
        <v>248</v>
      </c>
      <c r="CC104" s="1">
        <f t="shared" ca="1" si="108"/>
        <v>14</v>
      </c>
      <c r="CD104" s="1">
        <f t="shared" ca="1" si="109"/>
        <v>7.8313288948565041E-2</v>
      </c>
      <c r="CE104" s="1">
        <f t="shared" ca="1" si="125"/>
        <v>0.69946029071418692</v>
      </c>
      <c r="CF104" s="1">
        <f t="shared" ca="1" si="125"/>
        <v>0.73407248452586793</v>
      </c>
      <c r="CH104" s="3">
        <f t="shared" ca="1" si="111"/>
        <v>0.53300014960712649</v>
      </c>
      <c r="CI104" s="3">
        <f t="shared" ca="1" si="112"/>
        <v>0.84966003385598188</v>
      </c>
      <c r="CJ104" s="3">
        <f t="shared" ca="1" si="113"/>
        <v>379</v>
      </c>
      <c r="CK104" s="3">
        <f t="shared" ca="1" si="114"/>
        <v>3.117854731939635E-3</v>
      </c>
      <c r="CL104" s="3">
        <f t="shared" ca="1" si="115"/>
        <v>0</v>
      </c>
      <c r="CM104" s="3"/>
      <c r="CN104" s="1">
        <f t="shared" ca="1" si="116"/>
        <v>6.1349079061352167</v>
      </c>
      <c r="CO104" s="1">
        <f t="shared" ca="1" si="117"/>
        <v>0.13152677531527676</v>
      </c>
      <c r="CP104" s="1">
        <f t="shared" ca="1" si="118"/>
        <v>1</v>
      </c>
      <c r="DH104" s="1">
        <f t="shared" ca="1" si="119"/>
        <v>30</v>
      </c>
      <c r="DI104" s="1">
        <f t="shared" ca="1" si="120"/>
        <v>0.76226519641460999</v>
      </c>
      <c r="DJ104" s="1">
        <f t="shared" ca="1" si="121"/>
        <v>6</v>
      </c>
      <c r="DL104" s="1">
        <f t="shared" ca="1" si="122"/>
        <v>6.4565805730540576E-2</v>
      </c>
      <c r="DM104" s="1">
        <f t="shared" ca="1" si="123"/>
        <v>283</v>
      </c>
      <c r="DN104" s="1">
        <f t="shared" ca="1" si="124"/>
        <v>1</v>
      </c>
    </row>
    <row r="105" spans="2:118" x14ac:dyDescent="0.25">
      <c r="B105">
        <f t="shared" ca="1" si="63"/>
        <v>192</v>
      </c>
      <c r="C105">
        <f t="shared" ca="1" si="64"/>
        <v>25</v>
      </c>
      <c r="D105">
        <f t="shared" ca="1" si="65"/>
        <v>4.8852597946175531E-2</v>
      </c>
      <c r="F105" s="1">
        <f t="shared" ca="1" si="66"/>
        <v>23</v>
      </c>
      <c r="G105" s="1">
        <f t="shared" ca="1" si="67"/>
        <v>25</v>
      </c>
      <c r="H105" s="1">
        <f t="shared" ca="1" si="68"/>
        <v>3</v>
      </c>
      <c r="I105" s="1"/>
      <c r="J105" s="1">
        <f t="shared" ca="1" si="69"/>
        <v>35</v>
      </c>
      <c r="K105" s="1">
        <f t="shared" ca="1" si="70"/>
        <v>1.8078195185640324</v>
      </c>
      <c r="L105" s="1">
        <f t="shared" ca="1" si="71"/>
        <v>31</v>
      </c>
      <c r="M105" s="1"/>
      <c r="N105" s="1">
        <f t="shared" ca="1" si="72"/>
        <v>514</v>
      </c>
      <c r="O105" s="1">
        <f t="shared" ca="1" si="73"/>
        <v>36</v>
      </c>
      <c r="P105" s="1"/>
      <c r="Q105" s="1">
        <f t="shared" ca="1" si="74"/>
        <v>1.6621496625884657</v>
      </c>
      <c r="R105" s="1">
        <f t="shared" ca="1" si="75"/>
        <v>1077</v>
      </c>
      <c r="S105" s="1"/>
      <c r="T105" s="1">
        <f t="shared" ca="1" si="76"/>
        <v>1.1832520166287839E-2</v>
      </c>
      <c r="U105" s="1">
        <f t="shared" ca="1" si="77"/>
        <v>375</v>
      </c>
      <c r="V105" s="1">
        <f t="shared" ca="1" si="78"/>
        <v>6</v>
      </c>
      <c r="W105" s="1"/>
      <c r="X105" s="1">
        <f t="shared" ca="1" si="79"/>
        <v>1.6145035481871801</v>
      </c>
      <c r="Y105" s="1">
        <f t="shared" ca="1" si="80"/>
        <v>0.70811099749798689</v>
      </c>
      <c r="Z105" s="1">
        <f t="shared" ca="1" si="81"/>
        <v>1964</v>
      </c>
      <c r="AB105" s="1">
        <f t="shared" ca="1" si="82"/>
        <v>0.47105345035525104</v>
      </c>
      <c r="AC105" s="1">
        <f t="shared" ca="1" si="83"/>
        <v>511</v>
      </c>
      <c r="AD105" s="1">
        <f t="shared" ca="1" si="84"/>
        <v>9.6060773348656467E-3</v>
      </c>
      <c r="AE105" s="1"/>
      <c r="AF105" s="1">
        <f t="shared" ca="1" si="85"/>
        <v>0.79627599110454239</v>
      </c>
      <c r="AG105" s="1">
        <f t="shared" ca="1" si="86"/>
        <v>411</v>
      </c>
      <c r="AH105" s="1">
        <f t="shared" ca="1" si="87"/>
        <v>7.9020510944105421E-3</v>
      </c>
      <c r="AJ105" s="1">
        <f t="shared" ca="1" si="88"/>
        <v>0.30807145171453676</v>
      </c>
      <c r="AK105" s="1">
        <f t="shared" ca="1" si="89"/>
        <v>8.6215897147223636E-3</v>
      </c>
      <c r="AL105" s="1"/>
      <c r="AM105" s="1">
        <f t="shared" ca="1" si="90"/>
        <v>0.19097032023966903</v>
      </c>
      <c r="AN105" s="1">
        <f t="shared" ca="1" si="91"/>
        <v>51</v>
      </c>
      <c r="AO105" s="1">
        <f t="shared" ca="1" si="92"/>
        <v>11</v>
      </c>
      <c r="AQ105" s="1">
        <f t="shared" ca="1" si="93"/>
        <v>61</v>
      </c>
      <c r="AR105" s="1">
        <f t="shared" ca="1" si="94"/>
        <v>7</v>
      </c>
      <c r="AS105" s="1">
        <f t="shared" ca="1" si="95"/>
        <v>40</v>
      </c>
      <c r="AU105" s="1">
        <f t="shared" ca="1" si="96"/>
        <v>287</v>
      </c>
      <c r="AV105" s="1">
        <f t="shared" ca="1" si="97"/>
        <v>4</v>
      </c>
      <c r="AW105" s="1">
        <f t="shared" ca="1" si="98"/>
        <v>3.5679879330764989E-2</v>
      </c>
      <c r="AY105" s="1">
        <f t="shared" ca="1" si="99"/>
        <v>1.8935454208189868</v>
      </c>
      <c r="AZ105" s="1">
        <f t="shared" ca="1" si="100"/>
        <v>459</v>
      </c>
      <c r="BA105" s="1">
        <f t="shared" ca="1" si="101"/>
        <v>9.3827516659461766E-3</v>
      </c>
      <c r="BV105" s="1">
        <f t="shared" ca="1" si="102"/>
        <v>0.15765096021137714</v>
      </c>
      <c r="BW105" s="1">
        <f t="shared" ca="1" si="103"/>
        <v>258</v>
      </c>
      <c r="BX105" s="1">
        <f t="shared" ca="1" si="104"/>
        <v>4.0160170028415883E-3</v>
      </c>
      <c r="BY105" s="1">
        <f t="shared" ca="1" si="105"/>
        <v>4.2168635818100361E-2</v>
      </c>
      <c r="BZ105" s="1">
        <f t="shared" ca="1" si="106"/>
        <v>0.155463999733646</v>
      </c>
      <c r="CB105" s="1">
        <f t="shared" ca="1" si="107"/>
        <v>491</v>
      </c>
      <c r="CC105" s="1">
        <f t="shared" ca="1" si="108"/>
        <v>15</v>
      </c>
      <c r="CD105" s="1">
        <f t="shared" ca="1" si="109"/>
        <v>0.12620933804871556</v>
      </c>
      <c r="CE105" s="1">
        <f t="shared" ca="1" si="125"/>
        <v>0.96101399371644591</v>
      </c>
      <c r="CF105" s="1">
        <f t="shared" ca="1" si="125"/>
        <v>0.95013800655497049</v>
      </c>
      <c r="CH105" s="3">
        <f t="shared" ca="1" si="111"/>
        <v>0.68208815523871513</v>
      </c>
      <c r="CI105" s="3">
        <f t="shared" ca="1" si="112"/>
        <v>0.19723225635616382</v>
      </c>
      <c r="CJ105" s="3">
        <f t="shared" ca="1" si="113"/>
        <v>754</v>
      </c>
      <c r="CK105" s="3">
        <f t="shared" ca="1" si="114"/>
        <v>4.4553972159889297E-3</v>
      </c>
      <c r="CL105" s="3">
        <f t="shared" ca="1" si="115"/>
        <v>0</v>
      </c>
      <c r="CM105" s="3"/>
      <c r="CN105" s="1">
        <f t="shared" ca="1" si="116"/>
        <v>7.7276536448864706</v>
      </c>
      <c r="CO105" s="1">
        <f t="shared" ca="1" si="117"/>
        <v>0.38488511828528077</v>
      </c>
      <c r="CP105" s="1">
        <f t="shared" ca="1" si="118"/>
        <v>1</v>
      </c>
      <c r="DH105" s="1">
        <f t="shared" ca="1" si="119"/>
        <v>780</v>
      </c>
      <c r="DI105" s="1">
        <f t="shared" ca="1" si="120"/>
        <v>6.0670187632393777E-2</v>
      </c>
      <c r="DJ105" s="1">
        <f t="shared" ca="1" si="121"/>
        <v>28</v>
      </c>
      <c r="DL105" s="1">
        <f t="shared" ca="1" si="122"/>
        <v>0.16116124392393005</v>
      </c>
      <c r="DM105" s="1">
        <f t="shared" ca="1" si="123"/>
        <v>136</v>
      </c>
      <c r="DN105" s="1">
        <f t="shared" ca="1" si="124"/>
        <v>4</v>
      </c>
    </row>
    <row r="106" spans="2:118" x14ac:dyDescent="0.25">
      <c r="B106">
        <f t="shared" ca="1" si="63"/>
        <v>482</v>
      </c>
      <c r="C106">
        <f t="shared" ca="1" si="64"/>
        <v>38</v>
      </c>
      <c r="D106">
        <f t="shared" ca="1" si="65"/>
        <v>0.21132580930138925</v>
      </c>
      <c r="F106" s="1">
        <f t="shared" ca="1" si="66"/>
        <v>3</v>
      </c>
      <c r="G106" s="1">
        <f t="shared" ca="1" si="67"/>
        <v>28</v>
      </c>
      <c r="H106" s="1">
        <f t="shared" ca="1" si="68"/>
        <v>2</v>
      </c>
      <c r="I106" s="1"/>
      <c r="J106" s="1">
        <f t="shared" ca="1" si="69"/>
        <v>27</v>
      </c>
      <c r="K106" s="1">
        <f t="shared" ca="1" si="70"/>
        <v>1.0442342983546018</v>
      </c>
      <c r="L106" s="1">
        <f t="shared" ca="1" si="71"/>
        <v>13</v>
      </c>
      <c r="M106" s="1"/>
      <c r="N106" s="1">
        <f t="shared" ca="1" si="72"/>
        <v>606</v>
      </c>
      <c r="O106" s="1">
        <f t="shared" ca="1" si="73"/>
        <v>46</v>
      </c>
      <c r="P106" s="1"/>
      <c r="Q106" s="1">
        <f t="shared" ca="1" si="74"/>
        <v>3.1425146204083272</v>
      </c>
      <c r="R106" s="1">
        <f t="shared" ca="1" si="75"/>
        <v>692</v>
      </c>
      <c r="S106" s="1"/>
      <c r="T106" s="1">
        <f t="shared" ca="1" si="76"/>
        <v>6.0686444423060537E-2</v>
      </c>
      <c r="U106" s="1">
        <f t="shared" ca="1" si="77"/>
        <v>250</v>
      </c>
      <c r="V106" s="1">
        <f t="shared" ca="1" si="78"/>
        <v>46</v>
      </c>
      <c r="W106" s="1"/>
      <c r="X106" s="1">
        <f t="shared" ca="1" si="79"/>
        <v>9.1417159176824772</v>
      </c>
      <c r="Y106" s="1">
        <f t="shared" ca="1" si="80"/>
        <v>0.9886584081007268</v>
      </c>
      <c r="Z106" s="1">
        <f t="shared" ca="1" si="81"/>
        <v>1091</v>
      </c>
      <c r="AB106" s="1">
        <f t="shared" ca="1" si="82"/>
        <v>0.564529202844675</v>
      </c>
      <c r="AC106" s="1">
        <f t="shared" ca="1" si="83"/>
        <v>444</v>
      </c>
      <c r="AD106" s="1">
        <f t="shared" ca="1" si="84"/>
        <v>5.8918470861501569E-3</v>
      </c>
      <c r="AE106" s="1"/>
      <c r="AF106" s="1">
        <f t="shared" ca="1" si="85"/>
        <v>0.36190241157905978</v>
      </c>
      <c r="AG106" s="1">
        <f t="shared" ca="1" si="86"/>
        <v>803</v>
      </c>
      <c r="AH106" s="1">
        <f t="shared" ca="1" si="87"/>
        <v>8.8028145956820097E-3</v>
      </c>
      <c r="AJ106" s="1">
        <f t="shared" ca="1" si="88"/>
        <v>0.54236464235092208</v>
      </c>
      <c r="AK106" s="1">
        <f t="shared" ca="1" si="89"/>
        <v>3.1123628461774972E-4</v>
      </c>
      <c r="AL106" s="1"/>
      <c r="AM106" s="1">
        <f t="shared" ca="1" si="90"/>
        <v>0.10269279724134113</v>
      </c>
      <c r="AN106" s="1">
        <f t="shared" ca="1" si="91"/>
        <v>16</v>
      </c>
      <c r="AO106" s="1">
        <f t="shared" ca="1" si="92"/>
        <v>13</v>
      </c>
      <c r="AQ106" s="1">
        <f t="shared" ca="1" si="93"/>
        <v>149</v>
      </c>
      <c r="AR106" s="1">
        <f t="shared" ca="1" si="94"/>
        <v>1</v>
      </c>
      <c r="AS106" s="1">
        <f t="shared" ca="1" si="95"/>
        <v>27</v>
      </c>
      <c r="AU106" s="1">
        <f t="shared" ca="1" si="96"/>
        <v>216</v>
      </c>
      <c r="AV106" s="1">
        <f t="shared" ca="1" si="97"/>
        <v>6</v>
      </c>
      <c r="AW106" s="1">
        <f t="shared" ca="1" si="98"/>
        <v>0.17711114504885095</v>
      </c>
      <c r="AY106" s="1">
        <f t="shared" ca="1" si="99"/>
        <v>1.910544465986554</v>
      </c>
      <c r="AZ106" s="1">
        <f t="shared" ca="1" si="100"/>
        <v>305</v>
      </c>
      <c r="BA106" s="1">
        <f t="shared" ca="1" si="101"/>
        <v>7.675675560685929E-3</v>
      </c>
      <c r="BV106" s="1">
        <f t="shared" ca="1" si="102"/>
        <v>0.66495350571690759</v>
      </c>
      <c r="BW106" s="1">
        <f t="shared" ca="1" si="103"/>
        <v>901</v>
      </c>
      <c r="BX106" s="1">
        <f t="shared" ca="1" si="104"/>
        <v>8.5932567133300206E-3</v>
      </c>
      <c r="BY106" s="1">
        <f t="shared" ca="1" si="105"/>
        <v>9.3415959109048999E-2</v>
      </c>
      <c r="BZ106" s="1">
        <f t="shared" ca="1" si="106"/>
        <v>0.89856344561071699</v>
      </c>
      <c r="CB106" s="1">
        <f t="shared" ca="1" si="107"/>
        <v>310</v>
      </c>
      <c r="CC106" s="1">
        <f t="shared" ca="1" si="108"/>
        <v>10</v>
      </c>
      <c r="CD106" s="1">
        <f t="shared" ca="1" si="109"/>
        <v>6.5041822727676085E-2</v>
      </c>
      <c r="CE106" s="1">
        <f t="shared" ca="1" si="125"/>
        <v>0.66815412404625096</v>
      </c>
      <c r="CF106" s="1">
        <f t="shared" ca="1" si="125"/>
        <v>0.56018351277872769</v>
      </c>
      <c r="CH106" s="3">
        <f t="shared" ca="1" si="111"/>
        <v>0.17473051991581257</v>
      </c>
      <c r="CI106" s="3">
        <f t="shared" ca="1" si="112"/>
        <v>0.58687300856863167</v>
      </c>
      <c r="CJ106" s="3">
        <f t="shared" ca="1" si="113"/>
        <v>1211</v>
      </c>
      <c r="CK106" s="3">
        <f t="shared" ca="1" si="114"/>
        <v>8.643538311101517E-3</v>
      </c>
      <c r="CL106" s="3">
        <f t="shared" ca="1" si="115"/>
        <v>1</v>
      </c>
      <c r="CM106" s="3"/>
      <c r="CN106" s="1">
        <f t="shared" ca="1" si="116"/>
        <v>4.8218361840815325</v>
      </c>
      <c r="CO106" s="1">
        <f t="shared" ca="1" si="117"/>
        <v>7.5958220567533125E-2</v>
      </c>
      <c r="CP106" s="1">
        <f t="shared" ca="1" si="118"/>
        <v>5</v>
      </c>
      <c r="DH106" s="1">
        <f t="shared" ca="1" si="119"/>
        <v>274</v>
      </c>
      <c r="DI106" s="1">
        <f t="shared" ca="1" si="120"/>
        <v>0.45771715020356118</v>
      </c>
      <c r="DJ106" s="1">
        <f t="shared" ca="1" si="121"/>
        <v>9</v>
      </c>
      <c r="DL106" s="1">
        <f t="shared" ca="1" si="122"/>
        <v>0.182422804512164</v>
      </c>
      <c r="DM106" s="1">
        <f t="shared" ca="1" si="123"/>
        <v>80</v>
      </c>
      <c r="DN106" s="1">
        <f t="shared" ca="1" si="124"/>
        <v>5</v>
      </c>
    </row>
    <row r="107" spans="2:118" x14ac:dyDescent="0.25">
      <c r="B107">
        <f t="shared" ca="1" si="63"/>
        <v>457</v>
      </c>
      <c r="C107">
        <f t="shared" ca="1" si="64"/>
        <v>35</v>
      </c>
      <c r="D107">
        <f t="shared" ca="1" si="65"/>
        <v>5.9683268579115017E-2</v>
      </c>
      <c r="F107" s="1">
        <f t="shared" ca="1" si="66"/>
        <v>6</v>
      </c>
      <c r="G107" s="1">
        <f t="shared" ca="1" si="67"/>
        <v>3</v>
      </c>
      <c r="H107" s="1">
        <f t="shared" ca="1" si="68"/>
        <v>6</v>
      </c>
      <c r="I107" s="1"/>
      <c r="J107" s="1">
        <f t="shared" ca="1" si="69"/>
        <v>9</v>
      </c>
      <c r="K107" s="1">
        <f t="shared" ca="1" si="70"/>
        <v>2.2885129706987293</v>
      </c>
      <c r="L107" s="1">
        <f t="shared" ca="1" si="71"/>
        <v>27</v>
      </c>
      <c r="M107" s="1"/>
      <c r="N107" s="1">
        <f t="shared" ca="1" si="72"/>
        <v>359</v>
      </c>
      <c r="O107" s="1">
        <f t="shared" ca="1" si="73"/>
        <v>38</v>
      </c>
      <c r="P107" s="1"/>
      <c r="Q107" s="1">
        <f t="shared" ca="1" si="74"/>
        <v>2.7733320622859781</v>
      </c>
      <c r="R107" s="1">
        <f t="shared" ca="1" si="75"/>
        <v>1110</v>
      </c>
      <c r="S107" s="1"/>
      <c r="T107" s="1">
        <f t="shared" ca="1" si="76"/>
        <v>0.19762394056119009</v>
      </c>
      <c r="U107" s="1">
        <f t="shared" ca="1" si="77"/>
        <v>384</v>
      </c>
      <c r="V107" s="1">
        <f t="shared" ca="1" si="78"/>
        <v>27</v>
      </c>
      <c r="W107" s="1"/>
      <c r="X107" s="1">
        <f t="shared" ca="1" si="79"/>
        <v>0.6787626219337175</v>
      </c>
      <c r="Y107" s="1">
        <f t="shared" ca="1" si="80"/>
        <v>0.48265435386017042</v>
      </c>
      <c r="Z107" s="1">
        <f t="shared" ca="1" si="81"/>
        <v>1508</v>
      </c>
      <c r="AB107" s="1">
        <f t="shared" ca="1" si="82"/>
        <v>0.14632212611351714</v>
      </c>
      <c r="AC107" s="1">
        <f t="shared" ca="1" si="83"/>
        <v>111</v>
      </c>
      <c r="AD107" s="1">
        <f t="shared" ca="1" si="84"/>
        <v>2.4252538544228828E-3</v>
      </c>
      <c r="AE107" s="1"/>
      <c r="AF107" s="1">
        <f t="shared" ca="1" si="85"/>
        <v>0.49579487482018836</v>
      </c>
      <c r="AG107" s="1">
        <f t="shared" ca="1" si="86"/>
        <v>678</v>
      </c>
      <c r="AH107" s="1">
        <f t="shared" ca="1" si="87"/>
        <v>3.1452967117946359E-4</v>
      </c>
      <c r="AJ107" s="1">
        <f t="shared" ca="1" si="88"/>
        <v>0.76545154374042756</v>
      </c>
      <c r="AK107" s="1">
        <f t="shared" ca="1" si="89"/>
        <v>9.5742217718129529E-3</v>
      </c>
      <c r="AL107" s="1"/>
      <c r="AM107" s="1">
        <f t="shared" ca="1" si="90"/>
        <v>4.287400883724924E-2</v>
      </c>
      <c r="AN107" s="1">
        <f t="shared" ca="1" si="91"/>
        <v>68</v>
      </c>
      <c r="AO107" s="1">
        <f t="shared" ca="1" si="92"/>
        <v>3</v>
      </c>
      <c r="AQ107" s="1">
        <f t="shared" ca="1" si="93"/>
        <v>166</v>
      </c>
      <c r="AR107" s="1">
        <f t="shared" ca="1" si="94"/>
        <v>10</v>
      </c>
      <c r="AS107" s="1">
        <f t="shared" ca="1" si="95"/>
        <v>62</v>
      </c>
      <c r="AU107" s="1">
        <f t="shared" ca="1" si="96"/>
        <v>71</v>
      </c>
      <c r="AV107" s="1">
        <f t="shared" ca="1" si="97"/>
        <v>8</v>
      </c>
      <c r="AW107" s="1">
        <f t="shared" ca="1" si="98"/>
        <v>1.0677512781018843E-2</v>
      </c>
      <c r="AY107" s="1">
        <f t="shared" ca="1" si="99"/>
        <v>1.2342994699483882</v>
      </c>
      <c r="AZ107" s="1">
        <f t="shared" ca="1" si="100"/>
        <v>480</v>
      </c>
      <c r="BA107" s="1">
        <f t="shared" ca="1" si="101"/>
        <v>3.9684342762406821E-3</v>
      </c>
      <c r="BV107" s="1">
        <f t="shared" ca="1" si="102"/>
        <v>7.563047811342713E-2</v>
      </c>
      <c r="BW107" s="1">
        <f t="shared" ca="1" si="103"/>
        <v>154</v>
      </c>
      <c r="BX107" s="1">
        <f t="shared" ca="1" si="104"/>
        <v>2.342286393881266E-3</v>
      </c>
      <c r="BY107" s="1">
        <f t="shared" ca="1" si="105"/>
        <v>2.3538239040568013E-2</v>
      </c>
      <c r="BZ107" s="1">
        <f t="shared" ca="1" si="106"/>
        <v>0.4172414476699875</v>
      </c>
      <c r="CB107" s="1">
        <f t="shared" ca="1" si="107"/>
        <v>59</v>
      </c>
      <c r="CC107" s="1">
        <f t="shared" ca="1" si="108"/>
        <v>9</v>
      </c>
      <c r="CD107" s="1">
        <f t="shared" ca="1" si="109"/>
        <v>0.22541139431680063</v>
      </c>
      <c r="CE107" s="1">
        <f t="shared" ca="1" si="125"/>
        <v>0.97332045209533458</v>
      </c>
      <c r="CF107" s="1">
        <f t="shared" ca="1" si="125"/>
        <v>0.72549966205485905</v>
      </c>
      <c r="CH107" s="3">
        <f t="shared" ca="1" si="111"/>
        <v>0.94964050252732779</v>
      </c>
      <c r="CI107" s="3">
        <f t="shared" ca="1" si="112"/>
        <v>0.19870324906436423</v>
      </c>
      <c r="CJ107" s="3">
        <f t="shared" ca="1" si="113"/>
        <v>1583</v>
      </c>
      <c r="CK107" s="3">
        <f t="shared" ca="1" si="114"/>
        <v>5.103630801460441E-3</v>
      </c>
      <c r="CL107" s="3">
        <f t="shared" ca="1" si="115"/>
        <v>1</v>
      </c>
      <c r="CM107" s="3"/>
      <c r="CN107" s="1">
        <f t="shared" ca="1" si="116"/>
        <v>12.445202426423208</v>
      </c>
      <c r="CO107" s="1">
        <f t="shared" ca="1" si="117"/>
        <v>0.20433180159075578</v>
      </c>
      <c r="CP107" s="1">
        <f t="shared" ca="1" si="118"/>
        <v>1</v>
      </c>
      <c r="DH107" s="1">
        <f t="shared" ca="1" si="119"/>
        <v>502</v>
      </c>
      <c r="DI107" s="1">
        <f t="shared" ca="1" si="120"/>
        <v>0.69433888332121452</v>
      </c>
      <c r="DJ107" s="1">
        <f t="shared" ca="1" si="121"/>
        <v>10</v>
      </c>
      <c r="DL107" s="1">
        <f t="shared" ca="1" si="122"/>
        <v>0.18271304727078125</v>
      </c>
      <c r="DM107" s="1">
        <f t="shared" ca="1" si="123"/>
        <v>212</v>
      </c>
      <c r="DN107" s="1">
        <f t="shared" ca="1" si="124"/>
        <v>7</v>
      </c>
    </row>
    <row r="108" spans="2:118" x14ac:dyDescent="0.25">
      <c r="B108">
        <f t="shared" ca="1" si="63"/>
        <v>879</v>
      </c>
      <c r="C108">
        <f t="shared" ca="1" si="64"/>
        <v>39</v>
      </c>
      <c r="D108">
        <f t="shared" ca="1" si="65"/>
        <v>0.10727442302129057</v>
      </c>
      <c r="F108" s="1">
        <f t="shared" ca="1" si="66"/>
        <v>44</v>
      </c>
      <c r="G108" s="1">
        <f t="shared" ca="1" si="67"/>
        <v>26</v>
      </c>
      <c r="H108" s="1">
        <f t="shared" ca="1" si="68"/>
        <v>13</v>
      </c>
      <c r="I108" s="1"/>
      <c r="J108" s="1">
        <f t="shared" ca="1" si="69"/>
        <v>19</v>
      </c>
      <c r="K108" s="1">
        <f t="shared" ca="1" si="70"/>
        <v>2.8106765370982036</v>
      </c>
      <c r="L108" s="1">
        <f t="shared" ca="1" si="71"/>
        <v>23</v>
      </c>
      <c r="M108" s="1"/>
      <c r="N108" s="1">
        <f t="shared" ca="1" si="72"/>
        <v>793</v>
      </c>
      <c r="O108" s="1">
        <f t="shared" ca="1" si="73"/>
        <v>14</v>
      </c>
      <c r="P108" s="1"/>
      <c r="Q108" s="1">
        <f t="shared" ca="1" si="74"/>
        <v>0.1027813892680722</v>
      </c>
      <c r="R108" s="1">
        <f t="shared" ca="1" si="75"/>
        <v>861</v>
      </c>
      <c r="S108" s="1"/>
      <c r="T108" s="1">
        <f t="shared" ca="1" si="76"/>
        <v>3.0965323193352143E-2</v>
      </c>
      <c r="U108" s="1">
        <f t="shared" ca="1" si="77"/>
        <v>119</v>
      </c>
      <c r="V108" s="1">
        <f t="shared" ca="1" si="78"/>
        <v>25</v>
      </c>
      <c r="W108" s="1"/>
      <c r="X108" s="1">
        <f t="shared" ca="1" si="79"/>
        <v>1.9862873735626665</v>
      </c>
      <c r="Y108" s="1">
        <f t="shared" ca="1" si="80"/>
        <v>0.86469818564836642</v>
      </c>
      <c r="Z108" s="1">
        <f t="shared" ca="1" si="81"/>
        <v>1708</v>
      </c>
      <c r="AB108" s="1">
        <f t="shared" ca="1" si="82"/>
        <v>0.51563170111469514</v>
      </c>
      <c r="AC108" s="1">
        <f t="shared" ca="1" si="83"/>
        <v>981</v>
      </c>
      <c r="AD108" s="1">
        <f t="shared" ca="1" si="84"/>
        <v>6.7277980969382457E-3</v>
      </c>
      <c r="AE108" s="1"/>
      <c r="AF108" s="1">
        <f t="shared" ca="1" si="85"/>
        <v>0.10081446516644617</v>
      </c>
      <c r="AG108" s="1">
        <f t="shared" ca="1" si="86"/>
        <v>845</v>
      </c>
      <c r="AH108" s="1">
        <f t="shared" ca="1" si="87"/>
        <v>8.239987668761023E-3</v>
      </c>
      <c r="AJ108" s="1">
        <f t="shared" ca="1" si="88"/>
        <v>0.68399813157167466</v>
      </c>
      <c r="AK108" s="1">
        <f t="shared" ca="1" si="89"/>
        <v>8.2278414005093146E-3</v>
      </c>
      <c r="AL108" s="1"/>
      <c r="AM108" s="1">
        <f t="shared" ca="1" si="90"/>
        <v>3.1539455787801783E-2</v>
      </c>
      <c r="AN108" s="1">
        <f t="shared" ca="1" si="91"/>
        <v>59</v>
      </c>
      <c r="AO108" s="1">
        <f t="shared" ca="1" si="92"/>
        <v>12</v>
      </c>
      <c r="AQ108" s="1">
        <f t="shared" ca="1" si="93"/>
        <v>137</v>
      </c>
      <c r="AR108" s="1">
        <f t="shared" ca="1" si="94"/>
        <v>9</v>
      </c>
      <c r="AS108" s="1">
        <f t="shared" ca="1" si="95"/>
        <v>29</v>
      </c>
      <c r="AU108" s="1">
        <f t="shared" ca="1" si="96"/>
        <v>132</v>
      </c>
      <c r="AV108" s="1">
        <f t="shared" ca="1" si="97"/>
        <v>5</v>
      </c>
      <c r="AW108" s="1">
        <f t="shared" ca="1" si="98"/>
        <v>3.102876172553494E-2</v>
      </c>
      <c r="AY108" s="1">
        <f t="shared" ca="1" si="99"/>
        <v>1.9104834427340018</v>
      </c>
      <c r="AZ108" s="1">
        <f t="shared" ca="1" si="100"/>
        <v>288</v>
      </c>
      <c r="BA108" s="1">
        <f t="shared" ca="1" si="101"/>
        <v>9.4506843651227124E-3</v>
      </c>
      <c r="BV108" s="1">
        <f t="shared" ca="1" si="102"/>
        <v>0.17805463610225586</v>
      </c>
      <c r="BW108" s="1">
        <f t="shared" ca="1" si="103"/>
        <v>954</v>
      </c>
      <c r="BX108" s="1">
        <f t="shared" ca="1" si="104"/>
        <v>3.0799745690697944E-3</v>
      </c>
      <c r="BY108" s="1">
        <f t="shared" ca="1" si="105"/>
        <v>9.3256956309440239E-2</v>
      </c>
      <c r="BZ108" s="1">
        <f t="shared" ca="1" si="106"/>
        <v>0.84646966021396519</v>
      </c>
      <c r="CB108" s="1">
        <f t="shared" ca="1" si="107"/>
        <v>267</v>
      </c>
      <c r="CC108" s="1">
        <f t="shared" ca="1" si="108"/>
        <v>14</v>
      </c>
      <c r="CD108" s="1">
        <f t="shared" ca="1" si="109"/>
        <v>0.27332596855241104</v>
      </c>
      <c r="CE108" s="1">
        <f t="shared" ca="1" si="125"/>
        <v>0.88864570828953471</v>
      </c>
      <c r="CF108" s="1">
        <f t="shared" ca="1" si="125"/>
        <v>0.7104996869021476</v>
      </c>
      <c r="CH108" s="3">
        <f t="shared" ca="1" si="111"/>
        <v>0.78987342280798079</v>
      </c>
      <c r="CI108" s="3">
        <f t="shared" ca="1" si="112"/>
        <v>0.69728035491616491</v>
      </c>
      <c r="CJ108" s="3">
        <f t="shared" ca="1" si="113"/>
        <v>866</v>
      </c>
      <c r="CK108" s="3">
        <f t="shared" ca="1" si="114"/>
        <v>2.0253941216240041E-3</v>
      </c>
      <c r="CL108" s="3">
        <f t="shared" ca="1" si="115"/>
        <v>1</v>
      </c>
      <c r="CM108" s="3"/>
      <c r="CN108" s="1">
        <f t="shared" ca="1" si="116"/>
        <v>19.323742448892165</v>
      </c>
      <c r="CO108" s="1">
        <f t="shared" ca="1" si="117"/>
        <v>0.4782674296591698</v>
      </c>
      <c r="CP108" s="1">
        <f t="shared" ca="1" si="118"/>
        <v>4</v>
      </c>
      <c r="DH108" s="1">
        <f t="shared" ca="1" si="119"/>
        <v>704</v>
      </c>
      <c r="DI108" s="1">
        <f t="shared" ca="1" si="120"/>
        <v>5.7353995683200647E-2</v>
      </c>
      <c r="DJ108" s="1">
        <f t="shared" ca="1" si="121"/>
        <v>13</v>
      </c>
      <c r="DL108" s="1">
        <f t="shared" ca="1" si="122"/>
        <v>1.3699520018439298E-2</v>
      </c>
      <c r="DM108" s="1">
        <f t="shared" ca="1" si="123"/>
        <v>276</v>
      </c>
      <c r="DN108" s="1">
        <f t="shared" ca="1" si="124"/>
        <v>7</v>
      </c>
    </row>
    <row r="109" spans="2:118" x14ac:dyDescent="0.25">
      <c r="B109">
        <f t="shared" ca="1" si="63"/>
        <v>557</v>
      </c>
      <c r="C109">
        <f t="shared" ca="1" si="64"/>
        <v>15</v>
      </c>
      <c r="D109">
        <f t="shared" ca="1" si="65"/>
        <v>3.7707387459982873E-2</v>
      </c>
      <c r="F109" s="1">
        <f t="shared" ca="1" si="66"/>
        <v>15</v>
      </c>
      <c r="G109" s="1">
        <f t="shared" ca="1" si="67"/>
        <v>16</v>
      </c>
      <c r="H109" s="1">
        <f t="shared" ca="1" si="68"/>
        <v>14</v>
      </c>
      <c r="I109" s="1"/>
      <c r="J109" s="1">
        <f t="shared" ca="1" si="69"/>
        <v>30</v>
      </c>
      <c r="K109" s="1">
        <f t="shared" ca="1" si="70"/>
        <v>1.8465162378864071</v>
      </c>
      <c r="L109" s="1">
        <f t="shared" ca="1" si="71"/>
        <v>29</v>
      </c>
      <c r="M109" s="1"/>
      <c r="N109" s="1">
        <f t="shared" ca="1" si="72"/>
        <v>224</v>
      </c>
      <c r="O109" s="1">
        <f t="shared" ca="1" si="73"/>
        <v>26</v>
      </c>
      <c r="P109" s="1"/>
      <c r="Q109" s="1">
        <f t="shared" ca="1" si="74"/>
        <v>3.4198292158047812</v>
      </c>
      <c r="R109" s="1">
        <f t="shared" ca="1" si="75"/>
        <v>906</v>
      </c>
      <c r="S109" s="1"/>
      <c r="T109" s="1">
        <f t="shared" ca="1" si="76"/>
        <v>7.2523685339324032E-2</v>
      </c>
      <c r="U109" s="1">
        <f t="shared" ca="1" si="77"/>
        <v>382</v>
      </c>
      <c r="V109" s="1">
        <f t="shared" ca="1" si="78"/>
        <v>37</v>
      </c>
      <c r="W109" s="1"/>
      <c r="X109" s="1">
        <f t="shared" ca="1" si="79"/>
        <v>3.3862213218117434</v>
      </c>
      <c r="Y109" s="1">
        <f t="shared" ca="1" si="80"/>
        <v>0.65337595302315232</v>
      </c>
      <c r="Z109" s="1">
        <f t="shared" ca="1" si="81"/>
        <v>1940</v>
      </c>
      <c r="AB109" s="1">
        <f t="shared" ca="1" si="82"/>
        <v>0.61716171081291238</v>
      </c>
      <c r="AC109" s="1">
        <f t="shared" ca="1" si="83"/>
        <v>371</v>
      </c>
      <c r="AD109" s="1">
        <f t="shared" ca="1" si="84"/>
        <v>6.597570550429973E-3</v>
      </c>
      <c r="AE109" s="1"/>
      <c r="AF109" s="1">
        <f t="shared" ca="1" si="85"/>
        <v>0.82434254804657292</v>
      </c>
      <c r="AG109" s="1">
        <f t="shared" ca="1" si="86"/>
        <v>890</v>
      </c>
      <c r="AH109" s="1">
        <f t="shared" ca="1" si="87"/>
        <v>3.6787362810195142E-3</v>
      </c>
      <c r="AJ109" s="1">
        <f t="shared" ca="1" si="88"/>
        <v>0.69760836995618103</v>
      </c>
      <c r="AK109" s="1">
        <f t="shared" ca="1" si="89"/>
        <v>8.6625487528844917E-3</v>
      </c>
      <c r="AL109" s="1"/>
      <c r="AM109" s="1">
        <f t="shared" ca="1" si="90"/>
        <v>0.17261282836180938</v>
      </c>
      <c r="AN109" s="1">
        <f t="shared" ca="1" si="91"/>
        <v>66</v>
      </c>
      <c r="AO109" s="1">
        <f t="shared" ca="1" si="92"/>
        <v>13</v>
      </c>
      <c r="AQ109" s="1">
        <f t="shared" ca="1" si="93"/>
        <v>58</v>
      </c>
      <c r="AR109" s="1">
        <f t="shared" ca="1" si="94"/>
        <v>10</v>
      </c>
      <c r="AS109" s="1">
        <f t="shared" ca="1" si="95"/>
        <v>3</v>
      </c>
      <c r="AU109" s="1">
        <f t="shared" ca="1" si="96"/>
        <v>318</v>
      </c>
      <c r="AV109" s="1">
        <f t="shared" ca="1" si="97"/>
        <v>10</v>
      </c>
      <c r="AW109" s="1">
        <f t="shared" ca="1" si="98"/>
        <v>0.15856117695684915</v>
      </c>
      <c r="AY109" s="1">
        <f t="shared" ca="1" si="99"/>
        <v>1.3097233500279435</v>
      </c>
      <c r="AZ109" s="1">
        <f t="shared" ca="1" si="100"/>
        <v>191</v>
      </c>
      <c r="BA109" s="1">
        <f t="shared" ca="1" si="101"/>
        <v>6.4357664471663004E-3</v>
      </c>
      <c r="BV109" s="1">
        <f t="shared" ca="1" si="102"/>
        <v>0.76399827673943399</v>
      </c>
      <c r="BW109" s="1">
        <f t="shared" ca="1" si="103"/>
        <v>686</v>
      </c>
      <c r="BX109" s="1">
        <f t="shared" ca="1" si="104"/>
        <v>3.3863007307138675E-3</v>
      </c>
      <c r="BY109" s="1">
        <f t="shared" ca="1" si="105"/>
        <v>8.9398157275604115E-2</v>
      </c>
      <c r="BZ109" s="1">
        <f t="shared" ca="1" si="106"/>
        <v>0.57009792574676221</v>
      </c>
      <c r="CB109" s="1">
        <f t="shared" ca="1" si="107"/>
        <v>407</v>
      </c>
      <c r="CC109" s="1">
        <f t="shared" ca="1" si="108"/>
        <v>15</v>
      </c>
      <c r="CD109" s="1">
        <f t="shared" ca="1" si="109"/>
        <v>4.4763859255091812E-2</v>
      </c>
      <c r="CE109" s="1">
        <f t="shared" ca="1" si="125"/>
        <v>0.79146426854686103</v>
      </c>
      <c r="CF109" s="1">
        <f t="shared" ca="1" si="125"/>
        <v>0.88668135669589032</v>
      </c>
      <c r="CH109" s="3">
        <f t="shared" ca="1" si="111"/>
        <v>0.83544784305512854</v>
      </c>
      <c r="CI109" s="3">
        <f t="shared" ca="1" si="112"/>
        <v>0.69104584800443547</v>
      </c>
      <c r="CJ109" s="3">
        <f t="shared" ca="1" si="113"/>
        <v>986</v>
      </c>
      <c r="CK109" s="3">
        <f t="shared" ca="1" si="114"/>
        <v>1.2512535839903796E-3</v>
      </c>
      <c r="CL109" s="3">
        <f t="shared" ca="1" si="115"/>
        <v>1</v>
      </c>
      <c r="CM109" s="3"/>
      <c r="CN109" s="1">
        <f t="shared" ca="1" si="116"/>
        <v>12.123464048928328</v>
      </c>
      <c r="CO109" s="1">
        <f t="shared" ca="1" si="117"/>
        <v>5.3367361475715434E-2</v>
      </c>
      <c r="CP109" s="1">
        <f t="shared" ca="1" si="118"/>
        <v>5</v>
      </c>
      <c r="DH109" s="1">
        <f t="shared" ca="1" si="119"/>
        <v>421</v>
      </c>
      <c r="DI109" s="1">
        <f t="shared" ca="1" si="120"/>
        <v>0.88615571928553816</v>
      </c>
      <c r="DJ109" s="1">
        <f t="shared" ca="1" si="121"/>
        <v>28</v>
      </c>
      <c r="DL109" s="1">
        <f t="shared" ca="1" si="122"/>
        <v>7.3845326256975014E-2</v>
      </c>
      <c r="DM109" s="1">
        <f t="shared" ca="1" si="123"/>
        <v>278</v>
      </c>
      <c r="DN109" s="1">
        <f t="shared" ca="1" si="124"/>
        <v>7</v>
      </c>
    </row>
    <row r="110" spans="2:118" x14ac:dyDescent="0.25">
      <c r="B110">
        <f t="shared" ca="1" si="63"/>
        <v>597</v>
      </c>
      <c r="C110">
        <f t="shared" ca="1" si="64"/>
        <v>26</v>
      </c>
      <c r="D110">
        <f t="shared" ca="1" si="65"/>
        <v>0.15873299014070041</v>
      </c>
      <c r="F110" s="1">
        <f t="shared" ca="1" si="66"/>
        <v>32</v>
      </c>
      <c r="G110" s="1">
        <f t="shared" ca="1" si="67"/>
        <v>21</v>
      </c>
      <c r="H110" s="1">
        <f t="shared" ca="1" si="68"/>
        <v>2</v>
      </c>
      <c r="I110" s="1"/>
      <c r="J110" s="1">
        <f t="shared" ca="1" si="69"/>
        <v>11</v>
      </c>
      <c r="K110" s="1">
        <f t="shared" ca="1" si="70"/>
        <v>2.3647703337279484</v>
      </c>
      <c r="L110" s="1">
        <f t="shared" ca="1" si="71"/>
        <v>6</v>
      </c>
      <c r="M110" s="1"/>
      <c r="N110" s="1">
        <f t="shared" ca="1" si="72"/>
        <v>364</v>
      </c>
      <c r="O110" s="1">
        <f t="shared" ca="1" si="73"/>
        <v>44</v>
      </c>
      <c r="P110" s="1"/>
      <c r="Q110" s="1">
        <f t="shared" ca="1" si="74"/>
        <v>2.876102793891373</v>
      </c>
      <c r="R110" s="1">
        <f t="shared" ca="1" si="75"/>
        <v>744</v>
      </c>
      <c r="S110" s="1"/>
      <c r="T110" s="1">
        <f t="shared" ca="1" si="76"/>
        <v>0.17408344983953455</v>
      </c>
      <c r="U110" s="1">
        <f t="shared" ca="1" si="77"/>
        <v>63</v>
      </c>
      <c r="V110" s="1">
        <f t="shared" ca="1" si="78"/>
        <v>30</v>
      </c>
      <c r="W110" s="1"/>
      <c r="X110" s="1">
        <f t="shared" ca="1" si="79"/>
        <v>8.5975185132137923</v>
      </c>
      <c r="Y110" s="1">
        <f t="shared" ca="1" si="80"/>
        <v>0.64693180063179001</v>
      </c>
      <c r="Z110" s="1">
        <f t="shared" ca="1" si="81"/>
        <v>354</v>
      </c>
      <c r="AB110" s="1">
        <f t="shared" ca="1" si="82"/>
        <v>0.32373591378222993</v>
      </c>
      <c r="AC110" s="1">
        <f t="shared" ca="1" si="83"/>
        <v>511</v>
      </c>
      <c r="AD110" s="1">
        <f t="shared" ca="1" si="84"/>
        <v>4.9841777060336224E-3</v>
      </c>
      <c r="AE110" s="1"/>
      <c r="AF110" s="1">
        <f t="shared" ca="1" si="85"/>
        <v>0.54578998864197736</v>
      </c>
      <c r="AG110" s="1">
        <f t="shared" ca="1" si="86"/>
        <v>966</v>
      </c>
      <c r="AH110" s="1">
        <f t="shared" ca="1" si="87"/>
        <v>9.1848279854398803E-3</v>
      </c>
      <c r="AJ110" s="1">
        <f t="shared" ca="1" si="88"/>
        <v>0.23821864510578472</v>
      </c>
      <c r="AK110" s="1">
        <f t="shared" ca="1" si="89"/>
        <v>8.4636658870293029E-3</v>
      </c>
      <c r="AL110" s="1"/>
      <c r="AM110" s="1">
        <f t="shared" ca="1" si="90"/>
        <v>9.0832478308620485E-2</v>
      </c>
      <c r="AN110" s="1">
        <f t="shared" ca="1" si="91"/>
        <v>41</v>
      </c>
      <c r="AO110" s="1">
        <f t="shared" ca="1" si="92"/>
        <v>13</v>
      </c>
      <c r="AQ110" s="1">
        <f t="shared" ca="1" si="93"/>
        <v>138</v>
      </c>
      <c r="AR110" s="1">
        <f t="shared" ca="1" si="94"/>
        <v>9</v>
      </c>
      <c r="AS110" s="1">
        <f t="shared" ca="1" si="95"/>
        <v>94</v>
      </c>
      <c r="AU110" s="1">
        <f t="shared" ca="1" si="96"/>
        <v>60</v>
      </c>
      <c r="AV110" s="1">
        <f t="shared" ca="1" si="97"/>
        <v>3</v>
      </c>
      <c r="AW110" s="1">
        <f t="shared" ca="1" si="98"/>
        <v>3.2554132585041945E-2</v>
      </c>
      <c r="AY110" s="1">
        <f t="shared" ca="1" si="99"/>
        <v>1.5469437524493053</v>
      </c>
      <c r="AZ110" s="1">
        <f t="shared" ca="1" si="100"/>
        <v>386</v>
      </c>
      <c r="BA110" s="1">
        <f t="shared" ca="1" si="101"/>
        <v>1.0137599316487524E-3</v>
      </c>
      <c r="BV110" s="1">
        <f t="shared" ca="1" si="102"/>
        <v>0.60140880044284606</v>
      </c>
      <c r="BW110" s="1">
        <f t="shared" ca="1" si="103"/>
        <v>262</v>
      </c>
      <c r="BX110" s="1">
        <f t="shared" ca="1" si="104"/>
        <v>7.8477157314962177E-3</v>
      </c>
      <c r="BY110" s="1">
        <f t="shared" ca="1" si="105"/>
        <v>4.1045633365705207E-2</v>
      </c>
      <c r="BZ110" s="1">
        <f t="shared" ca="1" si="106"/>
        <v>0.68243790866919329</v>
      </c>
      <c r="CB110" s="1">
        <f t="shared" ca="1" si="107"/>
        <v>475</v>
      </c>
      <c r="CC110" s="1">
        <f t="shared" ca="1" si="108"/>
        <v>13</v>
      </c>
      <c r="CD110" s="1">
        <f t="shared" ca="1" si="109"/>
        <v>0.27757752642589184</v>
      </c>
      <c r="CE110" s="1">
        <f t="shared" ca="1" si="125"/>
        <v>0.65246632693067419</v>
      </c>
      <c r="CF110" s="1">
        <f t="shared" ca="1" si="125"/>
        <v>0.54568598126376933</v>
      </c>
      <c r="CH110" s="3">
        <f t="shared" ca="1" si="111"/>
        <v>0.42293171260184675</v>
      </c>
      <c r="CI110" s="3">
        <f t="shared" ca="1" si="112"/>
        <v>0.40057346473680172</v>
      </c>
      <c r="CJ110" s="3">
        <f t="shared" ca="1" si="113"/>
        <v>1262</v>
      </c>
      <c r="CK110" s="3">
        <f t="shared" ca="1" si="114"/>
        <v>4.0993780565802785E-3</v>
      </c>
      <c r="CL110" s="3">
        <f t="shared" ca="1" si="115"/>
        <v>1</v>
      </c>
      <c r="CM110" s="3"/>
      <c r="CN110" s="1">
        <f t="shared" ca="1" si="116"/>
        <v>16.908468472973553</v>
      </c>
      <c r="CO110" s="1">
        <f t="shared" ca="1" si="117"/>
        <v>0.22455357188330957</v>
      </c>
      <c r="CP110" s="1">
        <f t="shared" ca="1" si="118"/>
        <v>5</v>
      </c>
      <c r="DH110" s="1">
        <f t="shared" ca="1" si="119"/>
        <v>312</v>
      </c>
      <c r="DI110" s="1">
        <f t="shared" ca="1" si="120"/>
        <v>0.44356525740455455</v>
      </c>
      <c r="DJ110" s="1">
        <f t="shared" ca="1" si="121"/>
        <v>8</v>
      </c>
      <c r="DL110" s="1">
        <f t="shared" ca="1" si="122"/>
        <v>0.157596951658727</v>
      </c>
      <c r="DM110" s="1">
        <f t="shared" ca="1" si="123"/>
        <v>93</v>
      </c>
      <c r="DN110" s="1">
        <f t="shared" ca="1" si="124"/>
        <v>4</v>
      </c>
    </row>
    <row r="111" spans="2:118" x14ac:dyDescent="0.25">
      <c r="B111">
        <f t="shared" ca="1" si="63"/>
        <v>439</v>
      </c>
      <c r="C111">
        <f t="shared" ca="1" si="64"/>
        <v>18</v>
      </c>
      <c r="D111">
        <f t="shared" ca="1" si="65"/>
        <v>0.21276740694405422</v>
      </c>
      <c r="F111" s="1">
        <f t="shared" ca="1" si="66"/>
        <v>19</v>
      </c>
      <c r="G111" s="1">
        <f t="shared" ca="1" si="67"/>
        <v>3</v>
      </c>
      <c r="H111" s="1">
        <f t="shared" ca="1" si="68"/>
        <v>14</v>
      </c>
      <c r="I111" s="1"/>
      <c r="J111" s="1">
        <f t="shared" ca="1" si="69"/>
        <v>18</v>
      </c>
      <c r="K111" s="1">
        <f t="shared" ca="1" si="70"/>
        <v>1.665131059432962</v>
      </c>
      <c r="L111" s="1">
        <f t="shared" ca="1" si="71"/>
        <v>34</v>
      </c>
      <c r="M111" s="1"/>
      <c r="N111" s="1">
        <f t="shared" ca="1" si="72"/>
        <v>985</v>
      </c>
      <c r="O111" s="1">
        <f t="shared" ca="1" si="73"/>
        <v>27</v>
      </c>
      <c r="P111" s="1"/>
      <c r="Q111" s="1">
        <f t="shared" ca="1" si="74"/>
        <v>4.4968288029523285</v>
      </c>
      <c r="R111" s="1">
        <f t="shared" ca="1" si="75"/>
        <v>840</v>
      </c>
      <c r="S111" s="1"/>
      <c r="T111" s="1">
        <f t="shared" ca="1" si="76"/>
        <v>0.12994708216368409</v>
      </c>
      <c r="U111" s="1">
        <f t="shared" ca="1" si="77"/>
        <v>52</v>
      </c>
      <c r="V111" s="1">
        <f t="shared" ca="1" si="78"/>
        <v>3</v>
      </c>
      <c r="W111" s="1"/>
      <c r="X111" s="1">
        <f t="shared" ca="1" si="79"/>
        <v>8.8937781290519169</v>
      </c>
      <c r="Y111" s="1">
        <f t="shared" ca="1" si="80"/>
        <v>0.40086211066725908</v>
      </c>
      <c r="Z111" s="1">
        <f t="shared" ca="1" si="81"/>
        <v>431</v>
      </c>
      <c r="AB111" s="1">
        <f t="shared" ca="1" si="82"/>
        <v>0.89660108554797924</v>
      </c>
      <c r="AC111" s="1">
        <f t="shared" ca="1" si="83"/>
        <v>933</v>
      </c>
      <c r="AD111" s="1">
        <f t="shared" ca="1" si="84"/>
        <v>1.2302845460720421E-3</v>
      </c>
      <c r="AE111" s="1"/>
      <c r="AF111" s="1">
        <f t="shared" ca="1" si="85"/>
        <v>0.79170881012685312</v>
      </c>
      <c r="AG111" s="1">
        <f t="shared" ca="1" si="86"/>
        <v>501</v>
      </c>
      <c r="AH111" s="1">
        <f t="shared" ca="1" si="87"/>
        <v>2.4611106135149084E-3</v>
      </c>
      <c r="AJ111" s="1">
        <f t="shared" ca="1" si="88"/>
        <v>0.42173906426448349</v>
      </c>
      <c r="AK111" s="1">
        <f t="shared" ca="1" si="89"/>
        <v>7.3185340586826766E-3</v>
      </c>
      <c r="AL111" s="1"/>
      <c r="AM111" s="1">
        <f t="shared" ca="1" si="90"/>
        <v>0.10251299917016407</v>
      </c>
      <c r="AN111" s="1">
        <f t="shared" ca="1" si="91"/>
        <v>80</v>
      </c>
      <c r="AO111" s="1">
        <f t="shared" ca="1" si="92"/>
        <v>6</v>
      </c>
      <c r="AQ111" s="1">
        <f t="shared" ca="1" si="93"/>
        <v>156</v>
      </c>
      <c r="AR111" s="1">
        <f t="shared" ca="1" si="94"/>
        <v>1</v>
      </c>
      <c r="AS111" s="1">
        <f t="shared" ca="1" si="95"/>
        <v>8</v>
      </c>
      <c r="AU111" s="1">
        <f t="shared" ca="1" si="96"/>
        <v>135</v>
      </c>
      <c r="AV111" s="1">
        <f t="shared" ca="1" si="97"/>
        <v>3</v>
      </c>
      <c r="AW111" s="1">
        <f t="shared" ca="1" si="98"/>
        <v>0.11700725326932557</v>
      </c>
      <c r="AY111" s="1">
        <f t="shared" ca="1" si="99"/>
        <v>1.6004361558776914</v>
      </c>
      <c r="AZ111" s="1">
        <f t="shared" ca="1" si="100"/>
        <v>64</v>
      </c>
      <c r="BA111" s="1">
        <f t="shared" ca="1" si="101"/>
        <v>9.725601180904828E-3</v>
      </c>
      <c r="BV111" s="1">
        <f t="shared" ca="1" si="102"/>
        <v>0.50552563348490231</v>
      </c>
      <c r="BW111" s="1">
        <f t="shared" ca="1" si="103"/>
        <v>973</v>
      </c>
      <c r="BX111" s="1">
        <f t="shared" ca="1" si="104"/>
        <v>4.8325545189863723E-3</v>
      </c>
      <c r="BY111" s="1">
        <f t="shared" ca="1" si="105"/>
        <v>3.7508626695351016E-2</v>
      </c>
      <c r="BZ111" s="1">
        <f t="shared" ca="1" si="106"/>
        <v>0.7350740292400455</v>
      </c>
      <c r="CB111" s="1">
        <f t="shared" ca="1" si="107"/>
        <v>308</v>
      </c>
      <c r="CC111" s="1">
        <f t="shared" ca="1" si="108"/>
        <v>12</v>
      </c>
      <c r="CD111" s="1">
        <f t="shared" ca="1" si="109"/>
        <v>0.14613367004670472</v>
      </c>
      <c r="CE111" s="1">
        <f t="shared" ca="1" si="125"/>
        <v>0.69369139171240779</v>
      </c>
      <c r="CF111" s="1">
        <f t="shared" ca="1" si="125"/>
        <v>0.90014188932882633</v>
      </c>
      <c r="CH111" s="3">
        <f t="shared" ca="1" si="111"/>
        <v>0.45960862184315415</v>
      </c>
      <c r="CI111" s="3">
        <f t="shared" ca="1" si="112"/>
        <v>0.79421626114950405</v>
      </c>
      <c r="CJ111" s="3">
        <f t="shared" ca="1" si="113"/>
        <v>630</v>
      </c>
      <c r="CK111" s="3">
        <f t="shared" ca="1" si="114"/>
        <v>1.1782442374654498E-3</v>
      </c>
      <c r="CL111" s="3">
        <f t="shared" ca="1" si="115"/>
        <v>1</v>
      </c>
      <c r="CM111" s="3"/>
      <c r="CN111" s="1">
        <f t="shared" ca="1" si="116"/>
        <v>12.536866230733093</v>
      </c>
      <c r="CO111" s="1">
        <f t="shared" ca="1" si="117"/>
        <v>0.19440691221221457</v>
      </c>
      <c r="CP111" s="1">
        <f t="shared" ca="1" si="118"/>
        <v>4</v>
      </c>
      <c r="DH111" s="1">
        <f t="shared" ca="1" si="119"/>
        <v>132</v>
      </c>
      <c r="DI111" s="1">
        <f t="shared" ca="1" si="120"/>
        <v>0.71026190617392504</v>
      </c>
      <c r="DJ111" s="1">
        <f t="shared" ca="1" si="121"/>
        <v>30</v>
      </c>
      <c r="DL111" s="1">
        <f t="shared" ca="1" si="122"/>
        <v>9.4329246133833228E-2</v>
      </c>
      <c r="DM111" s="1">
        <f t="shared" ca="1" si="123"/>
        <v>193</v>
      </c>
      <c r="DN111" s="1">
        <f t="shared" ca="1" si="124"/>
        <v>4</v>
      </c>
    </row>
    <row r="112" spans="2:118" x14ac:dyDescent="0.25">
      <c r="B112">
        <f t="shared" ca="1" si="63"/>
        <v>503</v>
      </c>
      <c r="C112">
        <f t="shared" ca="1" si="64"/>
        <v>46</v>
      </c>
      <c r="D112">
        <f t="shared" ca="1" si="65"/>
        <v>6.5686806079835972E-2</v>
      </c>
      <c r="F112" s="1">
        <f t="shared" ca="1" si="66"/>
        <v>14</v>
      </c>
      <c r="G112" s="1">
        <f t="shared" ca="1" si="67"/>
        <v>21</v>
      </c>
      <c r="H112" s="1">
        <f t="shared" ca="1" si="68"/>
        <v>8</v>
      </c>
      <c r="I112" s="1"/>
      <c r="J112" s="1">
        <f t="shared" ca="1" si="69"/>
        <v>11</v>
      </c>
      <c r="K112" s="1">
        <f t="shared" ca="1" si="70"/>
        <v>2.8835837576389332</v>
      </c>
      <c r="L112" s="1">
        <f t="shared" ca="1" si="71"/>
        <v>34</v>
      </c>
      <c r="M112" s="1"/>
      <c r="N112" s="1">
        <f t="shared" ca="1" si="72"/>
        <v>259</v>
      </c>
      <c r="O112" s="1">
        <f t="shared" ca="1" si="73"/>
        <v>17</v>
      </c>
      <c r="P112" s="1"/>
      <c r="Q112" s="1">
        <f t="shared" ca="1" si="74"/>
        <v>0.35226576567050677</v>
      </c>
      <c r="R112" s="1">
        <f t="shared" ca="1" si="75"/>
        <v>304</v>
      </c>
      <c r="S112" s="1"/>
      <c r="T112" s="1">
        <f t="shared" ca="1" si="76"/>
        <v>3.1020541740350231E-2</v>
      </c>
      <c r="U112" s="1">
        <f t="shared" ca="1" si="77"/>
        <v>315</v>
      </c>
      <c r="V112" s="1">
        <f t="shared" ca="1" si="78"/>
        <v>46</v>
      </c>
      <c r="W112" s="1"/>
      <c r="X112" s="1">
        <f t="shared" ca="1" si="79"/>
        <v>9.2116358834375536</v>
      </c>
      <c r="Y112" s="1">
        <f t="shared" ca="1" si="80"/>
        <v>0.72976698935156215</v>
      </c>
      <c r="Z112" s="1">
        <f t="shared" ca="1" si="81"/>
        <v>670</v>
      </c>
      <c r="AB112" s="1">
        <f t="shared" ca="1" si="82"/>
        <v>0.2813354645074958</v>
      </c>
      <c r="AC112" s="1">
        <f t="shared" ca="1" si="83"/>
        <v>476</v>
      </c>
      <c r="AD112" s="1">
        <f t="shared" ca="1" si="84"/>
        <v>7.3833970252931624E-3</v>
      </c>
      <c r="AE112" s="1"/>
      <c r="AF112" s="1">
        <f t="shared" ca="1" si="85"/>
        <v>0.48085620367024873</v>
      </c>
      <c r="AG112" s="1">
        <f t="shared" ca="1" si="86"/>
        <v>992</v>
      </c>
      <c r="AH112" s="1">
        <f t="shared" ca="1" si="87"/>
        <v>9.6462086768948658E-4</v>
      </c>
      <c r="AJ112" s="1">
        <f t="shared" ca="1" si="88"/>
        <v>0.85723689111037416</v>
      </c>
      <c r="AK112" s="1">
        <f t="shared" ca="1" si="89"/>
        <v>6.2995042503625912E-4</v>
      </c>
      <c r="AL112" s="1"/>
      <c r="AM112" s="1">
        <f t="shared" ca="1" si="90"/>
        <v>9.0402603249708932E-2</v>
      </c>
      <c r="AN112" s="1">
        <f t="shared" ca="1" si="91"/>
        <v>22</v>
      </c>
      <c r="AO112" s="1">
        <f t="shared" ca="1" si="92"/>
        <v>13</v>
      </c>
      <c r="AQ112" s="1">
        <f t="shared" ca="1" si="93"/>
        <v>177</v>
      </c>
      <c r="AR112" s="1">
        <f t="shared" ca="1" si="94"/>
        <v>0</v>
      </c>
      <c r="AS112" s="1">
        <f t="shared" ca="1" si="95"/>
        <v>83</v>
      </c>
      <c r="AU112" s="1">
        <f t="shared" ca="1" si="96"/>
        <v>297</v>
      </c>
      <c r="AV112" s="1">
        <f t="shared" ca="1" si="97"/>
        <v>6</v>
      </c>
      <c r="AW112" s="1">
        <f t="shared" ca="1" si="98"/>
        <v>8.2360085338751096E-2</v>
      </c>
      <c r="AY112" s="1">
        <f t="shared" ca="1" si="99"/>
        <v>1.4663345335555265</v>
      </c>
      <c r="AZ112" s="1">
        <f t="shared" ca="1" si="100"/>
        <v>499</v>
      </c>
      <c r="BA112" s="1">
        <f t="shared" ca="1" si="101"/>
        <v>2.5364056855751759E-3</v>
      </c>
      <c r="BV112" s="1">
        <f t="shared" ca="1" si="102"/>
        <v>0.35945891082733661</v>
      </c>
      <c r="BW112" s="1">
        <f t="shared" ca="1" si="103"/>
        <v>381</v>
      </c>
      <c r="BX112" s="1">
        <f t="shared" ca="1" si="104"/>
        <v>6.6873497492807637E-3</v>
      </c>
      <c r="BY112" s="1">
        <f t="shared" ca="1" si="105"/>
        <v>9.1060766432265433E-2</v>
      </c>
      <c r="BZ112" s="1">
        <f t="shared" ca="1" si="106"/>
        <v>0.77593229437704081</v>
      </c>
      <c r="CB112" s="1">
        <f t="shared" ca="1" si="107"/>
        <v>336</v>
      </c>
      <c r="CC112" s="1">
        <f t="shared" ca="1" si="108"/>
        <v>4</v>
      </c>
      <c r="CD112" s="1">
        <f t="shared" ca="1" si="109"/>
        <v>3.2489868571420361E-2</v>
      </c>
      <c r="CE112" s="1">
        <f t="shared" ca="1" si="125"/>
        <v>0.6776731761264736</v>
      </c>
      <c r="CF112" s="1">
        <f t="shared" ca="1" si="125"/>
        <v>0.57852990497991574</v>
      </c>
      <c r="CH112" s="3">
        <f t="shared" ca="1" si="111"/>
        <v>0.2164979947241395</v>
      </c>
      <c r="CI112" s="3">
        <f t="shared" ca="1" si="112"/>
        <v>0.2532796707292555</v>
      </c>
      <c r="CJ112" s="3">
        <f t="shared" ca="1" si="113"/>
        <v>943</v>
      </c>
      <c r="CK112" s="3">
        <f t="shared" ca="1" si="114"/>
        <v>5.4636001746675798E-3</v>
      </c>
      <c r="CL112" s="3">
        <f t="shared" ca="1" si="115"/>
        <v>1</v>
      </c>
      <c r="CM112" s="3"/>
      <c r="CN112" s="1">
        <f t="shared" ca="1" si="116"/>
        <v>10.49454252247209</v>
      </c>
      <c r="CO112" s="1">
        <f t="shared" ca="1" si="117"/>
        <v>0.23410135145194574</v>
      </c>
      <c r="CP112" s="1">
        <f t="shared" ca="1" si="118"/>
        <v>1</v>
      </c>
      <c r="DH112" s="1">
        <f t="shared" ca="1" si="119"/>
        <v>416</v>
      </c>
      <c r="DI112" s="1">
        <f t="shared" ca="1" si="120"/>
        <v>0.55983239604247292</v>
      </c>
      <c r="DJ112" s="1">
        <f t="shared" ca="1" si="121"/>
        <v>28</v>
      </c>
      <c r="DL112" s="1">
        <f t="shared" ca="1" si="122"/>
        <v>0.13760403806284235</v>
      </c>
      <c r="DM112" s="1">
        <f t="shared" ca="1" si="123"/>
        <v>142</v>
      </c>
      <c r="DN112" s="1">
        <f t="shared" ca="1" si="124"/>
        <v>2</v>
      </c>
    </row>
    <row r="113" spans="2:118" x14ac:dyDescent="0.25">
      <c r="B113">
        <f t="shared" ca="1" si="63"/>
        <v>23</v>
      </c>
      <c r="C113">
        <f t="shared" ca="1" si="64"/>
        <v>44</v>
      </c>
      <c r="D113">
        <f t="shared" ca="1" si="65"/>
        <v>0.24841001291076259</v>
      </c>
      <c r="F113" s="1">
        <f t="shared" ca="1" si="66"/>
        <v>52</v>
      </c>
      <c r="G113" s="1">
        <f t="shared" ca="1" si="67"/>
        <v>7</v>
      </c>
      <c r="H113" s="1">
        <f t="shared" ca="1" si="68"/>
        <v>11</v>
      </c>
      <c r="I113" s="1"/>
      <c r="J113" s="1">
        <f t="shared" ca="1" si="69"/>
        <v>21</v>
      </c>
      <c r="K113" s="1">
        <f t="shared" ca="1" si="70"/>
        <v>1.0714710963323089</v>
      </c>
      <c r="L113" s="1">
        <f t="shared" ca="1" si="71"/>
        <v>17</v>
      </c>
      <c r="M113" s="1"/>
      <c r="N113" s="1">
        <f t="shared" ca="1" si="72"/>
        <v>994</v>
      </c>
      <c r="O113" s="1">
        <f t="shared" ca="1" si="73"/>
        <v>3</v>
      </c>
      <c r="P113" s="1"/>
      <c r="Q113" s="1">
        <f t="shared" ca="1" si="74"/>
        <v>3.507414778959459</v>
      </c>
      <c r="R113" s="1">
        <f t="shared" ca="1" si="75"/>
        <v>949</v>
      </c>
      <c r="S113" s="1"/>
      <c r="T113" s="1">
        <f t="shared" ca="1" si="76"/>
        <v>1.3278981639355026E-2</v>
      </c>
      <c r="U113" s="1">
        <f t="shared" ca="1" si="77"/>
        <v>244</v>
      </c>
      <c r="V113" s="1">
        <f t="shared" ca="1" si="78"/>
        <v>27</v>
      </c>
      <c r="W113" s="1"/>
      <c r="X113" s="1">
        <f t="shared" ca="1" si="79"/>
        <v>4.0098278920131527</v>
      </c>
      <c r="Y113" s="1">
        <f t="shared" ca="1" si="80"/>
        <v>1.1568216437517683E-2</v>
      </c>
      <c r="Z113" s="1">
        <f t="shared" ca="1" si="81"/>
        <v>1194</v>
      </c>
      <c r="AB113" s="1">
        <f t="shared" ca="1" si="82"/>
        <v>0.99046157912989197</v>
      </c>
      <c r="AC113" s="1">
        <f t="shared" ca="1" si="83"/>
        <v>922</v>
      </c>
      <c r="AD113" s="1">
        <f t="shared" ca="1" si="84"/>
        <v>2.9226684489397023E-4</v>
      </c>
      <c r="AE113" s="1"/>
      <c r="AF113" s="1">
        <f t="shared" ca="1" si="85"/>
        <v>0.1612721215541999</v>
      </c>
      <c r="AG113" s="1">
        <f t="shared" ca="1" si="86"/>
        <v>897</v>
      </c>
      <c r="AH113" s="1">
        <f t="shared" ca="1" si="87"/>
        <v>4.4764918600255126E-3</v>
      </c>
      <c r="AJ113" s="1">
        <f t="shared" ca="1" si="88"/>
        <v>0.78023222518075963</v>
      </c>
      <c r="AK113" s="1">
        <f t="shared" ca="1" si="89"/>
        <v>3.6185553072766766E-3</v>
      </c>
      <c r="AL113" s="1"/>
      <c r="AM113" s="1">
        <f t="shared" ca="1" si="90"/>
        <v>2.4874353620666104E-2</v>
      </c>
      <c r="AN113" s="1">
        <f t="shared" ca="1" si="91"/>
        <v>21</v>
      </c>
      <c r="AO113" s="1">
        <f t="shared" ca="1" si="92"/>
        <v>19</v>
      </c>
      <c r="AQ113" s="1">
        <f t="shared" ca="1" si="93"/>
        <v>133</v>
      </c>
      <c r="AR113" s="1">
        <f t="shared" ca="1" si="94"/>
        <v>7</v>
      </c>
      <c r="AS113" s="1">
        <f t="shared" ca="1" si="95"/>
        <v>61</v>
      </c>
      <c r="AU113" s="1">
        <f t="shared" ca="1" si="96"/>
        <v>215</v>
      </c>
      <c r="AV113" s="1">
        <f t="shared" ca="1" si="97"/>
        <v>10</v>
      </c>
      <c r="AW113" s="1">
        <f t="shared" ca="1" si="98"/>
        <v>4.7962279597575888E-2</v>
      </c>
      <c r="AY113" s="1">
        <f t="shared" ca="1" si="99"/>
        <v>1.2599943504619917</v>
      </c>
      <c r="AZ113" s="1">
        <f t="shared" ca="1" si="100"/>
        <v>430</v>
      </c>
      <c r="BA113" s="1">
        <f t="shared" ca="1" si="101"/>
        <v>4.5289910414505179E-3</v>
      </c>
      <c r="BV113" s="1">
        <f t="shared" ca="1" si="102"/>
        <v>0.63109540584611856</v>
      </c>
      <c r="BW113" s="1">
        <f t="shared" ca="1" si="103"/>
        <v>211</v>
      </c>
      <c r="BX113" s="1">
        <f t="shared" ca="1" si="104"/>
        <v>1.5273517798784085E-3</v>
      </c>
      <c r="BY113" s="1">
        <f t="shared" ca="1" si="105"/>
        <v>8.6021238802141728E-2</v>
      </c>
      <c r="BZ113" s="1">
        <f t="shared" ca="1" si="106"/>
        <v>0.62163868689884527</v>
      </c>
      <c r="CB113" s="1">
        <f t="shared" ca="1" si="107"/>
        <v>182</v>
      </c>
      <c r="CC113" s="1">
        <f t="shared" ca="1" si="108"/>
        <v>7</v>
      </c>
      <c r="CD113" s="1">
        <f t="shared" ca="1" si="109"/>
        <v>0.29554824826050208</v>
      </c>
      <c r="CE113" s="1">
        <f t="shared" ca="1" si="125"/>
        <v>0.51796605049255384</v>
      </c>
      <c r="CF113" s="1">
        <f t="shared" ca="1" si="125"/>
        <v>0.97028751469734265</v>
      </c>
      <c r="CH113" s="3">
        <f t="shared" ca="1" si="111"/>
        <v>0.55517157628060076</v>
      </c>
      <c r="CI113" s="3">
        <f t="shared" ca="1" si="112"/>
        <v>0.50845986183354996</v>
      </c>
      <c r="CJ113" s="3">
        <f t="shared" ca="1" si="113"/>
        <v>133</v>
      </c>
      <c r="CK113" s="3">
        <f t="shared" ca="1" si="114"/>
        <v>8.4468157330831063E-3</v>
      </c>
      <c r="CL113" s="3">
        <f t="shared" ca="1" si="115"/>
        <v>1</v>
      </c>
      <c r="CM113" s="3"/>
      <c r="CN113" s="1">
        <f t="shared" ca="1" si="116"/>
        <v>2.8858268180223616</v>
      </c>
      <c r="CO113" s="1">
        <f t="shared" ca="1" si="117"/>
        <v>9.0379805937951113E-3</v>
      </c>
      <c r="CP113" s="1">
        <f t="shared" ca="1" si="118"/>
        <v>5</v>
      </c>
      <c r="DH113" s="1">
        <f t="shared" ca="1" si="119"/>
        <v>118</v>
      </c>
      <c r="DI113" s="1">
        <f t="shared" ca="1" si="120"/>
        <v>0.64581674535970857</v>
      </c>
      <c r="DJ113" s="1">
        <f t="shared" ca="1" si="121"/>
        <v>2</v>
      </c>
      <c r="DL113" s="1">
        <f t="shared" ca="1" si="122"/>
        <v>3.4654865017748455E-2</v>
      </c>
      <c r="DM113" s="1">
        <f t="shared" ca="1" si="123"/>
        <v>156</v>
      </c>
      <c r="DN113" s="1">
        <f t="shared" ca="1" si="124"/>
        <v>10</v>
      </c>
    </row>
    <row r="114" spans="2:118" x14ac:dyDescent="0.25">
      <c r="B114">
        <f t="shared" ca="1" si="63"/>
        <v>840</v>
      </c>
      <c r="C114">
        <f t="shared" ca="1" si="64"/>
        <v>43</v>
      </c>
      <c r="D114">
        <f t="shared" ca="1" si="65"/>
        <v>1.7268267329867165E-2</v>
      </c>
      <c r="F114" s="1">
        <f t="shared" ca="1" si="66"/>
        <v>33</v>
      </c>
      <c r="G114" s="1">
        <f t="shared" ca="1" si="67"/>
        <v>17</v>
      </c>
      <c r="H114" s="1">
        <f t="shared" ca="1" si="68"/>
        <v>15</v>
      </c>
      <c r="I114" s="1"/>
      <c r="J114" s="1">
        <f t="shared" ca="1" si="69"/>
        <v>29</v>
      </c>
      <c r="K114" s="1">
        <f t="shared" ca="1" si="70"/>
        <v>2.5439444907825024</v>
      </c>
      <c r="L114" s="1">
        <f t="shared" ca="1" si="71"/>
        <v>17</v>
      </c>
      <c r="M114" s="1"/>
      <c r="N114" s="1">
        <f t="shared" ca="1" si="72"/>
        <v>949</v>
      </c>
      <c r="O114" s="1">
        <f t="shared" ca="1" si="73"/>
        <v>21</v>
      </c>
      <c r="P114" s="1"/>
      <c r="Q114" s="1">
        <f t="shared" ca="1" si="74"/>
        <v>0.20658003126972305</v>
      </c>
      <c r="R114" s="1">
        <f t="shared" ca="1" si="75"/>
        <v>1082</v>
      </c>
      <c r="S114" s="1"/>
      <c r="T114" s="1">
        <f t="shared" ca="1" si="76"/>
        <v>0.11208787944996326</v>
      </c>
      <c r="U114" s="1">
        <f t="shared" ca="1" si="77"/>
        <v>71</v>
      </c>
      <c r="V114" s="1">
        <f t="shared" ca="1" si="78"/>
        <v>16</v>
      </c>
      <c r="W114" s="1"/>
      <c r="X114" s="1">
        <f t="shared" ca="1" si="79"/>
        <v>4.1407624386278853E-2</v>
      </c>
      <c r="Y114" s="1">
        <f t="shared" ca="1" si="80"/>
        <v>0.47170580675697893</v>
      </c>
      <c r="Z114" s="1">
        <f t="shared" ca="1" si="81"/>
        <v>1509</v>
      </c>
      <c r="AB114" s="1">
        <f t="shared" ca="1" si="82"/>
        <v>0.35937055618039448</v>
      </c>
      <c r="AC114" s="1">
        <f t="shared" ca="1" si="83"/>
        <v>470</v>
      </c>
      <c r="AD114" s="1">
        <f t="shared" ca="1" si="84"/>
        <v>3.0424097027464971E-3</v>
      </c>
      <c r="AE114" s="1"/>
      <c r="AF114" s="1">
        <f t="shared" ca="1" si="85"/>
        <v>0.34661205573953946</v>
      </c>
      <c r="AG114" s="1">
        <f t="shared" ca="1" si="86"/>
        <v>775</v>
      </c>
      <c r="AH114" s="1">
        <f t="shared" ca="1" si="87"/>
        <v>8.2033498374217573E-3</v>
      </c>
      <c r="AJ114" s="1">
        <f t="shared" ca="1" si="88"/>
        <v>0.37387917785697034</v>
      </c>
      <c r="AK114" s="1">
        <f t="shared" ca="1" si="89"/>
        <v>5.8097229347141323E-3</v>
      </c>
      <c r="AL114" s="1"/>
      <c r="AM114" s="1">
        <f t="shared" ca="1" si="90"/>
        <v>0.14826413568263228</v>
      </c>
      <c r="AN114" s="1">
        <f t="shared" ca="1" si="91"/>
        <v>16</v>
      </c>
      <c r="AO114" s="1">
        <f t="shared" ca="1" si="92"/>
        <v>20</v>
      </c>
      <c r="AQ114" s="1">
        <f t="shared" ca="1" si="93"/>
        <v>122</v>
      </c>
      <c r="AR114" s="1">
        <f t="shared" ca="1" si="94"/>
        <v>1</v>
      </c>
      <c r="AS114" s="1">
        <f t="shared" ca="1" si="95"/>
        <v>78</v>
      </c>
      <c r="AU114" s="1">
        <f t="shared" ca="1" si="96"/>
        <v>313</v>
      </c>
      <c r="AV114" s="1">
        <f t="shared" ca="1" si="97"/>
        <v>10</v>
      </c>
      <c r="AW114" s="1">
        <f t="shared" ca="1" si="98"/>
        <v>5.6430805009912856E-2</v>
      </c>
      <c r="AY114" s="1">
        <f t="shared" ca="1" si="99"/>
        <v>1.5292684959189704</v>
      </c>
      <c r="AZ114" s="1">
        <f t="shared" ca="1" si="100"/>
        <v>330</v>
      </c>
      <c r="BA114" s="1">
        <f t="shared" ca="1" si="101"/>
        <v>4.7260347501250199E-3</v>
      </c>
      <c r="BV114" s="1">
        <f t="shared" ca="1" si="102"/>
        <v>0.77333027514902641</v>
      </c>
      <c r="BW114" s="1">
        <f t="shared" ca="1" si="103"/>
        <v>273</v>
      </c>
      <c r="BX114" s="1">
        <f t="shared" ca="1" si="104"/>
        <v>1.3646328395328718E-4</v>
      </c>
      <c r="BY114" s="1">
        <f t="shared" ca="1" si="105"/>
        <v>8.0772733578003811E-2</v>
      </c>
      <c r="BZ114" s="1">
        <f t="shared" ca="1" si="106"/>
        <v>0.19521956863640366</v>
      </c>
      <c r="CB114" s="1">
        <f t="shared" ca="1" si="107"/>
        <v>331</v>
      </c>
      <c r="CC114" s="1">
        <f t="shared" ca="1" si="108"/>
        <v>14</v>
      </c>
      <c r="CD114" s="1">
        <f t="shared" ca="1" si="109"/>
        <v>0.26279581925242629</v>
      </c>
      <c r="CE114" s="1">
        <f t="shared" ca="1" si="125"/>
        <v>0.62109338952689552</v>
      </c>
      <c r="CF114" s="1">
        <f t="shared" ca="1" si="125"/>
        <v>0.62706855985659971</v>
      </c>
      <c r="CH114" s="3">
        <f t="shared" ca="1" si="111"/>
        <v>0.36230069072531895</v>
      </c>
      <c r="CI114" s="3">
        <f t="shared" ca="1" si="112"/>
        <v>0.90313099810632347</v>
      </c>
      <c r="CJ114" s="3">
        <f t="shared" ca="1" si="113"/>
        <v>1019</v>
      </c>
      <c r="CK114" s="3">
        <f t="shared" ca="1" si="114"/>
        <v>7.1811847035073504E-4</v>
      </c>
      <c r="CL114" s="3">
        <f t="shared" ca="1" si="115"/>
        <v>0</v>
      </c>
      <c r="CM114" s="3"/>
      <c r="CN114" s="1">
        <f t="shared" ca="1" si="116"/>
        <v>6.9420631112458784</v>
      </c>
      <c r="CO114" s="1">
        <f t="shared" ca="1" si="117"/>
        <v>0.41748106281991237</v>
      </c>
      <c r="CP114" s="1">
        <f t="shared" ca="1" si="118"/>
        <v>5</v>
      </c>
      <c r="DH114" s="1">
        <f t="shared" ca="1" si="119"/>
        <v>811</v>
      </c>
      <c r="DI114" s="1">
        <f t="shared" ca="1" si="120"/>
        <v>0.75402012047165878</v>
      </c>
      <c r="DJ114" s="1">
        <f t="shared" ca="1" si="121"/>
        <v>11</v>
      </c>
      <c r="DL114" s="1">
        <f t="shared" ca="1" si="122"/>
        <v>6.0611638585889152E-2</v>
      </c>
      <c r="DM114" s="1">
        <f t="shared" ca="1" si="123"/>
        <v>78</v>
      </c>
      <c r="DN114" s="1">
        <f t="shared" ca="1" si="124"/>
        <v>8</v>
      </c>
    </row>
    <row r="115" spans="2:118" x14ac:dyDescent="0.25">
      <c r="B115">
        <f t="shared" ca="1" si="63"/>
        <v>416</v>
      </c>
      <c r="C115">
        <f t="shared" ca="1" si="64"/>
        <v>25</v>
      </c>
      <c r="D115">
        <f t="shared" ca="1" si="65"/>
        <v>0.22734113828052044</v>
      </c>
      <c r="F115" s="1">
        <f t="shared" ca="1" si="66"/>
        <v>3</v>
      </c>
      <c r="G115" s="1">
        <f t="shared" ca="1" si="67"/>
        <v>15</v>
      </c>
      <c r="H115" s="1">
        <f t="shared" ca="1" si="68"/>
        <v>1</v>
      </c>
      <c r="I115" s="1"/>
      <c r="J115" s="1">
        <f t="shared" ca="1" si="69"/>
        <v>24</v>
      </c>
      <c r="K115" s="1">
        <f t="shared" ca="1" si="70"/>
        <v>1.8070377093576802</v>
      </c>
      <c r="L115" s="1">
        <f t="shared" ca="1" si="71"/>
        <v>35</v>
      </c>
      <c r="M115" s="1"/>
      <c r="N115" s="1">
        <f t="shared" ca="1" si="72"/>
        <v>223</v>
      </c>
      <c r="O115" s="1">
        <f t="shared" ca="1" si="73"/>
        <v>48</v>
      </c>
      <c r="P115" s="1"/>
      <c r="Q115" s="1">
        <f t="shared" ca="1" si="74"/>
        <v>0.31847967967218566</v>
      </c>
      <c r="R115" s="1">
        <f t="shared" ca="1" si="75"/>
        <v>427</v>
      </c>
      <c r="S115" s="1"/>
      <c r="T115" s="1">
        <f t="shared" ca="1" si="76"/>
        <v>0.10862748110362926</v>
      </c>
      <c r="U115" s="1">
        <f t="shared" ca="1" si="77"/>
        <v>234</v>
      </c>
      <c r="V115" s="1">
        <f t="shared" ca="1" si="78"/>
        <v>47</v>
      </c>
      <c r="W115" s="1"/>
      <c r="X115" s="1">
        <f t="shared" ca="1" si="79"/>
        <v>8.4322269470366198</v>
      </c>
      <c r="Y115" s="1">
        <f t="shared" ca="1" si="80"/>
        <v>3.5383025465566494E-2</v>
      </c>
      <c r="Z115" s="1">
        <f t="shared" ca="1" si="81"/>
        <v>891</v>
      </c>
      <c r="AB115" s="1">
        <f t="shared" ca="1" si="82"/>
        <v>0.52012088885734975</v>
      </c>
      <c r="AC115" s="1">
        <f t="shared" ca="1" si="83"/>
        <v>477</v>
      </c>
      <c r="AD115" s="1">
        <f t="shared" ca="1" si="84"/>
        <v>2.6158400396465381E-3</v>
      </c>
      <c r="AE115" s="1"/>
      <c r="AF115" s="1">
        <f t="shared" ca="1" si="85"/>
        <v>0.52247891767852239</v>
      </c>
      <c r="AG115" s="1">
        <f t="shared" ca="1" si="86"/>
        <v>344</v>
      </c>
      <c r="AH115" s="1">
        <f t="shared" ca="1" si="87"/>
        <v>5.0589927459525359E-3</v>
      </c>
      <c r="AJ115" s="1">
        <f t="shared" ca="1" si="88"/>
        <v>0.17136190384561856</v>
      </c>
      <c r="AK115" s="1">
        <f t="shared" ca="1" si="89"/>
        <v>7.0664692685334764E-3</v>
      </c>
      <c r="AL115" s="1"/>
      <c r="AM115" s="1">
        <f t="shared" ca="1" si="90"/>
        <v>4.9325753604658698E-2</v>
      </c>
      <c r="AN115" s="1">
        <f t="shared" ca="1" si="91"/>
        <v>18</v>
      </c>
      <c r="AO115" s="1">
        <f t="shared" ca="1" si="92"/>
        <v>17</v>
      </c>
      <c r="AQ115" s="1">
        <f t="shared" ca="1" si="93"/>
        <v>103</v>
      </c>
      <c r="AR115" s="1">
        <f t="shared" ca="1" si="94"/>
        <v>5</v>
      </c>
      <c r="AS115" s="1">
        <f t="shared" ca="1" si="95"/>
        <v>29</v>
      </c>
      <c r="AU115" s="1">
        <f t="shared" ca="1" si="96"/>
        <v>288</v>
      </c>
      <c r="AV115" s="1">
        <f t="shared" ca="1" si="97"/>
        <v>8</v>
      </c>
      <c r="AW115" s="1">
        <f t="shared" ca="1" si="98"/>
        <v>2.8084823242274494E-2</v>
      </c>
      <c r="AY115" s="1">
        <f t="shared" ca="1" si="99"/>
        <v>1.2586998076669023</v>
      </c>
      <c r="AZ115" s="1">
        <f t="shared" ca="1" si="100"/>
        <v>457</v>
      </c>
      <c r="BA115" s="1">
        <f t="shared" ca="1" si="101"/>
        <v>7.4941552040732233E-3</v>
      </c>
      <c r="BV115" s="1">
        <f t="shared" ca="1" si="102"/>
        <v>0.33286979495488578</v>
      </c>
      <c r="BW115" s="1">
        <f t="shared" ca="1" si="103"/>
        <v>618</v>
      </c>
      <c r="BX115" s="1">
        <f t="shared" ca="1" si="104"/>
        <v>6.774108080818869E-3</v>
      </c>
      <c r="BY115" s="1">
        <f t="shared" ca="1" si="105"/>
        <v>8.8681839269467461E-2</v>
      </c>
      <c r="BZ115" s="1">
        <f t="shared" ca="1" si="106"/>
        <v>0.54642903422394118</v>
      </c>
      <c r="CB115" s="1">
        <f t="shared" ca="1" si="107"/>
        <v>468</v>
      </c>
      <c r="CC115" s="1">
        <f t="shared" ca="1" si="108"/>
        <v>6</v>
      </c>
      <c r="CD115" s="1">
        <f t="shared" ca="1" si="109"/>
        <v>3.4652713834455659E-2</v>
      </c>
      <c r="CE115" s="1">
        <f t="shared" ca="1" si="125"/>
        <v>0.52423765260110178</v>
      </c>
      <c r="CF115" s="1">
        <f t="shared" ca="1" si="125"/>
        <v>0.55888722718494099</v>
      </c>
      <c r="CH115" s="3">
        <f t="shared" ca="1" si="111"/>
        <v>4.5052330293752905E-2</v>
      </c>
      <c r="CI115" s="3">
        <f t="shared" ca="1" si="112"/>
        <v>8.6562107358072404E-2</v>
      </c>
      <c r="CJ115" s="3">
        <f t="shared" ca="1" si="113"/>
        <v>977</v>
      </c>
      <c r="CK115" s="3">
        <f t="shared" ca="1" si="114"/>
        <v>3.1674018758525088E-3</v>
      </c>
      <c r="CL115" s="3">
        <f t="shared" ca="1" si="115"/>
        <v>0</v>
      </c>
      <c r="CM115" s="3"/>
      <c r="CN115" s="1">
        <f t="shared" ca="1" si="116"/>
        <v>0.91996632026639191</v>
      </c>
      <c r="CO115" s="1">
        <f t="shared" ca="1" si="117"/>
        <v>0.40747376558370768</v>
      </c>
      <c r="CP115" s="1">
        <f t="shared" ca="1" si="118"/>
        <v>3</v>
      </c>
      <c r="DH115" s="1">
        <f t="shared" ca="1" si="119"/>
        <v>631</v>
      </c>
      <c r="DI115" s="1">
        <f t="shared" ca="1" si="120"/>
        <v>0.77144496265760887</v>
      </c>
      <c r="DJ115" s="1">
        <f t="shared" ca="1" si="121"/>
        <v>27</v>
      </c>
      <c r="DL115" s="1">
        <f t="shared" ca="1" si="122"/>
        <v>0.12636366602382129</v>
      </c>
      <c r="DM115" s="1">
        <f t="shared" ca="1" si="123"/>
        <v>133</v>
      </c>
      <c r="DN115" s="1">
        <f t="shared" ca="1" si="124"/>
        <v>2</v>
      </c>
    </row>
    <row r="116" spans="2:118" x14ac:dyDescent="0.25">
      <c r="B116">
        <f t="shared" ca="1" si="63"/>
        <v>285</v>
      </c>
      <c r="C116">
        <f t="shared" ca="1" si="64"/>
        <v>28</v>
      </c>
      <c r="D116">
        <f t="shared" ca="1" si="65"/>
        <v>0.18782592841609982</v>
      </c>
      <c r="F116" s="1">
        <f t="shared" ca="1" si="66"/>
        <v>40</v>
      </c>
      <c r="G116" s="1">
        <f t="shared" ca="1" si="67"/>
        <v>12</v>
      </c>
      <c r="H116" s="1">
        <f t="shared" ca="1" si="68"/>
        <v>3</v>
      </c>
      <c r="I116" s="1"/>
      <c r="J116" s="1">
        <f t="shared" ca="1" si="69"/>
        <v>27</v>
      </c>
      <c r="K116" s="1">
        <f t="shared" ca="1" si="70"/>
        <v>2.4600055245234058</v>
      </c>
      <c r="L116" s="1">
        <f t="shared" ca="1" si="71"/>
        <v>9</v>
      </c>
      <c r="M116" s="1"/>
      <c r="N116" s="1">
        <f t="shared" ca="1" si="72"/>
        <v>767</v>
      </c>
      <c r="O116" s="1">
        <f t="shared" ca="1" si="73"/>
        <v>28</v>
      </c>
      <c r="P116" s="1"/>
      <c r="Q116" s="1">
        <f t="shared" ca="1" si="74"/>
        <v>2.682645829330454</v>
      </c>
      <c r="R116" s="1">
        <f t="shared" ca="1" si="75"/>
        <v>930</v>
      </c>
      <c r="S116" s="1"/>
      <c r="T116" s="1">
        <f t="shared" ca="1" si="76"/>
        <v>0.178120777948402</v>
      </c>
      <c r="U116" s="1">
        <f t="shared" ca="1" si="77"/>
        <v>195</v>
      </c>
      <c r="V116" s="1">
        <f t="shared" ca="1" si="78"/>
        <v>17</v>
      </c>
      <c r="W116" s="1"/>
      <c r="X116" s="1">
        <f t="shared" ca="1" si="79"/>
        <v>3.4136364479650774</v>
      </c>
      <c r="Y116" s="1">
        <f t="shared" ca="1" si="80"/>
        <v>3.4977873277382478E-2</v>
      </c>
      <c r="Z116" s="1">
        <f t="shared" ca="1" si="81"/>
        <v>361</v>
      </c>
      <c r="AB116" s="1">
        <f t="shared" ca="1" si="82"/>
        <v>0.97446008986202837</v>
      </c>
      <c r="AC116" s="1">
        <f t="shared" ca="1" si="83"/>
        <v>213</v>
      </c>
      <c r="AD116" s="1">
        <f t="shared" ca="1" si="84"/>
        <v>3.2016153810603609E-3</v>
      </c>
      <c r="AE116" s="1"/>
      <c r="AF116" s="1">
        <f t="shared" ca="1" si="85"/>
        <v>0.17520093593687164</v>
      </c>
      <c r="AG116" s="1">
        <f t="shared" ca="1" si="86"/>
        <v>218</v>
      </c>
      <c r="AH116" s="1">
        <f t="shared" ca="1" si="87"/>
        <v>7.2498846009369598E-3</v>
      </c>
      <c r="AJ116" s="1">
        <f t="shared" ca="1" si="88"/>
        <v>0.56330766557057699</v>
      </c>
      <c r="AK116" s="1">
        <f t="shared" ca="1" si="89"/>
        <v>7.2109887157514327E-3</v>
      </c>
      <c r="AL116" s="1"/>
      <c r="AM116" s="1">
        <f t="shared" ca="1" si="90"/>
        <v>0.18598311953651719</v>
      </c>
      <c r="AN116" s="1">
        <f t="shared" ca="1" si="91"/>
        <v>16</v>
      </c>
      <c r="AO116" s="1">
        <f t="shared" ca="1" si="92"/>
        <v>0</v>
      </c>
      <c r="AQ116" s="1">
        <f t="shared" ca="1" si="93"/>
        <v>139</v>
      </c>
      <c r="AR116" s="1">
        <f t="shared" ca="1" si="94"/>
        <v>7</v>
      </c>
      <c r="AS116" s="1">
        <f t="shared" ca="1" si="95"/>
        <v>88</v>
      </c>
      <c r="AU116" s="1">
        <f t="shared" ca="1" si="96"/>
        <v>192</v>
      </c>
      <c r="AV116" s="1">
        <f t="shared" ca="1" si="97"/>
        <v>5</v>
      </c>
      <c r="AW116" s="1">
        <f t="shared" ca="1" si="98"/>
        <v>9.5973151589746467E-2</v>
      </c>
      <c r="AY116" s="1">
        <f t="shared" ca="1" si="99"/>
        <v>1.53289957672106</v>
      </c>
      <c r="AZ116" s="1">
        <f t="shared" ca="1" si="100"/>
        <v>252</v>
      </c>
      <c r="BA116" s="1">
        <f t="shared" ca="1" si="101"/>
        <v>5.3555411818693548E-3</v>
      </c>
      <c r="BV116" s="1">
        <f t="shared" ca="1" si="102"/>
        <v>0.78090996653104261</v>
      </c>
      <c r="BW116" s="1">
        <f t="shared" ca="1" si="103"/>
        <v>327</v>
      </c>
      <c r="BX116" s="1">
        <f t="shared" ca="1" si="104"/>
        <v>3.3424580172440139E-3</v>
      </c>
      <c r="BY116" s="1">
        <f t="shared" ca="1" si="105"/>
        <v>1.3917899463442782E-2</v>
      </c>
      <c r="BZ116" s="1">
        <f t="shared" ca="1" si="106"/>
        <v>0.75055570569308327</v>
      </c>
      <c r="CB116" s="1">
        <f t="shared" ca="1" si="107"/>
        <v>224</v>
      </c>
      <c r="CC116" s="1">
        <f t="shared" ca="1" si="108"/>
        <v>12</v>
      </c>
      <c r="CD116" s="1">
        <f t="shared" ca="1" si="109"/>
        <v>0.18781403850176365</v>
      </c>
      <c r="CE116" s="1">
        <f t="shared" ca="1" si="125"/>
        <v>0.59398126304748211</v>
      </c>
      <c r="CF116" s="1">
        <f t="shared" ca="1" si="125"/>
        <v>0.96077338022549752</v>
      </c>
      <c r="CH116" s="3">
        <f t="shared" ca="1" si="111"/>
        <v>0.74629579554476522</v>
      </c>
      <c r="CI116" s="3">
        <f t="shared" ca="1" si="112"/>
        <v>0.36078209652897852</v>
      </c>
      <c r="CJ116" s="3">
        <f t="shared" ca="1" si="113"/>
        <v>1986</v>
      </c>
      <c r="CK116" s="3">
        <f t="shared" ca="1" si="114"/>
        <v>8.1640633208438958E-3</v>
      </c>
      <c r="CL116" s="3">
        <f t="shared" ca="1" si="115"/>
        <v>0</v>
      </c>
      <c r="CM116" s="3"/>
      <c r="CN116" s="1">
        <f t="shared" ca="1" si="116"/>
        <v>16.601995582464635</v>
      </c>
      <c r="CO116" s="1">
        <f t="shared" ca="1" si="117"/>
        <v>0.26207539341541125</v>
      </c>
      <c r="CP116" s="1">
        <f t="shared" ca="1" si="118"/>
        <v>5</v>
      </c>
      <c r="DH116" s="1">
        <f t="shared" ca="1" si="119"/>
        <v>391</v>
      </c>
      <c r="DI116" s="1">
        <f t="shared" ca="1" si="120"/>
        <v>0.32416209216201475</v>
      </c>
      <c r="DJ116" s="1">
        <f t="shared" ca="1" si="121"/>
        <v>20</v>
      </c>
      <c r="DL116" s="1">
        <f t="shared" ca="1" si="122"/>
        <v>0.13484884507494882</v>
      </c>
      <c r="DM116" s="1">
        <f t="shared" ca="1" si="123"/>
        <v>289</v>
      </c>
      <c r="DN116" s="1">
        <f t="shared" ca="1" si="124"/>
        <v>3</v>
      </c>
    </row>
    <row r="117" spans="2:118" x14ac:dyDescent="0.25">
      <c r="B117">
        <f t="shared" ca="1" si="63"/>
        <v>806</v>
      </c>
      <c r="C117">
        <f t="shared" ca="1" si="64"/>
        <v>29</v>
      </c>
      <c r="D117">
        <f t="shared" ca="1" si="65"/>
        <v>0.25790384335812738</v>
      </c>
      <c r="F117" s="1">
        <f t="shared" ca="1" si="66"/>
        <v>2</v>
      </c>
      <c r="G117" s="1">
        <f t="shared" ca="1" si="67"/>
        <v>27</v>
      </c>
      <c r="H117" s="1">
        <f t="shared" ca="1" si="68"/>
        <v>9</v>
      </c>
      <c r="I117" s="1"/>
      <c r="J117" s="1">
        <f t="shared" ca="1" si="69"/>
        <v>31</v>
      </c>
      <c r="K117" s="1">
        <f t="shared" ca="1" si="70"/>
        <v>1.6734144826941999</v>
      </c>
      <c r="L117" s="1">
        <f t="shared" ca="1" si="71"/>
        <v>10</v>
      </c>
      <c r="M117" s="1"/>
      <c r="N117" s="1">
        <f t="shared" ca="1" si="72"/>
        <v>226</v>
      </c>
      <c r="O117" s="1">
        <f t="shared" ca="1" si="73"/>
        <v>33</v>
      </c>
      <c r="P117" s="1"/>
      <c r="Q117" s="1">
        <f t="shared" ca="1" si="74"/>
        <v>3.1101023517367499</v>
      </c>
      <c r="R117" s="1">
        <f t="shared" ca="1" si="75"/>
        <v>551</v>
      </c>
      <c r="S117" s="1"/>
      <c r="T117" s="1">
        <f t="shared" ca="1" si="76"/>
        <v>7.506030978811043E-2</v>
      </c>
      <c r="U117" s="1">
        <f t="shared" ca="1" si="77"/>
        <v>423</v>
      </c>
      <c r="V117" s="1">
        <f t="shared" ca="1" si="78"/>
        <v>10</v>
      </c>
      <c r="W117" s="1"/>
      <c r="X117" s="1">
        <f t="shared" ca="1" si="79"/>
        <v>3.4072941188375903</v>
      </c>
      <c r="Y117" s="1">
        <f t="shared" ca="1" si="80"/>
        <v>0.59251584844080885</v>
      </c>
      <c r="Z117" s="1">
        <f t="shared" ca="1" si="81"/>
        <v>1906</v>
      </c>
      <c r="AB117" s="1">
        <f t="shared" ca="1" si="82"/>
        <v>0.21847821057977165</v>
      </c>
      <c r="AC117" s="1">
        <f t="shared" ca="1" si="83"/>
        <v>393</v>
      </c>
      <c r="AD117" s="1">
        <f t="shared" ca="1" si="84"/>
        <v>1.3733718381953469E-3</v>
      </c>
      <c r="AE117" s="1"/>
      <c r="AF117" s="1">
        <f t="shared" ca="1" si="85"/>
        <v>0.1761227287539967</v>
      </c>
      <c r="AG117" s="1">
        <f t="shared" ca="1" si="86"/>
        <v>360</v>
      </c>
      <c r="AH117" s="1">
        <f t="shared" ca="1" si="87"/>
        <v>7.4272684750108517E-3</v>
      </c>
      <c r="AJ117" s="1">
        <f t="shared" ca="1" si="88"/>
        <v>4.7137896703204785E-2</v>
      </c>
      <c r="AK117" s="1">
        <f t="shared" ca="1" si="89"/>
        <v>3.3508376713258913E-3</v>
      </c>
      <c r="AL117" s="1"/>
      <c r="AM117" s="1">
        <f t="shared" ca="1" si="90"/>
        <v>0.18311723700885318</v>
      </c>
      <c r="AN117" s="1">
        <f t="shared" ca="1" si="91"/>
        <v>75</v>
      </c>
      <c r="AO117" s="1">
        <f t="shared" ca="1" si="92"/>
        <v>8</v>
      </c>
      <c r="AQ117" s="1">
        <f t="shared" ca="1" si="93"/>
        <v>120</v>
      </c>
      <c r="AR117" s="1">
        <f t="shared" ca="1" si="94"/>
        <v>2</v>
      </c>
      <c r="AS117" s="1">
        <f t="shared" ca="1" si="95"/>
        <v>31</v>
      </c>
      <c r="AU117" s="1">
        <f t="shared" ca="1" si="96"/>
        <v>363</v>
      </c>
      <c r="AV117" s="1">
        <f t="shared" ca="1" si="97"/>
        <v>6</v>
      </c>
      <c r="AW117" s="1">
        <f t="shared" ca="1" si="98"/>
        <v>7.3197263735131385E-2</v>
      </c>
      <c r="AY117" s="1">
        <f t="shared" ca="1" si="99"/>
        <v>1.2377756718695845</v>
      </c>
      <c r="AZ117" s="1">
        <f t="shared" ca="1" si="100"/>
        <v>236</v>
      </c>
      <c r="BA117" s="1">
        <f t="shared" ca="1" si="101"/>
        <v>9.6396462221082886E-4</v>
      </c>
      <c r="BV117" s="1">
        <f t="shared" ca="1" si="102"/>
        <v>0.60084086404533643</v>
      </c>
      <c r="BW117" s="1">
        <f t="shared" ca="1" si="103"/>
        <v>355</v>
      </c>
      <c r="BX117" s="1">
        <f t="shared" ca="1" si="104"/>
        <v>8.0254539729721283E-3</v>
      </c>
      <c r="BY117" s="1">
        <f t="shared" ca="1" si="105"/>
        <v>1.7130822161958818E-2</v>
      </c>
      <c r="BZ117" s="1">
        <f t="shared" ca="1" si="106"/>
        <v>0.73619226866375609</v>
      </c>
      <c r="CB117" s="1">
        <f t="shared" ca="1" si="107"/>
        <v>144</v>
      </c>
      <c r="CC117" s="1">
        <f t="shared" ca="1" si="108"/>
        <v>8</v>
      </c>
      <c r="CD117" s="1">
        <f t="shared" ca="1" si="109"/>
        <v>6.5962878469970482E-2</v>
      </c>
      <c r="CE117" s="1">
        <f t="shared" ca="1" si="125"/>
        <v>0.74582784480109865</v>
      </c>
      <c r="CF117" s="1">
        <f t="shared" ca="1" si="125"/>
        <v>0.51041343868080591</v>
      </c>
      <c r="CH117" s="3">
        <f t="shared" ca="1" si="111"/>
        <v>0.65196312552687519</v>
      </c>
      <c r="CI117" s="3">
        <f t="shared" ca="1" si="112"/>
        <v>0.89365904725588263</v>
      </c>
      <c r="CJ117" s="3">
        <f t="shared" ca="1" si="113"/>
        <v>694</v>
      </c>
      <c r="CK117" s="3">
        <f t="shared" ca="1" si="114"/>
        <v>5.9520829863354361E-3</v>
      </c>
      <c r="CL117" s="3">
        <f t="shared" ca="1" si="115"/>
        <v>0</v>
      </c>
      <c r="CM117" s="3"/>
      <c r="CN117" s="1">
        <f t="shared" ca="1" si="116"/>
        <v>15.668600779668401</v>
      </c>
      <c r="CO117" s="1">
        <f t="shared" ca="1" si="117"/>
        <v>6.5421838597169671E-2</v>
      </c>
      <c r="CP117" s="1">
        <f t="shared" ca="1" si="118"/>
        <v>5</v>
      </c>
      <c r="DH117" s="1">
        <f t="shared" ca="1" si="119"/>
        <v>469</v>
      </c>
      <c r="DI117" s="1">
        <f t="shared" ca="1" si="120"/>
        <v>0.1645755952754083</v>
      </c>
      <c r="DJ117" s="1">
        <f t="shared" ca="1" si="121"/>
        <v>12</v>
      </c>
      <c r="DL117" s="1">
        <f t="shared" ca="1" si="122"/>
        <v>0.12867094765402801</v>
      </c>
      <c r="DM117" s="1">
        <f t="shared" ca="1" si="123"/>
        <v>223</v>
      </c>
      <c r="DN117" s="1">
        <f t="shared" ca="1" si="124"/>
        <v>2</v>
      </c>
    </row>
    <row r="118" spans="2:118" x14ac:dyDescent="0.25">
      <c r="B118">
        <f t="shared" ca="1" si="63"/>
        <v>405</v>
      </c>
      <c r="C118">
        <f t="shared" ca="1" si="64"/>
        <v>47</v>
      </c>
      <c r="D118">
        <f t="shared" ca="1" si="65"/>
        <v>4.1278311791698212E-2</v>
      </c>
      <c r="F118" s="1">
        <f t="shared" ca="1" si="66"/>
        <v>38</v>
      </c>
      <c r="G118" s="1">
        <f t="shared" ca="1" si="67"/>
        <v>23</v>
      </c>
      <c r="H118" s="1">
        <f t="shared" ca="1" si="68"/>
        <v>9</v>
      </c>
      <c r="I118" s="1"/>
      <c r="J118" s="1">
        <f t="shared" ca="1" si="69"/>
        <v>10</v>
      </c>
      <c r="K118" s="1">
        <f t="shared" ca="1" si="70"/>
        <v>2.8414248103750728</v>
      </c>
      <c r="L118" s="1">
        <f t="shared" ca="1" si="71"/>
        <v>19</v>
      </c>
      <c r="M118" s="1"/>
      <c r="N118" s="1">
        <f t="shared" ca="1" si="72"/>
        <v>607</v>
      </c>
      <c r="O118" s="1">
        <f t="shared" ca="1" si="73"/>
        <v>17</v>
      </c>
      <c r="P118" s="1"/>
      <c r="Q118" s="1">
        <f t="shared" ca="1" si="74"/>
        <v>1.6873711802796267</v>
      </c>
      <c r="R118" s="1">
        <f t="shared" ca="1" si="75"/>
        <v>957</v>
      </c>
      <c r="S118" s="1"/>
      <c r="T118" s="1">
        <f t="shared" ca="1" si="76"/>
        <v>8.6103110242659806E-2</v>
      </c>
      <c r="U118" s="1">
        <f t="shared" ca="1" si="77"/>
        <v>301</v>
      </c>
      <c r="V118" s="1">
        <f t="shared" ca="1" si="78"/>
        <v>37</v>
      </c>
      <c r="W118" s="1"/>
      <c r="X118" s="1">
        <f t="shared" ca="1" si="79"/>
        <v>7.9205449441528186</v>
      </c>
      <c r="Y118" s="1">
        <f t="shared" ca="1" si="80"/>
        <v>0.31992815797734547</v>
      </c>
      <c r="Z118" s="1">
        <f t="shared" ca="1" si="81"/>
        <v>935</v>
      </c>
      <c r="AB118" s="1">
        <f t="shared" ca="1" si="82"/>
        <v>0.34424267051987756</v>
      </c>
      <c r="AC118" s="1">
        <f t="shared" ca="1" si="83"/>
        <v>291</v>
      </c>
      <c r="AD118" s="1">
        <f t="shared" ca="1" si="84"/>
        <v>1.8661386030717219E-3</v>
      </c>
      <c r="AE118" s="1"/>
      <c r="AF118" s="1">
        <f t="shared" ca="1" si="85"/>
        <v>0.39307440220734102</v>
      </c>
      <c r="AG118" s="1">
        <f t="shared" ca="1" si="86"/>
        <v>264</v>
      </c>
      <c r="AH118" s="1">
        <f t="shared" ca="1" si="87"/>
        <v>4.8513448976632333E-3</v>
      </c>
      <c r="AJ118" s="1">
        <f t="shared" ca="1" si="88"/>
        <v>0.69130583151643044</v>
      </c>
      <c r="AK118" s="1">
        <f t="shared" ca="1" si="89"/>
        <v>4.8169699624393764E-3</v>
      </c>
      <c r="AL118" s="1"/>
      <c r="AM118" s="1">
        <f t="shared" ca="1" si="90"/>
        <v>4.0359361561503215E-2</v>
      </c>
      <c r="AN118" s="1">
        <f t="shared" ca="1" si="91"/>
        <v>61</v>
      </c>
      <c r="AO118" s="1">
        <f t="shared" ca="1" si="92"/>
        <v>17</v>
      </c>
      <c r="AQ118" s="1">
        <f t="shared" ca="1" si="93"/>
        <v>29</v>
      </c>
      <c r="AR118" s="1">
        <f t="shared" ca="1" si="94"/>
        <v>10</v>
      </c>
      <c r="AS118" s="1">
        <f t="shared" ca="1" si="95"/>
        <v>27</v>
      </c>
      <c r="AU118" s="1">
        <f t="shared" ca="1" si="96"/>
        <v>189</v>
      </c>
      <c r="AV118" s="1">
        <f t="shared" ca="1" si="97"/>
        <v>9</v>
      </c>
      <c r="AW118" s="1">
        <f t="shared" ca="1" si="98"/>
        <v>0.17565449522123053</v>
      </c>
      <c r="AY118" s="1">
        <f t="shared" ca="1" si="99"/>
        <v>1.9833141442336197</v>
      </c>
      <c r="AZ118" s="1">
        <f t="shared" ca="1" si="100"/>
        <v>331</v>
      </c>
      <c r="BA118" s="1">
        <f t="shared" ca="1" si="101"/>
        <v>3.2440656318084662E-3</v>
      </c>
      <c r="BV118" s="1">
        <f t="shared" ca="1" si="102"/>
        <v>0.49740496844245347</v>
      </c>
      <c r="BW118" s="1">
        <f t="shared" ca="1" si="103"/>
        <v>839</v>
      </c>
      <c r="BX118" s="1">
        <f t="shared" ca="1" si="104"/>
        <v>4.1906025560287923E-3</v>
      </c>
      <c r="BY118" s="1">
        <f t="shared" ca="1" si="105"/>
        <v>4.3663823919726855E-2</v>
      </c>
      <c r="BZ118" s="1">
        <f t="shared" ca="1" si="106"/>
        <v>0.20488380189578737</v>
      </c>
      <c r="CB118" s="1">
        <f t="shared" ca="1" si="107"/>
        <v>434</v>
      </c>
      <c r="CC118" s="1">
        <f t="shared" ca="1" si="108"/>
        <v>12</v>
      </c>
      <c r="CD118" s="1">
        <f t="shared" ca="1" si="109"/>
        <v>8.0229643503957657E-2</v>
      </c>
      <c r="CE118" s="1">
        <f t="shared" ca="1" si="125"/>
        <v>0.79841872508542644</v>
      </c>
      <c r="CF118" s="1">
        <f t="shared" ca="1" si="125"/>
        <v>0.94166250600572965</v>
      </c>
      <c r="CH118" s="3">
        <f t="shared" ca="1" si="111"/>
        <v>0.54035109970942563</v>
      </c>
      <c r="CI118" s="3">
        <f t="shared" ca="1" si="112"/>
        <v>0.11262246613041166</v>
      </c>
      <c r="CJ118" s="3">
        <f t="shared" ca="1" si="113"/>
        <v>996</v>
      </c>
      <c r="CK118" s="3">
        <f t="shared" ca="1" si="114"/>
        <v>8.4915313218245671E-3</v>
      </c>
      <c r="CL118" s="3">
        <f t="shared" ca="1" si="115"/>
        <v>0</v>
      </c>
      <c r="CM118" s="3"/>
      <c r="CN118" s="1">
        <f t="shared" ca="1" si="116"/>
        <v>0.33478412557147136</v>
      </c>
      <c r="CO118" s="1">
        <f t="shared" ca="1" si="117"/>
        <v>0.40889778633701229</v>
      </c>
      <c r="CP118" s="1">
        <f t="shared" ca="1" si="118"/>
        <v>3</v>
      </c>
      <c r="DH118" s="1">
        <f t="shared" ca="1" si="119"/>
        <v>275</v>
      </c>
      <c r="DI118" s="1">
        <f t="shared" ca="1" si="120"/>
        <v>1.3229161822049952E-2</v>
      </c>
      <c r="DJ118" s="1">
        <f t="shared" ca="1" si="121"/>
        <v>12</v>
      </c>
      <c r="DL118" s="1">
        <f t="shared" ca="1" si="122"/>
        <v>4.0589256011880959E-2</v>
      </c>
      <c r="DM118" s="1">
        <f t="shared" ca="1" si="123"/>
        <v>65</v>
      </c>
      <c r="DN118" s="1">
        <f t="shared" ca="1" si="124"/>
        <v>8</v>
      </c>
    </row>
    <row r="119" spans="2:118" x14ac:dyDescent="0.25">
      <c r="B119">
        <f t="shared" ca="1" si="63"/>
        <v>798</v>
      </c>
      <c r="C119">
        <f t="shared" ca="1" si="64"/>
        <v>42</v>
      </c>
      <c r="D119">
        <f t="shared" ca="1" si="65"/>
        <v>0.18752575582548814</v>
      </c>
      <c r="F119" s="1">
        <f t="shared" ca="1" si="66"/>
        <v>28</v>
      </c>
      <c r="G119" s="1">
        <f t="shared" ca="1" si="67"/>
        <v>30</v>
      </c>
      <c r="H119" s="1">
        <f t="shared" ca="1" si="68"/>
        <v>8</v>
      </c>
      <c r="I119" s="1"/>
      <c r="J119" s="1">
        <f t="shared" ca="1" si="69"/>
        <v>28</v>
      </c>
      <c r="K119" s="1">
        <f t="shared" ca="1" si="70"/>
        <v>2.9871763863470662</v>
      </c>
      <c r="L119" s="1">
        <f t="shared" ca="1" si="71"/>
        <v>21</v>
      </c>
      <c r="M119" s="1"/>
      <c r="N119" s="1">
        <f t="shared" ca="1" si="72"/>
        <v>956</v>
      </c>
      <c r="O119" s="1">
        <f t="shared" ca="1" si="73"/>
        <v>44</v>
      </c>
      <c r="P119" s="1"/>
      <c r="Q119" s="1">
        <f t="shared" ca="1" si="74"/>
        <v>0.14361973675029152</v>
      </c>
      <c r="R119" s="1">
        <f t="shared" ca="1" si="75"/>
        <v>536</v>
      </c>
      <c r="S119" s="1"/>
      <c r="T119" s="1">
        <f t="shared" ca="1" si="76"/>
        <v>5.0524394178946046E-2</v>
      </c>
      <c r="U119" s="1">
        <f t="shared" ca="1" si="77"/>
        <v>81</v>
      </c>
      <c r="V119" s="1">
        <f t="shared" ca="1" si="78"/>
        <v>24</v>
      </c>
      <c r="W119" s="1"/>
      <c r="X119" s="1">
        <f t="shared" ca="1" si="79"/>
        <v>6.8107893175911247</v>
      </c>
      <c r="Y119" s="1">
        <f t="shared" ca="1" si="80"/>
        <v>0.38962883644967811</v>
      </c>
      <c r="Z119" s="1">
        <f t="shared" ca="1" si="81"/>
        <v>839</v>
      </c>
      <c r="AB119" s="1">
        <f t="shared" ca="1" si="82"/>
        <v>0.75801952768152481</v>
      </c>
      <c r="AC119" s="1">
        <f t="shared" ca="1" si="83"/>
        <v>279</v>
      </c>
      <c r="AD119" s="1">
        <f t="shared" ca="1" si="84"/>
        <v>3.915285619421749E-4</v>
      </c>
      <c r="AE119" s="1"/>
      <c r="AF119" s="1">
        <f t="shared" ca="1" si="85"/>
        <v>0.12869821293848605</v>
      </c>
      <c r="AG119" s="1">
        <f t="shared" ca="1" si="86"/>
        <v>638</v>
      </c>
      <c r="AH119" s="1">
        <f t="shared" ca="1" si="87"/>
        <v>3.4468459180793292E-3</v>
      </c>
      <c r="AJ119" s="1">
        <f t="shared" ca="1" si="88"/>
        <v>0.49176637529000533</v>
      </c>
      <c r="AK119" s="1">
        <f t="shared" ca="1" si="89"/>
        <v>8.9577027869421032E-3</v>
      </c>
      <c r="AL119" s="1"/>
      <c r="AM119" s="1">
        <f t="shared" ca="1" si="90"/>
        <v>1.8046383970983532E-2</v>
      </c>
      <c r="AN119" s="1">
        <f t="shared" ca="1" si="91"/>
        <v>33</v>
      </c>
      <c r="AO119" s="1">
        <f t="shared" ca="1" si="92"/>
        <v>11</v>
      </c>
      <c r="AQ119" s="1">
        <f t="shared" ca="1" si="93"/>
        <v>173</v>
      </c>
      <c r="AR119" s="1">
        <f t="shared" ca="1" si="94"/>
        <v>2</v>
      </c>
      <c r="AS119" s="1">
        <f t="shared" ca="1" si="95"/>
        <v>85</v>
      </c>
      <c r="AU119" s="1">
        <f t="shared" ca="1" si="96"/>
        <v>56</v>
      </c>
      <c r="AV119" s="1">
        <f t="shared" ca="1" si="97"/>
        <v>3</v>
      </c>
      <c r="AW119" s="1">
        <f t="shared" ca="1" si="98"/>
        <v>8.2741983943486308E-2</v>
      </c>
      <c r="AY119" s="1">
        <f t="shared" ca="1" si="99"/>
        <v>1.4930157111042228</v>
      </c>
      <c r="AZ119" s="1">
        <f t="shared" ca="1" si="100"/>
        <v>279</v>
      </c>
      <c r="BA119" s="1">
        <f t="shared" ca="1" si="101"/>
        <v>9.8305690233882748E-3</v>
      </c>
      <c r="BV119" s="1">
        <f t="shared" ca="1" si="102"/>
        <v>0.8170020605793985</v>
      </c>
      <c r="BW119" s="1">
        <f t="shared" ca="1" si="103"/>
        <v>221</v>
      </c>
      <c r="BX119" s="1">
        <f t="shared" ca="1" si="104"/>
        <v>9.4741813329265699E-3</v>
      </c>
      <c r="BY119" s="1">
        <f t="shared" ca="1" si="105"/>
        <v>7.7168231952393154E-2</v>
      </c>
      <c r="BZ119" s="1">
        <f t="shared" ca="1" si="106"/>
        <v>0.16235742519814411</v>
      </c>
      <c r="CB119" s="1">
        <f t="shared" ca="1" si="107"/>
        <v>384</v>
      </c>
      <c r="CC119" s="1">
        <f t="shared" ca="1" si="108"/>
        <v>10</v>
      </c>
      <c r="CD119" s="1">
        <f t="shared" ca="1" si="109"/>
        <v>8.5060782563023241E-2</v>
      </c>
      <c r="CE119" s="1">
        <f t="shared" ca="1" si="125"/>
        <v>0.69255163822488575</v>
      </c>
      <c r="CF119" s="1">
        <f t="shared" ca="1" si="125"/>
        <v>0.93209392573399186</v>
      </c>
      <c r="CH119" s="3">
        <f t="shared" ca="1" si="111"/>
        <v>0.64878097183841188</v>
      </c>
      <c r="CI119" s="3">
        <f t="shared" ca="1" si="112"/>
        <v>0.89417274185404438</v>
      </c>
      <c r="CJ119" s="3">
        <f t="shared" ca="1" si="113"/>
        <v>1891</v>
      </c>
      <c r="CK119" s="3">
        <f t="shared" ca="1" si="114"/>
        <v>7.8563131339564034E-3</v>
      </c>
      <c r="CL119" s="3">
        <f t="shared" ca="1" si="115"/>
        <v>1</v>
      </c>
      <c r="CM119" s="3"/>
      <c r="CN119" s="1">
        <f t="shared" ca="1" si="116"/>
        <v>11.966277959737498</v>
      </c>
      <c r="CO119" s="1">
        <f t="shared" ca="1" si="117"/>
        <v>0.27924482807064988</v>
      </c>
      <c r="CP119" s="1">
        <f t="shared" ca="1" si="118"/>
        <v>1</v>
      </c>
      <c r="DH119" s="1">
        <f t="shared" ca="1" si="119"/>
        <v>889</v>
      </c>
      <c r="DI119" s="1">
        <f t="shared" ca="1" si="120"/>
        <v>0.78776091513584723</v>
      </c>
      <c r="DJ119" s="1">
        <f t="shared" ca="1" si="121"/>
        <v>23</v>
      </c>
      <c r="DL119" s="1">
        <f t="shared" ca="1" si="122"/>
        <v>0.12417664315312775</v>
      </c>
      <c r="DM119" s="1">
        <f t="shared" ca="1" si="123"/>
        <v>272</v>
      </c>
      <c r="DN119" s="1">
        <f t="shared" ca="1" si="124"/>
        <v>10</v>
      </c>
    </row>
    <row r="120" spans="2:118" x14ac:dyDescent="0.25">
      <c r="B120">
        <f t="shared" ca="1" si="63"/>
        <v>203</v>
      </c>
      <c r="C120">
        <f t="shared" ca="1" si="64"/>
        <v>6</v>
      </c>
      <c r="D120">
        <f t="shared" ca="1" si="65"/>
        <v>8.8893467909194682E-2</v>
      </c>
      <c r="F120" s="1">
        <f t="shared" ca="1" si="66"/>
        <v>6</v>
      </c>
      <c r="G120" s="1">
        <f t="shared" ca="1" si="67"/>
        <v>2</v>
      </c>
      <c r="H120" s="1">
        <f t="shared" ca="1" si="68"/>
        <v>15</v>
      </c>
      <c r="I120" s="1"/>
      <c r="J120" s="1">
        <f t="shared" ca="1" si="69"/>
        <v>7</v>
      </c>
      <c r="K120" s="1">
        <f t="shared" ca="1" si="70"/>
        <v>2.6235813753353474</v>
      </c>
      <c r="L120" s="1">
        <f t="shared" ca="1" si="71"/>
        <v>14</v>
      </c>
      <c r="M120" s="1"/>
      <c r="N120" s="1">
        <f t="shared" ca="1" si="72"/>
        <v>214</v>
      </c>
      <c r="O120" s="1">
        <f t="shared" ca="1" si="73"/>
        <v>11</v>
      </c>
      <c r="P120" s="1"/>
      <c r="Q120" s="1">
        <f t="shared" ca="1" si="74"/>
        <v>0.95204575449846418</v>
      </c>
      <c r="R120" s="1">
        <f t="shared" ca="1" si="75"/>
        <v>662</v>
      </c>
      <c r="S120" s="1"/>
      <c r="T120" s="1">
        <f t="shared" ca="1" si="76"/>
        <v>0.13934080095753795</v>
      </c>
      <c r="U120" s="1">
        <f t="shared" ca="1" si="77"/>
        <v>159</v>
      </c>
      <c r="V120" s="1">
        <f t="shared" ca="1" si="78"/>
        <v>48</v>
      </c>
      <c r="W120" s="1"/>
      <c r="X120" s="1">
        <f t="shared" ca="1" si="79"/>
        <v>0.57743432510248405</v>
      </c>
      <c r="Y120" s="1">
        <f t="shared" ca="1" si="80"/>
        <v>0.59425950492993374</v>
      </c>
      <c r="Z120" s="1">
        <f t="shared" ca="1" si="81"/>
        <v>151</v>
      </c>
      <c r="AB120" s="1">
        <f t="shared" ca="1" si="82"/>
        <v>0.38087911363229626</v>
      </c>
      <c r="AC120" s="1">
        <f t="shared" ca="1" si="83"/>
        <v>321</v>
      </c>
      <c r="AD120" s="1">
        <f t="shared" ca="1" si="84"/>
        <v>7.1758303021631279E-4</v>
      </c>
      <c r="AE120" s="1"/>
      <c r="AF120" s="1">
        <f t="shared" ca="1" si="85"/>
        <v>0.33731591066352307</v>
      </c>
      <c r="AG120" s="1">
        <f t="shared" ca="1" si="86"/>
        <v>349</v>
      </c>
      <c r="AH120" s="1">
        <f t="shared" ca="1" si="87"/>
        <v>6.6018864647717623E-3</v>
      </c>
      <c r="AJ120" s="1">
        <f t="shared" ca="1" si="88"/>
        <v>2.9429433572036978E-2</v>
      </c>
      <c r="AK120" s="1">
        <f t="shared" ca="1" si="89"/>
        <v>1.1926307830733348E-3</v>
      </c>
      <c r="AL120" s="1"/>
      <c r="AM120" s="1">
        <f t="shared" ca="1" si="90"/>
        <v>6.2660214024287397E-2</v>
      </c>
      <c r="AN120" s="1">
        <f t="shared" ca="1" si="91"/>
        <v>40</v>
      </c>
      <c r="AO120" s="1">
        <f t="shared" ca="1" si="92"/>
        <v>15</v>
      </c>
      <c r="AQ120" s="1">
        <f t="shared" ca="1" si="93"/>
        <v>194</v>
      </c>
      <c r="AR120" s="1">
        <f t="shared" ca="1" si="94"/>
        <v>8</v>
      </c>
      <c r="AS120" s="1">
        <f t="shared" ca="1" si="95"/>
        <v>35</v>
      </c>
      <c r="AU120" s="1">
        <f t="shared" ca="1" si="96"/>
        <v>258</v>
      </c>
      <c r="AV120" s="1">
        <f t="shared" ca="1" si="97"/>
        <v>4</v>
      </c>
      <c r="AW120" s="1">
        <f t="shared" ca="1" si="98"/>
        <v>2.7333283789944852E-2</v>
      </c>
      <c r="AY120" s="1">
        <f t="shared" ca="1" si="99"/>
        <v>1.3570154846375408</v>
      </c>
      <c r="AZ120" s="1">
        <f t="shared" ca="1" si="100"/>
        <v>419</v>
      </c>
      <c r="BA120" s="1">
        <f t="shared" ca="1" si="101"/>
        <v>9.3406006460201203E-3</v>
      </c>
      <c r="BV120" s="1">
        <f t="shared" ca="1" si="102"/>
        <v>0.66561288990867673</v>
      </c>
      <c r="BW120" s="1">
        <f t="shared" ca="1" si="103"/>
        <v>428</v>
      </c>
      <c r="BX120" s="1">
        <f t="shared" ca="1" si="104"/>
        <v>3.0062378593648724E-3</v>
      </c>
      <c r="BY120" s="1">
        <f t="shared" ca="1" si="105"/>
        <v>8.6362355864774507E-3</v>
      </c>
      <c r="BZ120" s="1">
        <f t="shared" ca="1" si="106"/>
        <v>0.47634034374448109</v>
      </c>
      <c r="CB120" s="1">
        <f t="shared" ca="1" si="107"/>
        <v>162</v>
      </c>
      <c r="CC120" s="1">
        <f t="shared" ca="1" si="108"/>
        <v>7</v>
      </c>
      <c r="CD120" s="1">
        <f t="shared" ca="1" si="109"/>
        <v>7.7464328033334903E-2</v>
      </c>
      <c r="CE120" s="1">
        <f t="shared" ca="1" si="125"/>
        <v>0.56880789061551629</v>
      </c>
      <c r="CF120" s="1">
        <f t="shared" ca="1" si="125"/>
        <v>0.5656691143598378</v>
      </c>
      <c r="CH120" s="3">
        <f t="shared" ca="1" si="111"/>
        <v>5.6022434473499083E-2</v>
      </c>
      <c r="CI120" s="3">
        <f t="shared" ca="1" si="112"/>
        <v>0.47836564357160433</v>
      </c>
      <c r="CJ120" s="3">
        <f t="shared" ca="1" si="113"/>
        <v>1110</v>
      </c>
      <c r="CK120" s="3">
        <f t="shared" ca="1" si="114"/>
        <v>3.4714362446040662E-3</v>
      </c>
      <c r="CL120" s="3">
        <f t="shared" ca="1" si="115"/>
        <v>0</v>
      </c>
      <c r="CM120" s="3"/>
      <c r="CN120" s="1">
        <f t="shared" ca="1" si="116"/>
        <v>3.4572624275905053</v>
      </c>
      <c r="CO120" s="1">
        <f t="shared" ca="1" si="117"/>
        <v>0.18070054699435953</v>
      </c>
      <c r="CP120" s="1">
        <f t="shared" ca="1" si="118"/>
        <v>3</v>
      </c>
      <c r="DH120" s="1">
        <f t="shared" ca="1" si="119"/>
        <v>89</v>
      </c>
      <c r="DI120" s="1">
        <f t="shared" ca="1" si="120"/>
        <v>0.5543237761340909</v>
      </c>
      <c r="DJ120" s="1">
        <f t="shared" ca="1" si="121"/>
        <v>4</v>
      </c>
      <c r="DL120" s="1">
        <f t="shared" ca="1" si="122"/>
        <v>9.3990580040566707E-2</v>
      </c>
      <c r="DM120" s="1">
        <f t="shared" ca="1" si="123"/>
        <v>219</v>
      </c>
      <c r="DN120" s="1">
        <f t="shared" ca="1" si="124"/>
        <v>5</v>
      </c>
    </row>
    <row r="121" spans="2:118" x14ac:dyDescent="0.25">
      <c r="B121">
        <f t="shared" ca="1" si="63"/>
        <v>530</v>
      </c>
      <c r="C121">
        <f t="shared" ca="1" si="64"/>
        <v>25</v>
      </c>
      <c r="D121">
        <f t="shared" ca="1" si="65"/>
        <v>0.19933369919810665</v>
      </c>
      <c r="F121" s="1">
        <f t="shared" ca="1" si="66"/>
        <v>50</v>
      </c>
      <c r="G121" s="1">
        <f t="shared" ca="1" si="67"/>
        <v>9</v>
      </c>
      <c r="H121" s="1">
        <f t="shared" ca="1" si="68"/>
        <v>3</v>
      </c>
      <c r="I121" s="1"/>
      <c r="J121" s="1">
        <f t="shared" ca="1" si="69"/>
        <v>34</v>
      </c>
      <c r="K121" s="1">
        <f t="shared" ca="1" si="70"/>
        <v>2.3164370097019762</v>
      </c>
      <c r="L121" s="1">
        <f t="shared" ca="1" si="71"/>
        <v>29</v>
      </c>
      <c r="M121" s="1"/>
      <c r="N121" s="1">
        <f t="shared" ca="1" si="72"/>
        <v>112</v>
      </c>
      <c r="O121" s="1">
        <f t="shared" ca="1" si="73"/>
        <v>7</v>
      </c>
      <c r="P121" s="1"/>
      <c r="Q121" s="1">
        <f t="shared" ca="1" si="74"/>
        <v>2.0306897814011093</v>
      </c>
      <c r="R121" s="1">
        <f t="shared" ca="1" si="75"/>
        <v>362</v>
      </c>
      <c r="S121" s="1"/>
      <c r="T121" s="1">
        <f t="shared" ca="1" si="76"/>
        <v>0.14901190488887472</v>
      </c>
      <c r="U121" s="1">
        <f t="shared" ca="1" si="77"/>
        <v>402</v>
      </c>
      <c r="V121" s="1">
        <f t="shared" ca="1" si="78"/>
        <v>21</v>
      </c>
      <c r="W121" s="1"/>
      <c r="X121" s="1">
        <f t="shared" ca="1" si="79"/>
        <v>9.4977670394669484</v>
      </c>
      <c r="Y121" s="1">
        <f t="shared" ca="1" si="80"/>
        <v>0.46400043961300214</v>
      </c>
      <c r="Z121" s="1">
        <f t="shared" ca="1" si="81"/>
        <v>1309</v>
      </c>
      <c r="AB121" s="1">
        <f t="shared" ca="1" si="82"/>
        <v>0.69671086606446564</v>
      </c>
      <c r="AC121" s="1">
        <f t="shared" ca="1" si="83"/>
        <v>602</v>
      </c>
      <c r="AD121" s="1">
        <f t="shared" ca="1" si="84"/>
        <v>9.4748935006396702E-3</v>
      </c>
      <c r="AE121" s="1"/>
      <c r="AF121" s="1">
        <f t="shared" ca="1" si="85"/>
        <v>0.30311583050467727</v>
      </c>
      <c r="AG121" s="1">
        <f t="shared" ca="1" si="86"/>
        <v>143</v>
      </c>
      <c r="AH121" s="1">
        <f t="shared" ca="1" si="87"/>
        <v>4.5131209950064564E-3</v>
      </c>
      <c r="AJ121" s="1">
        <f t="shared" ca="1" si="88"/>
        <v>0.12492362448341832</v>
      </c>
      <c r="AK121" s="1">
        <f t="shared" ca="1" si="89"/>
        <v>3.8619001850162316E-3</v>
      </c>
      <c r="AL121" s="1"/>
      <c r="AM121" s="1">
        <f t="shared" ca="1" si="90"/>
        <v>1.5143960633441117E-2</v>
      </c>
      <c r="AN121" s="1">
        <f t="shared" ca="1" si="91"/>
        <v>63</v>
      </c>
      <c r="AO121" s="1">
        <f t="shared" ca="1" si="92"/>
        <v>7</v>
      </c>
      <c r="AQ121" s="1">
        <f t="shared" ca="1" si="93"/>
        <v>131</v>
      </c>
      <c r="AR121" s="1">
        <f t="shared" ca="1" si="94"/>
        <v>10</v>
      </c>
      <c r="AS121" s="1">
        <f t="shared" ca="1" si="95"/>
        <v>35</v>
      </c>
      <c r="AU121" s="1">
        <f t="shared" ca="1" si="96"/>
        <v>114</v>
      </c>
      <c r="AV121" s="1">
        <f t="shared" ca="1" si="97"/>
        <v>6</v>
      </c>
      <c r="AW121" s="1">
        <f t="shared" ca="1" si="98"/>
        <v>3.4382056827847458E-2</v>
      </c>
      <c r="AY121" s="1">
        <f t="shared" ca="1" si="99"/>
        <v>1.5184362567613539</v>
      </c>
      <c r="AZ121" s="1">
        <f t="shared" ca="1" si="100"/>
        <v>312</v>
      </c>
      <c r="BA121" s="1">
        <f t="shared" ca="1" si="101"/>
        <v>5.8958999256810375E-3</v>
      </c>
      <c r="BV121" s="1">
        <f t="shared" ca="1" si="102"/>
        <v>0.13231975037965088</v>
      </c>
      <c r="BW121" s="1">
        <f t="shared" ca="1" si="103"/>
        <v>992</v>
      </c>
      <c r="BX121" s="1">
        <f t="shared" ca="1" si="104"/>
        <v>7.1060222769671064E-3</v>
      </c>
      <c r="BY121" s="1">
        <f t="shared" ca="1" si="105"/>
        <v>6.0464207914675702E-2</v>
      </c>
      <c r="BZ121" s="1">
        <f t="shared" ca="1" si="106"/>
        <v>0.94569752505482985</v>
      </c>
      <c r="CB121" s="1">
        <f t="shared" ca="1" si="107"/>
        <v>109</v>
      </c>
      <c r="CC121" s="1">
        <f t="shared" ca="1" si="108"/>
        <v>12</v>
      </c>
      <c r="CD121" s="1">
        <f t="shared" ca="1" si="109"/>
        <v>0.24634968496120069</v>
      </c>
      <c r="CE121" s="1">
        <f t="shared" ca="1" si="125"/>
        <v>0.77063511011245067</v>
      </c>
      <c r="CF121" s="1">
        <f t="shared" ca="1" si="125"/>
        <v>0.57880875623990824</v>
      </c>
      <c r="CH121" s="3">
        <f t="shared" ca="1" si="111"/>
        <v>4.3058083937269669E-2</v>
      </c>
      <c r="CI121" s="3">
        <f t="shared" ca="1" si="112"/>
        <v>0.38024959107121081</v>
      </c>
      <c r="CJ121" s="3">
        <f t="shared" ca="1" si="113"/>
        <v>1339</v>
      </c>
      <c r="CK121" s="3">
        <f t="shared" ca="1" si="114"/>
        <v>2.1990729109858981E-3</v>
      </c>
      <c r="CL121" s="3">
        <f t="shared" ca="1" si="115"/>
        <v>1</v>
      </c>
      <c r="CM121" s="3"/>
      <c r="CN121" s="1">
        <f t="shared" ca="1" si="116"/>
        <v>0.23685165802038419</v>
      </c>
      <c r="CO121" s="1">
        <f t="shared" ca="1" si="117"/>
        <v>0.1252212472745744</v>
      </c>
      <c r="CP121" s="1">
        <f t="shared" ca="1" si="118"/>
        <v>4</v>
      </c>
      <c r="DH121" s="1">
        <f t="shared" ca="1" si="119"/>
        <v>669</v>
      </c>
      <c r="DI121" s="1">
        <f t="shared" ca="1" si="120"/>
        <v>0.37315148342719878</v>
      </c>
      <c r="DJ121" s="1">
        <f t="shared" ca="1" si="121"/>
        <v>19</v>
      </c>
      <c r="DL121" s="1">
        <f t="shared" ca="1" si="122"/>
        <v>0.12051485310612416</v>
      </c>
      <c r="DM121" s="1">
        <f t="shared" ca="1" si="123"/>
        <v>116</v>
      </c>
      <c r="DN121" s="1">
        <f t="shared" ca="1" si="124"/>
        <v>3</v>
      </c>
    </row>
    <row r="122" spans="2:118" x14ac:dyDescent="0.25">
      <c r="B122">
        <f t="shared" ca="1" si="63"/>
        <v>738</v>
      </c>
      <c r="C122">
        <f t="shared" ca="1" si="64"/>
        <v>7</v>
      </c>
      <c r="D122">
        <f t="shared" ca="1" si="65"/>
        <v>7.779378283602216E-2</v>
      </c>
      <c r="F122" s="1">
        <f t="shared" ca="1" si="66"/>
        <v>35</v>
      </c>
      <c r="G122" s="1">
        <f t="shared" ca="1" si="67"/>
        <v>25</v>
      </c>
      <c r="H122" s="1">
        <f t="shared" ca="1" si="68"/>
        <v>5</v>
      </c>
      <c r="I122" s="1"/>
      <c r="J122" s="1">
        <f t="shared" ca="1" si="69"/>
        <v>8</v>
      </c>
      <c r="K122" s="1">
        <f t="shared" ca="1" si="70"/>
        <v>1.5568139948187336</v>
      </c>
      <c r="L122" s="1">
        <f t="shared" ca="1" si="71"/>
        <v>6</v>
      </c>
      <c r="M122" s="1"/>
      <c r="N122" s="1">
        <f t="shared" ca="1" si="72"/>
        <v>690</v>
      </c>
      <c r="O122" s="1">
        <f t="shared" ca="1" si="73"/>
        <v>12</v>
      </c>
      <c r="P122" s="1"/>
      <c r="Q122" s="1">
        <f t="shared" ca="1" si="74"/>
        <v>0.10630658558509209</v>
      </c>
      <c r="R122" s="1">
        <f t="shared" ca="1" si="75"/>
        <v>275</v>
      </c>
      <c r="S122" s="1"/>
      <c r="T122" s="1">
        <f t="shared" ca="1" si="76"/>
        <v>0.140449230271044</v>
      </c>
      <c r="U122" s="1">
        <f t="shared" ca="1" si="77"/>
        <v>363</v>
      </c>
      <c r="V122" s="1">
        <f t="shared" ca="1" si="78"/>
        <v>23</v>
      </c>
      <c r="W122" s="1"/>
      <c r="X122" s="1">
        <f t="shared" ca="1" si="79"/>
        <v>7.6905452714278502</v>
      </c>
      <c r="Y122" s="1">
        <f t="shared" ca="1" si="80"/>
        <v>5.3779727126604795E-2</v>
      </c>
      <c r="Z122" s="1">
        <f t="shared" ca="1" si="81"/>
        <v>1646</v>
      </c>
      <c r="AB122" s="1">
        <f t="shared" ca="1" si="82"/>
        <v>0.27402737960088608</v>
      </c>
      <c r="AC122" s="1">
        <f t="shared" ca="1" si="83"/>
        <v>130</v>
      </c>
      <c r="AD122" s="1">
        <f t="shared" ca="1" si="84"/>
        <v>7.358701165934586E-3</v>
      </c>
      <c r="AE122" s="1"/>
      <c r="AF122" s="1">
        <f t="shared" ca="1" si="85"/>
        <v>0.63644529247330939</v>
      </c>
      <c r="AG122" s="1">
        <f t="shared" ca="1" si="86"/>
        <v>593</v>
      </c>
      <c r="AH122" s="1">
        <f t="shared" ca="1" si="87"/>
        <v>2.6794894519502569E-3</v>
      </c>
      <c r="AJ122" s="1">
        <f t="shared" ca="1" si="88"/>
        <v>0.17005574305387772</v>
      </c>
      <c r="AK122" s="1">
        <f t="shared" ca="1" si="89"/>
        <v>7.474992832989082E-3</v>
      </c>
      <c r="AL122" s="1"/>
      <c r="AM122" s="1">
        <f t="shared" ca="1" si="90"/>
        <v>2.5599754779563125E-2</v>
      </c>
      <c r="AN122" s="1">
        <f t="shared" ca="1" si="91"/>
        <v>14</v>
      </c>
      <c r="AO122" s="1">
        <f t="shared" ca="1" si="92"/>
        <v>13</v>
      </c>
      <c r="AQ122" s="1">
        <f t="shared" ca="1" si="93"/>
        <v>175</v>
      </c>
      <c r="AR122" s="1">
        <f t="shared" ca="1" si="94"/>
        <v>9</v>
      </c>
      <c r="AS122" s="1">
        <f t="shared" ca="1" si="95"/>
        <v>36</v>
      </c>
      <c r="AU122" s="1">
        <f t="shared" ca="1" si="96"/>
        <v>398</v>
      </c>
      <c r="AV122" s="1">
        <f t="shared" ca="1" si="97"/>
        <v>8</v>
      </c>
      <c r="AW122" s="1">
        <f t="shared" ca="1" si="98"/>
        <v>0.13907681434367281</v>
      </c>
      <c r="AY122" s="1">
        <f t="shared" ca="1" si="99"/>
        <v>1.1432210607635958</v>
      </c>
      <c r="AZ122" s="1">
        <f t="shared" ca="1" si="100"/>
        <v>245</v>
      </c>
      <c r="BA122" s="1">
        <f t="shared" ca="1" si="101"/>
        <v>6.3913044315889508E-3</v>
      </c>
      <c r="BV122" s="1">
        <f t="shared" ca="1" si="102"/>
        <v>0.18397314176954505</v>
      </c>
      <c r="BW122" s="1">
        <f t="shared" ca="1" si="103"/>
        <v>979</v>
      </c>
      <c r="BX122" s="1">
        <f t="shared" ca="1" si="104"/>
        <v>6.8516946431492008E-3</v>
      </c>
      <c r="BY122" s="1">
        <f t="shared" ca="1" si="105"/>
        <v>6.8753196900673927E-2</v>
      </c>
      <c r="BZ122" s="1">
        <f t="shared" ca="1" si="106"/>
        <v>0.71574669372777422</v>
      </c>
      <c r="CB122" s="1">
        <f t="shared" ca="1" si="107"/>
        <v>65</v>
      </c>
      <c r="CC122" s="1">
        <f t="shared" ca="1" si="108"/>
        <v>10</v>
      </c>
      <c r="CD122" s="1">
        <f t="shared" ca="1" si="109"/>
        <v>0.16913130636115292</v>
      </c>
      <c r="CE122" s="1">
        <f t="shared" ca="1" si="125"/>
        <v>0.87358887820807685</v>
      </c>
      <c r="CF122" s="1">
        <f t="shared" ca="1" si="125"/>
        <v>0.72125102830017007</v>
      </c>
      <c r="CH122" s="3">
        <f t="shared" ca="1" si="111"/>
        <v>0.4302345824180982</v>
      </c>
      <c r="CI122" s="3">
        <f t="shared" ca="1" si="112"/>
        <v>1.7786200538539274E-2</v>
      </c>
      <c r="CJ122" s="3">
        <f t="shared" ca="1" si="113"/>
        <v>883</v>
      </c>
      <c r="CK122" s="3">
        <f t="shared" ca="1" si="114"/>
        <v>6.7179896461788463E-3</v>
      </c>
      <c r="CL122" s="3">
        <f t="shared" ca="1" si="115"/>
        <v>1</v>
      </c>
      <c r="CM122" s="3"/>
      <c r="CN122" s="1">
        <f t="shared" ca="1" si="116"/>
        <v>17.407853832651671</v>
      </c>
      <c r="CO122" s="1">
        <f t="shared" ca="1" si="117"/>
        <v>0.23566538652310287</v>
      </c>
      <c r="CP122" s="1">
        <f t="shared" ca="1" si="118"/>
        <v>5</v>
      </c>
      <c r="DH122" s="1">
        <f t="shared" ca="1" si="119"/>
        <v>623</v>
      </c>
      <c r="DI122" s="1">
        <f t="shared" ca="1" si="120"/>
        <v>0.45664463630159291</v>
      </c>
      <c r="DJ122" s="1">
        <f t="shared" ca="1" si="121"/>
        <v>10</v>
      </c>
      <c r="DL122" s="1">
        <f t="shared" ca="1" si="122"/>
        <v>0.12219642000517528</v>
      </c>
      <c r="DM122" s="1">
        <f t="shared" ca="1" si="123"/>
        <v>195</v>
      </c>
      <c r="DN122" s="1">
        <f t="shared" ca="1" si="124"/>
        <v>1</v>
      </c>
    </row>
    <row r="123" spans="2:118" x14ac:dyDescent="0.25">
      <c r="B123">
        <f t="shared" ca="1" si="63"/>
        <v>142</v>
      </c>
      <c r="C123">
        <f t="shared" ca="1" si="64"/>
        <v>52</v>
      </c>
      <c r="D123">
        <f t="shared" ca="1" si="65"/>
        <v>6.147225899983963E-2</v>
      </c>
      <c r="F123" s="1">
        <f t="shared" ca="1" si="66"/>
        <v>35</v>
      </c>
      <c r="G123" s="1">
        <f t="shared" ca="1" si="67"/>
        <v>7</v>
      </c>
      <c r="H123" s="1">
        <f t="shared" ca="1" si="68"/>
        <v>13</v>
      </c>
      <c r="I123" s="1"/>
      <c r="J123" s="1">
        <f t="shared" ca="1" si="69"/>
        <v>38</v>
      </c>
      <c r="K123" s="1">
        <f t="shared" ca="1" si="70"/>
        <v>2.2365742160253679</v>
      </c>
      <c r="L123" s="1">
        <f t="shared" ca="1" si="71"/>
        <v>6</v>
      </c>
      <c r="M123" s="1"/>
      <c r="N123" s="1">
        <f t="shared" ca="1" si="72"/>
        <v>119</v>
      </c>
      <c r="O123" s="1">
        <f t="shared" ca="1" si="73"/>
        <v>25</v>
      </c>
      <c r="P123" s="1"/>
      <c r="Q123" s="1">
        <f t="shared" ca="1" si="74"/>
        <v>0.1430257077020255</v>
      </c>
      <c r="R123" s="1">
        <f t="shared" ca="1" si="75"/>
        <v>637</v>
      </c>
      <c r="S123" s="1"/>
      <c r="T123" s="1">
        <f t="shared" ca="1" si="76"/>
        <v>9.5436132258148801E-2</v>
      </c>
      <c r="U123" s="1">
        <f t="shared" ca="1" si="77"/>
        <v>385</v>
      </c>
      <c r="V123" s="1">
        <f t="shared" ca="1" si="78"/>
        <v>26</v>
      </c>
      <c r="W123" s="1"/>
      <c r="X123" s="1">
        <f t="shared" ca="1" si="79"/>
        <v>7.7050645400155133</v>
      </c>
      <c r="Y123" s="1">
        <f t="shared" ca="1" si="80"/>
        <v>0.22918323707286606</v>
      </c>
      <c r="Z123" s="1">
        <f t="shared" ca="1" si="81"/>
        <v>1804</v>
      </c>
      <c r="AB123" s="1">
        <f t="shared" ca="1" si="82"/>
        <v>0.19876766596278447</v>
      </c>
      <c r="AC123" s="1">
        <f t="shared" ca="1" si="83"/>
        <v>659</v>
      </c>
      <c r="AD123" s="1">
        <f t="shared" ca="1" si="84"/>
        <v>8.5373136806739735E-4</v>
      </c>
      <c r="AE123" s="1"/>
      <c r="AF123" s="1">
        <f t="shared" ca="1" si="85"/>
        <v>0.53645201347203486</v>
      </c>
      <c r="AG123" s="1">
        <f t="shared" ca="1" si="86"/>
        <v>164</v>
      </c>
      <c r="AH123" s="1">
        <f t="shared" ca="1" si="87"/>
        <v>7.210259598790565E-3</v>
      </c>
      <c r="AJ123" s="1">
        <f t="shared" ca="1" si="88"/>
        <v>0.57768336168275047</v>
      </c>
      <c r="AK123" s="1">
        <f t="shared" ca="1" si="89"/>
        <v>5.2265472410624111E-3</v>
      </c>
      <c r="AL123" s="1"/>
      <c r="AM123" s="1">
        <f t="shared" ca="1" si="90"/>
        <v>0.18787964319597039</v>
      </c>
      <c r="AN123" s="1">
        <f t="shared" ca="1" si="91"/>
        <v>25</v>
      </c>
      <c r="AO123" s="1">
        <f t="shared" ca="1" si="92"/>
        <v>4</v>
      </c>
      <c r="AQ123" s="1">
        <f t="shared" ca="1" si="93"/>
        <v>128</v>
      </c>
      <c r="AR123" s="1">
        <f t="shared" ca="1" si="94"/>
        <v>7</v>
      </c>
      <c r="AS123" s="1">
        <f t="shared" ca="1" si="95"/>
        <v>39</v>
      </c>
      <c r="AU123" s="1">
        <f t="shared" ca="1" si="96"/>
        <v>149</v>
      </c>
      <c r="AV123" s="1">
        <f t="shared" ca="1" si="97"/>
        <v>10</v>
      </c>
      <c r="AW123" s="1">
        <f t="shared" ca="1" si="98"/>
        <v>1.2550800227358962E-2</v>
      </c>
      <c r="AY123" s="1">
        <f t="shared" ca="1" si="99"/>
        <v>1.266427621373712</v>
      </c>
      <c r="AZ123" s="1">
        <f t="shared" ca="1" si="100"/>
        <v>443</v>
      </c>
      <c r="BA123" s="1">
        <f t="shared" ca="1" si="101"/>
        <v>2.0181799647830396E-3</v>
      </c>
      <c r="BV123" s="1">
        <f t="shared" ca="1" si="102"/>
        <v>0.47810777985749314</v>
      </c>
      <c r="BW123" s="1">
        <f t="shared" ca="1" si="103"/>
        <v>537</v>
      </c>
      <c r="BX123" s="1">
        <f t="shared" ca="1" si="104"/>
        <v>2.3559638822381679E-3</v>
      </c>
      <c r="BY123" s="1">
        <f t="shared" ca="1" si="105"/>
        <v>1.3880258066852185E-2</v>
      </c>
      <c r="BZ123" s="1">
        <f t="shared" ca="1" si="106"/>
        <v>0.7198631604836232</v>
      </c>
      <c r="CB123" s="1">
        <f t="shared" ca="1" si="107"/>
        <v>345</v>
      </c>
      <c r="CC123" s="1">
        <f t="shared" ca="1" si="108"/>
        <v>7</v>
      </c>
      <c r="CD123" s="1">
        <f t="shared" ca="1" si="109"/>
        <v>0.10271713781400438</v>
      </c>
      <c r="CE123" s="1">
        <f t="shared" ca="1" si="125"/>
        <v>0.87882791936874449</v>
      </c>
      <c r="CF123" s="1">
        <f t="shared" ca="1" si="125"/>
        <v>0.88287460338570933</v>
      </c>
      <c r="CH123" s="3">
        <f t="shared" ca="1" si="111"/>
        <v>0.45915611789312388</v>
      </c>
      <c r="CI123" s="3">
        <f t="shared" ca="1" si="112"/>
        <v>0.4027285516410975</v>
      </c>
      <c r="CJ123" s="3">
        <f t="shared" ca="1" si="113"/>
        <v>1555</v>
      </c>
      <c r="CK123" s="3">
        <f t="shared" ca="1" si="114"/>
        <v>3.56852551315883E-3</v>
      </c>
      <c r="CL123" s="3">
        <f t="shared" ca="1" si="115"/>
        <v>1</v>
      </c>
      <c r="CM123" s="3"/>
      <c r="CN123" s="1">
        <f t="shared" ca="1" si="116"/>
        <v>1.6794953937768067</v>
      </c>
      <c r="CO123" s="1">
        <f t="shared" ca="1" si="117"/>
        <v>0.4847564457883185</v>
      </c>
      <c r="CP123" s="1">
        <f t="shared" ca="1" si="118"/>
        <v>1</v>
      </c>
      <c r="DH123" s="1">
        <f t="shared" ca="1" si="119"/>
        <v>523</v>
      </c>
      <c r="DI123" s="1">
        <f t="shared" ca="1" si="120"/>
        <v>0.78128359016527082</v>
      </c>
      <c r="DJ123" s="1">
        <f t="shared" ca="1" si="121"/>
        <v>26</v>
      </c>
      <c r="DL123" s="1">
        <f t="shared" ca="1" si="122"/>
        <v>0.15048040709893709</v>
      </c>
      <c r="DM123" s="1">
        <f t="shared" ca="1" si="123"/>
        <v>77</v>
      </c>
      <c r="DN123" s="1">
        <f t="shared" ca="1" si="124"/>
        <v>10</v>
      </c>
    </row>
    <row r="124" spans="2:118" x14ac:dyDescent="0.25">
      <c r="B124">
        <f t="shared" ca="1" si="63"/>
        <v>79</v>
      </c>
      <c r="C124">
        <f t="shared" ca="1" si="64"/>
        <v>44</v>
      </c>
      <c r="D124">
        <f t="shared" ca="1" si="65"/>
        <v>6.8874389988349327E-2</v>
      </c>
      <c r="F124" s="1">
        <f t="shared" ca="1" si="66"/>
        <v>38</v>
      </c>
      <c r="G124" s="1">
        <f t="shared" ca="1" si="67"/>
        <v>26</v>
      </c>
      <c r="H124" s="1">
        <f t="shared" ca="1" si="68"/>
        <v>12</v>
      </c>
      <c r="I124" s="1"/>
      <c r="J124" s="1">
        <f t="shared" ca="1" si="69"/>
        <v>30</v>
      </c>
      <c r="K124" s="1">
        <f t="shared" ca="1" si="70"/>
        <v>2.3997301810631795</v>
      </c>
      <c r="L124" s="1">
        <f t="shared" ca="1" si="71"/>
        <v>29</v>
      </c>
      <c r="M124" s="1"/>
      <c r="N124" s="1">
        <f t="shared" ca="1" si="72"/>
        <v>515</v>
      </c>
      <c r="O124" s="1">
        <f t="shared" ca="1" si="73"/>
        <v>30</v>
      </c>
      <c r="P124" s="1"/>
      <c r="Q124" s="1">
        <f t="shared" ca="1" si="74"/>
        <v>2.2217976029876438</v>
      </c>
      <c r="R124" s="1">
        <f t="shared" ca="1" si="75"/>
        <v>372</v>
      </c>
      <c r="S124" s="1"/>
      <c r="T124" s="1">
        <f t="shared" ca="1" si="76"/>
        <v>0.13393748853331006</v>
      </c>
      <c r="U124" s="1">
        <f t="shared" ca="1" si="77"/>
        <v>50</v>
      </c>
      <c r="V124" s="1">
        <f t="shared" ca="1" si="78"/>
        <v>49</v>
      </c>
      <c r="W124" s="1"/>
      <c r="X124" s="1">
        <f t="shared" ca="1" si="79"/>
        <v>9.4378489954989</v>
      </c>
      <c r="Y124" s="1">
        <f t="shared" ca="1" si="80"/>
        <v>0.7998676481743916</v>
      </c>
      <c r="Z124" s="1">
        <f t="shared" ca="1" si="81"/>
        <v>1903</v>
      </c>
      <c r="AB124" s="1">
        <f t="shared" ca="1" si="82"/>
        <v>0.82634958680223336</v>
      </c>
      <c r="AC124" s="1">
        <f t="shared" ca="1" si="83"/>
        <v>235</v>
      </c>
      <c r="AD124" s="1">
        <f t="shared" ca="1" si="84"/>
        <v>5.1944294013873595E-3</v>
      </c>
      <c r="AE124" s="1"/>
      <c r="AF124" s="1">
        <f t="shared" ca="1" si="85"/>
        <v>0.60707471673100355</v>
      </c>
      <c r="AG124" s="1">
        <f t="shared" ca="1" si="86"/>
        <v>217</v>
      </c>
      <c r="AH124" s="1">
        <f t="shared" ca="1" si="87"/>
        <v>9.7209634943239663E-3</v>
      </c>
      <c r="AJ124" s="1">
        <f t="shared" ca="1" si="88"/>
        <v>0.69468030992853758</v>
      </c>
      <c r="AK124" s="1">
        <f t="shared" ca="1" si="89"/>
        <v>7.7444776614095587E-3</v>
      </c>
      <c r="AL124" s="1"/>
      <c r="AM124" s="1">
        <f t="shared" ca="1" si="90"/>
        <v>0.13456230836622385</v>
      </c>
      <c r="AN124" s="1">
        <f t="shared" ca="1" si="91"/>
        <v>18</v>
      </c>
      <c r="AO124" s="1">
        <f t="shared" ca="1" si="92"/>
        <v>0</v>
      </c>
      <c r="AQ124" s="1">
        <f t="shared" ca="1" si="93"/>
        <v>71</v>
      </c>
      <c r="AR124" s="1">
        <f t="shared" ca="1" si="94"/>
        <v>6</v>
      </c>
      <c r="AS124" s="1">
        <f t="shared" ca="1" si="95"/>
        <v>41</v>
      </c>
      <c r="AU124" s="1">
        <f t="shared" ca="1" si="96"/>
        <v>142</v>
      </c>
      <c r="AV124" s="1">
        <f t="shared" ca="1" si="97"/>
        <v>9</v>
      </c>
      <c r="AW124" s="1">
        <f t="shared" ca="1" si="98"/>
        <v>0.15179272075391831</v>
      </c>
      <c r="AY124" s="1">
        <f t="shared" ca="1" si="99"/>
        <v>1.123019384318398</v>
      </c>
      <c r="AZ124" s="1">
        <f t="shared" ca="1" si="100"/>
        <v>396</v>
      </c>
      <c r="BA124" s="1">
        <f t="shared" ca="1" si="101"/>
        <v>7.1286561900564529E-3</v>
      </c>
      <c r="BV124" s="1">
        <f t="shared" ca="1" si="102"/>
        <v>0.68528348772333514</v>
      </c>
      <c r="BW124" s="1">
        <f t="shared" ca="1" si="103"/>
        <v>455</v>
      </c>
      <c r="BX124" s="1">
        <f t="shared" ca="1" si="104"/>
        <v>5.0539307705211945E-3</v>
      </c>
      <c r="BY124" s="1">
        <f t="shared" ca="1" si="105"/>
        <v>3.812911054111303E-2</v>
      </c>
      <c r="BZ124" s="1">
        <f t="shared" ca="1" si="106"/>
        <v>0.15756028902864117</v>
      </c>
      <c r="CB124" s="1">
        <f t="shared" ca="1" si="107"/>
        <v>221</v>
      </c>
      <c r="CC124" s="1">
        <f t="shared" ca="1" si="108"/>
        <v>13</v>
      </c>
      <c r="CD124" s="1">
        <f t="shared" ca="1" si="109"/>
        <v>0.20426915734151363</v>
      </c>
      <c r="CE124" s="1">
        <f t="shared" ca="1" si="125"/>
        <v>0.94627304684403912</v>
      </c>
      <c r="CF124" s="1">
        <f t="shared" ca="1" si="125"/>
        <v>0.65165001166752246</v>
      </c>
      <c r="CH124" s="3">
        <f t="shared" ca="1" si="111"/>
        <v>0.6577671066205395</v>
      </c>
      <c r="CI124" s="3">
        <f t="shared" ca="1" si="112"/>
        <v>0.69685752183579186</v>
      </c>
      <c r="CJ124" s="3">
        <f t="shared" ca="1" si="113"/>
        <v>462</v>
      </c>
      <c r="CK124" s="3">
        <f t="shared" ca="1" si="114"/>
        <v>9.1823482942782267E-3</v>
      </c>
      <c r="CL124" s="3">
        <f t="shared" ca="1" si="115"/>
        <v>1</v>
      </c>
      <c r="CM124" s="3"/>
      <c r="CN124" s="1">
        <f t="shared" ca="1" si="116"/>
        <v>14.21927508900651</v>
      </c>
      <c r="CO124" s="1">
        <f t="shared" ca="1" si="117"/>
        <v>0.22016339254577821</v>
      </c>
      <c r="CP124" s="1">
        <f t="shared" ca="1" si="118"/>
        <v>3</v>
      </c>
      <c r="DH124" s="1">
        <f t="shared" ca="1" si="119"/>
        <v>548</v>
      </c>
      <c r="DI124" s="1">
        <f t="shared" ca="1" si="120"/>
        <v>0.30788851517193444</v>
      </c>
      <c r="DJ124" s="1">
        <f t="shared" ca="1" si="121"/>
        <v>22</v>
      </c>
      <c r="DL124" s="1">
        <f t="shared" ca="1" si="122"/>
        <v>0.12283251240978951</v>
      </c>
      <c r="DM124" s="1">
        <f t="shared" ca="1" si="123"/>
        <v>262</v>
      </c>
      <c r="DN124" s="1">
        <f t="shared" ca="1" si="124"/>
        <v>9</v>
      </c>
    </row>
    <row r="125" spans="2:118" x14ac:dyDescent="0.25">
      <c r="B125">
        <f t="shared" ca="1" si="63"/>
        <v>104</v>
      </c>
      <c r="C125">
        <f t="shared" ca="1" si="64"/>
        <v>19</v>
      </c>
      <c r="D125">
        <f t="shared" ca="1" si="65"/>
        <v>0.2789978207347365</v>
      </c>
      <c r="F125" s="1">
        <f t="shared" ca="1" si="66"/>
        <v>13</v>
      </c>
      <c r="G125" s="1">
        <f t="shared" ca="1" si="67"/>
        <v>9</v>
      </c>
      <c r="H125" s="1">
        <f t="shared" ca="1" si="68"/>
        <v>8</v>
      </c>
      <c r="I125" s="1"/>
      <c r="J125" s="1">
        <f t="shared" ca="1" si="69"/>
        <v>32</v>
      </c>
      <c r="K125" s="1">
        <f t="shared" ca="1" si="70"/>
        <v>2.4494216283550214</v>
      </c>
      <c r="L125" s="1">
        <f t="shared" ca="1" si="71"/>
        <v>23</v>
      </c>
      <c r="M125" s="1"/>
      <c r="N125" s="1">
        <f t="shared" ca="1" si="72"/>
        <v>803</v>
      </c>
      <c r="O125" s="1">
        <f t="shared" ca="1" si="73"/>
        <v>39</v>
      </c>
      <c r="P125" s="1"/>
      <c r="Q125" s="1">
        <f t="shared" ca="1" si="74"/>
        <v>4.9540494167387612</v>
      </c>
      <c r="R125" s="1">
        <f t="shared" ca="1" si="75"/>
        <v>907</v>
      </c>
      <c r="S125" s="1"/>
      <c r="T125" s="1">
        <f t="shared" ca="1" si="76"/>
        <v>2.3284498909076766E-2</v>
      </c>
      <c r="U125" s="1">
        <f t="shared" ca="1" si="77"/>
        <v>185</v>
      </c>
      <c r="V125" s="1">
        <f t="shared" ca="1" si="78"/>
        <v>15</v>
      </c>
      <c r="W125" s="1"/>
      <c r="X125" s="1">
        <f t="shared" ca="1" si="79"/>
        <v>2.1907165651877634</v>
      </c>
      <c r="Y125" s="1">
        <f t="shared" ca="1" si="80"/>
        <v>0.438433190457928</v>
      </c>
      <c r="Z125" s="1">
        <f t="shared" ca="1" si="81"/>
        <v>289</v>
      </c>
      <c r="AB125" s="1">
        <f t="shared" ca="1" si="82"/>
        <v>0.30217380820140555</v>
      </c>
      <c r="AC125" s="1">
        <f t="shared" ca="1" si="83"/>
        <v>870</v>
      </c>
      <c r="AD125" s="1">
        <f t="shared" ca="1" si="84"/>
        <v>8.7584157062568918E-3</v>
      </c>
      <c r="AE125" s="1"/>
      <c r="AF125" s="1">
        <f t="shared" ca="1" si="85"/>
        <v>0.36681253246701384</v>
      </c>
      <c r="AG125" s="1">
        <f t="shared" ca="1" si="86"/>
        <v>572</v>
      </c>
      <c r="AH125" s="1">
        <f t="shared" ca="1" si="87"/>
        <v>1.490714438439258E-3</v>
      </c>
      <c r="AJ125" s="1">
        <f t="shared" ca="1" si="88"/>
        <v>0.85925434030306391</v>
      </c>
      <c r="AK125" s="1">
        <f t="shared" ca="1" si="89"/>
        <v>2.5739977443693597E-3</v>
      </c>
      <c r="AL125" s="1"/>
      <c r="AM125" s="1">
        <f t="shared" ca="1" si="90"/>
        <v>0.1351780610990784</v>
      </c>
      <c r="AN125" s="1">
        <f t="shared" ca="1" si="91"/>
        <v>64</v>
      </c>
      <c r="AO125" s="1">
        <f t="shared" ca="1" si="92"/>
        <v>15</v>
      </c>
      <c r="AQ125" s="1">
        <f t="shared" ca="1" si="93"/>
        <v>54</v>
      </c>
      <c r="AR125" s="1">
        <f t="shared" ca="1" si="94"/>
        <v>3</v>
      </c>
      <c r="AS125" s="1">
        <f t="shared" ca="1" si="95"/>
        <v>34</v>
      </c>
      <c r="AU125" s="1">
        <f t="shared" ca="1" si="96"/>
        <v>205</v>
      </c>
      <c r="AV125" s="1">
        <f t="shared" ca="1" si="97"/>
        <v>5</v>
      </c>
      <c r="AW125" s="1">
        <f t="shared" ca="1" si="98"/>
        <v>9.6251507525518601E-2</v>
      </c>
      <c r="AY125" s="1">
        <f t="shared" ca="1" si="99"/>
        <v>1.3123957661256014</v>
      </c>
      <c r="AZ125" s="1">
        <f t="shared" ca="1" si="100"/>
        <v>456</v>
      </c>
      <c r="BA125" s="1">
        <f t="shared" ca="1" si="101"/>
        <v>4.6423238676489672E-4</v>
      </c>
      <c r="BV125" s="1">
        <f t="shared" ca="1" si="102"/>
        <v>0.13418245037146134</v>
      </c>
      <c r="BW125" s="1">
        <f t="shared" ca="1" si="103"/>
        <v>590</v>
      </c>
      <c r="BX125" s="1">
        <f t="shared" ca="1" si="104"/>
        <v>6.7024024644016965E-3</v>
      </c>
      <c r="BY125" s="1">
        <f t="shared" ca="1" si="105"/>
        <v>1.4832491845646148E-2</v>
      </c>
      <c r="BZ125" s="1">
        <f t="shared" ca="1" si="106"/>
        <v>0.84793422038172439</v>
      </c>
      <c r="CB125" s="1">
        <f t="shared" ca="1" si="107"/>
        <v>201</v>
      </c>
      <c r="CC125" s="1">
        <f t="shared" ca="1" si="108"/>
        <v>15</v>
      </c>
      <c r="CD125" s="1">
        <f t="shared" ca="1" si="109"/>
        <v>0.17449124800330565</v>
      </c>
      <c r="CE125" s="1">
        <f t="shared" ca="1" si="125"/>
        <v>0.71738516286859477</v>
      </c>
      <c r="CF125" s="1">
        <f t="shared" ca="1" si="125"/>
        <v>0.53053612015891105</v>
      </c>
      <c r="CH125" s="3">
        <f t="shared" ca="1" si="111"/>
        <v>0.60051056116401458</v>
      </c>
      <c r="CI125" s="3">
        <f t="shared" ca="1" si="112"/>
        <v>0.36707409794111256</v>
      </c>
      <c r="CJ125" s="3">
        <f t="shared" ca="1" si="113"/>
        <v>1650</v>
      </c>
      <c r="CK125" s="3">
        <f t="shared" ca="1" si="114"/>
        <v>1.1236504907903969E-3</v>
      </c>
      <c r="CL125" s="3">
        <f t="shared" ca="1" si="115"/>
        <v>1</v>
      </c>
      <c r="CM125" s="3"/>
      <c r="CN125" s="1">
        <f t="shared" ca="1" si="116"/>
        <v>4.2535204749617312</v>
      </c>
      <c r="CO125" s="1">
        <f t="shared" ca="1" si="117"/>
        <v>8.2181613425525088E-2</v>
      </c>
      <c r="CP125" s="1">
        <f t="shared" ca="1" si="118"/>
        <v>2</v>
      </c>
      <c r="DH125" s="1">
        <f t="shared" ca="1" si="119"/>
        <v>815</v>
      </c>
      <c r="DI125" s="1">
        <f t="shared" ca="1" si="120"/>
        <v>0.60168274743564554</v>
      </c>
      <c r="DJ125" s="1">
        <f t="shared" ca="1" si="121"/>
        <v>27</v>
      </c>
      <c r="DL125" s="1">
        <f t="shared" ca="1" si="122"/>
        <v>2.6490102511287604E-2</v>
      </c>
      <c r="DM125" s="1">
        <f t="shared" ca="1" si="123"/>
        <v>142</v>
      </c>
      <c r="DN125" s="1">
        <f t="shared" ca="1" si="124"/>
        <v>2</v>
      </c>
    </row>
    <row r="126" spans="2:118" x14ac:dyDescent="0.25">
      <c r="B126">
        <f t="shared" ca="1" si="63"/>
        <v>910</v>
      </c>
      <c r="C126">
        <f t="shared" ca="1" si="64"/>
        <v>8</v>
      </c>
      <c r="D126">
        <f t="shared" ca="1" si="65"/>
        <v>0.15307582090144539</v>
      </c>
      <c r="F126" s="1">
        <f t="shared" ca="1" si="66"/>
        <v>20</v>
      </c>
      <c r="G126" s="1">
        <f t="shared" ca="1" si="67"/>
        <v>15</v>
      </c>
      <c r="H126" s="1">
        <f t="shared" ca="1" si="68"/>
        <v>13</v>
      </c>
      <c r="I126" s="1"/>
      <c r="J126" s="1">
        <f t="shared" ca="1" si="69"/>
        <v>36</v>
      </c>
      <c r="K126" s="1">
        <f t="shared" ca="1" si="70"/>
        <v>1.1399594449482373</v>
      </c>
      <c r="L126" s="1">
        <f t="shared" ca="1" si="71"/>
        <v>22</v>
      </c>
      <c r="M126" s="1"/>
      <c r="N126" s="1">
        <f t="shared" ca="1" si="72"/>
        <v>506</v>
      </c>
      <c r="O126" s="1">
        <f t="shared" ca="1" si="73"/>
        <v>17</v>
      </c>
      <c r="P126" s="1"/>
      <c r="Q126" s="1">
        <f t="shared" ca="1" si="74"/>
        <v>3.2837988837673424</v>
      </c>
      <c r="R126" s="1">
        <f t="shared" ca="1" si="75"/>
        <v>224</v>
      </c>
      <c r="S126" s="1"/>
      <c r="T126" s="1">
        <f t="shared" ca="1" si="76"/>
        <v>9.7460677970470519E-2</v>
      </c>
      <c r="U126" s="1">
        <f t="shared" ca="1" si="77"/>
        <v>78</v>
      </c>
      <c r="V126" s="1">
        <f t="shared" ca="1" si="78"/>
        <v>5</v>
      </c>
      <c r="W126" s="1"/>
      <c r="X126" s="1">
        <f t="shared" ca="1" si="79"/>
        <v>2.8656304963316863</v>
      </c>
      <c r="Y126" s="1">
        <f t="shared" ca="1" si="80"/>
        <v>0.62828591046755478</v>
      </c>
      <c r="Z126" s="1">
        <f t="shared" ca="1" si="81"/>
        <v>518</v>
      </c>
      <c r="AB126" s="1">
        <f t="shared" ca="1" si="82"/>
        <v>0.44057643688717768</v>
      </c>
      <c r="AC126" s="1">
        <f t="shared" ca="1" si="83"/>
        <v>311</v>
      </c>
      <c r="AD126" s="1">
        <f t="shared" ca="1" si="84"/>
        <v>2.3432836471354288E-3</v>
      </c>
      <c r="AE126" s="1"/>
      <c r="AF126" s="1">
        <f t="shared" ca="1" si="85"/>
        <v>0.36147866349472435</v>
      </c>
      <c r="AG126" s="1">
        <f t="shared" ca="1" si="86"/>
        <v>442</v>
      </c>
      <c r="AH126" s="1">
        <f t="shared" ca="1" si="87"/>
        <v>8.0201500770941906E-3</v>
      </c>
      <c r="AJ126" s="1">
        <f t="shared" ca="1" si="88"/>
        <v>2.5588857031841772E-2</v>
      </c>
      <c r="AK126" s="1">
        <f t="shared" ca="1" si="89"/>
        <v>5.8808886866061844E-4</v>
      </c>
      <c r="AL126" s="1"/>
      <c r="AM126" s="1">
        <f t="shared" ca="1" si="90"/>
        <v>6.3839107906515036E-2</v>
      </c>
      <c r="AN126" s="1">
        <f t="shared" ca="1" si="91"/>
        <v>23</v>
      </c>
      <c r="AO126" s="1">
        <f t="shared" ca="1" si="92"/>
        <v>12</v>
      </c>
      <c r="AQ126" s="1">
        <f t="shared" ca="1" si="93"/>
        <v>135</v>
      </c>
      <c r="AR126" s="1">
        <f t="shared" ca="1" si="94"/>
        <v>7</v>
      </c>
      <c r="AS126" s="1">
        <f t="shared" ca="1" si="95"/>
        <v>10</v>
      </c>
      <c r="AU126" s="1">
        <f t="shared" ca="1" si="96"/>
        <v>297</v>
      </c>
      <c r="AV126" s="1">
        <f t="shared" ca="1" si="97"/>
        <v>7</v>
      </c>
      <c r="AW126" s="1">
        <f t="shared" ca="1" si="98"/>
        <v>1.9242704612450236E-2</v>
      </c>
      <c r="AY126" s="1">
        <f t="shared" ca="1" si="99"/>
        <v>1.4245645162996694</v>
      </c>
      <c r="AZ126" s="1">
        <f t="shared" ca="1" si="100"/>
        <v>438</v>
      </c>
      <c r="BA126" s="1">
        <f t="shared" ca="1" si="101"/>
        <v>4.3448525561794876E-3</v>
      </c>
      <c r="BV126" s="1">
        <f t="shared" ca="1" si="102"/>
        <v>0.55543015194849765</v>
      </c>
      <c r="BW126" s="1">
        <f t="shared" ca="1" si="103"/>
        <v>193</v>
      </c>
      <c r="BX126" s="1">
        <f t="shared" ca="1" si="104"/>
        <v>2.963552222185071E-4</v>
      </c>
      <c r="BY126" s="1">
        <f t="shared" ca="1" si="105"/>
        <v>2.5708539814055631E-2</v>
      </c>
      <c r="BZ126" s="1">
        <f t="shared" ca="1" si="106"/>
        <v>0.90145752203383367</v>
      </c>
      <c r="CB126" s="1">
        <f t="shared" ca="1" si="107"/>
        <v>138</v>
      </c>
      <c r="CC126" s="1">
        <f t="shared" ca="1" si="108"/>
        <v>4</v>
      </c>
      <c r="CD126" s="1">
        <f t="shared" ca="1" si="109"/>
        <v>0.2880991635496799</v>
      </c>
      <c r="CE126" s="1">
        <f t="shared" ca="1" si="125"/>
        <v>0.5234026790446088</v>
      </c>
      <c r="CF126" s="1">
        <f t="shared" ca="1" si="125"/>
        <v>0.7310123243296518</v>
      </c>
      <c r="CH126" s="3">
        <f t="shared" ca="1" si="111"/>
        <v>0.31361589636482795</v>
      </c>
      <c r="CI126" s="3">
        <f t="shared" ca="1" si="112"/>
        <v>0.46105442238649369</v>
      </c>
      <c r="CJ126" s="3">
        <f t="shared" ca="1" si="113"/>
        <v>438</v>
      </c>
      <c r="CK126" s="3">
        <f t="shared" ca="1" si="114"/>
        <v>2.7150055627616086E-4</v>
      </c>
      <c r="CL126" s="3">
        <f t="shared" ca="1" si="115"/>
        <v>0</v>
      </c>
      <c r="CM126" s="3"/>
      <c r="CN126" s="1">
        <f t="shared" ca="1" si="116"/>
        <v>19.273212215042474</v>
      </c>
      <c r="CO126" s="1">
        <f t="shared" ca="1" si="117"/>
        <v>0.1122803480828985</v>
      </c>
      <c r="CP126" s="1">
        <f t="shared" ca="1" si="118"/>
        <v>1</v>
      </c>
      <c r="DH126" s="1">
        <f t="shared" ca="1" si="119"/>
        <v>387</v>
      </c>
      <c r="DI126" s="1">
        <f t="shared" ca="1" si="120"/>
        <v>7.6548982231245496E-2</v>
      </c>
      <c r="DJ126" s="1">
        <f t="shared" ca="1" si="121"/>
        <v>25</v>
      </c>
      <c r="DL126" s="1">
        <f t="shared" ca="1" si="122"/>
        <v>3.9673133284668212E-2</v>
      </c>
      <c r="DM126" s="1">
        <f t="shared" ca="1" si="123"/>
        <v>160</v>
      </c>
      <c r="DN126" s="1">
        <f t="shared" ca="1" si="124"/>
        <v>1</v>
      </c>
    </row>
    <row r="127" spans="2:118" x14ac:dyDescent="0.25">
      <c r="B127">
        <f t="shared" ca="1" si="63"/>
        <v>544</v>
      </c>
      <c r="C127">
        <f t="shared" ca="1" si="64"/>
        <v>34</v>
      </c>
      <c r="D127">
        <f t="shared" ca="1" si="65"/>
        <v>0.2997801099731543</v>
      </c>
      <c r="F127" s="1">
        <f t="shared" ca="1" si="66"/>
        <v>34</v>
      </c>
      <c r="G127" s="1">
        <f t="shared" ca="1" si="67"/>
        <v>6</v>
      </c>
      <c r="H127" s="1">
        <f t="shared" ca="1" si="68"/>
        <v>6</v>
      </c>
      <c r="I127" s="1"/>
      <c r="J127" s="1">
        <f t="shared" ca="1" si="69"/>
        <v>39</v>
      </c>
      <c r="K127" s="1">
        <f t="shared" ca="1" si="70"/>
        <v>1.5535960172188223</v>
      </c>
      <c r="L127" s="1">
        <f t="shared" ca="1" si="71"/>
        <v>12</v>
      </c>
      <c r="M127" s="1"/>
      <c r="N127" s="1">
        <f t="shared" ca="1" si="72"/>
        <v>393</v>
      </c>
      <c r="O127" s="1">
        <f t="shared" ca="1" si="73"/>
        <v>45</v>
      </c>
      <c r="P127" s="1"/>
      <c r="Q127" s="1">
        <f t="shared" ca="1" si="74"/>
        <v>3.8537743212908584</v>
      </c>
      <c r="R127" s="1">
        <f t="shared" ca="1" si="75"/>
        <v>761</v>
      </c>
      <c r="S127" s="1"/>
      <c r="T127" s="1">
        <f t="shared" ca="1" si="76"/>
        <v>9.0923850798880837E-2</v>
      </c>
      <c r="U127" s="1">
        <f t="shared" ca="1" si="77"/>
        <v>158</v>
      </c>
      <c r="V127" s="1">
        <f t="shared" ca="1" si="78"/>
        <v>48</v>
      </c>
      <c r="W127" s="1"/>
      <c r="X127" s="1">
        <f t="shared" ca="1" si="79"/>
        <v>1.6447364170727821</v>
      </c>
      <c r="Y127" s="1">
        <f t="shared" ca="1" si="80"/>
        <v>7.7816758863839181E-2</v>
      </c>
      <c r="Z127" s="1">
        <f t="shared" ca="1" si="81"/>
        <v>1315</v>
      </c>
      <c r="AB127" s="1">
        <f t="shared" ca="1" si="82"/>
        <v>0.41590017143553182</v>
      </c>
      <c r="AC127" s="1">
        <f t="shared" ca="1" si="83"/>
        <v>537</v>
      </c>
      <c r="AD127" s="1">
        <f t="shared" ca="1" si="84"/>
        <v>8.0143963004557564E-4</v>
      </c>
      <c r="AE127" s="1"/>
      <c r="AF127" s="1">
        <f t="shared" ca="1" si="85"/>
        <v>0.13213954712110665</v>
      </c>
      <c r="AG127" s="1">
        <f t="shared" ca="1" si="86"/>
        <v>701</v>
      </c>
      <c r="AH127" s="1">
        <f t="shared" ca="1" si="87"/>
        <v>5.5438852308225157E-3</v>
      </c>
      <c r="AJ127" s="1">
        <f t="shared" ca="1" si="88"/>
        <v>0.31512106930811101</v>
      </c>
      <c r="AK127" s="1">
        <f t="shared" ca="1" si="89"/>
        <v>1.1987427108856056E-3</v>
      </c>
      <c r="AL127" s="1"/>
      <c r="AM127" s="1">
        <f t="shared" ca="1" si="90"/>
        <v>7.3863205801783058E-2</v>
      </c>
      <c r="AN127" s="1">
        <f t="shared" ca="1" si="91"/>
        <v>46</v>
      </c>
      <c r="AO127" s="1">
        <f t="shared" ca="1" si="92"/>
        <v>12</v>
      </c>
      <c r="AQ127" s="1">
        <f t="shared" ca="1" si="93"/>
        <v>148</v>
      </c>
      <c r="AR127" s="1">
        <f t="shared" ca="1" si="94"/>
        <v>4</v>
      </c>
      <c r="AS127" s="1">
        <f t="shared" ca="1" si="95"/>
        <v>36</v>
      </c>
      <c r="AU127" s="1">
        <f t="shared" ca="1" si="96"/>
        <v>331</v>
      </c>
      <c r="AV127" s="1">
        <f t="shared" ca="1" si="97"/>
        <v>7</v>
      </c>
      <c r="AW127" s="1">
        <f t="shared" ca="1" si="98"/>
        <v>0.1086983000369651</v>
      </c>
      <c r="AY127" s="1">
        <f t="shared" ca="1" si="99"/>
        <v>1.3098479737881461</v>
      </c>
      <c r="AZ127" s="1">
        <f t="shared" ca="1" si="100"/>
        <v>208</v>
      </c>
      <c r="BA127" s="1">
        <f t="shared" ca="1" si="101"/>
        <v>8.3226173979869776E-3</v>
      </c>
      <c r="BV127" s="1">
        <f t="shared" ca="1" si="102"/>
        <v>0.93670855097581274</v>
      </c>
      <c r="BW127" s="1">
        <f t="shared" ca="1" si="103"/>
        <v>431</v>
      </c>
      <c r="BX127" s="1">
        <f t="shared" ca="1" si="104"/>
        <v>1.3259604800642654E-3</v>
      </c>
      <c r="BY127" s="1">
        <f t="shared" ca="1" si="105"/>
        <v>2.5376064058675731E-2</v>
      </c>
      <c r="BZ127" s="1">
        <f t="shared" ca="1" si="106"/>
        <v>0.73920595962044533</v>
      </c>
      <c r="CB127" s="1">
        <f t="shared" ca="1" si="107"/>
        <v>354</v>
      </c>
      <c r="CC127" s="1">
        <f t="shared" ca="1" si="108"/>
        <v>11</v>
      </c>
      <c r="CD127" s="1">
        <f t="shared" ca="1" si="109"/>
        <v>9.0361157715842869E-2</v>
      </c>
      <c r="CE127" s="1">
        <f t="shared" ca="1" si="125"/>
        <v>0.59867462743312094</v>
      </c>
      <c r="CF127" s="1">
        <f t="shared" ca="1" si="125"/>
        <v>0.54779266622599465</v>
      </c>
      <c r="CH127" s="3">
        <f t="shared" ca="1" si="111"/>
        <v>0.54747857617790285</v>
      </c>
      <c r="CI127" s="3">
        <f t="shared" ca="1" si="112"/>
        <v>0.25471723317934764</v>
      </c>
      <c r="CJ127" s="3">
        <f t="shared" ca="1" si="113"/>
        <v>1741</v>
      </c>
      <c r="CK127" s="3">
        <f t="shared" ca="1" si="114"/>
        <v>6.6625461376849217E-3</v>
      </c>
      <c r="CL127" s="3">
        <f t="shared" ca="1" si="115"/>
        <v>0</v>
      </c>
      <c r="CM127" s="3"/>
      <c r="CN127" s="1">
        <f t="shared" ca="1" si="116"/>
        <v>8.2680881475719499</v>
      </c>
      <c r="CO127" s="1">
        <f t="shared" ca="1" si="117"/>
        <v>0.35576919733803897</v>
      </c>
      <c r="CP127" s="1">
        <f t="shared" ca="1" si="118"/>
        <v>1</v>
      </c>
      <c r="DH127" s="1">
        <f t="shared" ca="1" si="119"/>
        <v>850</v>
      </c>
      <c r="DI127" s="1">
        <f t="shared" ca="1" si="120"/>
        <v>0.75124457709897385</v>
      </c>
      <c r="DJ127" s="1">
        <f t="shared" ca="1" si="121"/>
        <v>10</v>
      </c>
      <c r="DL127" s="1">
        <f t="shared" ca="1" si="122"/>
        <v>4.9057392679728487E-2</v>
      </c>
      <c r="DM127" s="1">
        <f t="shared" ca="1" si="123"/>
        <v>150</v>
      </c>
      <c r="DN127" s="1">
        <f t="shared" ca="1" si="124"/>
        <v>1</v>
      </c>
    </row>
    <row r="128" spans="2:118" x14ac:dyDescent="0.25">
      <c r="B128">
        <f t="shared" ca="1" si="63"/>
        <v>916</v>
      </c>
      <c r="C128">
        <f t="shared" ca="1" si="64"/>
        <v>8</v>
      </c>
      <c r="D128">
        <f t="shared" ca="1" si="65"/>
        <v>0.16039874141672661</v>
      </c>
      <c r="F128" s="1">
        <f t="shared" ca="1" si="66"/>
        <v>36</v>
      </c>
      <c r="G128" s="1">
        <f t="shared" ca="1" si="67"/>
        <v>29</v>
      </c>
      <c r="H128" s="1">
        <f t="shared" ca="1" si="68"/>
        <v>12</v>
      </c>
      <c r="I128" s="1"/>
      <c r="J128" s="1">
        <f t="shared" ca="1" si="69"/>
        <v>35</v>
      </c>
      <c r="K128" s="1">
        <f t="shared" ca="1" si="70"/>
        <v>1.387010280897506</v>
      </c>
      <c r="L128" s="1">
        <f t="shared" ca="1" si="71"/>
        <v>20</v>
      </c>
      <c r="M128" s="1"/>
      <c r="N128" s="1">
        <f t="shared" ca="1" si="72"/>
        <v>777</v>
      </c>
      <c r="O128" s="1">
        <f t="shared" ca="1" si="73"/>
        <v>37</v>
      </c>
      <c r="P128" s="1"/>
      <c r="Q128" s="1">
        <f t="shared" ca="1" si="74"/>
        <v>3.8440223993247136</v>
      </c>
      <c r="R128" s="1">
        <f t="shared" ca="1" si="75"/>
        <v>572</v>
      </c>
      <c r="S128" s="1"/>
      <c r="T128" s="1">
        <f t="shared" ca="1" si="76"/>
        <v>0.19749617500970379</v>
      </c>
      <c r="U128" s="1">
        <f t="shared" ca="1" si="77"/>
        <v>400</v>
      </c>
      <c r="V128" s="1">
        <f t="shared" ca="1" si="78"/>
        <v>41</v>
      </c>
      <c r="W128" s="1"/>
      <c r="X128" s="1">
        <f t="shared" ca="1" si="79"/>
        <v>5.4309523096161749</v>
      </c>
      <c r="Y128" s="1">
        <f t="shared" ca="1" si="80"/>
        <v>0.36586523076479333</v>
      </c>
      <c r="Z128" s="1">
        <f t="shared" ca="1" si="81"/>
        <v>1054</v>
      </c>
      <c r="AB128" s="1">
        <f t="shared" ca="1" si="82"/>
        <v>5.8754396175308794E-3</v>
      </c>
      <c r="AC128" s="1">
        <f t="shared" ca="1" si="83"/>
        <v>913</v>
      </c>
      <c r="AD128" s="1">
        <f t="shared" ca="1" si="84"/>
        <v>6.527363640674062E-3</v>
      </c>
      <c r="AE128" s="1"/>
      <c r="AF128" s="1">
        <f t="shared" ca="1" si="85"/>
        <v>0.83228717133120411</v>
      </c>
      <c r="AG128" s="1">
        <f t="shared" ca="1" si="86"/>
        <v>364</v>
      </c>
      <c r="AH128" s="1">
        <f t="shared" ca="1" si="87"/>
        <v>9.5471316892219542E-3</v>
      </c>
      <c r="AJ128" s="1">
        <f t="shared" ca="1" si="88"/>
        <v>0.75353606634420034</v>
      </c>
      <c r="AK128" s="1">
        <f t="shared" ca="1" si="89"/>
        <v>9.0290369198708295E-3</v>
      </c>
      <c r="AL128" s="1"/>
      <c r="AM128" s="1">
        <f t="shared" ca="1" si="90"/>
        <v>2.985219641463641E-2</v>
      </c>
      <c r="AN128" s="1">
        <f t="shared" ca="1" si="91"/>
        <v>52</v>
      </c>
      <c r="AO128" s="1">
        <f t="shared" ca="1" si="92"/>
        <v>9</v>
      </c>
      <c r="AQ128" s="1">
        <f t="shared" ca="1" si="93"/>
        <v>133</v>
      </c>
      <c r="AR128" s="1">
        <f t="shared" ca="1" si="94"/>
        <v>9</v>
      </c>
      <c r="AS128" s="1">
        <f t="shared" ca="1" si="95"/>
        <v>19</v>
      </c>
      <c r="AU128" s="1">
        <f t="shared" ca="1" si="96"/>
        <v>106</v>
      </c>
      <c r="AV128" s="1">
        <f t="shared" ca="1" si="97"/>
        <v>2</v>
      </c>
      <c r="AW128" s="1">
        <f t="shared" ca="1" si="98"/>
        <v>0.14735084950081084</v>
      </c>
      <c r="AY128" s="1">
        <f t="shared" ca="1" si="99"/>
        <v>1.9478836281411267</v>
      </c>
      <c r="AZ128" s="1">
        <f t="shared" ca="1" si="100"/>
        <v>222</v>
      </c>
      <c r="BA128" s="1">
        <f t="shared" ca="1" si="101"/>
        <v>7.5599980050380057E-3</v>
      </c>
      <c r="BV128" s="1">
        <f t="shared" ca="1" si="102"/>
        <v>0.26531904836760656</v>
      </c>
      <c r="BW128" s="1">
        <f t="shared" ca="1" si="103"/>
        <v>855</v>
      </c>
      <c r="BX128" s="1">
        <f t="shared" ca="1" si="104"/>
        <v>4.0208043336497738E-3</v>
      </c>
      <c r="BY128" s="1">
        <f t="shared" ca="1" si="105"/>
        <v>7.8181355513196452E-2</v>
      </c>
      <c r="BZ128" s="1">
        <f t="shared" ca="1" si="106"/>
        <v>0.76825799526111549</v>
      </c>
      <c r="CB128" s="1">
        <f t="shared" ca="1" si="107"/>
        <v>91</v>
      </c>
      <c r="CC128" s="1">
        <f t="shared" ca="1" si="108"/>
        <v>10</v>
      </c>
      <c r="CD128" s="1">
        <f t="shared" ca="1" si="109"/>
        <v>0.23533696309151883</v>
      </c>
      <c r="CE128" s="1">
        <f t="shared" ca="1" si="125"/>
        <v>0.52236882357516146</v>
      </c>
      <c r="CF128" s="1">
        <f t="shared" ca="1" si="125"/>
        <v>0.5458563456251373</v>
      </c>
      <c r="CH128" s="3">
        <f t="shared" ca="1" si="111"/>
        <v>0.36120051258587299</v>
      </c>
      <c r="CI128" s="3">
        <f t="shared" ca="1" si="112"/>
        <v>0.84076905571480931</v>
      </c>
      <c r="CJ128" s="3">
        <f t="shared" ca="1" si="113"/>
        <v>1021</v>
      </c>
      <c r="CK128" s="3">
        <f t="shared" ca="1" si="114"/>
        <v>6.9602277461501679E-3</v>
      </c>
      <c r="CL128" s="3">
        <f t="shared" ca="1" si="115"/>
        <v>1</v>
      </c>
      <c r="CM128" s="3"/>
      <c r="CN128" s="1">
        <f t="shared" ca="1" si="116"/>
        <v>7.1117691996398813</v>
      </c>
      <c r="CO128" s="1">
        <f t="shared" ca="1" si="117"/>
        <v>0.40590433223366967</v>
      </c>
      <c r="CP128" s="1">
        <f t="shared" ca="1" si="118"/>
        <v>5</v>
      </c>
      <c r="DH128" s="1">
        <f t="shared" ca="1" si="119"/>
        <v>239</v>
      </c>
      <c r="DI128" s="1">
        <f t="shared" ca="1" si="120"/>
        <v>0.17557517943403322</v>
      </c>
      <c r="DJ128" s="1">
        <f t="shared" ca="1" si="121"/>
        <v>25</v>
      </c>
      <c r="DL128" s="1">
        <f t="shared" ca="1" si="122"/>
        <v>0.19413401432665886</v>
      </c>
      <c r="DM128" s="1">
        <f t="shared" ca="1" si="123"/>
        <v>54</v>
      </c>
      <c r="DN128" s="1">
        <f t="shared" ca="1" si="124"/>
        <v>7</v>
      </c>
    </row>
    <row r="129" spans="2:118" x14ac:dyDescent="0.25">
      <c r="B129">
        <f t="shared" ca="1" si="63"/>
        <v>204</v>
      </c>
      <c r="C129">
        <f t="shared" ca="1" si="64"/>
        <v>15</v>
      </c>
      <c r="D129">
        <f t="shared" ca="1" si="65"/>
        <v>0.26266386863919311</v>
      </c>
      <c r="F129" s="1">
        <f t="shared" ca="1" si="66"/>
        <v>29</v>
      </c>
      <c r="G129" s="1">
        <f t="shared" ca="1" si="67"/>
        <v>2</v>
      </c>
      <c r="H129" s="1">
        <f t="shared" ca="1" si="68"/>
        <v>10</v>
      </c>
      <c r="I129" s="1"/>
      <c r="J129" s="1">
        <f t="shared" ca="1" si="69"/>
        <v>9</v>
      </c>
      <c r="K129" s="1">
        <f t="shared" ca="1" si="70"/>
        <v>2.6543910337958514</v>
      </c>
      <c r="L129" s="1">
        <f t="shared" ca="1" si="71"/>
        <v>11</v>
      </c>
      <c r="M129" s="1"/>
      <c r="N129" s="1">
        <f t="shared" ca="1" si="72"/>
        <v>408</v>
      </c>
      <c r="O129" s="1">
        <f t="shared" ca="1" si="73"/>
        <v>52</v>
      </c>
      <c r="P129" s="1"/>
      <c r="Q129" s="1">
        <f t="shared" ca="1" si="74"/>
        <v>3.1059442554167953</v>
      </c>
      <c r="R129" s="1">
        <f t="shared" ca="1" si="75"/>
        <v>1052</v>
      </c>
      <c r="S129" s="1"/>
      <c r="T129" s="1">
        <f t="shared" ca="1" si="76"/>
        <v>0.14732358879484256</v>
      </c>
      <c r="U129" s="1">
        <f t="shared" ca="1" si="77"/>
        <v>204</v>
      </c>
      <c r="V129" s="1">
        <f t="shared" ca="1" si="78"/>
        <v>35</v>
      </c>
      <c r="W129" s="1"/>
      <c r="X129" s="1">
        <f t="shared" ca="1" si="79"/>
        <v>7.0394247465121333</v>
      </c>
      <c r="Y129" s="1">
        <f t="shared" ca="1" si="80"/>
        <v>0.35947686175275489</v>
      </c>
      <c r="Z129" s="1">
        <f t="shared" ca="1" si="81"/>
        <v>315</v>
      </c>
      <c r="AB129" s="1">
        <f t="shared" ca="1" si="82"/>
        <v>0.65150651822442096</v>
      </c>
      <c r="AC129" s="1">
        <f t="shared" ca="1" si="83"/>
        <v>447</v>
      </c>
      <c r="AD129" s="1">
        <f t="shared" ca="1" si="84"/>
        <v>6.2209884263186811E-3</v>
      </c>
      <c r="AE129" s="1"/>
      <c r="AF129" s="1">
        <f t="shared" ca="1" si="85"/>
        <v>0.83809341055068232</v>
      </c>
      <c r="AG129" s="1">
        <f t="shared" ca="1" si="86"/>
        <v>574</v>
      </c>
      <c r="AH129" s="1">
        <f t="shared" ca="1" si="87"/>
        <v>5.4900680669748246E-4</v>
      </c>
      <c r="AJ129" s="1">
        <f t="shared" ca="1" si="88"/>
        <v>0.84069427528537122</v>
      </c>
      <c r="AK129" s="1">
        <f t="shared" ca="1" si="89"/>
        <v>8.3462187578031786E-3</v>
      </c>
      <c r="AL129" s="1"/>
      <c r="AM129" s="1">
        <f t="shared" ca="1" si="90"/>
        <v>0.14857331535471233</v>
      </c>
      <c r="AN129" s="1">
        <f t="shared" ca="1" si="91"/>
        <v>32</v>
      </c>
      <c r="AO129" s="1">
        <f t="shared" ca="1" si="92"/>
        <v>19</v>
      </c>
      <c r="AQ129" s="1">
        <f t="shared" ca="1" si="93"/>
        <v>129</v>
      </c>
      <c r="AR129" s="1">
        <f t="shared" ca="1" si="94"/>
        <v>8</v>
      </c>
      <c r="AS129" s="1">
        <f t="shared" ca="1" si="95"/>
        <v>71</v>
      </c>
      <c r="AU129" s="1">
        <f t="shared" ca="1" si="96"/>
        <v>382</v>
      </c>
      <c r="AV129" s="1">
        <f t="shared" ca="1" si="97"/>
        <v>4</v>
      </c>
      <c r="AW129" s="1">
        <f t="shared" ca="1" si="98"/>
        <v>3.8753715548266544E-2</v>
      </c>
      <c r="AY129" s="1">
        <f t="shared" ca="1" si="99"/>
        <v>1.9773810123913942</v>
      </c>
      <c r="AZ129" s="1">
        <f t="shared" ca="1" si="100"/>
        <v>102</v>
      </c>
      <c r="BA129" s="1">
        <f t="shared" ca="1" si="101"/>
        <v>8.2861638903686981E-3</v>
      </c>
      <c r="BV129" s="1">
        <f t="shared" ca="1" si="102"/>
        <v>0.16547271156443022</v>
      </c>
      <c r="BW129" s="1">
        <f t="shared" ca="1" si="103"/>
        <v>692</v>
      </c>
      <c r="BX129" s="1">
        <f t="shared" ca="1" si="104"/>
        <v>8.1913024421652898E-3</v>
      </c>
      <c r="BY129" s="1">
        <f t="shared" ca="1" si="105"/>
        <v>2.1829440117417401E-2</v>
      </c>
      <c r="BZ129" s="1">
        <f t="shared" ca="1" si="106"/>
        <v>0.86251871242534439</v>
      </c>
      <c r="CB129" s="1">
        <f t="shared" ca="1" si="107"/>
        <v>98</v>
      </c>
      <c r="CC129" s="1">
        <f t="shared" ca="1" si="108"/>
        <v>12</v>
      </c>
      <c r="CD129" s="1">
        <f t="shared" ca="1" si="109"/>
        <v>8.4644267658697203E-2</v>
      </c>
      <c r="CE129" s="1">
        <f t="shared" ca="1" si="125"/>
        <v>0.6420817488742574</v>
      </c>
      <c r="CF129" s="1">
        <f t="shared" ca="1" si="125"/>
        <v>0.85776669660173632</v>
      </c>
      <c r="CH129" s="3">
        <f t="shared" ca="1" si="111"/>
        <v>0.59116145164498979</v>
      </c>
      <c r="CI129" s="3">
        <f t="shared" ca="1" si="112"/>
        <v>0.78203744787370011</v>
      </c>
      <c r="CJ129" s="3">
        <f t="shared" ca="1" si="113"/>
        <v>530</v>
      </c>
      <c r="CK129" s="3">
        <f t="shared" ca="1" si="114"/>
        <v>1.5850818130385348E-3</v>
      </c>
      <c r="CL129" s="3">
        <f t="shared" ca="1" si="115"/>
        <v>1</v>
      </c>
      <c r="CM129" s="3"/>
      <c r="CN129" s="1">
        <f t="shared" ca="1" si="116"/>
        <v>16.493509965932642</v>
      </c>
      <c r="CO129" s="1">
        <f t="shared" ca="1" si="117"/>
        <v>0.35432434146656905</v>
      </c>
      <c r="CP129" s="1">
        <f t="shared" ca="1" si="118"/>
        <v>3</v>
      </c>
      <c r="DH129" s="1">
        <f t="shared" ca="1" si="119"/>
        <v>62</v>
      </c>
      <c r="DI129" s="1">
        <f t="shared" ca="1" si="120"/>
        <v>0.68323380909983844</v>
      </c>
      <c r="DJ129" s="1">
        <f t="shared" ca="1" si="121"/>
        <v>28</v>
      </c>
      <c r="DL129" s="1">
        <f t="shared" ca="1" si="122"/>
        <v>1.1013122614865015E-2</v>
      </c>
      <c r="DM129" s="1">
        <f t="shared" ca="1" si="123"/>
        <v>73</v>
      </c>
      <c r="DN129" s="1">
        <f t="shared" ca="1" si="124"/>
        <v>2</v>
      </c>
    </row>
    <row r="130" spans="2:118" x14ac:dyDescent="0.25">
      <c r="B130">
        <f t="shared" ca="1" si="63"/>
        <v>807</v>
      </c>
      <c r="C130">
        <f t="shared" ca="1" si="64"/>
        <v>43</v>
      </c>
      <c r="D130">
        <f t="shared" ca="1" si="65"/>
        <v>1.2173010939422604E-2</v>
      </c>
      <c r="F130" s="1">
        <f t="shared" ca="1" si="66"/>
        <v>37</v>
      </c>
      <c r="G130" s="1">
        <f t="shared" ca="1" si="67"/>
        <v>12</v>
      </c>
      <c r="H130" s="1">
        <f t="shared" ca="1" si="68"/>
        <v>4</v>
      </c>
      <c r="I130" s="1"/>
      <c r="J130" s="1">
        <f t="shared" ca="1" si="69"/>
        <v>30</v>
      </c>
      <c r="K130" s="1">
        <f t="shared" ca="1" si="70"/>
        <v>2.6282278250061859</v>
      </c>
      <c r="L130" s="1">
        <f t="shared" ca="1" si="71"/>
        <v>16</v>
      </c>
      <c r="M130" s="1"/>
      <c r="N130" s="1">
        <f t="shared" ca="1" si="72"/>
        <v>666</v>
      </c>
      <c r="O130" s="1">
        <f t="shared" ca="1" si="73"/>
        <v>17</v>
      </c>
      <c r="P130" s="1"/>
      <c r="Q130" s="1">
        <f t="shared" ca="1" si="74"/>
        <v>1.7960073905199332</v>
      </c>
      <c r="R130" s="1">
        <f t="shared" ca="1" si="75"/>
        <v>365</v>
      </c>
      <c r="S130" s="1"/>
      <c r="T130" s="1">
        <f t="shared" ca="1" si="76"/>
        <v>8.1848222818426353E-2</v>
      </c>
      <c r="U130" s="1">
        <f t="shared" ca="1" si="77"/>
        <v>282</v>
      </c>
      <c r="V130" s="1">
        <f t="shared" ca="1" si="78"/>
        <v>49</v>
      </c>
      <c r="W130" s="1"/>
      <c r="X130" s="1">
        <f t="shared" ca="1" si="79"/>
        <v>8.0813516241008276</v>
      </c>
      <c r="Y130" s="1">
        <f t="shared" ca="1" si="80"/>
        <v>0.43030718251252803</v>
      </c>
      <c r="Z130" s="1">
        <f t="shared" ca="1" si="81"/>
        <v>129</v>
      </c>
      <c r="AB130" s="1">
        <f t="shared" ca="1" si="82"/>
        <v>0.46149560128607414</v>
      </c>
      <c r="AC130" s="1">
        <f t="shared" ca="1" si="83"/>
        <v>961</v>
      </c>
      <c r="AD130" s="1">
        <f t="shared" ca="1" si="84"/>
        <v>6.4222027611186873E-3</v>
      </c>
      <c r="AE130" s="1"/>
      <c r="AF130" s="1">
        <f t="shared" ca="1" si="85"/>
        <v>0.66384972374367324</v>
      </c>
      <c r="AG130" s="1">
        <f t="shared" ca="1" si="86"/>
        <v>287</v>
      </c>
      <c r="AH130" s="1">
        <f t="shared" ca="1" si="87"/>
        <v>4.5446383187088468E-3</v>
      </c>
      <c r="AJ130" s="1">
        <f t="shared" ca="1" si="88"/>
        <v>0.67467420617938378</v>
      </c>
      <c r="AK130" s="1">
        <f t="shared" ca="1" si="89"/>
        <v>1.0368599557852994E-4</v>
      </c>
      <c r="AL130" s="1"/>
      <c r="AM130" s="1">
        <f t="shared" ca="1" si="90"/>
        <v>0.13848490153683404</v>
      </c>
      <c r="AN130" s="1">
        <f t="shared" ca="1" si="91"/>
        <v>10</v>
      </c>
      <c r="AO130" s="1">
        <f t="shared" ca="1" si="92"/>
        <v>18</v>
      </c>
      <c r="AQ130" s="1">
        <f t="shared" ca="1" si="93"/>
        <v>95</v>
      </c>
      <c r="AR130" s="1">
        <f t="shared" ca="1" si="94"/>
        <v>0</v>
      </c>
      <c r="AS130" s="1">
        <f t="shared" ca="1" si="95"/>
        <v>75</v>
      </c>
      <c r="AU130" s="1">
        <f t="shared" ca="1" si="96"/>
        <v>228</v>
      </c>
      <c r="AV130" s="1">
        <f t="shared" ca="1" si="97"/>
        <v>6</v>
      </c>
      <c r="AW130" s="1">
        <f t="shared" ca="1" si="98"/>
        <v>0.13067328232618278</v>
      </c>
      <c r="AY130" s="1">
        <f t="shared" ca="1" si="99"/>
        <v>1.6148265354176821</v>
      </c>
      <c r="AZ130" s="1">
        <f t="shared" ca="1" si="100"/>
        <v>400</v>
      </c>
      <c r="BA130" s="1">
        <f t="shared" ca="1" si="101"/>
        <v>8.552024070883792E-3</v>
      </c>
      <c r="BV130" s="1">
        <f t="shared" ca="1" si="102"/>
        <v>0.33850745772376911</v>
      </c>
      <c r="BW130" s="1">
        <f t="shared" ca="1" si="103"/>
        <v>114</v>
      </c>
      <c r="BX130" s="1">
        <f t="shared" ca="1" si="104"/>
        <v>5.7974559462688575E-3</v>
      </c>
      <c r="BY130" s="1">
        <f t="shared" ca="1" si="105"/>
        <v>5.2407515762517891E-2</v>
      </c>
      <c r="BZ130" s="1">
        <f t="shared" ca="1" si="106"/>
        <v>0.61736603715967775</v>
      </c>
      <c r="CB130" s="1">
        <f t="shared" ca="1" si="107"/>
        <v>391</v>
      </c>
      <c r="CC130" s="1">
        <f t="shared" ca="1" si="108"/>
        <v>9</v>
      </c>
      <c r="CD130" s="1">
        <f t="shared" ca="1" si="109"/>
        <v>0.27517387126711063</v>
      </c>
      <c r="CE130" s="1">
        <f t="shared" ca="1" si="125"/>
        <v>0.54636422570909549</v>
      </c>
      <c r="CF130" s="1">
        <f t="shared" ca="1" si="125"/>
        <v>0.79117545184702465</v>
      </c>
      <c r="CH130" s="3">
        <f t="shared" ca="1" si="111"/>
        <v>0.57357819438946989</v>
      </c>
      <c r="CI130" s="3">
        <f t="shared" ca="1" si="112"/>
        <v>0.58812450100805103</v>
      </c>
      <c r="CJ130" s="3">
        <f t="shared" ca="1" si="113"/>
        <v>1426</v>
      </c>
      <c r="CK130" s="3">
        <f t="shared" ca="1" si="114"/>
        <v>1.6986056634268553E-3</v>
      </c>
      <c r="CL130" s="3">
        <f t="shared" ca="1" si="115"/>
        <v>1</v>
      </c>
      <c r="CM130" s="3"/>
      <c r="CN130" s="1">
        <f t="shared" ca="1" si="116"/>
        <v>8.1092197660727656</v>
      </c>
      <c r="CO130" s="1">
        <f t="shared" ca="1" si="117"/>
        <v>5.1508022127364744E-2</v>
      </c>
      <c r="CP130" s="1">
        <f t="shared" ca="1" si="118"/>
        <v>5</v>
      </c>
      <c r="DH130" s="1">
        <f t="shared" ca="1" si="119"/>
        <v>119</v>
      </c>
      <c r="DI130" s="1">
        <f t="shared" ca="1" si="120"/>
        <v>0.66262734435227033</v>
      </c>
      <c r="DJ130" s="1">
        <f t="shared" ca="1" si="121"/>
        <v>30</v>
      </c>
      <c r="DL130" s="1">
        <f t="shared" ca="1" si="122"/>
        <v>3.7038219788503378E-2</v>
      </c>
      <c r="DM130" s="1">
        <f t="shared" ca="1" si="123"/>
        <v>170</v>
      </c>
      <c r="DN130" s="1">
        <f t="shared" ca="1" si="124"/>
        <v>2</v>
      </c>
    </row>
    <row r="131" spans="2:118" x14ac:dyDescent="0.25">
      <c r="B131">
        <f t="shared" ca="1" si="63"/>
        <v>568</v>
      </c>
      <c r="C131">
        <f t="shared" ca="1" si="64"/>
        <v>27</v>
      </c>
      <c r="D131">
        <f t="shared" ca="1" si="65"/>
        <v>0.13703349583602464</v>
      </c>
      <c r="F131" s="1">
        <f t="shared" ca="1" si="66"/>
        <v>12</v>
      </c>
      <c r="G131" s="1">
        <f t="shared" ca="1" si="67"/>
        <v>16</v>
      </c>
      <c r="H131" s="1">
        <f t="shared" ca="1" si="68"/>
        <v>4</v>
      </c>
      <c r="I131" s="1"/>
      <c r="J131" s="1">
        <f t="shared" ca="1" si="69"/>
        <v>5</v>
      </c>
      <c r="K131" s="1">
        <f t="shared" ca="1" si="70"/>
        <v>1.5010334535690775</v>
      </c>
      <c r="L131" s="1">
        <f t="shared" ca="1" si="71"/>
        <v>27</v>
      </c>
      <c r="M131" s="1"/>
      <c r="N131" s="1">
        <f t="shared" ca="1" si="72"/>
        <v>829</v>
      </c>
      <c r="O131" s="1">
        <f t="shared" ca="1" si="73"/>
        <v>41</v>
      </c>
      <c r="P131" s="1"/>
      <c r="Q131" s="1">
        <f t="shared" ca="1" si="74"/>
        <v>2.5491831357642543</v>
      </c>
      <c r="R131" s="1">
        <f t="shared" ca="1" si="75"/>
        <v>556</v>
      </c>
      <c r="S131" s="1"/>
      <c r="T131" s="1">
        <f t="shared" ca="1" si="76"/>
        <v>0.1346333741975381</v>
      </c>
      <c r="U131" s="1">
        <f t="shared" ca="1" si="77"/>
        <v>251</v>
      </c>
      <c r="V131" s="1">
        <f t="shared" ca="1" si="78"/>
        <v>10</v>
      </c>
      <c r="W131" s="1"/>
      <c r="X131" s="1">
        <f t="shared" ca="1" si="79"/>
        <v>2.4532936018273603</v>
      </c>
      <c r="Y131" s="1">
        <f t="shared" ca="1" si="80"/>
        <v>0.25272647602910153</v>
      </c>
      <c r="Z131" s="1">
        <f t="shared" ca="1" si="81"/>
        <v>1000</v>
      </c>
      <c r="AB131" s="1">
        <f t="shared" ca="1" si="82"/>
        <v>0.82003996412996438</v>
      </c>
      <c r="AC131" s="1">
        <f t="shared" ca="1" si="83"/>
        <v>865</v>
      </c>
      <c r="AD131" s="1">
        <f t="shared" ca="1" si="84"/>
        <v>7.8025301308793822E-3</v>
      </c>
      <c r="AE131" s="1"/>
      <c r="AF131" s="1">
        <f t="shared" ca="1" si="85"/>
        <v>0.36835927861869322</v>
      </c>
      <c r="AG131" s="1">
        <f t="shared" ca="1" si="86"/>
        <v>940</v>
      </c>
      <c r="AH131" s="1">
        <f t="shared" ca="1" si="87"/>
        <v>4.0717238398387551E-3</v>
      </c>
      <c r="AJ131" s="1">
        <f t="shared" ca="1" si="88"/>
        <v>0.12509263252269975</v>
      </c>
      <c r="AK131" s="1">
        <f t="shared" ca="1" si="89"/>
        <v>1.4793195881646621E-3</v>
      </c>
      <c r="AL131" s="1"/>
      <c r="AM131" s="1">
        <f t="shared" ca="1" si="90"/>
        <v>0.19157763442679396</v>
      </c>
      <c r="AN131" s="1">
        <f t="shared" ca="1" si="91"/>
        <v>37</v>
      </c>
      <c r="AO131" s="1">
        <f t="shared" ca="1" si="92"/>
        <v>5</v>
      </c>
      <c r="AQ131" s="1">
        <f t="shared" ca="1" si="93"/>
        <v>37</v>
      </c>
      <c r="AR131" s="1">
        <f t="shared" ca="1" si="94"/>
        <v>3</v>
      </c>
      <c r="AS131" s="1">
        <f t="shared" ca="1" si="95"/>
        <v>64</v>
      </c>
      <c r="AU131" s="1">
        <f t="shared" ca="1" si="96"/>
        <v>328</v>
      </c>
      <c r="AV131" s="1">
        <f t="shared" ca="1" si="97"/>
        <v>5</v>
      </c>
      <c r="AW131" s="1">
        <f t="shared" ca="1" si="98"/>
        <v>5.3474660292608542E-2</v>
      </c>
      <c r="AY131" s="1">
        <f t="shared" ca="1" si="99"/>
        <v>1.2012219189232076</v>
      </c>
      <c r="AZ131" s="1">
        <f t="shared" ca="1" si="100"/>
        <v>130</v>
      </c>
      <c r="BA131" s="1">
        <f t="shared" ca="1" si="101"/>
        <v>9.3612496912148686E-3</v>
      </c>
      <c r="BV131" s="1">
        <f t="shared" ca="1" si="102"/>
        <v>0.46148653171544507</v>
      </c>
      <c r="BW131" s="1">
        <f t="shared" ca="1" si="103"/>
        <v>613</v>
      </c>
      <c r="BX131" s="1">
        <f t="shared" ca="1" si="104"/>
        <v>8.1128345749882178E-3</v>
      </c>
      <c r="BY131" s="1">
        <f t="shared" ca="1" si="105"/>
        <v>9.4237774606437799E-2</v>
      </c>
      <c r="BZ131" s="1">
        <f t="shared" ca="1" si="106"/>
        <v>0.15915077864347549</v>
      </c>
      <c r="CB131" s="1">
        <f t="shared" ca="1" si="107"/>
        <v>491</v>
      </c>
      <c r="CC131" s="1">
        <f t="shared" ca="1" si="108"/>
        <v>10</v>
      </c>
      <c r="CD131" s="1">
        <f t="shared" ca="1" si="109"/>
        <v>0.1682657609311734</v>
      </c>
      <c r="CE131" s="1">
        <f t="shared" ca="1" si="125"/>
        <v>0.50651372285976737</v>
      </c>
      <c r="CF131" s="1">
        <f t="shared" ca="1" si="125"/>
        <v>0.50938434628637697</v>
      </c>
      <c r="CH131" s="3">
        <f t="shared" ca="1" si="111"/>
        <v>0.53439050312585235</v>
      </c>
      <c r="CI131" s="3">
        <f t="shared" ca="1" si="112"/>
        <v>9.1966912111808255E-2</v>
      </c>
      <c r="CJ131" s="3">
        <f t="shared" ca="1" si="113"/>
        <v>616</v>
      </c>
      <c r="CK131" s="3">
        <f t="shared" ca="1" si="114"/>
        <v>8.4589889063434454E-3</v>
      </c>
      <c r="CL131" s="3">
        <f t="shared" ca="1" si="115"/>
        <v>0</v>
      </c>
      <c r="CM131" s="3"/>
      <c r="CN131" s="1">
        <f t="shared" ca="1" si="116"/>
        <v>10.438682015348647</v>
      </c>
      <c r="CO131" s="1">
        <f t="shared" ca="1" si="117"/>
        <v>0.16384422057050688</v>
      </c>
      <c r="CP131" s="1">
        <f t="shared" ca="1" si="118"/>
        <v>5</v>
      </c>
      <c r="DH131" s="1">
        <f t="shared" ca="1" si="119"/>
        <v>858</v>
      </c>
      <c r="DI131" s="1">
        <f t="shared" ca="1" si="120"/>
        <v>0.16961350097163497</v>
      </c>
      <c r="DJ131" s="1">
        <f t="shared" ca="1" si="121"/>
        <v>9</v>
      </c>
      <c r="DL131" s="1">
        <f t="shared" ca="1" si="122"/>
        <v>0.16197957859500095</v>
      </c>
      <c r="DM131" s="1">
        <f t="shared" ca="1" si="123"/>
        <v>278</v>
      </c>
      <c r="DN131" s="1">
        <f t="shared" ca="1" si="124"/>
        <v>3</v>
      </c>
    </row>
    <row r="132" spans="2:118" x14ac:dyDescent="0.25">
      <c r="B132">
        <f t="shared" ref="B132:B195" ca="1" si="126">RANDBETWEEN(15,1000)</f>
        <v>78</v>
      </c>
      <c r="C132">
        <f t="shared" ref="C132:C195" ca="1" si="127">RANDBETWEEN(2,52)</f>
        <v>52</v>
      </c>
      <c r="D132">
        <f t="shared" ref="D132:D195" ca="1" si="128">RAND()*(0.3-0.01)+0.01</f>
        <v>8.3064723728883891E-2</v>
      </c>
      <c r="F132" s="1">
        <f t="shared" ref="F132:F195" ca="1" si="129">RANDBETWEEN(2,52)</f>
        <v>17</v>
      </c>
      <c r="G132" s="1">
        <f t="shared" ref="G132:G195" ca="1" si="130">RANDBETWEEN(2,30)</f>
        <v>24</v>
      </c>
      <c r="H132" s="1">
        <f t="shared" ref="H132:H195" ca="1" si="131">RANDBETWEEN(1,15)</f>
        <v>7</v>
      </c>
      <c r="I132" s="1"/>
      <c r="J132" s="1">
        <f t="shared" ref="J132:J195" ca="1" si="132">RANDBETWEEN(1,39)</f>
        <v>1</v>
      </c>
      <c r="K132" s="1">
        <f t="shared" ref="K132:K195" ca="1" si="133">RAND()*(3-1)+1</f>
        <v>2.5146392764269048</v>
      </c>
      <c r="L132" s="1">
        <f t="shared" ref="L132:L195" ca="1" si="134">RANDBETWEEN(2,35)</f>
        <v>23</v>
      </c>
      <c r="M132" s="1"/>
      <c r="N132" s="1">
        <f t="shared" ref="N132:N195" ca="1" si="135">RANDBETWEEN(15,1000)</f>
        <v>168</v>
      </c>
      <c r="O132" s="1">
        <f t="shared" ref="O132:O195" ca="1" si="136">RANDBETWEEN(2,52)</f>
        <v>31</v>
      </c>
      <c r="P132" s="1"/>
      <c r="Q132" s="1">
        <f t="shared" ref="Q132:Q195" ca="1" si="137">RAND()*(5-0.01)+0.01</f>
        <v>4.9406289180383114</v>
      </c>
      <c r="R132" s="1">
        <f t="shared" ref="R132:R195" ca="1" si="138">RANDBETWEEN(200,1200)</f>
        <v>858</v>
      </c>
      <c r="S132" s="1"/>
      <c r="T132" s="1">
        <f t="shared" ref="T132:T195" ca="1" si="139">RAND()*(0.2-0.01)+0.01</f>
        <v>0.14843093786504027</v>
      </c>
      <c r="U132" s="1">
        <f t="shared" ref="U132:U195" ca="1" si="140">RANDBETWEEN(50,450)</f>
        <v>100</v>
      </c>
      <c r="V132" s="1">
        <f t="shared" ref="V132:V195" ca="1" si="141">RANDBETWEEN(2,52)</f>
        <v>34</v>
      </c>
      <c r="W132" s="1"/>
      <c r="X132" s="1">
        <f t="shared" ref="X132:X195" ca="1" si="142">RAND()*(10-0.01)+0.01</f>
        <v>7.8917926995566114</v>
      </c>
      <c r="Y132" s="1">
        <f t="shared" ref="Y132:Y195" ca="1" si="143">RAND()*(1-0.0001)+0.0001</f>
        <v>0.15060929732819264</v>
      </c>
      <c r="Z132" s="1">
        <f t="shared" ref="Z132:Z195" ca="1" si="144">RANDBETWEEN(100,2000)</f>
        <v>1111</v>
      </c>
      <c r="AB132" s="1">
        <f t="shared" ref="AB132:AB195" ca="1" si="145">RAND()*(1-0.0001)+0.0001</f>
        <v>0.86563320644491104</v>
      </c>
      <c r="AC132" s="1">
        <f t="shared" ref="AC132:AC195" ca="1" si="146">RANDBETWEEN(100,1000)</f>
        <v>240</v>
      </c>
      <c r="AD132" s="1">
        <f t="shared" ref="AD132:AD195" ca="1" si="147">RAND()*(0.01-0.00001)+0.00001</f>
        <v>6.1471214620042259E-3</v>
      </c>
      <c r="AE132" s="1"/>
      <c r="AF132" s="1">
        <f t="shared" ref="AF132:AF195" ca="1" si="148">RAND()*(0.9-0.1)+0.1</f>
        <v>0.33659937556442987</v>
      </c>
      <c r="AG132" s="1">
        <f t="shared" ref="AG132:AG195" ca="1" si="149">RANDBETWEEN(100,1000)</f>
        <v>229</v>
      </c>
      <c r="AH132" s="1">
        <f t="shared" ref="AH132:AH195" ca="1" si="150">RAND()*(0.01-0.00001)+0.00001</f>
        <v>6.4310337251034548E-3</v>
      </c>
      <c r="AJ132" s="1">
        <f t="shared" ref="AJ132:AJ195" ca="1" si="151">RAND()*(1-0)+0</f>
        <v>0.45589326790110374</v>
      </c>
      <c r="AK132" s="1">
        <f t="shared" ref="AK132:AK195" ca="1" si="152">RAND()*(0.01-0.00001)+0.00001</f>
        <v>8.3694539416429761E-3</v>
      </c>
      <c r="AL132" s="1"/>
      <c r="AM132" s="1">
        <f t="shared" ref="AM132:AM195" ca="1" si="153">RAND()*(0.2-0.005)+0.005</f>
        <v>3.8849588189603941E-2</v>
      </c>
      <c r="AN132" s="1">
        <f t="shared" ref="AN132:AN195" ca="1" si="154">RANDBETWEEN(10,80)</f>
        <v>66</v>
      </c>
      <c r="AO132" s="1">
        <f t="shared" ref="AO132:AO195" ca="1" si="155">RANDBETWEEN(-1,20)</f>
        <v>12</v>
      </c>
      <c r="AQ132" s="1">
        <f t="shared" ref="AQ132:AQ195" ca="1" si="156">RANDBETWEEN(10,200)</f>
        <v>28</v>
      </c>
      <c r="AR132" s="1">
        <f t="shared" ref="AR132:AR195" ca="1" si="157">RANDBETWEEN(0,10)</f>
        <v>10</v>
      </c>
      <c r="AS132" s="1">
        <f t="shared" ref="AS132:AS195" ca="1" si="158">RANDBETWEEN(1,100)</f>
        <v>76</v>
      </c>
      <c r="AU132" s="1">
        <f t="shared" ref="AU132:AU195" ca="1" si="159">RANDBETWEEN(50,400)</f>
        <v>136</v>
      </c>
      <c r="AV132" s="1">
        <f t="shared" ref="AV132:AV195" ca="1" si="160">RANDBETWEEN(2,10)</f>
        <v>2</v>
      </c>
      <c r="AW132" s="1">
        <f t="shared" ref="AW132:AW195" ca="1" si="161">RAND()*(0.2-0.01)+0.01</f>
        <v>0.10595206006246842</v>
      </c>
      <c r="AY132" s="1">
        <f t="shared" ref="AY132:AY195" ca="1" si="162">RAND()*(2-1.1)+1.1</f>
        <v>1.3472350918811631</v>
      </c>
      <c r="AZ132" s="1">
        <f t="shared" ref="AZ132:AZ195" ca="1" si="163">RANDBETWEEN(50,500)</f>
        <v>344</v>
      </c>
      <c r="BA132" s="1">
        <f t="shared" ref="BA132:BA195" ca="1" si="164">RAND()*(0.01-0.00001)+0.00001</f>
        <v>3.1029001483766304E-3</v>
      </c>
      <c r="BV132" s="1">
        <f t="shared" ref="BV132:BV195" ca="1" si="165">RAND()*(1-0.0001)+0.0001</f>
        <v>4.5916854259190482E-2</v>
      </c>
      <c r="BW132" s="1">
        <f t="shared" ref="BW132:BW195" ca="1" si="166">RANDBETWEEN(100,1000)</f>
        <v>705</v>
      </c>
      <c r="BX132" s="1">
        <f t="shared" ref="BX132:BX195" ca="1" si="167">RAND()*(0.01-0.00001)+0.00001</f>
        <v>6.6534632887909444E-3</v>
      </c>
      <c r="BY132" s="1">
        <f t="shared" ref="BY132:BY195" ca="1" si="168">RAND()*(0.1-0.0001)+0.0001</f>
        <v>3.2278754445539563E-2</v>
      </c>
      <c r="BZ132" s="1">
        <f t="shared" ref="BZ132:BZ195" ca="1" si="169">RAND()*(1-0)+0</f>
        <v>0.92057610423643343</v>
      </c>
      <c r="CB132" s="1">
        <f t="shared" ref="CB132:CB195" ca="1" si="170">RANDBETWEEN(50,500)</f>
        <v>99</v>
      </c>
      <c r="CC132" s="1">
        <f t="shared" ref="CC132:CC195" ca="1" si="171">RANDBETWEEN(3,15)</f>
        <v>15</v>
      </c>
      <c r="CD132" s="1">
        <f t="shared" ref="CD132:CD195" ca="1" si="172">RAND()*(0.3-0.01)+0.01</f>
        <v>2.8094899115911315E-2</v>
      </c>
      <c r="CE132" s="1">
        <f t="shared" ref="CE132:CF163" ca="1" si="173">RAND()*(1-0.5)+0.5</f>
        <v>0.90599752639429787</v>
      </c>
      <c r="CF132" s="1">
        <f t="shared" ca="1" si="173"/>
        <v>0.77846394221273763</v>
      </c>
      <c r="CH132" s="3">
        <f t="shared" ref="CH132:CH195" ca="1" si="174">RAND()*(1-0.0001)+0.0001</f>
        <v>0.89095251010536458</v>
      </c>
      <c r="CI132" s="3">
        <f t="shared" ref="CI132:CI195" ca="1" si="175">RAND()*(0.99-0.01)+0.01</f>
        <v>0.31745812024202918</v>
      </c>
      <c r="CJ132" s="3">
        <f t="shared" ref="CJ132:CJ195" ca="1" si="176">RANDBETWEEN(100,2000)</f>
        <v>1523</v>
      </c>
      <c r="CK132" s="3">
        <f t="shared" ref="CK132:CK195" ca="1" si="177">RAND()*(0.01-0.000001)+0.000001</f>
        <v>1.048939244181673E-3</v>
      </c>
      <c r="CL132" s="3">
        <f t="shared" ref="CL132:CL195" ca="1" si="178">RANDBETWEEN(0,1)</f>
        <v>0</v>
      </c>
      <c r="CM132" s="3"/>
      <c r="CN132" s="1">
        <f t="shared" ref="CN132:CN195" ca="1" si="179">RAND()*(20-0.1)+0.1</f>
        <v>4.0168787247334947</v>
      </c>
      <c r="CO132" s="1">
        <f t="shared" ref="CO132:CO195" ca="1" si="180">RAND()*(0.5-0.001)+0.001</f>
        <v>0.46843316576134053</v>
      </c>
      <c r="CP132" s="1">
        <f t="shared" ref="CP132:CP195" ca="1" si="181">RANDBETWEEN(1,5)</f>
        <v>1</v>
      </c>
      <c r="DH132" s="1">
        <f t="shared" ref="DH132:DH195" ca="1" si="182">RANDBETWEEN(10,900)</f>
        <v>433</v>
      </c>
      <c r="DI132" s="1">
        <f t="shared" ref="DI132:DI195" ca="1" si="183">RAND()*(1-0.001)+0.001</f>
        <v>5.24620001252184E-2</v>
      </c>
      <c r="DJ132" s="1">
        <f t="shared" ref="DJ132:DJ195" ca="1" si="184">RANDBETWEEN(1,30)</f>
        <v>14</v>
      </c>
      <c r="DL132" s="1">
        <f t="shared" ref="DL132:DL195" ca="1" si="185">RAND()*(0.2-0.01)+0.01</f>
        <v>6.8302202306739335E-2</v>
      </c>
      <c r="DM132" s="1">
        <f t="shared" ref="DM132:DM195" ca="1" si="186">RANDBETWEEN(50,300)</f>
        <v>145</v>
      </c>
      <c r="DN132" s="1">
        <f t="shared" ref="DN132:DN195" ca="1" si="187">RANDBETWEEN(1,10)</f>
        <v>7</v>
      </c>
    </row>
    <row r="133" spans="2:118" x14ac:dyDescent="0.25">
      <c r="B133">
        <f t="shared" ca="1" si="126"/>
        <v>442</v>
      </c>
      <c r="C133">
        <f t="shared" ca="1" si="127"/>
        <v>26</v>
      </c>
      <c r="D133">
        <f t="shared" ca="1" si="128"/>
        <v>0.14084485240267283</v>
      </c>
      <c r="F133" s="1">
        <f t="shared" ca="1" si="129"/>
        <v>27</v>
      </c>
      <c r="G133" s="1">
        <f t="shared" ca="1" si="130"/>
        <v>12</v>
      </c>
      <c r="H133" s="1">
        <f t="shared" ca="1" si="131"/>
        <v>8</v>
      </c>
      <c r="I133" s="1"/>
      <c r="J133" s="1">
        <f t="shared" ca="1" si="132"/>
        <v>18</v>
      </c>
      <c r="K133" s="1">
        <f t="shared" ca="1" si="133"/>
        <v>1.5492282380943319</v>
      </c>
      <c r="L133" s="1">
        <f t="shared" ca="1" si="134"/>
        <v>23</v>
      </c>
      <c r="M133" s="1"/>
      <c r="N133" s="1">
        <f t="shared" ca="1" si="135"/>
        <v>804</v>
      </c>
      <c r="O133" s="1">
        <f t="shared" ca="1" si="136"/>
        <v>40</v>
      </c>
      <c r="P133" s="1"/>
      <c r="Q133" s="1">
        <f t="shared" ca="1" si="137"/>
        <v>2.9021036295918172</v>
      </c>
      <c r="R133" s="1">
        <f t="shared" ca="1" si="138"/>
        <v>772</v>
      </c>
      <c r="S133" s="1"/>
      <c r="T133" s="1">
        <f t="shared" ca="1" si="139"/>
        <v>0.10033581116073448</v>
      </c>
      <c r="U133" s="1">
        <f t="shared" ca="1" si="140"/>
        <v>118</v>
      </c>
      <c r="V133" s="1">
        <f t="shared" ca="1" si="141"/>
        <v>30</v>
      </c>
      <c r="W133" s="1"/>
      <c r="X133" s="1">
        <f t="shared" ca="1" si="142"/>
        <v>8.79029670528924</v>
      </c>
      <c r="Y133" s="1">
        <f t="shared" ca="1" si="143"/>
        <v>0.15480663399058794</v>
      </c>
      <c r="Z133" s="1">
        <f t="shared" ca="1" si="144"/>
        <v>1691</v>
      </c>
      <c r="AB133" s="1">
        <f t="shared" ca="1" si="145"/>
        <v>0.86243984322299183</v>
      </c>
      <c r="AC133" s="1">
        <f t="shared" ca="1" si="146"/>
        <v>106</v>
      </c>
      <c r="AD133" s="1">
        <f t="shared" ca="1" si="147"/>
        <v>7.7619433251975372E-4</v>
      </c>
      <c r="AE133" s="1"/>
      <c r="AF133" s="1">
        <f t="shared" ca="1" si="148"/>
        <v>0.44323952350147033</v>
      </c>
      <c r="AG133" s="1">
        <f t="shared" ca="1" si="149"/>
        <v>198</v>
      </c>
      <c r="AH133" s="1">
        <f t="shared" ca="1" si="150"/>
        <v>6.080396572436992E-3</v>
      </c>
      <c r="AJ133" s="1">
        <f t="shared" ca="1" si="151"/>
        <v>0.2019078240674872</v>
      </c>
      <c r="AK133" s="1">
        <f t="shared" ca="1" si="152"/>
        <v>7.7018115299940255E-3</v>
      </c>
      <c r="AL133" s="1"/>
      <c r="AM133" s="1">
        <f t="shared" ca="1" si="153"/>
        <v>8.1288566984878075E-2</v>
      </c>
      <c r="AN133" s="1">
        <f t="shared" ca="1" si="154"/>
        <v>58</v>
      </c>
      <c r="AO133" s="1">
        <f t="shared" ca="1" si="155"/>
        <v>1</v>
      </c>
      <c r="AQ133" s="1">
        <f t="shared" ca="1" si="156"/>
        <v>19</v>
      </c>
      <c r="AR133" s="1">
        <f t="shared" ca="1" si="157"/>
        <v>0</v>
      </c>
      <c r="AS133" s="1">
        <f t="shared" ca="1" si="158"/>
        <v>21</v>
      </c>
      <c r="AU133" s="1">
        <f t="shared" ca="1" si="159"/>
        <v>159</v>
      </c>
      <c r="AV133" s="1">
        <f t="shared" ca="1" si="160"/>
        <v>4</v>
      </c>
      <c r="AW133" s="1">
        <f t="shared" ca="1" si="161"/>
        <v>0.16633476856040666</v>
      </c>
      <c r="AY133" s="1">
        <f t="shared" ca="1" si="162"/>
        <v>1.4461689432532259</v>
      </c>
      <c r="AZ133" s="1">
        <f t="shared" ca="1" si="163"/>
        <v>458</v>
      </c>
      <c r="BA133" s="1">
        <f t="shared" ca="1" si="164"/>
        <v>6.9363334550631159E-3</v>
      </c>
      <c r="BV133" s="1">
        <f t="shared" ca="1" si="165"/>
        <v>0.91782934141450057</v>
      </c>
      <c r="BW133" s="1">
        <f t="shared" ca="1" si="166"/>
        <v>208</v>
      </c>
      <c r="BX133" s="1">
        <f t="shared" ca="1" si="167"/>
        <v>1.3709960968210462E-3</v>
      </c>
      <c r="BY133" s="1">
        <f t="shared" ca="1" si="168"/>
        <v>8.3136519199751013E-2</v>
      </c>
      <c r="BZ133" s="1">
        <f t="shared" ca="1" si="169"/>
        <v>0.30658654586631484</v>
      </c>
      <c r="CB133" s="1">
        <f t="shared" ca="1" si="170"/>
        <v>298</v>
      </c>
      <c r="CC133" s="1">
        <f t="shared" ca="1" si="171"/>
        <v>6</v>
      </c>
      <c r="CD133" s="1">
        <f t="shared" ca="1" si="172"/>
        <v>0.26061713043012646</v>
      </c>
      <c r="CE133" s="1">
        <f t="shared" ca="1" si="173"/>
        <v>0.54567615705146544</v>
      </c>
      <c r="CF133" s="1">
        <f t="shared" ca="1" si="173"/>
        <v>0.61601179862577915</v>
      </c>
      <c r="CH133" s="3">
        <f t="shared" ca="1" si="174"/>
        <v>0.685193616147179</v>
      </c>
      <c r="CI133" s="3">
        <f t="shared" ca="1" si="175"/>
        <v>0.76852806444948563</v>
      </c>
      <c r="CJ133" s="3">
        <f t="shared" ca="1" si="176"/>
        <v>213</v>
      </c>
      <c r="CK133" s="3">
        <f t="shared" ca="1" si="177"/>
        <v>3.3813658976111515E-3</v>
      </c>
      <c r="CL133" s="3">
        <f t="shared" ca="1" si="178"/>
        <v>0</v>
      </c>
      <c r="CM133" s="3"/>
      <c r="CN133" s="1">
        <f t="shared" ca="1" si="179"/>
        <v>5.7026908994268783</v>
      </c>
      <c r="CO133" s="1">
        <f t="shared" ca="1" si="180"/>
        <v>0.3105632774867898</v>
      </c>
      <c r="CP133" s="1">
        <f t="shared" ca="1" si="181"/>
        <v>5</v>
      </c>
      <c r="DH133" s="1">
        <f t="shared" ca="1" si="182"/>
        <v>108</v>
      </c>
      <c r="DI133" s="1">
        <f t="shared" ca="1" si="183"/>
        <v>0.11255013935776352</v>
      </c>
      <c r="DJ133" s="1">
        <f t="shared" ca="1" si="184"/>
        <v>5</v>
      </c>
      <c r="DL133" s="1">
        <f t="shared" ca="1" si="185"/>
        <v>0.19234541130245933</v>
      </c>
      <c r="DM133" s="1">
        <f t="shared" ca="1" si="186"/>
        <v>131</v>
      </c>
      <c r="DN133" s="1">
        <f t="shared" ca="1" si="187"/>
        <v>2</v>
      </c>
    </row>
    <row r="134" spans="2:118" x14ac:dyDescent="0.25">
      <c r="B134">
        <f t="shared" ca="1" si="126"/>
        <v>518</v>
      </c>
      <c r="C134">
        <f t="shared" ca="1" si="127"/>
        <v>26</v>
      </c>
      <c r="D134">
        <f t="shared" ca="1" si="128"/>
        <v>2.8916585712912772E-2</v>
      </c>
      <c r="F134" s="1">
        <f t="shared" ca="1" si="129"/>
        <v>29</v>
      </c>
      <c r="G134" s="1">
        <f t="shared" ca="1" si="130"/>
        <v>17</v>
      </c>
      <c r="H134" s="1">
        <f t="shared" ca="1" si="131"/>
        <v>14</v>
      </c>
      <c r="I134" s="1"/>
      <c r="J134" s="1">
        <f t="shared" ca="1" si="132"/>
        <v>6</v>
      </c>
      <c r="K134" s="1">
        <f t="shared" ca="1" si="133"/>
        <v>1.2897855707015571</v>
      </c>
      <c r="L134" s="1">
        <f t="shared" ca="1" si="134"/>
        <v>26</v>
      </c>
      <c r="M134" s="1"/>
      <c r="N134" s="1">
        <f t="shared" ca="1" si="135"/>
        <v>673</v>
      </c>
      <c r="O134" s="1">
        <f t="shared" ca="1" si="136"/>
        <v>21</v>
      </c>
      <c r="P134" s="1"/>
      <c r="Q134" s="1">
        <f t="shared" ca="1" si="137"/>
        <v>2.1764883102879602</v>
      </c>
      <c r="R134" s="1">
        <f t="shared" ca="1" si="138"/>
        <v>979</v>
      </c>
      <c r="S134" s="1"/>
      <c r="T134" s="1">
        <f t="shared" ca="1" si="139"/>
        <v>0.16813871533231453</v>
      </c>
      <c r="U134" s="1">
        <f t="shared" ca="1" si="140"/>
        <v>365</v>
      </c>
      <c r="V134" s="1">
        <f t="shared" ca="1" si="141"/>
        <v>33</v>
      </c>
      <c r="W134" s="1"/>
      <c r="X134" s="1">
        <f t="shared" ca="1" si="142"/>
        <v>9.0040261375638107</v>
      </c>
      <c r="Y134" s="1">
        <f t="shared" ca="1" si="143"/>
        <v>0.5045688153823763</v>
      </c>
      <c r="Z134" s="1">
        <f t="shared" ca="1" si="144"/>
        <v>417</v>
      </c>
      <c r="AB134" s="1">
        <f t="shared" ca="1" si="145"/>
        <v>9.814701261297569E-2</v>
      </c>
      <c r="AC134" s="1">
        <f t="shared" ca="1" si="146"/>
        <v>438</v>
      </c>
      <c r="AD134" s="1">
        <f t="shared" ca="1" si="147"/>
        <v>6.1830954435754433E-3</v>
      </c>
      <c r="AE134" s="1"/>
      <c r="AF134" s="1">
        <f t="shared" ca="1" si="148"/>
        <v>0.65768370433037426</v>
      </c>
      <c r="AG134" s="1">
        <f t="shared" ca="1" si="149"/>
        <v>413</v>
      </c>
      <c r="AH134" s="1">
        <f t="shared" ca="1" si="150"/>
        <v>5.0994481622508173E-3</v>
      </c>
      <c r="AJ134" s="1">
        <f t="shared" ca="1" si="151"/>
        <v>0.37465626995755974</v>
      </c>
      <c r="AK134" s="1">
        <f t="shared" ca="1" si="152"/>
        <v>5.7470493483226049E-3</v>
      </c>
      <c r="AL134" s="1"/>
      <c r="AM134" s="1">
        <f t="shared" ca="1" si="153"/>
        <v>6.3090609707959058E-2</v>
      </c>
      <c r="AN134" s="1">
        <f t="shared" ca="1" si="154"/>
        <v>54</v>
      </c>
      <c r="AO134" s="1">
        <f t="shared" ca="1" si="155"/>
        <v>1</v>
      </c>
      <c r="AQ134" s="1">
        <f t="shared" ca="1" si="156"/>
        <v>35</v>
      </c>
      <c r="AR134" s="1">
        <f t="shared" ca="1" si="157"/>
        <v>10</v>
      </c>
      <c r="AS134" s="1">
        <f t="shared" ca="1" si="158"/>
        <v>98</v>
      </c>
      <c r="AU134" s="1">
        <f t="shared" ca="1" si="159"/>
        <v>120</v>
      </c>
      <c r="AV134" s="1">
        <f t="shared" ca="1" si="160"/>
        <v>6</v>
      </c>
      <c r="AW134" s="1">
        <f t="shared" ca="1" si="161"/>
        <v>0.18762043585811758</v>
      </c>
      <c r="AY134" s="1">
        <f t="shared" ca="1" si="162"/>
        <v>1.2569461842066378</v>
      </c>
      <c r="AZ134" s="1">
        <f t="shared" ca="1" si="163"/>
        <v>82</v>
      </c>
      <c r="BA134" s="1">
        <f t="shared" ca="1" si="164"/>
        <v>6.9696273521689398E-3</v>
      </c>
      <c r="BV134" s="1">
        <f t="shared" ca="1" si="165"/>
        <v>0.73142255765963393</v>
      </c>
      <c r="BW134" s="1">
        <f t="shared" ca="1" si="166"/>
        <v>646</v>
      </c>
      <c r="BX134" s="1">
        <f t="shared" ca="1" si="167"/>
        <v>9.3143398620729265E-3</v>
      </c>
      <c r="BY134" s="1">
        <f t="shared" ca="1" si="168"/>
        <v>5.7155524531230878E-2</v>
      </c>
      <c r="BZ134" s="1">
        <f t="shared" ca="1" si="169"/>
        <v>0.43717320169052865</v>
      </c>
      <c r="CB134" s="1">
        <f t="shared" ca="1" si="170"/>
        <v>114</v>
      </c>
      <c r="CC134" s="1">
        <f t="shared" ca="1" si="171"/>
        <v>4</v>
      </c>
      <c r="CD134" s="1">
        <f t="shared" ca="1" si="172"/>
        <v>0.19441968647431404</v>
      </c>
      <c r="CE134" s="1">
        <f t="shared" ca="1" si="173"/>
        <v>0.58611335198876635</v>
      </c>
      <c r="CF134" s="1">
        <f t="shared" ca="1" si="173"/>
        <v>0.84946124277398116</v>
      </c>
      <c r="CH134" s="3">
        <f t="shared" ca="1" si="174"/>
        <v>0.68103777160382528</v>
      </c>
      <c r="CI134" s="3">
        <f t="shared" ca="1" si="175"/>
        <v>0.70459982132578813</v>
      </c>
      <c r="CJ134" s="3">
        <f t="shared" ca="1" si="176"/>
        <v>442</v>
      </c>
      <c r="CK134" s="3">
        <f t="shared" ca="1" si="177"/>
        <v>9.9558917009935372E-3</v>
      </c>
      <c r="CL134" s="3">
        <f t="shared" ca="1" si="178"/>
        <v>1</v>
      </c>
      <c r="CM134" s="3"/>
      <c r="CN134" s="1">
        <f t="shared" ca="1" si="179"/>
        <v>13.181915298255319</v>
      </c>
      <c r="CO134" s="1">
        <f t="shared" ca="1" si="180"/>
        <v>0.48334991901371777</v>
      </c>
      <c r="CP134" s="1">
        <f t="shared" ca="1" si="181"/>
        <v>5</v>
      </c>
      <c r="DH134" s="1">
        <f t="shared" ca="1" si="182"/>
        <v>576</v>
      </c>
      <c r="DI134" s="1">
        <f t="shared" ca="1" si="183"/>
        <v>0.86645895481178337</v>
      </c>
      <c r="DJ134" s="1">
        <f t="shared" ca="1" si="184"/>
        <v>4</v>
      </c>
      <c r="DL134" s="1">
        <f t="shared" ca="1" si="185"/>
        <v>0.11130392301561265</v>
      </c>
      <c r="DM134" s="1">
        <f t="shared" ca="1" si="186"/>
        <v>287</v>
      </c>
      <c r="DN134" s="1">
        <f t="shared" ca="1" si="187"/>
        <v>3</v>
      </c>
    </row>
    <row r="135" spans="2:118" x14ac:dyDescent="0.25">
      <c r="B135">
        <f t="shared" ca="1" si="126"/>
        <v>610</v>
      </c>
      <c r="C135">
        <f t="shared" ca="1" si="127"/>
        <v>39</v>
      </c>
      <c r="D135">
        <f t="shared" ca="1" si="128"/>
        <v>1.1460791158457696E-2</v>
      </c>
      <c r="F135" s="1">
        <f t="shared" ca="1" si="129"/>
        <v>4</v>
      </c>
      <c r="G135" s="1">
        <f t="shared" ca="1" si="130"/>
        <v>18</v>
      </c>
      <c r="H135" s="1">
        <f t="shared" ca="1" si="131"/>
        <v>14</v>
      </c>
      <c r="I135" s="1"/>
      <c r="J135" s="1">
        <f t="shared" ca="1" si="132"/>
        <v>23</v>
      </c>
      <c r="K135" s="1">
        <f t="shared" ca="1" si="133"/>
        <v>1.5139026678550147</v>
      </c>
      <c r="L135" s="1">
        <f t="shared" ca="1" si="134"/>
        <v>23</v>
      </c>
      <c r="M135" s="1"/>
      <c r="N135" s="1">
        <f t="shared" ca="1" si="135"/>
        <v>379</v>
      </c>
      <c r="O135" s="1">
        <f t="shared" ca="1" si="136"/>
        <v>33</v>
      </c>
      <c r="P135" s="1"/>
      <c r="Q135" s="1">
        <f t="shared" ca="1" si="137"/>
        <v>4.0023667064069786</v>
      </c>
      <c r="R135" s="1">
        <f t="shared" ca="1" si="138"/>
        <v>1167</v>
      </c>
      <c r="S135" s="1"/>
      <c r="T135" s="1">
        <f t="shared" ca="1" si="139"/>
        <v>6.4352997193163286E-2</v>
      </c>
      <c r="U135" s="1">
        <f t="shared" ca="1" si="140"/>
        <v>302</v>
      </c>
      <c r="V135" s="1">
        <f t="shared" ca="1" si="141"/>
        <v>3</v>
      </c>
      <c r="W135" s="1"/>
      <c r="X135" s="1">
        <f t="shared" ca="1" si="142"/>
        <v>1.0698113812058914</v>
      </c>
      <c r="Y135" s="1">
        <f t="shared" ca="1" si="143"/>
        <v>0.99826755846683923</v>
      </c>
      <c r="Z135" s="1">
        <f t="shared" ca="1" si="144"/>
        <v>275</v>
      </c>
      <c r="AB135" s="1">
        <f t="shared" ca="1" si="145"/>
        <v>0.35984779894998059</v>
      </c>
      <c r="AC135" s="1">
        <f t="shared" ca="1" si="146"/>
        <v>128</v>
      </c>
      <c r="AD135" s="1">
        <f t="shared" ca="1" si="147"/>
        <v>3.5038305049132101E-3</v>
      </c>
      <c r="AE135" s="1"/>
      <c r="AF135" s="1">
        <f t="shared" ca="1" si="148"/>
        <v>0.37730854813079417</v>
      </c>
      <c r="AG135" s="1">
        <f t="shared" ca="1" si="149"/>
        <v>522</v>
      </c>
      <c r="AH135" s="1">
        <f t="shared" ca="1" si="150"/>
        <v>8.8061598615523026E-3</v>
      </c>
      <c r="AJ135" s="1">
        <f t="shared" ca="1" si="151"/>
        <v>0.934963970024977</v>
      </c>
      <c r="AK135" s="1">
        <f t="shared" ca="1" si="152"/>
        <v>1.5052328379384875E-3</v>
      </c>
      <c r="AL135" s="1"/>
      <c r="AM135" s="1">
        <f t="shared" ca="1" si="153"/>
        <v>7.9404270168998065E-2</v>
      </c>
      <c r="AN135" s="1">
        <f t="shared" ca="1" si="154"/>
        <v>73</v>
      </c>
      <c r="AO135" s="1">
        <f t="shared" ca="1" si="155"/>
        <v>19</v>
      </c>
      <c r="AQ135" s="1">
        <f t="shared" ca="1" si="156"/>
        <v>60</v>
      </c>
      <c r="AR135" s="1">
        <f t="shared" ca="1" si="157"/>
        <v>8</v>
      </c>
      <c r="AS135" s="1">
        <f t="shared" ca="1" si="158"/>
        <v>84</v>
      </c>
      <c r="AU135" s="1">
        <f t="shared" ca="1" si="159"/>
        <v>356</v>
      </c>
      <c r="AV135" s="1">
        <f t="shared" ca="1" si="160"/>
        <v>8</v>
      </c>
      <c r="AW135" s="1">
        <f t="shared" ca="1" si="161"/>
        <v>0.13516899234270494</v>
      </c>
      <c r="AY135" s="1">
        <f t="shared" ca="1" si="162"/>
        <v>1.346465272088881</v>
      </c>
      <c r="AZ135" s="1">
        <f t="shared" ca="1" si="163"/>
        <v>95</v>
      </c>
      <c r="BA135" s="1">
        <f t="shared" ca="1" si="164"/>
        <v>6.9775787832412287E-3</v>
      </c>
      <c r="BV135" s="1">
        <f t="shared" ca="1" si="165"/>
        <v>0.60627934789758486</v>
      </c>
      <c r="BW135" s="1">
        <f t="shared" ca="1" si="166"/>
        <v>344</v>
      </c>
      <c r="BX135" s="1">
        <f t="shared" ca="1" si="167"/>
        <v>1.3177373675202389E-3</v>
      </c>
      <c r="BY135" s="1">
        <f t="shared" ca="1" si="168"/>
        <v>3.0957225876350407E-2</v>
      </c>
      <c r="BZ135" s="1">
        <f t="shared" ca="1" si="169"/>
        <v>0.54101315383240511</v>
      </c>
      <c r="CB135" s="1">
        <f t="shared" ca="1" si="170"/>
        <v>168</v>
      </c>
      <c r="CC135" s="1">
        <f t="shared" ca="1" si="171"/>
        <v>13</v>
      </c>
      <c r="CD135" s="1">
        <f t="shared" ca="1" si="172"/>
        <v>0.21971132024769408</v>
      </c>
      <c r="CE135" s="1">
        <f t="shared" ca="1" si="173"/>
        <v>0.74429562963388674</v>
      </c>
      <c r="CF135" s="1">
        <f t="shared" ca="1" si="173"/>
        <v>0.93190115860129374</v>
      </c>
      <c r="CH135" s="3">
        <f t="shared" ca="1" si="174"/>
        <v>0.17918453231420944</v>
      </c>
      <c r="CI135" s="3">
        <f t="shared" ca="1" si="175"/>
        <v>0.9787054621111807</v>
      </c>
      <c r="CJ135" s="3">
        <f t="shared" ca="1" si="176"/>
        <v>1173</v>
      </c>
      <c r="CK135" s="3">
        <f t="shared" ca="1" si="177"/>
        <v>6.6663785565981397E-3</v>
      </c>
      <c r="CL135" s="3">
        <f t="shared" ca="1" si="178"/>
        <v>0</v>
      </c>
      <c r="CM135" s="3"/>
      <c r="CN135" s="1">
        <f t="shared" ca="1" si="179"/>
        <v>8.3076687014729451</v>
      </c>
      <c r="CO135" s="1">
        <f t="shared" ca="1" si="180"/>
        <v>0.2093917974809667</v>
      </c>
      <c r="CP135" s="1">
        <f t="shared" ca="1" si="181"/>
        <v>2</v>
      </c>
      <c r="DH135" s="1">
        <f t="shared" ca="1" si="182"/>
        <v>799</v>
      </c>
      <c r="DI135" s="1">
        <f t="shared" ca="1" si="183"/>
        <v>0.94551706965644944</v>
      </c>
      <c r="DJ135" s="1">
        <f t="shared" ca="1" si="184"/>
        <v>2</v>
      </c>
      <c r="DL135" s="1">
        <f t="shared" ca="1" si="185"/>
        <v>0.14077639449500701</v>
      </c>
      <c r="DM135" s="1">
        <f t="shared" ca="1" si="186"/>
        <v>64</v>
      </c>
      <c r="DN135" s="1">
        <f t="shared" ca="1" si="187"/>
        <v>9</v>
      </c>
    </row>
    <row r="136" spans="2:118" x14ac:dyDescent="0.25">
      <c r="B136">
        <f t="shared" ca="1" si="126"/>
        <v>292</v>
      </c>
      <c r="C136">
        <f t="shared" ca="1" si="127"/>
        <v>18</v>
      </c>
      <c r="D136">
        <f t="shared" ca="1" si="128"/>
        <v>1.2827049043992733E-2</v>
      </c>
      <c r="F136" s="1">
        <f t="shared" ca="1" si="129"/>
        <v>11</v>
      </c>
      <c r="G136" s="1">
        <f t="shared" ca="1" si="130"/>
        <v>14</v>
      </c>
      <c r="H136" s="1">
        <f t="shared" ca="1" si="131"/>
        <v>4</v>
      </c>
      <c r="I136" s="1"/>
      <c r="J136" s="1">
        <f t="shared" ca="1" si="132"/>
        <v>17</v>
      </c>
      <c r="K136" s="1">
        <f t="shared" ca="1" si="133"/>
        <v>1.3029223471138229</v>
      </c>
      <c r="L136" s="1">
        <f t="shared" ca="1" si="134"/>
        <v>18</v>
      </c>
      <c r="M136" s="1"/>
      <c r="N136" s="1">
        <f t="shared" ca="1" si="135"/>
        <v>376</v>
      </c>
      <c r="O136" s="1">
        <f t="shared" ca="1" si="136"/>
        <v>7</v>
      </c>
      <c r="P136" s="1"/>
      <c r="Q136" s="1">
        <f t="shared" ca="1" si="137"/>
        <v>0.72309876316574884</v>
      </c>
      <c r="R136" s="1">
        <f t="shared" ca="1" si="138"/>
        <v>1123</v>
      </c>
      <c r="S136" s="1"/>
      <c r="T136" s="1">
        <f t="shared" ca="1" si="139"/>
        <v>0.12179339964232562</v>
      </c>
      <c r="U136" s="1">
        <f t="shared" ca="1" si="140"/>
        <v>362</v>
      </c>
      <c r="V136" s="1">
        <f t="shared" ca="1" si="141"/>
        <v>51</v>
      </c>
      <c r="W136" s="1"/>
      <c r="X136" s="1">
        <f t="shared" ca="1" si="142"/>
        <v>1.4071570177020898</v>
      </c>
      <c r="Y136" s="1">
        <f t="shared" ca="1" si="143"/>
        <v>0.30032666772804573</v>
      </c>
      <c r="Z136" s="1">
        <f t="shared" ca="1" si="144"/>
        <v>1769</v>
      </c>
      <c r="AB136" s="1">
        <f t="shared" ca="1" si="145"/>
        <v>0.97386698581770337</v>
      </c>
      <c r="AC136" s="1">
        <f t="shared" ca="1" si="146"/>
        <v>881</v>
      </c>
      <c r="AD136" s="1">
        <f t="shared" ca="1" si="147"/>
        <v>2.0826647964125571E-3</v>
      </c>
      <c r="AE136" s="1"/>
      <c r="AF136" s="1">
        <f t="shared" ca="1" si="148"/>
        <v>0.61238362642043609</v>
      </c>
      <c r="AG136" s="1">
        <f t="shared" ca="1" si="149"/>
        <v>204</v>
      </c>
      <c r="AH136" s="1">
        <f t="shared" ca="1" si="150"/>
        <v>6.80074861748888E-3</v>
      </c>
      <c r="AJ136" s="1">
        <f t="shared" ca="1" si="151"/>
        <v>0.58265647361271644</v>
      </c>
      <c r="AK136" s="1">
        <f t="shared" ca="1" si="152"/>
        <v>9.9024334602868247E-3</v>
      </c>
      <c r="AL136" s="1"/>
      <c r="AM136" s="1">
        <f t="shared" ca="1" si="153"/>
        <v>0.19187963063350391</v>
      </c>
      <c r="AN136" s="1">
        <f t="shared" ca="1" si="154"/>
        <v>28</v>
      </c>
      <c r="AO136" s="1">
        <f t="shared" ca="1" si="155"/>
        <v>14</v>
      </c>
      <c r="AQ136" s="1">
        <f t="shared" ca="1" si="156"/>
        <v>31</v>
      </c>
      <c r="AR136" s="1">
        <f t="shared" ca="1" si="157"/>
        <v>0</v>
      </c>
      <c r="AS136" s="1">
        <f t="shared" ca="1" si="158"/>
        <v>18</v>
      </c>
      <c r="AU136" s="1">
        <f t="shared" ca="1" si="159"/>
        <v>201</v>
      </c>
      <c r="AV136" s="1">
        <f t="shared" ca="1" si="160"/>
        <v>4</v>
      </c>
      <c r="AW136" s="1">
        <f t="shared" ca="1" si="161"/>
        <v>5.166825222162074E-2</v>
      </c>
      <c r="AY136" s="1">
        <f t="shared" ca="1" si="162"/>
        <v>1.3151730308211838</v>
      </c>
      <c r="AZ136" s="1">
        <f t="shared" ca="1" si="163"/>
        <v>238</v>
      </c>
      <c r="BA136" s="1">
        <f t="shared" ca="1" si="164"/>
        <v>3.9988912376993022E-3</v>
      </c>
      <c r="BV136" s="1">
        <f t="shared" ca="1" si="165"/>
        <v>0.71239131304181746</v>
      </c>
      <c r="BW136" s="1">
        <f t="shared" ca="1" si="166"/>
        <v>612</v>
      </c>
      <c r="BX136" s="1">
        <f t="shared" ca="1" si="167"/>
        <v>5.9404822606774774E-3</v>
      </c>
      <c r="BY136" s="1">
        <f t="shared" ca="1" si="168"/>
        <v>6.3907335975846788E-2</v>
      </c>
      <c r="BZ136" s="1">
        <f t="shared" ca="1" si="169"/>
        <v>2.7123332068485051E-2</v>
      </c>
      <c r="CB136" s="1">
        <f t="shared" ca="1" si="170"/>
        <v>389</v>
      </c>
      <c r="CC136" s="1">
        <f t="shared" ca="1" si="171"/>
        <v>4</v>
      </c>
      <c r="CD136" s="1">
        <f t="shared" ca="1" si="172"/>
        <v>6.5228789877427376E-2</v>
      </c>
      <c r="CE136" s="1">
        <f t="shared" ca="1" si="173"/>
        <v>0.53713716195930949</v>
      </c>
      <c r="CF136" s="1">
        <f t="shared" ca="1" si="173"/>
        <v>0.68257004483131123</v>
      </c>
      <c r="CH136" s="3">
        <f t="shared" ca="1" si="174"/>
        <v>0.79519848353283373</v>
      </c>
      <c r="CI136" s="3">
        <f t="shared" ca="1" si="175"/>
        <v>0.15654953442287201</v>
      </c>
      <c r="CJ136" s="3">
        <f t="shared" ca="1" si="176"/>
        <v>1697</v>
      </c>
      <c r="CK136" s="3">
        <f t="shared" ca="1" si="177"/>
        <v>6.3611238328992129E-3</v>
      </c>
      <c r="CL136" s="3">
        <f t="shared" ca="1" si="178"/>
        <v>0</v>
      </c>
      <c r="CM136" s="3"/>
      <c r="CN136" s="1">
        <f t="shared" ca="1" si="179"/>
        <v>7.6193184956471454</v>
      </c>
      <c r="CO136" s="1">
        <f t="shared" ca="1" si="180"/>
        <v>0.27190293099979301</v>
      </c>
      <c r="CP136" s="1">
        <f t="shared" ca="1" si="181"/>
        <v>4</v>
      </c>
      <c r="DH136" s="1">
        <f t="shared" ca="1" si="182"/>
        <v>171</v>
      </c>
      <c r="DI136" s="1">
        <f t="shared" ca="1" si="183"/>
        <v>0.72170838553125194</v>
      </c>
      <c r="DJ136" s="1">
        <f t="shared" ca="1" si="184"/>
        <v>22</v>
      </c>
      <c r="DL136" s="1">
        <f t="shared" ca="1" si="185"/>
        <v>8.4690531384492507E-2</v>
      </c>
      <c r="DM136" s="1">
        <f t="shared" ca="1" si="186"/>
        <v>270</v>
      </c>
      <c r="DN136" s="1">
        <f t="shared" ca="1" si="187"/>
        <v>2</v>
      </c>
    </row>
    <row r="137" spans="2:118" x14ac:dyDescent="0.25">
      <c r="B137">
        <f t="shared" ca="1" si="126"/>
        <v>96</v>
      </c>
      <c r="C137">
        <f t="shared" ca="1" si="127"/>
        <v>45</v>
      </c>
      <c r="D137">
        <f t="shared" ca="1" si="128"/>
        <v>0.15792202310347875</v>
      </c>
      <c r="F137" s="1">
        <f t="shared" ca="1" si="129"/>
        <v>25</v>
      </c>
      <c r="G137" s="1">
        <f t="shared" ca="1" si="130"/>
        <v>12</v>
      </c>
      <c r="H137" s="1">
        <f t="shared" ca="1" si="131"/>
        <v>6</v>
      </c>
      <c r="I137" s="1"/>
      <c r="J137" s="1">
        <f t="shared" ca="1" si="132"/>
        <v>18</v>
      </c>
      <c r="K137" s="1">
        <f t="shared" ca="1" si="133"/>
        <v>2.5533314360635346</v>
      </c>
      <c r="L137" s="1">
        <f t="shared" ca="1" si="134"/>
        <v>24</v>
      </c>
      <c r="M137" s="1"/>
      <c r="N137" s="1">
        <f t="shared" ca="1" si="135"/>
        <v>215</v>
      </c>
      <c r="O137" s="1">
        <f t="shared" ca="1" si="136"/>
        <v>52</v>
      </c>
      <c r="P137" s="1"/>
      <c r="Q137" s="1">
        <f t="shared" ca="1" si="137"/>
        <v>3.7891367469739516</v>
      </c>
      <c r="R137" s="1">
        <f t="shared" ca="1" si="138"/>
        <v>1082</v>
      </c>
      <c r="S137" s="1"/>
      <c r="T137" s="1">
        <f t="shared" ca="1" si="139"/>
        <v>5.7218054748001186E-2</v>
      </c>
      <c r="U137" s="1">
        <f t="shared" ca="1" si="140"/>
        <v>146</v>
      </c>
      <c r="V137" s="1">
        <f t="shared" ca="1" si="141"/>
        <v>19</v>
      </c>
      <c r="W137" s="1"/>
      <c r="X137" s="1">
        <f t="shared" ca="1" si="142"/>
        <v>9.0375588288873772</v>
      </c>
      <c r="Y137" s="1">
        <f t="shared" ca="1" si="143"/>
        <v>0.42585480636709749</v>
      </c>
      <c r="Z137" s="1">
        <f t="shared" ca="1" si="144"/>
        <v>1707</v>
      </c>
      <c r="AB137" s="1">
        <f t="shared" ca="1" si="145"/>
        <v>0.36196958010366431</v>
      </c>
      <c r="AC137" s="1">
        <f t="shared" ca="1" si="146"/>
        <v>933</v>
      </c>
      <c r="AD137" s="1">
        <f t="shared" ca="1" si="147"/>
        <v>3.3414830957046761E-4</v>
      </c>
      <c r="AE137" s="1"/>
      <c r="AF137" s="1">
        <f t="shared" ca="1" si="148"/>
        <v>0.35983344834132847</v>
      </c>
      <c r="AG137" s="1">
        <f t="shared" ca="1" si="149"/>
        <v>977</v>
      </c>
      <c r="AH137" s="1">
        <f t="shared" ca="1" si="150"/>
        <v>3.1570317742360254E-3</v>
      </c>
      <c r="AJ137" s="1">
        <f t="shared" ca="1" si="151"/>
        <v>0.24148208943505622</v>
      </c>
      <c r="AK137" s="1">
        <f t="shared" ca="1" si="152"/>
        <v>6.5229755757856391E-3</v>
      </c>
      <c r="AL137" s="1"/>
      <c r="AM137" s="1">
        <f t="shared" ca="1" si="153"/>
        <v>4.822663431055281E-2</v>
      </c>
      <c r="AN137" s="1">
        <f t="shared" ca="1" si="154"/>
        <v>64</v>
      </c>
      <c r="AO137" s="1">
        <f t="shared" ca="1" si="155"/>
        <v>14</v>
      </c>
      <c r="AQ137" s="1">
        <f t="shared" ca="1" si="156"/>
        <v>85</v>
      </c>
      <c r="AR137" s="1">
        <f t="shared" ca="1" si="157"/>
        <v>9</v>
      </c>
      <c r="AS137" s="1">
        <f t="shared" ca="1" si="158"/>
        <v>89</v>
      </c>
      <c r="AU137" s="1">
        <f t="shared" ca="1" si="159"/>
        <v>68</v>
      </c>
      <c r="AV137" s="1">
        <f t="shared" ca="1" si="160"/>
        <v>7</v>
      </c>
      <c r="AW137" s="1">
        <f t="shared" ca="1" si="161"/>
        <v>0.16096467266769651</v>
      </c>
      <c r="AY137" s="1">
        <f t="shared" ca="1" si="162"/>
        <v>1.1262335473174105</v>
      </c>
      <c r="AZ137" s="1">
        <f t="shared" ca="1" si="163"/>
        <v>320</v>
      </c>
      <c r="BA137" s="1">
        <f t="shared" ca="1" si="164"/>
        <v>9.3723864579849155E-3</v>
      </c>
      <c r="BV137" s="1">
        <f t="shared" ca="1" si="165"/>
        <v>0.88729322222697127</v>
      </c>
      <c r="BW137" s="1">
        <f t="shared" ca="1" si="166"/>
        <v>813</v>
      </c>
      <c r="BX137" s="1">
        <f t="shared" ca="1" si="167"/>
        <v>1.5877197860169831E-3</v>
      </c>
      <c r="BY137" s="1">
        <f t="shared" ca="1" si="168"/>
        <v>1.2700766611543544E-2</v>
      </c>
      <c r="BZ137" s="1">
        <f t="shared" ca="1" si="169"/>
        <v>0.61419793014707313</v>
      </c>
      <c r="CB137" s="1">
        <f t="shared" ca="1" si="170"/>
        <v>248</v>
      </c>
      <c r="CC137" s="1">
        <f t="shared" ca="1" si="171"/>
        <v>8</v>
      </c>
      <c r="CD137" s="1">
        <f t="shared" ca="1" si="172"/>
        <v>1.5857961655522952E-2</v>
      </c>
      <c r="CE137" s="1">
        <f t="shared" ca="1" si="173"/>
        <v>0.9611205199484103</v>
      </c>
      <c r="CF137" s="1">
        <f t="shared" ca="1" si="173"/>
        <v>0.56752316883785126</v>
      </c>
      <c r="CH137" s="3">
        <f t="shared" ca="1" si="174"/>
        <v>0.17203195796235946</v>
      </c>
      <c r="CI137" s="3">
        <f t="shared" ca="1" si="175"/>
        <v>0.43563435564828873</v>
      </c>
      <c r="CJ137" s="3">
        <f t="shared" ca="1" si="176"/>
        <v>1728</v>
      </c>
      <c r="CK137" s="3">
        <f t="shared" ca="1" si="177"/>
        <v>9.2176945700495009E-3</v>
      </c>
      <c r="CL137" s="3">
        <f t="shared" ca="1" si="178"/>
        <v>0</v>
      </c>
      <c r="CM137" s="3"/>
      <c r="CN137" s="1">
        <f t="shared" ca="1" si="179"/>
        <v>15.387403829174437</v>
      </c>
      <c r="CO137" s="1">
        <f t="shared" ca="1" si="180"/>
        <v>0.41821227803313937</v>
      </c>
      <c r="CP137" s="1">
        <f t="shared" ca="1" si="181"/>
        <v>1</v>
      </c>
      <c r="DH137" s="1">
        <f t="shared" ca="1" si="182"/>
        <v>526</v>
      </c>
      <c r="DI137" s="1">
        <f t="shared" ca="1" si="183"/>
        <v>0.40573013972042327</v>
      </c>
      <c r="DJ137" s="1">
        <f t="shared" ca="1" si="184"/>
        <v>19</v>
      </c>
      <c r="DL137" s="1">
        <f t="shared" ca="1" si="185"/>
        <v>0.13127816852901347</v>
      </c>
      <c r="DM137" s="1">
        <f t="shared" ca="1" si="186"/>
        <v>208</v>
      </c>
      <c r="DN137" s="1">
        <f t="shared" ca="1" si="187"/>
        <v>10</v>
      </c>
    </row>
    <row r="138" spans="2:118" x14ac:dyDescent="0.25">
      <c r="B138">
        <f t="shared" ca="1" si="126"/>
        <v>438</v>
      </c>
      <c r="C138">
        <f t="shared" ca="1" si="127"/>
        <v>30</v>
      </c>
      <c r="D138">
        <f t="shared" ca="1" si="128"/>
        <v>0.11321518346799368</v>
      </c>
      <c r="F138" s="1">
        <f t="shared" ca="1" si="129"/>
        <v>38</v>
      </c>
      <c r="G138" s="1">
        <f t="shared" ca="1" si="130"/>
        <v>26</v>
      </c>
      <c r="H138" s="1">
        <f t="shared" ca="1" si="131"/>
        <v>1</v>
      </c>
      <c r="I138" s="1"/>
      <c r="J138" s="1">
        <f t="shared" ca="1" si="132"/>
        <v>28</v>
      </c>
      <c r="K138" s="1">
        <f t="shared" ca="1" si="133"/>
        <v>2.5915026174983766</v>
      </c>
      <c r="L138" s="1">
        <f t="shared" ca="1" si="134"/>
        <v>35</v>
      </c>
      <c r="M138" s="1"/>
      <c r="N138" s="1">
        <f t="shared" ca="1" si="135"/>
        <v>473</v>
      </c>
      <c r="O138" s="1">
        <f t="shared" ca="1" si="136"/>
        <v>6</v>
      </c>
      <c r="P138" s="1"/>
      <c r="Q138" s="1">
        <f t="shared" ca="1" si="137"/>
        <v>1.2615365992748093</v>
      </c>
      <c r="R138" s="1">
        <f t="shared" ca="1" si="138"/>
        <v>1142</v>
      </c>
      <c r="S138" s="1"/>
      <c r="T138" s="1">
        <f t="shared" ca="1" si="139"/>
        <v>2.477451063728723E-2</v>
      </c>
      <c r="U138" s="1">
        <f t="shared" ca="1" si="140"/>
        <v>351</v>
      </c>
      <c r="V138" s="1">
        <f t="shared" ca="1" si="141"/>
        <v>45</v>
      </c>
      <c r="W138" s="1"/>
      <c r="X138" s="1">
        <f t="shared" ca="1" si="142"/>
        <v>0.64062748969216121</v>
      </c>
      <c r="Y138" s="1">
        <f t="shared" ca="1" si="143"/>
        <v>0.72796513063278234</v>
      </c>
      <c r="Z138" s="1">
        <f t="shared" ca="1" si="144"/>
        <v>1215</v>
      </c>
      <c r="AB138" s="1">
        <f t="shared" ca="1" si="145"/>
        <v>0.40465337289604719</v>
      </c>
      <c r="AC138" s="1">
        <f t="shared" ca="1" si="146"/>
        <v>416</v>
      </c>
      <c r="AD138" s="1">
        <f t="shared" ca="1" si="147"/>
        <v>8.3538852449384759E-3</v>
      </c>
      <c r="AE138" s="1"/>
      <c r="AF138" s="1">
        <f t="shared" ca="1" si="148"/>
        <v>0.16184078670141588</v>
      </c>
      <c r="AG138" s="1">
        <f t="shared" ca="1" si="149"/>
        <v>846</v>
      </c>
      <c r="AH138" s="1">
        <f t="shared" ca="1" si="150"/>
        <v>9.8364693145945575E-3</v>
      </c>
      <c r="AJ138" s="1">
        <f t="shared" ca="1" si="151"/>
        <v>0.96245362382199573</v>
      </c>
      <c r="AK138" s="1">
        <f t="shared" ca="1" si="152"/>
        <v>5.9505685606690891E-3</v>
      </c>
      <c r="AL138" s="1"/>
      <c r="AM138" s="1">
        <f t="shared" ca="1" si="153"/>
        <v>9.2013654660803551E-2</v>
      </c>
      <c r="AN138" s="1">
        <f t="shared" ca="1" si="154"/>
        <v>80</v>
      </c>
      <c r="AO138" s="1">
        <f t="shared" ca="1" si="155"/>
        <v>10</v>
      </c>
      <c r="AQ138" s="1">
        <f t="shared" ca="1" si="156"/>
        <v>35</v>
      </c>
      <c r="AR138" s="1">
        <f t="shared" ca="1" si="157"/>
        <v>6</v>
      </c>
      <c r="AS138" s="1">
        <f t="shared" ca="1" si="158"/>
        <v>81</v>
      </c>
      <c r="AU138" s="1">
        <f t="shared" ca="1" si="159"/>
        <v>154</v>
      </c>
      <c r="AV138" s="1">
        <f t="shared" ca="1" si="160"/>
        <v>5</v>
      </c>
      <c r="AW138" s="1">
        <f t="shared" ca="1" si="161"/>
        <v>0.15120355919387385</v>
      </c>
      <c r="AY138" s="1">
        <f t="shared" ca="1" si="162"/>
        <v>1.4516254480309378</v>
      </c>
      <c r="AZ138" s="1">
        <f t="shared" ca="1" si="163"/>
        <v>66</v>
      </c>
      <c r="BA138" s="1">
        <f t="shared" ca="1" si="164"/>
        <v>6.8079028266254654E-3</v>
      </c>
      <c r="BV138" s="1">
        <f t="shared" ca="1" si="165"/>
        <v>0.18068054366308303</v>
      </c>
      <c r="BW138" s="1">
        <f t="shared" ca="1" si="166"/>
        <v>974</v>
      </c>
      <c r="BX138" s="1">
        <f t="shared" ca="1" si="167"/>
        <v>6.1519576023923404E-3</v>
      </c>
      <c r="BY138" s="1">
        <f t="shared" ca="1" si="168"/>
        <v>8.4669895022147865E-3</v>
      </c>
      <c r="BZ138" s="1">
        <f t="shared" ca="1" si="169"/>
        <v>0.99769908142882935</v>
      </c>
      <c r="CB138" s="1">
        <f t="shared" ca="1" si="170"/>
        <v>63</v>
      </c>
      <c r="CC138" s="1">
        <f t="shared" ca="1" si="171"/>
        <v>13</v>
      </c>
      <c r="CD138" s="1">
        <f t="shared" ca="1" si="172"/>
        <v>0.20003490427374304</v>
      </c>
      <c r="CE138" s="1">
        <f t="shared" ca="1" si="173"/>
        <v>0.63728108735647071</v>
      </c>
      <c r="CF138" s="1">
        <f t="shared" ca="1" si="173"/>
        <v>0.53190842028912888</v>
      </c>
      <c r="CH138" s="3">
        <f t="shared" ca="1" si="174"/>
        <v>0.71144527931802493</v>
      </c>
      <c r="CI138" s="3">
        <f t="shared" ca="1" si="175"/>
        <v>0.34248283472142771</v>
      </c>
      <c r="CJ138" s="3">
        <f t="shared" ca="1" si="176"/>
        <v>1681</v>
      </c>
      <c r="CK138" s="3">
        <f t="shared" ca="1" si="177"/>
        <v>1.4684541611594234E-3</v>
      </c>
      <c r="CL138" s="3">
        <f t="shared" ca="1" si="178"/>
        <v>1</v>
      </c>
      <c r="CM138" s="3"/>
      <c r="CN138" s="1">
        <f t="shared" ca="1" si="179"/>
        <v>18.700388168382784</v>
      </c>
      <c r="CO138" s="1">
        <f t="shared" ca="1" si="180"/>
        <v>0.27455529853702593</v>
      </c>
      <c r="CP138" s="1">
        <f t="shared" ca="1" si="181"/>
        <v>1</v>
      </c>
      <c r="DH138" s="1">
        <f t="shared" ca="1" si="182"/>
        <v>139</v>
      </c>
      <c r="DI138" s="1">
        <f t="shared" ca="1" si="183"/>
        <v>0.6902094211312737</v>
      </c>
      <c r="DJ138" s="1">
        <f t="shared" ca="1" si="184"/>
        <v>27</v>
      </c>
      <c r="DL138" s="1">
        <f t="shared" ca="1" si="185"/>
        <v>9.1236048118989901E-2</v>
      </c>
      <c r="DM138" s="1">
        <f t="shared" ca="1" si="186"/>
        <v>153</v>
      </c>
      <c r="DN138" s="1">
        <f t="shared" ca="1" si="187"/>
        <v>9</v>
      </c>
    </row>
    <row r="139" spans="2:118" x14ac:dyDescent="0.25">
      <c r="B139">
        <f t="shared" ca="1" si="126"/>
        <v>613</v>
      </c>
      <c r="C139">
        <f t="shared" ca="1" si="127"/>
        <v>15</v>
      </c>
      <c r="D139">
        <f t="shared" ca="1" si="128"/>
        <v>0.2615427137840331</v>
      </c>
      <c r="F139" s="1">
        <f t="shared" ca="1" si="129"/>
        <v>11</v>
      </c>
      <c r="G139" s="1">
        <f t="shared" ca="1" si="130"/>
        <v>4</v>
      </c>
      <c r="H139" s="1">
        <f t="shared" ca="1" si="131"/>
        <v>9</v>
      </c>
      <c r="I139" s="1"/>
      <c r="J139" s="1">
        <f t="shared" ca="1" si="132"/>
        <v>8</v>
      </c>
      <c r="K139" s="1">
        <f t="shared" ca="1" si="133"/>
        <v>2.0617831714650414</v>
      </c>
      <c r="L139" s="1">
        <f t="shared" ca="1" si="134"/>
        <v>31</v>
      </c>
      <c r="M139" s="1"/>
      <c r="N139" s="1">
        <f t="shared" ca="1" si="135"/>
        <v>464</v>
      </c>
      <c r="O139" s="1">
        <f t="shared" ca="1" si="136"/>
        <v>42</v>
      </c>
      <c r="P139" s="1"/>
      <c r="Q139" s="1">
        <f t="shared" ca="1" si="137"/>
        <v>0.74553561027043858</v>
      </c>
      <c r="R139" s="1">
        <f t="shared" ca="1" si="138"/>
        <v>409</v>
      </c>
      <c r="S139" s="1"/>
      <c r="T139" s="1">
        <f t="shared" ca="1" si="139"/>
        <v>3.5105639827165983E-2</v>
      </c>
      <c r="U139" s="1">
        <f t="shared" ca="1" si="140"/>
        <v>214</v>
      </c>
      <c r="V139" s="1">
        <f t="shared" ca="1" si="141"/>
        <v>39</v>
      </c>
      <c r="W139" s="1"/>
      <c r="X139" s="1">
        <f t="shared" ca="1" si="142"/>
        <v>3.9582743109603902</v>
      </c>
      <c r="Y139" s="1">
        <f t="shared" ca="1" si="143"/>
        <v>0.21103881099552482</v>
      </c>
      <c r="Z139" s="1">
        <f t="shared" ca="1" si="144"/>
        <v>1353</v>
      </c>
      <c r="AB139" s="1">
        <f t="shared" ca="1" si="145"/>
        <v>0.4347784074016221</v>
      </c>
      <c r="AC139" s="1">
        <f t="shared" ca="1" si="146"/>
        <v>504</v>
      </c>
      <c r="AD139" s="1">
        <f t="shared" ca="1" si="147"/>
        <v>5.1182128537650166E-3</v>
      </c>
      <c r="AE139" s="1"/>
      <c r="AF139" s="1">
        <f t="shared" ca="1" si="148"/>
        <v>0.38340032542232194</v>
      </c>
      <c r="AG139" s="1">
        <f t="shared" ca="1" si="149"/>
        <v>943</v>
      </c>
      <c r="AH139" s="1">
        <f t="shared" ca="1" si="150"/>
        <v>6.3209537689767163E-3</v>
      </c>
      <c r="AJ139" s="1">
        <f t="shared" ca="1" si="151"/>
        <v>0.92995186054180279</v>
      </c>
      <c r="AK139" s="1">
        <f t="shared" ca="1" si="152"/>
        <v>6.0876925437396839E-3</v>
      </c>
      <c r="AL139" s="1"/>
      <c r="AM139" s="1">
        <f t="shared" ca="1" si="153"/>
        <v>6.2817189628551443E-2</v>
      </c>
      <c r="AN139" s="1">
        <f t="shared" ca="1" si="154"/>
        <v>69</v>
      </c>
      <c r="AO139" s="1">
        <f t="shared" ca="1" si="155"/>
        <v>8</v>
      </c>
      <c r="AQ139" s="1">
        <f t="shared" ca="1" si="156"/>
        <v>177</v>
      </c>
      <c r="AR139" s="1">
        <f t="shared" ca="1" si="157"/>
        <v>8</v>
      </c>
      <c r="AS139" s="1">
        <f t="shared" ca="1" si="158"/>
        <v>42</v>
      </c>
      <c r="AU139" s="1">
        <f t="shared" ca="1" si="159"/>
        <v>96</v>
      </c>
      <c r="AV139" s="1">
        <f t="shared" ca="1" si="160"/>
        <v>3</v>
      </c>
      <c r="AW139" s="1">
        <f t="shared" ca="1" si="161"/>
        <v>4.2520569989937404E-2</v>
      </c>
      <c r="AY139" s="1">
        <f t="shared" ca="1" si="162"/>
        <v>1.624460807115838</v>
      </c>
      <c r="AZ139" s="1">
        <f t="shared" ca="1" si="163"/>
        <v>139</v>
      </c>
      <c r="BA139" s="1">
        <f t="shared" ca="1" si="164"/>
        <v>5.0551752763209916E-3</v>
      </c>
      <c r="BV139" s="1">
        <f t="shared" ca="1" si="165"/>
        <v>0.22609558866485141</v>
      </c>
      <c r="BW139" s="1">
        <f t="shared" ca="1" si="166"/>
        <v>825</v>
      </c>
      <c r="BX139" s="1">
        <f t="shared" ca="1" si="167"/>
        <v>1.7757555168563977E-3</v>
      </c>
      <c r="BY139" s="1">
        <f t="shared" ca="1" si="168"/>
        <v>3.287036183632127E-2</v>
      </c>
      <c r="BZ139" s="1">
        <f t="shared" ca="1" si="169"/>
        <v>0.56475595459505279</v>
      </c>
      <c r="CB139" s="1">
        <f t="shared" ca="1" si="170"/>
        <v>178</v>
      </c>
      <c r="CC139" s="1">
        <f t="shared" ca="1" si="171"/>
        <v>14</v>
      </c>
      <c r="CD139" s="1">
        <f t="shared" ca="1" si="172"/>
        <v>0.10470401599279189</v>
      </c>
      <c r="CE139" s="1">
        <f t="shared" ca="1" si="173"/>
        <v>0.83948110319064151</v>
      </c>
      <c r="CF139" s="1">
        <f t="shared" ca="1" si="173"/>
        <v>0.97785383414430582</v>
      </c>
      <c r="CH139" s="3">
        <f t="shared" ca="1" si="174"/>
        <v>0.39877880285680606</v>
      </c>
      <c r="CI139" s="3">
        <f t="shared" ca="1" si="175"/>
        <v>0.78809828276843474</v>
      </c>
      <c r="CJ139" s="3">
        <f t="shared" ca="1" si="176"/>
        <v>1321</v>
      </c>
      <c r="CK139" s="3">
        <f t="shared" ca="1" si="177"/>
        <v>5.4495897203893466E-3</v>
      </c>
      <c r="CL139" s="3">
        <f t="shared" ca="1" si="178"/>
        <v>1</v>
      </c>
      <c r="CM139" s="3"/>
      <c r="CN139" s="1">
        <f t="shared" ca="1" si="179"/>
        <v>12.28113739329204</v>
      </c>
      <c r="CO139" s="1">
        <f t="shared" ca="1" si="180"/>
        <v>0.37784098306538549</v>
      </c>
      <c r="CP139" s="1">
        <f t="shared" ca="1" si="181"/>
        <v>2</v>
      </c>
      <c r="DH139" s="1">
        <f t="shared" ca="1" si="182"/>
        <v>560</v>
      </c>
      <c r="DI139" s="1">
        <f t="shared" ca="1" si="183"/>
        <v>0.78387155773834094</v>
      </c>
      <c r="DJ139" s="1">
        <f t="shared" ca="1" si="184"/>
        <v>8</v>
      </c>
      <c r="DL139" s="1">
        <f t="shared" ca="1" si="185"/>
        <v>6.0624559374300217E-2</v>
      </c>
      <c r="DM139" s="1">
        <f t="shared" ca="1" si="186"/>
        <v>291</v>
      </c>
      <c r="DN139" s="1">
        <f t="shared" ca="1" si="187"/>
        <v>1</v>
      </c>
    </row>
    <row r="140" spans="2:118" x14ac:dyDescent="0.25">
      <c r="B140">
        <f t="shared" ca="1" si="126"/>
        <v>256</v>
      </c>
      <c r="C140">
        <f t="shared" ca="1" si="127"/>
        <v>44</v>
      </c>
      <c r="D140">
        <f t="shared" ca="1" si="128"/>
        <v>5.7492211439525723E-2</v>
      </c>
      <c r="F140" s="1">
        <f t="shared" ca="1" si="129"/>
        <v>33</v>
      </c>
      <c r="G140" s="1">
        <f t="shared" ca="1" si="130"/>
        <v>5</v>
      </c>
      <c r="H140" s="1">
        <f t="shared" ca="1" si="131"/>
        <v>10</v>
      </c>
      <c r="I140" s="1"/>
      <c r="J140" s="1">
        <f t="shared" ca="1" si="132"/>
        <v>37</v>
      </c>
      <c r="K140" s="1">
        <f t="shared" ca="1" si="133"/>
        <v>1.962953574791886</v>
      </c>
      <c r="L140" s="1">
        <f t="shared" ca="1" si="134"/>
        <v>32</v>
      </c>
      <c r="M140" s="1"/>
      <c r="N140" s="1">
        <f t="shared" ca="1" si="135"/>
        <v>951</v>
      </c>
      <c r="O140" s="1">
        <f t="shared" ca="1" si="136"/>
        <v>19</v>
      </c>
      <c r="P140" s="1"/>
      <c r="Q140" s="1">
        <f t="shared" ca="1" si="137"/>
        <v>2.9860886577686627</v>
      </c>
      <c r="R140" s="1">
        <f t="shared" ca="1" si="138"/>
        <v>994</v>
      </c>
      <c r="S140" s="1"/>
      <c r="T140" s="1">
        <f t="shared" ca="1" si="139"/>
        <v>0.1291210232808524</v>
      </c>
      <c r="U140" s="1">
        <f t="shared" ca="1" si="140"/>
        <v>251</v>
      </c>
      <c r="V140" s="1">
        <f t="shared" ca="1" si="141"/>
        <v>17</v>
      </c>
      <c r="W140" s="1"/>
      <c r="X140" s="1">
        <f t="shared" ca="1" si="142"/>
        <v>2.3716515596732362</v>
      </c>
      <c r="Y140" s="1">
        <f t="shared" ca="1" si="143"/>
        <v>0.22495380981035396</v>
      </c>
      <c r="Z140" s="1">
        <f t="shared" ca="1" si="144"/>
        <v>1407</v>
      </c>
      <c r="AB140" s="1">
        <f t="shared" ca="1" si="145"/>
        <v>0.1427923553946443</v>
      </c>
      <c r="AC140" s="1">
        <f t="shared" ca="1" si="146"/>
        <v>565</v>
      </c>
      <c r="AD140" s="1">
        <f t="shared" ca="1" si="147"/>
        <v>9.8121462692062084E-3</v>
      </c>
      <c r="AE140" s="1"/>
      <c r="AF140" s="1">
        <f t="shared" ca="1" si="148"/>
        <v>0.62008947979314522</v>
      </c>
      <c r="AG140" s="1">
        <f t="shared" ca="1" si="149"/>
        <v>287</v>
      </c>
      <c r="AH140" s="1">
        <f t="shared" ca="1" si="150"/>
        <v>3.7773632242852602E-3</v>
      </c>
      <c r="AJ140" s="1">
        <f t="shared" ca="1" si="151"/>
        <v>0.41031604278031308</v>
      </c>
      <c r="AK140" s="1">
        <f t="shared" ca="1" si="152"/>
        <v>7.0732327583138618E-3</v>
      </c>
      <c r="AL140" s="1"/>
      <c r="AM140" s="1">
        <f t="shared" ca="1" si="153"/>
        <v>0.15822233097115229</v>
      </c>
      <c r="AN140" s="1">
        <f t="shared" ca="1" si="154"/>
        <v>79</v>
      </c>
      <c r="AO140" s="1">
        <f t="shared" ca="1" si="155"/>
        <v>6</v>
      </c>
      <c r="AQ140" s="1">
        <f t="shared" ca="1" si="156"/>
        <v>47</v>
      </c>
      <c r="AR140" s="1">
        <f t="shared" ca="1" si="157"/>
        <v>2</v>
      </c>
      <c r="AS140" s="1">
        <f t="shared" ca="1" si="158"/>
        <v>81</v>
      </c>
      <c r="AU140" s="1">
        <f t="shared" ca="1" si="159"/>
        <v>149</v>
      </c>
      <c r="AV140" s="1">
        <f t="shared" ca="1" si="160"/>
        <v>3</v>
      </c>
      <c r="AW140" s="1">
        <f t="shared" ca="1" si="161"/>
        <v>0.18215439285070453</v>
      </c>
      <c r="AY140" s="1">
        <f t="shared" ca="1" si="162"/>
        <v>1.2043997027118918</v>
      </c>
      <c r="AZ140" s="1">
        <f t="shared" ca="1" si="163"/>
        <v>365</v>
      </c>
      <c r="BA140" s="1">
        <f t="shared" ca="1" si="164"/>
        <v>7.4304593118320614E-3</v>
      </c>
      <c r="BV140" s="1">
        <f t="shared" ca="1" si="165"/>
        <v>7.6061000257418618E-2</v>
      </c>
      <c r="BW140" s="1">
        <f t="shared" ca="1" si="166"/>
        <v>691</v>
      </c>
      <c r="BX140" s="1">
        <f t="shared" ca="1" si="167"/>
        <v>8.3014505519412637E-3</v>
      </c>
      <c r="BY140" s="1">
        <f t="shared" ca="1" si="168"/>
        <v>5.726243167316511E-2</v>
      </c>
      <c r="BZ140" s="1">
        <f t="shared" ca="1" si="169"/>
        <v>0.76653482795010242</v>
      </c>
      <c r="CB140" s="1">
        <f t="shared" ca="1" si="170"/>
        <v>196</v>
      </c>
      <c r="CC140" s="1">
        <f t="shared" ca="1" si="171"/>
        <v>11</v>
      </c>
      <c r="CD140" s="1">
        <f t="shared" ca="1" si="172"/>
        <v>0.14714001407206045</v>
      </c>
      <c r="CE140" s="1">
        <f t="shared" ca="1" si="173"/>
        <v>0.62929896522582218</v>
      </c>
      <c r="CF140" s="1">
        <f t="shared" ca="1" si="173"/>
        <v>0.54047546581425276</v>
      </c>
      <c r="CH140" s="3">
        <f t="shared" ca="1" si="174"/>
        <v>0.58635336858198317</v>
      </c>
      <c r="CI140" s="3">
        <f t="shared" ca="1" si="175"/>
        <v>0.51441419652094034</v>
      </c>
      <c r="CJ140" s="3">
        <f t="shared" ca="1" si="176"/>
        <v>1507</v>
      </c>
      <c r="CK140" s="3">
        <f t="shared" ca="1" si="177"/>
        <v>3.4658610253703644E-3</v>
      </c>
      <c r="CL140" s="3">
        <f t="shared" ca="1" si="178"/>
        <v>0</v>
      </c>
      <c r="CM140" s="3"/>
      <c r="CN140" s="1">
        <f t="shared" ca="1" si="179"/>
        <v>11.214678746610902</v>
      </c>
      <c r="CO140" s="1">
        <f t="shared" ca="1" si="180"/>
        <v>0.15726299907237518</v>
      </c>
      <c r="CP140" s="1">
        <f t="shared" ca="1" si="181"/>
        <v>3</v>
      </c>
      <c r="DH140" s="1">
        <f t="shared" ca="1" si="182"/>
        <v>614</v>
      </c>
      <c r="DI140" s="1">
        <f t="shared" ca="1" si="183"/>
        <v>0.3890490783864759</v>
      </c>
      <c r="DJ140" s="1">
        <f t="shared" ca="1" si="184"/>
        <v>30</v>
      </c>
      <c r="DL140" s="1">
        <f t="shared" ca="1" si="185"/>
        <v>0.13083016999903491</v>
      </c>
      <c r="DM140" s="1">
        <f t="shared" ca="1" si="186"/>
        <v>73</v>
      </c>
      <c r="DN140" s="1">
        <f t="shared" ca="1" si="187"/>
        <v>3</v>
      </c>
    </row>
    <row r="141" spans="2:118" x14ac:dyDescent="0.25">
      <c r="B141">
        <f t="shared" ca="1" si="126"/>
        <v>454</v>
      </c>
      <c r="C141">
        <f t="shared" ca="1" si="127"/>
        <v>47</v>
      </c>
      <c r="D141">
        <f t="shared" ca="1" si="128"/>
        <v>0.26106745693671279</v>
      </c>
      <c r="F141" s="1">
        <f t="shared" ca="1" si="129"/>
        <v>46</v>
      </c>
      <c r="G141" s="1">
        <f t="shared" ca="1" si="130"/>
        <v>17</v>
      </c>
      <c r="H141" s="1">
        <f t="shared" ca="1" si="131"/>
        <v>3</v>
      </c>
      <c r="I141" s="1"/>
      <c r="J141" s="1">
        <f t="shared" ca="1" si="132"/>
        <v>16</v>
      </c>
      <c r="K141" s="1">
        <f t="shared" ca="1" si="133"/>
        <v>1.6558161427641562</v>
      </c>
      <c r="L141" s="1">
        <f t="shared" ca="1" si="134"/>
        <v>5</v>
      </c>
      <c r="M141" s="1"/>
      <c r="N141" s="1">
        <f t="shared" ca="1" si="135"/>
        <v>821</v>
      </c>
      <c r="O141" s="1">
        <f t="shared" ca="1" si="136"/>
        <v>49</v>
      </c>
      <c r="P141" s="1"/>
      <c r="Q141" s="1">
        <f t="shared" ca="1" si="137"/>
        <v>1.0120614711824694</v>
      </c>
      <c r="R141" s="1">
        <f t="shared" ca="1" si="138"/>
        <v>402</v>
      </c>
      <c r="S141" s="1"/>
      <c r="T141" s="1">
        <f t="shared" ca="1" si="139"/>
        <v>5.9963806020774592E-2</v>
      </c>
      <c r="U141" s="1">
        <f t="shared" ca="1" si="140"/>
        <v>243</v>
      </c>
      <c r="V141" s="1">
        <f t="shared" ca="1" si="141"/>
        <v>15</v>
      </c>
      <c r="W141" s="1"/>
      <c r="X141" s="1">
        <f t="shared" ca="1" si="142"/>
        <v>1.2315532259424458</v>
      </c>
      <c r="Y141" s="1">
        <f t="shared" ca="1" si="143"/>
        <v>0.59879788749068741</v>
      </c>
      <c r="Z141" s="1">
        <f t="shared" ca="1" si="144"/>
        <v>648</v>
      </c>
      <c r="AB141" s="1">
        <f t="shared" ca="1" si="145"/>
        <v>0.9780233951342332</v>
      </c>
      <c r="AC141" s="1">
        <f t="shared" ca="1" si="146"/>
        <v>887</v>
      </c>
      <c r="AD141" s="1">
        <f t="shared" ca="1" si="147"/>
        <v>1.3346090270147236E-3</v>
      </c>
      <c r="AE141" s="1"/>
      <c r="AF141" s="1">
        <f t="shared" ca="1" si="148"/>
        <v>0.48191433185954657</v>
      </c>
      <c r="AG141" s="1">
        <f t="shared" ca="1" si="149"/>
        <v>209</v>
      </c>
      <c r="AH141" s="1">
        <f t="shared" ca="1" si="150"/>
        <v>2.023499934580925E-3</v>
      </c>
      <c r="AJ141" s="1">
        <f t="shared" ca="1" si="151"/>
        <v>0.43430780133556568</v>
      </c>
      <c r="AK141" s="1">
        <f t="shared" ca="1" si="152"/>
        <v>2.5571640513741317E-3</v>
      </c>
      <c r="AL141" s="1"/>
      <c r="AM141" s="1">
        <f t="shared" ca="1" si="153"/>
        <v>5.5648973548197374E-2</v>
      </c>
      <c r="AN141" s="1">
        <f t="shared" ca="1" si="154"/>
        <v>30</v>
      </c>
      <c r="AO141" s="1">
        <f t="shared" ca="1" si="155"/>
        <v>12</v>
      </c>
      <c r="AQ141" s="1">
        <f t="shared" ca="1" si="156"/>
        <v>151</v>
      </c>
      <c r="AR141" s="1">
        <f t="shared" ca="1" si="157"/>
        <v>8</v>
      </c>
      <c r="AS141" s="1">
        <f t="shared" ca="1" si="158"/>
        <v>69</v>
      </c>
      <c r="AU141" s="1">
        <f t="shared" ca="1" si="159"/>
        <v>75</v>
      </c>
      <c r="AV141" s="1">
        <f t="shared" ca="1" si="160"/>
        <v>2</v>
      </c>
      <c r="AW141" s="1">
        <f t="shared" ca="1" si="161"/>
        <v>3.6742660907489844E-2</v>
      </c>
      <c r="AY141" s="1">
        <f t="shared" ca="1" si="162"/>
        <v>1.1983867412152542</v>
      </c>
      <c r="AZ141" s="1">
        <f t="shared" ca="1" si="163"/>
        <v>93</v>
      </c>
      <c r="BA141" s="1">
        <f t="shared" ca="1" si="164"/>
        <v>8.7569085223894588E-3</v>
      </c>
      <c r="BV141" s="1">
        <f t="shared" ca="1" si="165"/>
        <v>0.11918631489190459</v>
      </c>
      <c r="BW141" s="1">
        <f t="shared" ca="1" si="166"/>
        <v>686</v>
      </c>
      <c r="BX141" s="1">
        <f t="shared" ca="1" si="167"/>
        <v>7.8580363888213576E-3</v>
      </c>
      <c r="BY141" s="1">
        <f t="shared" ca="1" si="168"/>
        <v>6.5816955637529789E-2</v>
      </c>
      <c r="BZ141" s="1">
        <f t="shared" ca="1" si="169"/>
        <v>0.63690135417904836</v>
      </c>
      <c r="CB141" s="1">
        <f t="shared" ca="1" si="170"/>
        <v>243</v>
      </c>
      <c r="CC141" s="1">
        <f t="shared" ca="1" si="171"/>
        <v>13</v>
      </c>
      <c r="CD141" s="1">
        <f t="shared" ca="1" si="172"/>
        <v>2.4531061318573393E-2</v>
      </c>
      <c r="CE141" s="1">
        <f t="shared" ca="1" si="173"/>
        <v>0.89344406495242801</v>
      </c>
      <c r="CF141" s="1">
        <f t="shared" ca="1" si="173"/>
        <v>0.69615456490144656</v>
      </c>
      <c r="CH141" s="3">
        <f t="shared" ca="1" si="174"/>
        <v>0.24066986638478996</v>
      </c>
      <c r="CI141" s="3">
        <f t="shared" ca="1" si="175"/>
        <v>0.56330423860891921</v>
      </c>
      <c r="CJ141" s="3">
        <f t="shared" ca="1" si="176"/>
        <v>1606</v>
      </c>
      <c r="CK141" s="3">
        <f t="shared" ca="1" si="177"/>
        <v>2.5673312337725035E-3</v>
      </c>
      <c r="CL141" s="3">
        <f t="shared" ca="1" si="178"/>
        <v>0</v>
      </c>
      <c r="CM141" s="3"/>
      <c r="CN141" s="1">
        <f t="shared" ca="1" si="179"/>
        <v>1.692519262490938</v>
      </c>
      <c r="CO141" s="1">
        <f t="shared" ca="1" si="180"/>
        <v>0.45301052953367887</v>
      </c>
      <c r="CP141" s="1">
        <f t="shared" ca="1" si="181"/>
        <v>5</v>
      </c>
      <c r="DH141" s="1">
        <f t="shared" ca="1" si="182"/>
        <v>732</v>
      </c>
      <c r="DI141" s="1">
        <f t="shared" ca="1" si="183"/>
        <v>0.32870623671255222</v>
      </c>
      <c r="DJ141" s="1">
        <f t="shared" ca="1" si="184"/>
        <v>14</v>
      </c>
      <c r="DL141" s="1">
        <f t="shared" ca="1" si="185"/>
        <v>0.18071606710801308</v>
      </c>
      <c r="DM141" s="1">
        <f t="shared" ca="1" si="186"/>
        <v>156</v>
      </c>
      <c r="DN141" s="1">
        <f t="shared" ca="1" si="187"/>
        <v>4</v>
      </c>
    </row>
    <row r="142" spans="2:118" x14ac:dyDescent="0.25">
      <c r="B142">
        <f t="shared" ca="1" si="126"/>
        <v>754</v>
      </c>
      <c r="C142">
        <f t="shared" ca="1" si="127"/>
        <v>6</v>
      </c>
      <c r="D142">
        <f t="shared" ca="1" si="128"/>
        <v>7.8245083495928028E-2</v>
      </c>
      <c r="F142" s="1">
        <f t="shared" ca="1" si="129"/>
        <v>14</v>
      </c>
      <c r="G142" s="1">
        <f t="shared" ca="1" si="130"/>
        <v>25</v>
      </c>
      <c r="H142" s="1">
        <f t="shared" ca="1" si="131"/>
        <v>8</v>
      </c>
      <c r="I142" s="1"/>
      <c r="J142" s="1">
        <f t="shared" ca="1" si="132"/>
        <v>3</v>
      </c>
      <c r="K142" s="1">
        <f t="shared" ca="1" si="133"/>
        <v>1.1900623051145458</v>
      </c>
      <c r="L142" s="1">
        <f t="shared" ca="1" si="134"/>
        <v>25</v>
      </c>
      <c r="M142" s="1"/>
      <c r="N142" s="1">
        <f t="shared" ca="1" si="135"/>
        <v>458</v>
      </c>
      <c r="O142" s="1">
        <f t="shared" ca="1" si="136"/>
        <v>31</v>
      </c>
      <c r="P142" s="1"/>
      <c r="Q142" s="1">
        <f t="shared" ca="1" si="137"/>
        <v>3.5497122963777055</v>
      </c>
      <c r="R142" s="1">
        <f t="shared" ca="1" si="138"/>
        <v>583</v>
      </c>
      <c r="S142" s="1"/>
      <c r="T142" s="1">
        <f t="shared" ca="1" si="139"/>
        <v>0.11858893595263022</v>
      </c>
      <c r="U142" s="1">
        <f t="shared" ca="1" si="140"/>
        <v>309</v>
      </c>
      <c r="V142" s="1">
        <f t="shared" ca="1" si="141"/>
        <v>11</v>
      </c>
      <c r="W142" s="1"/>
      <c r="X142" s="1">
        <f t="shared" ca="1" si="142"/>
        <v>7.4214625997145856</v>
      </c>
      <c r="Y142" s="1">
        <f t="shared" ca="1" si="143"/>
        <v>0.86326929687541376</v>
      </c>
      <c r="Z142" s="1">
        <f t="shared" ca="1" si="144"/>
        <v>1960</v>
      </c>
      <c r="AB142" s="1">
        <f t="shared" ca="1" si="145"/>
        <v>0.61943234483481568</v>
      </c>
      <c r="AC142" s="1">
        <f t="shared" ca="1" si="146"/>
        <v>638</v>
      </c>
      <c r="AD142" s="1">
        <f t="shared" ca="1" si="147"/>
        <v>3.2132969139398592E-3</v>
      </c>
      <c r="AE142" s="1"/>
      <c r="AF142" s="1">
        <f t="shared" ca="1" si="148"/>
        <v>0.31398353050257743</v>
      </c>
      <c r="AG142" s="1">
        <f t="shared" ca="1" si="149"/>
        <v>866</v>
      </c>
      <c r="AH142" s="1">
        <f t="shared" ca="1" si="150"/>
        <v>8.4199219417367445E-3</v>
      </c>
      <c r="AJ142" s="1">
        <f t="shared" ca="1" si="151"/>
        <v>0.79442536593510105</v>
      </c>
      <c r="AK142" s="1">
        <f t="shared" ca="1" si="152"/>
        <v>1.8301380389172743E-4</v>
      </c>
      <c r="AL142" s="1"/>
      <c r="AM142" s="1">
        <f t="shared" ca="1" si="153"/>
        <v>9.9190881750547619E-3</v>
      </c>
      <c r="AN142" s="1">
        <f t="shared" ca="1" si="154"/>
        <v>18</v>
      </c>
      <c r="AO142" s="1">
        <f t="shared" ca="1" si="155"/>
        <v>19</v>
      </c>
      <c r="AQ142" s="1">
        <f t="shared" ca="1" si="156"/>
        <v>99</v>
      </c>
      <c r="AR142" s="1">
        <f t="shared" ca="1" si="157"/>
        <v>7</v>
      </c>
      <c r="AS142" s="1">
        <f t="shared" ca="1" si="158"/>
        <v>5</v>
      </c>
      <c r="AU142" s="1">
        <f t="shared" ca="1" si="159"/>
        <v>131</v>
      </c>
      <c r="AV142" s="1">
        <f t="shared" ca="1" si="160"/>
        <v>10</v>
      </c>
      <c r="AW142" s="1">
        <f t="shared" ca="1" si="161"/>
        <v>0.10724616590035801</v>
      </c>
      <c r="AY142" s="1">
        <f t="shared" ca="1" si="162"/>
        <v>1.4608363948535115</v>
      </c>
      <c r="AZ142" s="1">
        <f t="shared" ca="1" si="163"/>
        <v>334</v>
      </c>
      <c r="BA142" s="1">
        <f t="shared" ca="1" si="164"/>
        <v>1.117313978232619E-3</v>
      </c>
      <c r="BV142" s="1">
        <f t="shared" ca="1" si="165"/>
        <v>0.78572186931051302</v>
      </c>
      <c r="BW142" s="1">
        <f t="shared" ca="1" si="166"/>
        <v>224</v>
      </c>
      <c r="BX142" s="1">
        <f t="shared" ca="1" si="167"/>
        <v>7.010050078859487E-3</v>
      </c>
      <c r="BY142" s="1">
        <f t="shared" ca="1" si="168"/>
        <v>3.0365880975581593E-2</v>
      </c>
      <c r="BZ142" s="1">
        <f t="shared" ca="1" si="169"/>
        <v>0.26949501211676208</v>
      </c>
      <c r="CB142" s="1">
        <f t="shared" ca="1" si="170"/>
        <v>282</v>
      </c>
      <c r="CC142" s="1">
        <f t="shared" ca="1" si="171"/>
        <v>6</v>
      </c>
      <c r="CD142" s="1">
        <f t="shared" ca="1" si="172"/>
        <v>0.12324389824560825</v>
      </c>
      <c r="CE142" s="1">
        <f t="shared" ca="1" si="173"/>
        <v>0.94611159630513264</v>
      </c>
      <c r="CF142" s="1">
        <f t="shared" ca="1" si="173"/>
        <v>0.53797552422424733</v>
      </c>
      <c r="CH142" s="3">
        <f t="shared" ca="1" si="174"/>
        <v>0.99864508597264234</v>
      </c>
      <c r="CI142" s="3">
        <f t="shared" ca="1" si="175"/>
        <v>0.7038639866452252</v>
      </c>
      <c r="CJ142" s="3">
        <f t="shared" ca="1" si="176"/>
        <v>1406</v>
      </c>
      <c r="CK142" s="3">
        <f t="shared" ca="1" si="177"/>
        <v>9.7786860846744272E-3</v>
      </c>
      <c r="CL142" s="3">
        <f t="shared" ca="1" si="178"/>
        <v>1</v>
      </c>
      <c r="CM142" s="3"/>
      <c r="CN142" s="1">
        <f t="shared" ca="1" si="179"/>
        <v>5.6524512421615141</v>
      </c>
      <c r="CO142" s="1">
        <f t="shared" ca="1" si="180"/>
        <v>0.39051219312501972</v>
      </c>
      <c r="CP142" s="1">
        <f t="shared" ca="1" si="181"/>
        <v>5</v>
      </c>
      <c r="DH142" s="1">
        <f t="shared" ca="1" si="182"/>
        <v>490</v>
      </c>
      <c r="DI142" s="1">
        <f t="shared" ca="1" si="183"/>
        <v>0.58137516911178444</v>
      </c>
      <c r="DJ142" s="1">
        <f t="shared" ca="1" si="184"/>
        <v>20</v>
      </c>
      <c r="DL142" s="1">
        <f t="shared" ca="1" si="185"/>
        <v>9.6436977674555766E-2</v>
      </c>
      <c r="DM142" s="1">
        <f t="shared" ca="1" si="186"/>
        <v>179</v>
      </c>
      <c r="DN142" s="1">
        <f t="shared" ca="1" si="187"/>
        <v>1</v>
      </c>
    </row>
    <row r="143" spans="2:118" x14ac:dyDescent="0.25">
      <c r="B143">
        <f t="shared" ca="1" si="126"/>
        <v>81</v>
      </c>
      <c r="C143">
        <f t="shared" ca="1" si="127"/>
        <v>2</v>
      </c>
      <c r="D143">
        <f t="shared" ca="1" si="128"/>
        <v>0.20375690984906292</v>
      </c>
      <c r="F143" s="1">
        <f t="shared" ca="1" si="129"/>
        <v>8</v>
      </c>
      <c r="G143" s="1">
        <f t="shared" ca="1" si="130"/>
        <v>2</v>
      </c>
      <c r="H143" s="1">
        <f t="shared" ca="1" si="131"/>
        <v>2</v>
      </c>
      <c r="I143" s="1"/>
      <c r="J143" s="1">
        <f t="shared" ca="1" si="132"/>
        <v>31</v>
      </c>
      <c r="K143" s="1">
        <f t="shared" ca="1" si="133"/>
        <v>1.2686427113420953</v>
      </c>
      <c r="L143" s="1">
        <f t="shared" ca="1" si="134"/>
        <v>18</v>
      </c>
      <c r="M143" s="1"/>
      <c r="N143" s="1">
        <f t="shared" ca="1" si="135"/>
        <v>825</v>
      </c>
      <c r="O143" s="1">
        <f t="shared" ca="1" si="136"/>
        <v>16</v>
      </c>
      <c r="P143" s="1"/>
      <c r="Q143" s="1">
        <f t="shared" ca="1" si="137"/>
        <v>0.9531181050117431</v>
      </c>
      <c r="R143" s="1">
        <f t="shared" ca="1" si="138"/>
        <v>228</v>
      </c>
      <c r="S143" s="1"/>
      <c r="T143" s="1">
        <f t="shared" ca="1" si="139"/>
        <v>0.16240224701407646</v>
      </c>
      <c r="U143" s="1">
        <f t="shared" ca="1" si="140"/>
        <v>235</v>
      </c>
      <c r="V143" s="1">
        <f t="shared" ca="1" si="141"/>
        <v>16</v>
      </c>
      <c r="W143" s="1"/>
      <c r="X143" s="1">
        <f t="shared" ca="1" si="142"/>
        <v>7.3221034087440406E-2</v>
      </c>
      <c r="Y143" s="1">
        <f t="shared" ca="1" si="143"/>
        <v>0.30761523490998305</v>
      </c>
      <c r="Z143" s="1">
        <f t="shared" ca="1" si="144"/>
        <v>1833</v>
      </c>
      <c r="AB143" s="1">
        <f t="shared" ca="1" si="145"/>
        <v>0.46407509072233527</v>
      </c>
      <c r="AC143" s="1">
        <f t="shared" ca="1" si="146"/>
        <v>993</v>
      </c>
      <c r="AD143" s="1">
        <f t="shared" ca="1" si="147"/>
        <v>4.722841088081011E-4</v>
      </c>
      <c r="AE143" s="1"/>
      <c r="AF143" s="1">
        <f t="shared" ca="1" si="148"/>
        <v>0.70684220370909456</v>
      </c>
      <c r="AG143" s="1">
        <f t="shared" ca="1" si="149"/>
        <v>163</v>
      </c>
      <c r="AH143" s="1">
        <f t="shared" ca="1" si="150"/>
        <v>7.0157736941924235E-3</v>
      </c>
      <c r="AJ143" s="1">
        <f t="shared" ca="1" si="151"/>
        <v>0.13984540649345856</v>
      </c>
      <c r="AK143" s="1">
        <f t="shared" ca="1" si="152"/>
        <v>9.6198922175156718E-3</v>
      </c>
      <c r="AL143" s="1"/>
      <c r="AM143" s="1">
        <f t="shared" ca="1" si="153"/>
        <v>0.13322131205832363</v>
      </c>
      <c r="AN143" s="1">
        <f t="shared" ca="1" si="154"/>
        <v>22</v>
      </c>
      <c r="AO143" s="1">
        <f t="shared" ca="1" si="155"/>
        <v>3</v>
      </c>
      <c r="AQ143" s="1">
        <f t="shared" ca="1" si="156"/>
        <v>45</v>
      </c>
      <c r="AR143" s="1">
        <f t="shared" ca="1" si="157"/>
        <v>5</v>
      </c>
      <c r="AS143" s="1">
        <f t="shared" ca="1" si="158"/>
        <v>14</v>
      </c>
      <c r="AU143" s="1">
        <f t="shared" ca="1" si="159"/>
        <v>59</v>
      </c>
      <c r="AV143" s="1">
        <f t="shared" ca="1" si="160"/>
        <v>5</v>
      </c>
      <c r="AW143" s="1">
        <f t="shared" ca="1" si="161"/>
        <v>0.12972342734083595</v>
      </c>
      <c r="AY143" s="1">
        <f t="shared" ca="1" si="162"/>
        <v>1.8969160797305449</v>
      </c>
      <c r="AZ143" s="1">
        <f t="shared" ca="1" si="163"/>
        <v>268</v>
      </c>
      <c r="BA143" s="1">
        <f t="shared" ca="1" si="164"/>
        <v>6.768736441146405E-3</v>
      </c>
      <c r="BV143" s="1">
        <f t="shared" ca="1" si="165"/>
        <v>0.42839334882099028</v>
      </c>
      <c r="BW143" s="1">
        <f t="shared" ca="1" si="166"/>
        <v>350</v>
      </c>
      <c r="BX143" s="1">
        <f t="shared" ca="1" si="167"/>
        <v>9.6556934405665172E-3</v>
      </c>
      <c r="BY143" s="1">
        <f t="shared" ca="1" si="168"/>
        <v>9.6310918844753471E-2</v>
      </c>
      <c r="BZ143" s="1">
        <f t="shared" ca="1" si="169"/>
        <v>0.70735132863746863</v>
      </c>
      <c r="CB143" s="1">
        <f t="shared" ca="1" si="170"/>
        <v>147</v>
      </c>
      <c r="CC143" s="1">
        <f t="shared" ca="1" si="171"/>
        <v>9</v>
      </c>
      <c r="CD143" s="1">
        <f t="shared" ca="1" si="172"/>
        <v>0.27213103286854062</v>
      </c>
      <c r="CE143" s="1">
        <f t="shared" ca="1" si="173"/>
        <v>0.80278885881606032</v>
      </c>
      <c r="CF143" s="1">
        <f t="shared" ca="1" si="173"/>
        <v>0.96670687475777306</v>
      </c>
      <c r="CH143" s="3">
        <f t="shared" ca="1" si="174"/>
        <v>0.24743809374564502</v>
      </c>
      <c r="CI143" s="3">
        <f t="shared" ca="1" si="175"/>
        <v>7.0738426425440482E-2</v>
      </c>
      <c r="CJ143" s="3">
        <f t="shared" ca="1" si="176"/>
        <v>373</v>
      </c>
      <c r="CK143" s="3">
        <f t="shared" ca="1" si="177"/>
        <v>6.2350955811148138E-3</v>
      </c>
      <c r="CL143" s="3">
        <f t="shared" ca="1" si="178"/>
        <v>1</v>
      </c>
      <c r="CM143" s="3"/>
      <c r="CN143" s="1">
        <f t="shared" ca="1" si="179"/>
        <v>13.736291827890062</v>
      </c>
      <c r="CO143" s="1">
        <f t="shared" ca="1" si="180"/>
        <v>5.0702088203412529E-3</v>
      </c>
      <c r="CP143" s="1">
        <f t="shared" ca="1" si="181"/>
        <v>1</v>
      </c>
      <c r="DH143" s="1">
        <f t="shared" ca="1" si="182"/>
        <v>553</v>
      </c>
      <c r="DI143" s="1">
        <f t="shared" ca="1" si="183"/>
        <v>0.50395074724195099</v>
      </c>
      <c r="DJ143" s="1">
        <f t="shared" ca="1" si="184"/>
        <v>14</v>
      </c>
      <c r="DL143" s="1">
        <f t="shared" ca="1" si="185"/>
        <v>0.13121905533333977</v>
      </c>
      <c r="DM143" s="1">
        <f t="shared" ca="1" si="186"/>
        <v>136</v>
      </c>
      <c r="DN143" s="1">
        <f t="shared" ca="1" si="187"/>
        <v>8</v>
      </c>
    </row>
    <row r="144" spans="2:118" x14ac:dyDescent="0.25">
      <c r="B144">
        <f t="shared" ca="1" si="126"/>
        <v>56</v>
      </c>
      <c r="C144">
        <f t="shared" ca="1" si="127"/>
        <v>51</v>
      </c>
      <c r="D144">
        <f t="shared" ca="1" si="128"/>
        <v>0.25380118817520786</v>
      </c>
      <c r="F144" s="1">
        <f t="shared" ca="1" si="129"/>
        <v>9</v>
      </c>
      <c r="G144" s="1">
        <f t="shared" ca="1" si="130"/>
        <v>11</v>
      </c>
      <c r="H144" s="1">
        <f t="shared" ca="1" si="131"/>
        <v>8</v>
      </c>
      <c r="I144" s="1"/>
      <c r="J144" s="1">
        <f t="shared" ca="1" si="132"/>
        <v>12</v>
      </c>
      <c r="K144" s="1">
        <f t="shared" ca="1" si="133"/>
        <v>1.2711315640689038</v>
      </c>
      <c r="L144" s="1">
        <f t="shared" ca="1" si="134"/>
        <v>2</v>
      </c>
      <c r="M144" s="1"/>
      <c r="N144" s="1">
        <f t="shared" ca="1" si="135"/>
        <v>645</v>
      </c>
      <c r="O144" s="1">
        <f t="shared" ca="1" si="136"/>
        <v>42</v>
      </c>
      <c r="P144" s="1"/>
      <c r="Q144" s="1">
        <f t="shared" ca="1" si="137"/>
        <v>0.92029404720377506</v>
      </c>
      <c r="R144" s="1">
        <f t="shared" ca="1" si="138"/>
        <v>965</v>
      </c>
      <c r="S144" s="1"/>
      <c r="T144" s="1">
        <f t="shared" ca="1" si="139"/>
        <v>0.15639062699227654</v>
      </c>
      <c r="U144" s="1">
        <f t="shared" ca="1" si="140"/>
        <v>261</v>
      </c>
      <c r="V144" s="1">
        <f t="shared" ca="1" si="141"/>
        <v>28</v>
      </c>
      <c r="W144" s="1"/>
      <c r="X144" s="1">
        <f t="shared" ca="1" si="142"/>
        <v>7.2922048161180442</v>
      </c>
      <c r="Y144" s="1">
        <f t="shared" ca="1" si="143"/>
        <v>0.13109807837885926</v>
      </c>
      <c r="Z144" s="1">
        <f t="shared" ca="1" si="144"/>
        <v>1466</v>
      </c>
      <c r="AB144" s="1">
        <f t="shared" ca="1" si="145"/>
        <v>0.27998191640544184</v>
      </c>
      <c r="AC144" s="1">
        <f t="shared" ca="1" si="146"/>
        <v>527</v>
      </c>
      <c r="AD144" s="1">
        <f t="shared" ca="1" si="147"/>
        <v>2.5443440573101996E-3</v>
      </c>
      <c r="AE144" s="1"/>
      <c r="AF144" s="1">
        <f t="shared" ca="1" si="148"/>
        <v>0.62944299606442899</v>
      </c>
      <c r="AG144" s="1">
        <f t="shared" ca="1" si="149"/>
        <v>425</v>
      </c>
      <c r="AH144" s="1">
        <f t="shared" ca="1" si="150"/>
        <v>4.8427961314907118E-4</v>
      </c>
      <c r="AJ144" s="1">
        <f t="shared" ca="1" si="151"/>
        <v>0.52593500791796033</v>
      </c>
      <c r="AK144" s="1">
        <f t="shared" ca="1" si="152"/>
        <v>6.3315857676981956E-3</v>
      </c>
      <c r="AL144" s="1"/>
      <c r="AM144" s="1">
        <f t="shared" ca="1" si="153"/>
        <v>0.18138348025430306</v>
      </c>
      <c r="AN144" s="1">
        <f t="shared" ca="1" si="154"/>
        <v>11</v>
      </c>
      <c r="AO144" s="1">
        <f t="shared" ca="1" si="155"/>
        <v>7</v>
      </c>
      <c r="AQ144" s="1">
        <f t="shared" ca="1" si="156"/>
        <v>116</v>
      </c>
      <c r="AR144" s="1">
        <f t="shared" ca="1" si="157"/>
        <v>0</v>
      </c>
      <c r="AS144" s="1">
        <f t="shared" ca="1" si="158"/>
        <v>15</v>
      </c>
      <c r="AU144" s="1">
        <f t="shared" ca="1" si="159"/>
        <v>124</v>
      </c>
      <c r="AV144" s="1">
        <f t="shared" ca="1" si="160"/>
        <v>10</v>
      </c>
      <c r="AW144" s="1">
        <f t="shared" ca="1" si="161"/>
        <v>7.3265300641182377E-2</v>
      </c>
      <c r="AY144" s="1">
        <f t="shared" ca="1" si="162"/>
        <v>1.1401044413396113</v>
      </c>
      <c r="AZ144" s="1">
        <f t="shared" ca="1" si="163"/>
        <v>307</v>
      </c>
      <c r="BA144" s="1">
        <f t="shared" ca="1" si="164"/>
        <v>4.0494364643327086E-3</v>
      </c>
      <c r="BV144" s="1">
        <f t="shared" ca="1" si="165"/>
        <v>0.95200501239855317</v>
      </c>
      <c r="BW144" s="1">
        <f t="shared" ca="1" si="166"/>
        <v>170</v>
      </c>
      <c r="BX144" s="1">
        <f t="shared" ca="1" si="167"/>
        <v>3.9610555943660995E-3</v>
      </c>
      <c r="BY144" s="1">
        <f t="shared" ca="1" si="168"/>
        <v>9.5012521144111586E-2</v>
      </c>
      <c r="BZ144" s="1">
        <f t="shared" ca="1" si="169"/>
        <v>0.64056201936726753</v>
      </c>
      <c r="CB144" s="1">
        <f t="shared" ca="1" si="170"/>
        <v>111</v>
      </c>
      <c r="CC144" s="1">
        <f t="shared" ca="1" si="171"/>
        <v>13</v>
      </c>
      <c r="CD144" s="1">
        <f t="shared" ca="1" si="172"/>
        <v>9.9113457301996027E-2</v>
      </c>
      <c r="CE144" s="1">
        <f t="shared" ca="1" si="173"/>
        <v>0.60078757673204453</v>
      </c>
      <c r="CF144" s="1">
        <f t="shared" ca="1" si="173"/>
        <v>0.53160943693995033</v>
      </c>
      <c r="CH144" s="3">
        <f t="shared" ca="1" si="174"/>
        <v>0.74914092419814782</v>
      </c>
      <c r="CI144" s="3">
        <f t="shared" ca="1" si="175"/>
        <v>9.102037902881166E-2</v>
      </c>
      <c r="CJ144" s="3">
        <f t="shared" ca="1" si="176"/>
        <v>1763</v>
      </c>
      <c r="CK144" s="3">
        <f t="shared" ca="1" si="177"/>
        <v>3.8724467800023304E-3</v>
      </c>
      <c r="CL144" s="3">
        <f t="shared" ca="1" si="178"/>
        <v>0</v>
      </c>
      <c r="CM144" s="3"/>
      <c r="CN144" s="1">
        <f t="shared" ca="1" si="179"/>
        <v>0.10811542822079602</v>
      </c>
      <c r="CO144" s="1">
        <f t="shared" ca="1" si="180"/>
        <v>9.8733519897104757E-2</v>
      </c>
      <c r="CP144" s="1">
        <f t="shared" ca="1" si="181"/>
        <v>1</v>
      </c>
      <c r="DH144" s="1">
        <f t="shared" ca="1" si="182"/>
        <v>124</v>
      </c>
      <c r="DI144" s="1">
        <f t="shared" ca="1" si="183"/>
        <v>0.51262820947849308</v>
      </c>
      <c r="DJ144" s="1">
        <f t="shared" ca="1" si="184"/>
        <v>30</v>
      </c>
      <c r="DL144" s="1">
        <f t="shared" ca="1" si="185"/>
        <v>0.16553360778613765</v>
      </c>
      <c r="DM144" s="1">
        <f t="shared" ca="1" si="186"/>
        <v>95</v>
      </c>
      <c r="DN144" s="1">
        <f t="shared" ca="1" si="187"/>
        <v>4</v>
      </c>
    </row>
    <row r="145" spans="2:118" x14ac:dyDescent="0.25">
      <c r="B145">
        <f t="shared" ca="1" si="126"/>
        <v>473</v>
      </c>
      <c r="C145">
        <f t="shared" ca="1" si="127"/>
        <v>20</v>
      </c>
      <c r="D145">
        <f t="shared" ca="1" si="128"/>
        <v>0.1750829575240202</v>
      </c>
      <c r="F145" s="1">
        <f t="shared" ca="1" si="129"/>
        <v>27</v>
      </c>
      <c r="G145" s="1">
        <f t="shared" ca="1" si="130"/>
        <v>11</v>
      </c>
      <c r="H145" s="1">
        <f t="shared" ca="1" si="131"/>
        <v>12</v>
      </c>
      <c r="I145" s="1"/>
      <c r="J145" s="1">
        <f t="shared" ca="1" si="132"/>
        <v>10</v>
      </c>
      <c r="K145" s="1">
        <f t="shared" ca="1" si="133"/>
        <v>1.0402308557360642</v>
      </c>
      <c r="L145" s="1">
        <f t="shared" ca="1" si="134"/>
        <v>27</v>
      </c>
      <c r="M145" s="1"/>
      <c r="N145" s="1">
        <f t="shared" ca="1" si="135"/>
        <v>50</v>
      </c>
      <c r="O145" s="1">
        <f t="shared" ca="1" si="136"/>
        <v>14</v>
      </c>
      <c r="P145" s="1"/>
      <c r="Q145" s="1">
        <f t="shared" ca="1" si="137"/>
        <v>1.869517624331271</v>
      </c>
      <c r="R145" s="1">
        <f t="shared" ca="1" si="138"/>
        <v>889</v>
      </c>
      <c r="S145" s="1"/>
      <c r="T145" s="1">
        <f t="shared" ca="1" si="139"/>
        <v>0.18390770992811917</v>
      </c>
      <c r="U145" s="1">
        <f t="shared" ca="1" si="140"/>
        <v>54</v>
      </c>
      <c r="V145" s="1">
        <f t="shared" ca="1" si="141"/>
        <v>27</v>
      </c>
      <c r="W145" s="1"/>
      <c r="X145" s="1">
        <f t="shared" ca="1" si="142"/>
        <v>6.9811213383192223</v>
      </c>
      <c r="Y145" s="1">
        <f t="shared" ca="1" si="143"/>
        <v>0.51213053914164763</v>
      </c>
      <c r="Z145" s="1">
        <f t="shared" ca="1" si="144"/>
        <v>1271</v>
      </c>
      <c r="AB145" s="1">
        <f t="shared" ca="1" si="145"/>
        <v>0.2689945838952093</v>
      </c>
      <c r="AC145" s="1">
        <f t="shared" ca="1" si="146"/>
        <v>337</v>
      </c>
      <c r="AD145" s="1">
        <f t="shared" ca="1" si="147"/>
        <v>1.7212213422941982E-3</v>
      </c>
      <c r="AE145" s="1"/>
      <c r="AF145" s="1">
        <f t="shared" ca="1" si="148"/>
        <v>0.4440455225719766</v>
      </c>
      <c r="AG145" s="1">
        <f t="shared" ca="1" si="149"/>
        <v>367</v>
      </c>
      <c r="AH145" s="1">
        <f t="shared" ca="1" si="150"/>
        <v>8.2278839430267887E-3</v>
      </c>
      <c r="AJ145" s="1">
        <f t="shared" ca="1" si="151"/>
        <v>0.48064965514158853</v>
      </c>
      <c r="AK145" s="1">
        <f t="shared" ca="1" si="152"/>
        <v>6.0017318253420516E-4</v>
      </c>
      <c r="AL145" s="1"/>
      <c r="AM145" s="1">
        <f t="shared" ca="1" si="153"/>
        <v>0.17895573503254691</v>
      </c>
      <c r="AN145" s="1">
        <f t="shared" ca="1" si="154"/>
        <v>64</v>
      </c>
      <c r="AO145" s="1">
        <f t="shared" ca="1" si="155"/>
        <v>8</v>
      </c>
      <c r="AQ145" s="1">
        <f t="shared" ca="1" si="156"/>
        <v>156</v>
      </c>
      <c r="AR145" s="1">
        <f t="shared" ca="1" si="157"/>
        <v>4</v>
      </c>
      <c r="AS145" s="1">
        <f t="shared" ca="1" si="158"/>
        <v>47</v>
      </c>
      <c r="AU145" s="1">
        <f t="shared" ca="1" si="159"/>
        <v>319</v>
      </c>
      <c r="AV145" s="1">
        <f t="shared" ca="1" si="160"/>
        <v>5</v>
      </c>
      <c r="AW145" s="1">
        <f t="shared" ca="1" si="161"/>
        <v>6.1202006387341266E-2</v>
      </c>
      <c r="AY145" s="1">
        <f t="shared" ca="1" si="162"/>
        <v>1.4505207704490179</v>
      </c>
      <c r="AZ145" s="1">
        <f t="shared" ca="1" si="163"/>
        <v>174</v>
      </c>
      <c r="BA145" s="1">
        <f t="shared" ca="1" si="164"/>
        <v>4.236165070846276E-3</v>
      </c>
      <c r="BV145" s="1">
        <f t="shared" ca="1" si="165"/>
        <v>0.40442036015032123</v>
      </c>
      <c r="BW145" s="1">
        <f t="shared" ca="1" si="166"/>
        <v>843</v>
      </c>
      <c r="BX145" s="1">
        <f t="shared" ca="1" si="167"/>
        <v>5.7334120867136911E-3</v>
      </c>
      <c r="BY145" s="1">
        <f t="shared" ca="1" si="168"/>
        <v>7.0736226656165205E-2</v>
      </c>
      <c r="BZ145" s="1">
        <f t="shared" ca="1" si="169"/>
        <v>9.7614918768388459E-2</v>
      </c>
      <c r="CB145" s="1">
        <f t="shared" ca="1" si="170"/>
        <v>163</v>
      </c>
      <c r="CC145" s="1">
        <f t="shared" ca="1" si="171"/>
        <v>4</v>
      </c>
      <c r="CD145" s="1">
        <f t="shared" ca="1" si="172"/>
        <v>0.25061808661263202</v>
      </c>
      <c r="CE145" s="1">
        <f t="shared" ca="1" si="173"/>
        <v>0.57889392169490117</v>
      </c>
      <c r="CF145" s="1">
        <f t="shared" ca="1" si="173"/>
        <v>0.61574792400635614</v>
      </c>
      <c r="CH145" s="3">
        <f t="shared" ca="1" si="174"/>
        <v>0.49137122746314055</v>
      </c>
      <c r="CI145" s="3">
        <f t="shared" ca="1" si="175"/>
        <v>1.2229945940566918E-2</v>
      </c>
      <c r="CJ145" s="3">
        <f t="shared" ca="1" si="176"/>
        <v>778</v>
      </c>
      <c r="CK145" s="3">
        <f t="shared" ca="1" si="177"/>
        <v>2.3389264247271362E-4</v>
      </c>
      <c r="CL145" s="3">
        <f t="shared" ca="1" si="178"/>
        <v>0</v>
      </c>
      <c r="CM145" s="3"/>
      <c r="CN145" s="1">
        <f t="shared" ca="1" si="179"/>
        <v>12.579063567913323</v>
      </c>
      <c r="CO145" s="1">
        <f t="shared" ca="1" si="180"/>
        <v>0.3117194182844864</v>
      </c>
      <c r="CP145" s="1">
        <f t="shared" ca="1" si="181"/>
        <v>1</v>
      </c>
      <c r="DH145" s="1">
        <f t="shared" ca="1" si="182"/>
        <v>719</v>
      </c>
      <c r="DI145" s="1">
        <f t="shared" ca="1" si="183"/>
        <v>0.46832090724707798</v>
      </c>
      <c r="DJ145" s="1">
        <f t="shared" ca="1" si="184"/>
        <v>25</v>
      </c>
      <c r="DL145" s="1">
        <f t="shared" ca="1" si="185"/>
        <v>0.15310859091498499</v>
      </c>
      <c r="DM145" s="1">
        <f t="shared" ca="1" si="186"/>
        <v>96</v>
      </c>
      <c r="DN145" s="1">
        <f t="shared" ca="1" si="187"/>
        <v>1</v>
      </c>
    </row>
    <row r="146" spans="2:118" x14ac:dyDescent="0.25">
      <c r="B146">
        <f t="shared" ca="1" si="126"/>
        <v>488</v>
      </c>
      <c r="C146">
        <f t="shared" ca="1" si="127"/>
        <v>30</v>
      </c>
      <c r="D146">
        <f t="shared" ca="1" si="128"/>
        <v>0.16428539179780688</v>
      </c>
      <c r="F146" s="1">
        <f t="shared" ca="1" si="129"/>
        <v>37</v>
      </c>
      <c r="G146" s="1">
        <f t="shared" ca="1" si="130"/>
        <v>12</v>
      </c>
      <c r="H146" s="1">
        <f t="shared" ca="1" si="131"/>
        <v>5</v>
      </c>
      <c r="I146" s="1"/>
      <c r="J146" s="1">
        <f t="shared" ca="1" si="132"/>
        <v>33</v>
      </c>
      <c r="K146" s="1">
        <f t="shared" ca="1" si="133"/>
        <v>1.1565624518098958</v>
      </c>
      <c r="L146" s="1">
        <f t="shared" ca="1" si="134"/>
        <v>27</v>
      </c>
      <c r="M146" s="1"/>
      <c r="N146" s="1">
        <f t="shared" ca="1" si="135"/>
        <v>529</v>
      </c>
      <c r="O146" s="1">
        <f t="shared" ca="1" si="136"/>
        <v>7</v>
      </c>
      <c r="P146" s="1"/>
      <c r="Q146" s="1">
        <f t="shared" ca="1" si="137"/>
        <v>4.5352310682026227</v>
      </c>
      <c r="R146" s="1">
        <f t="shared" ca="1" si="138"/>
        <v>667</v>
      </c>
      <c r="S146" s="1"/>
      <c r="T146" s="1">
        <f t="shared" ca="1" si="139"/>
        <v>7.1948800834220172E-2</v>
      </c>
      <c r="U146" s="1">
        <f t="shared" ca="1" si="140"/>
        <v>445</v>
      </c>
      <c r="V146" s="1">
        <f t="shared" ca="1" si="141"/>
        <v>8</v>
      </c>
      <c r="W146" s="1"/>
      <c r="X146" s="1">
        <f t="shared" ca="1" si="142"/>
        <v>4.4496508029583204</v>
      </c>
      <c r="Y146" s="1">
        <f t="shared" ca="1" si="143"/>
        <v>0.73105481255760141</v>
      </c>
      <c r="Z146" s="1">
        <f t="shared" ca="1" si="144"/>
        <v>1970</v>
      </c>
      <c r="AB146" s="1">
        <f t="shared" ca="1" si="145"/>
        <v>0.83544190839202848</v>
      </c>
      <c r="AC146" s="1">
        <f t="shared" ca="1" si="146"/>
        <v>999</v>
      </c>
      <c r="AD146" s="1">
        <f t="shared" ca="1" si="147"/>
        <v>2.886862313850829E-3</v>
      </c>
      <c r="AE146" s="1"/>
      <c r="AF146" s="1">
        <f t="shared" ca="1" si="148"/>
        <v>0.4176007379105362</v>
      </c>
      <c r="AG146" s="1">
        <f t="shared" ca="1" si="149"/>
        <v>250</v>
      </c>
      <c r="AH146" s="1">
        <f t="shared" ca="1" si="150"/>
        <v>2.1186140110234274E-3</v>
      </c>
      <c r="AJ146" s="1">
        <f t="shared" ca="1" si="151"/>
        <v>0.35502018683499714</v>
      </c>
      <c r="AK146" s="1">
        <f t="shared" ca="1" si="152"/>
        <v>9.6756057034222548E-3</v>
      </c>
      <c r="AL146" s="1"/>
      <c r="AM146" s="1">
        <f t="shared" ca="1" si="153"/>
        <v>8.5072215475864021E-2</v>
      </c>
      <c r="AN146" s="1">
        <f t="shared" ca="1" si="154"/>
        <v>26</v>
      </c>
      <c r="AO146" s="1">
        <f t="shared" ca="1" si="155"/>
        <v>10</v>
      </c>
      <c r="AQ146" s="1">
        <f t="shared" ca="1" si="156"/>
        <v>112</v>
      </c>
      <c r="AR146" s="1">
        <f t="shared" ca="1" si="157"/>
        <v>0</v>
      </c>
      <c r="AS146" s="1">
        <f t="shared" ca="1" si="158"/>
        <v>47</v>
      </c>
      <c r="AU146" s="1">
        <f t="shared" ca="1" si="159"/>
        <v>167</v>
      </c>
      <c r="AV146" s="1">
        <f t="shared" ca="1" si="160"/>
        <v>3</v>
      </c>
      <c r="AW146" s="1">
        <f t="shared" ca="1" si="161"/>
        <v>0.1192181742757767</v>
      </c>
      <c r="AY146" s="1">
        <f t="shared" ca="1" si="162"/>
        <v>1.5450838623320418</v>
      </c>
      <c r="AZ146" s="1">
        <f t="shared" ca="1" si="163"/>
        <v>239</v>
      </c>
      <c r="BA146" s="1">
        <f t="shared" ca="1" si="164"/>
        <v>1.6805407313563378E-3</v>
      </c>
      <c r="BV146" s="1">
        <f t="shared" ca="1" si="165"/>
        <v>0.2148102665669431</v>
      </c>
      <c r="BW146" s="1">
        <f t="shared" ca="1" si="166"/>
        <v>435</v>
      </c>
      <c r="BX146" s="1">
        <f t="shared" ca="1" si="167"/>
        <v>5.5531023949684753E-3</v>
      </c>
      <c r="BY146" s="1">
        <f t="shared" ca="1" si="168"/>
        <v>8.321296868787513E-3</v>
      </c>
      <c r="BZ146" s="1">
        <f t="shared" ca="1" si="169"/>
        <v>0.65481910796867093</v>
      </c>
      <c r="CB146" s="1">
        <f t="shared" ca="1" si="170"/>
        <v>193</v>
      </c>
      <c r="CC146" s="1">
        <f t="shared" ca="1" si="171"/>
        <v>8</v>
      </c>
      <c r="CD146" s="1">
        <f t="shared" ca="1" si="172"/>
        <v>6.0330828443401367E-2</v>
      </c>
      <c r="CE146" s="1">
        <f t="shared" ca="1" si="173"/>
        <v>0.96724076029627182</v>
      </c>
      <c r="CF146" s="1">
        <f t="shared" ca="1" si="173"/>
        <v>0.98034411443788927</v>
      </c>
      <c r="CH146" s="3">
        <f t="shared" ca="1" si="174"/>
        <v>0.91006611601308229</v>
      </c>
      <c r="CI146" s="3">
        <f t="shared" ca="1" si="175"/>
        <v>0.37733272075901975</v>
      </c>
      <c r="CJ146" s="3">
        <f t="shared" ca="1" si="176"/>
        <v>1211</v>
      </c>
      <c r="CK146" s="3">
        <f t="shared" ca="1" si="177"/>
        <v>2.5626830354856343E-4</v>
      </c>
      <c r="CL146" s="3">
        <f t="shared" ca="1" si="178"/>
        <v>1</v>
      </c>
      <c r="CM146" s="3"/>
      <c r="CN146" s="1">
        <f t="shared" ca="1" si="179"/>
        <v>12.922246904121046</v>
      </c>
      <c r="CO146" s="1">
        <f t="shared" ca="1" si="180"/>
        <v>0.30507571611225343</v>
      </c>
      <c r="CP146" s="1">
        <f t="shared" ca="1" si="181"/>
        <v>5</v>
      </c>
      <c r="DH146" s="1">
        <f t="shared" ca="1" si="182"/>
        <v>287</v>
      </c>
      <c r="DI146" s="1">
        <f t="shared" ca="1" si="183"/>
        <v>0.76519071642422598</v>
      </c>
      <c r="DJ146" s="1">
        <f t="shared" ca="1" si="184"/>
        <v>25</v>
      </c>
      <c r="DL146" s="1">
        <f t="shared" ca="1" si="185"/>
        <v>0.10310800063201914</v>
      </c>
      <c r="DM146" s="1">
        <f t="shared" ca="1" si="186"/>
        <v>202</v>
      </c>
      <c r="DN146" s="1">
        <f t="shared" ca="1" si="187"/>
        <v>6</v>
      </c>
    </row>
    <row r="147" spans="2:118" x14ac:dyDescent="0.25">
      <c r="B147">
        <f t="shared" ca="1" si="126"/>
        <v>183</v>
      </c>
      <c r="C147">
        <f t="shared" ca="1" si="127"/>
        <v>31</v>
      </c>
      <c r="D147">
        <f t="shared" ca="1" si="128"/>
        <v>9.7573187784548654E-2</v>
      </c>
      <c r="F147" s="1">
        <f t="shared" ca="1" si="129"/>
        <v>32</v>
      </c>
      <c r="G147" s="1">
        <f t="shared" ca="1" si="130"/>
        <v>16</v>
      </c>
      <c r="H147" s="1">
        <f t="shared" ca="1" si="131"/>
        <v>10</v>
      </c>
      <c r="I147" s="1"/>
      <c r="J147" s="1">
        <f t="shared" ca="1" si="132"/>
        <v>35</v>
      </c>
      <c r="K147" s="1">
        <f t="shared" ca="1" si="133"/>
        <v>2.1319073330425358</v>
      </c>
      <c r="L147" s="1">
        <f t="shared" ca="1" si="134"/>
        <v>27</v>
      </c>
      <c r="M147" s="1"/>
      <c r="N147" s="1">
        <f t="shared" ca="1" si="135"/>
        <v>57</v>
      </c>
      <c r="O147" s="1">
        <f t="shared" ca="1" si="136"/>
        <v>12</v>
      </c>
      <c r="P147" s="1"/>
      <c r="Q147" s="1">
        <f t="shared" ca="1" si="137"/>
        <v>0.57869229858187277</v>
      </c>
      <c r="R147" s="1">
        <f t="shared" ca="1" si="138"/>
        <v>1166</v>
      </c>
      <c r="S147" s="1"/>
      <c r="T147" s="1">
        <f t="shared" ca="1" si="139"/>
        <v>0.13141176194571361</v>
      </c>
      <c r="U147" s="1">
        <f t="shared" ca="1" si="140"/>
        <v>139</v>
      </c>
      <c r="V147" s="1">
        <f t="shared" ca="1" si="141"/>
        <v>11</v>
      </c>
      <c r="W147" s="1"/>
      <c r="X147" s="1">
        <f t="shared" ca="1" si="142"/>
        <v>5.1693042585776396</v>
      </c>
      <c r="Y147" s="1">
        <f t="shared" ca="1" si="143"/>
        <v>0.371923950224962</v>
      </c>
      <c r="Z147" s="1">
        <f t="shared" ca="1" si="144"/>
        <v>1292</v>
      </c>
      <c r="AB147" s="1">
        <f t="shared" ca="1" si="145"/>
        <v>0.48368364978700412</v>
      </c>
      <c r="AC147" s="1">
        <f t="shared" ca="1" si="146"/>
        <v>971</v>
      </c>
      <c r="AD147" s="1">
        <f t="shared" ca="1" si="147"/>
        <v>6.1626671152232651E-3</v>
      </c>
      <c r="AE147" s="1"/>
      <c r="AF147" s="1">
        <f t="shared" ca="1" si="148"/>
        <v>0.4851056870764211</v>
      </c>
      <c r="AG147" s="1">
        <f t="shared" ca="1" si="149"/>
        <v>296</v>
      </c>
      <c r="AH147" s="1">
        <f t="shared" ca="1" si="150"/>
        <v>5.8008987686975757E-3</v>
      </c>
      <c r="AJ147" s="1">
        <f t="shared" ca="1" si="151"/>
        <v>0.36886102594108838</v>
      </c>
      <c r="AK147" s="1">
        <f t="shared" ca="1" si="152"/>
        <v>8.9324541085829337E-3</v>
      </c>
      <c r="AL147" s="1"/>
      <c r="AM147" s="1">
        <f t="shared" ca="1" si="153"/>
        <v>4.9343140828743901E-2</v>
      </c>
      <c r="AN147" s="1">
        <f t="shared" ca="1" si="154"/>
        <v>21</v>
      </c>
      <c r="AO147" s="1">
        <f t="shared" ca="1" si="155"/>
        <v>1</v>
      </c>
      <c r="AQ147" s="1">
        <f t="shared" ca="1" si="156"/>
        <v>174</v>
      </c>
      <c r="AR147" s="1">
        <f t="shared" ca="1" si="157"/>
        <v>5</v>
      </c>
      <c r="AS147" s="1">
        <f t="shared" ca="1" si="158"/>
        <v>20</v>
      </c>
      <c r="AU147" s="1">
        <f t="shared" ca="1" si="159"/>
        <v>53</v>
      </c>
      <c r="AV147" s="1">
        <f t="shared" ca="1" si="160"/>
        <v>3</v>
      </c>
      <c r="AW147" s="1">
        <f t="shared" ca="1" si="161"/>
        <v>6.7316546195236651E-2</v>
      </c>
      <c r="AY147" s="1">
        <f t="shared" ca="1" si="162"/>
        <v>1.6600070242835665</v>
      </c>
      <c r="AZ147" s="1">
        <f t="shared" ca="1" si="163"/>
        <v>434</v>
      </c>
      <c r="BA147" s="1">
        <f t="shared" ca="1" si="164"/>
        <v>5.3879958345939222E-3</v>
      </c>
      <c r="BV147" s="1">
        <f t="shared" ca="1" si="165"/>
        <v>0.39147523787175925</v>
      </c>
      <c r="BW147" s="1">
        <f t="shared" ca="1" si="166"/>
        <v>826</v>
      </c>
      <c r="BX147" s="1">
        <f t="shared" ca="1" si="167"/>
        <v>9.7481224951431744E-4</v>
      </c>
      <c r="BY147" s="1">
        <f t="shared" ca="1" si="168"/>
        <v>2.7791784601330909E-2</v>
      </c>
      <c r="BZ147" s="1">
        <f t="shared" ca="1" si="169"/>
        <v>0.81358076097608312</v>
      </c>
      <c r="CB147" s="1">
        <f t="shared" ca="1" si="170"/>
        <v>157</v>
      </c>
      <c r="CC147" s="1">
        <f t="shared" ca="1" si="171"/>
        <v>15</v>
      </c>
      <c r="CD147" s="1">
        <f t="shared" ca="1" si="172"/>
        <v>0.21682910840054814</v>
      </c>
      <c r="CE147" s="1">
        <f t="shared" ca="1" si="173"/>
        <v>0.88117483397175589</v>
      </c>
      <c r="CF147" s="1">
        <f t="shared" ca="1" si="173"/>
        <v>0.54211239174949744</v>
      </c>
      <c r="CH147" s="3">
        <f t="shared" ca="1" si="174"/>
        <v>0.654538260499271</v>
      </c>
      <c r="CI147" s="3">
        <f t="shared" ca="1" si="175"/>
        <v>0.64026580923677578</v>
      </c>
      <c r="CJ147" s="3">
        <f t="shared" ca="1" si="176"/>
        <v>314</v>
      </c>
      <c r="CK147" s="3">
        <f t="shared" ca="1" si="177"/>
        <v>7.1147924948689704E-3</v>
      </c>
      <c r="CL147" s="3">
        <f t="shared" ca="1" si="178"/>
        <v>0</v>
      </c>
      <c r="CM147" s="3"/>
      <c r="CN147" s="1">
        <f t="shared" ca="1" si="179"/>
        <v>3.0070330358288042</v>
      </c>
      <c r="CO147" s="1">
        <f t="shared" ca="1" si="180"/>
        <v>0.27684352234182835</v>
      </c>
      <c r="CP147" s="1">
        <f t="shared" ca="1" si="181"/>
        <v>2</v>
      </c>
      <c r="DH147" s="1">
        <f t="shared" ca="1" si="182"/>
        <v>48</v>
      </c>
      <c r="DI147" s="1">
        <f t="shared" ca="1" si="183"/>
        <v>0.37262602458161176</v>
      </c>
      <c r="DJ147" s="1">
        <f t="shared" ca="1" si="184"/>
        <v>5</v>
      </c>
      <c r="DL147" s="1">
        <f t="shared" ca="1" si="185"/>
        <v>0.1811765847009443</v>
      </c>
      <c r="DM147" s="1">
        <f t="shared" ca="1" si="186"/>
        <v>75</v>
      </c>
      <c r="DN147" s="1">
        <f t="shared" ca="1" si="187"/>
        <v>6</v>
      </c>
    </row>
    <row r="148" spans="2:118" x14ac:dyDescent="0.25">
      <c r="B148">
        <f t="shared" ca="1" si="126"/>
        <v>989</v>
      </c>
      <c r="C148">
        <f t="shared" ca="1" si="127"/>
        <v>46</v>
      </c>
      <c r="D148">
        <f t="shared" ca="1" si="128"/>
        <v>0.1396514341314338</v>
      </c>
      <c r="F148" s="1">
        <f t="shared" ca="1" si="129"/>
        <v>15</v>
      </c>
      <c r="G148" s="1">
        <f t="shared" ca="1" si="130"/>
        <v>8</v>
      </c>
      <c r="H148" s="1">
        <f t="shared" ca="1" si="131"/>
        <v>6</v>
      </c>
      <c r="I148" s="1"/>
      <c r="J148" s="1">
        <f t="shared" ca="1" si="132"/>
        <v>7</v>
      </c>
      <c r="K148" s="1">
        <f t="shared" ca="1" si="133"/>
        <v>2.2716718220613696</v>
      </c>
      <c r="L148" s="1">
        <f t="shared" ca="1" si="134"/>
        <v>29</v>
      </c>
      <c r="M148" s="1"/>
      <c r="N148" s="1">
        <f t="shared" ca="1" si="135"/>
        <v>510</v>
      </c>
      <c r="O148" s="1">
        <f t="shared" ca="1" si="136"/>
        <v>39</v>
      </c>
      <c r="P148" s="1"/>
      <c r="Q148" s="1">
        <f t="shared" ca="1" si="137"/>
        <v>0.1580037516672721</v>
      </c>
      <c r="R148" s="1">
        <f t="shared" ca="1" si="138"/>
        <v>723</v>
      </c>
      <c r="S148" s="1"/>
      <c r="T148" s="1">
        <f t="shared" ca="1" si="139"/>
        <v>3.5436532493556161E-2</v>
      </c>
      <c r="U148" s="1">
        <f t="shared" ca="1" si="140"/>
        <v>225</v>
      </c>
      <c r="V148" s="1">
        <f t="shared" ca="1" si="141"/>
        <v>38</v>
      </c>
      <c r="W148" s="1"/>
      <c r="X148" s="1">
        <f t="shared" ca="1" si="142"/>
        <v>8.0974934080125696</v>
      </c>
      <c r="Y148" s="1">
        <f t="shared" ca="1" si="143"/>
        <v>0.90266253765966931</v>
      </c>
      <c r="Z148" s="1">
        <f t="shared" ca="1" si="144"/>
        <v>1064</v>
      </c>
      <c r="AB148" s="1">
        <f t="shared" ca="1" si="145"/>
        <v>0.71224514988264775</v>
      </c>
      <c r="AC148" s="1">
        <f t="shared" ca="1" si="146"/>
        <v>980</v>
      </c>
      <c r="AD148" s="1">
        <f t="shared" ca="1" si="147"/>
        <v>1.8881297278365836E-3</v>
      </c>
      <c r="AE148" s="1"/>
      <c r="AF148" s="1">
        <f t="shared" ca="1" si="148"/>
        <v>0.23354900360520309</v>
      </c>
      <c r="AG148" s="1">
        <f t="shared" ca="1" si="149"/>
        <v>887</v>
      </c>
      <c r="AH148" s="1">
        <f t="shared" ca="1" si="150"/>
        <v>4.8734279982582014E-3</v>
      </c>
      <c r="AJ148" s="1">
        <f t="shared" ca="1" si="151"/>
        <v>0.98007056121720959</v>
      </c>
      <c r="AK148" s="1">
        <f t="shared" ca="1" si="152"/>
        <v>1.0300050860291301E-3</v>
      </c>
      <c r="AL148" s="1"/>
      <c r="AM148" s="1">
        <f t="shared" ca="1" si="153"/>
        <v>7.4348940110775877E-2</v>
      </c>
      <c r="AN148" s="1">
        <f t="shared" ca="1" si="154"/>
        <v>73</v>
      </c>
      <c r="AO148" s="1">
        <f t="shared" ca="1" si="155"/>
        <v>12</v>
      </c>
      <c r="AQ148" s="1">
        <f t="shared" ca="1" si="156"/>
        <v>142</v>
      </c>
      <c r="AR148" s="1">
        <f t="shared" ca="1" si="157"/>
        <v>4</v>
      </c>
      <c r="AS148" s="1">
        <f t="shared" ca="1" si="158"/>
        <v>100</v>
      </c>
      <c r="AU148" s="1">
        <f t="shared" ca="1" si="159"/>
        <v>157</v>
      </c>
      <c r="AV148" s="1">
        <f t="shared" ca="1" si="160"/>
        <v>10</v>
      </c>
      <c r="AW148" s="1">
        <f t="shared" ca="1" si="161"/>
        <v>2.6431359565154258E-2</v>
      </c>
      <c r="AY148" s="1">
        <f t="shared" ca="1" si="162"/>
        <v>1.804400782226192</v>
      </c>
      <c r="AZ148" s="1">
        <f t="shared" ca="1" si="163"/>
        <v>264</v>
      </c>
      <c r="BA148" s="1">
        <f t="shared" ca="1" si="164"/>
        <v>5.6614605348955698E-4</v>
      </c>
      <c r="BV148" s="1">
        <f t="shared" ca="1" si="165"/>
        <v>0.68739677880938443</v>
      </c>
      <c r="BW148" s="1">
        <f t="shared" ca="1" si="166"/>
        <v>684</v>
      </c>
      <c r="BX148" s="1">
        <f t="shared" ca="1" si="167"/>
        <v>9.0667252261719868E-3</v>
      </c>
      <c r="BY148" s="1">
        <f t="shared" ca="1" si="168"/>
        <v>8.7875538143021723E-2</v>
      </c>
      <c r="BZ148" s="1">
        <f t="shared" ca="1" si="169"/>
        <v>0.65385242134157029</v>
      </c>
      <c r="CB148" s="1">
        <f t="shared" ca="1" si="170"/>
        <v>492</v>
      </c>
      <c r="CC148" s="1">
        <f t="shared" ca="1" si="171"/>
        <v>14</v>
      </c>
      <c r="CD148" s="1">
        <f t="shared" ca="1" si="172"/>
        <v>2.0645869956442409E-2</v>
      </c>
      <c r="CE148" s="1">
        <f t="shared" ca="1" si="173"/>
        <v>0.71156660394554994</v>
      </c>
      <c r="CF148" s="1">
        <f t="shared" ca="1" si="173"/>
        <v>0.81776796830176735</v>
      </c>
      <c r="CH148" s="3">
        <f t="shared" ca="1" si="174"/>
        <v>0.66565933664518329</v>
      </c>
      <c r="CI148" s="3">
        <f t="shared" ca="1" si="175"/>
        <v>0.95178994027471664</v>
      </c>
      <c r="CJ148" s="3">
        <f t="shared" ca="1" si="176"/>
        <v>123</v>
      </c>
      <c r="CK148" s="3">
        <f t="shared" ca="1" si="177"/>
        <v>9.9685424083591594E-3</v>
      </c>
      <c r="CL148" s="3">
        <f t="shared" ca="1" si="178"/>
        <v>1</v>
      </c>
      <c r="CM148" s="3"/>
      <c r="CN148" s="1">
        <f t="shared" ca="1" si="179"/>
        <v>13.622427365897392</v>
      </c>
      <c r="CO148" s="1">
        <f t="shared" ca="1" si="180"/>
        <v>0.22690215149682449</v>
      </c>
      <c r="CP148" s="1">
        <f t="shared" ca="1" si="181"/>
        <v>3</v>
      </c>
      <c r="DH148" s="1">
        <f t="shared" ca="1" si="182"/>
        <v>20</v>
      </c>
      <c r="DI148" s="1">
        <f t="shared" ca="1" si="183"/>
        <v>0.26957305154712552</v>
      </c>
      <c r="DJ148" s="1">
        <f t="shared" ca="1" si="184"/>
        <v>5</v>
      </c>
      <c r="DL148" s="1">
        <f t="shared" ca="1" si="185"/>
        <v>0.16049333336924948</v>
      </c>
      <c r="DM148" s="1">
        <f t="shared" ca="1" si="186"/>
        <v>211</v>
      </c>
      <c r="DN148" s="1">
        <f t="shared" ca="1" si="187"/>
        <v>7</v>
      </c>
    </row>
    <row r="149" spans="2:118" x14ac:dyDescent="0.25">
      <c r="B149">
        <f t="shared" ca="1" si="126"/>
        <v>871</v>
      </c>
      <c r="C149">
        <f t="shared" ca="1" si="127"/>
        <v>34</v>
      </c>
      <c r="D149">
        <f t="shared" ca="1" si="128"/>
        <v>0.25562752864233557</v>
      </c>
      <c r="F149" s="1">
        <f t="shared" ca="1" si="129"/>
        <v>50</v>
      </c>
      <c r="G149" s="1">
        <f t="shared" ca="1" si="130"/>
        <v>20</v>
      </c>
      <c r="H149" s="1">
        <f t="shared" ca="1" si="131"/>
        <v>12</v>
      </c>
      <c r="I149" s="1"/>
      <c r="J149" s="1">
        <f t="shared" ca="1" si="132"/>
        <v>14</v>
      </c>
      <c r="K149" s="1">
        <f t="shared" ca="1" si="133"/>
        <v>1.6671768651526884</v>
      </c>
      <c r="L149" s="1">
        <f t="shared" ca="1" si="134"/>
        <v>31</v>
      </c>
      <c r="M149" s="1"/>
      <c r="N149" s="1">
        <f t="shared" ca="1" si="135"/>
        <v>41</v>
      </c>
      <c r="O149" s="1">
        <f t="shared" ca="1" si="136"/>
        <v>36</v>
      </c>
      <c r="P149" s="1"/>
      <c r="Q149" s="1">
        <f t="shared" ca="1" si="137"/>
        <v>0.5657078726344924</v>
      </c>
      <c r="R149" s="1">
        <f t="shared" ca="1" si="138"/>
        <v>1193</v>
      </c>
      <c r="S149" s="1"/>
      <c r="T149" s="1">
        <f t="shared" ca="1" si="139"/>
        <v>9.863725273281386E-2</v>
      </c>
      <c r="U149" s="1">
        <f t="shared" ca="1" si="140"/>
        <v>131</v>
      </c>
      <c r="V149" s="1">
        <f t="shared" ca="1" si="141"/>
        <v>11</v>
      </c>
      <c r="W149" s="1"/>
      <c r="X149" s="1">
        <f t="shared" ca="1" si="142"/>
        <v>0.16275110815298302</v>
      </c>
      <c r="Y149" s="1">
        <f t="shared" ca="1" si="143"/>
        <v>0.1643917409117433</v>
      </c>
      <c r="Z149" s="1">
        <f t="shared" ca="1" si="144"/>
        <v>1466</v>
      </c>
      <c r="AB149" s="1">
        <f t="shared" ca="1" si="145"/>
        <v>0.14115253070211686</v>
      </c>
      <c r="AC149" s="1">
        <f t="shared" ca="1" si="146"/>
        <v>215</v>
      </c>
      <c r="AD149" s="1">
        <f t="shared" ca="1" si="147"/>
        <v>7.2799466906932264E-3</v>
      </c>
      <c r="AE149" s="1"/>
      <c r="AF149" s="1">
        <f t="shared" ca="1" si="148"/>
        <v>0.63458748149238409</v>
      </c>
      <c r="AG149" s="1">
        <f t="shared" ca="1" si="149"/>
        <v>873</v>
      </c>
      <c r="AH149" s="1">
        <f t="shared" ca="1" si="150"/>
        <v>8.762387573292018E-3</v>
      </c>
      <c r="AJ149" s="1">
        <f t="shared" ca="1" si="151"/>
        <v>0.40330268624544974</v>
      </c>
      <c r="AK149" s="1">
        <f t="shared" ca="1" si="152"/>
        <v>3.3743002931922645E-3</v>
      </c>
      <c r="AL149" s="1"/>
      <c r="AM149" s="1">
        <f t="shared" ca="1" si="153"/>
        <v>7.6164764953279701E-2</v>
      </c>
      <c r="AN149" s="1">
        <f t="shared" ca="1" si="154"/>
        <v>11</v>
      </c>
      <c r="AO149" s="1">
        <f t="shared" ca="1" si="155"/>
        <v>5</v>
      </c>
      <c r="AQ149" s="1">
        <f t="shared" ca="1" si="156"/>
        <v>106</v>
      </c>
      <c r="AR149" s="1">
        <f t="shared" ca="1" si="157"/>
        <v>6</v>
      </c>
      <c r="AS149" s="1">
        <f t="shared" ca="1" si="158"/>
        <v>1</v>
      </c>
      <c r="AU149" s="1">
        <f t="shared" ca="1" si="159"/>
        <v>344</v>
      </c>
      <c r="AV149" s="1">
        <f t="shared" ca="1" si="160"/>
        <v>7</v>
      </c>
      <c r="AW149" s="1">
        <f t="shared" ca="1" si="161"/>
        <v>0.13642460721408811</v>
      </c>
      <c r="AY149" s="1">
        <f t="shared" ca="1" si="162"/>
        <v>1.9696196506192103</v>
      </c>
      <c r="AZ149" s="1">
        <f t="shared" ca="1" si="163"/>
        <v>454</v>
      </c>
      <c r="BA149" s="1">
        <f t="shared" ca="1" si="164"/>
        <v>6.8879280760503316E-3</v>
      </c>
      <c r="BV149" s="1">
        <f t="shared" ca="1" si="165"/>
        <v>0.86167033397510839</v>
      </c>
      <c r="BW149" s="1">
        <f t="shared" ca="1" si="166"/>
        <v>549</v>
      </c>
      <c r="BX149" s="1">
        <f t="shared" ca="1" si="167"/>
        <v>6.7537010374843923E-3</v>
      </c>
      <c r="BY149" s="1">
        <f t="shared" ca="1" si="168"/>
        <v>7.2415126516108305E-2</v>
      </c>
      <c r="BZ149" s="1">
        <f t="shared" ca="1" si="169"/>
        <v>1.7877245642254014E-2</v>
      </c>
      <c r="CB149" s="1">
        <f t="shared" ca="1" si="170"/>
        <v>443</v>
      </c>
      <c r="CC149" s="1">
        <f t="shared" ca="1" si="171"/>
        <v>8</v>
      </c>
      <c r="CD149" s="1">
        <f t="shared" ca="1" si="172"/>
        <v>0.14907073952117536</v>
      </c>
      <c r="CE149" s="1">
        <f t="shared" ca="1" si="173"/>
        <v>0.63870251112951837</v>
      </c>
      <c r="CF149" s="1">
        <f t="shared" ca="1" si="173"/>
        <v>0.57346230513080221</v>
      </c>
      <c r="CH149" s="3">
        <f t="shared" ca="1" si="174"/>
        <v>0.36237398182496566</v>
      </c>
      <c r="CI149" s="3">
        <f t="shared" ca="1" si="175"/>
        <v>0.5625551821904462</v>
      </c>
      <c r="CJ149" s="3">
        <f t="shared" ca="1" si="176"/>
        <v>436</v>
      </c>
      <c r="CK149" s="3">
        <f t="shared" ca="1" si="177"/>
        <v>2.6314648728098375E-3</v>
      </c>
      <c r="CL149" s="3">
        <f t="shared" ca="1" si="178"/>
        <v>0</v>
      </c>
      <c r="CM149" s="3"/>
      <c r="CN149" s="1">
        <f t="shared" ca="1" si="179"/>
        <v>13.663724098929167</v>
      </c>
      <c r="CO149" s="1">
        <f t="shared" ca="1" si="180"/>
        <v>8.4995796771678886E-2</v>
      </c>
      <c r="CP149" s="1">
        <f t="shared" ca="1" si="181"/>
        <v>4</v>
      </c>
      <c r="DH149" s="1">
        <f t="shared" ca="1" si="182"/>
        <v>709</v>
      </c>
      <c r="DI149" s="1">
        <f t="shared" ca="1" si="183"/>
        <v>0.51158732322991307</v>
      </c>
      <c r="DJ149" s="1">
        <f t="shared" ca="1" si="184"/>
        <v>13</v>
      </c>
      <c r="DL149" s="1">
        <f t="shared" ca="1" si="185"/>
        <v>5.153214961241856E-2</v>
      </c>
      <c r="DM149" s="1">
        <f t="shared" ca="1" si="186"/>
        <v>186</v>
      </c>
      <c r="DN149" s="1">
        <f t="shared" ca="1" si="187"/>
        <v>6</v>
      </c>
    </row>
    <row r="150" spans="2:118" x14ac:dyDescent="0.25">
      <c r="B150">
        <f t="shared" ca="1" si="126"/>
        <v>797</v>
      </c>
      <c r="C150">
        <f t="shared" ca="1" si="127"/>
        <v>45</v>
      </c>
      <c r="D150">
        <f t="shared" ca="1" si="128"/>
        <v>0.18854235341208014</v>
      </c>
      <c r="F150" s="1">
        <f t="shared" ca="1" si="129"/>
        <v>27</v>
      </c>
      <c r="G150" s="1">
        <f t="shared" ca="1" si="130"/>
        <v>21</v>
      </c>
      <c r="H150" s="1">
        <f t="shared" ca="1" si="131"/>
        <v>2</v>
      </c>
      <c r="I150" s="1"/>
      <c r="J150" s="1">
        <f t="shared" ca="1" si="132"/>
        <v>35</v>
      </c>
      <c r="K150" s="1">
        <f t="shared" ca="1" si="133"/>
        <v>1.4704659870341328</v>
      </c>
      <c r="L150" s="1">
        <f t="shared" ca="1" si="134"/>
        <v>3</v>
      </c>
      <c r="M150" s="1"/>
      <c r="N150" s="1">
        <f t="shared" ca="1" si="135"/>
        <v>749</v>
      </c>
      <c r="O150" s="1">
        <f t="shared" ca="1" si="136"/>
        <v>39</v>
      </c>
      <c r="P150" s="1"/>
      <c r="Q150" s="1">
        <f t="shared" ca="1" si="137"/>
        <v>4.403988549827921</v>
      </c>
      <c r="R150" s="1">
        <f t="shared" ca="1" si="138"/>
        <v>330</v>
      </c>
      <c r="S150" s="1"/>
      <c r="T150" s="1">
        <f t="shared" ca="1" si="139"/>
        <v>7.4574724536789747E-2</v>
      </c>
      <c r="U150" s="1">
        <f t="shared" ca="1" si="140"/>
        <v>192</v>
      </c>
      <c r="V150" s="1">
        <f t="shared" ca="1" si="141"/>
        <v>41</v>
      </c>
      <c r="W150" s="1"/>
      <c r="X150" s="1">
        <f t="shared" ca="1" si="142"/>
        <v>4.3941993228437113</v>
      </c>
      <c r="Y150" s="1">
        <f t="shared" ca="1" si="143"/>
        <v>0.52088444226690911</v>
      </c>
      <c r="Z150" s="1">
        <f t="shared" ca="1" si="144"/>
        <v>723</v>
      </c>
      <c r="AB150" s="1">
        <f t="shared" ca="1" si="145"/>
        <v>0.31461717290443619</v>
      </c>
      <c r="AC150" s="1">
        <f t="shared" ca="1" si="146"/>
        <v>459</v>
      </c>
      <c r="AD150" s="1">
        <f t="shared" ca="1" si="147"/>
        <v>6.6363659836502003E-3</v>
      </c>
      <c r="AE150" s="1"/>
      <c r="AF150" s="1">
        <f t="shared" ca="1" si="148"/>
        <v>0.71414999862029649</v>
      </c>
      <c r="AG150" s="1">
        <f t="shared" ca="1" si="149"/>
        <v>151</v>
      </c>
      <c r="AH150" s="1">
        <f t="shared" ca="1" si="150"/>
        <v>6.8900428635084729E-3</v>
      </c>
      <c r="AJ150" s="1">
        <f t="shared" ca="1" si="151"/>
        <v>0.49675007818522821</v>
      </c>
      <c r="AK150" s="1">
        <f t="shared" ca="1" si="152"/>
        <v>1.5726373177585857E-3</v>
      </c>
      <c r="AL150" s="1"/>
      <c r="AM150" s="1">
        <f t="shared" ca="1" si="153"/>
        <v>0.10975425176382027</v>
      </c>
      <c r="AN150" s="1">
        <f t="shared" ca="1" si="154"/>
        <v>24</v>
      </c>
      <c r="AO150" s="1">
        <f t="shared" ca="1" si="155"/>
        <v>5</v>
      </c>
      <c r="AQ150" s="1">
        <f t="shared" ca="1" si="156"/>
        <v>80</v>
      </c>
      <c r="AR150" s="1">
        <f t="shared" ca="1" si="157"/>
        <v>4</v>
      </c>
      <c r="AS150" s="1">
        <f t="shared" ca="1" si="158"/>
        <v>44</v>
      </c>
      <c r="AU150" s="1">
        <f t="shared" ca="1" si="159"/>
        <v>262</v>
      </c>
      <c r="AV150" s="1">
        <f t="shared" ca="1" si="160"/>
        <v>5</v>
      </c>
      <c r="AW150" s="1">
        <f t="shared" ca="1" si="161"/>
        <v>0.1300164851066771</v>
      </c>
      <c r="AY150" s="1">
        <f t="shared" ca="1" si="162"/>
        <v>1.169031358531863</v>
      </c>
      <c r="AZ150" s="1">
        <f t="shared" ca="1" si="163"/>
        <v>134</v>
      </c>
      <c r="BA150" s="1">
        <f t="shared" ca="1" si="164"/>
        <v>8.2526762336210934E-3</v>
      </c>
      <c r="BV150" s="1">
        <f t="shared" ca="1" si="165"/>
        <v>0.56815098575279943</v>
      </c>
      <c r="BW150" s="1">
        <f t="shared" ca="1" si="166"/>
        <v>735</v>
      </c>
      <c r="BX150" s="1">
        <f t="shared" ca="1" si="167"/>
        <v>9.8052448696393443E-3</v>
      </c>
      <c r="BY150" s="1">
        <f t="shared" ca="1" si="168"/>
        <v>6.1401151962365938E-2</v>
      </c>
      <c r="BZ150" s="1">
        <f t="shared" ca="1" si="169"/>
        <v>1.9442187354685503E-2</v>
      </c>
      <c r="CB150" s="1">
        <f t="shared" ca="1" si="170"/>
        <v>51</v>
      </c>
      <c r="CC150" s="1">
        <f t="shared" ca="1" si="171"/>
        <v>11</v>
      </c>
      <c r="CD150" s="1">
        <f t="shared" ca="1" si="172"/>
        <v>8.2849835267613484E-2</v>
      </c>
      <c r="CE150" s="1">
        <f t="shared" ca="1" si="173"/>
        <v>0.82848291442304822</v>
      </c>
      <c r="CF150" s="1">
        <f t="shared" ca="1" si="173"/>
        <v>0.72078427738432838</v>
      </c>
      <c r="CH150" s="3">
        <f t="shared" ca="1" si="174"/>
        <v>0.71502238602286661</v>
      </c>
      <c r="CI150" s="3">
        <f t="shared" ca="1" si="175"/>
        <v>0.81450724409093711</v>
      </c>
      <c r="CJ150" s="3">
        <f t="shared" ca="1" si="176"/>
        <v>1967</v>
      </c>
      <c r="CK150" s="3">
        <f t="shared" ca="1" si="177"/>
        <v>6.5648221740561364E-3</v>
      </c>
      <c r="CL150" s="3">
        <f t="shared" ca="1" si="178"/>
        <v>1</v>
      </c>
      <c r="CM150" s="3"/>
      <c r="CN150" s="1">
        <f t="shared" ca="1" si="179"/>
        <v>2.6005776044812943</v>
      </c>
      <c r="CO150" s="1">
        <f t="shared" ca="1" si="180"/>
        <v>5.9582798947296602E-2</v>
      </c>
      <c r="CP150" s="1">
        <f t="shared" ca="1" si="181"/>
        <v>3</v>
      </c>
      <c r="DH150" s="1">
        <f t="shared" ca="1" si="182"/>
        <v>23</v>
      </c>
      <c r="DI150" s="1">
        <f t="shared" ca="1" si="183"/>
        <v>2.9172185148968157E-2</v>
      </c>
      <c r="DJ150" s="1">
        <f t="shared" ca="1" si="184"/>
        <v>27</v>
      </c>
      <c r="DL150" s="1">
        <f t="shared" ca="1" si="185"/>
        <v>7.0116426524735515E-2</v>
      </c>
      <c r="DM150" s="1">
        <f t="shared" ca="1" si="186"/>
        <v>275</v>
      </c>
      <c r="DN150" s="1">
        <f t="shared" ca="1" si="187"/>
        <v>6</v>
      </c>
    </row>
    <row r="151" spans="2:118" x14ac:dyDescent="0.25">
      <c r="B151">
        <f t="shared" ca="1" si="126"/>
        <v>965</v>
      </c>
      <c r="C151">
        <f t="shared" ca="1" si="127"/>
        <v>35</v>
      </c>
      <c r="D151">
        <f t="shared" ca="1" si="128"/>
        <v>0.27976171989498916</v>
      </c>
      <c r="F151" s="1">
        <f t="shared" ca="1" si="129"/>
        <v>39</v>
      </c>
      <c r="G151" s="1">
        <f t="shared" ca="1" si="130"/>
        <v>11</v>
      </c>
      <c r="H151" s="1">
        <f t="shared" ca="1" si="131"/>
        <v>8</v>
      </c>
      <c r="I151" s="1"/>
      <c r="J151" s="1">
        <f t="shared" ca="1" si="132"/>
        <v>31</v>
      </c>
      <c r="K151" s="1">
        <f t="shared" ca="1" si="133"/>
        <v>1.7293218532495691</v>
      </c>
      <c r="L151" s="1">
        <f t="shared" ca="1" si="134"/>
        <v>33</v>
      </c>
      <c r="M151" s="1"/>
      <c r="N151" s="1">
        <f t="shared" ca="1" si="135"/>
        <v>757</v>
      </c>
      <c r="O151" s="1">
        <f t="shared" ca="1" si="136"/>
        <v>23</v>
      </c>
      <c r="P151" s="1"/>
      <c r="Q151" s="1">
        <f t="shared" ca="1" si="137"/>
        <v>1.7999631159461287</v>
      </c>
      <c r="R151" s="1">
        <f t="shared" ca="1" si="138"/>
        <v>330</v>
      </c>
      <c r="S151" s="1"/>
      <c r="T151" s="1">
        <f t="shared" ca="1" si="139"/>
        <v>9.8851150549535777E-2</v>
      </c>
      <c r="U151" s="1">
        <f t="shared" ca="1" si="140"/>
        <v>259</v>
      </c>
      <c r="V151" s="1">
        <f t="shared" ca="1" si="141"/>
        <v>27</v>
      </c>
      <c r="W151" s="1"/>
      <c r="X151" s="1">
        <f t="shared" ca="1" si="142"/>
        <v>2.0927223793177374</v>
      </c>
      <c r="Y151" s="1">
        <f t="shared" ca="1" si="143"/>
        <v>0.44692274436159513</v>
      </c>
      <c r="Z151" s="1">
        <f t="shared" ca="1" si="144"/>
        <v>1631</v>
      </c>
      <c r="AB151" s="1">
        <f t="shared" ca="1" si="145"/>
        <v>0.75843553188790724</v>
      </c>
      <c r="AC151" s="1">
        <f t="shared" ca="1" si="146"/>
        <v>557</v>
      </c>
      <c r="AD151" s="1">
        <f t="shared" ca="1" si="147"/>
        <v>5.3016949973726385E-3</v>
      </c>
      <c r="AE151" s="1"/>
      <c r="AF151" s="1">
        <f t="shared" ca="1" si="148"/>
        <v>0.28654076301577397</v>
      </c>
      <c r="AG151" s="1">
        <f t="shared" ca="1" si="149"/>
        <v>667</v>
      </c>
      <c r="AH151" s="1">
        <f t="shared" ca="1" si="150"/>
        <v>9.3135254428240483E-4</v>
      </c>
      <c r="AJ151" s="1">
        <f t="shared" ca="1" si="151"/>
        <v>0.51836382438711015</v>
      </c>
      <c r="AK151" s="1">
        <f t="shared" ca="1" si="152"/>
        <v>4.0940114193770199E-3</v>
      </c>
      <c r="AL151" s="1"/>
      <c r="AM151" s="1">
        <f t="shared" ca="1" si="153"/>
        <v>8.186329632407717E-2</v>
      </c>
      <c r="AN151" s="1">
        <f t="shared" ca="1" si="154"/>
        <v>33</v>
      </c>
      <c r="AO151" s="1">
        <f t="shared" ca="1" si="155"/>
        <v>18</v>
      </c>
      <c r="AQ151" s="1">
        <f t="shared" ca="1" si="156"/>
        <v>66</v>
      </c>
      <c r="AR151" s="1">
        <f t="shared" ca="1" si="157"/>
        <v>4</v>
      </c>
      <c r="AS151" s="1">
        <f t="shared" ca="1" si="158"/>
        <v>36</v>
      </c>
      <c r="AU151" s="1">
        <f t="shared" ca="1" si="159"/>
        <v>110</v>
      </c>
      <c r="AV151" s="1">
        <f t="shared" ca="1" si="160"/>
        <v>10</v>
      </c>
      <c r="AW151" s="1">
        <f t="shared" ca="1" si="161"/>
        <v>0.19713224554891065</v>
      </c>
      <c r="AY151" s="1">
        <f t="shared" ca="1" si="162"/>
        <v>1.8762644760009044</v>
      </c>
      <c r="AZ151" s="1">
        <f t="shared" ca="1" si="163"/>
        <v>114</v>
      </c>
      <c r="BA151" s="1">
        <f t="shared" ca="1" si="164"/>
        <v>6.7941206338672389E-3</v>
      </c>
      <c r="BV151" s="1">
        <f t="shared" ca="1" si="165"/>
        <v>0.3493366601283005</v>
      </c>
      <c r="BW151" s="1">
        <f t="shared" ca="1" si="166"/>
        <v>887</v>
      </c>
      <c r="BX151" s="1">
        <f t="shared" ca="1" si="167"/>
        <v>5.7611776701485679E-3</v>
      </c>
      <c r="BY151" s="1">
        <f t="shared" ca="1" si="168"/>
        <v>5.9679981016381341E-2</v>
      </c>
      <c r="BZ151" s="1">
        <f t="shared" ca="1" si="169"/>
        <v>0.50038400284391671</v>
      </c>
      <c r="CB151" s="1">
        <f t="shared" ca="1" si="170"/>
        <v>287</v>
      </c>
      <c r="CC151" s="1">
        <f t="shared" ca="1" si="171"/>
        <v>7</v>
      </c>
      <c r="CD151" s="1">
        <f t="shared" ca="1" si="172"/>
        <v>0.18511027015926276</v>
      </c>
      <c r="CE151" s="1">
        <f t="shared" ca="1" si="173"/>
        <v>0.82093412654746456</v>
      </c>
      <c r="CF151" s="1">
        <f t="shared" ca="1" si="173"/>
        <v>0.54295530375958034</v>
      </c>
      <c r="CH151" s="3">
        <f t="shared" ca="1" si="174"/>
        <v>0.88391120293388059</v>
      </c>
      <c r="CI151" s="3">
        <f t="shared" ca="1" si="175"/>
        <v>5.2758318505965948E-2</v>
      </c>
      <c r="CJ151" s="3">
        <f t="shared" ca="1" si="176"/>
        <v>1114</v>
      </c>
      <c r="CK151" s="3">
        <f t="shared" ca="1" si="177"/>
        <v>2.3284830523411198E-3</v>
      </c>
      <c r="CL151" s="3">
        <f t="shared" ca="1" si="178"/>
        <v>0</v>
      </c>
      <c r="CM151" s="3"/>
      <c r="CN151" s="1">
        <f t="shared" ca="1" si="179"/>
        <v>14.769779047299053</v>
      </c>
      <c r="CO151" s="1">
        <f t="shared" ca="1" si="180"/>
        <v>0.29311483327450688</v>
      </c>
      <c r="CP151" s="1">
        <f t="shared" ca="1" si="181"/>
        <v>3</v>
      </c>
      <c r="DH151" s="1">
        <f t="shared" ca="1" si="182"/>
        <v>678</v>
      </c>
      <c r="DI151" s="1">
        <f t="shared" ca="1" si="183"/>
        <v>0.60552454233204389</v>
      </c>
      <c r="DJ151" s="1">
        <f t="shared" ca="1" si="184"/>
        <v>18</v>
      </c>
      <c r="DL151" s="1">
        <f t="shared" ca="1" si="185"/>
        <v>7.3234420869539435E-2</v>
      </c>
      <c r="DM151" s="1">
        <f t="shared" ca="1" si="186"/>
        <v>59</v>
      </c>
      <c r="DN151" s="1">
        <f t="shared" ca="1" si="187"/>
        <v>10</v>
      </c>
    </row>
    <row r="152" spans="2:118" x14ac:dyDescent="0.25">
      <c r="B152">
        <f t="shared" ca="1" si="126"/>
        <v>54</v>
      </c>
      <c r="C152">
        <f t="shared" ca="1" si="127"/>
        <v>39</v>
      </c>
      <c r="D152">
        <f t="shared" ca="1" si="128"/>
        <v>0.16992065291942998</v>
      </c>
      <c r="F152" s="1">
        <f t="shared" ca="1" si="129"/>
        <v>33</v>
      </c>
      <c r="G152" s="1">
        <f t="shared" ca="1" si="130"/>
        <v>30</v>
      </c>
      <c r="H152" s="1">
        <f t="shared" ca="1" si="131"/>
        <v>9</v>
      </c>
      <c r="I152" s="1"/>
      <c r="J152" s="1">
        <f t="shared" ca="1" si="132"/>
        <v>1</v>
      </c>
      <c r="K152" s="1">
        <f t="shared" ca="1" si="133"/>
        <v>2.9156976088677529</v>
      </c>
      <c r="L152" s="1">
        <f t="shared" ca="1" si="134"/>
        <v>26</v>
      </c>
      <c r="M152" s="1"/>
      <c r="N152" s="1">
        <f t="shared" ca="1" si="135"/>
        <v>814</v>
      </c>
      <c r="O152" s="1">
        <f t="shared" ca="1" si="136"/>
        <v>38</v>
      </c>
      <c r="P152" s="1"/>
      <c r="Q152" s="1">
        <f t="shared" ca="1" si="137"/>
        <v>4.0793656190386818</v>
      </c>
      <c r="R152" s="1">
        <f t="shared" ca="1" si="138"/>
        <v>287</v>
      </c>
      <c r="S152" s="1"/>
      <c r="T152" s="1">
        <f t="shared" ca="1" si="139"/>
        <v>0.15319801915259135</v>
      </c>
      <c r="U152" s="1">
        <f t="shared" ca="1" si="140"/>
        <v>378</v>
      </c>
      <c r="V152" s="1">
        <f t="shared" ca="1" si="141"/>
        <v>30</v>
      </c>
      <c r="W152" s="1"/>
      <c r="X152" s="1">
        <f t="shared" ca="1" si="142"/>
        <v>2.1776004443708281</v>
      </c>
      <c r="Y152" s="1">
        <f t="shared" ca="1" si="143"/>
        <v>0.39677359013251096</v>
      </c>
      <c r="Z152" s="1">
        <f t="shared" ca="1" si="144"/>
        <v>290</v>
      </c>
      <c r="AB152" s="1">
        <f t="shared" ca="1" si="145"/>
        <v>0.6294406802144481</v>
      </c>
      <c r="AC152" s="1">
        <f t="shared" ca="1" si="146"/>
        <v>905</v>
      </c>
      <c r="AD152" s="1">
        <f t="shared" ca="1" si="147"/>
        <v>2.396506764902146E-3</v>
      </c>
      <c r="AE152" s="1"/>
      <c r="AF152" s="1">
        <f t="shared" ca="1" si="148"/>
        <v>0.34831663882481695</v>
      </c>
      <c r="AG152" s="1">
        <f t="shared" ca="1" si="149"/>
        <v>215</v>
      </c>
      <c r="AH152" s="1">
        <f t="shared" ca="1" si="150"/>
        <v>6.6538496895938619E-3</v>
      </c>
      <c r="AJ152" s="1">
        <f t="shared" ca="1" si="151"/>
        <v>3.2557720198056916E-2</v>
      </c>
      <c r="AK152" s="1">
        <f t="shared" ca="1" si="152"/>
        <v>7.4717559910977907E-3</v>
      </c>
      <c r="AL152" s="1"/>
      <c r="AM152" s="1">
        <f t="shared" ca="1" si="153"/>
        <v>0.10772824131435121</v>
      </c>
      <c r="AN152" s="1">
        <f t="shared" ca="1" si="154"/>
        <v>46</v>
      </c>
      <c r="AO152" s="1">
        <f t="shared" ca="1" si="155"/>
        <v>2</v>
      </c>
      <c r="AQ152" s="1">
        <f t="shared" ca="1" si="156"/>
        <v>179</v>
      </c>
      <c r="AR152" s="1">
        <f t="shared" ca="1" si="157"/>
        <v>9</v>
      </c>
      <c r="AS152" s="1">
        <f t="shared" ca="1" si="158"/>
        <v>82</v>
      </c>
      <c r="AU152" s="1">
        <f t="shared" ca="1" si="159"/>
        <v>62</v>
      </c>
      <c r="AV152" s="1">
        <f t="shared" ca="1" si="160"/>
        <v>6</v>
      </c>
      <c r="AW152" s="1">
        <f t="shared" ca="1" si="161"/>
        <v>0.14239278545636627</v>
      </c>
      <c r="AY152" s="1">
        <f t="shared" ca="1" si="162"/>
        <v>1.897624546635114</v>
      </c>
      <c r="AZ152" s="1">
        <f t="shared" ca="1" si="163"/>
        <v>170</v>
      </c>
      <c r="BA152" s="1">
        <f t="shared" ca="1" si="164"/>
        <v>5.4854028894737216E-3</v>
      </c>
      <c r="BV152" s="1">
        <f t="shared" ca="1" si="165"/>
        <v>0.63049206982584205</v>
      </c>
      <c r="BW152" s="1">
        <f t="shared" ca="1" si="166"/>
        <v>787</v>
      </c>
      <c r="BX152" s="1">
        <f t="shared" ca="1" si="167"/>
        <v>6.1005383213308586E-3</v>
      </c>
      <c r="BY152" s="1">
        <f t="shared" ca="1" si="168"/>
        <v>8.4190997026215325E-2</v>
      </c>
      <c r="BZ152" s="1">
        <f t="shared" ca="1" si="169"/>
        <v>2.9059969181372103E-2</v>
      </c>
      <c r="CB152" s="1">
        <f t="shared" ca="1" si="170"/>
        <v>74</v>
      </c>
      <c r="CC152" s="1">
        <f t="shared" ca="1" si="171"/>
        <v>10</v>
      </c>
      <c r="CD152" s="1">
        <f t="shared" ca="1" si="172"/>
        <v>0.2183099156724288</v>
      </c>
      <c r="CE152" s="1">
        <f t="shared" ca="1" si="173"/>
        <v>0.94173303580299894</v>
      </c>
      <c r="CF152" s="1">
        <f t="shared" ca="1" si="173"/>
        <v>0.99224583591915594</v>
      </c>
      <c r="CH152" s="3">
        <f t="shared" ca="1" si="174"/>
        <v>0.10064347310124785</v>
      </c>
      <c r="CI152" s="3">
        <f t="shared" ca="1" si="175"/>
        <v>0.92443085318953999</v>
      </c>
      <c r="CJ152" s="3">
        <f t="shared" ca="1" si="176"/>
        <v>434</v>
      </c>
      <c r="CK152" s="3">
        <f t="shared" ca="1" si="177"/>
        <v>5.9242237403872371E-5</v>
      </c>
      <c r="CL152" s="3">
        <f t="shared" ca="1" si="178"/>
        <v>1</v>
      </c>
      <c r="CM152" s="3"/>
      <c r="CN152" s="1">
        <f t="shared" ca="1" si="179"/>
        <v>11.357777253628411</v>
      </c>
      <c r="CO152" s="1">
        <f t="shared" ca="1" si="180"/>
        <v>0.19925112013235061</v>
      </c>
      <c r="CP152" s="1">
        <f t="shared" ca="1" si="181"/>
        <v>2</v>
      </c>
      <c r="DH152" s="1">
        <f t="shared" ca="1" si="182"/>
        <v>403</v>
      </c>
      <c r="DI152" s="1">
        <f t="shared" ca="1" si="183"/>
        <v>0.56489126874238327</v>
      </c>
      <c r="DJ152" s="1">
        <f t="shared" ca="1" si="184"/>
        <v>21</v>
      </c>
      <c r="DL152" s="1">
        <f t="shared" ca="1" si="185"/>
        <v>7.3625155308872106E-2</v>
      </c>
      <c r="DM152" s="1">
        <f t="shared" ca="1" si="186"/>
        <v>90</v>
      </c>
      <c r="DN152" s="1">
        <f t="shared" ca="1" si="187"/>
        <v>9</v>
      </c>
    </row>
    <row r="153" spans="2:118" x14ac:dyDescent="0.25">
      <c r="B153">
        <f t="shared" ca="1" si="126"/>
        <v>110</v>
      </c>
      <c r="C153">
        <f t="shared" ca="1" si="127"/>
        <v>16</v>
      </c>
      <c r="D153">
        <f t="shared" ca="1" si="128"/>
        <v>0.10962730938057393</v>
      </c>
      <c r="F153" s="1">
        <f t="shared" ca="1" si="129"/>
        <v>43</v>
      </c>
      <c r="G153" s="1">
        <f t="shared" ca="1" si="130"/>
        <v>11</v>
      </c>
      <c r="H153" s="1">
        <f t="shared" ca="1" si="131"/>
        <v>9</v>
      </c>
      <c r="I153" s="1"/>
      <c r="J153" s="1">
        <f t="shared" ca="1" si="132"/>
        <v>22</v>
      </c>
      <c r="K153" s="1">
        <f t="shared" ca="1" si="133"/>
        <v>1.2863059473755252</v>
      </c>
      <c r="L153" s="1">
        <f t="shared" ca="1" si="134"/>
        <v>22</v>
      </c>
      <c r="M153" s="1"/>
      <c r="N153" s="1">
        <f t="shared" ca="1" si="135"/>
        <v>377</v>
      </c>
      <c r="O153" s="1">
        <f t="shared" ca="1" si="136"/>
        <v>3</v>
      </c>
      <c r="P153" s="1"/>
      <c r="Q153" s="1">
        <f t="shared" ca="1" si="137"/>
        <v>3.1547671348576682</v>
      </c>
      <c r="R153" s="1">
        <f t="shared" ca="1" si="138"/>
        <v>857</v>
      </c>
      <c r="S153" s="1"/>
      <c r="T153" s="1">
        <f t="shared" ca="1" si="139"/>
        <v>1.2826398691993285E-2</v>
      </c>
      <c r="U153" s="1">
        <f t="shared" ca="1" si="140"/>
        <v>405</v>
      </c>
      <c r="V153" s="1">
        <f t="shared" ca="1" si="141"/>
        <v>41</v>
      </c>
      <c r="W153" s="1"/>
      <c r="X153" s="1">
        <f t="shared" ca="1" si="142"/>
        <v>9.3679233718815507</v>
      </c>
      <c r="Y153" s="1">
        <f t="shared" ca="1" si="143"/>
        <v>1.4364898579585922E-2</v>
      </c>
      <c r="Z153" s="1">
        <f t="shared" ca="1" si="144"/>
        <v>755</v>
      </c>
      <c r="AB153" s="1">
        <f t="shared" ca="1" si="145"/>
        <v>0.84742834826557489</v>
      </c>
      <c r="AC153" s="1">
        <f t="shared" ca="1" si="146"/>
        <v>961</v>
      </c>
      <c r="AD153" s="1">
        <f t="shared" ca="1" si="147"/>
        <v>5.1753266131198041E-3</v>
      </c>
      <c r="AE153" s="1"/>
      <c r="AF153" s="1">
        <f t="shared" ca="1" si="148"/>
        <v>0.3956475765224543</v>
      </c>
      <c r="AG153" s="1">
        <f t="shared" ca="1" si="149"/>
        <v>497</v>
      </c>
      <c r="AH153" s="1">
        <f t="shared" ca="1" si="150"/>
        <v>3.2080231068765228E-3</v>
      </c>
      <c r="AJ153" s="1">
        <f t="shared" ca="1" si="151"/>
        <v>0.8326747632724949</v>
      </c>
      <c r="AK153" s="1">
        <f t="shared" ca="1" si="152"/>
        <v>2.2544795411130344E-3</v>
      </c>
      <c r="AL153" s="1"/>
      <c r="AM153" s="1">
        <f t="shared" ca="1" si="153"/>
        <v>5.7848815600993829E-2</v>
      </c>
      <c r="AN153" s="1">
        <f t="shared" ca="1" si="154"/>
        <v>18</v>
      </c>
      <c r="AO153" s="1">
        <f t="shared" ca="1" si="155"/>
        <v>-1</v>
      </c>
      <c r="AQ153" s="1">
        <f t="shared" ca="1" si="156"/>
        <v>76</v>
      </c>
      <c r="AR153" s="1">
        <f t="shared" ca="1" si="157"/>
        <v>8</v>
      </c>
      <c r="AS153" s="1">
        <f t="shared" ca="1" si="158"/>
        <v>96</v>
      </c>
      <c r="AU153" s="1">
        <f t="shared" ca="1" si="159"/>
        <v>370</v>
      </c>
      <c r="AV153" s="1">
        <f t="shared" ca="1" si="160"/>
        <v>6</v>
      </c>
      <c r="AW153" s="1">
        <f t="shared" ca="1" si="161"/>
        <v>0.18758906588948238</v>
      </c>
      <c r="AY153" s="1">
        <f t="shared" ca="1" si="162"/>
        <v>1.7084646856897856</v>
      </c>
      <c r="AZ153" s="1">
        <f t="shared" ca="1" si="163"/>
        <v>219</v>
      </c>
      <c r="BA153" s="1">
        <f t="shared" ca="1" si="164"/>
        <v>4.0009871397871473E-3</v>
      </c>
      <c r="BV153" s="1">
        <f t="shared" ca="1" si="165"/>
        <v>0.33212265911340083</v>
      </c>
      <c r="BW153" s="1">
        <f t="shared" ca="1" si="166"/>
        <v>274</v>
      </c>
      <c r="BX153" s="1">
        <f t="shared" ca="1" si="167"/>
        <v>5.2723164163955517E-3</v>
      </c>
      <c r="BY153" s="1">
        <f t="shared" ca="1" si="168"/>
        <v>4.6424121029160513E-2</v>
      </c>
      <c r="BZ153" s="1">
        <f t="shared" ca="1" si="169"/>
        <v>0.53206666346427633</v>
      </c>
      <c r="CB153" s="1">
        <f t="shared" ca="1" si="170"/>
        <v>299</v>
      </c>
      <c r="CC153" s="1">
        <f t="shared" ca="1" si="171"/>
        <v>4</v>
      </c>
      <c r="CD153" s="1">
        <f t="shared" ca="1" si="172"/>
        <v>5.6158762199219836E-2</v>
      </c>
      <c r="CE153" s="1">
        <f t="shared" ca="1" si="173"/>
        <v>0.7539072937947493</v>
      </c>
      <c r="CF153" s="1">
        <f t="shared" ca="1" si="173"/>
        <v>0.59037483552376202</v>
      </c>
      <c r="CH153" s="3">
        <f t="shared" ca="1" si="174"/>
        <v>0.90343954251276792</v>
      </c>
      <c r="CI153" s="3">
        <f t="shared" ca="1" si="175"/>
        <v>0.49639934116848916</v>
      </c>
      <c r="CJ153" s="3">
        <f t="shared" ca="1" si="176"/>
        <v>1605</v>
      </c>
      <c r="CK153" s="3">
        <f t="shared" ca="1" si="177"/>
        <v>2.7511495564800331E-5</v>
      </c>
      <c r="CL153" s="3">
        <f t="shared" ca="1" si="178"/>
        <v>0</v>
      </c>
      <c r="CM153" s="3"/>
      <c r="CN153" s="1">
        <f t="shared" ca="1" si="179"/>
        <v>3.2839170562343813</v>
      </c>
      <c r="CO153" s="1">
        <f t="shared" ca="1" si="180"/>
        <v>3.3515489126793772E-2</v>
      </c>
      <c r="CP153" s="1">
        <f t="shared" ca="1" si="181"/>
        <v>3</v>
      </c>
      <c r="DH153" s="1">
        <f t="shared" ca="1" si="182"/>
        <v>157</v>
      </c>
      <c r="DI153" s="1">
        <f t="shared" ca="1" si="183"/>
        <v>0.98935440466579083</v>
      </c>
      <c r="DJ153" s="1">
        <f t="shared" ca="1" si="184"/>
        <v>15</v>
      </c>
      <c r="DL153" s="1">
        <f t="shared" ca="1" si="185"/>
        <v>0.11197690960076458</v>
      </c>
      <c r="DM153" s="1">
        <f t="shared" ca="1" si="186"/>
        <v>266</v>
      </c>
      <c r="DN153" s="1">
        <f t="shared" ca="1" si="187"/>
        <v>6</v>
      </c>
    </row>
    <row r="154" spans="2:118" x14ac:dyDescent="0.25">
      <c r="B154">
        <f t="shared" ca="1" si="126"/>
        <v>147</v>
      </c>
      <c r="C154">
        <f t="shared" ca="1" si="127"/>
        <v>48</v>
      </c>
      <c r="D154">
        <f t="shared" ca="1" si="128"/>
        <v>3.9748023289799768E-2</v>
      </c>
      <c r="F154" s="1">
        <f t="shared" ca="1" si="129"/>
        <v>11</v>
      </c>
      <c r="G154" s="1">
        <f t="shared" ca="1" si="130"/>
        <v>14</v>
      </c>
      <c r="H154" s="1">
        <f t="shared" ca="1" si="131"/>
        <v>10</v>
      </c>
      <c r="I154" s="1"/>
      <c r="J154" s="1">
        <f t="shared" ca="1" si="132"/>
        <v>33</v>
      </c>
      <c r="K154" s="1">
        <f t="shared" ca="1" si="133"/>
        <v>2.8693928388408541</v>
      </c>
      <c r="L154" s="1">
        <f t="shared" ca="1" si="134"/>
        <v>8</v>
      </c>
      <c r="M154" s="1"/>
      <c r="N154" s="1">
        <f t="shared" ca="1" si="135"/>
        <v>357</v>
      </c>
      <c r="O154" s="1">
        <f t="shared" ca="1" si="136"/>
        <v>14</v>
      </c>
      <c r="P154" s="1"/>
      <c r="Q154" s="1">
        <f t="shared" ca="1" si="137"/>
        <v>4.4117946161334789</v>
      </c>
      <c r="R154" s="1">
        <f t="shared" ca="1" si="138"/>
        <v>373</v>
      </c>
      <c r="S154" s="1"/>
      <c r="T154" s="1">
        <f t="shared" ca="1" si="139"/>
        <v>0.17465890795784317</v>
      </c>
      <c r="U154" s="1">
        <f t="shared" ca="1" si="140"/>
        <v>347</v>
      </c>
      <c r="V154" s="1">
        <f t="shared" ca="1" si="141"/>
        <v>13</v>
      </c>
      <c r="W154" s="1"/>
      <c r="X154" s="1">
        <f t="shared" ca="1" si="142"/>
        <v>5.338793613095743</v>
      </c>
      <c r="Y154" s="1">
        <f t="shared" ca="1" si="143"/>
        <v>0.56467740286417301</v>
      </c>
      <c r="Z154" s="1">
        <f t="shared" ca="1" si="144"/>
        <v>1585</v>
      </c>
      <c r="AB154" s="1">
        <f t="shared" ca="1" si="145"/>
        <v>0.76561178670960583</v>
      </c>
      <c r="AC154" s="1">
        <f t="shared" ca="1" si="146"/>
        <v>942</v>
      </c>
      <c r="AD154" s="1">
        <f t="shared" ca="1" si="147"/>
        <v>6.8772149231763439E-3</v>
      </c>
      <c r="AE154" s="1"/>
      <c r="AF154" s="1">
        <f t="shared" ca="1" si="148"/>
        <v>0.89872475516086492</v>
      </c>
      <c r="AG154" s="1">
        <f t="shared" ca="1" si="149"/>
        <v>540</v>
      </c>
      <c r="AH154" s="1">
        <f t="shared" ca="1" si="150"/>
        <v>1.5132145380560751E-3</v>
      </c>
      <c r="AJ154" s="1">
        <f t="shared" ca="1" si="151"/>
        <v>0.92352668271522986</v>
      </c>
      <c r="AK154" s="1">
        <f t="shared" ca="1" si="152"/>
        <v>3.0161299123069025E-3</v>
      </c>
      <c r="AL154" s="1"/>
      <c r="AM154" s="1">
        <f t="shared" ca="1" si="153"/>
        <v>4.9950349408672663E-2</v>
      </c>
      <c r="AN154" s="1">
        <f t="shared" ca="1" si="154"/>
        <v>42</v>
      </c>
      <c r="AO154" s="1">
        <f t="shared" ca="1" si="155"/>
        <v>11</v>
      </c>
      <c r="AQ154" s="1">
        <f t="shared" ca="1" si="156"/>
        <v>115</v>
      </c>
      <c r="AR154" s="1">
        <f t="shared" ca="1" si="157"/>
        <v>9</v>
      </c>
      <c r="AS154" s="1">
        <f t="shared" ca="1" si="158"/>
        <v>1</v>
      </c>
      <c r="AU154" s="1">
        <f t="shared" ca="1" si="159"/>
        <v>196</v>
      </c>
      <c r="AV154" s="1">
        <f t="shared" ca="1" si="160"/>
        <v>7</v>
      </c>
      <c r="AW154" s="1">
        <f t="shared" ca="1" si="161"/>
        <v>0.143695714763133</v>
      </c>
      <c r="AY154" s="1">
        <f t="shared" ca="1" si="162"/>
        <v>1.3277693834846627</v>
      </c>
      <c r="AZ154" s="1">
        <f t="shared" ca="1" si="163"/>
        <v>123</v>
      </c>
      <c r="BA154" s="1">
        <f t="shared" ca="1" si="164"/>
        <v>9.8005361440460376E-3</v>
      </c>
      <c r="BV154" s="1">
        <f t="shared" ca="1" si="165"/>
        <v>0.60071487592390738</v>
      </c>
      <c r="BW154" s="1">
        <f t="shared" ca="1" si="166"/>
        <v>232</v>
      </c>
      <c r="BX154" s="1">
        <f t="shared" ca="1" si="167"/>
        <v>8.9658030611335115E-4</v>
      </c>
      <c r="BY154" s="1">
        <f t="shared" ca="1" si="168"/>
        <v>7.4810923036836896E-2</v>
      </c>
      <c r="BZ154" s="1">
        <f t="shared" ca="1" si="169"/>
        <v>0.11750210680704165</v>
      </c>
      <c r="CB154" s="1">
        <f t="shared" ca="1" si="170"/>
        <v>344</v>
      </c>
      <c r="CC154" s="1">
        <f t="shared" ca="1" si="171"/>
        <v>8</v>
      </c>
      <c r="CD154" s="1">
        <f t="shared" ca="1" si="172"/>
        <v>0.21669562909171228</v>
      </c>
      <c r="CE154" s="1">
        <f t="shared" ca="1" si="173"/>
        <v>0.69878660950274007</v>
      </c>
      <c r="CF154" s="1">
        <f t="shared" ca="1" si="173"/>
        <v>0.52812807157291974</v>
      </c>
      <c r="CH154" s="3">
        <f t="shared" ca="1" si="174"/>
        <v>9.9625606547005932E-2</v>
      </c>
      <c r="CI154" s="3">
        <f t="shared" ca="1" si="175"/>
        <v>0.76507614198536256</v>
      </c>
      <c r="CJ154" s="3">
        <f t="shared" ca="1" si="176"/>
        <v>1252</v>
      </c>
      <c r="CK154" s="3">
        <f t="shared" ca="1" si="177"/>
        <v>3.3651172548282518E-3</v>
      </c>
      <c r="CL154" s="3">
        <f t="shared" ca="1" si="178"/>
        <v>1</v>
      </c>
      <c r="CM154" s="3"/>
      <c r="CN154" s="1">
        <f t="shared" ca="1" si="179"/>
        <v>19.670108987155864</v>
      </c>
      <c r="CO154" s="1">
        <f t="shared" ca="1" si="180"/>
        <v>0.23901246817066471</v>
      </c>
      <c r="CP154" s="1">
        <f t="shared" ca="1" si="181"/>
        <v>1</v>
      </c>
      <c r="DH154" s="1">
        <f t="shared" ca="1" si="182"/>
        <v>527</v>
      </c>
      <c r="DI154" s="1">
        <f t="shared" ca="1" si="183"/>
        <v>0.37877493292755088</v>
      </c>
      <c r="DJ154" s="1">
        <f t="shared" ca="1" si="184"/>
        <v>22</v>
      </c>
      <c r="DL154" s="1">
        <f t="shared" ca="1" si="185"/>
        <v>3.8596677460902271E-2</v>
      </c>
      <c r="DM154" s="1">
        <f t="shared" ca="1" si="186"/>
        <v>214</v>
      </c>
      <c r="DN154" s="1">
        <f t="shared" ca="1" si="187"/>
        <v>7</v>
      </c>
    </row>
    <row r="155" spans="2:118" x14ac:dyDescent="0.25">
      <c r="B155">
        <f t="shared" ca="1" si="126"/>
        <v>332</v>
      </c>
      <c r="C155">
        <f t="shared" ca="1" si="127"/>
        <v>43</v>
      </c>
      <c r="D155">
        <f t="shared" ca="1" si="128"/>
        <v>0.15573055338444464</v>
      </c>
      <c r="F155" s="1">
        <f t="shared" ca="1" si="129"/>
        <v>12</v>
      </c>
      <c r="G155" s="1">
        <f t="shared" ca="1" si="130"/>
        <v>6</v>
      </c>
      <c r="H155" s="1">
        <f t="shared" ca="1" si="131"/>
        <v>2</v>
      </c>
      <c r="I155" s="1"/>
      <c r="J155" s="1">
        <f t="shared" ca="1" si="132"/>
        <v>11</v>
      </c>
      <c r="K155" s="1">
        <f t="shared" ca="1" si="133"/>
        <v>1.2882011250469163</v>
      </c>
      <c r="L155" s="1">
        <f t="shared" ca="1" si="134"/>
        <v>19</v>
      </c>
      <c r="M155" s="1"/>
      <c r="N155" s="1">
        <f t="shared" ca="1" si="135"/>
        <v>827</v>
      </c>
      <c r="O155" s="1">
        <f t="shared" ca="1" si="136"/>
        <v>10</v>
      </c>
      <c r="P155" s="1"/>
      <c r="Q155" s="1">
        <f t="shared" ca="1" si="137"/>
        <v>2.596011544439536</v>
      </c>
      <c r="R155" s="1">
        <f t="shared" ca="1" si="138"/>
        <v>700</v>
      </c>
      <c r="S155" s="1"/>
      <c r="T155" s="1">
        <f t="shared" ca="1" si="139"/>
        <v>0.19477093334127449</v>
      </c>
      <c r="U155" s="1">
        <f t="shared" ca="1" si="140"/>
        <v>444</v>
      </c>
      <c r="V155" s="1">
        <f t="shared" ca="1" si="141"/>
        <v>45</v>
      </c>
      <c r="W155" s="1"/>
      <c r="X155" s="1">
        <f t="shared" ca="1" si="142"/>
        <v>7.6191646661681114</v>
      </c>
      <c r="Y155" s="1">
        <f t="shared" ca="1" si="143"/>
        <v>0.72307127435090479</v>
      </c>
      <c r="Z155" s="1">
        <f t="shared" ca="1" si="144"/>
        <v>1516</v>
      </c>
      <c r="AB155" s="1">
        <f t="shared" ca="1" si="145"/>
        <v>0.58485711674356133</v>
      </c>
      <c r="AC155" s="1">
        <f t="shared" ca="1" si="146"/>
        <v>480</v>
      </c>
      <c r="AD155" s="1">
        <f t="shared" ca="1" si="147"/>
        <v>7.4099264863203944E-3</v>
      </c>
      <c r="AE155" s="1"/>
      <c r="AF155" s="1">
        <f t="shared" ca="1" si="148"/>
        <v>0.55109246023050973</v>
      </c>
      <c r="AG155" s="1">
        <f t="shared" ca="1" si="149"/>
        <v>388</v>
      </c>
      <c r="AH155" s="1">
        <f t="shared" ca="1" si="150"/>
        <v>3.7176114502474821E-3</v>
      </c>
      <c r="AJ155" s="1">
        <f t="shared" ca="1" si="151"/>
        <v>0.18828498731667442</v>
      </c>
      <c r="AK155" s="1">
        <f t="shared" ca="1" si="152"/>
        <v>9.1084498932545842E-3</v>
      </c>
      <c r="AL155" s="1"/>
      <c r="AM155" s="1">
        <f t="shared" ca="1" si="153"/>
        <v>9.0869639129779606E-2</v>
      </c>
      <c r="AN155" s="1">
        <f t="shared" ca="1" si="154"/>
        <v>17</v>
      </c>
      <c r="AO155" s="1">
        <f t="shared" ca="1" si="155"/>
        <v>4</v>
      </c>
      <c r="AQ155" s="1">
        <f t="shared" ca="1" si="156"/>
        <v>96</v>
      </c>
      <c r="AR155" s="1">
        <f t="shared" ca="1" si="157"/>
        <v>1</v>
      </c>
      <c r="AS155" s="1">
        <f t="shared" ca="1" si="158"/>
        <v>51</v>
      </c>
      <c r="AU155" s="1">
        <f t="shared" ca="1" si="159"/>
        <v>235</v>
      </c>
      <c r="AV155" s="1">
        <f t="shared" ca="1" si="160"/>
        <v>6</v>
      </c>
      <c r="AW155" s="1">
        <f t="shared" ca="1" si="161"/>
        <v>8.6171866233865135E-2</v>
      </c>
      <c r="AY155" s="1">
        <f t="shared" ca="1" si="162"/>
        <v>1.7951244897490999</v>
      </c>
      <c r="AZ155" s="1">
        <f t="shared" ca="1" si="163"/>
        <v>230</v>
      </c>
      <c r="BA155" s="1">
        <f t="shared" ca="1" si="164"/>
        <v>1.4318186553718794E-3</v>
      </c>
      <c r="BV155" s="1">
        <f t="shared" ca="1" si="165"/>
        <v>0.44917377705050282</v>
      </c>
      <c r="BW155" s="1">
        <f t="shared" ca="1" si="166"/>
        <v>462</v>
      </c>
      <c r="BX155" s="1">
        <f t="shared" ca="1" si="167"/>
        <v>6.4694227595912613E-3</v>
      </c>
      <c r="BY155" s="1">
        <f t="shared" ca="1" si="168"/>
        <v>3.8140325280072397E-3</v>
      </c>
      <c r="BZ155" s="1">
        <f t="shared" ca="1" si="169"/>
        <v>0.94251178673967551</v>
      </c>
      <c r="CB155" s="1">
        <f t="shared" ca="1" si="170"/>
        <v>288</v>
      </c>
      <c r="CC155" s="1">
        <f t="shared" ca="1" si="171"/>
        <v>11</v>
      </c>
      <c r="CD155" s="1">
        <f t="shared" ca="1" si="172"/>
        <v>1.3947286620402783E-2</v>
      </c>
      <c r="CE155" s="1">
        <f t="shared" ca="1" si="173"/>
        <v>0.53933519459214141</v>
      </c>
      <c r="CF155" s="1">
        <f t="shared" ca="1" si="173"/>
        <v>0.53718356217267782</v>
      </c>
      <c r="CH155" s="3">
        <f t="shared" ca="1" si="174"/>
        <v>0.78184330941714708</v>
      </c>
      <c r="CI155" s="3">
        <f t="shared" ca="1" si="175"/>
        <v>0.56531233246947366</v>
      </c>
      <c r="CJ155" s="3">
        <f t="shared" ca="1" si="176"/>
        <v>1381</v>
      </c>
      <c r="CK155" s="3">
        <f t="shared" ca="1" si="177"/>
        <v>3.2802910645812629E-3</v>
      </c>
      <c r="CL155" s="3">
        <f t="shared" ca="1" si="178"/>
        <v>0</v>
      </c>
      <c r="CM155" s="3"/>
      <c r="CN155" s="1">
        <f t="shared" ca="1" si="179"/>
        <v>10.984772772078339</v>
      </c>
      <c r="CO155" s="1">
        <f t="shared" ca="1" si="180"/>
        <v>0.15693406006614105</v>
      </c>
      <c r="CP155" s="1">
        <f t="shared" ca="1" si="181"/>
        <v>4</v>
      </c>
      <c r="DH155" s="1">
        <f t="shared" ca="1" si="182"/>
        <v>328</v>
      </c>
      <c r="DI155" s="1">
        <f t="shared" ca="1" si="183"/>
        <v>0.93468231592429118</v>
      </c>
      <c r="DJ155" s="1">
        <f t="shared" ca="1" si="184"/>
        <v>7</v>
      </c>
      <c r="DL155" s="1">
        <f t="shared" ca="1" si="185"/>
        <v>0.12831194706813123</v>
      </c>
      <c r="DM155" s="1">
        <f t="shared" ca="1" si="186"/>
        <v>84</v>
      </c>
      <c r="DN155" s="1">
        <f t="shared" ca="1" si="187"/>
        <v>1</v>
      </c>
    </row>
    <row r="156" spans="2:118" x14ac:dyDescent="0.25">
      <c r="B156">
        <f t="shared" ca="1" si="126"/>
        <v>792</v>
      </c>
      <c r="C156">
        <f t="shared" ca="1" si="127"/>
        <v>2</v>
      </c>
      <c r="D156">
        <f t="shared" ca="1" si="128"/>
        <v>0.13662261296867731</v>
      </c>
      <c r="F156" s="1">
        <f t="shared" ca="1" si="129"/>
        <v>23</v>
      </c>
      <c r="G156" s="1">
        <f t="shared" ca="1" si="130"/>
        <v>24</v>
      </c>
      <c r="H156" s="1">
        <f t="shared" ca="1" si="131"/>
        <v>11</v>
      </c>
      <c r="I156" s="1"/>
      <c r="J156" s="1">
        <f t="shared" ca="1" si="132"/>
        <v>14</v>
      </c>
      <c r="K156" s="1">
        <f t="shared" ca="1" si="133"/>
        <v>2.3445385638059948</v>
      </c>
      <c r="L156" s="1">
        <f t="shared" ca="1" si="134"/>
        <v>16</v>
      </c>
      <c r="M156" s="1"/>
      <c r="N156" s="1">
        <f t="shared" ca="1" si="135"/>
        <v>951</v>
      </c>
      <c r="O156" s="1">
        <f t="shared" ca="1" si="136"/>
        <v>24</v>
      </c>
      <c r="P156" s="1"/>
      <c r="Q156" s="1">
        <f t="shared" ca="1" si="137"/>
        <v>1.2838280772508666</v>
      </c>
      <c r="R156" s="1">
        <f t="shared" ca="1" si="138"/>
        <v>768</v>
      </c>
      <c r="S156" s="1"/>
      <c r="T156" s="1">
        <f t="shared" ca="1" si="139"/>
        <v>0.12089094581129986</v>
      </c>
      <c r="U156" s="1">
        <f t="shared" ca="1" si="140"/>
        <v>370</v>
      </c>
      <c r="V156" s="1">
        <f t="shared" ca="1" si="141"/>
        <v>26</v>
      </c>
      <c r="W156" s="1"/>
      <c r="X156" s="1">
        <f t="shared" ca="1" si="142"/>
        <v>3.1842971184999751</v>
      </c>
      <c r="Y156" s="1">
        <f t="shared" ca="1" si="143"/>
        <v>0.87127780454299542</v>
      </c>
      <c r="Z156" s="1">
        <f t="shared" ca="1" si="144"/>
        <v>582</v>
      </c>
      <c r="AB156" s="1">
        <f t="shared" ca="1" si="145"/>
        <v>0.72182737517074569</v>
      </c>
      <c r="AC156" s="1">
        <f t="shared" ca="1" si="146"/>
        <v>548</v>
      </c>
      <c r="AD156" s="1">
        <f t="shared" ca="1" si="147"/>
        <v>3.6580897369774333E-3</v>
      </c>
      <c r="AE156" s="1"/>
      <c r="AF156" s="1">
        <f t="shared" ca="1" si="148"/>
        <v>0.45158106518093744</v>
      </c>
      <c r="AG156" s="1">
        <f t="shared" ca="1" si="149"/>
        <v>441</v>
      </c>
      <c r="AH156" s="1">
        <f t="shared" ca="1" si="150"/>
        <v>2.3332710342792892E-4</v>
      </c>
      <c r="AJ156" s="1">
        <f t="shared" ca="1" si="151"/>
        <v>0.24697164125122095</v>
      </c>
      <c r="AK156" s="1">
        <f t="shared" ca="1" si="152"/>
        <v>3.7475484269492154E-3</v>
      </c>
      <c r="AL156" s="1"/>
      <c r="AM156" s="1">
        <f t="shared" ca="1" si="153"/>
        <v>2.0519497401109105E-2</v>
      </c>
      <c r="AN156" s="1">
        <f t="shared" ca="1" si="154"/>
        <v>63</v>
      </c>
      <c r="AO156" s="1">
        <f t="shared" ca="1" si="155"/>
        <v>9</v>
      </c>
      <c r="AQ156" s="1">
        <f t="shared" ca="1" si="156"/>
        <v>122</v>
      </c>
      <c r="AR156" s="1">
        <f t="shared" ca="1" si="157"/>
        <v>6</v>
      </c>
      <c r="AS156" s="1">
        <f t="shared" ca="1" si="158"/>
        <v>13</v>
      </c>
      <c r="AU156" s="1">
        <f t="shared" ca="1" si="159"/>
        <v>170</v>
      </c>
      <c r="AV156" s="1">
        <f t="shared" ca="1" si="160"/>
        <v>3</v>
      </c>
      <c r="AW156" s="1">
        <f t="shared" ca="1" si="161"/>
        <v>5.8294180063452355E-2</v>
      </c>
      <c r="AY156" s="1">
        <f t="shared" ca="1" si="162"/>
        <v>1.2045458888474736</v>
      </c>
      <c r="AZ156" s="1">
        <f t="shared" ca="1" si="163"/>
        <v>366</v>
      </c>
      <c r="BA156" s="1">
        <f t="shared" ca="1" si="164"/>
        <v>2.4305295855858822E-3</v>
      </c>
      <c r="BV156" s="1">
        <f t="shared" ca="1" si="165"/>
        <v>0.63868918313008483</v>
      </c>
      <c r="BW156" s="1">
        <f t="shared" ca="1" si="166"/>
        <v>299</v>
      </c>
      <c r="BX156" s="1">
        <f t="shared" ca="1" si="167"/>
        <v>9.3128745010291562E-3</v>
      </c>
      <c r="BY156" s="1">
        <f t="shared" ca="1" si="168"/>
        <v>7.5734030671443131E-2</v>
      </c>
      <c r="BZ156" s="1">
        <f t="shared" ca="1" si="169"/>
        <v>3.4000948920878127E-2</v>
      </c>
      <c r="CB156" s="1">
        <f t="shared" ca="1" si="170"/>
        <v>383</v>
      </c>
      <c r="CC156" s="1">
        <f t="shared" ca="1" si="171"/>
        <v>3</v>
      </c>
      <c r="CD156" s="1">
        <f t="shared" ca="1" si="172"/>
        <v>0.15548345462857033</v>
      </c>
      <c r="CE156" s="1">
        <f t="shared" ca="1" si="173"/>
        <v>0.6017578319576754</v>
      </c>
      <c r="CF156" s="1">
        <f t="shared" ca="1" si="173"/>
        <v>0.77448655271066069</v>
      </c>
      <c r="CH156" s="3">
        <f t="shared" ca="1" si="174"/>
        <v>0.39525322662726331</v>
      </c>
      <c r="CI156" s="3">
        <f t="shared" ca="1" si="175"/>
        <v>0.70893081500159605</v>
      </c>
      <c r="CJ156" s="3">
        <f t="shared" ca="1" si="176"/>
        <v>403</v>
      </c>
      <c r="CK156" s="3">
        <f t="shared" ca="1" si="177"/>
        <v>3.9761875529576527E-3</v>
      </c>
      <c r="CL156" s="3">
        <f t="shared" ca="1" si="178"/>
        <v>0</v>
      </c>
      <c r="CM156" s="3"/>
      <c r="CN156" s="1">
        <f t="shared" ca="1" si="179"/>
        <v>10.307503387196245</v>
      </c>
      <c r="CO156" s="1">
        <f t="shared" ca="1" si="180"/>
        <v>2.8907968240927832E-2</v>
      </c>
      <c r="CP156" s="1">
        <f t="shared" ca="1" si="181"/>
        <v>3</v>
      </c>
      <c r="DH156" s="1">
        <f t="shared" ca="1" si="182"/>
        <v>518</v>
      </c>
      <c r="DI156" s="1">
        <f t="shared" ca="1" si="183"/>
        <v>0.51692292653902838</v>
      </c>
      <c r="DJ156" s="1">
        <f t="shared" ca="1" si="184"/>
        <v>12</v>
      </c>
      <c r="DL156" s="1">
        <f t="shared" ca="1" si="185"/>
        <v>0.17399905868640608</v>
      </c>
      <c r="DM156" s="1">
        <f t="shared" ca="1" si="186"/>
        <v>117</v>
      </c>
      <c r="DN156" s="1">
        <f t="shared" ca="1" si="187"/>
        <v>6</v>
      </c>
    </row>
    <row r="157" spans="2:118" x14ac:dyDescent="0.25">
      <c r="B157">
        <f t="shared" ca="1" si="126"/>
        <v>97</v>
      </c>
      <c r="C157">
        <f t="shared" ca="1" si="127"/>
        <v>42</v>
      </c>
      <c r="D157">
        <f t="shared" ca="1" si="128"/>
        <v>0.19360548672411962</v>
      </c>
      <c r="F157" s="1">
        <f t="shared" ca="1" si="129"/>
        <v>50</v>
      </c>
      <c r="G157" s="1">
        <f t="shared" ca="1" si="130"/>
        <v>13</v>
      </c>
      <c r="H157" s="1">
        <f t="shared" ca="1" si="131"/>
        <v>5</v>
      </c>
      <c r="I157" s="1"/>
      <c r="J157" s="1">
        <f t="shared" ca="1" si="132"/>
        <v>38</v>
      </c>
      <c r="K157" s="1">
        <f t="shared" ca="1" si="133"/>
        <v>2.0420442870769344</v>
      </c>
      <c r="L157" s="1">
        <f t="shared" ca="1" si="134"/>
        <v>6</v>
      </c>
      <c r="M157" s="1"/>
      <c r="N157" s="1">
        <f t="shared" ca="1" si="135"/>
        <v>713</v>
      </c>
      <c r="O157" s="1">
        <f t="shared" ca="1" si="136"/>
        <v>23</v>
      </c>
      <c r="P157" s="1"/>
      <c r="Q157" s="1">
        <f t="shared" ca="1" si="137"/>
        <v>1.683830755289017</v>
      </c>
      <c r="R157" s="1">
        <f t="shared" ca="1" si="138"/>
        <v>724</v>
      </c>
      <c r="S157" s="1"/>
      <c r="T157" s="1">
        <f t="shared" ca="1" si="139"/>
        <v>0.11436985063690103</v>
      </c>
      <c r="U157" s="1">
        <f t="shared" ca="1" si="140"/>
        <v>206</v>
      </c>
      <c r="V157" s="1">
        <f t="shared" ca="1" si="141"/>
        <v>30</v>
      </c>
      <c r="W157" s="1"/>
      <c r="X157" s="1">
        <f t="shared" ca="1" si="142"/>
        <v>2.8468972582207397</v>
      </c>
      <c r="Y157" s="1">
        <f t="shared" ca="1" si="143"/>
        <v>0.83216682212653037</v>
      </c>
      <c r="Z157" s="1">
        <f t="shared" ca="1" si="144"/>
        <v>290</v>
      </c>
      <c r="AB157" s="1">
        <f t="shared" ca="1" si="145"/>
        <v>0.1092873997556785</v>
      </c>
      <c r="AC157" s="1">
        <f t="shared" ca="1" si="146"/>
        <v>632</v>
      </c>
      <c r="AD157" s="1">
        <f t="shared" ca="1" si="147"/>
        <v>9.9389112515826297E-3</v>
      </c>
      <c r="AE157" s="1"/>
      <c r="AF157" s="1">
        <f t="shared" ca="1" si="148"/>
        <v>0.76448900756380833</v>
      </c>
      <c r="AG157" s="1">
        <f t="shared" ca="1" si="149"/>
        <v>612</v>
      </c>
      <c r="AH157" s="1">
        <f t="shared" ca="1" si="150"/>
        <v>1.8165152428066462E-3</v>
      </c>
      <c r="AJ157" s="1">
        <f t="shared" ca="1" si="151"/>
        <v>0.85963606189048125</v>
      </c>
      <c r="AK157" s="1">
        <f t="shared" ca="1" si="152"/>
        <v>9.8556992030850929E-3</v>
      </c>
      <c r="AL157" s="1"/>
      <c r="AM157" s="1">
        <f t="shared" ca="1" si="153"/>
        <v>0.12455709467932902</v>
      </c>
      <c r="AN157" s="1">
        <f t="shared" ca="1" si="154"/>
        <v>59</v>
      </c>
      <c r="AO157" s="1">
        <f t="shared" ca="1" si="155"/>
        <v>13</v>
      </c>
      <c r="AQ157" s="1">
        <f t="shared" ca="1" si="156"/>
        <v>41</v>
      </c>
      <c r="AR157" s="1">
        <f t="shared" ca="1" si="157"/>
        <v>7</v>
      </c>
      <c r="AS157" s="1">
        <f t="shared" ca="1" si="158"/>
        <v>48</v>
      </c>
      <c r="AU157" s="1">
        <f t="shared" ca="1" si="159"/>
        <v>65</v>
      </c>
      <c r="AV157" s="1">
        <f t="shared" ca="1" si="160"/>
        <v>5</v>
      </c>
      <c r="AW157" s="1">
        <f t="shared" ca="1" si="161"/>
        <v>0.15060409762125188</v>
      </c>
      <c r="AY157" s="1">
        <f t="shared" ca="1" si="162"/>
        <v>1.5346763379307919</v>
      </c>
      <c r="AZ157" s="1">
        <f t="shared" ca="1" si="163"/>
        <v>241</v>
      </c>
      <c r="BA157" s="1">
        <f t="shared" ca="1" si="164"/>
        <v>4.7700220220061925E-3</v>
      </c>
      <c r="BV157" s="1">
        <f t="shared" ca="1" si="165"/>
        <v>1.0591379457152536E-2</v>
      </c>
      <c r="BW157" s="1">
        <f t="shared" ca="1" si="166"/>
        <v>541</v>
      </c>
      <c r="BX157" s="1">
        <f t="shared" ca="1" si="167"/>
        <v>8.0791544972779461E-3</v>
      </c>
      <c r="BY157" s="1">
        <f t="shared" ca="1" si="168"/>
        <v>6.0615473955648751E-2</v>
      </c>
      <c r="BZ157" s="1">
        <f t="shared" ca="1" si="169"/>
        <v>0.13887823637591756</v>
      </c>
      <c r="CB157" s="1">
        <f t="shared" ca="1" si="170"/>
        <v>115</v>
      </c>
      <c r="CC157" s="1">
        <f t="shared" ca="1" si="171"/>
        <v>10</v>
      </c>
      <c r="CD157" s="1">
        <f t="shared" ca="1" si="172"/>
        <v>0.18350948504008133</v>
      </c>
      <c r="CE157" s="1">
        <f t="shared" ca="1" si="173"/>
        <v>0.54727305807339155</v>
      </c>
      <c r="CF157" s="1">
        <f t="shared" ca="1" si="173"/>
        <v>0.65852966520094003</v>
      </c>
      <c r="CH157" s="3">
        <f t="shared" ca="1" si="174"/>
        <v>0.84830558171932502</v>
      </c>
      <c r="CI157" s="3">
        <f t="shared" ca="1" si="175"/>
        <v>0.38813830741514566</v>
      </c>
      <c r="CJ157" s="3">
        <f t="shared" ca="1" si="176"/>
        <v>925</v>
      </c>
      <c r="CK157" s="3">
        <f t="shared" ca="1" si="177"/>
        <v>7.8192196295957441E-3</v>
      </c>
      <c r="CL157" s="3">
        <f t="shared" ca="1" si="178"/>
        <v>1</v>
      </c>
      <c r="CM157" s="3"/>
      <c r="CN157" s="1">
        <f t="shared" ca="1" si="179"/>
        <v>4.1224460660007987</v>
      </c>
      <c r="CO157" s="1">
        <f t="shared" ca="1" si="180"/>
        <v>0.23320376352686131</v>
      </c>
      <c r="CP157" s="1">
        <f t="shared" ca="1" si="181"/>
        <v>5</v>
      </c>
      <c r="DH157" s="1">
        <f t="shared" ca="1" si="182"/>
        <v>463</v>
      </c>
      <c r="DI157" s="1">
        <f t="shared" ca="1" si="183"/>
        <v>0.51600901755299777</v>
      </c>
      <c r="DJ157" s="1">
        <f t="shared" ca="1" si="184"/>
        <v>1</v>
      </c>
      <c r="DL157" s="1">
        <f t="shared" ca="1" si="185"/>
        <v>9.6125928120652085E-2</v>
      </c>
      <c r="DM157" s="1">
        <f t="shared" ca="1" si="186"/>
        <v>124</v>
      </c>
      <c r="DN157" s="1">
        <f t="shared" ca="1" si="187"/>
        <v>7</v>
      </c>
    </row>
    <row r="158" spans="2:118" x14ac:dyDescent="0.25">
      <c r="B158">
        <f t="shared" ca="1" si="126"/>
        <v>906</v>
      </c>
      <c r="C158">
        <f t="shared" ca="1" si="127"/>
        <v>15</v>
      </c>
      <c r="D158">
        <f t="shared" ca="1" si="128"/>
        <v>0.20940278482819663</v>
      </c>
      <c r="F158" s="1">
        <f t="shared" ca="1" si="129"/>
        <v>11</v>
      </c>
      <c r="G158" s="1">
        <f t="shared" ca="1" si="130"/>
        <v>24</v>
      </c>
      <c r="H158" s="1">
        <f t="shared" ca="1" si="131"/>
        <v>15</v>
      </c>
      <c r="I158" s="1"/>
      <c r="J158" s="1">
        <f t="shared" ca="1" si="132"/>
        <v>27</v>
      </c>
      <c r="K158" s="1">
        <f t="shared" ca="1" si="133"/>
        <v>2.3421443264749158</v>
      </c>
      <c r="L158" s="1">
        <f t="shared" ca="1" si="134"/>
        <v>12</v>
      </c>
      <c r="M158" s="1"/>
      <c r="N158" s="1">
        <f t="shared" ca="1" si="135"/>
        <v>542</v>
      </c>
      <c r="O158" s="1">
        <f t="shared" ca="1" si="136"/>
        <v>21</v>
      </c>
      <c r="P158" s="1"/>
      <c r="Q158" s="1">
        <f t="shared" ca="1" si="137"/>
        <v>1.558309935807453</v>
      </c>
      <c r="R158" s="1">
        <f t="shared" ca="1" si="138"/>
        <v>256</v>
      </c>
      <c r="S158" s="1"/>
      <c r="T158" s="1">
        <f t="shared" ca="1" si="139"/>
        <v>0.19025238159422456</v>
      </c>
      <c r="U158" s="1">
        <f t="shared" ca="1" si="140"/>
        <v>225</v>
      </c>
      <c r="V158" s="1">
        <f t="shared" ca="1" si="141"/>
        <v>38</v>
      </c>
      <c r="W158" s="1"/>
      <c r="X158" s="1">
        <f t="shared" ca="1" si="142"/>
        <v>4.9123895242292708</v>
      </c>
      <c r="Y158" s="1">
        <f t="shared" ca="1" si="143"/>
        <v>0.99313169090910625</v>
      </c>
      <c r="Z158" s="1">
        <f t="shared" ca="1" si="144"/>
        <v>1181</v>
      </c>
      <c r="AB158" s="1">
        <f t="shared" ca="1" si="145"/>
        <v>0.94339133384616258</v>
      </c>
      <c r="AC158" s="1">
        <f t="shared" ca="1" si="146"/>
        <v>117</v>
      </c>
      <c r="AD158" s="1">
        <f t="shared" ca="1" si="147"/>
        <v>4.4959751668878387E-4</v>
      </c>
      <c r="AE158" s="1"/>
      <c r="AF158" s="1">
        <f t="shared" ca="1" si="148"/>
        <v>0.47164266703650071</v>
      </c>
      <c r="AG158" s="1">
        <f t="shared" ca="1" si="149"/>
        <v>224</v>
      </c>
      <c r="AH158" s="1">
        <f t="shared" ca="1" si="150"/>
        <v>9.3128041308740081E-4</v>
      </c>
      <c r="AJ158" s="1">
        <f t="shared" ca="1" si="151"/>
        <v>3.3407902231289421E-3</v>
      </c>
      <c r="AK158" s="1">
        <f t="shared" ca="1" si="152"/>
        <v>4.4135118386976853E-3</v>
      </c>
      <c r="AL158" s="1"/>
      <c r="AM158" s="1">
        <f t="shared" ca="1" si="153"/>
        <v>0.18120410399438427</v>
      </c>
      <c r="AN158" s="1">
        <f t="shared" ca="1" si="154"/>
        <v>66</v>
      </c>
      <c r="AO158" s="1">
        <f t="shared" ca="1" si="155"/>
        <v>4</v>
      </c>
      <c r="AQ158" s="1">
        <f t="shared" ca="1" si="156"/>
        <v>33</v>
      </c>
      <c r="AR158" s="1">
        <f t="shared" ca="1" si="157"/>
        <v>1</v>
      </c>
      <c r="AS158" s="1">
        <f t="shared" ca="1" si="158"/>
        <v>80</v>
      </c>
      <c r="AU158" s="1">
        <f t="shared" ca="1" si="159"/>
        <v>233</v>
      </c>
      <c r="AV158" s="1">
        <f t="shared" ca="1" si="160"/>
        <v>8</v>
      </c>
      <c r="AW158" s="1">
        <f t="shared" ca="1" si="161"/>
        <v>0.10359395817391674</v>
      </c>
      <c r="AY158" s="1">
        <f t="shared" ca="1" si="162"/>
        <v>1.624320717439145</v>
      </c>
      <c r="AZ158" s="1">
        <f t="shared" ca="1" si="163"/>
        <v>437</v>
      </c>
      <c r="BA158" s="1">
        <f t="shared" ca="1" si="164"/>
        <v>4.889369698293222E-3</v>
      </c>
      <c r="BV158" s="1">
        <f t="shared" ca="1" si="165"/>
        <v>0.12924060319332123</v>
      </c>
      <c r="BW158" s="1">
        <f t="shared" ca="1" si="166"/>
        <v>706</v>
      </c>
      <c r="BX158" s="1">
        <f t="shared" ca="1" si="167"/>
        <v>6.8192245229163194E-4</v>
      </c>
      <c r="BY158" s="1">
        <f t="shared" ca="1" si="168"/>
        <v>7.1998159579459958E-2</v>
      </c>
      <c r="BZ158" s="1">
        <f t="shared" ca="1" si="169"/>
        <v>0.33470590392309518</v>
      </c>
      <c r="CB158" s="1">
        <f t="shared" ca="1" si="170"/>
        <v>280</v>
      </c>
      <c r="CC158" s="1">
        <f t="shared" ca="1" si="171"/>
        <v>6</v>
      </c>
      <c r="CD158" s="1">
        <f t="shared" ca="1" si="172"/>
        <v>0.23360064988862012</v>
      </c>
      <c r="CE158" s="1">
        <f t="shared" ca="1" si="173"/>
        <v>0.97825728520544097</v>
      </c>
      <c r="CF158" s="1">
        <f t="shared" ca="1" si="173"/>
        <v>0.50426206284134623</v>
      </c>
      <c r="CH158" s="3">
        <f t="shared" ca="1" si="174"/>
        <v>0.61534781135773109</v>
      </c>
      <c r="CI158" s="3">
        <f t="shared" ca="1" si="175"/>
        <v>0.91307510308757045</v>
      </c>
      <c r="CJ158" s="3">
        <f t="shared" ca="1" si="176"/>
        <v>1839</v>
      </c>
      <c r="CK158" s="3">
        <f t="shared" ca="1" si="177"/>
        <v>5.4892295095342811E-3</v>
      </c>
      <c r="CL158" s="3">
        <f t="shared" ca="1" si="178"/>
        <v>1</v>
      </c>
      <c r="CM158" s="3"/>
      <c r="CN158" s="1">
        <f t="shared" ca="1" si="179"/>
        <v>14.079525501257121</v>
      </c>
      <c r="CO158" s="1">
        <f t="shared" ca="1" si="180"/>
        <v>0.22434438896612413</v>
      </c>
      <c r="CP158" s="1">
        <f t="shared" ca="1" si="181"/>
        <v>2</v>
      </c>
      <c r="DH158" s="1">
        <f t="shared" ca="1" si="182"/>
        <v>726</v>
      </c>
      <c r="DI158" s="1">
        <f t="shared" ca="1" si="183"/>
        <v>0.62696648325090587</v>
      </c>
      <c r="DJ158" s="1">
        <f t="shared" ca="1" si="184"/>
        <v>8</v>
      </c>
      <c r="DL158" s="1">
        <f t="shared" ca="1" si="185"/>
        <v>2.3758657077654163E-2</v>
      </c>
      <c r="DM158" s="1">
        <f t="shared" ca="1" si="186"/>
        <v>251</v>
      </c>
      <c r="DN158" s="1">
        <f t="shared" ca="1" si="187"/>
        <v>5</v>
      </c>
    </row>
    <row r="159" spans="2:118" x14ac:dyDescent="0.25">
      <c r="B159">
        <f t="shared" ca="1" si="126"/>
        <v>495</v>
      </c>
      <c r="C159">
        <f t="shared" ca="1" si="127"/>
        <v>7</v>
      </c>
      <c r="D159">
        <f t="shared" ca="1" si="128"/>
        <v>8.192279167562419E-2</v>
      </c>
      <c r="F159" s="1">
        <f t="shared" ca="1" si="129"/>
        <v>21</v>
      </c>
      <c r="G159" s="1">
        <f t="shared" ca="1" si="130"/>
        <v>23</v>
      </c>
      <c r="H159" s="1">
        <f t="shared" ca="1" si="131"/>
        <v>7</v>
      </c>
      <c r="I159" s="1"/>
      <c r="J159" s="1">
        <f t="shared" ca="1" si="132"/>
        <v>4</v>
      </c>
      <c r="K159" s="1">
        <f t="shared" ca="1" si="133"/>
        <v>2.1192419160064278</v>
      </c>
      <c r="L159" s="1">
        <f t="shared" ca="1" si="134"/>
        <v>30</v>
      </c>
      <c r="M159" s="1"/>
      <c r="N159" s="1">
        <f t="shared" ca="1" si="135"/>
        <v>658</v>
      </c>
      <c r="O159" s="1">
        <f t="shared" ca="1" si="136"/>
        <v>11</v>
      </c>
      <c r="P159" s="1"/>
      <c r="Q159" s="1">
        <f t="shared" ca="1" si="137"/>
        <v>3.0197257120546128</v>
      </c>
      <c r="R159" s="1">
        <f t="shared" ca="1" si="138"/>
        <v>462</v>
      </c>
      <c r="S159" s="1"/>
      <c r="T159" s="1">
        <f t="shared" ca="1" si="139"/>
        <v>0.19666383073660551</v>
      </c>
      <c r="U159" s="1">
        <f t="shared" ca="1" si="140"/>
        <v>167</v>
      </c>
      <c r="V159" s="1">
        <f t="shared" ca="1" si="141"/>
        <v>42</v>
      </c>
      <c r="W159" s="1"/>
      <c r="X159" s="1">
        <f t="shared" ca="1" si="142"/>
        <v>9.4031787639945712</v>
      </c>
      <c r="Y159" s="1">
        <f t="shared" ca="1" si="143"/>
        <v>0.62505088159816613</v>
      </c>
      <c r="Z159" s="1">
        <f t="shared" ca="1" si="144"/>
        <v>820</v>
      </c>
      <c r="AB159" s="1">
        <f t="shared" ca="1" si="145"/>
        <v>0.62011306923965237</v>
      </c>
      <c r="AC159" s="1">
        <f t="shared" ca="1" si="146"/>
        <v>550</v>
      </c>
      <c r="AD159" s="1">
        <f t="shared" ca="1" si="147"/>
        <v>4.3454553408011388E-3</v>
      </c>
      <c r="AE159" s="1"/>
      <c r="AF159" s="1">
        <f t="shared" ca="1" si="148"/>
        <v>0.14190732305664744</v>
      </c>
      <c r="AG159" s="1">
        <f t="shared" ca="1" si="149"/>
        <v>159</v>
      </c>
      <c r="AH159" s="1">
        <f t="shared" ca="1" si="150"/>
        <v>7.326345727336132E-3</v>
      </c>
      <c r="AJ159" s="1">
        <f t="shared" ca="1" si="151"/>
        <v>0.81841815163584597</v>
      </c>
      <c r="AK159" s="1">
        <f t="shared" ca="1" si="152"/>
        <v>6.1239936759298558E-3</v>
      </c>
      <c r="AL159" s="1"/>
      <c r="AM159" s="1">
        <f t="shared" ca="1" si="153"/>
        <v>2.0158957978056159E-2</v>
      </c>
      <c r="AN159" s="1">
        <f t="shared" ca="1" si="154"/>
        <v>22</v>
      </c>
      <c r="AO159" s="1">
        <f t="shared" ca="1" si="155"/>
        <v>9</v>
      </c>
      <c r="AQ159" s="1">
        <f t="shared" ca="1" si="156"/>
        <v>159</v>
      </c>
      <c r="AR159" s="1">
        <f t="shared" ca="1" si="157"/>
        <v>0</v>
      </c>
      <c r="AS159" s="1">
        <f t="shared" ca="1" si="158"/>
        <v>3</v>
      </c>
      <c r="AU159" s="1">
        <f t="shared" ca="1" si="159"/>
        <v>241</v>
      </c>
      <c r="AV159" s="1">
        <f t="shared" ca="1" si="160"/>
        <v>9</v>
      </c>
      <c r="AW159" s="1">
        <f t="shared" ca="1" si="161"/>
        <v>5.6362510843138376E-2</v>
      </c>
      <c r="AY159" s="1">
        <f t="shared" ca="1" si="162"/>
        <v>1.7534993774834522</v>
      </c>
      <c r="AZ159" s="1">
        <f t="shared" ca="1" si="163"/>
        <v>457</v>
      </c>
      <c r="BA159" s="1">
        <f t="shared" ca="1" si="164"/>
        <v>6.9496929856604052E-3</v>
      </c>
      <c r="BV159" s="1">
        <f t="shared" ca="1" si="165"/>
        <v>0.57598664652013298</v>
      </c>
      <c r="BW159" s="1">
        <f t="shared" ca="1" si="166"/>
        <v>876</v>
      </c>
      <c r="BX159" s="1">
        <f t="shared" ca="1" si="167"/>
        <v>5.8882110537092011E-3</v>
      </c>
      <c r="BY159" s="1">
        <f t="shared" ca="1" si="168"/>
        <v>2.7664459028420924E-2</v>
      </c>
      <c r="BZ159" s="1">
        <f t="shared" ca="1" si="169"/>
        <v>0.59605685824466415</v>
      </c>
      <c r="CB159" s="1">
        <f t="shared" ca="1" si="170"/>
        <v>345</v>
      </c>
      <c r="CC159" s="1">
        <f t="shared" ca="1" si="171"/>
        <v>13</v>
      </c>
      <c r="CD159" s="1">
        <f t="shared" ca="1" si="172"/>
        <v>2.0749090415368245E-2</v>
      </c>
      <c r="CE159" s="1">
        <f t="shared" ca="1" si="173"/>
        <v>0.716880756466725</v>
      </c>
      <c r="CF159" s="1">
        <f t="shared" ca="1" si="173"/>
        <v>0.71292196292932719</v>
      </c>
      <c r="CH159" s="3">
        <f t="shared" ca="1" si="174"/>
        <v>0.14400476072664414</v>
      </c>
      <c r="CI159" s="3">
        <f t="shared" ca="1" si="175"/>
        <v>0.22026634485799332</v>
      </c>
      <c r="CJ159" s="3">
        <f t="shared" ca="1" si="176"/>
        <v>1663</v>
      </c>
      <c r="CK159" s="3">
        <f t="shared" ca="1" si="177"/>
        <v>6.6505925785292916E-3</v>
      </c>
      <c r="CL159" s="3">
        <f t="shared" ca="1" si="178"/>
        <v>0</v>
      </c>
      <c r="CM159" s="3"/>
      <c r="CN159" s="1">
        <f t="shared" ca="1" si="179"/>
        <v>2.0470857201208426</v>
      </c>
      <c r="CO159" s="1">
        <f t="shared" ca="1" si="180"/>
        <v>0.15053290046939952</v>
      </c>
      <c r="CP159" s="1">
        <f t="shared" ca="1" si="181"/>
        <v>2</v>
      </c>
      <c r="DH159" s="1">
        <f t="shared" ca="1" si="182"/>
        <v>793</v>
      </c>
      <c r="DI159" s="1">
        <f t="shared" ca="1" si="183"/>
        <v>0.79486613465428901</v>
      </c>
      <c r="DJ159" s="1">
        <f t="shared" ca="1" si="184"/>
        <v>13</v>
      </c>
      <c r="DL159" s="1">
        <f t="shared" ca="1" si="185"/>
        <v>0.16954954307851591</v>
      </c>
      <c r="DM159" s="1">
        <f t="shared" ca="1" si="186"/>
        <v>154</v>
      </c>
      <c r="DN159" s="1">
        <f t="shared" ca="1" si="187"/>
        <v>3</v>
      </c>
    </row>
    <row r="160" spans="2:118" x14ac:dyDescent="0.25">
      <c r="B160">
        <f t="shared" ca="1" si="126"/>
        <v>949</v>
      </c>
      <c r="C160">
        <f t="shared" ca="1" si="127"/>
        <v>36</v>
      </c>
      <c r="D160">
        <f t="shared" ca="1" si="128"/>
        <v>0.14214337742392708</v>
      </c>
      <c r="F160" s="1">
        <f t="shared" ca="1" si="129"/>
        <v>3</v>
      </c>
      <c r="G160" s="1">
        <f t="shared" ca="1" si="130"/>
        <v>2</v>
      </c>
      <c r="H160" s="1">
        <f t="shared" ca="1" si="131"/>
        <v>10</v>
      </c>
      <c r="I160" s="1"/>
      <c r="J160" s="1">
        <f t="shared" ca="1" si="132"/>
        <v>13</v>
      </c>
      <c r="K160" s="1">
        <f t="shared" ca="1" si="133"/>
        <v>1.7540453296780472</v>
      </c>
      <c r="L160" s="1">
        <f t="shared" ca="1" si="134"/>
        <v>16</v>
      </c>
      <c r="M160" s="1"/>
      <c r="N160" s="1">
        <f t="shared" ca="1" si="135"/>
        <v>498</v>
      </c>
      <c r="O160" s="1">
        <f t="shared" ca="1" si="136"/>
        <v>31</v>
      </c>
      <c r="P160" s="1"/>
      <c r="Q160" s="1">
        <f t="shared" ca="1" si="137"/>
        <v>0.47480880374878759</v>
      </c>
      <c r="R160" s="1">
        <f t="shared" ca="1" si="138"/>
        <v>680</v>
      </c>
      <c r="S160" s="1"/>
      <c r="T160" s="1">
        <f t="shared" ca="1" si="139"/>
        <v>0.17154314313827035</v>
      </c>
      <c r="U160" s="1">
        <f t="shared" ca="1" si="140"/>
        <v>345</v>
      </c>
      <c r="V160" s="1">
        <f t="shared" ca="1" si="141"/>
        <v>6</v>
      </c>
      <c r="W160" s="1"/>
      <c r="X160" s="1">
        <f t="shared" ca="1" si="142"/>
        <v>7.1177954526997738</v>
      </c>
      <c r="Y160" s="1">
        <f t="shared" ca="1" si="143"/>
        <v>0.78829146510680992</v>
      </c>
      <c r="Z160" s="1">
        <f t="shared" ca="1" si="144"/>
        <v>748</v>
      </c>
      <c r="AB160" s="1">
        <f t="shared" ca="1" si="145"/>
        <v>0.92632363356935377</v>
      </c>
      <c r="AC160" s="1">
        <f t="shared" ca="1" si="146"/>
        <v>430</v>
      </c>
      <c r="AD160" s="1">
        <f t="shared" ca="1" si="147"/>
        <v>6.8774679404722565E-3</v>
      </c>
      <c r="AE160" s="1"/>
      <c r="AF160" s="1">
        <f t="shared" ca="1" si="148"/>
        <v>0.73983341180873807</v>
      </c>
      <c r="AG160" s="1">
        <f t="shared" ca="1" si="149"/>
        <v>859</v>
      </c>
      <c r="AH160" s="1">
        <f t="shared" ca="1" si="150"/>
        <v>2.1233772883380255E-4</v>
      </c>
      <c r="AJ160" s="1">
        <f t="shared" ca="1" si="151"/>
        <v>0.77499624058567584</v>
      </c>
      <c r="AK160" s="1">
        <f t="shared" ca="1" si="152"/>
        <v>2.8074461876266142E-3</v>
      </c>
      <c r="AL160" s="1"/>
      <c r="AM160" s="1">
        <f t="shared" ca="1" si="153"/>
        <v>3.5631213379418873E-2</v>
      </c>
      <c r="AN160" s="1">
        <f t="shared" ca="1" si="154"/>
        <v>25</v>
      </c>
      <c r="AO160" s="1">
        <f t="shared" ca="1" si="155"/>
        <v>7</v>
      </c>
      <c r="AQ160" s="1">
        <f t="shared" ca="1" si="156"/>
        <v>125</v>
      </c>
      <c r="AR160" s="1">
        <f t="shared" ca="1" si="157"/>
        <v>0</v>
      </c>
      <c r="AS160" s="1">
        <f t="shared" ca="1" si="158"/>
        <v>69</v>
      </c>
      <c r="AU160" s="1">
        <f t="shared" ca="1" si="159"/>
        <v>141</v>
      </c>
      <c r="AV160" s="1">
        <f t="shared" ca="1" si="160"/>
        <v>5</v>
      </c>
      <c r="AW160" s="1">
        <f t="shared" ca="1" si="161"/>
        <v>1.6833410487372573E-2</v>
      </c>
      <c r="AY160" s="1">
        <f t="shared" ca="1" si="162"/>
        <v>1.2525888174238036</v>
      </c>
      <c r="AZ160" s="1">
        <f t="shared" ca="1" si="163"/>
        <v>170</v>
      </c>
      <c r="BA160" s="1">
        <f t="shared" ca="1" si="164"/>
        <v>5.1827914994465353E-3</v>
      </c>
      <c r="BV160" s="1">
        <f t="shared" ca="1" si="165"/>
        <v>0.43087295378192753</v>
      </c>
      <c r="BW160" s="1">
        <f t="shared" ca="1" si="166"/>
        <v>213</v>
      </c>
      <c r="BX160" s="1">
        <f t="shared" ca="1" si="167"/>
        <v>1.0871424527023656E-4</v>
      </c>
      <c r="BY160" s="1">
        <f t="shared" ca="1" si="168"/>
        <v>6.8890801132432011E-2</v>
      </c>
      <c r="BZ160" s="1">
        <f t="shared" ca="1" si="169"/>
        <v>0.19141635275916524</v>
      </c>
      <c r="CB160" s="1">
        <f t="shared" ca="1" si="170"/>
        <v>61</v>
      </c>
      <c r="CC160" s="1">
        <f t="shared" ca="1" si="171"/>
        <v>10</v>
      </c>
      <c r="CD160" s="1">
        <f t="shared" ca="1" si="172"/>
        <v>6.9084357319066717E-2</v>
      </c>
      <c r="CE160" s="1">
        <f t="shared" ca="1" si="173"/>
        <v>0.84218610544099337</v>
      </c>
      <c r="CF160" s="1">
        <f t="shared" ca="1" si="173"/>
        <v>0.81145991503083859</v>
      </c>
      <c r="CH160" s="3">
        <f t="shared" ca="1" si="174"/>
        <v>0.20344710114955941</v>
      </c>
      <c r="CI160" s="3">
        <f t="shared" ca="1" si="175"/>
        <v>0.1853509372169406</v>
      </c>
      <c r="CJ160" s="3">
        <f t="shared" ca="1" si="176"/>
        <v>1585</v>
      </c>
      <c r="CK160" s="3">
        <f t="shared" ca="1" si="177"/>
        <v>6.7839200472534361E-3</v>
      </c>
      <c r="CL160" s="3">
        <f t="shared" ca="1" si="178"/>
        <v>0</v>
      </c>
      <c r="CM160" s="3"/>
      <c r="CN160" s="1">
        <f t="shared" ca="1" si="179"/>
        <v>8.0770043413118486</v>
      </c>
      <c r="CO160" s="1">
        <f t="shared" ca="1" si="180"/>
        <v>0.24589513788774042</v>
      </c>
      <c r="CP160" s="1">
        <f t="shared" ca="1" si="181"/>
        <v>1</v>
      </c>
      <c r="DH160" s="1">
        <f t="shared" ca="1" si="182"/>
        <v>371</v>
      </c>
      <c r="DI160" s="1">
        <f t="shared" ca="1" si="183"/>
        <v>0.98180256292737123</v>
      </c>
      <c r="DJ160" s="1">
        <f t="shared" ca="1" si="184"/>
        <v>16</v>
      </c>
      <c r="DL160" s="1">
        <f t="shared" ca="1" si="185"/>
        <v>0.17261646387322971</v>
      </c>
      <c r="DM160" s="1">
        <f t="shared" ca="1" si="186"/>
        <v>78</v>
      </c>
      <c r="DN160" s="1">
        <f t="shared" ca="1" si="187"/>
        <v>4</v>
      </c>
    </row>
    <row r="161" spans="2:118" x14ac:dyDescent="0.25">
      <c r="B161">
        <f t="shared" ca="1" si="126"/>
        <v>904</v>
      </c>
      <c r="C161">
        <f t="shared" ca="1" si="127"/>
        <v>4</v>
      </c>
      <c r="D161">
        <f t="shared" ca="1" si="128"/>
        <v>0.16567862221476193</v>
      </c>
      <c r="F161" s="1">
        <f t="shared" ca="1" si="129"/>
        <v>11</v>
      </c>
      <c r="G161" s="1">
        <f t="shared" ca="1" si="130"/>
        <v>18</v>
      </c>
      <c r="H161" s="1">
        <f t="shared" ca="1" si="131"/>
        <v>4</v>
      </c>
      <c r="I161" s="1"/>
      <c r="J161" s="1">
        <f t="shared" ca="1" si="132"/>
        <v>35</v>
      </c>
      <c r="K161" s="1">
        <f t="shared" ca="1" si="133"/>
        <v>1.0594415961200425</v>
      </c>
      <c r="L161" s="1">
        <f t="shared" ca="1" si="134"/>
        <v>35</v>
      </c>
      <c r="M161" s="1"/>
      <c r="N161" s="1">
        <f t="shared" ca="1" si="135"/>
        <v>860</v>
      </c>
      <c r="O161" s="1">
        <f t="shared" ca="1" si="136"/>
        <v>4</v>
      </c>
      <c r="P161" s="1"/>
      <c r="Q161" s="1">
        <f t="shared" ca="1" si="137"/>
        <v>2.9587978590878103</v>
      </c>
      <c r="R161" s="1">
        <f t="shared" ca="1" si="138"/>
        <v>1058</v>
      </c>
      <c r="S161" s="1"/>
      <c r="T161" s="1">
        <f t="shared" ca="1" si="139"/>
        <v>0.10682564738694228</v>
      </c>
      <c r="U161" s="1">
        <f t="shared" ca="1" si="140"/>
        <v>402</v>
      </c>
      <c r="V161" s="1">
        <f t="shared" ca="1" si="141"/>
        <v>32</v>
      </c>
      <c r="W161" s="1"/>
      <c r="X161" s="1">
        <f t="shared" ca="1" si="142"/>
        <v>2.2211071736371499</v>
      </c>
      <c r="Y161" s="1">
        <f t="shared" ca="1" si="143"/>
        <v>0.38278973754360407</v>
      </c>
      <c r="Z161" s="1">
        <f t="shared" ca="1" si="144"/>
        <v>427</v>
      </c>
      <c r="AB161" s="1">
        <f t="shared" ca="1" si="145"/>
        <v>0.49326420665133314</v>
      </c>
      <c r="AC161" s="1">
        <f t="shared" ca="1" si="146"/>
        <v>554</v>
      </c>
      <c r="AD161" s="1">
        <f t="shared" ca="1" si="147"/>
        <v>6.8144371906122009E-3</v>
      </c>
      <c r="AE161" s="1"/>
      <c r="AF161" s="1">
        <f t="shared" ca="1" si="148"/>
        <v>0.20205565207788814</v>
      </c>
      <c r="AG161" s="1">
        <f t="shared" ca="1" si="149"/>
        <v>461</v>
      </c>
      <c r="AH161" s="1">
        <f t="shared" ca="1" si="150"/>
        <v>8.4735146444113419E-4</v>
      </c>
      <c r="AJ161" s="1">
        <f t="shared" ca="1" si="151"/>
        <v>0.43194010278333905</v>
      </c>
      <c r="AK161" s="1">
        <f t="shared" ca="1" si="152"/>
        <v>1.0790045617936816E-3</v>
      </c>
      <c r="AL161" s="1"/>
      <c r="AM161" s="1">
        <f t="shared" ca="1" si="153"/>
        <v>0.12989801366549494</v>
      </c>
      <c r="AN161" s="1">
        <f t="shared" ca="1" si="154"/>
        <v>80</v>
      </c>
      <c r="AO161" s="1">
        <f t="shared" ca="1" si="155"/>
        <v>-1</v>
      </c>
      <c r="AQ161" s="1">
        <f t="shared" ca="1" si="156"/>
        <v>196</v>
      </c>
      <c r="AR161" s="1">
        <f t="shared" ca="1" si="157"/>
        <v>1</v>
      </c>
      <c r="AS161" s="1">
        <f t="shared" ca="1" si="158"/>
        <v>55</v>
      </c>
      <c r="AU161" s="1">
        <f t="shared" ca="1" si="159"/>
        <v>292</v>
      </c>
      <c r="AV161" s="1">
        <f t="shared" ca="1" si="160"/>
        <v>6</v>
      </c>
      <c r="AW161" s="1">
        <f t="shared" ca="1" si="161"/>
        <v>0.18651781875461573</v>
      </c>
      <c r="AY161" s="1">
        <f t="shared" ca="1" si="162"/>
        <v>1.8287473199382855</v>
      </c>
      <c r="AZ161" s="1">
        <f t="shared" ca="1" si="163"/>
        <v>170</v>
      </c>
      <c r="BA161" s="1">
        <f t="shared" ca="1" si="164"/>
        <v>9.431354596477504E-3</v>
      </c>
      <c r="BV161" s="1">
        <f t="shared" ca="1" si="165"/>
        <v>0.47395364548476315</v>
      </c>
      <c r="BW161" s="1">
        <f t="shared" ca="1" si="166"/>
        <v>954</v>
      </c>
      <c r="BX161" s="1">
        <f t="shared" ca="1" si="167"/>
        <v>9.927316024299639E-3</v>
      </c>
      <c r="BY161" s="1">
        <f t="shared" ca="1" si="168"/>
        <v>2.2378036758192194E-2</v>
      </c>
      <c r="BZ161" s="1">
        <f t="shared" ca="1" si="169"/>
        <v>0.89422944644839242</v>
      </c>
      <c r="CB161" s="1">
        <f t="shared" ca="1" si="170"/>
        <v>93</v>
      </c>
      <c r="CC161" s="1">
        <f t="shared" ca="1" si="171"/>
        <v>4</v>
      </c>
      <c r="CD161" s="1">
        <f t="shared" ca="1" si="172"/>
        <v>0.17984456549760999</v>
      </c>
      <c r="CE161" s="1">
        <f t="shared" ca="1" si="173"/>
        <v>0.86544022180840341</v>
      </c>
      <c r="CF161" s="1">
        <f t="shared" ca="1" si="173"/>
        <v>0.70032808347526609</v>
      </c>
      <c r="CH161" s="3">
        <f t="shared" ca="1" si="174"/>
        <v>0.67491508861829819</v>
      </c>
      <c r="CI161" s="3">
        <f t="shared" ca="1" si="175"/>
        <v>0.12549443886677486</v>
      </c>
      <c r="CJ161" s="3">
        <f t="shared" ca="1" si="176"/>
        <v>273</v>
      </c>
      <c r="CK161" s="3">
        <f t="shared" ca="1" si="177"/>
        <v>9.3893185044105747E-3</v>
      </c>
      <c r="CL161" s="3">
        <f t="shared" ca="1" si="178"/>
        <v>0</v>
      </c>
      <c r="CM161" s="3"/>
      <c r="CN161" s="1">
        <f t="shared" ca="1" si="179"/>
        <v>8.7315118754014076</v>
      </c>
      <c r="CO161" s="1">
        <f t="shared" ca="1" si="180"/>
        <v>3.6967751176453803E-2</v>
      </c>
      <c r="CP161" s="1">
        <f t="shared" ca="1" si="181"/>
        <v>4</v>
      </c>
      <c r="DH161" s="1">
        <f t="shared" ca="1" si="182"/>
        <v>31</v>
      </c>
      <c r="DI161" s="1">
        <f t="shared" ca="1" si="183"/>
        <v>0.76461529635967407</v>
      </c>
      <c r="DJ161" s="1">
        <f t="shared" ca="1" si="184"/>
        <v>1</v>
      </c>
      <c r="DL161" s="1">
        <f t="shared" ca="1" si="185"/>
        <v>9.9774753503728733E-2</v>
      </c>
      <c r="DM161" s="1">
        <f t="shared" ca="1" si="186"/>
        <v>107</v>
      </c>
      <c r="DN161" s="1">
        <f t="shared" ca="1" si="187"/>
        <v>3</v>
      </c>
    </row>
    <row r="162" spans="2:118" x14ac:dyDescent="0.25">
      <c r="B162">
        <f t="shared" ca="1" si="126"/>
        <v>403</v>
      </c>
      <c r="C162">
        <f t="shared" ca="1" si="127"/>
        <v>41</v>
      </c>
      <c r="D162">
        <f t="shared" ca="1" si="128"/>
        <v>0.1665967271053605</v>
      </c>
      <c r="F162" s="1">
        <f t="shared" ca="1" si="129"/>
        <v>23</v>
      </c>
      <c r="G162" s="1">
        <f t="shared" ca="1" si="130"/>
        <v>18</v>
      </c>
      <c r="H162" s="1">
        <f t="shared" ca="1" si="131"/>
        <v>15</v>
      </c>
      <c r="I162" s="1"/>
      <c r="J162" s="1">
        <f t="shared" ca="1" si="132"/>
        <v>21</v>
      </c>
      <c r="K162" s="1">
        <f t="shared" ca="1" si="133"/>
        <v>2.7136244174286155</v>
      </c>
      <c r="L162" s="1">
        <f t="shared" ca="1" si="134"/>
        <v>7</v>
      </c>
      <c r="M162" s="1"/>
      <c r="N162" s="1">
        <f t="shared" ca="1" si="135"/>
        <v>36</v>
      </c>
      <c r="O162" s="1">
        <f t="shared" ca="1" si="136"/>
        <v>51</v>
      </c>
      <c r="P162" s="1"/>
      <c r="Q162" s="1">
        <f t="shared" ca="1" si="137"/>
        <v>3.8601719375920482</v>
      </c>
      <c r="R162" s="1">
        <f t="shared" ca="1" si="138"/>
        <v>292</v>
      </c>
      <c r="S162" s="1"/>
      <c r="T162" s="1">
        <f t="shared" ca="1" si="139"/>
        <v>0.10536632849002378</v>
      </c>
      <c r="U162" s="1">
        <f t="shared" ca="1" si="140"/>
        <v>306</v>
      </c>
      <c r="V162" s="1">
        <f t="shared" ca="1" si="141"/>
        <v>27</v>
      </c>
      <c r="W162" s="1"/>
      <c r="X162" s="1">
        <f t="shared" ca="1" si="142"/>
        <v>6.0736244987367849</v>
      </c>
      <c r="Y162" s="1">
        <f t="shared" ca="1" si="143"/>
        <v>0.9661282278389991</v>
      </c>
      <c r="Z162" s="1">
        <f t="shared" ca="1" si="144"/>
        <v>1569</v>
      </c>
      <c r="AB162" s="1">
        <f t="shared" ca="1" si="145"/>
        <v>0.23466879897277187</v>
      </c>
      <c r="AC162" s="1">
        <f t="shared" ca="1" si="146"/>
        <v>210</v>
      </c>
      <c r="AD162" s="1">
        <f t="shared" ca="1" si="147"/>
        <v>3.2878845010592302E-3</v>
      </c>
      <c r="AE162" s="1"/>
      <c r="AF162" s="1">
        <f t="shared" ca="1" si="148"/>
        <v>0.66732995380740878</v>
      </c>
      <c r="AG162" s="1">
        <f t="shared" ca="1" si="149"/>
        <v>407</v>
      </c>
      <c r="AH162" s="1">
        <f t="shared" ca="1" si="150"/>
        <v>3.231192681352496E-3</v>
      </c>
      <c r="AJ162" s="1">
        <f t="shared" ca="1" si="151"/>
        <v>0.39322835508447074</v>
      </c>
      <c r="AK162" s="1">
        <f t="shared" ca="1" si="152"/>
        <v>3.353233649321006E-4</v>
      </c>
      <c r="AL162" s="1"/>
      <c r="AM162" s="1">
        <f t="shared" ca="1" si="153"/>
        <v>8.9579877567909E-2</v>
      </c>
      <c r="AN162" s="1">
        <f t="shared" ca="1" si="154"/>
        <v>67</v>
      </c>
      <c r="AO162" s="1">
        <f t="shared" ca="1" si="155"/>
        <v>14</v>
      </c>
      <c r="AQ162" s="1">
        <f t="shared" ca="1" si="156"/>
        <v>23</v>
      </c>
      <c r="AR162" s="1">
        <f t="shared" ca="1" si="157"/>
        <v>7</v>
      </c>
      <c r="AS162" s="1">
        <f t="shared" ca="1" si="158"/>
        <v>16</v>
      </c>
      <c r="AU162" s="1">
        <f t="shared" ca="1" si="159"/>
        <v>88</v>
      </c>
      <c r="AV162" s="1">
        <f t="shared" ca="1" si="160"/>
        <v>9</v>
      </c>
      <c r="AW162" s="1">
        <f t="shared" ca="1" si="161"/>
        <v>0.11005299773112132</v>
      </c>
      <c r="AY162" s="1">
        <f t="shared" ca="1" si="162"/>
        <v>1.7407856987230308</v>
      </c>
      <c r="AZ162" s="1">
        <f t="shared" ca="1" si="163"/>
        <v>437</v>
      </c>
      <c r="BA162" s="1">
        <f t="shared" ca="1" si="164"/>
        <v>2.5794206795841427E-3</v>
      </c>
      <c r="BV162" s="1">
        <f t="shared" ca="1" si="165"/>
        <v>0.34600355423637602</v>
      </c>
      <c r="BW162" s="1">
        <f t="shared" ca="1" si="166"/>
        <v>897</v>
      </c>
      <c r="BX162" s="1">
        <f t="shared" ca="1" si="167"/>
        <v>2.3139079506305552E-3</v>
      </c>
      <c r="BY162" s="1">
        <f t="shared" ca="1" si="168"/>
        <v>1.7380398509232314E-2</v>
      </c>
      <c r="BZ162" s="1">
        <f t="shared" ca="1" si="169"/>
        <v>0.37689578380065103</v>
      </c>
      <c r="CB162" s="1">
        <f t="shared" ca="1" si="170"/>
        <v>215</v>
      </c>
      <c r="CC162" s="1">
        <f t="shared" ca="1" si="171"/>
        <v>9</v>
      </c>
      <c r="CD162" s="1">
        <f t="shared" ca="1" si="172"/>
        <v>9.0572687830536056E-2</v>
      </c>
      <c r="CE162" s="1">
        <f t="shared" ca="1" si="173"/>
        <v>0.74304257547512065</v>
      </c>
      <c r="CF162" s="1">
        <f t="shared" ca="1" si="173"/>
        <v>0.79520483316599555</v>
      </c>
      <c r="CH162" s="3">
        <f t="shared" ca="1" si="174"/>
        <v>0.1191120357384351</v>
      </c>
      <c r="CI162" s="3">
        <f t="shared" ca="1" si="175"/>
        <v>0.15526810657827861</v>
      </c>
      <c r="CJ162" s="3">
        <f t="shared" ca="1" si="176"/>
        <v>1068</v>
      </c>
      <c r="CK162" s="3">
        <f t="shared" ca="1" si="177"/>
        <v>1.7499993327548013E-3</v>
      </c>
      <c r="CL162" s="3">
        <f t="shared" ca="1" si="178"/>
        <v>1</v>
      </c>
      <c r="CM162" s="3"/>
      <c r="CN162" s="1">
        <f t="shared" ca="1" si="179"/>
        <v>10.753179164634417</v>
      </c>
      <c r="CO162" s="1">
        <f t="shared" ca="1" si="180"/>
        <v>0.18339392859026618</v>
      </c>
      <c r="CP162" s="1">
        <f t="shared" ca="1" si="181"/>
        <v>3</v>
      </c>
      <c r="DH162" s="1">
        <f t="shared" ca="1" si="182"/>
        <v>465</v>
      </c>
      <c r="DI162" s="1">
        <f t="shared" ca="1" si="183"/>
        <v>3.8089804794822026E-2</v>
      </c>
      <c r="DJ162" s="1">
        <f t="shared" ca="1" si="184"/>
        <v>13</v>
      </c>
      <c r="DL162" s="1">
        <f t="shared" ca="1" si="185"/>
        <v>9.8149891988227961E-2</v>
      </c>
      <c r="DM162" s="1">
        <f t="shared" ca="1" si="186"/>
        <v>158</v>
      </c>
      <c r="DN162" s="1">
        <f t="shared" ca="1" si="187"/>
        <v>8</v>
      </c>
    </row>
    <row r="163" spans="2:118" x14ac:dyDescent="0.25">
      <c r="B163">
        <f t="shared" ca="1" si="126"/>
        <v>765</v>
      </c>
      <c r="C163">
        <f t="shared" ca="1" si="127"/>
        <v>8</v>
      </c>
      <c r="D163">
        <f t="shared" ca="1" si="128"/>
        <v>0.25290486279351254</v>
      </c>
      <c r="F163" s="1">
        <f t="shared" ca="1" si="129"/>
        <v>29</v>
      </c>
      <c r="G163" s="1">
        <f t="shared" ca="1" si="130"/>
        <v>16</v>
      </c>
      <c r="H163" s="1">
        <f t="shared" ca="1" si="131"/>
        <v>1</v>
      </c>
      <c r="I163" s="1"/>
      <c r="J163" s="1">
        <f t="shared" ca="1" si="132"/>
        <v>13</v>
      </c>
      <c r="K163" s="1">
        <f t="shared" ca="1" si="133"/>
        <v>2.9811983868024274</v>
      </c>
      <c r="L163" s="1">
        <f t="shared" ca="1" si="134"/>
        <v>5</v>
      </c>
      <c r="M163" s="1"/>
      <c r="N163" s="1">
        <f t="shared" ca="1" si="135"/>
        <v>753</v>
      </c>
      <c r="O163" s="1">
        <f t="shared" ca="1" si="136"/>
        <v>8</v>
      </c>
      <c r="P163" s="1"/>
      <c r="Q163" s="1">
        <f t="shared" ca="1" si="137"/>
        <v>3.181106706664691</v>
      </c>
      <c r="R163" s="1">
        <f t="shared" ca="1" si="138"/>
        <v>755</v>
      </c>
      <c r="S163" s="1"/>
      <c r="T163" s="1">
        <f t="shared" ca="1" si="139"/>
        <v>0.13597618300660932</v>
      </c>
      <c r="U163" s="1">
        <f t="shared" ca="1" si="140"/>
        <v>78</v>
      </c>
      <c r="V163" s="1">
        <f t="shared" ca="1" si="141"/>
        <v>7</v>
      </c>
      <c r="W163" s="1"/>
      <c r="X163" s="1">
        <f t="shared" ca="1" si="142"/>
        <v>1.761003681324474</v>
      </c>
      <c r="Y163" s="1">
        <f t="shared" ca="1" si="143"/>
        <v>0.82490401742170283</v>
      </c>
      <c r="Z163" s="1">
        <f t="shared" ca="1" si="144"/>
        <v>1604</v>
      </c>
      <c r="AB163" s="1">
        <f t="shared" ca="1" si="145"/>
        <v>0.75755826945933169</v>
      </c>
      <c r="AC163" s="1">
        <f t="shared" ca="1" si="146"/>
        <v>920</v>
      </c>
      <c r="AD163" s="1">
        <f t="shared" ca="1" si="147"/>
        <v>7.0860220332631977E-3</v>
      </c>
      <c r="AE163" s="1"/>
      <c r="AF163" s="1">
        <f t="shared" ca="1" si="148"/>
        <v>0.74124196401423892</v>
      </c>
      <c r="AG163" s="1">
        <f t="shared" ca="1" si="149"/>
        <v>241</v>
      </c>
      <c r="AH163" s="1">
        <f t="shared" ca="1" si="150"/>
        <v>3.4070241922491934E-3</v>
      </c>
      <c r="AJ163" s="1">
        <f t="shared" ca="1" si="151"/>
        <v>0.58905701283090195</v>
      </c>
      <c r="AK163" s="1">
        <f t="shared" ca="1" si="152"/>
        <v>1.831979347892304E-3</v>
      </c>
      <c r="AL163" s="1"/>
      <c r="AM163" s="1">
        <f t="shared" ca="1" si="153"/>
        <v>0.17487806791058894</v>
      </c>
      <c r="AN163" s="1">
        <f t="shared" ca="1" si="154"/>
        <v>11</v>
      </c>
      <c r="AO163" s="1">
        <f t="shared" ca="1" si="155"/>
        <v>16</v>
      </c>
      <c r="AQ163" s="1">
        <f t="shared" ca="1" si="156"/>
        <v>55</v>
      </c>
      <c r="AR163" s="1">
        <f t="shared" ca="1" si="157"/>
        <v>3</v>
      </c>
      <c r="AS163" s="1">
        <f t="shared" ca="1" si="158"/>
        <v>14</v>
      </c>
      <c r="AU163" s="1">
        <f t="shared" ca="1" si="159"/>
        <v>342</v>
      </c>
      <c r="AV163" s="1">
        <f t="shared" ca="1" si="160"/>
        <v>2</v>
      </c>
      <c r="AW163" s="1">
        <f t="shared" ca="1" si="161"/>
        <v>5.1463153813820127E-2</v>
      </c>
      <c r="AY163" s="1">
        <f t="shared" ca="1" si="162"/>
        <v>1.1350753047194257</v>
      </c>
      <c r="AZ163" s="1">
        <f t="shared" ca="1" si="163"/>
        <v>128</v>
      </c>
      <c r="BA163" s="1">
        <f t="shared" ca="1" si="164"/>
        <v>7.6464605277421563E-3</v>
      </c>
      <c r="BV163" s="1">
        <f t="shared" ca="1" si="165"/>
        <v>0.72539754345289553</v>
      </c>
      <c r="BW163" s="1">
        <f t="shared" ca="1" si="166"/>
        <v>149</v>
      </c>
      <c r="BX163" s="1">
        <f t="shared" ca="1" si="167"/>
        <v>5.1287625726672914E-3</v>
      </c>
      <c r="BY163" s="1">
        <f t="shared" ca="1" si="168"/>
        <v>1.0808964084740804E-2</v>
      </c>
      <c r="BZ163" s="1">
        <f t="shared" ca="1" si="169"/>
        <v>6.3173009293484461E-2</v>
      </c>
      <c r="CB163" s="1">
        <f t="shared" ca="1" si="170"/>
        <v>302</v>
      </c>
      <c r="CC163" s="1">
        <f t="shared" ca="1" si="171"/>
        <v>7</v>
      </c>
      <c r="CD163" s="1">
        <f t="shared" ca="1" si="172"/>
        <v>0.29910966642215703</v>
      </c>
      <c r="CE163" s="1">
        <f t="shared" ca="1" si="173"/>
        <v>0.83741068285258069</v>
      </c>
      <c r="CF163" s="1">
        <f t="shared" ca="1" si="173"/>
        <v>0.87897627150984037</v>
      </c>
      <c r="CH163" s="3">
        <f t="shared" ca="1" si="174"/>
        <v>0.65048000635308012</v>
      </c>
      <c r="CI163" s="3">
        <f t="shared" ca="1" si="175"/>
        <v>0.69826244208886845</v>
      </c>
      <c r="CJ163" s="3">
        <f t="shared" ca="1" si="176"/>
        <v>301</v>
      </c>
      <c r="CK163" s="3">
        <f t="shared" ca="1" si="177"/>
        <v>8.5085743813262675E-4</v>
      </c>
      <c r="CL163" s="3">
        <f t="shared" ca="1" si="178"/>
        <v>1</v>
      </c>
      <c r="CM163" s="3"/>
      <c r="CN163" s="1">
        <f t="shared" ca="1" si="179"/>
        <v>14.222217796419882</v>
      </c>
      <c r="CO163" s="1">
        <f t="shared" ca="1" si="180"/>
        <v>6.8391800003405848E-2</v>
      </c>
      <c r="CP163" s="1">
        <f t="shared" ca="1" si="181"/>
        <v>2</v>
      </c>
      <c r="DH163" s="1">
        <f t="shared" ca="1" si="182"/>
        <v>347</v>
      </c>
      <c r="DI163" s="1">
        <f t="shared" ca="1" si="183"/>
        <v>0.95833767502359313</v>
      </c>
      <c r="DJ163" s="1">
        <f t="shared" ca="1" si="184"/>
        <v>6</v>
      </c>
      <c r="DL163" s="1">
        <f t="shared" ca="1" si="185"/>
        <v>0.11302586532187421</v>
      </c>
      <c r="DM163" s="1">
        <f t="shared" ca="1" si="186"/>
        <v>72</v>
      </c>
      <c r="DN163" s="1">
        <f t="shared" ca="1" si="187"/>
        <v>6</v>
      </c>
    </row>
    <row r="164" spans="2:118" x14ac:dyDescent="0.25">
      <c r="B164">
        <f t="shared" ca="1" si="126"/>
        <v>413</v>
      </c>
      <c r="C164">
        <f t="shared" ca="1" si="127"/>
        <v>51</v>
      </c>
      <c r="D164">
        <f t="shared" ca="1" si="128"/>
        <v>0.1507483614830071</v>
      </c>
      <c r="F164" s="1">
        <f t="shared" ca="1" si="129"/>
        <v>37</v>
      </c>
      <c r="G164" s="1">
        <f t="shared" ca="1" si="130"/>
        <v>9</v>
      </c>
      <c r="H164" s="1">
        <f t="shared" ca="1" si="131"/>
        <v>3</v>
      </c>
      <c r="I164" s="1"/>
      <c r="J164" s="1">
        <f t="shared" ca="1" si="132"/>
        <v>8</v>
      </c>
      <c r="K164" s="1">
        <f t="shared" ca="1" si="133"/>
        <v>2.8557327022164984</v>
      </c>
      <c r="L164" s="1">
        <f t="shared" ca="1" si="134"/>
        <v>3</v>
      </c>
      <c r="M164" s="1"/>
      <c r="N164" s="1">
        <f t="shared" ca="1" si="135"/>
        <v>397</v>
      </c>
      <c r="O164" s="1">
        <f t="shared" ca="1" si="136"/>
        <v>25</v>
      </c>
      <c r="P164" s="1"/>
      <c r="Q164" s="1">
        <f t="shared" ca="1" si="137"/>
        <v>4.1740326190253585</v>
      </c>
      <c r="R164" s="1">
        <f t="shared" ca="1" si="138"/>
        <v>293</v>
      </c>
      <c r="S164" s="1"/>
      <c r="T164" s="1">
        <f t="shared" ca="1" si="139"/>
        <v>4.9449799905525539E-2</v>
      </c>
      <c r="U164" s="1">
        <f t="shared" ca="1" si="140"/>
        <v>69</v>
      </c>
      <c r="V164" s="1">
        <f t="shared" ca="1" si="141"/>
        <v>7</v>
      </c>
      <c r="W164" s="1"/>
      <c r="X164" s="1">
        <f t="shared" ca="1" si="142"/>
        <v>9.9659125299481222</v>
      </c>
      <c r="Y164" s="1">
        <f t="shared" ca="1" si="143"/>
        <v>0.61057907701684921</v>
      </c>
      <c r="Z164" s="1">
        <f t="shared" ca="1" si="144"/>
        <v>1506</v>
      </c>
      <c r="AB164" s="1">
        <f t="shared" ca="1" si="145"/>
        <v>8.5376324464655817E-2</v>
      </c>
      <c r="AC164" s="1">
        <f t="shared" ca="1" si="146"/>
        <v>521</v>
      </c>
      <c r="AD164" s="1">
        <f t="shared" ca="1" si="147"/>
        <v>4.8429448486473755E-3</v>
      </c>
      <c r="AE164" s="1"/>
      <c r="AF164" s="1">
        <f t="shared" ca="1" si="148"/>
        <v>0.45995152163986297</v>
      </c>
      <c r="AG164" s="1">
        <f t="shared" ca="1" si="149"/>
        <v>157</v>
      </c>
      <c r="AH164" s="1">
        <f t="shared" ca="1" si="150"/>
        <v>3.220173799137741E-3</v>
      </c>
      <c r="AJ164" s="1">
        <f t="shared" ca="1" si="151"/>
        <v>3.2893722780751755E-2</v>
      </c>
      <c r="AK164" s="1">
        <f t="shared" ca="1" si="152"/>
        <v>8.7979007354869951E-3</v>
      </c>
      <c r="AL164" s="1"/>
      <c r="AM164" s="1">
        <f t="shared" ca="1" si="153"/>
        <v>7.0397897356562142E-2</v>
      </c>
      <c r="AN164" s="1">
        <f t="shared" ca="1" si="154"/>
        <v>69</v>
      </c>
      <c r="AO164" s="1">
        <f t="shared" ca="1" si="155"/>
        <v>13</v>
      </c>
      <c r="AQ164" s="1">
        <f t="shared" ca="1" si="156"/>
        <v>95</v>
      </c>
      <c r="AR164" s="1">
        <f t="shared" ca="1" si="157"/>
        <v>1</v>
      </c>
      <c r="AS164" s="1">
        <f t="shared" ca="1" si="158"/>
        <v>17</v>
      </c>
      <c r="AU164" s="1">
        <f t="shared" ca="1" si="159"/>
        <v>158</v>
      </c>
      <c r="AV164" s="1">
        <f t="shared" ca="1" si="160"/>
        <v>7</v>
      </c>
      <c r="AW164" s="1">
        <f t="shared" ca="1" si="161"/>
        <v>1.0976731441565097E-2</v>
      </c>
      <c r="AY164" s="1">
        <f t="shared" ca="1" si="162"/>
        <v>1.9665309936141706</v>
      </c>
      <c r="AZ164" s="1">
        <f t="shared" ca="1" si="163"/>
        <v>59</v>
      </c>
      <c r="BA164" s="1">
        <f t="shared" ca="1" si="164"/>
        <v>9.0747239823189135E-3</v>
      </c>
      <c r="BV164" s="1">
        <f t="shared" ca="1" si="165"/>
        <v>0.49703595813701473</v>
      </c>
      <c r="BW164" s="1">
        <f t="shared" ca="1" si="166"/>
        <v>438</v>
      </c>
      <c r="BX164" s="1">
        <f t="shared" ca="1" si="167"/>
        <v>6.8447642041238425E-3</v>
      </c>
      <c r="BY164" s="1">
        <f t="shared" ca="1" si="168"/>
        <v>8.2435653795188288E-2</v>
      </c>
      <c r="BZ164" s="1">
        <f t="shared" ca="1" si="169"/>
        <v>0.47944999999398097</v>
      </c>
      <c r="CB164" s="1">
        <f t="shared" ca="1" si="170"/>
        <v>174</v>
      </c>
      <c r="CC164" s="1">
        <f t="shared" ca="1" si="171"/>
        <v>14</v>
      </c>
      <c r="CD164" s="1">
        <f t="shared" ca="1" si="172"/>
        <v>1.6305888703921245E-2</v>
      </c>
      <c r="CE164" s="1">
        <f t="shared" ref="CE164:CF202" ca="1" si="188">RAND()*(1-0.5)+0.5</f>
        <v>0.69509914868908551</v>
      </c>
      <c r="CF164" s="1">
        <f t="shared" ca="1" si="188"/>
        <v>0.83489488855848126</v>
      </c>
      <c r="CH164" s="3">
        <f t="shared" ca="1" si="174"/>
        <v>0.37045264643972292</v>
      </c>
      <c r="CI164" s="3">
        <f t="shared" ca="1" si="175"/>
        <v>0.69531748965858753</v>
      </c>
      <c r="CJ164" s="3">
        <f t="shared" ca="1" si="176"/>
        <v>1267</v>
      </c>
      <c r="CK164" s="3">
        <f t="shared" ca="1" si="177"/>
        <v>9.3094646052800031E-3</v>
      </c>
      <c r="CL164" s="3">
        <f t="shared" ca="1" si="178"/>
        <v>0</v>
      </c>
      <c r="CM164" s="3"/>
      <c r="CN164" s="1">
        <f t="shared" ca="1" si="179"/>
        <v>5.4941777138971375</v>
      </c>
      <c r="CO164" s="1">
        <f t="shared" ca="1" si="180"/>
        <v>0.26370857931964664</v>
      </c>
      <c r="CP164" s="1">
        <f t="shared" ca="1" si="181"/>
        <v>5</v>
      </c>
      <c r="DH164" s="1">
        <f t="shared" ca="1" si="182"/>
        <v>66</v>
      </c>
      <c r="DI164" s="1">
        <f t="shared" ca="1" si="183"/>
        <v>0.38294345128567908</v>
      </c>
      <c r="DJ164" s="1">
        <f t="shared" ca="1" si="184"/>
        <v>22</v>
      </c>
      <c r="DL164" s="1">
        <f t="shared" ca="1" si="185"/>
        <v>0.14704248044411086</v>
      </c>
      <c r="DM164" s="1">
        <f t="shared" ca="1" si="186"/>
        <v>154</v>
      </c>
      <c r="DN164" s="1">
        <f t="shared" ca="1" si="187"/>
        <v>10</v>
      </c>
    </row>
    <row r="165" spans="2:118" x14ac:dyDescent="0.25">
      <c r="B165">
        <f t="shared" ca="1" si="126"/>
        <v>122</v>
      </c>
      <c r="C165">
        <f t="shared" ca="1" si="127"/>
        <v>18</v>
      </c>
      <c r="D165">
        <f t="shared" ca="1" si="128"/>
        <v>0.13228568173236971</v>
      </c>
      <c r="F165" s="1">
        <f t="shared" ca="1" si="129"/>
        <v>42</v>
      </c>
      <c r="G165" s="1">
        <f t="shared" ca="1" si="130"/>
        <v>21</v>
      </c>
      <c r="H165" s="1">
        <f t="shared" ca="1" si="131"/>
        <v>13</v>
      </c>
      <c r="I165" s="1"/>
      <c r="J165" s="1">
        <f t="shared" ca="1" si="132"/>
        <v>35</v>
      </c>
      <c r="K165" s="1">
        <f t="shared" ca="1" si="133"/>
        <v>1.3980694253175139</v>
      </c>
      <c r="L165" s="1">
        <f t="shared" ca="1" si="134"/>
        <v>13</v>
      </c>
      <c r="M165" s="1"/>
      <c r="N165" s="1">
        <f t="shared" ca="1" si="135"/>
        <v>853</v>
      </c>
      <c r="O165" s="1">
        <f t="shared" ca="1" si="136"/>
        <v>21</v>
      </c>
      <c r="P165" s="1"/>
      <c r="Q165" s="1">
        <f t="shared" ca="1" si="137"/>
        <v>4.4272847263843165</v>
      </c>
      <c r="R165" s="1">
        <f t="shared" ca="1" si="138"/>
        <v>1031</v>
      </c>
      <c r="S165" s="1"/>
      <c r="T165" s="1">
        <f t="shared" ca="1" si="139"/>
        <v>9.9725851648906669E-2</v>
      </c>
      <c r="U165" s="1">
        <f t="shared" ca="1" si="140"/>
        <v>147</v>
      </c>
      <c r="V165" s="1">
        <f t="shared" ca="1" si="141"/>
        <v>50</v>
      </c>
      <c r="W165" s="1"/>
      <c r="X165" s="1">
        <f t="shared" ca="1" si="142"/>
        <v>5.396952353431419</v>
      </c>
      <c r="Y165" s="1">
        <f t="shared" ca="1" si="143"/>
        <v>0.7220919522958168</v>
      </c>
      <c r="Z165" s="1">
        <f t="shared" ca="1" si="144"/>
        <v>443</v>
      </c>
      <c r="AB165" s="1">
        <f t="shared" ca="1" si="145"/>
        <v>0.65907245394673386</v>
      </c>
      <c r="AC165" s="1">
        <f t="shared" ca="1" si="146"/>
        <v>708</v>
      </c>
      <c r="AD165" s="1">
        <f t="shared" ca="1" si="147"/>
        <v>3.8140900007810545E-3</v>
      </c>
      <c r="AE165" s="1"/>
      <c r="AF165" s="1">
        <f t="shared" ca="1" si="148"/>
        <v>0.37535853013689902</v>
      </c>
      <c r="AG165" s="1">
        <f t="shared" ca="1" si="149"/>
        <v>413</v>
      </c>
      <c r="AH165" s="1">
        <f t="shared" ca="1" si="150"/>
        <v>9.7963538403197568E-4</v>
      </c>
      <c r="AJ165" s="1">
        <f t="shared" ca="1" si="151"/>
        <v>0.88196612026879484</v>
      </c>
      <c r="AK165" s="1">
        <f t="shared" ca="1" si="152"/>
        <v>4.0304698561581184E-3</v>
      </c>
      <c r="AL165" s="1"/>
      <c r="AM165" s="1">
        <f t="shared" ca="1" si="153"/>
        <v>0.10579395151472962</v>
      </c>
      <c r="AN165" s="1">
        <f t="shared" ca="1" si="154"/>
        <v>37</v>
      </c>
      <c r="AO165" s="1">
        <f t="shared" ca="1" si="155"/>
        <v>-1</v>
      </c>
      <c r="AQ165" s="1">
        <f t="shared" ca="1" si="156"/>
        <v>36</v>
      </c>
      <c r="AR165" s="1">
        <f t="shared" ca="1" si="157"/>
        <v>1</v>
      </c>
      <c r="AS165" s="1">
        <f t="shared" ca="1" si="158"/>
        <v>72</v>
      </c>
      <c r="AU165" s="1">
        <f t="shared" ca="1" si="159"/>
        <v>305</v>
      </c>
      <c r="AV165" s="1">
        <f t="shared" ca="1" si="160"/>
        <v>8</v>
      </c>
      <c r="AW165" s="1">
        <f t="shared" ca="1" si="161"/>
        <v>6.8744609648863905E-2</v>
      </c>
      <c r="AY165" s="1">
        <f t="shared" ca="1" si="162"/>
        <v>1.1962515477581457</v>
      </c>
      <c r="AZ165" s="1">
        <f t="shared" ca="1" si="163"/>
        <v>495</v>
      </c>
      <c r="BA165" s="1">
        <f t="shared" ca="1" si="164"/>
        <v>2.0702457445843751E-3</v>
      </c>
      <c r="BV165" s="1">
        <f t="shared" ca="1" si="165"/>
        <v>9.9735366355426722E-2</v>
      </c>
      <c r="BW165" s="1">
        <f t="shared" ca="1" si="166"/>
        <v>861</v>
      </c>
      <c r="BX165" s="1">
        <f t="shared" ca="1" si="167"/>
        <v>8.7430960034442298E-3</v>
      </c>
      <c r="BY165" s="1">
        <f t="shared" ca="1" si="168"/>
        <v>6.1066103355987229E-2</v>
      </c>
      <c r="BZ165" s="1">
        <f t="shared" ca="1" si="169"/>
        <v>0.26894185566526185</v>
      </c>
      <c r="CB165" s="1">
        <f t="shared" ca="1" si="170"/>
        <v>353</v>
      </c>
      <c r="CC165" s="1">
        <f t="shared" ca="1" si="171"/>
        <v>5</v>
      </c>
      <c r="CD165" s="1">
        <f t="shared" ca="1" si="172"/>
        <v>3.5760786798424461E-2</v>
      </c>
      <c r="CE165" s="1">
        <f t="shared" ca="1" si="188"/>
        <v>0.54086778718743656</v>
      </c>
      <c r="CF165" s="1">
        <f t="shared" ca="1" si="188"/>
        <v>0.95910594896559187</v>
      </c>
      <c r="CH165" s="3">
        <f t="shared" ca="1" si="174"/>
        <v>8.7638286883214081E-2</v>
      </c>
      <c r="CI165" s="3">
        <f t="shared" ca="1" si="175"/>
        <v>0.11403532662166138</v>
      </c>
      <c r="CJ165" s="3">
        <f t="shared" ca="1" si="176"/>
        <v>239</v>
      </c>
      <c r="CK165" s="3">
        <f t="shared" ca="1" si="177"/>
        <v>2.8897490851687756E-4</v>
      </c>
      <c r="CL165" s="3">
        <f t="shared" ca="1" si="178"/>
        <v>0</v>
      </c>
      <c r="CM165" s="3"/>
      <c r="CN165" s="1">
        <f t="shared" ca="1" si="179"/>
        <v>18.314334111205529</v>
      </c>
      <c r="CO165" s="1">
        <f t="shared" ca="1" si="180"/>
        <v>0.19534593394897129</v>
      </c>
      <c r="CP165" s="1">
        <f t="shared" ca="1" si="181"/>
        <v>2</v>
      </c>
      <c r="DH165" s="1">
        <f t="shared" ca="1" si="182"/>
        <v>327</v>
      </c>
      <c r="DI165" s="1">
        <f t="shared" ca="1" si="183"/>
        <v>0.98732978479371059</v>
      </c>
      <c r="DJ165" s="1">
        <f t="shared" ca="1" si="184"/>
        <v>1</v>
      </c>
      <c r="DL165" s="1">
        <f t="shared" ca="1" si="185"/>
        <v>0.1940020774560165</v>
      </c>
      <c r="DM165" s="1">
        <f t="shared" ca="1" si="186"/>
        <v>131</v>
      </c>
      <c r="DN165" s="1">
        <f t="shared" ca="1" si="187"/>
        <v>6</v>
      </c>
    </row>
    <row r="166" spans="2:118" x14ac:dyDescent="0.25">
      <c r="B166">
        <f t="shared" ca="1" si="126"/>
        <v>513</v>
      </c>
      <c r="C166">
        <f t="shared" ca="1" si="127"/>
        <v>40</v>
      </c>
      <c r="D166">
        <f t="shared" ca="1" si="128"/>
        <v>0.15059613201044325</v>
      </c>
      <c r="F166" s="1">
        <f t="shared" ca="1" si="129"/>
        <v>19</v>
      </c>
      <c r="G166" s="1">
        <f t="shared" ca="1" si="130"/>
        <v>20</v>
      </c>
      <c r="H166" s="1">
        <f t="shared" ca="1" si="131"/>
        <v>11</v>
      </c>
      <c r="I166" s="1"/>
      <c r="J166" s="1">
        <f t="shared" ca="1" si="132"/>
        <v>26</v>
      </c>
      <c r="K166" s="1">
        <f t="shared" ca="1" si="133"/>
        <v>2.3178932654641571</v>
      </c>
      <c r="L166" s="1">
        <f t="shared" ca="1" si="134"/>
        <v>28</v>
      </c>
      <c r="M166" s="1"/>
      <c r="N166" s="1">
        <f t="shared" ca="1" si="135"/>
        <v>929</v>
      </c>
      <c r="O166" s="1">
        <f t="shared" ca="1" si="136"/>
        <v>20</v>
      </c>
      <c r="P166" s="1"/>
      <c r="Q166" s="1">
        <f t="shared" ca="1" si="137"/>
        <v>6.0682058796426339E-2</v>
      </c>
      <c r="R166" s="1">
        <f t="shared" ca="1" si="138"/>
        <v>852</v>
      </c>
      <c r="S166" s="1"/>
      <c r="T166" s="1">
        <f t="shared" ca="1" si="139"/>
        <v>0.14570646776898893</v>
      </c>
      <c r="U166" s="1">
        <f t="shared" ca="1" si="140"/>
        <v>122</v>
      </c>
      <c r="V166" s="1">
        <f t="shared" ca="1" si="141"/>
        <v>37</v>
      </c>
      <c r="W166" s="1"/>
      <c r="X166" s="1">
        <f t="shared" ca="1" si="142"/>
        <v>6.6019425969276764</v>
      </c>
      <c r="Y166" s="1">
        <f t="shared" ca="1" si="143"/>
        <v>0.26843890260458564</v>
      </c>
      <c r="Z166" s="1">
        <f t="shared" ca="1" si="144"/>
        <v>1596</v>
      </c>
      <c r="AB166" s="1">
        <f t="shared" ca="1" si="145"/>
        <v>0.69201927895605098</v>
      </c>
      <c r="AC166" s="1">
        <f t="shared" ca="1" si="146"/>
        <v>114</v>
      </c>
      <c r="AD166" s="1">
        <f t="shared" ca="1" si="147"/>
        <v>2.377143232387427E-3</v>
      </c>
      <c r="AE166" s="1"/>
      <c r="AF166" s="1">
        <f t="shared" ca="1" si="148"/>
        <v>0.79318444804527866</v>
      </c>
      <c r="AG166" s="1">
        <f t="shared" ca="1" si="149"/>
        <v>329</v>
      </c>
      <c r="AH166" s="1">
        <f t="shared" ca="1" si="150"/>
        <v>8.3381706238786837E-3</v>
      </c>
      <c r="AJ166" s="1">
        <f t="shared" ca="1" si="151"/>
        <v>0.40885541565892913</v>
      </c>
      <c r="AK166" s="1">
        <f t="shared" ca="1" si="152"/>
        <v>2.6916832436814438E-3</v>
      </c>
      <c r="AL166" s="1"/>
      <c r="AM166" s="1">
        <f t="shared" ca="1" si="153"/>
        <v>0.18289668140705789</v>
      </c>
      <c r="AN166" s="1">
        <f t="shared" ca="1" si="154"/>
        <v>35</v>
      </c>
      <c r="AO166" s="1">
        <f t="shared" ca="1" si="155"/>
        <v>0</v>
      </c>
      <c r="AQ166" s="1">
        <f t="shared" ca="1" si="156"/>
        <v>89</v>
      </c>
      <c r="AR166" s="1">
        <f t="shared" ca="1" si="157"/>
        <v>3</v>
      </c>
      <c r="AS166" s="1">
        <f t="shared" ca="1" si="158"/>
        <v>35</v>
      </c>
      <c r="AU166" s="1">
        <f t="shared" ca="1" si="159"/>
        <v>195</v>
      </c>
      <c r="AV166" s="1">
        <f t="shared" ca="1" si="160"/>
        <v>9</v>
      </c>
      <c r="AW166" s="1">
        <f t="shared" ca="1" si="161"/>
        <v>5.1905424085636261E-2</v>
      </c>
      <c r="AY166" s="1">
        <f t="shared" ca="1" si="162"/>
        <v>1.8847530624962066</v>
      </c>
      <c r="AZ166" s="1">
        <f t="shared" ca="1" si="163"/>
        <v>413</v>
      </c>
      <c r="BA166" s="1">
        <f t="shared" ca="1" si="164"/>
        <v>5.7911621301325791E-3</v>
      </c>
      <c r="BV166" s="1">
        <f t="shared" ca="1" si="165"/>
        <v>0.50446239778427993</v>
      </c>
      <c r="BW166" s="1">
        <f t="shared" ca="1" si="166"/>
        <v>585</v>
      </c>
      <c r="BX166" s="1">
        <f t="shared" ca="1" si="167"/>
        <v>2.6707727558373468E-3</v>
      </c>
      <c r="BY166" s="1">
        <f t="shared" ca="1" si="168"/>
        <v>7.6178989649516041E-2</v>
      </c>
      <c r="BZ166" s="1">
        <f t="shared" ca="1" si="169"/>
        <v>0.34559317171889203</v>
      </c>
      <c r="CB166" s="1">
        <f t="shared" ca="1" si="170"/>
        <v>224</v>
      </c>
      <c r="CC166" s="1">
        <f t="shared" ca="1" si="171"/>
        <v>9</v>
      </c>
      <c r="CD166" s="1">
        <f t="shared" ca="1" si="172"/>
        <v>0.28948356059782165</v>
      </c>
      <c r="CE166" s="1">
        <f t="shared" ca="1" si="188"/>
        <v>0.98862769098328784</v>
      </c>
      <c r="CF166" s="1">
        <f t="shared" ca="1" si="188"/>
        <v>0.93161674188093113</v>
      </c>
      <c r="CH166" s="3">
        <f t="shared" ca="1" si="174"/>
        <v>1.6062686471253813E-2</v>
      </c>
      <c r="CI166" s="3">
        <f t="shared" ca="1" si="175"/>
        <v>0.90134442213165544</v>
      </c>
      <c r="CJ166" s="3">
        <f t="shared" ca="1" si="176"/>
        <v>404</v>
      </c>
      <c r="CK166" s="3">
        <f t="shared" ca="1" si="177"/>
        <v>3.3386466647345242E-3</v>
      </c>
      <c r="CL166" s="3">
        <f t="shared" ca="1" si="178"/>
        <v>0</v>
      </c>
      <c r="CM166" s="3"/>
      <c r="CN166" s="1">
        <f t="shared" ca="1" si="179"/>
        <v>1.8353942159359622</v>
      </c>
      <c r="CO166" s="1">
        <f t="shared" ca="1" si="180"/>
        <v>0.38698489454311269</v>
      </c>
      <c r="CP166" s="1">
        <f t="shared" ca="1" si="181"/>
        <v>3</v>
      </c>
      <c r="DH166" s="1">
        <f t="shared" ca="1" si="182"/>
        <v>588</v>
      </c>
      <c r="DI166" s="1">
        <f t="shared" ca="1" si="183"/>
        <v>0.25668246883060314</v>
      </c>
      <c r="DJ166" s="1">
        <f t="shared" ca="1" si="184"/>
        <v>27</v>
      </c>
      <c r="DL166" s="1">
        <f t="shared" ca="1" si="185"/>
        <v>0.11988566692256633</v>
      </c>
      <c r="DM166" s="1">
        <f t="shared" ca="1" si="186"/>
        <v>276</v>
      </c>
      <c r="DN166" s="1">
        <f t="shared" ca="1" si="187"/>
        <v>8</v>
      </c>
    </row>
    <row r="167" spans="2:118" x14ac:dyDescent="0.25">
      <c r="B167">
        <f t="shared" ca="1" si="126"/>
        <v>69</v>
      </c>
      <c r="C167">
        <f t="shared" ca="1" si="127"/>
        <v>16</v>
      </c>
      <c r="D167">
        <f t="shared" ca="1" si="128"/>
        <v>2.7196609663103583E-2</v>
      </c>
      <c r="F167" s="1">
        <f t="shared" ca="1" si="129"/>
        <v>3</v>
      </c>
      <c r="G167" s="1">
        <f t="shared" ca="1" si="130"/>
        <v>19</v>
      </c>
      <c r="H167" s="1">
        <f t="shared" ca="1" si="131"/>
        <v>14</v>
      </c>
      <c r="I167" s="1"/>
      <c r="J167" s="1">
        <f t="shared" ca="1" si="132"/>
        <v>19</v>
      </c>
      <c r="K167" s="1">
        <f t="shared" ca="1" si="133"/>
        <v>1.4358618566607737</v>
      </c>
      <c r="L167" s="1">
        <f t="shared" ca="1" si="134"/>
        <v>6</v>
      </c>
      <c r="M167" s="1"/>
      <c r="N167" s="1">
        <f t="shared" ca="1" si="135"/>
        <v>321</v>
      </c>
      <c r="O167" s="1">
        <f t="shared" ca="1" si="136"/>
        <v>52</v>
      </c>
      <c r="P167" s="1"/>
      <c r="Q167" s="1">
        <f t="shared" ca="1" si="137"/>
        <v>2.5027407076288175</v>
      </c>
      <c r="R167" s="1">
        <f t="shared" ca="1" si="138"/>
        <v>671</v>
      </c>
      <c r="S167" s="1"/>
      <c r="T167" s="1">
        <f t="shared" ca="1" si="139"/>
        <v>7.9980961023018979E-2</v>
      </c>
      <c r="U167" s="1">
        <f t="shared" ca="1" si="140"/>
        <v>115</v>
      </c>
      <c r="V167" s="1">
        <f t="shared" ca="1" si="141"/>
        <v>2</v>
      </c>
      <c r="W167" s="1"/>
      <c r="X167" s="1">
        <f t="shared" ca="1" si="142"/>
        <v>8.5199292796263908</v>
      </c>
      <c r="Y167" s="1">
        <f t="shared" ca="1" si="143"/>
        <v>0.54965063465997011</v>
      </c>
      <c r="Z167" s="1">
        <f t="shared" ca="1" si="144"/>
        <v>1005</v>
      </c>
      <c r="AB167" s="1">
        <f t="shared" ca="1" si="145"/>
        <v>3.7069377098125744E-2</v>
      </c>
      <c r="AC167" s="1">
        <f t="shared" ca="1" si="146"/>
        <v>123</v>
      </c>
      <c r="AD167" s="1">
        <f t="shared" ca="1" si="147"/>
        <v>2.8104999459185225E-3</v>
      </c>
      <c r="AE167" s="1"/>
      <c r="AF167" s="1">
        <f t="shared" ca="1" si="148"/>
        <v>0.65483932235509434</v>
      </c>
      <c r="AG167" s="1">
        <f t="shared" ca="1" si="149"/>
        <v>819</v>
      </c>
      <c r="AH167" s="1">
        <f t="shared" ca="1" si="150"/>
        <v>1.6314855391845464E-3</v>
      </c>
      <c r="AJ167" s="1">
        <f t="shared" ca="1" si="151"/>
        <v>0.61031001701592191</v>
      </c>
      <c r="AK167" s="1">
        <f t="shared" ca="1" si="152"/>
        <v>1.6709269384163905E-3</v>
      </c>
      <c r="AL167" s="1"/>
      <c r="AM167" s="1">
        <f t="shared" ca="1" si="153"/>
        <v>0.15984606551784555</v>
      </c>
      <c r="AN167" s="1">
        <f t="shared" ca="1" si="154"/>
        <v>60</v>
      </c>
      <c r="AO167" s="1">
        <f t="shared" ca="1" si="155"/>
        <v>17</v>
      </c>
      <c r="AQ167" s="1">
        <f t="shared" ca="1" si="156"/>
        <v>62</v>
      </c>
      <c r="AR167" s="1">
        <f t="shared" ca="1" si="157"/>
        <v>2</v>
      </c>
      <c r="AS167" s="1">
        <f t="shared" ca="1" si="158"/>
        <v>66</v>
      </c>
      <c r="AU167" s="1">
        <f t="shared" ca="1" si="159"/>
        <v>211</v>
      </c>
      <c r="AV167" s="1">
        <f t="shared" ca="1" si="160"/>
        <v>4</v>
      </c>
      <c r="AW167" s="1">
        <f t="shared" ca="1" si="161"/>
        <v>5.8345375816329988E-2</v>
      </c>
      <c r="AY167" s="1">
        <f t="shared" ca="1" si="162"/>
        <v>1.556041634656772</v>
      </c>
      <c r="AZ167" s="1">
        <f t="shared" ca="1" si="163"/>
        <v>448</v>
      </c>
      <c r="BA167" s="1">
        <f t="shared" ca="1" si="164"/>
        <v>9.1014316987789706E-3</v>
      </c>
      <c r="BV167" s="1">
        <f t="shared" ca="1" si="165"/>
        <v>0.24415189702249807</v>
      </c>
      <c r="BW167" s="1">
        <f t="shared" ca="1" si="166"/>
        <v>776</v>
      </c>
      <c r="BX167" s="1">
        <f t="shared" ca="1" si="167"/>
        <v>3.4644835092164025E-3</v>
      </c>
      <c r="BY167" s="1">
        <f t="shared" ca="1" si="168"/>
        <v>3.8704228803628983E-2</v>
      </c>
      <c r="BZ167" s="1">
        <f t="shared" ca="1" si="169"/>
        <v>0.53649524622264022</v>
      </c>
      <c r="CB167" s="1">
        <f t="shared" ca="1" si="170"/>
        <v>423</v>
      </c>
      <c r="CC167" s="1">
        <f t="shared" ca="1" si="171"/>
        <v>12</v>
      </c>
      <c r="CD167" s="1">
        <f t="shared" ca="1" si="172"/>
        <v>0.26617862818324362</v>
      </c>
      <c r="CE167" s="1">
        <f t="shared" ca="1" si="188"/>
        <v>0.56141272450713142</v>
      </c>
      <c r="CF167" s="1">
        <f t="shared" ca="1" si="188"/>
        <v>0.56502320918514604</v>
      </c>
      <c r="CH167" s="3">
        <f t="shared" ca="1" si="174"/>
        <v>0.23752340129574007</v>
      </c>
      <c r="CI167" s="3">
        <f t="shared" ca="1" si="175"/>
        <v>0.53712299925552376</v>
      </c>
      <c r="CJ167" s="3">
        <f t="shared" ca="1" si="176"/>
        <v>695</v>
      </c>
      <c r="CK167" s="3">
        <f t="shared" ca="1" si="177"/>
        <v>6.405164962500055E-3</v>
      </c>
      <c r="CL167" s="3">
        <f t="shared" ca="1" si="178"/>
        <v>1</v>
      </c>
      <c r="CM167" s="3"/>
      <c r="CN167" s="1">
        <f t="shared" ca="1" si="179"/>
        <v>0.61342793961374054</v>
      </c>
      <c r="CO167" s="1">
        <f t="shared" ca="1" si="180"/>
        <v>0.13260801778619127</v>
      </c>
      <c r="CP167" s="1">
        <f t="shared" ca="1" si="181"/>
        <v>5</v>
      </c>
      <c r="DH167" s="1">
        <f t="shared" ca="1" si="182"/>
        <v>615</v>
      </c>
      <c r="DI167" s="1">
        <f t="shared" ca="1" si="183"/>
        <v>0.67039927936089627</v>
      </c>
      <c r="DJ167" s="1">
        <f t="shared" ca="1" si="184"/>
        <v>21</v>
      </c>
      <c r="DL167" s="1">
        <f t="shared" ca="1" si="185"/>
        <v>6.3054193193207195E-2</v>
      </c>
      <c r="DM167" s="1">
        <f t="shared" ca="1" si="186"/>
        <v>283</v>
      </c>
      <c r="DN167" s="1">
        <f t="shared" ca="1" si="187"/>
        <v>4</v>
      </c>
    </row>
    <row r="168" spans="2:118" x14ac:dyDescent="0.25">
      <c r="B168">
        <f t="shared" ca="1" si="126"/>
        <v>815</v>
      </c>
      <c r="C168">
        <f t="shared" ca="1" si="127"/>
        <v>50</v>
      </c>
      <c r="D168">
        <f t="shared" ca="1" si="128"/>
        <v>0.2123936733462409</v>
      </c>
      <c r="F168" s="1">
        <f t="shared" ca="1" si="129"/>
        <v>38</v>
      </c>
      <c r="G168" s="1">
        <f t="shared" ca="1" si="130"/>
        <v>29</v>
      </c>
      <c r="H168" s="1">
        <f t="shared" ca="1" si="131"/>
        <v>5</v>
      </c>
      <c r="I168" s="1"/>
      <c r="J168" s="1">
        <f t="shared" ca="1" si="132"/>
        <v>3</v>
      </c>
      <c r="K168" s="1">
        <f t="shared" ca="1" si="133"/>
        <v>1.2778197812011451</v>
      </c>
      <c r="L168" s="1">
        <f t="shared" ca="1" si="134"/>
        <v>16</v>
      </c>
      <c r="M168" s="1"/>
      <c r="N168" s="1">
        <f t="shared" ca="1" si="135"/>
        <v>824</v>
      </c>
      <c r="O168" s="1">
        <f t="shared" ca="1" si="136"/>
        <v>8</v>
      </c>
      <c r="P168" s="1"/>
      <c r="Q168" s="1">
        <f t="shared" ca="1" si="137"/>
        <v>1.9839044782721709</v>
      </c>
      <c r="R168" s="1">
        <f t="shared" ca="1" si="138"/>
        <v>246</v>
      </c>
      <c r="S168" s="1"/>
      <c r="T168" s="1">
        <f t="shared" ca="1" si="139"/>
        <v>8.3881895185055219E-2</v>
      </c>
      <c r="U168" s="1">
        <f t="shared" ca="1" si="140"/>
        <v>157</v>
      </c>
      <c r="V168" s="1">
        <f t="shared" ca="1" si="141"/>
        <v>33</v>
      </c>
      <c r="W168" s="1"/>
      <c r="X168" s="1">
        <f t="shared" ca="1" si="142"/>
        <v>1.5303217855019755</v>
      </c>
      <c r="Y168" s="1">
        <f t="shared" ca="1" si="143"/>
        <v>0.48596285858754495</v>
      </c>
      <c r="Z168" s="1">
        <f t="shared" ca="1" si="144"/>
        <v>703</v>
      </c>
      <c r="AB168" s="1">
        <f t="shared" ca="1" si="145"/>
        <v>0.65467992110419182</v>
      </c>
      <c r="AC168" s="1">
        <f t="shared" ca="1" si="146"/>
        <v>754</v>
      </c>
      <c r="AD168" s="1">
        <f t="shared" ca="1" si="147"/>
        <v>3.1090258664532248E-3</v>
      </c>
      <c r="AE168" s="1"/>
      <c r="AF168" s="1">
        <f t="shared" ca="1" si="148"/>
        <v>0.60043962458360756</v>
      </c>
      <c r="AG168" s="1">
        <f t="shared" ca="1" si="149"/>
        <v>613</v>
      </c>
      <c r="AH168" s="1">
        <f t="shared" ca="1" si="150"/>
        <v>3.7121581867453645E-3</v>
      </c>
      <c r="AJ168" s="1">
        <f t="shared" ca="1" si="151"/>
        <v>0.81601181578943482</v>
      </c>
      <c r="AK168" s="1">
        <f t="shared" ca="1" si="152"/>
        <v>4.1833262955082206E-3</v>
      </c>
      <c r="AL168" s="1"/>
      <c r="AM168" s="1">
        <f t="shared" ca="1" si="153"/>
        <v>8.7970151592664539E-2</v>
      </c>
      <c r="AN168" s="1">
        <f t="shared" ca="1" si="154"/>
        <v>35</v>
      </c>
      <c r="AO168" s="1">
        <f t="shared" ca="1" si="155"/>
        <v>16</v>
      </c>
      <c r="AQ168" s="1">
        <f t="shared" ca="1" si="156"/>
        <v>197</v>
      </c>
      <c r="AR168" s="1">
        <f t="shared" ca="1" si="157"/>
        <v>2</v>
      </c>
      <c r="AS168" s="1">
        <f t="shared" ca="1" si="158"/>
        <v>92</v>
      </c>
      <c r="AU168" s="1">
        <f t="shared" ca="1" si="159"/>
        <v>364</v>
      </c>
      <c r="AV168" s="1">
        <f t="shared" ca="1" si="160"/>
        <v>9</v>
      </c>
      <c r="AW168" s="1">
        <f t="shared" ca="1" si="161"/>
        <v>6.3472944991607008E-2</v>
      </c>
      <c r="AY168" s="1">
        <f t="shared" ca="1" si="162"/>
        <v>1.7274630799423183</v>
      </c>
      <c r="AZ168" s="1">
        <f t="shared" ca="1" si="163"/>
        <v>265</v>
      </c>
      <c r="BA168" s="1">
        <f t="shared" ca="1" si="164"/>
        <v>3.278797817223564E-3</v>
      </c>
      <c r="BV168" s="1">
        <f t="shared" ca="1" si="165"/>
        <v>0.83198607096896193</v>
      </c>
      <c r="BW168" s="1">
        <f t="shared" ca="1" si="166"/>
        <v>555</v>
      </c>
      <c r="BX168" s="1">
        <f t="shared" ca="1" si="167"/>
        <v>8.4550253835560807E-3</v>
      </c>
      <c r="BY168" s="1">
        <f t="shared" ca="1" si="168"/>
        <v>1.4865227403578082E-2</v>
      </c>
      <c r="BZ168" s="1">
        <f t="shared" ca="1" si="169"/>
        <v>0.58515151098817608</v>
      </c>
      <c r="CB168" s="1">
        <f t="shared" ca="1" si="170"/>
        <v>224</v>
      </c>
      <c r="CC168" s="1">
        <f t="shared" ca="1" si="171"/>
        <v>12</v>
      </c>
      <c r="CD168" s="1">
        <f t="shared" ca="1" si="172"/>
        <v>0.25249110761334626</v>
      </c>
      <c r="CE168" s="1">
        <f t="shared" ca="1" si="188"/>
        <v>0.74530046157540952</v>
      </c>
      <c r="CF168" s="1">
        <f t="shared" ca="1" si="188"/>
        <v>0.94718003331029643</v>
      </c>
      <c r="CH168" s="3">
        <f t="shared" ca="1" si="174"/>
        <v>0.1163891995064362</v>
      </c>
      <c r="CI168" s="3">
        <f t="shared" ca="1" si="175"/>
        <v>0.53979847064028919</v>
      </c>
      <c r="CJ168" s="3">
        <f t="shared" ca="1" si="176"/>
        <v>189</v>
      </c>
      <c r="CK168" s="3">
        <f t="shared" ca="1" si="177"/>
        <v>9.295049119753573E-3</v>
      </c>
      <c r="CL168" s="3">
        <f t="shared" ca="1" si="178"/>
        <v>0</v>
      </c>
      <c r="CM168" s="3"/>
      <c r="CN168" s="1">
        <f t="shared" ca="1" si="179"/>
        <v>8.9438833852650088</v>
      </c>
      <c r="CO168" s="1">
        <f t="shared" ca="1" si="180"/>
        <v>0.40327503896070083</v>
      </c>
      <c r="CP168" s="1">
        <f t="shared" ca="1" si="181"/>
        <v>3</v>
      </c>
      <c r="DH168" s="1">
        <f t="shared" ca="1" si="182"/>
        <v>859</v>
      </c>
      <c r="DI168" s="1">
        <f t="shared" ca="1" si="183"/>
        <v>0.28912584097263783</v>
      </c>
      <c r="DJ168" s="1">
        <f t="shared" ca="1" si="184"/>
        <v>26</v>
      </c>
      <c r="DL168" s="1">
        <f t="shared" ca="1" si="185"/>
        <v>5.2281011319409036E-2</v>
      </c>
      <c r="DM168" s="1">
        <f t="shared" ca="1" si="186"/>
        <v>166</v>
      </c>
      <c r="DN168" s="1">
        <f t="shared" ca="1" si="187"/>
        <v>2</v>
      </c>
    </row>
    <row r="169" spans="2:118" x14ac:dyDescent="0.25">
      <c r="B169">
        <f t="shared" ca="1" si="126"/>
        <v>546</v>
      </c>
      <c r="C169">
        <f t="shared" ca="1" si="127"/>
        <v>19</v>
      </c>
      <c r="D169">
        <f t="shared" ca="1" si="128"/>
        <v>0.12694057030592018</v>
      </c>
      <c r="F169" s="1">
        <f t="shared" ca="1" si="129"/>
        <v>29</v>
      </c>
      <c r="G169" s="1">
        <f t="shared" ca="1" si="130"/>
        <v>17</v>
      </c>
      <c r="H169" s="1">
        <f t="shared" ca="1" si="131"/>
        <v>6</v>
      </c>
      <c r="I169" s="1"/>
      <c r="J169" s="1">
        <f t="shared" ca="1" si="132"/>
        <v>16</v>
      </c>
      <c r="K169" s="1">
        <f t="shared" ca="1" si="133"/>
        <v>1.3098367905122474</v>
      </c>
      <c r="L169" s="1">
        <f t="shared" ca="1" si="134"/>
        <v>3</v>
      </c>
      <c r="M169" s="1"/>
      <c r="N169" s="1">
        <f t="shared" ca="1" si="135"/>
        <v>807</v>
      </c>
      <c r="O169" s="1">
        <f t="shared" ca="1" si="136"/>
        <v>37</v>
      </c>
      <c r="P169" s="1"/>
      <c r="Q169" s="1">
        <f t="shared" ca="1" si="137"/>
        <v>3.2703771094684306</v>
      </c>
      <c r="R169" s="1">
        <f t="shared" ca="1" si="138"/>
        <v>379</v>
      </c>
      <c r="S169" s="1"/>
      <c r="T169" s="1">
        <f t="shared" ca="1" si="139"/>
        <v>0.16050618491655338</v>
      </c>
      <c r="U169" s="1">
        <f t="shared" ca="1" si="140"/>
        <v>401</v>
      </c>
      <c r="V169" s="1">
        <f t="shared" ca="1" si="141"/>
        <v>37</v>
      </c>
      <c r="W169" s="1"/>
      <c r="X169" s="1">
        <f t="shared" ca="1" si="142"/>
        <v>7.5457868461194693</v>
      </c>
      <c r="Y169" s="1">
        <f t="shared" ca="1" si="143"/>
        <v>0.91660174541542139</v>
      </c>
      <c r="Z169" s="1">
        <f t="shared" ca="1" si="144"/>
        <v>1337</v>
      </c>
      <c r="AB169" s="1">
        <f t="shared" ca="1" si="145"/>
        <v>0.60931762993114924</v>
      </c>
      <c r="AC169" s="1">
        <f t="shared" ca="1" si="146"/>
        <v>771</v>
      </c>
      <c r="AD169" s="1">
        <f t="shared" ca="1" si="147"/>
        <v>9.4291328592663384E-3</v>
      </c>
      <c r="AE169" s="1"/>
      <c r="AF169" s="1">
        <f t="shared" ca="1" si="148"/>
        <v>0.55332819345689399</v>
      </c>
      <c r="AG169" s="1">
        <f t="shared" ca="1" si="149"/>
        <v>216</v>
      </c>
      <c r="AH169" s="1">
        <f t="shared" ca="1" si="150"/>
        <v>1.859083890235691E-3</v>
      </c>
      <c r="AJ169" s="1">
        <f t="shared" ca="1" si="151"/>
        <v>0.40732772644259052</v>
      </c>
      <c r="AK169" s="1">
        <f t="shared" ca="1" si="152"/>
        <v>4.259697493232642E-3</v>
      </c>
      <c r="AL169" s="1"/>
      <c r="AM169" s="1">
        <f t="shared" ca="1" si="153"/>
        <v>3.2789170165315115E-2</v>
      </c>
      <c r="AN169" s="1">
        <f t="shared" ca="1" si="154"/>
        <v>67</v>
      </c>
      <c r="AO169" s="1">
        <f t="shared" ca="1" si="155"/>
        <v>4</v>
      </c>
      <c r="AQ169" s="1">
        <f t="shared" ca="1" si="156"/>
        <v>76</v>
      </c>
      <c r="AR169" s="1">
        <f t="shared" ca="1" si="157"/>
        <v>6</v>
      </c>
      <c r="AS169" s="1">
        <f t="shared" ca="1" si="158"/>
        <v>48</v>
      </c>
      <c r="AU169" s="1">
        <f t="shared" ca="1" si="159"/>
        <v>323</v>
      </c>
      <c r="AV169" s="1">
        <f t="shared" ca="1" si="160"/>
        <v>7</v>
      </c>
      <c r="AW169" s="1">
        <f t="shared" ca="1" si="161"/>
        <v>0.17604102524433049</v>
      </c>
      <c r="AY169" s="1">
        <f t="shared" ca="1" si="162"/>
        <v>1.283689667373324</v>
      </c>
      <c r="AZ169" s="1">
        <f t="shared" ca="1" si="163"/>
        <v>240</v>
      </c>
      <c r="BA169" s="1">
        <f t="shared" ca="1" si="164"/>
        <v>1.008014620710151E-3</v>
      </c>
      <c r="BV169" s="1">
        <f t="shared" ca="1" si="165"/>
        <v>0.73085167073059376</v>
      </c>
      <c r="BW169" s="1">
        <f t="shared" ca="1" si="166"/>
        <v>514</v>
      </c>
      <c r="BX169" s="1">
        <f t="shared" ca="1" si="167"/>
        <v>4.151652436913976E-3</v>
      </c>
      <c r="BY169" s="1">
        <f t="shared" ca="1" si="168"/>
        <v>3.4697623318763692E-3</v>
      </c>
      <c r="BZ169" s="1">
        <f t="shared" ca="1" si="169"/>
        <v>0.13010000307302461</v>
      </c>
      <c r="CB169" s="1">
        <f t="shared" ca="1" si="170"/>
        <v>356</v>
      </c>
      <c r="CC169" s="1">
        <f t="shared" ca="1" si="171"/>
        <v>14</v>
      </c>
      <c r="CD169" s="1">
        <f t="shared" ca="1" si="172"/>
        <v>0.2880415466829615</v>
      </c>
      <c r="CE169" s="1">
        <f t="shared" ca="1" si="188"/>
        <v>0.96199105480390157</v>
      </c>
      <c r="CF169" s="1">
        <f t="shared" ca="1" si="188"/>
        <v>0.89575124203473022</v>
      </c>
      <c r="CH169" s="3">
        <f t="shared" ca="1" si="174"/>
        <v>0.59584893635719705</v>
      </c>
      <c r="CI169" s="3">
        <f t="shared" ca="1" si="175"/>
        <v>0.63002192394662249</v>
      </c>
      <c r="CJ169" s="3">
        <f t="shared" ca="1" si="176"/>
        <v>591</v>
      </c>
      <c r="CK169" s="3">
        <f t="shared" ca="1" si="177"/>
        <v>7.5597864233134309E-3</v>
      </c>
      <c r="CL169" s="3">
        <f t="shared" ca="1" si="178"/>
        <v>1</v>
      </c>
      <c r="CM169" s="3"/>
      <c r="CN169" s="1">
        <f t="shared" ca="1" si="179"/>
        <v>9.3487700734666923</v>
      </c>
      <c r="CO169" s="1">
        <f t="shared" ca="1" si="180"/>
        <v>2.6238736803785204E-2</v>
      </c>
      <c r="CP169" s="1">
        <f t="shared" ca="1" si="181"/>
        <v>5</v>
      </c>
      <c r="DH169" s="1">
        <f t="shared" ca="1" si="182"/>
        <v>850</v>
      </c>
      <c r="DI169" s="1">
        <f t="shared" ca="1" si="183"/>
        <v>0.57056001853164084</v>
      </c>
      <c r="DJ169" s="1">
        <f t="shared" ca="1" si="184"/>
        <v>20</v>
      </c>
      <c r="DL169" s="1">
        <f t="shared" ca="1" si="185"/>
        <v>1.3203862310611367E-2</v>
      </c>
      <c r="DM169" s="1">
        <f t="shared" ca="1" si="186"/>
        <v>110</v>
      </c>
      <c r="DN169" s="1">
        <f t="shared" ca="1" si="187"/>
        <v>9</v>
      </c>
    </row>
    <row r="170" spans="2:118" x14ac:dyDescent="0.25">
      <c r="B170">
        <f t="shared" ca="1" si="126"/>
        <v>32</v>
      </c>
      <c r="C170">
        <f t="shared" ca="1" si="127"/>
        <v>10</v>
      </c>
      <c r="D170">
        <f t="shared" ca="1" si="128"/>
        <v>0.19104279821160125</v>
      </c>
      <c r="F170" s="1">
        <f t="shared" ca="1" si="129"/>
        <v>25</v>
      </c>
      <c r="G170" s="1">
        <f t="shared" ca="1" si="130"/>
        <v>2</v>
      </c>
      <c r="H170" s="1">
        <f t="shared" ca="1" si="131"/>
        <v>2</v>
      </c>
      <c r="I170" s="1"/>
      <c r="J170" s="1">
        <f t="shared" ca="1" si="132"/>
        <v>33</v>
      </c>
      <c r="K170" s="1">
        <f t="shared" ca="1" si="133"/>
        <v>1.5112431800129957</v>
      </c>
      <c r="L170" s="1">
        <f t="shared" ca="1" si="134"/>
        <v>9</v>
      </c>
      <c r="M170" s="1"/>
      <c r="N170" s="1">
        <f t="shared" ca="1" si="135"/>
        <v>280</v>
      </c>
      <c r="O170" s="1">
        <f t="shared" ca="1" si="136"/>
        <v>31</v>
      </c>
      <c r="P170" s="1"/>
      <c r="Q170" s="1">
        <f t="shared" ca="1" si="137"/>
        <v>4.4082920521626283</v>
      </c>
      <c r="R170" s="1">
        <f t="shared" ca="1" si="138"/>
        <v>626</v>
      </c>
      <c r="S170" s="1"/>
      <c r="T170" s="1">
        <f t="shared" ca="1" si="139"/>
        <v>6.1983555985400229E-2</v>
      </c>
      <c r="U170" s="1">
        <f t="shared" ca="1" si="140"/>
        <v>88</v>
      </c>
      <c r="V170" s="1">
        <f t="shared" ca="1" si="141"/>
        <v>37</v>
      </c>
      <c r="W170" s="1"/>
      <c r="X170" s="1">
        <f t="shared" ca="1" si="142"/>
        <v>8.29448940260027</v>
      </c>
      <c r="Y170" s="1">
        <f t="shared" ca="1" si="143"/>
        <v>0.12961896740049586</v>
      </c>
      <c r="Z170" s="1">
        <f t="shared" ca="1" si="144"/>
        <v>643</v>
      </c>
      <c r="AB170" s="1">
        <f t="shared" ca="1" si="145"/>
        <v>8.3343301175205553E-2</v>
      </c>
      <c r="AC170" s="1">
        <f t="shared" ca="1" si="146"/>
        <v>699</v>
      </c>
      <c r="AD170" s="1">
        <f t="shared" ca="1" si="147"/>
        <v>1.2194001442335275E-3</v>
      </c>
      <c r="AE170" s="1"/>
      <c r="AF170" s="1">
        <f t="shared" ca="1" si="148"/>
        <v>0.31834051221433934</v>
      </c>
      <c r="AG170" s="1">
        <f t="shared" ca="1" si="149"/>
        <v>903</v>
      </c>
      <c r="AH170" s="1">
        <f t="shared" ca="1" si="150"/>
        <v>7.8838174227973956E-3</v>
      </c>
      <c r="AJ170" s="1">
        <f t="shared" ca="1" si="151"/>
        <v>0.54420988438293716</v>
      </c>
      <c r="AK170" s="1">
        <f t="shared" ca="1" si="152"/>
        <v>4.6738808518834553E-3</v>
      </c>
      <c r="AL170" s="1"/>
      <c r="AM170" s="1">
        <f t="shared" ca="1" si="153"/>
        <v>0.11379443239466709</v>
      </c>
      <c r="AN170" s="1">
        <f t="shared" ca="1" si="154"/>
        <v>77</v>
      </c>
      <c r="AO170" s="1">
        <f t="shared" ca="1" si="155"/>
        <v>8</v>
      </c>
      <c r="AQ170" s="1">
        <f t="shared" ca="1" si="156"/>
        <v>188</v>
      </c>
      <c r="AR170" s="1">
        <f t="shared" ca="1" si="157"/>
        <v>8</v>
      </c>
      <c r="AS170" s="1">
        <f t="shared" ca="1" si="158"/>
        <v>6</v>
      </c>
      <c r="AU170" s="1">
        <f t="shared" ca="1" si="159"/>
        <v>92</v>
      </c>
      <c r="AV170" s="1">
        <f t="shared" ca="1" si="160"/>
        <v>7</v>
      </c>
      <c r="AW170" s="1">
        <f t="shared" ca="1" si="161"/>
        <v>6.5788371625516387E-2</v>
      </c>
      <c r="AY170" s="1">
        <f t="shared" ca="1" si="162"/>
        <v>1.292965755119458</v>
      </c>
      <c r="AZ170" s="1">
        <f t="shared" ca="1" si="163"/>
        <v>284</v>
      </c>
      <c r="BA170" s="1">
        <f t="shared" ca="1" si="164"/>
        <v>1.6495612112272216E-5</v>
      </c>
      <c r="BV170" s="1">
        <f t="shared" ca="1" si="165"/>
        <v>0.45704002753754408</v>
      </c>
      <c r="BW170" s="1">
        <f t="shared" ca="1" si="166"/>
        <v>598</v>
      </c>
      <c r="BX170" s="1">
        <f t="shared" ca="1" si="167"/>
        <v>5.5406368707394535E-3</v>
      </c>
      <c r="BY170" s="1">
        <f t="shared" ca="1" si="168"/>
        <v>3.4643117751448041E-3</v>
      </c>
      <c r="BZ170" s="1">
        <f t="shared" ca="1" si="169"/>
        <v>0.43388088714820949</v>
      </c>
      <c r="CB170" s="1">
        <f t="shared" ca="1" si="170"/>
        <v>465</v>
      </c>
      <c r="CC170" s="1">
        <f t="shared" ca="1" si="171"/>
        <v>9</v>
      </c>
      <c r="CD170" s="1">
        <f t="shared" ca="1" si="172"/>
        <v>0.18630746885957239</v>
      </c>
      <c r="CE170" s="1">
        <f t="shared" ca="1" si="188"/>
        <v>0.92603369718107431</v>
      </c>
      <c r="CF170" s="1">
        <f t="shared" ca="1" si="188"/>
        <v>0.57503937661883309</v>
      </c>
      <c r="CH170" s="3">
        <f t="shared" ca="1" si="174"/>
        <v>0.14579442943258231</v>
      </c>
      <c r="CI170" s="3">
        <f t="shared" ca="1" si="175"/>
        <v>0.15090841649811482</v>
      </c>
      <c r="CJ170" s="3">
        <f t="shared" ca="1" si="176"/>
        <v>971</v>
      </c>
      <c r="CK170" s="3">
        <f t="shared" ca="1" si="177"/>
        <v>9.7863179208058614E-3</v>
      </c>
      <c r="CL170" s="3">
        <f t="shared" ca="1" si="178"/>
        <v>0</v>
      </c>
      <c r="CM170" s="3"/>
      <c r="CN170" s="1">
        <f t="shared" ca="1" si="179"/>
        <v>1.8221219511774267</v>
      </c>
      <c r="CO170" s="1">
        <f t="shared" ca="1" si="180"/>
        <v>0.35597504456794632</v>
      </c>
      <c r="CP170" s="1">
        <f t="shared" ca="1" si="181"/>
        <v>3</v>
      </c>
      <c r="DH170" s="1">
        <f t="shared" ca="1" si="182"/>
        <v>579</v>
      </c>
      <c r="DI170" s="1">
        <f t="shared" ca="1" si="183"/>
        <v>0.71398107894658236</v>
      </c>
      <c r="DJ170" s="1">
        <f t="shared" ca="1" si="184"/>
        <v>18</v>
      </c>
      <c r="DL170" s="1">
        <f t="shared" ca="1" si="185"/>
        <v>0.17854820345593511</v>
      </c>
      <c r="DM170" s="1">
        <f t="shared" ca="1" si="186"/>
        <v>170</v>
      </c>
      <c r="DN170" s="1">
        <f t="shared" ca="1" si="187"/>
        <v>6</v>
      </c>
    </row>
    <row r="171" spans="2:118" x14ac:dyDescent="0.25">
      <c r="B171">
        <f t="shared" ca="1" si="126"/>
        <v>90</v>
      </c>
      <c r="C171">
        <f t="shared" ca="1" si="127"/>
        <v>26</v>
      </c>
      <c r="D171">
        <f t="shared" ca="1" si="128"/>
        <v>1.4102156924303617E-2</v>
      </c>
      <c r="F171" s="1">
        <f t="shared" ca="1" si="129"/>
        <v>10</v>
      </c>
      <c r="G171" s="1">
        <f t="shared" ca="1" si="130"/>
        <v>3</v>
      </c>
      <c r="H171" s="1">
        <f t="shared" ca="1" si="131"/>
        <v>15</v>
      </c>
      <c r="I171" s="1"/>
      <c r="J171" s="1">
        <f t="shared" ca="1" si="132"/>
        <v>21</v>
      </c>
      <c r="K171" s="1">
        <f t="shared" ca="1" si="133"/>
        <v>1.9557265396896633</v>
      </c>
      <c r="L171" s="1">
        <f t="shared" ca="1" si="134"/>
        <v>11</v>
      </c>
      <c r="M171" s="1"/>
      <c r="N171" s="1">
        <f t="shared" ca="1" si="135"/>
        <v>699</v>
      </c>
      <c r="O171" s="1">
        <f t="shared" ca="1" si="136"/>
        <v>14</v>
      </c>
      <c r="P171" s="1"/>
      <c r="Q171" s="1">
        <f t="shared" ca="1" si="137"/>
        <v>0.61216785177268351</v>
      </c>
      <c r="R171" s="1">
        <f t="shared" ca="1" si="138"/>
        <v>422</v>
      </c>
      <c r="S171" s="1"/>
      <c r="T171" s="1">
        <f t="shared" ca="1" si="139"/>
        <v>0.18379264297280798</v>
      </c>
      <c r="U171" s="1">
        <f t="shared" ca="1" si="140"/>
        <v>220</v>
      </c>
      <c r="V171" s="1">
        <f t="shared" ca="1" si="141"/>
        <v>45</v>
      </c>
      <c r="W171" s="1"/>
      <c r="X171" s="1">
        <f t="shared" ca="1" si="142"/>
        <v>4.9776567629165456</v>
      </c>
      <c r="Y171" s="1">
        <f t="shared" ca="1" si="143"/>
        <v>0.30115900946347729</v>
      </c>
      <c r="Z171" s="1">
        <f t="shared" ca="1" si="144"/>
        <v>1037</v>
      </c>
      <c r="AB171" s="1">
        <f t="shared" ca="1" si="145"/>
        <v>0.59904208171058604</v>
      </c>
      <c r="AC171" s="1">
        <f t="shared" ca="1" si="146"/>
        <v>160</v>
      </c>
      <c r="AD171" s="1">
        <f t="shared" ca="1" si="147"/>
        <v>9.7020161106547136E-3</v>
      </c>
      <c r="AE171" s="1"/>
      <c r="AF171" s="1">
        <f t="shared" ca="1" si="148"/>
        <v>0.10770767498376035</v>
      </c>
      <c r="AG171" s="1">
        <f t="shared" ca="1" si="149"/>
        <v>882</v>
      </c>
      <c r="AH171" s="1">
        <f t="shared" ca="1" si="150"/>
        <v>8.4135694070600342E-3</v>
      </c>
      <c r="AJ171" s="1">
        <f t="shared" ca="1" si="151"/>
        <v>0.88727144951197501</v>
      </c>
      <c r="AK171" s="1">
        <f t="shared" ca="1" si="152"/>
        <v>4.8762007516464255E-3</v>
      </c>
      <c r="AL171" s="1"/>
      <c r="AM171" s="1">
        <f t="shared" ca="1" si="153"/>
        <v>1.745275439380398E-2</v>
      </c>
      <c r="AN171" s="1">
        <f t="shared" ca="1" si="154"/>
        <v>36</v>
      </c>
      <c r="AO171" s="1">
        <f t="shared" ca="1" si="155"/>
        <v>6</v>
      </c>
      <c r="AQ171" s="1">
        <f t="shared" ca="1" si="156"/>
        <v>195</v>
      </c>
      <c r="AR171" s="1">
        <f t="shared" ca="1" si="157"/>
        <v>7</v>
      </c>
      <c r="AS171" s="1">
        <f t="shared" ca="1" si="158"/>
        <v>1</v>
      </c>
      <c r="AU171" s="1">
        <f t="shared" ca="1" si="159"/>
        <v>104</v>
      </c>
      <c r="AV171" s="1">
        <f t="shared" ca="1" si="160"/>
        <v>3</v>
      </c>
      <c r="AW171" s="1">
        <f t="shared" ca="1" si="161"/>
        <v>3.40672820842228E-2</v>
      </c>
      <c r="AY171" s="1">
        <f t="shared" ca="1" si="162"/>
        <v>1.5020937308289215</v>
      </c>
      <c r="AZ171" s="1">
        <f t="shared" ca="1" si="163"/>
        <v>332</v>
      </c>
      <c r="BA171" s="1">
        <f t="shared" ca="1" si="164"/>
        <v>6.9489005518801527E-3</v>
      </c>
      <c r="BV171" s="1">
        <f t="shared" ca="1" si="165"/>
        <v>0.21595305425968356</v>
      </c>
      <c r="BW171" s="1">
        <f t="shared" ca="1" si="166"/>
        <v>779</v>
      </c>
      <c r="BX171" s="1">
        <f t="shared" ca="1" si="167"/>
        <v>6.5521462297525581E-3</v>
      </c>
      <c r="BY171" s="1">
        <f t="shared" ca="1" si="168"/>
        <v>1.3765026580027973E-2</v>
      </c>
      <c r="BZ171" s="1">
        <f t="shared" ca="1" si="169"/>
        <v>0.48466794421148196</v>
      </c>
      <c r="CB171" s="1">
        <f t="shared" ca="1" si="170"/>
        <v>102</v>
      </c>
      <c r="CC171" s="1">
        <f t="shared" ca="1" si="171"/>
        <v>3</v>
      </c>
      <c r="CD171" s="1">
        <f t="shared" ca="1" si="172"/>
        <v>3.5356706855716284E-2</v>
      </c>
      <c r="CE171" s="1">
        <f t="shared" ca="1" si="188"/>
        <v>0.83723002814598524</v>
      </c>
      <c r="CF171" s="1">
        <f t="shared" ca="1" si="188"/>
        <v>0.56398861281737966</v>
      </c>
      <c r="CH171" s="3">
        <f t="shared" ca="1" si="174"/>
        <v>0.9625605844122318</v>
      </c>
      <c r="CI171" s="3">
        <f t="shared" ca="1" si="175"/>
        <v>0.84974990259023953</v>
      </c>
      <c r="CJ171" s="3">
        <f t="shared" ca="1" si="176"/>
        <v>1578</v>
      </c>
      <c r="CK171" s="3">
        <f t="shared" ca="1" si="177"/>
        <v>5.9078092356789989E-3</v>
      </c>
      <c r="CL171" s="3">
        <f t="shared" ca="1" si="178"/>
        <v>1</v>
      </c>
      <c r="CM171" s="3"/>
      <c r="CN171" s="1">
        <f t="shared" ca="1" si="179"/>
        <v>10.778769143440522</v>
      </c>
      <c r="CO171" s="1">
        <f t="shared" ca="1" si="180"/>
        <v>0.45074359486756937</v>
      </c>
      <c r="CP171" s="1">
        <f t="shared" ca="1" si="181"/>
        <v>4</v>
      </c>
      <c r="DH171" s="1">
        <f t="shared" ca="1" si="182"/>
        <v>28</v>
      </c>
      <c r="DI171" s="1">
        <f t="shared" ca="1" si="183"/>
        <v>0.34872336553054722</v>
      </c>
      <c r="DJ171" s="1">
        <f t="shared" ca="1" si="184"/>
        <v>16</v>
      </c>
      <c r="DL171" s="1">
        <f t="shared" ca="1" si="185"/>
        <v>0.1420394874118579</v>
      </c>
      <c r="DM171" s="1">
        <f t="shared" ca="1" si="186"/>
        <v>244</v>
      </c>
      <c r="DN171" s="1">
        <f t="shared" ca="1" si="187"/>
        <v>4</v>
      </c>
    </row>
    <row r="172" spans="2:118" x14ac:dyDescent="0.25">
      <c r="B172">
        <f t="shared" ca="1" si="126"/>
        <v>160</v>
      </c>
      <c r="C172">
        <f t="shared" ca="1" si="127"/>
        <v>18</v>
      </c>
      <c r="D172">
        <f t="shared" ca="1" si="128"/>
        <v>0.17900554006027788</v>
      </c>
      <c r="F172" s="1">
        <f t="shared" ca="1" si="129"/>
        <v>11</v>
      </c>
      <c r="G172" s="1">
        <f t="shared" ca="1" si="130"/>
        <v>12</v>
      </c>
      <c r="H172" s="1">
        <f t="shared" ca="1" si="131"/>
        <v>6</v>
      </c>
      <c r="I172" s="1"/>
      <c r="J172" s="1">
        <f t="shared" ca="1" si="132"/>
        <v>36</v>
      </c>
      <c r="K172" s="1">
        <f t="shared" ca="1" si="133"/>
        <v>2.3020367862944475</v>
      </c>
      <c r="L172" s="1">
        <f t="shared" ca="1" si="134"/>
        <v>7</v>
      </c>
      <c r="M172" s="1"/>
      <c r="N172" s="1">
        <f t="shared" ca="1" si="135"/>
        <v>764</v>
      </c>
      <c r="O172" s="1">
        <f t="shared" ca="1" si="136"/>
        <v>5</v>
      </c>
      <c r="P172" s="1"/>
      <c r="Q172" s="1">
        <f t="shared" ca="1" si="137"/>
        <v>4.6023240936526983</v>
      </c>
      <c r="R172" s="1">
        <f t="shared" ca="1" si="138"/>
        <v>498</v>
      </c>
      <c r="S172" s="1"/>
      <c r="T172" s="1">
        <f t="shared" ca="1" si="139"/>
        <v>0.19112495742663596</v>
      </c>
      <c r="U172" s="1">
        <f t="shared" ca="1" si="140"/>
        <v>282</v>
      </c>
      <c r="V172" s="1">
        <f t="shared" ca="1" si="141"/>
        <v>11</v>
      </c>
      <c r="W172" s="1"/>
      <c r="X172" s="1">
        <f t="shared" ca="1" si="142"/>
        <v>5.5521064790892209</v>
      </c>
      <c r="Y172" s="1">
        <f t="shared" ca="1" si="143"/>
        <v>0.15747832837753886</v>
      </c>
      <c r="Z172" s="1">
        <f t="shared" ca="1" si="144"/>
        <v>679</v>
      </c>
      <c r="AB172" s="1">
        <f t="shared" ca="1" si="145"/>
        <v>5.9738517068986259E-2</v>
      </c>
      <c r="AC172" s="1">
        <f t="shared" ca="1" si="146"/>
        <v>789</v>
      </c>
      <c r="AD172" s="1">
        <f t="shared" ca="1" si="147"/>
        <v>7.1231817364698254E-3</v>
      </c>
      <c r="AE172" s="1"/>
      <c r="AF172" s="1">
        <f t="shared" ca="1" si="148"/>
        <v>0.64532836285324147</v>
      </c>
      <c r="AG172" s="1">
        <f t="shared" ca="1" si="149"/>
        <v>361</v>
      </c>
      <c r="AH172" s="1">
        <f t="shared" ca="1" si="150"/>
        <v>6.6076114252765282E-4</v>
      </c>
      <c r="AJ172" s="1">
        <f t="shared" ca="1" si="151"/>
        <v>0.58618660705467762</v>
      </c>
      <c r="AK172" s="1">
        <f t="shared" ca="1" si="152"/>
        <v>3.8435889452244695E-4</v>
      </c>
      <c r="AL172" s="1"/>
      <c r="AM172" s="1">
        <f t="shared" ca="1" si="153"/>
        <v>0.19369720565174811</v>
      </c>
      <c r="AN172" s="1">
        <f t="shared" ca="1" si="154"/>
        <v>31</v>
      </c>
      <c r="AO172" s="1">
        <f t="shared" ca="1" si="155"/>
        <v>8</v>
      </c>
      <c r="AQ172" s="1">
        <f t="shared" ca="1" si="156"/>
        <v>147</v>
      </c>
      <c r="AR172" s="1">
        <f t="shared" ca="1" si="157"/>
        <v>0</v>
      </c>
      <c r="AS172" s="1">
        <f t="shared" ca="1" si="158"/>
        <v>82</v>
      </c>
      <c r="AU172" s="1">
        <f t="shared" ca="1" si="159"/>
        <v>179</v>
      </c>
      <c r="AV172" s="1">
        <f t="shared" ca="1" si="160"/>
        <v>8</v>
      </c>
      <c r="AW172" s="1">
        <f t="shared" ca="1" si="161"/>
        <v>3.4972184570318289E-2</v>
      </c>
      <c r="AY172" s="1">
        <f t="shared" ca="1" si="162"/>
        <v>1.7768300716166081</v>
      </c>
      <c r="AZ172" s="1">
        <f t="shared" ca="1" si="163"/>
        <v>316</v>
      </c>
      <c r="BA172" s="1">
        <f t="shared" ca="1" si="164"/>
        <v>5.8268048776682919E-3</v>
      </c>
      <c r="BV172" s="1">
        <f t="shared" ca="1" si="165"/>
        <v>0.40194112736985776</v>
      </c>
      <c r="BW172" s="1">
        <f t="shared" ca="1" si="166"/>
        <v>335</v>
      </c>
      <c r="BX172" s="1">
        <f t="shared" ca="1" si="167"/>
        <v>4.4618618133932929E-3</v>
      </c>
      <c r="BY172" s="1">
        <f t="shared" ca="1" si="168"/>
        <v>8.3256415392758909E-2</v>
      </c>
      <c r="BZ172" s="1">
        <f t="shared" ca="1" si="169"/>
        <v>0.16881769097373311</v>
      </c>
      <c r="CB172" s="1">
        <f t="shared" ca="1" si="170"/>
        <v>313</v>
      </c>
      <c r="CC172" s="1">
        <f t="shared" ca="1" si="171"/>
        <v>3</v>
      </c>
      <c r="CD172" s="1">
        <f t="shared" ca="1" si="172"/>
        <v>7.9901481241706582E-2</v>
      </c>
      <c r="CE172" s="1">
        <f t="shared" ca="1" si="188"/>
        <v>0.63968653344118509</v>
      </c>
      <c r="CF172" s="1">
        <f t="shared" ca="1" si="188"/>
        <v>0.62647012011479219</v>
      </c>
      <c r="CH172" s="3">
        <f t="shared" ca="1" si="174"/>
        <v>0.19623074670067905</v>
      </c>
      <c r="CI172" s="3">
        <f t="shared" ca="1" si="175"/>
        <v>0.79283364816362711</v>
      </c>
      <c r="CJ172" s="3">
        <f t="shared" ca="1" si="176"/>
        <v>108</v>
      </c>
      <c r="CK172" s="3">
        <f t="shared" ca="1" si="177"/>
        <v>1.2965505283447404E-3</v>
      </c>
      <c r="CL172" s="3">
        <f t="shared" ca="1" si="178"/>
        <v>1</v>
      </c>
      <c r="CM172" s="3"/>
      <c r="CN172" s="1">
        <f t="shared" ca="1" si="179"/>
        <v>7.2646410729093924</v>
      </c>
      <c r="CO172" s="1">
        <f t="shared" ca="1" si="180"/>
        <v>0.35911970341592658</v>
      </c>
      <c r="CP172" s="1">
        <f t="shared" ca="1" si="181"/>
        <v>2</v>
      </c>
      <c r="DH172" s="1">
        <f t="shared" ca="1" si="182"/>
        <v>27</v>
      </c>
      <c r="DI172" s="1">
        <f t="shared" ca="1" si="183"/>
        <v>0.14833338667723439</v>
      </c>
      <c r="DJ172" s="1">
        <f t="shared" ca="1" si="184"/>
        <v>8</v>
      </c>
      <c r="DL172" s="1">
        <f t="shared" ca="1" si="185"/>
        <v>0.16785287722958755</v>
      </c>
      <c r="DM172" s="1">
        <f t="shared" ca="1" si="186"/>
        <v>168</v>
      </c>
      <c r="DN172" s="1">
        <f t="shared" ca="1" si="187"/>
        <v>5</v>
      </c>
    </row>
    <row r="173" spans="2:118" x14ac:dyDescent="0.25">
      <c r="B173">
        <f t="shared" ca="1" si="126"/>
        <v>998</v>
      </c>
      <c r="C173">
        <f t="shared" ca="1" si="127"/>
        <v>37</v>
      </c>
      <c r="D173">
        <f t="shared" ca="1" si="128"/>
        <v>0.28231351966617829</v>
      </c>
      <c r="F173" s="1">
        <f t="shared" ca="1" si="129"/>
        <v>26</v>
      </c>
      <c r="G173" s="1">
        <f t="shared" ca="1" si="130"/>
        <v>13</v>
      </c>
      <c r="H173" s="1">
        <f t="shared" ca="1" si="131"/>
        <v>10</v>
      </c>
      <c r="I173" s="1"/>
      <c r="J173" s="1">
        <f t="shared" ca="1" si="132"/>
        <v>37</v>
      </c>
      <c r="K173" s="1">
        <f t="shared" ca="1" si="133"/>
        <v>1.7998764656575592</v>
      </c>
      <c r="L173" s="1">
        <f t="shared" ca="1" si="134"/>
        <v>32</v>
      </c>
      <c r="M173" s="1"/>
      <c r="N173" s="1">
        <f t="shared" ca="1" si="135"/>
        <v>970</v>
      </c>
      <c r="O173" s="1">
        <f t="shared" ca="1" si="136"/>
        <v>19</v>
      </c>
      <c r="P173" s="1"/>
      <c r="Q173" s="1">
        <f t="shared" ca="1" si="137"/>
        <v>3.7265557171067818</v>
      </c>
      <c r="R173" s="1">
        <f t="shared" ca="1" si="138"/>
        <v>918</v>
      </c>
      <c r="S173" s="1"/>
      <c r="T173" s="1">
        <f t="shared" ca="1" si="139"/>
        <v>0.15501140499769828</v>
      </c>
      <c r="U173" s="1">
        <f t="shared" ca="1" si="140"/>
        <v>146</v>
      </c>
      <c r="V173" s="1">
        <f t="shared" ca="1" si="141"/>
        <v>17</v>
      </c>
      <c r="W173" s="1"/>
      <c r="X173" s="1">
        <f t="shared" ca="1" si="142"/>
        <v>3.3659123126606043</v>
      </c>
      <c r="Y173" s="1">
        <f t="shared" ca="1" si="143"/>
        <v>0.38212618416523053</v>
      </c>
      <c r="Z173" s="1">
        <f t="shared" ca="1" si="144"/>
        <v>1606</v>
      </c>
      <c r="AB173" s="1">
        <f t="shared" ca="1" si="145"/>
        <v>0.83721405630088974</v>
      </c>
      <c r="AC173" s="1">
        <f t="shared" ca="1" si="146"/>
        <v>921</v>
      </c>
      <c r="AD173" s="1">
        <f t="shared" ca="1" si="147"/>
        <v>3.1928668712699333E-3</v>
      </c>
      <c r="AE173" s="1"/>
      <c r="AF173" s="1">
        <f t="shared" ca="1" si="148"/>
        <v>0.29707878172569419</v>
      </c>
      <c r="AG173" s="1">
        <f t="shared" ca="1" si="149"/>
        <v>998</v>
      </c>
      <c r="AH173" s="1">
        <f t="shared" ca="1" si="150"/>
        <v>2.8021205343586424E-3</v>
      </c>
      <c r="AJ173" s="1">
        <f t="shared" ca="1" si="151"/>
        <v>0.99249242644314994</v>
      </c>
      <c r="AK173" s="1">
        <f t="shared" ca="1" si="152"/>
        <v>7.8679547583551841E-3</v>
      </c>
      <c r="AL173" s="1"/>
      <c r="AM173" s="1">
        <f t="shared" ca="1" si="153"/>
        <v>2.5418479936698421E-2</v>
      </c>
      <c r="AN173" s="1">
        <f t="shared" ca="1" si="154"/>
        <v>15</v>
      </c>
      <c r="AO173" s="1">
        <f t="shared" ca="1" si="155"/>
        <v>4</v>
      </c>
      <c r="AQ173" s="1">
        <f t="shared" ca="1" si="156"/>
        <v>29</v>
      </c>
      <c r="AR173" s="1">
        <f t="shared" ca="1" si="157"/>
        <v>3</v>
      </c>
      <c r="AS173" s="1">
        <f t="shared" ca="1" si="158"/>
        <v>60</v>
      </c>
      <c r="AU173" s="1">
        <f t="shared" ca="1" si="159"/>
        <v>263</v>
      </c>
      <c r="AV173" s="1">
        <f t="shared" ca="1" si="160"/>
        <v>5</v>
      </c>
      <c r="AW173" s="1">
        <f t="shared" ca="1" si="161"/>
        <v>4.032971396809721E-2</v>
      </c>
      <c r="AY173" s="1">
        <f t="shared" ca="1" si="162"/>
        <v>1.1857099568197191</v>
      </c>
      <c r="AZ173" s="1">
        <f t="shared" ca="1" si="163"/>
        <v>418</v>
      </c>
      <c r="BA173" s="1">
        <f t="shared" ca="1" si="164"/>
        <v>4.9560576218567378E-3</v>
      </c>
      <c r="BV173" s="1">
        <f t="shared" ca="1" si="165"/>
        <v>0.81772185475066328</v>
      </c>
      <c r="BW173" s="1">
        <f t="shared" ca="1" si="166"/>
        <v>741</v>
      </c>
      <c r="BX173" s="1">
        <f t="shared" ca="1" si="167"/>
        <v>4.6631445817187072E-3</v>
      </c>
      <c r="BY173" s="1">
        <f t="shared" ca="1" si="168"/>
        <v>6.9474561437765731E-2</v>
      </c>
      <c r="BZ173" s="1">
        <f t="shared" ca="1" si="169"/>
        <v>0.13023289465985766</v>
      </c>
      <c r="CB173" s="1">
        <f t="shared" ca="1" si="170"/>
        <v>340</v>
      </c>
      <c r="CC173" s="1">
        <f t="shared" ca="1" si="171"/>
        <v>7</v>
      </c>
      <c r="CD173" s="1">
        <f t="shared" ca="1" si="172"/>
        <v>0.28130651393355016</v>
      </c>
      <c r="CE173" s="1">
        <f t="shared" ca="1" si="188"/>
        <v>0.82879048496086571</v>
      </c>
      <c r="CF173" s="1">
        <f t="shared" ca="1" si="188"/>
        <v>0.70970166500302057</v>
      </c>
      <c r="CH173" s="3">
        <f t="shared" ca="1" si="174"/>
        <v>0.3520416090957969</v>
      </c>
      <c r="CI173" s="3">
        <f t="shared" ca="1" si="175"/>
        <v>0.6578604439391561</v>
      </c>
      <c r="CJ173" s="3">
        <f t="shared" ca="1" si="176"/>
        <v>1395</v>
      </c>
      <c r="CK173" s="3">
        <f t="shared" ca="1" si="177"/>
        <v>2.1037752309759311E-3</v>
      </c>
      <c r="CL173" s="3">
        <f t="shared" ca="1" si="178"/>
        <v>1</v>
      </c>
      <c r="CM173" s="3"/>
      <c r="CN173" s="1">
        <f t="shared" ca="1" si="179"/>
        <v>3.6806521216564909</v>
      </c>
      <c r="CO173" s="1">
        <f t="shared" ca="1" si="180"/>
        <v>0.35759207607336158</v>
      </c>
      <c r="CP173" s="1">
        <f t="shared" ca="1" si="181"/>
        <v>5</v>
      </c>
      <c r="DH173" s="1">
        <f t="shared" ca="1" si="182"/>
        <v>194</v>
      </c>
      <c r="DI173" s="1">
        <f t="shared" ca="1" si="183"/>
        <v>0.46169199893827484</v>
      </c>
      <c r="DJ173" s="1">
        <f t="shared" ca="1" si="184"/>
        <v>17</v>
      </c>
      <c r="DL173" s="1">
        <f t="shared" ca="1" si="185"/>
        <v>0.12552108309905363</v>
      </c>
      <c r="DM173" s="1">
        <f t="shared" ca="1" si="186"/>
        <v>118</v>
      </c>
      <c r="DN173" s="1">
        <f t="shared" ca="1" si="187"/>
        <v>1</v>
      </c>
    </row>
    <row r="174" spans="2:118" x14ac:dyDescent="0.25">
      <c r="B174">
        <f t="shared" ca="1" si="126"/>
        <v>538</v>
      </c>
      <c r="C174">
        <f t="shared" ca="1" si="127"/>
        <v>8</v>
      </c>
      <c r="D174">
        <f t="shared" ca="1" si="128"/>
        <v>0.20371398405365898</v>
      </c>
      <c r="F174" s="1">
        <f t="shared" ca="1" si="129"/>
        <v>11</v>
      </c>
      <c r="G174" s="1">
        <f t="shared" ca="1" si="130"/>
        <v>7</v>
      </c>
      <c r="H174" s="1">
        <f t="shared" ca="1" si="131"/>
        <v>6</v>
      </c>
      <c r="I174" s="1"/>
      <c r="J174" s="1">
        <f t="shared" ca="1" si="132"/>
        <v>22</v>
      </c>
      <c r="K174" s="1">
        <f t="shared" ca="1" si="133"/>
        <v>2.3213023386869609</v>
      </c>
      <c r="L174" s="1">
        <f t="shared" ca="1" si="134"/>
        <v>7</v>
      </c>
      <c r="M174" s="1"/>
      <c r="N174" s="1">
        <f t="shared" ca="1" si="135"/>
        <v>927</v>
      </c>
      <c r="O174" s="1">
        <f t="shared" ca="1" si="136"/>
        <v>7</v>
      </c>
      <c r="P174" s="1"/>
      <c r="Q174" s="1">
        <f t="shared" ca="1" si="137"/>
        <v>2.0224497643811135</v>
      </c>
      <c r="R174" s="1">
        <f t="shared" ca="1" si="138"/>
        <v>461</v>
      </c>
      <c r="S174" s="1"/>
      <c r="T174" s="1">
        <f t="shared" ca="1" si="139"/>
        <v>3.4982368970959243E-2</v>
      </c>
      <c r="U174" s="1">
        <f t="shared" ca="1" si="140"/>
        <v>210</v>
      </c>
      <c r="V174" s="1">
        <f t="shared" ca="1" si="141"/>
        <v>8</v>
      </c>
      <c r="W174" s="1"/>
      <c r="X174" s="1">
        <f t="shared" ca="1" si="142"/>
        <v>3.4989273010672965</v>
      </c>
      <c r="Y174" s="1">
        <f t="shared" ca="1" si="143"/>
        <v>0.53722344464515603</v>
      </c>
      <c r="Z174" s="1">
        <f t="shared" ca="1" si="144"/>
        <v>263</v>
      </c>
      <c r="AB174" s="1">
        <f t="shared" ca="1" si="145"/>
        <v>0.44213903719152575</v>
      </c>
      <c r="AC174" s="1">
        <f t="shared" ca="1" si="146"/>
        <v>528</v>
      </c>
      <c r="AD174" s="1">
        <f t="shared" ca="1" si="147"/>
        <v>9.0580530668078942E-3</v>
      </c>
      <c r="AE174" s="1"/>
      <c r="AF174" s="1">
        <f t="shared" ca="1" si="148"/>
        <v>0.63484194691934948</v>
      </c>
      <c r="AG174" s="1">
        <f t="shared" ca="1" si="149"/>
        <v>671</v>
      </c>
      <c r="AH174" s="1">
        <f t="shared" ca="1" si="150"/>
        <v>8.4548698508735212E-3</v>
      </c>
      <c r="AJ174" s="1">
        <f t="shared" ca="1" si="151"/>
        <v>0.56980543709381537</v>
      </c>
      <c r="AK174" s="1">
        <f t="shared" ca="1" si="152"/>
        <v>8.3156806918524573E-4</v>
      </c>
      <c r="AL174" s="1"/>
      <c r="AM174" s="1">
        <f t="shared" ca="1" si="153"/>
        <v>0.1925770743207677</v>
      </c>
      <c r="AN174" s="1">
        <f t="shared" ca="1" si="154"/>
        <v>80</v>
      </c>
      <c r="AO174" s="1">
        <f t="shared" ca="1" si="155"/>
        <v>15</v>
      </c>
      <c r="AQ174" s="1">
        <f t="shared" ca="1" si="156"/>
        <v>138</v>
      </c>
      <c r="AR174" s="1">
        <f t="shared" ca="1" si="157"/>
        <v>10</v>
      </c>
      <c r="AS174" s="1">
        <f t="shared" ca="1" si="158"/>
        <v>87</v>
      </c>
      <c r="AU174" s="1">
        <f t="shared" ca="1" si="159"/>
        <v>322</v>
      </c>
      <c r="AV174" s="1">
        <f t="shared" ca="1" si="160"/>
        <v>9</v>
      </c>
      <c r="AW174" s="1">
        <f t="shared" ca="1" si="161"/>
        <v>0.1072813554807286</v>
      </c>
      <c r="AY174" s="1">
        <f t="shared" ca="1" si="162"/>
        <v>1.5978894600600091</v>
      </c>
      <c r="AZ174" s="1">
        <f t="shared" ca="1" si="163"/>
        <v>186</v>
      </c>
      <c r="BA174" s="1">
        <f t="shared" ca="1" si="164"/>
        <v>3.6281234433013527E-3</v>
      </c>
      <c r="BV174" s="1">
        <f t="shared" ca="1" si="165"/>
        <v>7.0254969171134149E-2</v>
      </c>
      <c r="BW174" s="1">
        <f t="shared" ca="1" si="166"/>
        <v>105</v>
      </c>
      <c r="BX174" s="1">
        <f t="shared" ca="1" si="167"/>
        <v>8.5185602510558216E-3</v>
      </c>
      <c r="BY174" s="1">
        <f t="shared" ca="1" si="168"/>
        <v>8.3569974169541067E-2</v>
      </c>
      <c r="BZ174" s="1">
        <f t="shared" ca="1" si="169"/>
        <v>0.77712364388190103</v>
      </c>
      <c r="CB174" s="1">
        <f t="shared" ca="1" si="170"/>
        <v>73</v>
      </c>
      <c r="CC174" s="1">
        <f t="shared" ca="1" si="171"/>
        <v>9</v>
      </c>
      <c r="CD174" s="1">
        <f t="shared" ca="1" si="172"/>
        <v>0.14979433923065621</v>
      </c>
      <c r="CE174" s="1">
        <f t="shared" ca="1" si="188"/>
        <v>0.77866135328100261</v>
      </c>
      <c r="CF174" s="1">
        <f t="shared" ca="1" si="188"/>
        <v>0.83546959243788921</v>
      </c>
      <c r="CH174" s="3">
        <f t="shared" ca="1" si="174"/>
        <v>0.25692577840524577</v>
      </c>
      <c r="CI174" s="3">
        <f t="shared" ca="1" si="175"/>
        <v>6.3517846717732945E-2</v>
      </c>
      <c r="CJ174" s="3">
        <f t="shared" ca="1" si="176"/>
        <v>1289</v>
      </c>
      <c r="CK174" s="3">
        <f t="shared" ca="1" si="177"/>
        <v>7.9417541784870642E-3</v>
      </c>
      <c r="CL174" s="3">
        <f t="shared" ca="1" si="178"/>
        <v>0</v>
      </c>
      <c r="CM174" s="3"/>
      <c r="CN174" s="1">
        <f t="shared" ca="1" si="179"/>
        <v>5.4048212312311561</v>
      </c>
      <c r="CO174" s="1">
        <f t="shared" ca="1" si="180"/>
        <v>0.15992780691053782</v>
      </c>
      <c r="CP174" s="1">
        <f t="shared" ca="1" si="181"/>
        <v>3</v>
      </c>
      <c r="DH174" s="1">
        <f t="shared" ca="1" si="182"/>
        <v>777</v>
      </c>
      <c r="DI174" s="1">
        <f t="shared" ca="1" si="183"/>
        <v>0.66844913848482812</v>
      </c>
      <c r="DJ174" s="1">
        <f t="shared" ca="1" si="184"/>
        <v>18</v>
      </c>
      <c r="DL174" s="1">
        <f t="shared" ca="1" si="185"/>
        <v>1.1096457839916011E-2</v>
      </c>
      <c r="DM174" s="1">
        <f t="shared" ca="1" si="186"/>
        <v>170</v>
      </c>
      <c r="DN174" s="1">
        <f t="shared" ca="1" si="187"/>
        <v>6</v>
      </c>
    </row>
    <row r="175" spans="2:118" x14ac:dyDescent="0.25">
      <c r="B175">
        <f t="shared" ca="1" si="126"/>
        <v>53</v>
      </c>
      <c r="C175">
        <f t="shared" ca="1" si="127"/>
        <v>28</v>
      </c>
      <c r="D175">
        <f t="shared" ca="1" si="128"/>
        <v>0.14447232887645153</v>
      </c>
      <c r="F175" s="1">
        <f t="shared" ca="1" si="129"/>
        <v>30</v>
      </c>
      <c r="G175" s="1">
        <f t="shared" ca="1" si="130"/>
        <v>14</v>
      </c>
      <c r="H175" s="1">
        <f t="shared" ca="1" si="131"/>
        <v>3</v>
      </c>
      <c r="I175" s="1"/>
      <c r="J175" s="1">
        <f t="shared" ca="1" si="132"/>
        <v>9</v>
      </c>
      <c r="K175" s="1">
        <f t="shared" ca="1" si="133"/>
        <v>2.4346301064384273</v>
      </c>
      <c r="L175" s="1">
        <f t="shared" ca="1" si="134"/>
        <v>29</v>
      </c>
      <c r="M175" s="1"/>
      <c r="N175" s="1">
        <f t="shared" ca="1" si="135"/>
        <v>743</v>
      </c>
      <c r="O175" s="1">
        <f t="shared" ca="1" si="136"/>
        <v>6</v>
      </c>
      <c r="P175" s="1"/>
      <c r="Q175" s="1">
        <f t="shared" ca="1" si="137"/>
        <v>1.7785859989127271</v>
      </c>
      <c r="R175" s="1">
        <f t="shared" ca="1" si="138"/>
        <v>956</v>
      </c>
      <c r="S175" s="1"/>
      <c r="T175" s="1">
        <f t="shared" ca="1" si="139"/>
        <v>0.19174193428392078</v>
      </c>
      <c r="U175" s="1">
        <f t="shared" ca="1" si="140"/>
        <v>240</v>
      </c>
      <c r="V175" s="1">
        <f t="shared" ca="1" si="141"/>
        <v>25</v>
      </c>
      <c r="W175" s="1"/>
      <c r="X175" s="1">
        <f t="shared" ca="1" si="142"/>
        <v>6.3571650025678732</v>
      </c>
      <c r="Y175" s="1">
        <f t="shared" ca="1" si="143"/>
        <v>0.51614223815199245</v>
      </c>
      <c r="Z175" s="1">
        <f t="shared" ca="1" si="144"/>
        <v>1923</v>
      </c>
      <c r="AB175" s="1">
        <f t="shared" ca="1" si="145"/>
        <v>0.9409895068679679</v>
      </c>
      <c r="AC175" s="1">
        <f t="shared" ca="1" si="146"/>
        <v>230</v>
      </c>
      <c r="AD175" s="1">
        <f t="shared" ca="1" si="147"/>
        <v>4.8609844639920389E-3</v>
      </c>
      <c r="AE175" s="1"/>
      <c r="AF175" s="1">
        <f t="shared" ca="1" si="148"/>
        <v>0.28092581940097339</v>
      </c>
      <c r="AG175" s="1">
        <f t="shared" ca="1" si="149"/>
        <v>752</v>
      </c>
      <c r="AH175" s="1">
        <f t="shared" ca="1" si="150"/>
        <v>7.8627466225323489E-3</v>
      </c>
      <c r="AJ175" s="1">
        <f t="shared" ca="1" si="151"/>
        <v>0.32728566249909097</v>
      </c>
      <c r="AK175" s="1">
        <f t="shared" ca="1" si="152"/>
        <v>4.3914132763871972E-3</v>
      </c>
      <c r="AL175" s="1"/>
      <c r="AM175" s="1">
        <f t="shared" ca="1" si="153"/>
        <v>0.16639456369393346</v>
      </c>
      <c r="AN175" s="1">
        <f t="shared" ca="1" si="154"/>
        <v>17</v>
      </c>
      <c r="AO175" s="1">
        <f t="shared" ca="1" si="155"/>
        <v>18</v>
      </c>
      <c r="AQ175" s="1">
        <f t="shared" ca="1" si="156"/>
        <v>101</v>
      </c>
      <c r="AR175" s="1">
        <f t="shared" ca="1" si="157"/>
        <v>8</v>
      </c>
      <c r="AS175" s="1">
        <f t="shared" ca="1" si="158"/>
        <v>21</v>
      </c>
      <c r="AU175" s="1">
        <f t="shared" ca="1" si="159"/>
        <v>391</v>
      </c>
      <c r="AV175" s="1">
        <f t="shared" ca="1" si="160"/>
        <v>9</v>
      </c>
      <c r="AW175" s="1">
        <f t="shared" ca="1" si="161"/>
        <v>0.18739862323906781</v>
      </c>
      <c r="AY175" s="1">
        <f t="shared" ca="1" si="162"/>
        <v>1.906295674852289</v>
      </c>
      <c r="AZ175" s="1">
        <f t="shared" ca="1" si="163"/>
        <v>304</v>
      </c>
      <c r="BA175" s="1">
        <f t="shared" ca="1" si="164"/>
        <v>1.6840468859042835E-3</v>
      </c>
      <c r="BV175" s="1">
        <f t="shared" ca="1" si="165"/>
        <v>0.20369650595717309</v>
      </c>
      <c r="BW175" s="1">
        <f t="shared" ca="1" si="166"/>
        <v>550</v>
      </c>
      <c r="BX175" s="1">
        <f t="shared" ca="1" si="167"/>
        <v>8.1950921247792505E-3</v>
      </c>
      <c r="BY175" s="1">
        <f t="shared" ca="1" si="168"/>
        <v>6.3298381659166458E-2</v>
      </c>
      <c r="BZ175" s="1">
        <f t="shared" ca="1" si="169"/>
        <v>0.92511123253506045</v>
      </c>
      <c r="CB175" s="1">
        <f t="shared" ca="1" si="170"/>
        <v>381</v>
      </c>
      <c r="CC175" s="1">
        <f t="shared" ca="1" si="171"/>
        <v>8</v>
      </c>
      <c r="CD175" s="1">
        <f t="shared" ca="1" si="172"/>
        <v>0.27571350478228385</v>
      </c>
      <c r="CE175" s="1">
        <f t="shared" ca="1" si="188"/>
        <v>0.97569287763486412</v>
      </c>
      <c r="CF175" s="1">
        <f t="shared" ca="1" si="188"/>
        <v>0.85581570196490619</v>
      </c>
      <c r="CH175" s="3">
        <f t="shared" ca="1" si="174"/>
        <v>0.97949777717841835</v>
      </c>
      <c r="CI175" s="3">
        <f t="shared" ca="1" si="175"/>
        <v>0.955953807357381</v>
      </c>
      <c r="CJ175" s="3">
        <f t="shared" ca="1" si="176"/>
        <v>292</v>
      </c>
      <c r="CK175" s="3">
        <f t="shared" ca="1" si="177"/>
        <v>8.288593497014848E-3</v>
      </c>
      <c r="CL175" s="3">
        <f t="shared" ca="1" si="178"/>
        <v>0</v>
      </c>
      <c r="CM175" s="3"/>
      <c r="CN175" s="1">
        <f t="shared" ca="1" si="179"/>
        <v>5.7336093869764353</v>
      </c>
      <c r="CO175" s="1">
        <f t="shared" ca="1" si="180"/>
        <v>0.10249598887510811</v>
      </c>
      <c r="CP175" s="1">
        <f t="shared" ca="1" si="181"/>
        <v>4</v>
      </c>
      <c r="DH175" s="1">
        <f t="shared" ca="1" si="182"/>
        <v>800</v>
      </c>
      <c r="DI175" s="1">
        <f t="shared" ca="1" si="183"/>
        <v>2.6064519915141103E-2</v>
      </c>
      <c r="DJ175" s="1">
        <f t="shared" ca="1" si="184"/>
        <v>11</v>
      </c>
      <c r="DL175" s="1">
        <f t="shared" ca="1" si="185"/>
        <v>0.18234045465321511</v>
      </c>
      <c r="DM175" s="1">
        <f t="shared" ca="1" si="186"/>
        <v>290</v>
      </c>
      <c r="DN175" s="1">
        <f t="shared" ca="1" si="187"/>
        <v>2</v>
      </c>
    </row>
    <row r="176" spans="2:118" x14ac:dyDescent="0.25">
      <c r="B176">
        <f t="shared" ca="1" si="126"/>
        <v>394</v>
      </c>
      <c r="C176">
        <f t="shared" ca="1" si="127"/>
        <v>43</v>
      </c>
      <c r="D176">
        <f t="shared" ca="1" si="128"/>
        <v>0.10982360713902058</v>
      </c>
      <c r="F176" s="1">
        <f t="shared" ca="1" si="129"/>
        <v>23</v>
      </c>
      <c r="G176" s="1">
        <f t="shared" ca="1" si="130"/>
        <v>26</v>
      </c>
      <c r="H176" s="1">
        <f t="shared" ca="1" si="131"/>
        <v>14</v>
      </c>
      <c r="I176" s="1"/>
      <c r="J176" s="1">
        <f t="shared" ca="1" si="132"/>
        <v>21</v>
      </c>
      <c r="K176" s="1">
        <f t="shared" ca="1" si="133"/>
        <v>2.8701396713554832</v>
      </c>
      <c r="L176" s="1">
        <f t="shared" ca="1" si="134"/>
        <v>21</v>
      </c>
      <c r="M176" s="1"/>
      <c r="N176" s="1">
        <f t="shared" ca="1" si="135"/>
        <v>292</v>
      </c>
      <c r="O176" s="1">
        <f t="shared" ca="1" si="136"/>
        <v>46</v>
      </c>
      <c r="P176" s="1"/>
      <c r="Q176" s="1">
        <f t="shared" ca="1" si="137"/>
        <v>0.34315136951908187</v>
      </c>
      <c r="R176" s="1">
        <f t="shared" ca="1" si="138"/>
        <v>1033</v>
      </c>
      <c r="S176" s="1"/>
      <c r="T176" s="1">
        <f t="shared" ca="1" si="139"/>
        <v>0.1540996557071953</v>
      </c>
      <c r="U176" s="1">
        <f t="shared" ca="1" si="140"/>
        <v>289</v>
      </c>
      <c r="V176" s="1">
        <f t="shared" ca="1" si="141"/>
        <v>41</v>
      </c>
      <c r="W176" s="1"/>
      <c r="X176" s="1">
        <f t="shared" ca="1" si="142"/>
        <v>1.3180405772768669</v>
      </c>
      <c r="Y176" s="1">
        <f t="shared" ca="1" si="143"/>
        <v>0.23620141491885108</v>
      </c>
      <c r="Z176" s="1">
        <f t="shared" ca="1" si="144"/>
        <v>154</v>
      </c>
      <c r="AB176" s="1">
        <f t="shared" ca="1" si="145"/>
        <v>0.31223073572560167</v>
      </c>
      <c r="AC176" s="1">
        <f t="shared" ca="1" si="146"/>
        <v>517</v>
      </c>
      <c r="AD176" s="1">
        <f t="shared" ca="1" si="147"/>
        <v>2.9924832911669124E-3</v>
      </c>
      <c r="AE176" s="1"/>
      <c r="AF176" s="1">
        <f t="shared" ca="1" si="148"/>
        <v>0.19766927555996211</v>
      </c>
      <c r="AG176" s="1">
        <f t="shared" ca="1" si="149"/>
        <v>991</v>
      </c>
      <c r="AH176" s="1">
        <f t="shared" ca="1" si="150"/>
        <v>5.9720869287598127E-3</v>
      </c>
      <c r="AJ176" s="1">
        <f t="shared" ca="1" si="151"/>
        <v>0.50594726290685454</v>
      </c>
      <c r="AK176" s="1">
        <f t="shared" ca="1" si="152"/>
        <v>5.4668464754475043E-3</v>
      </c>
      <c r="AL176" s="1"/>
      <c r="AM176" s="1">
        <f t="shared" ca="1" si="153"/>
        <v>4.8142860739892081E-2</v>
      </c>
      <c r="AN176" s="1">
        <f t="shared" ca="1" si="154"/>
        <v>36</v>
      </c>
      <c r="AO176" s="1">
        <f t="shared" ca="1" si="155"/>
        <v>14</v>
      </c>
      <c r="AQ176" s="1">
        <f t="shared" ca="1" si="156"/>
        <v>162</v>
      </c>
      <c r="AR176" s="1">
        <f t="shared" ca="1" si="157"/>
        <v>6</v>
      </c>
      <c r="AS176" s="1">
        <f t="shared" ca="1" si="158"/>
        <v>90</v>
      </c>
      <c r="AU176" s="1">
        <f t="shared" ca="1" si="159"/>
        <v>138</v>
      </c>
      <c r="AV176" s="1">
        <f t="shared" ca="1" si="160"/>
        <v>4</v>
      </c>
      <c r="AW176" s="1">
        <f t="shared" ca="1" si="161"/>
        <v>2.6384312351577545E-2</v>
      </c>
      <c r="AY176" s="1">
        <f t="shared" ca="1" si="162"/>
        <v>1.9116976771845016</v>
      </c>
      <c r="AZ176" s="1">
        <f t="shared" ca="1" si="163"/>
        <v>453</v>
      </c>
      <c r="BA176" s="1">
        <f t="shared" ca="1" si="164"/>
        <v>2.2165972139011093E-3</v>
      </c>
      <c r="BV176" s="1">
        <f t="shared" ca="1" si="165"/>
        <v>9.6149033199209977E-2</v>
      </c>
      <c r="BW176" s="1">
        <f t="shared" ca="1" si="166"/>
        <v>436</v>
      </c>
      <c r="BX176" s="1">
        <f t="shared" ca="1" si="167"/>
        <v>6.2142100920822684E-3</v>
      </c>
      <c r="BY176" s="1">
        <f t="shared" ca="1" si="168"/>
        <v>4.1795219283024074E-3</v>
      </c>
      <c r="BZ176" s="1">
        <f t="shared" ca="1" si="169"/>
        <v>0.13750823343471386</v>
      </c>
      <c r="CB176" s="1">
        <f t="shared" ca="1" si="170"/>
        <v>302</v>
      </c>
      <c r="CC176" s="1">
        <f t="shared" ca="1" si="171"/>
        <v>4</v>
      </c>
      <c r="CD176" s="1">
        <f t="shared" ca="1" si="172"/>
        <v>0.2253479301099317</v>
      </c>
      <c r="CE176" s="1">
        <f t="shared" ca="1" si="188"/>
        <v>0.99770843124506126</v>
      </c>
      <c r="CF176" s="1">
        <f t="shared" ca="1" si="188"/>
        <v>0.79289564161906356</v>
      </c>
      <c r="CH176" s="3">
        <f t="shared" ca="1" si="174"/>
        <v>0.54241837392128434</v>
      </c>
      <c r="CI176" s="3">
        <f t="shared" ca="1" si="175"/>
        <v>0.85815379039325401</v>
      </c>
      <c r="CJ176" s="3">
        <f t="shared" ca="1" si="176"/>
        <v>1930</v>
      </c>
      <c r="CK176" s="3">
        <f t="shared" ca="1" si="177"/>
        <v>3.3340893610837681E-3</v>
      </c>
      <c r="CL176" s="3">
        <f t="shared" ca="1" si="178"/>
        <v>1</v>
      </c>
      <c r="CM176" s="3"/>
      <c r="CN176" s="1">
        <f t="shared" ca="1" si="179"/>
        <v>8.4341533485604323</v>
      </c>
      <c r="CO176" s="1">
        <f t="shared" ca="1" si="180"/>
        <v>0.28651875525366405</v>
      </c>
      <c r="CP176" s="1">
        <f t="shared" ca="1" si="181"/>
        <v>5</v>
      </c>
      <c r="DH176" s="1">
        <f t="shared" ca="1" si="182"/>
        <v>769</v>
      </c>
      <c r="DI176" s="1">
        <f t="shared" ca="1" si="183"/>
        <v>8.0452004473370073E-2</v>
      </c>
      <c r="DJ176" s="1">
        <f t="shared" ca="1" si="184"/>
        <v>3</v>
      </c>
      <c r="DL176" s="1">
        <f t="shared" ca="1" si="185"/>
        <v>0.18526196290455324</v>
      </c>
      <c r="DM176" s="1">
        <f t="shared" ca="1" si="186"/>
        <v>162</v>
      </c>
      <c r="DN176" s="1">
        <f t="shared" ca="1" si="187"/>
        <v>6</v>
      </c>
    </row>
    <row r="177" spans="2:118" x14ac:dyDescent="0.25">
      <c r="B177">
        <f t="shared" ca="1" si="126"/>
        <v>321</v>
      </c>
      <c r="C177">
        <f t="shared" ca="1" si="127"/>
        <v>36</v>
      </c>
      <c r="D177">
        <f t="shared" ca="1" si="128"/>
        <v>0.1704663041666111</v>
      </c>
      <c r="F177" s="1">
        <f t="shared" ca="1" si="129"/>
        <v>48</v>
      </c>
      <c r="G177" s="1">
        <f t="shared" ca="1" si="130"/>
        <v>28</v>
      </c>
      <c r="H177" s="1">
        <f t="shared" ca="1" si="131"/>
        <v>11</v>
      </c>
      <c r="I177" s="1"/>
      <c r="J177" s="1">
        <f t="shared" ca="1" si="132"/>
        <v>24</v>
      </c>
      <c r="K177" s="1">
        <f t="shared" ca="1" si="133"/>
        <v>1.1665770377830875</v>
      </c>
      <c r="L177" s="1">
        <f t="shared" ca="1" si="134"/>
        <v>26</v>
      </c>
      <c r="M177" s="1"/>
      <c r="N177" s="1">
        <f t="shared" ca="1" si="135"/>
        <v>267</v>
      </c>
      <c r="O177" s="1">
        <f t="shared" ca="1" si="136"/>
        <v>20</v>
      </c>
      <c r="P177" s="1"/>
      <c r="Q177" s="1">
        <f t="shared" ca="1" si="137"/>
        <v>1.5240758237268834</v>
      </c>
      <c r="R177" s="1">
        <f t="shared" ca="1" si="138"/>
        <v>1064</v>
      </c>
      <c r="S177" s="1"/>
      <c r="T177" s="1">
        <f t="shared" ca="1" si="139"/>
        <v>5.1357892070985574E-2</v>
      </c>
      <c r="U177" s="1">
        <f t="shared" ca="1" si="140"/>
        <v>409</v>
      </c>
      <c r="V177" s="1">
        <f t="shared" ca="1" si="141"/>
        <v>46</v>
      </c>
      <c r="W177" s="1"/>
      <c r="X177" s="1">
        <f t="shared" ca="1" si="142"/>
        <v>4.3195499183565769</v>
      </c>
      <c r="Y177" s="1">
        <f t="shared" ca="1" si="143"/>
        <v>0.37698912057084816</v>
      </c>
      <c r="Z177" s="1">
        <f t="shared" ca="1" si="144"/>
        <v>1567</v>
      </c>
      <c r="AB177" s="1">
        <f t="shared" ca="1" si="145"/>
        <v>0.6177537210990276</v>
      </c>
      <c r="AC177" s="1">
        <f t="shared" ca="1" si="146"/>
        <v>958</v>
      </c>
      <c r="AD177" s="1">
        <f t="shared" ca="1" si="147"/>
        <v>7.146381173832826E-3</v>
      </c>
      <c r="AE177" s="1"/>
      <c r="AF177" s="1">
        <f t="shared" ca="1" si="148"/>
        <v>0.79127269926798971</v>
      </c>
      <c r="AG177" s="1">
        <f t="shared" ca="1" si="149"/>
        <v>674</v>
      </c>
      <c r="AH177" s="1">
        <f t="shared" ca="1" si="150"/>
        <v>6.7379927264261041E-3</v>
      </c>
      <c r="AJ177" s="1">
        <f t="shared" ca="1" si="151"/>
        <v>0.93328602046999609</v>
      </c>
      <c r="AK177" s="1">
        <f t="shared" ca="1" si="152"/>
        <v>8.326550841317025E-3</v>
      </c>
      <c r="AL177" s="1"/>
      <c r="AM177" s="1">
        <f t="shared" ca="1" si="153"/>
        <v>8.5872841781093098E-2</v>
      </c>
      <c r="AN177" s="1">
        <f t="shared" ca="1" si="154"/>
        <v>60</v>
      </c>
      <c r="AO177" s="1">
        <f t="shared" ca="1" si="155"/>
        <v>0</v>
      </c>
      <c r="AQ177" s="1">
        <f t="shared" ca="1" si="156"/>
        <v>179</v>
      </c>
      <c r="AR177" s="1">
        <f t="shared" ca="1" si="157"/>
        <v>5</v>
      </c>
      <c r="AS177" s="1">
        <f t="shared" ca="1" si="158"/>
        <v>13</v>
      </c>
      <c r="AU177" s="1">
        <f t="shared" ca="1" si="159"/>
        <v>177</v>
      </c>
      <c r="AV177" s="1">
        <f t="shared" ca="1" si="160"/>
        <v>5</v>
      </c>
      <c r="AW177" s="1">
        <f t="shared" ca="1" si="161"/>
        <v>0.17311867790996296</v>
      </c>
      <c r="AY177" s="1">
        <f t="shared" ca="1" si="162"/>
        <v>1.8734678998943932</v>
      </c>
      <c r="AZ177" s="1">
        <f t="shared" ca="1" si="163"/>
        <v>398</v>
      </c>
      <c r="BA177" s="1">
        <f t="shared" ca="1" si="164"/>
        <v>5.2479117633564094E-3</v>
      </c>
      <c r="BV177" s="1">
        <f t="shared" ca="1" si="165"/>
        <v>0.5323038297473538</v>
      </c>
      <c r="BW177" s="1">
        <f t="shared" ca="1" si="166"/>
        <v>670</v>
      </c>
      <c r="BX177" s="1">
        <f t="shared" ca="1" si="167"/>
        <v>7.770648493695677E-3</v>
      </c>
      <c r="BY177" s="1">
        <f t="shared" ca="1" si="168"/>
        <v>3.3193604804675485E-4</v>
      </c>
      <c r="BZ177" s="1">
        <f t="shared" ca="1" si="169"/>
        <v>0.87348133711080489</v>
      </c>
      <c r="CB177" s="1">
        <f t="shared" ca="1" si="170"/>
        <v>275</v>
      </c>
      <c r="CC177" s="1">
        <f t="shared" ca="1" si="171"/>
        <v>11</v>
      </c>
      <c r="CD177" s="1">
        <f t="shared" ca="1" si="172"/>
        <v>6.2156093971476353E-2</v>
      </c>
      <c r="CE177" s="1">
        <f t="shared" ca="1" si="188"/>
        <v>0.72313791424555229</v>
      </c>
      <c r="CF177" s="1">
        <f t="shared" ca="1" si="188"/>
        <v>0.92737916698226142</v>
      </c>
      <c r="CH177" s="3">
        <f t="shared" ca="1" si="174"/>
        <v>0.49645684442728139</v>
      </c>
      <c r="CI177" s="3">
        <f t="shared" ca="1" si="175"/>
        <v>0.95035460565277119</v>
      </c>
      <c r="CJ177" s="3">
        <f t="shared" ca="1" si="176"/>
        <v>1757</v>
      </c>
      <c r="CK177" s="3">
        <f t="shared" ca="1" si="177"/>
        <v>8.1424350841448039E-3</v>
      </c>
      <c r="CL177" s="3">
        <f t="shared" ca="1" si="178"/>
        <v>1</v>
      </c>
      <c r="CM177" s="3"/>
      <c r="CN177" s="1">
        <f t="shared" ca="1" si="179"/>
        <v>13.57050207202124</v>
      </c>
      <c r="CO177" s="1">
        <f t="shared" ca="1" si="180"/>
        <v>0.49233785245578937</v>
      </c>
      <c r="CP177" s="1">
        <f t="shared" ca="1" si="181"/>
        <v>3</v>
      </c>
      <c r="DH177" s="1">
        <f t="shared" ca="1" si="182"/>
        <v>42</v>
      </c>
      <c r="DI177" s="1">
        <f t="shared" ca="1" si="183"/>
        <v>3.0478287096417086E-2</v>
      </c>
      <c r="DJ177" s="1">
        <f t="shared" ca="1" si="184"/>
        <v>21</v>
      </c>
      <c r="DL177" s="1">
        <f t="shared" ca="1" si="185"/>
        <v>0.12078828427124705</v>
      </c>
      <c r="DM177" s="1">
        <f t="shared" ca="1" si="186"/>
        <v>184</v>
      </c>
      <c r="DN177" s="1">
        <f t="shared" ca="1" si="187"/>
        <v>9</v>
      </c>
    </row>
    <row r="178" spans="2:118" x14ac:dyDescent="0.25">
      <c r="B178">
        <f t="shared" ca="1" si="126"/>
        <v>262</v>
      </c>
      <c r="C178">
        <f t="shared" ca="1" si="127"/>
        <v>8</v>
      </c>
      <c r="D178">
        <f t="shared" ca="1" si="128"/>
        <v>0.29874349545534129</v>
      </c>
      <c r="F178" s="1">
        <f t="shared" ca="1" si="129"/>
        <v>52</v>
      </c>
      <c r="G178" s="1">
        <f t="shared" ca="1" si="130"/>
        <v>20</v>
      </c>
      <c r="H178" s="1">
        <f t="shared" ca="1" si="131"/>
        <v>2</v>
      </c>
      <c r="I178" s="1"/>
      <c r="J178" s="1">
        <f t="shared" ca="1" si="132"/>
        <v>4</v>
      </c>
      <c r="K178" s="1">
        <f t="shared" ca="1" si="133"/>
        <v>1.3016715443885096</v>
      </c>
      <c r="L178" s="1">
        <f t="shared" ca="1" si="134"/>
        <v>23</v>
      </c>
      <c r="M178" s="1"/>
      <c r="N178" s="1">
        <f t="shared" ca="1" si="135"/>
        <v>889</v>
      </c>
      <c r="O178" s="1">
        <f t="shared" ca="1" si="136"/>
        <v>51</v>
      </c>
      <c r="P178" s="1"/>
      <c r="Q178" s="1">
        <f t="shared" ca="1" si="137"/>
        <v>0.10544209139639983</v>
      </c>
      <c r="R178" s="1">
        <f t="shared" ca="1" si="138"/>
        <v>1062</v>
      </c>
      <c r="S178" s="1"/>
      <c r="T178" s="1">
        <f t="shared" ca="1" si="139"/>
        <v>0.16740017052765155</v>
      </c>
      <c r="U178" s="1">
        <f t="shared" ca="1" si="140"/>
        <v>123</v>
      </c>
      <c r="V178" s="1">
        <f t="shared" ca="1" si="141"/>
        <v>19</v>
      </c>
      <c r="W178" s="1"/>
      <c r="X178" s="1">
        <f t="shared" ca="1" si="142"/>
        <v>1.9484362954844985</v>
      </c>
      <c r="Y178" s="1">
        <f t="shared" ca="1" si="143"/>
        <v>0.92574323933109037</v>
      </c>
      <c r="Z178" s="1">
        <f t="shared" ca="1" si="144"/>
        <v>599</v>
      </c>
      <c r="AB178" s="1">
        <f t="shared" ca="1" si="145"/>
        <v>0.49876633537357701</v>
      </c>
      <c r="AC178" s="1">
        <f t="shared" ca="1" si="146"/>
        <v>835</v>
      </c>
      <c r="AD178" s="1">
        <f t="shared" ca="1" si="147"/>
        <v>9.769445031848692E-3</v>
      </c>
      <c r="AE178" s="1"/>
      <c r="AF178" s="1">
        <f t="shared" ca="1" si="148"/>
        <v>0.21609760022951977</v>
      </c>
      <c r="AG178" s="1">
        <f t="shared" ca="1" si="149"/>
        <v>253</v>
      </c>
      <c r="AH178" s="1">
        <f t="shared" ca="1" si="150"/>
        <v>5.3987282566620711E-4</v>
      </c>
      <c r="AJ178" s="1">
        <f t="shared" ca="1" si="151"/>
        <v>0.99503576237664415</v>
      </c>
      <c r="AK178" s="1">
        <f t="shared" ca="1" si="152"/>
        <v>1.3728688862890662E-3</v>
      </c>
      <c r="AL178" s="1"/>
      <c r="AM178" s="1">
        <f t="shared" ca="1" si="153"/>
        <v>0.13798275532884902</v>
      </c>
      <c r="AN178" s="1">
        <f t="shared" ca="1" si="154"/>
        <v>80</v>
      </c>
      <c r="AO178" s="1">
        <f t="shared" ca="1" si="155"/>
        <v>7</v>
      </c>
      <c r="AQ178" s="1">
        <f t="shared" ca="1" si="156"/>
        <v>151</v>
      </c>
      <c r="AR178" s="1">
        <f t="shared" ca="1" si="157"/>
        <v>6</v>
      </c>
      <c r="AS178" s="1">
        <f t="shared" ca="1" si="158"/>
        <v>19</v>
      </c>
      <c r="AU178" s="1">
        <f t="shared" ca="1" si="159"/>
        <v>105</v>
      </c>
      <c r="AV178" s="1">
        <f t="shared" ca="1" si="160"/>
        <v>7</v>
      </c>
      <c r="AW178" s="1">
        <f t="shared" ca="1" si="161"/>
        <v>7.8123323670097181E-2</v>
      </c>
      <c r="AY178" s="1">
        <f t="shared" ca="1" si="162"/>
        <v>1.1925968180832609</v>
      </c>
      <c r="AZ178" s="1">
        <f t="shared" ca="1" si="163"/>
        <v>339</v>
      </c>
      <c r="BA178" s="1">
        <f t="shared" ca="1" si="164"/>
        <v>9.2912558553568479E-3</v>
      </c>
      <c r="BV178" s="1">
        <f t="shared" ca="1" si="165"/>
        <v>0.43650693964981752</v>
      </c>
      <c r="BW178" s="1">
        <f t="shared" ca="1" si="166"/>
        <v>220</v>
      </c>
      <c r="BX178" s="1">
        <f t="shared" ca="1" si="167"/>
        <v>4.7110233319676252E-3</v>
      </c>
      <c r="BY178" s="1">
        <f t="shared" ca="1" si="168"/>
        <v>4.9952069542708977E-2</v>
      </c>
      <c r="BZ178" s="1">
        <f t="shared" ca="1" si="169"/>
        <v>0.47842743894747541</v>
      </c>
      <c r="CB178" s="1">
        <f t="shared" ca="1" si="170"/>
        <v>139</v>
      </c>
      <c r="CC178" s="1">
        <f t="shared" ca="1" si="171"/>
        <v>10</v>
      </c>
      <c r="CD178" s="1">
        <f t="shared" ca="1" si="172"/>
        <v>5.3618285999167854E-2</v>
      </c>
      <c r="CE178" s="1">
        <f t="shared" ca="1" si="188"/>
        <v>0.72932987265088345</v>
      </c>
      <c r="CF178" s="1">
        <f t="shared" ca="1" si="188"/>
        <v>0.97336406975837186</v>
      </c>
      <c r="CH178" s="3">
        <f t="shared" ca="1" si="174"/>
        <v>0.22520601798512366</v>
      </c>
      <c r="CI178" s="3">
        <f t="shared" ca="1" si="175"/>
        <v>0.37311907528869093</v>
      </c>
      <c r="CJ178" s="3">
        <f t="shared" ca="1" si="176"/>
        <v>969</v>
      </c>
      <c r="CK178" s="3">
        <f t="shared" ca="1" si="177"/>
        <v>5.3489402452979833E-3</v>
      </c>
      <c r="CL178" s="3">
        <f t="shared" ca="1" si="178"/>
        <v>0</v>
      </c>
      <c r="CM178" s="3"/>
      <c r="CN178" s="1">
        <f t="shared" ca="1" si="179"/>
        <v>19.274846635122362</v>
      </c>
      <c r="CO178" s="1">
        <f t="shared" ca="1" si="180"/>
        <v>0.27139555403766508</v>
      </c>
      <c r="CP178" s="1">
        <f t="shared" ca="1" si="181"/>
        <v>2</v>
      </c>
      <c r="DH178" s="1">
        <f t="shared" ca="1" si="182"/>
        <v>804</v>
      </c>
      <c r="DI178" s="1">
        <f t="shared" ca="1" si="183"/>
        <v>0.13651634673156768</v>
      </c>
      <c r="DJ178" s="1">
        <f t="shared" ca="1" si="184"/>
        <v>26</v>
      </c>
      <c r="DL178" s="1">
        <f t="shared" ca="1" si="185"/>
        <v>3.9933978441581142E-2</v>
      </c>
      <c r="DM178" s="1">
        <f t="shared" ca="1" si="186"/>
        <v>51</v>
      </c>
      <c r="DN178" s="1">
        <f t="shared" ca="1" si="187"/>
        <v>5</v>
      </c>
    </row>
    <row r="179" spans="2:118" x14ac:dyDescent="0.25">
      <c r="B179">
        <f t="shared" ca="1" si="126"/>
        <v>835</v>
      </c>
      <c r="C179">
        <f t="shared" ca="1" si="127"/>
        <v>9</v>
      </c>
      <c r="D179">
        <f t="shared" ca="1" si="128"/>
        <v>0.23179055763874254</v>
      </c>
      <c r="F179" s="1">
        <f t="shared" ca="1" si="129"/>
        <v>21</v>
      </c>
      <c r="G179" s="1">
        <f t="shared" ca="1" si="130"/>
        <v>2</v>
      </c>
      <c r="H179" s="1">
        <f t="shared" ca="1" si="131"/>
        <v>15</v>
      </c>
      <c r="I179" s="1"/>
      <c r="J179" s="1">
        <f t="shared" ca="1" si="132"/>
        <v>16</v>
      </c>
      <c r="K179" s="1">
        <f t="shared" ca="1" si="133"/>
        <v>1.1550443005043469</v>
      </c>
      <c r="L179" s="1">
        <f t="shared" ca="1" si="134"/>
        <v>15</v>
      </c>
      <c r="M179" s="1"/>
      <c r="N179" s="1">
        <f t="shared" ca="1" si="135"/>
        <v>969</v>
      </c>
      <c r="O179" s="1">
        <f t="shared" ca="1" si="136"/>
        <v>17</v>
      </c>
      <c r="P179" s="1"/>
      <c r="Q179" s="1">
        <f t="shared" ca="1" si="137"/>
        <v>3.2830320899431236</v>
      </c>
      <c r="R179" s="1">
        <f t="shared" ca="1" si="138"/>
        <v>439</v>
      </c>
      <c r="S179" s="1"/>
      <c r="T179" s="1">
        <f t="shared" ca="1" si="139"/>
        <v>0.16129070742433099</v>
      </c>
      <c r="U179" s="1">
        <f t="shared" ca="1" si="140"/>
        <v>175</v>
      </c>
      <c r="V179" s="1">
        <f t="shared" ca="1" si="141"/>
        <v>7</v>
      </c>
      <c r="W179" s="1"/>
      <c r="X179" s="1">
        <f t="shared" ca="1" si="142"/>
        <v>1.1147784367844902</v>
      </c>
      <c r="Y179" s="1">
        <f t="shared" ca="1" si="143"/>
        <v>0.1170188828447912</v>
      </c>
      <c r="Z179" s="1">
        <f t="shared" ca="1" si="144"/>
        <v>1339</v>
      </c>
      <c r="AB179" s="1">
        <f t="shared" ca="1" si="145"/>
        <v>0.94683797165548556</v>
      </c>
      <c r="AC179" s="1">
        <f t="shared" ca="1" si="146"/>
        <v>628</v>
      </c>
      <c r="AD179" s="1">
        <f t="shared" ca="1" si="147"/>
        <v>5.6864783209977024E-3</v>
      </c>
      <c r="AE179" s="1"/>
      <c r="AF179" s="1">
        <f t="shared" ca="1" si="148"/>
        <v>0.78669640817676734</v>
      </c>
      <c r="AG179" s="1">
        <f t="shared" ca="1" si="149"/>
        <v>162</v>
      </c>
      <c r="AH179" s="1">
        <f t="shared" ca="1" si="150"/>
        <v>4.6736998142375983E-3</v>
      </c>
      <c r="AJ179" s="1">
        <f t="shared" ca="1" si="151"/>
        <v>0.7855999349425653</v>
      </c>
      <c r="AK179" s="1">
        <f t="shared" ca="1" si="152"/>
        <v>2.925508674346784E-3</v>
      </c>
      <c r="AL179" s="1"/>
      <c r="AM179" s="1">
        <f t="shared" ca="1" si="153"/>
        <v>0.18786988051627865</v>
      </c>
      <c r="AN179" s="1">
        <f t="shared" ca="1" si="154"/>
        <v>28</v>
      </c>
      <c r="AO179" s="1">
        <f t="shared" ca="1" si="155"/>
        <v>9</v>
      </c>
      <c r="AQ179" s="1">
        <f t="shared" ca="1" si="156"/>
        <v>27</v>
      </c>
      <c r="AR179" s="1">
        <f t="shared" ca="1" si="157"/>
        <v>5</v>
      </c>
      <c r="AS179" s="1">
        <f t="shared" ca="1" si="158"/>
        <v>20</v>
      </c>
      <c r="AU179" s="1">
        <f t="shared" ca="1" si="159"/>
        <v>203</v>
      </c>
      <c r="AV179" s="1">
        <f t="shared" ca="1" si="160"/>
        <v>2</v>
      </c>
      <c r="AW179" s="1">
        <f t="shared" ca="1" si="161"/>
        <v>0.12773783314434969</v>
      </c>
      <c r="AY179" s="1">
        <f t="shared" ca="1" si="162"/>
        <v>1.4735926413458806</v>
      </c>
      <c r="AZ179" s="1">
        <f t="shared" ca="1" si="163"/>
        <v>467</v>
      </c>
      <c r="BA179" s="1">
        <f t="shared" ca="1" si="164"/>
        <v>6.6134784761745615E-3</v>
      </c>
      <c r="BV179" s="1">
        <f t="shared" ca="1" si="165"/>
        <v>0.20682010859931335</v>
      </c>
      <c r="BW179" s="1">
        <f t="shared" ca="1" si="166"/>
        <v>889</v>
      </c>
      <c r="BX179" s="1">
        <f t="shared" ca="1" si="167"/>
        <v>5.1950696766302042E-3</v>
      </c>
      <c r="BY179" s="1">
        <f t="shared" ca="1" si="168"/>
        <v>3.4182960740586979E-2</v>
      </c>
      <c r="BZ179" s="1">
        <f t="shared" ca="1" si="169"/>
        <v>3.628592088031235E-3</v>
      </c>
      <c r="CB179" s="1">
        <f t="shared" ca="1" si="170"/>
        <v>141</v>
      </c>
      <c r="CC179" s="1">
        <f t="shared" ca="1" si="171"/>
        <v>14</v>
      </c>
      <c r="CD179" s="1">
        <f t="shared" ca="1" si="172"/>
        <v>0.1404672706196948</v>
      </c>
      <c r="CE179" s="1">
        <f t="shared" ca="1" si="188"/>
        <v>0.54833108159549682</v>
      </c>
      <c r="CF179" s="1">
        <f t="shared" ca="1" si="188"/>
        <v>0.79048960971307258</v>
      </c>
      <c r="CH179" s="3">
        <f t="shared" ca="1" si="174"/>
        <v>0.91695634284958094</v>
      </c>
      <c r="CI179" s="3">
        <f t="shared" ca="1" si="175"/>
        <v>0.8799799288166742</v>
      </c>
      <c r="CJ179" s="3">
        <f t="shared" ca="1" si="176"/>
        <v>1731</v>
      </c>
      <c r="CK179" s="3">
        <f t="shared" ca="1" si="177"/>
        <v>7.3491687397704423E-4</v>
      </c>
      <c r="CL179" s="3">
        <f t="shared" ca="1" si="178"/>
        <v>1</v>
      </c>
      <c r="CM179" s="3"/>
      <c r="CN179" s="1">
        <f t="shared" ca="1" si="179"/>
        <v>16.961630916197812</v>
      </c>
      <c r="CO179" s="1">
        <f t="shared" ca="1" si="180"/>
        <v>0.31861322476393705</v>
      </c>
      <c r="CP179" s="1">
        <f t="shared" ca="1" si="181"/>
        <v>2</v>
      </c>
      <c r="DH179" s="1">
        <f t="shared" ca="1" si="182"/>
        <v>628</v>
      </c>
      <c r="DI179" s="1">
        <f t="shared" ca="1" si="183"/>
        <v>3.1007488595231558E-2</v>
      </c>
      <c r="DJ179" s="1">
        <f t="shared" ca="1" si="184"/>
        <v>11</v>
      </c>
      <c r="DL179" s="1">
        <f t="shared" ca="1" si="185"/>
        <v>0.13045473030809734</v>
      </c>
      <c r="DM179" s="1">
        <f t="shared" ca="1" si="186"/>
        <v>280</v>
      </c>
      <c r="DN179" s="1">
        <f t="shared" ca="1" si="187"/>
        <v>7</v>
      </c>
    </row>
    <row r="180" spans="2:118" x14ac:dyDescent="0.25">
      <c r="B180">
        <f t="shared" ca="1" si="126"/>
        <v>849</v>
      </c>
      <c r="C180">
        <f t="shared" ca="1" si="127"/>
        <v>26</v>
      </c>
      <c r="D180">
        <f t="shared" ca="1" si="128"/>
        <v>0.12873561373828138</v>
      </c>
      <c r="F180" s="1">
        <f t="shared" ca="1" si="129"/>
        <v>6</v>
      </c>
      <c r="G180" s="1">
        <f t="shared" ca="1" si="130"/>
        <v>16</v>
      </c>
      <c r="H180" s="1">
        <f t="shared" ca="1" si="131"/>
        <v>14</v>
      </c>
      <c r="I180" s="1"/>
      <c r="J180" s="1">
        <f t="shared" ca="1" si="132"/>
        <v>14</v>
      </c>
      <c r="K180" s="1">
        <f t="shared" ca="1" si="133"/>
        <v>2.2027036767337025</v>
      </c>
      <c r="L180" s="1">
        <f t="shared" ca="1" si="134"/>
        <v>22</v>
      </c>
      <c r="M180" s="1"/>
      <c r="N180" s="1">
        <f t="shared" ca="1" si="135"/>
        <v>654</v>
      </c>
      <c r="O180" s="1">
        <f t="shared" ca="1" si="136"/>
        <v>2</v>
      </c>
      <c r="P180" s="1"/>
      <c r="Q180" s="1">
        <f t="shared" ca="1" si="137"/>
        <v>3.9130160649974126</v>
      </c>
      <c r="R180" s="1">
        <f t="shared" ca="1" si="138"/>
        <v>373</v>
      </c>
      <c r="S180" s="1"/>
      <c r="T180" s="1">
        <f t="shared" ca="1" si="139"/>
        <v>0.11719579838532566</v>
      </c>
      <c r="U180" s="1">
        <f t="shared" ca="1" si="140"/>
        <v>308</v>
      </c>
      <c r="V180" s="1">
        <f t="shared" ca="1" si="141"/>
        <v>36</v>
      </c>
      <c r="W180" s="1"/>
      <c r="X180" s="1">
        <f t="shared" ca="1" si="142"/>
        <v>2.8042303834009501</v>
      </c>
      <c r="Y180" s="1">
        <f t="shared" ca="1" si="143"/>
        <v>0.54394032758379518</v>
      </c>
      <c r="Z180" s="1">
        <f t="shared" ca="1" si="144"/>
        <v>1724</v>
      </c>
      <c r="AB180" s="1">
        <f t="shared" ca="1" si="145"/>
        <v>0.30707371575196274</v>
      </c>
      <c r="AC180" s="1">
        <f t="shared" ca="1" si="146"/>
        <v>955</v>
      </c>
      <c r="AD180" s="1">
        <f t="shared" ca="1" si="147"/>
        <v>9.6691337211998879E-3</v>
      </c>
      <c r="AE180" s="1"/>
      <c r="AF180" s="1">
        <f t="shared" ca="1" si="148"/>
        <v>0.16348978348846688</v>
      </c>
      <c r="AG180" s="1">
        <f t="shared" ca="1" si="149"/>
        <v>948</v>
      </c>
      <c r="AH180" s="1">
        <f t="shared" ca="1" si="150"/>
        <v>1.5711661849671032E-3</v>
      </c>
      <c r="AJ180" s="1">
        <f t="shared" ca="1" si="151"/>
        <v>0.84018728075280569</v>
      </c>
      <c r="AK180" s="1">
        <f t="shared" ca="1" si="152"/>
        <v>2.0530407046101252E-4</v>
      </c>
      <c r="AL180" s="1"/>
      <c r="AM180" s="1">
        <f t="shared" ca="1" si="153"/>
        <v>7.4002712665031237E-2</v>
      </c>
      <c r="AN180" s="1">
        <f t="shared" ca="1" si="154"/>
        <v>47</v>
      </c>
      <c r="AO180" s="1">
        <f t="shared" ca="1" si="155"/>
        <v>5</v>
      </c>
      <c r="AQ180" s="1">
        <f t="shared" ca="1" si="156"/>
        <v>140</v>
      </c>
      <c r="AR180" s="1">
        <f t="shared" ca="1" si="157"/>
        <v>3</v>
      </c>
      <c r="AS180" s="1">
        <f t="shared" ca="1" si="158"/>
        <v>79</v>
      </c>
      <c r="AU180" s="1">
        <f t="shared" ca="1" si="159"/>
        <v>208</v>
      </c>
      <c r="AV180" s="1">
        <f t="shared" ca="1" si="160"/>
        <v>10</v>
      </c>
      <c r="AW180" s="1">
        <f t="shared" ca="1" si="161"/>
        <v>9.5107427146136125E-2</v>
      </c>
      <c r="AY180" s="1">
        <f t="shared" ca="1" si="162"/>
        <v>1.6169550244294837</v>
      </c>
      <c r="AZ180" s="1">
        <f t="shared" ca="1" si="163"/>
        <v>128</v>
      </c>
      <c r="BA180" s="1">
        <f t="shared" ca="1" si="164"/>
        <v>8.2560881177700125E-3</v>
      </c>
      <c r="BV180" s="1">
        <f t="shared" ca="1" si="165"/>
        <v>0.96871058438084745</v>
      </c>
      <c r="BW180" s="1">
        <f t="shared" ca="1" si="166"/>
        <v>736</v>
      </c>
      <c r="BX180" s="1">
        <f t="shared" ca="1" si="167"/>
        <v>5.7557240272425184E-3</v>
      </c>
      <c r="BY180" s="1">
        <f t="shared" ca="1" si="168"/>
        <v>9.4957859088846838E-2</v>
      </c>
      <c r="BZ180" s="1">
        <f t="shared" ca="1" si="169"/>
        <v>0.5652212443993424</v>
      </c>
      <c r="CB180" s="1">
        <f t="shared" ca="1" si="170"/>
        <v>135</v>
      </c>
      <c r="CC180" s="1">
        <f t="shared" ca="1" si="171"/>
        <v>10</v>
      </c>
      <c r="CD180" s="1">
        <f t="shared" ca="1" si="172"/>
        <v>0.22363426633595127</v>
      </c>
      <c r="CE180" s="1">
        <f t="shared" ca="1" si="188"/>
        <v>0.54475986733052761</v>
      </c>
      <c r="CF180" s="1">
        <f t="shared" ca="1" si="188"/>
        <v>0.69931459339823188</v>
      </c>
      <c r="CH180" s="3">
        <f t="shared" ca="1" si="174"/>
        <v>0.76258747151183781</v>
      </c>
      <c r="CI180" s="3">
        <f t="shared" ca="1" si="175"/>
        <v>0.77863598702869852</v>
      </c>
      <c r="CJ180" s="3">
        <f t="shared" ca="1" si="176"/>
        <v>327</v>
      </c>
      <c r="CK180" s="3">
        <f t="shared" ca="1" si="177"/>
        <v>8.1253005684262247E-3</v>
      </c>
      <c r="CL180" s="3">
        <f t="shared" ca="1" si="178"/>
        <v>1</v>
      </c>
      <c r="CM180" s="3"/>
      <c r="CN180" s="1">
        <f t="shared" ca="1" si="179"/>
        <v>9.6002595529858201</v>
      </c>
      <c r="CO180" s="1">
        <f t="shared" ca="1" si="180"/>
        <v>0.20032079901158792</v>
      </c>
      <c r="CP180" s="1">
        <f t="shared" ca="1" si="181"/>
        <v>2</v>
      </c>
      <c r="DH180" s="1">
        <f t="shared" ca="1" si="182"/>
        <v>152</v>
      </c>
      <c r="DI180" s="1">
        <f t="shared" ca="1" si="183"/>
        <v>0.53764356359716314</v>
      </c>
      <c r="DJ180" s="1">
        <f t="shared" ca="1" si="184"/>
        <v>4</v>
      </c>
      <c r="DL180" s="1">
        <f t="shared" ca="1" si="185"/>
        <v>3.213834420637178E-2</v>
      </c>
      <c r="DM180" s="1">
        <f t="shared" ca="1" si="186"/>
        <v>153</v>
      </c>
      <c r="DN180" s="1">
        <f t="shared" ca="1" si="187"/>
        <v>10</v>
      </c>
    </row>
    <row r="181" spans="2:118" x14ac:dyDescent="0.25">
      <c r="B181">
        <f t="shared" ca="1" si="126"/>
        <v>984</v>
      </c>
      <c r="C181">
        <f t="shared" ca="1" si="127"/>
        <v>47</v>
      </c>
      <c r="D181">
        <f t="shared" ca="1" si="128"/>
        <v>0.21591663885333953</v>
      </c>
      <c r="F181" s="1">
        <f t="shared" ca="1" si="129"/>
        <v>37</v>
      </c>
      <c r="G181" s="1">
        <f t="shared" ca="1" si="130"/>
        <v>5</v>
      </c>
      <c r="H181" s="1">
        <f t="shared" ca="1" si="131"/>
        <v>7</v>
      </c>
      <c r="I181" s="1"/>
      <c r="J181" s="1">
        <f t="shared" ca="1" si="132"/>
        <v>2</v>
      </c>
      <c r="K181" s="1">
        <f t="shared" ca="1" si="133"/>
        <v>1.9705343361108414</v>
      </c>
      <c r="L181" s="1">
        <f t="shared" ca="1" si="134"/>
        <v>34</v>
      </c>
      <c r="M181" s="1"/>
      <c r="N181" s="1">
        <f t="shared" ca="1" si="135"/>
        <v>761</v>
      </c>
      <c r="O181" s="1">
        <f t="shared" ca="1" si="136"/>
        <v>22</v>
      </c>
      <c r="P181" s="1"/>
      <c r="Q181" s="1">
        <f t="shared" ca="1" si="137"/>
        <v>3.6674047811074693</v>
      </c>
      <c r="R181" s="1">
        <f t="shared" ca="1" si="138"/>
        <v>862</v>
      </c>
      <c r="S181" s="1"/>
      <c r="T181" s="1">
        <f t="shared" ca="1" si="139"/>
        <v>0.16120414248309911</v>
      </c>
      <c r="U181" s="1">
        <f t="shared" ca="1" si="140"/>
        <v>213</v>
      </c>
      <c r="V181" s="1">
        <f t="shared" ca="1" si="141"/>
        <v>35</v>
      </c>
      <c r="W181" s="1"/>
      <c r="X181" s="1">
        <f t="shared" ca="1" si="142"/>
        <v>1.4098406148991856</v>
      </c>
      <c r="Y181" s="1">
        <f t="shared" ca="1" si="143"/>
        <v>0.73493729560241672</v>
      </c>
      <c r="Z181" s="1">
        <f t="shared" ca="1" si="144"/>
        <v>998</v>
      </c>
      <c r="AB181" s="1">
        <f t="shared" ca="1" si="145"/>
        <v>0.41163438381816819</v>
      </c>
      <c r="AC181" s="1">
        <f t="shared" ca="1" si="146"/>
        <v>844</v>
      </c>
      <c r="AD181" s="1">
        <f t="shared" ca="1" si="147"/>
        <v>5.3209508089798966E-3</v>
      </c>
      <c r="AE181" s="1"/>
      <c r="AF181" s="1">
        <f t="shared" ca="1" si="148"/>
        <v>0.4503547802075184</v>
      </c>
      <c r="AG181" s="1">
        <f t="shared" ca="1" si="149"/>
        <v>540</v>
      </c>
      <c r="AH181" s="1">
        <f t="shared" ca="1" si="150"/>
        <v>3.469084379403178E-3</v>
      </c>
      <c r="AJ181" s="1">
        <f t="shared" ca="1" si="151"/>
        <v>0.1411545850769369</v>
      </c>
      <c r="AK181" s="1">
        <f t="shared" ca="1" si="152"/>
        <v>7.6703450028954836E-3</v>
      </c>
      <c r="AL181" s="1"/>
      <c r="AM181" s="1">
        <f t="shared" ca="1" si="153"/>
        <v>6.4359277523025712E-2</v>
      </c>
      <c r="AN181" s="1">
        <f t="shared" ca="1" si="154"/>
        <v>26</v>
      </c>
      <c r="AO181" s="1">
        <f t="shared" ca="1" si="155"/>
        <v>2</v>
      </c>
      <c r="AQ181" s="1">
        <f t="shared" ca="1" si="156"/>
        <v>98</v>
      </c>
      <c r="AR181" s="1">
        <f t="shared" ca="1" si="157"/>
        <v>2</v>
      </c>
      <c r="AS181" s="1">
        <f t="shared" ca="1" si="158"/>
        <v>47</v>
      </c>
      <c r="AU181" s="1">
        <f t="shared" ca="1" si="159"/>
        <v>301</v>
      </c>
      <c r="AV181" s="1">
        <f t="shared" ca="1" si="160"/>
        <v>8</v>
      </c>
      <c r="AW181" s="1">
        <f t="shared" ca="1" si="161"/>
        <v>3.29099748437695E-2</v>
      </c>
      <c r="AY181" s="1">
        <f t="shared" ca="1" si="162"/>
        <v>1.5001947217345766</v>
      </c>
      <c r="AZ181" s="1">
        <f t="shared" ca="1" si="163"/>
        <v>233</v>
      </c>
      <c r="BA181" s="1">
        <f t="shared" ca="1" si="164"/>
        <v>6.514583999109232E-3</v>
      </c>
      <c r="BV181" s="1">
        <f t="shared" ca="1" si="165"/>
        <v>0.24339919630248413</v>
      </c>
      <c r="BW181" s="1">
        <f t="shared" ca="1" si="166"/>
        <v>430</v>
      </c>
      <c r="BX181" s="1">
        <f t="shared" ca="1" si="167"/>
        <v>4.3092625015304486E-3</v>
      </c>
      <c r="BY181" s="1">
        <f t="shared" ca="1" si="168"/>
        <v>2.5129159509712912E-2</v>
      </c>
      <c r="BZ181" s="1">
        <f t="shared" ca="1" si="169"/>
        <v>0.80789854468288547</v>
      </c>
      <c r="CB181" s="1">
        <f t="shared" ca="1" si="170"/>
        <v>362</v>
      </c>
      <c r="CC181" s="1">
        <f t="shared" ca="1" si="171"/>
        <v>5</v>
      </c>
      <c r="CD181" s="1">
        <f t="shared" ca="1" si="172"/>
        <v>8.9834075105873906E-2</v>
      </c>
      <c r="CE181" s="1">
        <f t="shared" ca="1" si="188"/>
        <v>0.73660160920288686</v>
      </c>
      <c r="CF181" s="1">
        <f t="shared" ca="1" si="188"/>
        <v>0.64402081896405439</v>
      </c>
      <c r="CH181" s="3">
        <f t="shared" ca="1" si="174"/>
        <v>0.47074821217653984</v>
      </c>
      <c r="CI181" s="3">
        <f t="shared" ca="1" si="175"/>
        <v>0.89092928348971789</v>
      </c>
      <c r="CJ181" s="3">
        <f t="shared" ca="1" si="176"/>
        <v>1900</v>
      </c>
      <c r="CK181" s="3">
        <f t="shared" ca="1" si="177"/>
        <v>5.0708855280521088E-3</v>
      </c>
      <c r="CL181" s="3">
        <f t="shared" ca="1" si="178"/>
        <v>0</v>
      </c>
      <c r="CM181" s="3"/>
      <c r="CN181" s="1">
        <f t="shared" ca="1" si="179"/>
        <v>0.46444840230668327</v>
      </c>
      <c r="CO181" s="1">
        <f t="shared" ca="1" si="180"/>
        <v>0.4186647999571026</v>
      </c>
      <c r="CP181" s="1">
        <f t="shared" ca="1" si="181"/>
        <v>1</v>
      </c>
      <c r="DH181" s="1">
        <f t="shared" ca="1" si="182"/>
        <v>406</v>
      </c>
      <c r="DI181" s="1">
        <f t="shared" ca="1" si="183"/>
        <v>0.56795423576879356</v>
      </c>
      <c r="DJ181" s="1">
        <f t="shared" ca="1" si="184"/>
        <v>11</v>
      </c>
      <c r="DL181" s="1">
        <f t="shared" ca="1" si="185"/>
        <v>0.16223695809182634</v>
      </c>
      <c r="DM181" s="1">
        <f t="shared" ca="1" si="186"/>
        <v>228</v>
      </c>
      <c r="DN181" s="1">
        <f t="shared" ca="1" si="187"/>
        <v>6</v>
      </c>
    </row>
    <row r="182" spans="2:118" x14ac:dyDescent="0.25">
      <c r="B182">
        <f t="shared" ca="1" si="126"/>
        <v>641</v>
      </c>
      <c r="C182">
        <f t="shared" ca="1" si="127"/>
        <v>23</v>
      </c>
      <c r="D182">
        <f t="shared" ca="1" si="128"/>
        <v>0.24913319160061595</v>
      </c>
      <c r="F182" s="1">
        <f t="shared" ca="1" si="129"/>
        <v>51</v>
      </c>
      <c r="G182" s="1">
        <f t="shared" ca="1" si="130"/>
        <v>2</v>
      </c>
      <c r="H182" s="1">
        <f t="shared" ca="1" si="131"/>
        <v>9</v>
      </c>
      <c r="I182" s="1"/>
      <c r="J182" s="1">
        <f t="shared" ca="1" si="132"/>
        <v>14</v>
      </c>
      <c r="K182" s="1">
        <f t="shared" ca="1" si="133"/>
        <v>1.2272997223556898</v>
      </c>
      <c r="L182" s="1">
        <f t="shared" ca="1" si="134"/>
        <v>17</v>
      </c>
      <c r="M182" s="1"/>
      <c r="N182" s="1">
        <f t="shared" ca="1" si="135"/>
        <v>186</v>
      </c>
      <c r="O182" s="1">
        <f t="shared" ca="1" si="136"/>
        <v>20</v>
      </c>
      <c r="P182" s="1"/>
      <c r="Q182" s="1">
        <f t="shared" ca="1" si="137"/>
        <v>1.3810687422272532</v>
      </c>
      <c r="R182" s="1">
        <f t="shared" ca="1" si="138"/>
        <v>280</v>
      </c>
      <c r="S182" s="1"/>
      <c r="T182" s="1">
        <f t="shared" ca="1" si="139"/>
        <v>0.12620663149141104</v>
      </c>
      <c r="U182" s="1">
        <f t="shared" ca="1" si="140"/>
        <v>380</v>
      </c>
      <c r="V182" s="1">
        <f t="shared" ca="1" si="141"/>
        <v>32</v>
      </c>
      <c r="W182" s="1"/>
      <c r="X182" s="1">
        <f t="shared" ca="1" si="142"/>
        <v>7.0632446170849805</v>
      </c>
      <c r="Y182" s="1">
        <f t="shared" ca="1" si="143"/>
        <v>0.93332314596239174</v>
      </c>
      <c r="Z182" s="1">
        <f t="shared" ca="1" si="144"/>
        <v>390</v>
      </c>
      <c r="AB182" s="1">
        <f t="shared" ca="1" si="145"/>
        <v>0.8015710592270846</v>
      </c>
      <c r="AC182" s="1">
        <f t="shared" ca="1" si="146"/>
        <v>444</v>
      </c>
      <c r="AD182" s="1">
        <f t="shared" ca="1" si="147"/>
        <v>7.6446859995947774E-4</v>
      </c>
      <c r="AE182" s="1"/>
      <c r="AF182" s="1">
        <f t="shared" ca="1" si="148"/>
        <v>0.76084449204680249</v>
      </c>
      <c r="AG182" s="1">
        <f t="shared" ca="1" si="149"/>
        <v>559</v>
      </c>
      <c r="AH182" s="1">
        <f t="shared" ca="1" si="150"/>
        <v>3.5277774256188528E-3</v>
      </c>
      <c r="AJ182" s="1">
        <f t="shared" ca="1" si="151"/>
        <v>0.40157958662337845</v>
      </c>
      <c r="AK182" s="1">
        <f t="shared" ca="1" si="152"/>
        <v>2.0589840204732553E-3</v>
      </c>
      <c r="AL182" s="1"/>
      <c r="AM182" s="1">
        <f t="shared" ca="1" si="153"/>
        <v>4.3531561900750311E-2</v>
      </c>
      <c r="AN182" s="1">
        <f t="shared" ca="1" si="154"/>
        <v>63</v>
      </c>
      <c r="AO182" s="1">
        <f t="shared" ca="1" si="155"/>
        <v>11</v>
      </c>
      <c r="AQ182" s="1">
        <f t="shared" ca="1" si="156"/>
        <v>65</v>
      </c>
      <c r="AR182" s="1">
        <f t="shared" ca="1" si="157"/>
        <v>1</v>
      </c>
      <c r="AS182" s="1">
        <f t="shared" ca="1" si="158"/>
        <v>60</v>
      </c>
      <c r="AU182" s="1">
        <f t="shared" ca="1" si="159"/>
        <v>115</v>
      </c>
      <c r="AV182" s="1">
        <f t="shared" ca="1" si="160"/>
        <v>5</v>
      </c>
      <c r="AW182" s="1">
        <f t="shared" ca="1" si="161"/>
        <v>6.4442692502693535E-2</v>
      </c>
      <c r="AY182" s="1">
        <f t="shared" ca="1" si="162"/>
        <v>1.7683882971463647</v>
      </c>
      <c r="AZ182" s="1">
        <f t="shared" ca="1" si="163"/>
        <v>298</v>
      </c>
      <c r="BA182" s="1">
        <f t="shared" ca="1" si="164"/>
        <v>6.6121849846426583E-3</v>
      </c>
      <c r="BV182" s="1">
        <f t="shared" ca="1" si="165"/>
        <v>0.81398256998518559</v>
      </c>
      <c r="BW182" s="1">
        <f t="shared" ca="1" si="166"/>
        <v>946</v>
      </c>
      <c r="BX182" s="1">
        <f t="shared" ca="1" si="167"/>
        <v>7.3484877441069773E-3</v>
      </c>
      <c r="BY182" s="1">
        <f t="shared" ca="1" si="168"/>
        <v>8.9227486989026904E-3</v>
      </c>
      <c r="BZ182" s="1">
        <f t="shared" ca="1" si="169"/>
        <v>7.9098537878028674E-2</v>
      </c>
      <c r="CB182" s="1">
        <f t="shared" ca="1" si="170"/>
        <v>106</v>
      </c>
      <c r="CC182" s="1">
        <f t="shared" ca="1" si="171"/>
        <v>6</v>
      </c>
      <c r="CD182" s="1">
        <f t="shared" ca="1" si="172"/>
        <v>0.27804398405558906</v>
      </c>
      <c r="CE182" s="1">
        <f t="shared" ca="1" si="188"/>
        <v>0.81031066795382212</v>
      </c>
      <c r="CF182" s="1">
        <f t="shared" ca="1" si="188"/>
        <v>0.56456485580910298</v>
      </c>
      <c r="CH182" s="3">
        <f t="shared" ca="1" si="174"/>
        <v>0.98583850794580941</v>
      </c>
      <c r="CI182" s="3">
        <f t="shared" ca="1" si="175"/>
        <v>0.47539475407723192</v>
      </c>
      <c r="CJ182" s="3">
        <f t="shared" ca="1" si="176"/>
        <v>280</v>
      </c>
      <c r="CK182" s="3">
        <f t="shared" ca="1" si="177"/>
        <v>7.1147228052700733E-3</v>
      </c>
      <c r="CL182" s="3">
        <f t="shared" ca="1" si="178"/>
        <v>0</v>
      </c>
      <c r="CM182" s="3"/>
      <c r="CN182" s="1">
        <f t="shared" ca="1" si="179"/>
        <v>8.2740913842968773</v>
      </c>
      <c r="CO182" s="1">
        <f t="shared" ca="1" si="180"/>
        <v>3.8951234168708417E-2</v>
      </c>
      <c r="CP182" s="1">
        <f t="shared" ca="1" si="181"/>
        <v>1</v>
      </c>
      <c r="DH182" s="1">
        <f t="shared" ca="1" si="182"/>
        <v>117</v>
      </c>
      <c r="DI182" s="1">
        <f t="shared" ca="1" si="183"/>
        <v>0.43948244389218871</v>
      </c>
      <c r="DJ182" s="1">
        <f t="shared" ca="1" si="184"/>
        <v>6</v>
      </c>
      <c r="DL182" s="1">
        <f t="shared" ca="1" si="185"/>
        <v>5.0024171442706225E-2</v>
      </c>
      <c r="DM182" s="1">
        <f t="shared" ca="1" si="186"/>
        <v>194</v>
      </c>
      <c r="DN182" s="1">
        <f t="shared" ca="1" si="187"/>
        <v>6</v>
      </c>
    </row>
    <row r="183" spans="2:118" x14ac:dyDescent="0.25">
      <c r="B183">
        <f t="shared" ca="1" si="126"/>
        <v>339</v>
      </c>
      <c r="C183">
        <f t="shared" ca="1" si="127"/>
        <v>3</v>
      </c>
      <c r="D183">
        <f t="shared" ca="1" si="128"/>
        <v>5.7841361294889128E-2</v>
      </c>
      <c r="F183" s="1">
        <f t="shared" ca="1" si="129"/>
        <v>28</v>
      </c>
      <c r="G183" s="1">
        <f t="shared" ca="1" si="130"/>
        <v>5</v>
      </c>
      <c r="H183" s="1">
        <f t="shared" ca="1" si="131"/>
        <v>4</v>
      </c>
      <c r="I183" s="1"/>
      <c r="J183" s="1">
        <f t="shared" ca="1" si="132"/>
        <v>2</v>
      </c>
      <c r="K183" s="1">
        <f t="shared" ca="1" si="133"/>
        <v>1.1371786394241739</v>
      </c>
      <c r="L183" s="1">
        <f t="shared" ca="1" si="134"/>
        <v>5</v>
      </c>
      <c r="M183" s="1"/>
      <c r="N183" s="1">
        <f t="shared" ca="1" si="135"/>
        <v>809</v>
      </c>
      <c r="O183" s="1">
        <f t="shared" ca="1" si="136"/>
        <v>24</v>
      </c>
      <c r="P183" s="1"/>
      <c r="Q183" s="1">
        <f t="shared" ca="1" si="137"/>
        <v>0.2922252307772244</v>
      </c>
      <c r="R183" s="1">
        <f t="shared" ca="1" si="138"/>
        <v>988</v>
      </c>
      <c r="S183" s="1"/>
      <c r="T183" s="1">
        <f t="shared" ca="1" si="139"/>
        <v>4.5582416416780236E-2</v>
      </c>
      <c r="U183" s="1">
        <f t="shared" ca="1" si="140"/>
        <v>421</v>
      </c>
      <c r="V183" s="1">
        <f t="shared" ca="1" si="141"/>
        <v>51</v>
      </c>
      <c r="W183" s="1"/>
      <c r="X183" s="1">
        <f t="shared" ca="1" si="142"/>
        <v>8.82757029735156</v>
      </c>
      <c r="Y183" s="1">
        <f t="shared" ca="1" si="143"/>
        <v>0.10728557918944409</v>
      </c>
      <c r="Z183" s="1">
        <f t="shared" ca="1" si="144"/>
        <v>789</v>
      </c>
      <c r="AB183" s="1">
        <f t="shared" ca="1" si="145"/>
        <v>9.1937053613939168E-2</v>
      </c>
      <c r="AC183" s="1">
        <f t="shared" ca="1" si="146"/>
        <v>690</v>
      </c>
      <c r="AD183" s="1">
        <f t="shared" ca="1" si="147"/>
        <v>4.5676877119922524E-3</v>
      </c>
      <c r="AE183" s="1"/>
      <c r="AF183" s="1">
        <f t="shared" ca="1" si="148"/>
        <v>0.89923326505973278</v>
      </c>
      <c r="AG183" s="1">
        <f t="shared" ca="1" si="149"/>
        <v>529</v>
      </c>
      <c r="AH183" s="1">
        <f t="shared" ca="1" si="150"/>
        <v>5.5867080473047948E-3</v>
      </c>
      <c r="AJ183" s="1">
        <f t="shared" ca="1" si="151"/>
        <v>1.8461149936364052E-2</v>
      </c>
      <c r="AK183" s="1">
        <f t="shared" ca="1" si="152"/>
        <v>1.2133944572826287E-3</v>
      </c>
      <c r="AL183" s="1"/>
      <c r="AM183" s="1">
        <f t="shared" ca="1" si="153"/>
        <v>0.10463074791827877</v>
      </c>
      <c r="AN183" s="1">
        <f t="shared" ca="1" si="154"/>
        <v>44</v>
      </c>
      <c r="AO183" s="1">
        <f t="shared" ca="1" si="155"/>
        <v>10</v>
      </c>
      <c r="AQ183" s="1">
        <f t="shared" ca="1" si="156"/>
        <v>29</v>
      </c>
      <c r="AR183" s="1">
        <f t="shared" ca="1" si="157"/>
        <v>1</v>
      </c>
      <c r="AS183" s="1">
        <f t="shared" ca="1" si="158"/>
        <v>49</v>
      </c>
      <c r="AU183" s="1">
        <f t="shared" ca="1" si="159"/>
        <v>257</v>
      </c>
      <c r="AV183" s="1">
        <f t="shared" ca="1" si="160"/>
        <v>9</v>
      </c>
      <c r="AW183" s="1">
        <f t="shared" ca="1" si="161"/>
        <v>7.4065475720293469E-2</v>
      </c>
      <c r="AY183" s="1">
        <f t="shared" ca="1" si="162"/>
        <v>1.9279647208072528</v>
      </c>
      <c r="AZ183" s="1">
        <f t="shared" ca="1" si="163"/>
        <v>418</v>
      </c>
      <c r="BA183" s="1">
        <f t="shared" ca="1" si="164"/>
        <v>2.3644155953835774E-3</v>
      </c>
      <c r="BV183" s="1">
        <f t="shared" ca="1" si="165"/>
        <v>0.88237262071240319</v>
      </c>
      <c r="BW183" s="1">
        <f t="shared" ca="1" si="166"/>
        <v>658</v>
      </c>
      <c r="BX183" s="1">
        <f t="shared" ca="1" si="167"/>
        <v>5.9802024431049022E-3</v>
      </c>
      <c r="BY183" s="1">
        <f t="shared" ca="1" si="168"/>
        <v>1.6267703736868849E-2</v>
      </c>
      <c r="BZ183" s="1">
        <f t="shared" ca="1" si="169"/>
        <v>0.84223706593712455</v>
      </c>
      <c r="CB183" s="1">
        <f t="shared" ca="1" si="170"/>
        <v>472</v>
      </c>
      <c r="CC183" s="1">
        <f t="shared" ca="1" si="171"/>
        <v>13</v>
      </c>
      <c r="CD183" s="1">
        <f t="shared" ca="1" si="172"/>
        <v>0.22440722977301669</v>
      </c>
      <c r="CE183" s="1">
        <f t="shared" ca="1" si="188"/>
        <v>0.57566461594592033</v>
      </c>
      <c r="CF183" s="1">
        <f t="shared" ca="1" si="188"/>
        <v>0.87253074012417331</v>
      </c>
      <c r="CH183" s="3">
        <f t="shared" ca="1" si="174"/>
        <v>0.21282541797546653</v>
      </c>
      <c r="CI183" s="3">
        <f t="shared" ca="1" si="175"/>
        <v>0.4387841062752556</v>
      </c>
      <c r="CJ183" s="3">
        <f t="shared" ca="1" si="176"/>
        <v>486</v>
      </c>
      <c r="CK183" s="3">
        <f t="shared" ca="1" si="177"/>
        <v>6.84620454549452E-3</v>
      </c>
      <c r="CL183" s="3">
        <f t="shared" ca="1" si="178"/>
        <v>0</v>
      </c>
      <c r="CM183" s="3"/>
      <c r="CN183" s="1">
        <f t="shared" ca="1" si="179"/>
        <v>18.510780184193397</v>
      </c>
      <c r="CO183" s="1">
        <f t="shared" ca="1" si="180"/>
        <v>0.35185294592675659</v>
      </c>
      <c r="CP183" s="1">
        <f t="shared" ca="1" si="181"/>
        <v>5</v>
      </c>
      <c r="DH183" s="1">
        <f t="shared" ca="1" si="182"/>
        <v>13</v>
      </c>
      <c r="DI183" s="1">
        <f t="shared" ca="1" si="183"/>
        <v>0.21243693845049288</v>
      </c>
      <c r="DJ183" s="1">
        <f t="shared" ca="1" si="184"/>
        <v>26</v>
      </c>
      <c r="DL183" s="1">
        <f t="shared" ca="1" si="185"/>
        <v>5.286880496863032E-2</v>
      </c>
      <c r="DM183" s="1">
        <f t="shared" ca="1" si="186"/>
        <v>129</v>
      </c>
      <c r="DN183" s="1">
        <f t="shared" ca="1" si="187"/>
        <v>7</v>
      </c>
    </row>
    <row r="184" spans="2:118" x14ac:dyDescent="0.25">
      <c r="B184">
        <f t="shared" ca="1" si="126"/>
        <v>19</v>
      </c>
      <c r="C184">
        <f t="shared" ca="1" si="127"/>
        <v>37</v>
      </c>
      <c r="D184">
        <f t="shared" ca="1" si="128"/>
        <v>2.9914382735559908E-2</v>
      </c>
      <c r="F184" s="1">
        <f t="shared" ca="1" si="129"/>
        <v>9</v>
      </c>
      <c r="G184" s="1">
        <f t="shared" ca="1" si="130"/>
        <v>30</v>
      </c>
      <c r="H184" s="1">
        <f t="shared" ca="1" si="131"/>
        <v>13</v>
      </c>
      <c r="I184" s="1"/>
      <c r="J184" s="1">
        <f t="shared" ca="1" si="132"/>
        <v>37</v>
      </c>
      <c r="K184" s="1">
        <f t="shared" ca="1" si="133"/>
        <v>2.2731533743124208</v>
      </c>
      <c r="L184" s="1">
        <f t="shared" ca="1" si="134"/>
        <v>13</v>
      </c>
      <c r="M184" s="1"/>
      <c r="N184" s="1">
        <f t="shared" ca="1" si="135"/>
        <v>611</v>
      </c>
      <c r="O184" s="1">
        <f t="shared" ca="1" si="136"/>
        <v>13</v>
      </c>
      <c r="P184" s="1"/>
      <c r="Q184" s="1">
        <f t="shared" ca="1" si="137"/>
        <v>3.9735169331239675</v>
      </c>
      <c r="R184" s="1">
        <f t="shared" ca="1" si="138"/>
        <v>864</v>
      </c>
      <c r="S184" s="1"/>
      <c r="T184" s="1">
        <f t="shared" ca="1" si="139"/>
        <v>0.15679535770243935</v>
      </c>
      <c r="U184" s="1">
        <f t="shared" ca="1" si="140"/>
        <v>120</v>
      </c>
      <c r="V184" s="1">
        <f t="shared" ca="1" si="141"/>
        <v>27</v>
      </c>
      <c r="W184" s="1"/>
      <c r="X184" s="1">
        <f t="shared" ca="1" si="142"/>
        <v>5.6994972000832105</v>
      </c>
      <c r="Y184" s="1">
        <f t="shared" ca="1" si="143"/>
        <v>0.91094802994616408</v>
      </c>
      <c r="Z184" s="1">
        <f t="shared" ca="1" si="144"/>
        <v>293</v>
      </c>
      <c r="AB184" s="1">
        <f t="shared" ca="1" si="145"/>
        <v>0.23825446437608983</v>
      </c>
      <c r="AC184" s="1">
        <f t="shared" ca="1" si="146"/>
        <v>520</v>
      </c>
      <c r="AD184" s="1">
        <f t="shared" ca="1" si="147"/>
        <v>2.1957169263043335E-3</v>
      </c>
      <c r="AE184" s="1"/>
      <c r="AF184" s="1">
        <f t="shared" ca="1" si="148"/>
        <v>0.71133231464163948</v>
      </c>
      <c r="AG184" s="1">
        <f t="shared" ca="1" si="149"/>
        <v>533</v>
      </c>
      <c r="AH184" s="1">
        <f t="shared" ca="1" si="150"/>
        <v>9.5153957593102738E-3</v>
      </c>
      <c r="AJ184" s="1">
        <f t="shared" ca="1" si="151"/>
        <v>0.63071225210879656</v>
      </c>
      <c r="AK184" s="1">
        <f t="shared" ca="1" si="152"/>
        <v>5.9413044218088792E-3</v>
      </c>
      <c r="AL184" s="1"/>
      <c r="AM184" s="1">
        <f t="shared" ca="1" si="153"/>
        <v>0.17609758852163146</v>
      </c>
      <c r="AN184" s="1">
        <f t="shared" ca="1" si="154"/>
        <v>72</v>
      </c>
      <c r="AO184" s="1">
        <f t="shared" ca="1" si="155"/>
        <v>18</v>
      </c>
      <c r="AQ184" s="1">
        <f t="shared" ca="1" si="156"/>
        <v>64</v>
      </c>
      <c r="AR184" s="1">
        <f t="shared" ca="1" si="157"/>
        <v>8</v>
      </c>
      <c r="AS184" s="1">
        <f t="shared" ca="1" si="158"/>
        <v>56</v>
      </c>
      <c r="AU184" s="1">
        <f t="shared" ca="1" si="159"/>
        <v>145</v>
      </c>
      <c r="AV184" s="1">
        <f t="shared" ca="1" si="160"/>
        <v>6</v>
      </c>
      <c r="AW184" s="1">
        <f t="shared" ca="1" si="161"/>
        <v>0.17386865547055605</v>
      </c>
      <c r="AY184" s="1">
        <f t="shared" ca="1" si="162"/>
        <v>1.7614578694000642</v>
      </c>
      <c r="AZ184" s="1">
        <f t="shared" ca="1" si="163"/>
        <v>286</v>
      </c>
      <c r="BA184" s="1">
        <f t="shared" ca="1" si="164"/>
        <v>1.8471048508743823E-3</v>
      </c>
      <c r="BV184" s="1">
        <f t="shared" ca="1" si="165"/>
        <v>0.9727977060359454</v>
      </c>
      <c r="BW184" s="1">
        <f t="shared" ca="1" si="166"/>
        <v>999</v>
      </c>
      <c r="BX184" s="1">
        <f t="shared" ca="1" si="167"/>
        <v>5.886981724816171E-3</v>
      </c>
      <c r="BY184" s="1">
        <f t="shared" ca="1" si="168"/>
        <v>4.257530920919321E-2</v>
      </c>
      <c r="BZ184" s="1">
        <f t="shared" ca="1" si="169"/>
        <v>0.13515977666553469</v>
      </c>
      <c r="CB184" s="1">
        <f t="shared" ca="1" si="170"/>
        <v>93</v>
      </c>
      <c r="CC184" s="1">
        <f t="shared" ca="1" si="171"/>
        <v>4</v>
      </c>
      <c r="CD184" s="1">
        <f t="shared" ca="1" si="172"/>
        <v>7.9432585788893853E-2</v>
      </c>
      <c r="CE184" s="1">
        <f t="shared" ca="1" si="188"/>
        <v>0.70209452888774615</v>
      </c>
      <c r="CF184" s="1">
        <f t="shared" ca="1" si="188"/>
        <v>0.54583542940952134</v>
      </c>
      <c r="CH184" s="3">
        <f t="shared" ca="1" si="174"/>
        <v>5.3747445313819434E-2</v>
      </c>
      <c r="CI184" s="3">
        <f t="shared" ca="1" si="175"/>
        <v>0.36670560299874549</v>
      </c>
      <c r="CJ184" s="3">
        <f t="shared" ca="1" si="176"/>
        <v>908</v>
      </c>
      <c r="CK184" s="3">
        <f t="shared" ca="1" si="177"/>
        <v>9.1622061309021632E-3</v>
      </c>
      <c r="CL184" s="3">
        <f t="shared" ca="1" si="178"/>
        <v>1</v>
      </c>
      <c r="CM184" s="3"/>
      <c r="CN184" s="1">
        <f t="shared" ca="1" si="179"/>
        <v>6.4619004369471389</v>
      </c>
      <c r="CO184" s="1">
        <f t="shared" ca="1" si="180"/>
        <v>3.6746788890435387E-3</v>
      </c>
      <c r="CP184" s="1">
        <f t="shared" ca="1" si="181"/>
        <v>4</v>
      </c>
      <c r="DH184" s="1">
        <f t="shared" ca="1" si="182"/>
        <v>803</v>
      </c>
      <c r="DI184" s="1">
        <f t="shared" ca="1" si="183"/>
        <v>0.76171354806262737</v>
      </c>
      <c r="DJ184" s="1">
        <f t="shared" ca="1" si="184"/>
        <v>8</v>
      </c>
      <c r="DL184" s="1">
        <f t="shared" ca="1" si="185"/>
        <v>0.18648943716061334</v>
      </c>
      <c r="DM184" s="1">
        <f t="shared" ca="1" si="186"/>
        <v>252</v>
      </c>
      <c r="DN184" s="1">
        <f t="shared" ca="1" si="187"/>
        <v>3</v>
      </c>
    </row>
    <row r="185" spans="2:118" x14ac:dyDescent="0.25">
      <c r="B185">
        <f t="shared" ca="1" si="126"/>
        <v>802</v>
      </c>
      <c r="C185">
        <f t="shared" ca="1" si="127"/>
        <v>35</v>
      </c>
      <c r="D185">
        <f t="shared" ca="1" si="128"/>
        <v>0.11494414213172359</v>
      </c>
      <c r="F185" s="1">
        <f t="shared" ca="1" si="129"/>
        <v>8</v>
      </c>
      <c r="G185" s="1">
        <f t="shared" ca="1" si="130"/>
        <v>20</v>
      </c>
      <c r="H185" s="1">
        <f t="shared" ca="1" si="131"/>
        <v>3</v>
      </c>
      <c r="I185" s="1"/>
      <c r="J185" s="1">
        <f t="shared" ca="1" si="132"/>
        <v>5</v>
      </c>
      <c r="K185" s="1">
        <f t="shared" ca="1" si="133"/>
        <v>1.2825069907524225</v>
      </c>
      <c r="L185" s="1">
        <f t="shared" ca="1" si="134"/>
        <v>12</v>
      </c>
      <c r="M185" s="1"/>
      <c r="N185" s="1">
        <f t="shared" ca="1" si="135"/>
        <v>905</v>
      </c>
      <c r="O185" s="1">
        <f t="shared" ca="1" si="136"/>
        <v>36</v>
      </c>
      <c r="P185" s="1"/>
      <c r="Q185" s="1">
        <f t="shared" ca="1" si="137"/>
        <v>0.73257674321181498</v>
      </c>
      <c r="R185" s="1">
        <f t="shared" ca="1" si="138"/>
        <v>208</v>
      </c>
      <c r="S185" s="1"/>
      <c r="T185" s="1">
        <f t="shared" ca="1" si="139"/>
        <v>0.16170511626927847</v>
      </c>
      <c r="U185" s="1">
        <f t="shared" ca="1" si="140"/>
        <v>71</v>
      </c>
      <c r="V185" s="1">
        <f t="shared" ca="1" si="141"/>
        <v>41</v>
      </c>
      <c r="W185" s="1"/>
      <c r="X185" s="1">
        <f t="shared" ca="1" si="142"/>
        <v>0.85024001301150343</v>
      </c>
      <c r="Y185" s="1">
        <f t="shared" ca="1" si="143"/>
        <v>0.91987227722022225</v>
      </c>
      <c r="Z185" s="1">
        <f t="shared" ca="1" si="144"/>
        <v>242</v>
      </c>
      <c r="AB185" s="1">
        <f t="shared" ca="1" si="145"/>
        <v>0.33998138394649352</v>
      </c>
      <c r="AC185" s="1">
        <f t="shared" ca="1" si="146"/>
        <v>444</v>
      </c>
      <c r="AD185" s="1">
        <f t="shared" ca="1" si="147"/>
        <v>7.3139208245272336E-3</v>
      </c>
      <c r="AE185" s="1"/>
      <c r="AF185" s="1">
        <f t="shared" ca="1" si="148"/>
        <v>0.22583559420334548</v>
      </c>
      <c r="AG185" s="1">
        <f t="shared" ca="1" si="149"/>
        <v>470</v>
      </c>
      <c r="AH185" s="1">
        <f t="shared" ca="1" si="150"/>
        <v>2.4325052868822954E-3</v>
      </c>
      <c r="AJ185" s="1">
        <f t="shared" ca="1" si="151"/>
        <v>0.36137945307589669</v>
      </c>
      <c r="AK185" s="1">
        <f t="shared" ca="1" si="152"/>
        <v>5.2484722324179535E-3</v>
      </c>
      <c r="AL185" s="1"/>
      <c r="AM185" s="1">
        <f t="shared" ca="1" si="153"/>
        <v>2.9464656410349257E-2</v>
      </c>
      <c r="AN185" s="1">
        <f t="shared" ca="1" si="154"/>
        <v>18</v>
      </c>
      <c r="AO185" s="1">
        <f t="shared" ca="1" si="155"/>
        <v>20</v>
      </c>
      <c r="AQ185" s="1">
        <f t="shared" ca="1" si="156"/>
        <v>61</v>
      </c>
      <c r="AR185" s="1">
        <f t="shared" ca="1" si="157"/>
        <v>0</v>
      </c>
      <c r="AS185" s="1">
        <f t="shared" ca="1" si="158"/>
        <v>11</v>
      </c>
      <c r="AU185" s="1">
        <f t="shared" ca="1" si="159"/>
        <v>272</v>
      </c>
      <c r="AV185" s="1">
        <f t="shared" ca="1" si="160"/>
        <v>8</v>
      </c>
      <c r="AW185" s="1">
        <f t="shared" ca="1" si="161"/>
        <v>0.12988871126749535</v>
      </c>
      <c r="AY185" s="1">
        <f t="shared" ca="1" si="162"/>
        <v>1.8420339796633369</v>
      </c>
      <c r="AZ185" s="1">
        <f t="shared" ca="1" si="163"/>
        <v>239</v>
      </c>
      <c r="BA185" s="1">
        <f t="shared" ca="1" si="164"/>
        <v>6.5701544659598167E-3</v>
      </c>
      <c r="BV185" s="1">
        <f t="shared" ca="1" si="165"/>
        <v>0.47716047438202647</v>
      </c>
      <c r="BW185" s="1">
        <f t="shared" ca="1" si="166"/>
        <v>252</v>
      </c>
      <c r="BX185" s="1">
        <f t="shared" ca="1" si="167"/>
        <v>4.6974959314644432E-3</v>
      </c>
      <c r="BY185" s="1">
        <f t="shared" ca="1" si="168"/>
        <v>1.4915086341867105E-2</v>
      </c>
      <c r="BZ185" s="1">
        <f t="shared" ca="1" si="169"/>
        <v>0.69542465309012047</v>
      </c>
      <c r="CB185" s="1">
        <f t="shared" ca="1" si="170"/>
        <v>160</v>
      </c>
      <c r="CC185" s="1">
        <f t="shared" ca="1" si="171"/>
        <v>13</v>
      </c>
      <c r="CD185" s="1">
        <f t="shared" ca="1" si="172"/>
        <v>0.20860135711497324</v>
      </c>
      <c r="CE185" s="1">
        <f t="shared" ca="1" si="188"/>
        <v>0.86694964415272169</v>
      </c>
      <c r="CF185" s="1">
        <f t="shared" ca="1" si="188"/>
        <v>0.70651139745222302</v>
      </c>
      <c r="CH185" s="3">
        <f t="shared" ca="1" si="174"/>
        <v>0.43094058428757981</v>
      </c>
      <c r="CI185" s="3">
        <f t="shared" ca="1" si="175"/>
        <v>0.13825947426309465</v>
      </c>
      <c r="CJ185" s="3">
        <f t="shared" ca="1" si="176"/>
        <v>1813</v>
      </c>
      <c r="CK185" s="3">
        <f t="shared" ca="1" si="177"/>
        <v>2.8019138016920648E-3</v>
      </c>
      <c r="CL185" s="3">
        <f t="shared" ca="1" si="178"/>
        <v>0</v>
      </c>
      <c r="CM185" s="3"/>
      <c r="CN185" s="1">
        <f t="shared" ca="1" si="179"/>
        <v>17.02069681136771</v>
      </c>
      <c r="CO185" s="1">
        <f t="shared" ca="1" si="180"/>
        <v>1.2462519284455872E-3</v>
      </c>
      <c r="CP185" s="1">
        <f t="shared" ca="1" si="181"/>
        <v>2</v>
      </c>
      <c r="DH185" s="1">
        <f t="shared" ca="1" si="182"/>
        <v>469</v>
      </c>
      <c r="DI185" s="1">
        <f t="shared" ca="1" si="183"/>
        <v>0.73241207990826251</v>
      </c>
      <c r="DJ185" s="1">
        <f t="shared" ca="1" si="184"/>
        <v>6</v>
      </c>
      <c r="DL185" s="1">
        <f t="shared" ca="1" si="185"/>
        <v>7.7552005388782583E-2</v>
      </c>
      <c r="DM185" s="1">
        <f t="shared" ca="1" si="186"/>
        <v>287</v>
      </c>
      <c r="DN185" s="1">
        <f t="shared" ca="1" si="187"/>
        <v>2</v>
      </c>
    </row>
    <row r="186" spans="2:118" x14ac:dyDescent="0.25">
      <c r="B186">
        <f t="shared" ca="1" si="126"/>
        <v>408</v>
      </c>
      <c r="C186">
        <f t="shared" ca="1" si="127"/>
        <v>10</v>
      </c>
      <c r="D186">
        <f t="shared" ca="1" si="128"/>
        <v>4.458713897913983E-2</v>
      </c>
      <c r="F186" s="1">
        <f t="shared" ca="1" si="129"/>
        <v>22</v>
      </c>
      <c r="G186" s="1">
        <f t="shared" ca="1" si="130"/>
        <v>18</v>
      </c>
      <c r="H186" s="1">
        <f t="shared" ca="1" si="131"/>
        <v>4</v>
      </c>
      <c r="I186" s="1"/>
      <c r="J186" s="1">
        <f t="shared" ca="1" si="132"/>
        <v>21</v>
      </c>
      <c r="K186" s="1">
        <f t="shared" ca="1" si="133"/>
        <v>2.1685593286468867</v>
      </c>
      <c r="L186" s="1">
        <f t="shared" ca="1" si="134"/>
        <v>27</v>
      </c>
      <c r="M186" s="1"/>
      <c r="N186" s="1">
        <f t="shared" ca="1" si="135"/>
        <v>338</v>
      </c>
      <c r="O186" s="1">
        <f t="shared" ca="1" si="136"/>
        <v>42</v>
      </c>
      <c r="P186" s="1"/>
      <c r="Q186" s="1">
        <f t="shared" ca="1" si="137"/>
        <v>2.8678221212371562</v>
      </c>
      <c r="R186" s="1">
        <f t="shared" ca="1" si="138"/>
        <v>1040</v>
      </c>
      <c r="S186" s="1"/>
      <c r="T186" s="1">
        <f t="shared" ca="1" si="139"/>
        <v>9.9378257613115265E-2</v>
      </c>
      <c r="U186" s="1">
        <f t="shared" ca="1" si="140"/>
        <v>319</v>
      </c>
      <c r="V186" s="1">
        <f t="shared" ca="1" si="141"/>
        <v>4</v>
      </c>
      <c r="W186" s="1"/>
      <c r="X186" s="1">
        <f t="shared" ca="1" si="142"/>
        <v>8.431529398750925</v>
      </c>
      <c r="Y186" s="1">
        <f t="shared" ca="1" si="143"/>
        <v>0.45177753588355801</v>
      </c>
      <c r="Z186" s="1">
        <f t="shared" ca="1" si="144"/>
        <v>999</v>
      </c>
      <c r="AB186" s="1">
        <f t="shared" ca="1" si="145"/>
        <v>0.92196781481450074</v>
      </c>
      <c r="AC186" s="1">
        <f t="shared" ca="1" si="146"/>
        <v>104</v>
      </c>
      <c r="AD186" s="1">
        <f t="shared" ca="1" si="147"/>
        <v>6.8845796523815395E-3</v>
      </c>
      <c r="AE186" s="1"/>
      <c r="AF186" s="1">
        <f t="shared" ca="1" si="148"/>
        <v>0.67235097570019664</v>
      </c>
      <c r="AG186" s="1">
        <f t="shared" ca="1" si="149"/>
        <v>210</v>
      </c>
      <c r="AH186" s="1">
        <f t="shared" ca="1" si="150"/>
        <v>6.1354001095253168E-3</v>
      </c>
      <c r="AJ186" s="1">
        <f t="shared" ca="1" si="151"/>
        <v>5.5125429570791806E-2</v>
      </c>
      <c r="AK186" s="1">
        <f t="shared" ca="1" si="152"/>
        <v>1.1812266943204654E-4</v>
      </c>
      <c r="AL186" s="1"/>
      <c r="AM186" s="1">
        <f t="shared" ca="1" si="153"/>
        <v>3.2373788876129544E-2</v>
      </c>
      <c r="AN186" s="1">
        <f t="shared" ca="1" si="154"/>
        <v>76</v>
      </c>
      <c r="AO186" s="1">
        <f t="shared" ca="1" si="155"/>
        <v>3</v>
      </c>
      <c r="AQ186" s="1">
        <f t="shared" ca="1" si="156"/>
        <v>125</v>
      </c>
      <c r="AR186" s="1">
        <f t="shared" ca="1" si="157"/>
        <v>5</v>
      </c>
      <c r="AS186" s="1">
        <f t="shared" ca="1" si="158"/>
        <v>33</v>
      </c>
      <c r="AU186" s="1">
        <f t="shared" ca="1" si="159"/>
        <v>371</v>
      </c>
      <c r="AV186" s="1">
        <f t="shared" ca="1" si="160"/>
        <v>4</v>
      </c>
      <c r="AW186" s="1">
        <f t="shared" ca="1" si="161"/>
        <v>0.18774269198865548</v>
      </c>
      <c r="AY186" s="1">
        <f t="shared" ca="1" si="162"/>
        <v>1.7045188769334378</v>
      </c>
      <c r="AZ186" s="1">
        <f t="shared" ca="1" si="163"/>
        <v>222</v>
      </c>
      <c r="BA186" s="1">
        <f t="shared" ca="1" si="164"/>
        <v>4.5712054745991829E-3</v>
      </c>
      <c r="BV186" s="1">
        <f t="shared" ca="1" si="165"/>
        <v>0.62542656236147642</v>
      </c>
      <c r="BW186" s="1">
        <f t="shared" ca="1" si="166"/>
        <v>550</v>
      </c>
      <c r="BX186" s="1">
        <f t="shared" ca="1" si="167"/>
        <v>3.6533656781126984E-3</v>
      </c>
      <c r="BY186" s="1">
        <f t="shared" ca="1" si="168"/>
        <v>5.8944069859002725E-3</v>
      </c>
      <c r="BZ186" s="1">
        <f t="shared" ca="1" si="169"/>
        <v>0.85577822021416194</v>
      </c>
      <c r="CB186" s="1">
        <f t="shared" ca="1" si="170"/>
        <v>419</v>
      </c>
      <c r="CC186" s="1">
        <f t="shared" ca="1" si="171"/>
        <v>6</v>
      </c>
      <c r="CD186" s="1">
        <f t="shared" ca="1" si="172"/>
        <v>0.24171779020740786</v>
      </c>
      <c r="CE186" s="1">
        <f t="shared" ca="1" si="188"/>
        <v>0.93697804283932151</v>
      </c>
      <c r="CF186" s="1">
        <f t="shared" ca="1" si="188"/>
        <v>0.89921238093095102</v>
      </c>
      <c r="CH186" s="3">
        <f t="shared" ca="1" si="174"/>
        <v>0.18187319070786717</v>
      </c>
      <c r="CI186" s="3">
        <f t="shared" ca="1" si="175"/>
        <v>0.74724353003515376</v>
      </c>
      <c r="CJ186" s="3">
        <f t="shared" ca="1" si="176"/>
        <v>1027</v>
      </c>
      <c r="CK186" s="3">
        <f t="shared" ca="1" si="177"/>
        <v>9.7370119436444285E-3</v>
      </c>
      <c r="CL186" s="3">
        <f t="shared" ca="1" si="178"/>
        <v>1</v>
      </c>
      <c r="CM186" s="3"/>
      <c r="CN186" s="1">
        <f t="shared" ca="1" si="179"/>
        <v>19.934996213432186</v>
      </c>
      <c r="CO186" s="1">
        <f t="shared" ca="1" si="180"/>
        <v>0.43869384371618708</v>
      </c>
      <c r="CP186" s="1">
        <f t="shared" ca="1" si="181"/>
        <v>1</v>
      </c>
      <c r="DH186" s="1">
        <f t="shared" ca="1" si="182"/>
        <v>586</v>
      </c>
      <c r="DI186" s="1">
        <f t="shared" ca="1" si="183"/>
        <v>0.12413311370884461</v>
      </c>
      <c r="DJ186" s="1">
        <f t="shared" ca="1" si="184"/>
        <v>13</v>
      </c>
      <c r="DL186" s="1">
        <f t="shared" ca="1" si="185"/>
        <v>2.4964036694580402E-2</v>
      </c>
      <c r="DM186" s="1">
        <f t="shared" ca="1" si="186"/>
        <v>114</v>
      </c>
      <c r="DN186" s="1">
        <f t="shared" ca="1" si="187"/>
        <v>3</v>
      </c>
    </row>
    <row r="187" spans="2:118" x14ac:dyDescent="0.25">
      <c r="B187">
        <f t="shared" ca="1" si="126"/>
        <v>771</v>
      </c>
      <c r="C187">
        <f t="shared" ca="1" si="127"/>
        <v>35</v>
      </c>
      <c r="D187">
        <f t="shared" ca="1" si="128"/>
        <v>7.016965690743894E-2</v>
      </c>
      <c r="F187" s="1">
        <f t="shared" ca="1" si="129"/>
        <v>32</v>
      </c>
      <c r="G187" s="1">
        <f t="shared" ca="1" si="130"/>
        <v>17</v>
      </c>
      <c r="H187" s="1">
        <f t="shared" ca="1" si="131"/>
        <v>14</v>
      </c>
      <c r="I187" s="1"/>
      <c r="J187" s="1">
        <f t="shared" ca="1" si="132"/>
        <v>7</v>
      </c>
      <c r="K187" s="1">
        <f t="shared" ca="1" si="133"/>
        <v>1.1605389768877454</v>
      </c>
      <c r="L187" s="1">
        <f t="shared" ca="1" si="134"/>
        <v>19</v>
      </c>
      <c r="M187" s="1"/>
      <c r="N187" s="1">
        <f t="shared" ca="1" si="135"/>
        <v>650</v>
      </c>
      <c r="O187" s="1">
        <f t="shared" ca="1" si="136"/>
        <v>2</v>
      </c>
      <c r="P187" s="1"/>
      <c r="Q187" s="1">
        <f t="shared" ca="1" si="137"/>
        <v>4.7987862578553013</v>
      </c>
      <c r="R187" s="1">
        <f t="shared" ca="1" si="138"/>
        <v>989</v>
      </c>
      <c r="S187" s="1"/>
      <c r="T187" s="1">
        <f t="shared" ca="1" si="139"/>
        <v>0.11330734574680656</v>
      </c>
      <c r="U187" s="1">
        <f t="shared" ca="1" si="140"/>
        <v>196</v>
      </c>
      <c r="V187" s="1">
        <f t="shared" ca="1" si="141"/>
        <v>10</v>
      </c>
      <c r="W187" s="1"/>
      <c r="X187" s="1">
        <f t="shared" ca="1" si="142"/>
        <v>2.3481375460894531</v>
      </c>
      <c r="Y187" s="1">
        <f t="shared" ca="1" si="143"/>
        <v>0.48853489619021134</v>
      </c>
      <c r="Z187" s="1">
        <f t="shared" ca="1" si="144"/>
        <v>1257</v>
      </c>
      <c r="AB187" s="1">
        <f t="shared" ca="1" si="145"/>
        <v>0.90140668641663646</v>
      </c>
      <c r="AC187" s="1">
        <f t="shared" ca="1" si="146"/>
        <v>185</v>
      </c>
      <c r="AD187" s="1">
        <f t="shared" ca="1" si="147"/>
        <v>4.1128131961229303E-3</v>
      </c>
      <c r="AE187" s="1"/>
      <c r="AF187" s="1">
        <f t="shared" ca="1" si="148"/>
        <v>0.50168361259088967</v>
      </c>
      <c r="AG187" s="1">
        <f t="shared" ca="1" si="149"/>
        <v>807</v>
      </c>
      <c r="AH187" s="1">
        <f t="shared" ca="1" si="150"/>
        <v>1.7578985856900001E-3</v>
      </c>
      <c r="AJ187" s="1">
        <f t="shared" ca="1" si="151"/>
        <v>0.28401772461913655</v>
      </c>
      <c r="AK187" s="1">
        <f t="shared" ca="1" si="152"/>
        <v>3.6881107530330986E-3</v>
      </c>
      <c r="AL187" s="1"/>
      <c r="AM187" s="1">
        <f t="shared" ca="1" si="153"/>
        <v>0.11433601401435767</v>
      </c>
      <c r="AN187" s="1">
        <f t="shared" ca="1" si="154"/>
        <v>24</v>
      </c>
      <c r="AO187" s="1">
        <f t="shared" ca="1" si="155"/>
        <v>1</v>
      </c>
      <c r="AQ187" s="1">
        <f t="shared" ca="1" si="156"/>
        <v>130</v>
      </c>
      <c r="AR187" s="1">
        <f t="shared" ca="1" si="157"/>
        <v>10</v>
      </c>
      <c r="AS187" s="1">
        <f t="shared" ca="1" si="158"/>
        <v>65</v>
      </c>
      <c r="AU187" s="1">
        <f t="shared" ca="1" si="159"/>
        <v>277</v>
      </c>
      <c r="AV187" s="1">
        <f t="shared" ca="1" si="160"/>
        <v>10</v>
      </c>
      <c r="AW187" s="1">
        <f t="shared" ca="1" si="161"/>
        <v>2.0906554144226167E-2</v>
      </c>
      <c r="AY187" s="1">
        <f t="shared" ca="1" si="162"/>
        <v>1.3253244405911422</v>
      </c>
      <c r="AZ187" s="1">
        <f t="shared" ca="1" si="163"/>
        <v>159</v>
      </c>
      <c r="BA187" s="1">
        <f t="shared" ca="1" si="164"/>
        <v>7.0273074808440226E-3</v>
      </c>
      <c r="BV187" s="1">
        <f t="shared" ca="1" si="165"/>
        <v>0.46636476243322916</v>
      </c>
      <c r="BW187" s="1">
        <f t="shared" ca="1" si="166"/>
        <v>678</v>
      </c>
      <c r="BX187" s="1">
        <f t="shared" ca="1" si="167"/>
        <v>5.5698428692189774E-3</v>
      </c>
      <c r="BY187" s="1">
        <f t="shared" ca="1" si="168"/>
        <v>9.7756442803512228E-2</v>
      </c>
      <c r="BZ187" s="1">
        <f t="shared" ca="1" si="169"/>
        <v>0.11709992488711507</v>
      </c>
      <c r="CB187" s="1">
        <f t="shared" ca="1" si="170"/>
        <v>491</v>
      </c>
      <c r="CC187" s="1">
        <f t="shared" ca="1" si="171"/>
        <v>3</v>
      </c>
      <c r="CD187" s="1">
        <f t="shared" ca="1" si="172"/>
        <v>0.1395366292339292</v>
      </c>
      <c r="CE187" s="1">
        <f t="shared" ca="1" si="188"/>
        <v>0.93986308691280129</v>
      </c>
      <c r="CF187" s="1">
        <f t="shared" ca="1" si="188"/>
        <v>0.66800552096122856</v>
      </c>
      <c r="CH187" s="3">
        <f t="shared" ca="1" si="174"/>
        <v>0.91388675283053555</v>
      </c>
      <c r="CI187" s="3">
        <f t="shared" ca="1" si="175"/>
        <v>0.76800115132719371</v>
      </c>
      <c r="CJ187" s="3">
        <f t="shared" ca="1" si="176"/>
        <v>1842</v>
      </c>
      <c r="CK187" s="3">
        <f t="shared" ca="1" si="177"/>
        <v>2.816817567989557E-3</v>
      </c>
      <c r="CL187" s="3">
        <f t="shared" ca="1" si="178"/>
        <v>0</v>
      </c>
      <c r="CM187" s="3"/>
      <c r="CN187" s="1">
        <f t="shared" ca="1" si="179"/>
        <v>9.6796090422326859</v>
      </c>
      <c r="CO187" s="1">
        <f t="shared" ca="1" si="180"/>
        <v>0.21528000410470155</v>
      </c>
      <c r="CP187" s="1">
        <f t="shared" ca="1" si="181"/>
        <v>5</v>
      </c>
      <c r="DH187" s="1">
        <f t="shared" ca="1" si="182"/>
        <v>788</v>
      </c>
      <c r="DI187" s="1">
        <f t="shared" ca="1" si="183"/>
        <v>0.84217732113310151</v>
      </c>
      <c r="DJ187" s="1">
        <f t="shared" ca="1" si="184"/>
        <v>4</v>
      </c>
      <c r="DL187" s="1">
        <f t="shared" ca="1" si="185"/>
        <v>0.12048637906584246</v>
      </c>
      <c r="DM187" s="1">
        <f t="shared" ca="1" si="186"/>
        <v>170</v>
      </c>
      <c r="DN187" s="1">
        <f t="shared" ca="1" si="187"/>
        <v>4</v>
      </c>
    </row>
    <row r="188" spans="2:118" x14ac:dyDescent="0.25">
      <c r="B188">
        <f t="shared" ca="1" si="126"/>
        <v>724</v>
      </c>
      <c r="C188">
        <f t="shared" ca="1" si="127"/>
        <v>17</v>
      </c>
      <c r="D188">
        <f t="shared" ca="1" si="128"/>
        <v>0.19101882838813425</v>
      </c>
      <c r="F188" s="1">
        <f t="shared" ca="1" si="129"/>
        <v>43</v>
      </c>
      <c r="G188" s="1">
        <f t="shared" ca="1" si="130"/>
        <v>23</v>
      </c>
      <c r="H188" s="1">
        <f t="shared" ca="1" si="131"/>
        <v>7</v>
      </c>
      <c r="I188" s="1"/>
      <c r="J188" s="1">
        <f t="shared" ca="1" si="132"/>
        <v>19</v>
      </c>
      <c r="K188" s="1">
        <f t="shared" ca="1" si="133"/>
        <v>2.7857281492588761</v>
      </c>
      <c r="L188" s="1">
        <f t="shared" ca="1" si="134"/>
        <v>12</v>
      </c>
      <c r="M188" s="1"/>
      <c r="N188" s="1">
        <f t="shared" ca="1" si="135"/>
        <v>830</v>
      </c>
      <c r="O188" s="1">
        <f t="shared" ca="1" si="136"/>
        <v>11</v>
      </c>
      <c r="P188" s="1"/>
      <c r="Q188" s="1">
        <f t="shared" ca="1" si="137"/>
        <v>0.62723353499070011</v>
      </c>
      <c r="R188" s="1">
        <f t="shared" ca="1" si="138"/>
        <v>1144</v>
      </c>
      <c r="S188" s="1"/>
      <c r="T188" s="1">
        <f t="shared" ca="1" si="139"/>
        <v>0.18330743974046323</v>
      </c>
      <c r="U188" s="1">
        <f t="shared" ca="1" si="140"/>
        <v>400</v>
      </c>
      <c r="V188" s="1">
        <f t="shared" ca="1" si="141"/>
        <v>22</v>
      </c>
      <c r="W188" s="1"/>
      <c r="X188" s="1">
        <f t="shared" ca="1" si="142"/>
        <v>7.698111878590459</v>
      </c>
      <c r="Y188" s="1">
        <f t="shared" ca="1" si="143"/>
        <v>0.15047680710014094</v>
      </c>
      <c r="Z188" s="1">
        <f t="shared" ca="1" si="144"/>
        <v>1733</v>
      </c>
      <c r="AB188" s="1">
        <f t="shared" ca="1" si="145"/>
        <v>9.4219553105720014E-2</v>
      </c>
      <c r="AC188" s="1">
        <f t="shared" ca="1" si="146"/>
        <v>683</v>
      </c>
      <c r="AD188" s="1">
        <f t="shared" ca="1" si="147"/>
        <v>7.2049044400330445E-3</v>
      </c>
      <c r="AE188" s="1"/>
      <c r="AF188" s="1">
        <f t="shared" ca="1" si="148"/>
        <v>0.55102473716534228</v>
      </c>
      <c r="AG188" s="1">
        <f t="shared" ca="1" si="149"/>
        <v>594</v>
      </c>
      <c r="AH188" s="1">
        <f t="shared" ca="1" si="150"/>
        <v>2.9712120073220414E-3</v>
      </c>
      <c r="AJ188" s="1">
        <f t="shared" ca="1" si="151"/>
        <v>0.14797930393811753</v>
      </c>
      <c r="AK188" s="1">
        <f t="shared" ca="1" si="152"/>
        <v>9.74506689799042E-3</v>
      </c>
      <c r="AL188" s="1"/>
      <c r="AM188" s="1">
        <f t="shared" ca="1" si="153"/>
        <v>6.2283092065327436E-2</v>
      </c>
      <c r="AN188" s="1">
        <f t="shared" ca="1" si="154"/>
        <v>51</v>
      </c>
      <c r="AO188" s="1">
        <f t="shared" ca="1" si="155"/>
        <v>15</v>
      </c>
      <c r="AQ188" s="1">
        <f t="shared" ca="1" si="156"/>
        <v>22</v>
      </c>
      <c r="AR188" s="1">
        <f t="shared" ca="1" si="157"/>
        <v>5</v>
      </c>
      <c r="AS188" s="1">
        <f t="shared" ca="1" si="158"/>
        <v>70</v>
      </c>
      <c r="AU188" s="1">
        <f t="shared" ca="1" si="159"/>
        <v>316</v>
      </c>
      <c r="AV188" s="1">
        <f t="shared" ca="1" si="160"/>
        <v>5</v>
      </c>
      <c r="AW188" s="1">
        <f t="shared" ca="1" si="161"/>
        <v>1.8937975762211554E-2</v>
      </c>
      <c r="AY188" s="1">
        <f t="shared" ca="1" si="162"/>
        <v>1.3549308540334521</v>
      </c>
      <c r="AZ188" s="1">
        <f t="shared" ca="1" si="163"/>
        <v>65</v>
      </c>
      <c r="BA188" s="1">
        <f t="shared" ca="1" si="164"/>
        <v>5.7698976632056817E-3</v>
      </c>
      <c r="BV188" s="1">
        <f t="shared" ca="1" si="165"/>
        <v>0.56530281597615939</v>
      </c>
      <c r="BW188" s="1">
        <f t="shared" ca="1" si="166"/>
        <v>586</v>
      </c>
      <c r="BX188" s="1">
        <f t="shared" ca="1" si="167"/>
        <v>3.2916606336059872E-3</v>
      </c>
      <c r="BY188" s="1">
        <f t="shared" ca="1" si="168"/>
        <v>6.4003173773945904E-2</v>
      </c>
      <c r="BZ188" s="1">
        <f t="shared" ca="1" si="169"/>
        <v>0.77766085176575295</v>
      </c>
      <c r="CB188" s="1">
        <f t="shared" ca="1" si="170"/>
        <v>371</v>
      </c>
      <c r="CC188" s="1">
        <f t="shared" ca="1" si="171"/>
        <v>10</v>
      </c>
      <c r="CD188" s="1">
        <f t="shared" ca="1" si="172"/>
        <v>0.18157427357694589</v>
      </c>
      <c r="CE188" s="1">
        <f t="shared" ca="1" si="188"/>
        <v>0.83118819823993206</v>
      </c>
      <c r="CF188" s="1">
        <f t="shared" ca="1" si="188"/>
        <v>0.80421947430339102</v>
      </c>
      <c r="CH188" s="3">
        <f t="shared" ca="1" si="174"/>
        <v>0.38517066852643495</v>
      </c>
      <c r="CI188" s="3">
        <f t="shared" ca="1" si="175"/>
        <v>0.98501655365444263</v>
      </c>
      <c r="CJ188" s="3">
        <f t="shared" ca="1" si="176"/>
        <v>1662</v>
      </c>
      <c r="CK188" s="3">
        <f t="shared" ca="1" si="177"/>
        <v>4.8435813108802126E-3</v>
      </c>
      <c r="CL188" s="3">
        <f t="shared" ca="1" si="178"/>
        <v>0</v>
      </c>
      <c r="CM188" s="3"/>
      <c r="CN188" s="1">
        <f t="shared" ca="1" si="179"/>
        <v>0.78695369153427519</v>
      </c>
      <c r="CO188" s="1">
        <f t="shared" ca="1" si="180"/>
        <v>0.44493706027004709</v>
      </c>
      <c r="CP188" s="1">
        <f t="shared" ca="1" si="181"/>
        <v>2</v>
      </c>
      <c r="DH188" s="1">
        <f t="shared" ca="1" si="182"/>
        <v>530</v>
      </c>
      <c r="DI188" s="1">
        <f t="shared" ca="1" si="183"/>
        <v>0.62464763665611767</v>
      </c>
      <c r="DJ188" s="1">
        <f t="shared" ca="1" si="184"/>
        <v>16</v>
      </c>
      <c r="DL188" s="1">
        <f t="shared" ca="1" si="185"/>
        <v>0.19717619344095105</v>
      </c>
      <c r="DM188" s="1">
        <f t="shared" ca="1" si="186"/>
        <v>296</v>
      </c>
      <c r="DN188" s="1">
        <f t="shared" ca="1" si="187"/>
        <v>7</v>
      </c>
    </row>
    <row r="189" spans="2:118" x14ac:dyDescent="0.25">
      <c r="B189">
        <f t="shared" ca="1" si="126"/>
        <v>60</v>
      </c>
      <c r="C189">
        <f t="shared" ca="1" si="127"/>
        <v>50</v>
      </c>
      <c r="D189">
        <f t="shared" ca="1" si="128"/>
        <v>8.0217105854264156E-2</v>
      </c>
      <c r="F189" s="1">
        <f t="shared" ca="1" si="129"/>
        <v>38</v>
      </c>
      <c r="G189" s="1">
        <f t="shared" ca="1" si="130"/>
        <v>25</v>
      </c>
      <c r="H189" s="1">
        <f t="shared" ca="1" si="131"/>
        <v>13</v>
      </c>
      <c r="I189" s="1"/>
      <c r="J189" s="1">
        <f t="shared" ca="1" si="132"/>
        <v>38</v>
      </c>
      <c r="K189" s="1">
        <f t="shared" ca="1" si="133"/>
        <v>2.2900365482820737</v>
      </c>
      <c r="L189" s="1">
        <f t="shared" ca="1" si="134"/>
        <v>18</v>
      </c>
      <c r="M189" s="1"/>
      <c r="N189" s="1">
        <f t="shared" ca="1" si="135"/>
        <v>290</v>
      </c>
      <c r="O189" s="1">
        <f t="shared" ca="1" si="136"/>
        <v>9</v>
      </c>
      <c r="P189" s="1"/>
      <c r="Q189" s="1">
        <f t="shared" ca="1" si="137"/>
        <v>1.9527291861668206</v>
      </c>
      <c r="R189" s="1">
        <f t="shared" ca="1" si="138"/>
        <v>233</v>
      </c>
      <c r="S189" s="1"/>
      <c r="T189" s="1">
        <f t="shared" ca="1" si="139"/>
        <v>2.1037781491804432E-2</v>
      </c>
      <c r="U189" s="1">
        <f t="shared" ca="1" si="140"/>
        <v>297</v>
      </c>
      <c r="V189" s="1">
        <f t="shared" ca="1" si="141"/>
        <v>45</v>
      </c>
      <c r="W189" s="1"/>
      <c r="X189" s="1">
        <f t="shared" ca="1" si="142"/>
        <v>8.7517772024108247</v>
      </c>
      <c r="Y189" s="1">
        <f t="shared" ca="1" si="143"/>
        <v>0.57806814779059446</v>
      </c>
      <c r="Z189" s="1">
        <f t="shared" ca="1" si="144"/>
        <v>1759</v>
      </c>
      <c r="AB189" s="1">
        <f t="shared" ca="1" si="145"/>
        <v>5.5621656288809565E-2</v>
      </c>
      <c r="AC189" s="1">
        <f t="shared" ca="1" si="146"/>
        <v>546</v>
      </c>
      <c r="AD189" s="1">
        <f t="shared" ca="1" si="147"/>
        <v>3.6286069735747013E-3</v>
      </c>
      <c r="AE189" s="1"/>
      <c r="AF189" s="1">
        <f t="shared" ca="1" si="148"/>
        <v>0.78518361401269954</v>
      </c>
      <c r="AG189" s="1">
        <f t="shared" ca="1" si="149"/>
        <v>605</v>
      </c>
      <c r="AH189" s="1">
        <f t="shared" ca="1" si="150"/>
        <v>7.3568124948469316E-3</v>
      </c>
      <c r="AJ189" s="1">
        <f t="shared" ca="1" si="151"/>
        <v>0.89943214512666858</v>
      </c>
      <c r="AK189" s="1">
        <f t="shared" ca="1" si="152"/>
        <v>3.5601356301481583E-3</v>
      </c>
      <c r="AL189" s="1"/>
      <c r="AM189" s="1">
        <f t="shared" ca="1" si="153"/>
        <v>0.17804916808149415</v>
      </c>
      <c r="AN189" s="1">
        <f t="shared" ca="1" si="154"/>
        <v>24</v>
      </c>
      <c r="AO189" s="1">
        <f t="shared" ca="1" si="155"/>
        <v>18</v>
      </c>
      <c r="AQ189" s="1">
        <f t="shared" ca="1" si="156"/>
        <v>58</v>
      </c>
      <c r="AR189" s="1">
        <f t="shared" ca="1" si="157"/>
        <v>6</v>
      </c>
      <c r="AS189" s="1">
        <f t="shared" ca="1" si="158"/>
        <v>18</v>
      </c>
      <c r="AU189" s="1">
        <f t="shared" ca="1" si="159"/>
        <v>73</v>
      </c>
      <c r="AV189" s="1">
        <f t="shared" ca="1" si="160"/>
        <v>4</v>
      </c>
      <c r="AW189" s="1">
        <f t="shared" ca="1" si="161"/>
        <v>0.17361266088762761</v>
      </c>
      <c r="AY189" s="1">
        <f t="shared" ca="1" si="162"/>
        <v>1.9738315127620054</v>
      </c>
      <c r="AZ189" s="1">
        <f t="shared" ca="1" si="163"/>
        <v>459</v>
      </c>
      <c r="BA189" s="1">
        <f t="shared" ca="1" si="164"/>
        <v>8.2715314631429913E-3</v>
      </c>
      <c r="BV189" s="1">
        <f t="shared" ca="1" si="165"/>
        <v>0.17325365495213424</v>
      </c>
      <c r="BW189" s="1">
        <f t="shared" ca="1" si="166"/>
        <v>260</v>
      </c>
      <c r="BX189" s="1">
        <f t="shared" ca="1" si="167"/>
        <v>2.6213736254390948E-3</v>
      </c>
      <c r="BY189" s="1">
        <f t="shared" ca="1" si="168"/>
        <v>1.7320862675523989E-3</v>
      </c>
      <c r="BZ189" s="1">
        <f t="shared" ca="1" si="169"/>
        <v>0.7160227576835958</v>
      </c>
      <c r="CB189" s="1">
        <f t="shared" ca="1" si="170"/>
        <v>91</v>
      </c>
      <c r="CC189" s="1">
        <f t="shared" ca="1" si="171"/>
        <v>3</v>
      </c>
      <c r="CD189" s="1">
        <f t="shared" ca="1" si="172"/>
        <v>0.23815635900371621</v>
      </c>
      <c r="CE189" s="1">
        <f t="shared" ca="1" si="188"/>
        <v>0.79890555392056295</v>
      </c>
      <c r="CF189" s="1">
        <f t="shared" ca="1" si="188"/>
        <v>0.57597257005410141</v>
      </c>
      <c r="CH189" s="3">
        <f t="shared" ca="1" si="174"/>
        <v>0.4223287142461255</v>
      </c>
      <c r="CI189" s="3">
        <f t="shared" ca="1" si="175"/>
        <v>0.1474042437624549</v>
      </c>
      <c r="CJ189" s="3">
        <f t="shared" ca="1" si="176"/>
        <v>1446</v>
      </c>
      <c r="CK189" s="3">
        <f t="shared" ca="1" si="177"/>
        <v>1.3030985538229757E-3</v>
      </c>
      <c r="CL189" s="3">
        <f t="shared" ca="1" si="178"/>
        <v>0</v>
      </c>
      <c r="CM189" s="3"/>
      <c r="CN189" s="1">
        <f t="shared" ca="1" si="179"/>
        <v>2.674048857151428</v>
      </c>
      <c r="CO189" s="1">
        <f t="shared" ca="1" si="180"/>
        <v>0.43219125937416158</v>
      </c>
      <c r="CP189" s="1">
        <f t="shared" ca="1" si="181"/>
        <v>1</v>
      </c>
      <c r="DH189" s="1">
        <f t="shared" ca="1" si="182"/>
        <v>192</v>
      </c>
      <c r="DI189" s="1">
        <f t="shared" ca="1" si="183"/>
        <v>0.46708347170301628</v>
      </c>
      <c r="DJ189" s="1">
        <f t="shared" ca="1" si="184"/>
        <v>3</v>
      </c>
      <c r="DL189" s="1">
        <f t="shared" ca="1" si="185"/>
        <v>1.3675353411431803E-2</v>
      </c>
      <c r="DM189" s="1">
        <f t="shared" ca="1" si="186"/>
        <v>212</v>
      </c>
      <c r="DN189" s="1">
        <f t="shared" ca="1" si="187"/>
        <v>1</v>
      </c>
    </row>
    <row r="190" spans="2:118" x14ac:dyDescent="0.25">
      <c r="B190">
        <f t="shared" ca="1" si="126"/>
        <v>434</v>
      </c>
      <c r="C190">
        <f t="shared" ca="1" si="127"/>
        <v>12</v>
      </c>
      <c r="D190">
        <f t="shared" ca="1" si="128"/>
        <v>0.22652757094797796</v>
      </c>
      <c r="F190" s="1">
        <f t="shared" ca="1" si="129"/>
        <v>18</v>
      </c>
      <c r="G190" s="1">
        <f t="shared" ca="1" si="130"/>
        <v>23</v>
      </c>
      <c r="H190" s="1">
        <f t="shared" ca="1" si="131"/>
        <v>8</v>
      </c>
      <c r="I190" s="1"/>
      <c r="J190" s="1">
        <f t="shared" ca="1" si="132"/>
        <v>10</v>
      </c>
      <c r="K190" s="1">
        <f t="shared" ca="1" si="133"/>
        <v>2.4405904022948142</v>
      </c>
      <c r="L190" s="1">
        <f t="shared" ca="1" si="134"/>
        <v>21</v>
      </c>
      <c r="M190" s="1"/>
      <c r="N190" s="1">
        <f t="shared" ca="1" si="135"/>
        <v>522</v>
      </c>
      <c r="O190" s="1">
        <f t="shared" ca="1" si="136"/>
        <v>2</v>
      </c>
      <c r="P190" s="1"/>
      <c r="Q190" s="1">
        <f t="shared" ca="1" si="137"/>
        <v>4.941170323248004</v>
      </c>
      <c r="R190" s="1">
        <f t="shared" ca="1" si="138"/>
        <v>759</v>
      </c>
      <c r="S190" s="1"/>
      <c r="T190" s="1">
        <f t="shared" ca="1" si="139"/>
        <v>0.1355154149872364</v>
      </c>
      <c r="U190" s="1">
        <f t="shared" ca="1" si="140"/>
        <v>58</v>
      </c>
      <c r="V190" s="1">
        <f t="shared" ca="1" si="141"/>
        <v>8</v>
      </c>
      <c r="W190" s="1"/>
      <c r="X190" s="1">
        <f t="shared" ca="1" si="142"/>
        <v>6.8519822831378061</v>
      </c>
      <c r="Y190" s="1">
        <f t="shared" ca="1" si="143"/>
        <v>0.81041814432266934</v>
      </c>
      <c r="Z190" s="1">
        <f t="shared" ca="1" si="144"/>
        <v>1917</v>
      </c>
      <c r="AB190" s="1">
        <f t="shared" ca="1" si="145"/>
        <v>0.97885026919998641</v>
      </c>
      <c r="AC190" s="1">
        <f t="shared" ca="1" si="146"/>
        <v>437</v>
      </c>
      <c r="AD190" s="1">
        <f t="shared" ca="1" si="147"/>
        <v>5.1672626414341711E-3</v>
      </c>
      <c r="AE190" s="1"/>
      <c r="AF190" s="1">
        <f t="shared" ca="1" si="148"/>
        <v>0.50230902843521474</v>
      </c>
      <c r="AG190" s="1">
        <f t="shared" ca="1" si="149"/>
        <v>697</v>
      </c>
      <c r="AH190" s="1">
        <f t="shared" ca="1" si="150"/>
        <v>6.1278522265088339E-3</v>
      </c>
      <c r="AJ190" s="1">
        <f t="shared" ca="1" si="151"/>
        <v>0.12007574920351205</v>
      </c>
      <c r="AK190" s="1">
        <f t="shared" ca="1" si="152"/>
        <v>1.0939326552987559E-3</v>
      </c>
      <c r="AL190" s="1"/>
      <c r="AM190" s="1">
        <f t="shared" ca="1" si="153"/>
        <v>0.13981526497535707</v>
      </c>
      <c r="AN190" s="1">
        <f t="shared" ca="1" si="154"/>
        <v>14</v>
      </c>
      <c r="AO190" s="1">
        <f t="shared" ca="1" si="155"/>
        <v>8</v>
      </c>
      <c r="AQ190" s="1">
        <f t="shared" ca="1" si="156"/>
        <v>116</v>
      </c>
      <c r="AR190" s="1">
        <f t="shared" ca="1" si="157"/>
        <v>1</v>
      </c>
      <c r="AS190" s="1">
        <f t="shared" ca="1" si="158"/>
        <v>81</v>
      </c>
      <c r="AU190" s="1">
        <f t="shared" ca="1" si="159"/>
        <v>349</v>
      </c>
      <c r="AV190" s="1">
        <f t="shared" ca="1" si="160"/>
        <v>10</v>
      </c>
      <c r="AW190" s="1">
        <f t="shared" ca="1" si="161"/>
        <v>0.15684811169721388</v>
      </c>
      <c r="AY190" s="1">
        <f t="shared" ca="1" si="162"/>
        <v>1.8590732891638042</v>
      </c>
      <c r="AZ190" s="1">
        <f t="shared" ca="1" si="163"/>
        <v>470</v>
      </c>
      <c r="BA190" s="1">
        <f t="shared" ca="1" si="164"/>
        <v>3.4549639326254861E-3</v>
      </c>
      <c r="BV190" s="1">
        <f t="shared" ca="1" si="165"/>
        <v>0.42084595746167741</v>
      </c>
      <c r="BW190" s="1">
        <f t="shared" ca="1" si="166"/>
        <v>832</v>
      </c>
      <c r="BX190" s="1">
        <f t="shared" ca="1" si="167"/>
        <v>5.98890395538469E-3</v>
      </c>
      <c r="BY190" s="1">
        <f t="shared" ca="1" si="168"/>
        <v>9.3324689268653671E-2</v>
      </c>
      <c r="BZ190" s="1">
        <f t="shared" ca="1" si="169"/>
        <v>0.66091438600832253</v>
      </c>
      <c r="CB190" s="1">
        <f t="shared" ca="1" si="170"/>
        <v>243</v>
      </c>
      <c r="CC190" s="1">
        <f t="shared" ca="1" si="171"/>
        <v>8</v>
      </c>
      <c r="CD190" s="1">
        <f t="shared" ca="1" si="172"/>
        <v>0.14396695485139582</v>
      </c>
      <c r="CE190" s="1">
        <f t="shared" ca="1" si="188"/>
        <v>0.56614581159328048</v>
      </c>
      <c r="CF190" s="1">
        <f t="shared" ca="1" si="188"/>
        <v>0.9535936322691041</v>
      </c>
      <c r="CH190" s="3">
        <f t="shared" ca="1" si="174"/>
        <v>0.87122095009169265</v>
      </c>
      <c r="CI190" s="3">
        <f t="shared" ca="1" si="175"/>
        <v>0.73559317939523494</v>
      </c>
      <c r="CJ190" s="3">
        <f t="shared" ca="1" si="176"/>
        <v>427</v>
      </c>
      <c r="CK190" s="3">
        <f t="shared" ca="1" si="177"/>
        <v>6.9392340968971117E-3</v>
      </c>
      <c r="CL190" s="3">
        <f t="shared" ca="1" si="178"/>
        <v>1</v>
      </c>
      <c r="CM190" s="3"/>
      <c r="CN190" s="1">
        <f t="shared" ca="1" si="179"/>
        <v>13.953065135248213</v>
      </c>
      <c r="CO190" s="1">
        <f t="shared" ca="1" si="180"/>
        <v>0.2344719170086407</v>
      </c>
      <c r="CP190" s="1">
        <f t="shared" ca="1" si="181"/>
        <v>4</v>
      </c>
      <c r="DH190" s="1">
        <f t="shared" ca="1" si="182"/>
        <v>500</v>
      </c>
      <c r="DI190" s="1">
        <f t="shared" ca="1" si="183"/>
        <v>0.76058068147764157</v>
      </c>
      <c r="DJ190" s="1">
        <f t="shared" ca="1" si="184"/>
        <v>16</v>
      </c>
      <c r="DL190" s="1">
        <f t="shared" ca="1" si="185"/>
        <v>1.7660483415658196E-2</v>
      </c>
      <c r="DM190" s="1">
        <f t="shared" ca="1" si="186"/>
        <v>75</v>
      </c>
      <c r="DN190" s="1">
        <f t="shared" ca="1" si="187"/>
        <v>4</v>
      </c>
    </row>
    <row r="191" spans="2:118" x14ac:dyDescent="0.25">
      <c r="B191">
        <f t="shared" ca="1" si="126"/>
        <v>936</v>
      </c>
      <c r="C191">
        <f t="shared" ca="1" si="127"/>
        <v>14</v>
      </c>
      <c r="D191">
        <f t="shared" ca="1" si="128"/>
        <v>2.9985149441960408E-2</v>
      </c>
      <c r="F191" s="1">
        <f t="shared" ca="1" si="129"/>
        <v>47</v>
      </c>
      <c r="G191" s="1">
        <f t="shared" ca="1" si="130"/>
        <v>28</v>
      </c>
      <c r="H191" s="1">
        <f t="shared" ca="1" si="131"/>
        <v>12</v>
      </c>
      <c r="I191" s="1"/>
      <c r="J191" s="1">
        <f t="shared" ca="1" si="132"/>
        <v>13</v>
      </c>
      <c r="K191" s="1">
        <f t="shared" ca="1" si="133"/>
        <v>1.8242749589619862</v>
      </c>
      <c r="L191" s="1">
        <f t="shared" ca="1" si="134"/>
        <v>15</v>
      </c>
      <c r="M191" s="1"/>
      <c r="N191" s="1">
        <f t="shared" ca="1" si="135"/>
        <v>162</v>
      </c>
      <c r="O191" s="1">
        <f t="shared" ca="1" si="136"/>
        <v>51</v>
      </c>
      <c r="P191" s="1"/>
      <c r="Q191" s="1">
        <f t="shared" ca="1" si="137"/>
        <v>2.0790042091159533</v>
      </c>
      <c r="R191" s="1">
        <f t="shared" ca="1" si="138"/>
        <v>893</v>
      </c>
      <c r="S191" s="1"/>
      <c r="T191" s="1">
        <f t="shared" ca="1" si="139"/>
        <v>1.6740150469326618E-2</v>
      </c>
      <c r="U191" s="1">
        <f t="shared" ca="1" si="140"/>
        <v>336</v>
      </c>
      <c r="V191" s="1">
        <f t="shared" ca="1" si="141"/>
        <v>21</v>
      </c>
      <c r="W191" s="1"/>
      <c r="X191" s="1">
        <f t="shared" ca="1" si="142"/>
        <v>8.4583846720820084</v>
      </c>
      <c r="Y191" s="1">
        <f t="shared" ca="1" si="143"/>
        <v>0.82023485487629355</v>
      </c>
      <c r="Z191" s="1">
        <f t="shared" ca="1" si="144"/>
        <v>1929</v>
      </c>
      <c r="AB191" s="1">
        <f t="shared" ca="1" si="145"/>
        <v>0.51582684151048341</v>
      </c>
      <c r="AC191" s="1">
        <f t="shared" ca="1" si="146"/>
        <v>864</v>
      </c>
      <c r="AD191" s="1">
        <f t="shared" ca="1" si="147"/>
        <v>5.8712246600542009E-3</v>
      </c>
      <c r="AE191" s="1"/>
      <c r="AF191" s="1">
        <f t="shared" ca="1" si="148"/>
        <v>0.13788321350764443</v>
      </c>
      <c r="AG191" s="1">
        <f t="shared" ca="1" si="149"/>
        <v>832</v>
      </c>
      <c r="AH191" s="1">
        <f t="shared" ca="1" si="150"/>
        <v>1.4231621710950268E-3</v>
      </c>
      <c r="AJ191" s="1">
        <f t="shared" ca="1" si="151"/>
        <v>0.33342703528170725</v>
      </c>
      <c r="AK191" s="1">
        <f t="shared" ca="1" si="152"/>
        <v>4.6389538285703342E-3</v>
      </c>
      <c r="AL191" s="1"/>
      <c r="AM191" s="1">
        <f t="shared" ca="1" si="153"/>
        <v>2.8369269325967575E-2</v>
      </c>
      <c r="AN191" s="1">
        <f t="shared" ca="1" si="154"/>
        <v>28</v>
      </c>
      <c r="AO191" s="1">
        <f t="shared" ca="1" si="155"/>
        <v>11</v>
      </c>
      <c r="AQ191" s="1">
        <f t="shared" ca="1" si="156"/>
        <v>115</v>
      </c>
      <c r="AR191" s="1">
        <f t="shared" ca="1" si="157"/>
        <v>9</v>
      </c>
      <c r="AS191" s="1">
        <f t="shared" ca="1" si="158"/>
        <v>40</v>
      </c>
      <c r="AU191" s="1">
        <f t="shared" ca="1" si="159"/>
        <v>343</v>
      </c>
      <c r="AV191" s="1">
        <f t="shared" ca="1" si="160"/>
        <v>9</v>
      </c>
      <c r="AW191" s="1">
        <f t="shared" ca="1" si="161"/>
        <v>6.9165815399478581E-2</v>
      </c>
      <c r="AY191" s="1">
        <f t="shared" ca="1" si="162"/>
        <v>1.2682007065886398</v>
      </c>
      <c r="AZ191" s="1">
        <f t="shared" ca="1" si="163"/>
        <v>250</v>
      </c>
      <c r="BA191" s="1">
        <f t="shared" ca="1" si="164"/>
        <v>9.088095042953527E-3</v>
      </c>
      <c r="BV191" s="1">
        <f t="shared" ca="1" si="165"/>
        <v>0.15065741587461648</v>
      </c>
      <c r="BW191" s="1">
        <f t="shared" ca="1" si="166"/>
        <v>113</v>
      </c>
      <c r="BX191" s="1">
        <f t="shared" ca="1" si="167"/>
        <v>2.0780553345594436E-3</v>
      </c>
      <c r="BY191" s="1">
        <f t="shared" ca="1" si="168"/>
        <v>3.3482104644331365E-2</v>
      </c>
      <c r="BZ191" s="1">
        <f t="shared" ca="1" si="169"/>
        <v>0.30616576330975176</v>
      </c>
      <c r="CB191" s="1">
        <f t="shared" ca="1" si="170"/>
        <v>111</v>
      </c>
      <c r="CC191" s="1">
        <f t="shared" ca="1" si="171"/>
        <v>14</v>
      </c>
      <c r="CD191" s="1">
        <f t="shared" ca="1" si="172"/>
        <v>4.6715226203439472E-2</v>
      </c>
      <c r="CE191" s="1">
        <f t="shared" ca="1" si="188"/>
        <v>0.9473602302456815</v>
      </c>
      <c r="CF191" s="1">
        <f t="shared" ca="1" si="188"/>
        <v>0.94517470468390652</v>
      </c>
      <c r="CH191" s="3">
        <f t="shared" ca="1" si="174"/>
        <v>0.43468218880094572</v>
      </c>
      <c r="CI191" s="3">
        <f t="shared" ca="1" si="175"/>
        <v>9.2923771119826984E-2</v>
      </c>
      <c r="CJ191" s="3">
        <f t="shared" ca="1" si="176"/>
        <v>1765</v>
      </c>
      <c r="CK191" s="3">
        <f t="shared" ca="1" si="177"/>
        <v>7.4152368738616362E-3</v>
      </c>
      <c r="CL191" s="3">
        <f t="shared" ca="1" si="178"/>
        <v>1</v>
      </c>
      <c r="CM191" s="3"/>
      <c r="CN191" s="1">
        <f t="shared" ca="1" si="179"/>
        <v>3.6260113458791454</v>
      </c>
      <c r="CO191" s="1">
        <f t="shared" ca="1" si="180"/>
        <v>9.1403458509171046E-2</v>
      </c>
      <c r="CP191" s="1">
        <f t="shared" ca="1" si="181"/>
        <v>2</v>
      </c>
      <c r="DH191" s="1">
        <f t="shared" ca="1" si="182"/>
        <v>880</v>
      </c>
      <c r="DI191" s="1">
        <f t="shared" ca="1" si="183"/>
        <v>0.10622699106240678</v>
      </c>
      <c r="DJ191" s="1">
        <f t="shared" ca="1" si="184"/>
        <v>27</v>
      </c>
      <c r="DL191" s="1">
        <f t="shared" ca="1" si="185"/>
        <v>4.8030103113537552E-2</v>
      </c>
      <c r="DM191" s="1">
        <f t="shared" ca="1" si="186"/>
        <v>219</v>
      </c>
      <c r="DN191" s="1">
        <f t="shared" ca="1" si="187"/>
        <v>6</v>
      </c>
    </row>
    <row r="192" spans="2:118" x14ac:dyDescent="0.25">
      <c r="B192">
        <f t="shared" ca="1" si="126"/>
        <v>816</v>
      </c>
      <c r="C192">
        <f t="shared" ca="1" si="127"/>
        <v>49</v>
      </c>
      <c r="D192">
        <f t="shared" ca="1" si="128"/>
        <v>0.25699778143119778</v>
      </c>
      <c r="F192" s="1">
        <f t="shared" ca="1" si="129"/>
        <v>38</v>
      </c>
      <c r="G192" s="1">
        <f t="shared" ca="1" si="130"/>
        <v>8</v>
      </c>
      <c r="H192" s="1">
        <f t="shared" ca="1" si="131"/>
        <v>3</v>
      </c>
      <c r="I192" s="1"/>
      <c r="J192" s="1">
        <f t="shared" ca="1" si="132"/>
        <v>35</v>
      </c>
      <c r="K192" s="1">
        <f t="shared" ca="1" si="133"/>
        <v>2.9411404100905463</v>
      </c>
      <c r="L192" s="1">
        <f t="shared" ca="1" si="134"/>
        <v>18</v>
      </c>
      <c r="M192" s="1"/>
      <c r="N192" s="1">
        <f t="shared" ca="1" si="135"/>
        <v>844</v>
      </c>
      <c r="O192" s="1">
        <f t="shared" ca="1" si="136"/>
        <v>32</v>
      </c>
      <c r="P192" s="1"/>
      <c r="Q192" s="1">
        <f t="shared" ca="1" si="137"/>
        <v>2.541658475444394</v>
      </c>
      <c r="R192" s="1">
        <f t="shared" ca="1" si="138"/>
        <v>971</v>
      </c>
      <c r="S192" s="1"/>
      <c r="T192" s="1">
        <f t="shared" ca="1" si="139"/>
        <v>0.11038559676792689</v>
      </c>
      <c r="U192" s="1">
        <f t="shared" ca="1" si="140"/>
        <v>117</v>
      </c>
      <c r="V192" s="1">
        <f t="shared" ca="1" si="141"/>
        <v>45</v>
      </c>
      <c r="W192" s="1"/>
      <c r="X192" s="1">
        <f t="shared" ca="1" si="142"/>
        <v>0.51417038930819803</v>
      </c>
      <c r="Y192" s="1">
        <f t="shared" ca="1" si="143"/>
        <v>0.39504286120427284</v>
      </c>
      <c r="Z192" s="1">
        <f t="shared" ca="1" si="144"/>
        <v>1417</v>
      </c>
      <c r="AB192" s="1">
        <f t="shared" ca="1" si="145"/>
        <v>0.81136083412827054</v>
      </c>
      <c r="AC192" s="1">
        <f t="shared" ca="1" si="146"/>
        <v>856</v>
      </c>
      <c r="AD192" s="1">
        <f t="shared" ca="1" si="147"/>
        <v>1.5453549530584942E-3</v>
      </c>
      <c r="AE192" s="1"/>
      <c r="AF192" s="1">
        <f t="shared" ca="1" si="148"/>
        <v>0.83192692461743023</v>
      </c>
      <c r="AG192" s="1">
        <f t="shared" ca="1" si="149"/>
        <v>338</v>
      </c>
      <c r="AH192" s="1">
        <f t="shared" ca="1" si="150"/>
        <v>8.0103343404236988E-3</v>
      </c>
      <c r="AJ192" s="1">
        <f t="shared" ca="1" si="151"/>
        <v>0.65379316128795473</v>
      </c>
      <c r="AK192" s="1">
        <f t="shared" ca="1" si="152"/>
        <v>8.7764201537201911E-3</v>
      </c>
      <c r="AL192" s="1"/>
      <c r="AM192" s="1">
        <f t="shared" ca="1" si="153"/>
        <v>5.4865024631397599E-2</v>
      </c>
      <c r="AN192" s="1">
        <f t="shared" ca="1" si="154"/>
        <v>17</v>
      </c>
      <c r="AO192" s="1">
        <f t="shared" ca="1" si="155"/>
        <v>20</v>
      </c>
      <c r="AQ192" s="1">
        <f t="shared" ca="1" si="156"/>
        <v>155</v>
      </c>
      <c r="AR192" s="1">
        <f t="shared" ca="1" si="157"/>
        <v>10</v>
      </c>
      <c r="AS192" s="1">
        <f t="shared" ca="1" si="158"/>
        <v>68</v>
      </c>
      <c r="AU192" s="1">
        <f t="shared" ca="1" si="159"/>
        <v>123</v>
      </c>
      <c r="AV192" s="1">
        <f t="shared" ca="1" si="160"/>
        <v>5</v>
      </c>
      <c r="AW192" s="1">
        <f t="shared" ca="1" si="161"/>
        <v>1.7079275768628745E-2</v>
      </c>
      <c r="AY192" s="1">
        <f t="shared" ca="1" si="162"/>
        <v>1.5573303164188816</v>
      </c>
      <c r="AZ192" s="1">
        <f t="shared" ca="1" si="163"/>
        <v>270</v>
      </c>
      <c r="BA192" s="1">
        <f t="shared" ca="1" si="164"/>
        <v>5.7149102842232232E-3</v>
      </c>
      <c r="BV192" s="1">
        <f t="shared" ca="1" si="165"/>
        <v>0.12782630823707442</v>
      </c>
      <c r="BW192" s="1">
        <f t="shared" ca="1" si="166"/>
        <v>269</v>
      </c>
      <c r="BX192" s="1">
        <f t="shared" ca="1" si="167"/>
        <v>7.5990691796270896E-4</v>
      </c>
      <c r="BY192" s="1">
        <f t="shared" ca="1" si="168"/>
        <v>1.2163946605857763E-2</v>
      </c>
      <c r="BZ192" s="1">
        <f t="shared" ca="1" si="169"/>
        <v>0.43837946488144086</v>
      </c>
      <c r="CB192" s="1">
        <f t="shared" ca="1" si="170"/>
        <v>61</v>
      </c>
      <c r="CC192" s="1">
        <f t="shared" ca="1" si="171"/>
        <v>5</v>
      </c>
      <c r="CD192" s="1">
        <f t="shared" ca="1" si="172"/>
        <v>0.16414939443278512</v>
      </c>
      <c r="CE192" s="1">
        <f t="shared" ca="1" si="188"/>
        <v>0.85864686839080351</v>
      </c>
      <c r="CF192" s="1">
        <f t="shared" ca="1" si="188"/>
        <v>0.61313628691458566</v>
      </c>
      <c r="CH192" s="3">
        <f t="shared" ca="1" si="174"/>
        <v>0.84709628671165704</v>
      </c>
      <c r="CI192" s="3">
        <f t="shared" ca="1" si="175"/>
        <v>0.73835113902788496</v>
      </c>
      <c r="CJ192" s="3">
        <f t="shared" ca="1" si="176"/>
        <v>610</v>
      </c>
      <c r="CK192" s="3">
        <f t="shared" ca="1" si="177"/>
        <v>1.3806557173144413E-3</v>
      </c>
      <c r="CL192" s="3">
        <f t="shared" ca="1" si="178"/>
        <v>1</v>
      </c>
      <c r="CM192" s="3"/>
      <c r="CN192" s="1">
        <f t="shared" ca="1" si="179"/>
        <v>15.135488841469831</v>
      </c>
      <c r="CO192" s="1">
        <f t="shared" ca="1" si="180"/>
        <v>0.41973804662559178</v>
      </c>
      <c r="CP192" s="1">
        <f t="shared" ca="1" si="181"/>
        <v>1</v>
      </c>
      <c r="DH192" s="1">
        <f t="shared" ca="1" si="182"/>
        <v>531</v>
      </c>
      <c r="DI192" s="1">
        <f t="shared" ca="1" si="183"/>
        <v>0.36023968219744046</v>
      </c>
      <c r="DJ192" s="1">
        <f t="shared" ca="1" si="184"/>
        <v>29</v>
      </c>
      <c r="DL192" s="1">
        <f t="shared" ca="1" si="185"/>
        <v>5.8094005796651436E-2</v>
      </c>
      <c r="DM192" s="1">
        <f t="shared" ca="1" si="186"/>
        <v>282</v>
      </c>
      <c r="DN192" s="1">
        <f t="shared" ca="1" si="187"/>
        <v>6</v>
      </c>
    </row>
    <row r="193" spans="2:118" x14ac:dyDescent="0.25">
      <c r="B193">
        <f t="shared" ca="1" si="126"/>
        <v>433</v>
      </c>
      <c r="C193">
        <f t="shared" ca="1" si="127"/>
        <v>18</v>
      </c>
      <c r="D193">
        <f t="shared" ca="1" si="128"/>
        <v>0.11327767403722186</v>
      </c>
      <c r="F193" s="1">
        <f t="shared" ca="1" si="129"/>
        <v>42</v>
      </c>
      <c r="G193" s="1">
        <f t="shared" ca="1" si="130"/>
        <v>22</v>
      </c>
      <c r="H193" s="1">
        <f t="shared" ca="1" si="131"/>
        <v>2</v>
      </c>
      <c r="I193" s="1"/>
      <c r="J193" s="1">
        <f t="shared" ca="1" si="132"/>
        <v>11</v>
      </c>
      <c r="K193" s="1">
        <f t="shared" ca="1" si="133"/>
        <v>2.9353301661206812</v>
      </c>
      <c r="L193" s="1">
        <f t="shared" ca="1" si="134"/>
        <v>11</v>
      </c>
      <c r="M193" s="1"/>
      <c r="N193" s="1">
        <f t="shared" ca="1" si="135"/>
        <v>524</v>
      </c>
      <c r="O193" s="1">
        <f t="shared" ca="1" si="136"/>
        <v>52</v>
      </c>
      <c r="P193" s="1"/>
      <c r="Q193" s="1">
        <f t="shared" ca="1" si="137"/>
        <v>0.79237081972759449</v>
      </c>
      <c r="R193" s="1">
        <f t="shared" ca="1" si="138"/>
        <v>270</v>
      </c>
      <c r="S193" s="1"/>
      <c r="T193" s="1">
        <f t="shared" ca="1" si="139"/>
        <v>5.8093666231159712E-2</v>
      </c>
      <c r="U193" s="1">
        <f t="shared" ca="1" si="140"/>
        <v>186</v>
      </c>
      <c r="V193" s="1">
        <f t="shared" ca="1" si="141"/>
        <v>46</v>
      </c>
      <c r="W193" s="1"/>
      <c r="X193" s="1">
        <f t="shared" ca="1" si="142"/>
        <v>2.6111545397050118</v>
      </c>
      <c r="Y193" s="1">
        <f t="shared" ca="1" si="143"/>
        <v>0.33910744409514909</v>
      </c>
      <c r="Z193" s="1">
        <f t="shared" ca="1" si="144"/>
        <v>906</v>
      </c>
      <c r="AB193" s="1">
        <f t="shared" ca="1" si="145"/>
        <v>0.80105882231263903</v>
      </c>
      <c r="AC193" s="1">
        <f t="shared" ca="1" si="146"/>
        <v>471</v>
      </c>
      <c r="AD193" s="1">
        <f t="shared" ca="1" si="147"/>
        <v>5.9961326884330462E-3</v>
      </c>
      <c r="AE193" s="1"/>
      <c r="AF193" s="1">
        <f t="shared" ca="1" si="148"/>
        <v>0.59082142411400673</v>
      </c>
      <c r="AG193" s="1">
        <f t="shared" ca="1" si="149"/>
        <v>832</v>
      </c>
      <c r="AH193" s="1">
        <f t="shared" ca="1" si="150"/>
        <v>4.4470997305935626E-3</v>
      </c>
      <c r="AJ193" s="1">
        <f t="shared" ca="1" si="151"/>
        <v>0.55700266231143658</v>
      </c>
      <c r="AK193" s="1">
        <f t="shared" ca="1" si="152"/>
        <v>1.5449813580216729E-4</v>
      </c>
      <c r="AL193" s="1"/>
      <c r="AM193" s="1">
        <f t="shared" ca="1" si="153"/>
        <v>0.17458463830983273</v>
      </c>
      <c r="AN193" s="1">
        <f t="shared" ca="1" si="154"/>
        <v>70</v>
      </c>
      <c r="AO193" s="1">
        <f t="shared" ca="1" si="155"/>
        <v>0</v>
      </c>
      <c r="AQ193" s="1">
        <f t="shared" ca="1" si="156"/>
        <v>120</v>
      </c>
      <c r="AR193" s="1">
        <f t="shared" ca="1" si="157"/>
        <v>1</v>
      </c>
      <c r="AS193" s="1">
        <f t="shared" ca="1" si="158"/>
        <v>11</v>
      </c>
      <c r="AU193" s="1">
        <f t="shared" ca="1" si="159"/>
        <v>271</v>
      </c>
      <c r="AV193" s="1">
        <f t="shared" ca="1" si="160"/>
        <v>7</v>
      </c>
      <c r="AW193" s="1">
        <f t="shared" ca="1" si="161"/>
        <v>4.1204757363493966E-2</v>
      </c>
      <c r="AY193" s="1">
        <f t="shared" ca="1" si="162"/>
        <v>1.6373114991354929</v>
      </c>
      <c r="AZ193" s="1">
        <f t="shared" ca="1" si="163"/>
        <v>253</v>
      </c>
      <c r="BA193" s="1">
        <f t="shared" ca="1" si="164"/>
        <v>3.9896560297106544E-3</v>
      </c>
      <c r="BV193" s="1">
        <f t="shared" ca="1" si="165"/>
        <v>0.96146698016777765</v>
      </c>
      <c r="BW193" s="1">
        <f t="shared" ca="1" si="166"/>
        <v>496</v>
      </c>
      <c r="BX193" s="1">
        <f t="shared" ca="1" si="167"/>
        <v>1.9029624034310785E-3</v>
      </c>
      <c r="BY193" s="1">
        <f t="shared" ca="1" si="168"/>
        <v>8.624450154437055E-2</v>
      </c>
      <c r="BZ193" s="1">
        <f t="shared" ca="1" si="169"/>
        <v>0.6558293244724156</v>
      </c>
      <c r="CB193" s="1">
        <f t="shared" ca="1" si="170"/>
        <v>276</v>
      </c>
      <c r="CC193" s="1">
        <f t="shared" ca="1" si="171"/>
        <v>10</v>
      </c>
      <c r="CD193" s="1">
        <f t="shared" ca="1" si="172"/>
        <v>1.1644034350917213E-2</v>
      </c>
      <c r="CE193" s="1">
        <f t="shared" ca="1" si="188"/>
        <v>0.5543466267512801</v>
      </c>
      <c r="CF193" s="1">
        <f t="shared" ca="1" si="188"/>
        <v>0.68085806921679892</v>
      </c>
      <c r="CH193" s="3">
        <f t="shared" ca="1" si="174"/>
        <v>0.84604249487731609</v>
      </c>
      <c r="CI193" s="3">
        <f t="shared" ca="1" si="175"/>
        <v>1.6939401605404039E-2</v>
      </c>
      <c r="CJ193" s="3">
        <f t="shared" ca="1" si="176"/>
        <v>849</v>
      </c>
      <c r="CK193" s="3">
        <f t="shared" ca="1" si="177"/>
        <v>5.3722051597150985E-3</v>
      </c>
      <c r="CL193" s="3">
        <f t="shared" ca="1" si="178"/>
        <v>1</v>
      </c>
      <c r="CM193" s="3"/>
      <c r="CN193" s="1">
        <f t="shared" ca="1" si="179"/>
        <v>5.0873856226094096</v>
      </c>
      <c r="CO193" s="1">
        <f t="shared" ca="1" si="180"/>
        <v>0.30214411974815442</v>
      </c>
      <c r="CP193" s="1">
        <f t="shared" ca="1" si="181"/>
        <v>3</v>
      </c>
      <c r="DH193" s="1">
        <f t="shared" ca="1" si="182"/>
        <v>145</v>
      </c>
      <c r="DI193" s="1">
        <f t="shared" ca="1" si="183"/>
        <v>0.87368883049101653</v>
      </c>
      <c r="DJ193" s="1">
        <f t="shared" ca="1" si="184"/>
        <v>29</v>
      </c>
      <c r="DL193" s="1">
        <f t="shared" ca="1" si="185"/>
        <v>0.18017758327832906</v>
      </c>
      <c r="DM193" s="1">
        <f t="shared" ca="1" si="186"/>
        <v>290</v>
      </c>
      <c r="DN193" s="1">
        <f t="shared" ca="1" si="187"/>
        <v>1</v>
      </c>
    </row>
    <row r="194" spans="2:118" x14ac:dyDescent="0.25">
      <c r="B194">
        <f t="shared" ca="1" si="126"/>
        <v>79</v>
      </c>
      <c r="C194">
        <f t="shared" ca="1" si="127"/>
        <v>5</v>
      </c>
      <c r="D194">
        <f t="shared" ca="1" si="128"/>
        <v>7.2462808396819844E-2</v>
      </c>
      <c r="F194" s="1">
        <f t="shared" ca="1" si="129"/>
        <v>2</v>
      </c>
      <c r="G194" s="1">
        <f t="shared" ca="1" si="130"/>
        <v>21</v>
      </c>
      <c r="H194" s="1">
        <f t="shared" ca="1" si="131"/>
        <v>12</v>
      </c>
      <c r="I194" s="1"/>
      <c r="J194" s="1">
        <f t="shared" ca="1" si="132"/>
        <v>36</v>
      </c>
      <c r="K194" s="1">
        <f t="shared" ca="1" si="133"/>
        <v>2.0141580481381465</v>
      </c>
      <c r="L194" s="1">
        <f t="shared" ca="1" si="134"/>
        <v>4</v>
      </c>
      <c r="M194" s="1"/>
      <c r="N194" s="1">
        <f t="shared" ca="1" si="135"/>
        <v>733</v>
      </c>
      <c r="O194" s="1">
        <f t="shared" ca="1" si="136"/>
        <v>19</v>
      </c>
      <c r="P194" s="1"/>
      <c r="Q194" s="1">
        <f t="shared" ca="1" si="137"/>
        <v>4.2721681645958851</v>
      </c>
      <c r="R194" s="1">
        <f t="shared" ca="1" si="138"/>
        <v>812</v>
      </c>
      <c r="S194" s="1"/>
      <c r="T194" s="1">
        <f t="shared" ca="1" si="139"/>
        <v>0.16754646658424505</v>
      </c>
      <c r="U194" s="1">
        <f t="shared" ca="1" si="140"/>
        <v>73</v>
      </c>
      <c r="V194" s="1">
        <f t="shared" ca="1" si="141"/>
        <v>27</v>
      </c>
      <c r="W194" s="1"/>
      <c r="X194" s="1">
        <f t="shared" ca="1" si="142"/>
        <v>7.9252085100191438</v>
      </c>
      <c r="Y194" s="1">
        <f t="shared" ca="1" si="143"/>
        <v>0.39932494700249088</v>
      </c>
      <c r="Z194" s="1">
        <f t="shared" ca="1" si="144"/>
        <v>1978</v>
      </c>
      <c r="AB194" s="1">
        <f t="shared" ca="1" si="145"/>
        <v>9.7540213311566926E-2</v>
      </c>
      <c r="AC194" s="1">
        <f t="shared" ca="1" si="146"/>
        <v>740</v>
      </c>
      <c r="AD194" s="1">
        <f t="shared" ca="1" si="147"/>
        <v>3.5893324449291964E-4</v>
      </c>
      <c r="AE194" s="1"/>
      <c r="AF194" s="1">
        <f t="shared" ca="1" si="148"/>
        <v>0.67444112444416793</v>
      </c>
      <c r="AG194" s="1">
        <f t="shared" ca="1" si="149"/>
        <v>932</v>
      </c>
      <c r="AH194" s="1">
        <f t="shared" ca="1" si="150"/>
        <v>4.9493965812322568E-3</v>
      </c>
      <c r="AJ194" s="1">
        <f t="shared" ca="1" si="151"/>
        <v>0.64941091133740336</v>
      </c>
      <c r="AK194" s="1">
        <f t="shared" ca="1" si="152"/>
        <v>6.3845420875221917E-3</v>
      </c>
      <c r="AL194" s="1"/>
      <c r="AM194" s="1">
        <f t="shared" ca="1" si="153"/>
        <v>0.17628052407078226</v>
      </c>
      <c r="AN194" s="1">
        <f t="shared" ca="1" si="154"/>
        <v>38</v>
      </c>
      <c r="AO194" s="1">
        <f t="shared" ca="1" si="155"/>
        <v>1</v>
      </c>
      <c r="AQ194" s="1">
        <f t="shared" ca="1" si="156"/>
        <v>110</v>
      </c>
      <c r="AR194" s="1">
        <f t="shared" ca="1" si="157"/>
        <v>9</v>
      </c>
      <c r="AS194" s="1">
        <f t="shared" ca="1" si="158"/>
        <v>13</v>
      </c>
      <c r="AU194" s="1">
        <f t="shared" ca="1" si="159"/>
        <v>372</v>
      </c>
      <c r="AV194" s="1">
        <f t="shared" ca="1" si="160"/>
        <v>4</v>
      </c>
      <c r="AW194" s="1">
        <f t="shared" ca="1" si="161"/>
        <v>0.17489159684512326</v>
      </c>
      <c r="AY194" s="1">
        <f t="shared" ca="1" si="162"/>
        <v>1.9251940022170424</v>
      </c>
      <c r="AZ194" s="1">
        <f t="shared" ca="1" si="163"/>
        <v>454</v>
      </c>
      <c r="BA194" s="1">
        <f t="shared" ca="1" si="164"/>
        <v>1.5799256594837188E-3</v>
      </c>
      <c r="BV194" s="1">
        <f t="shared" ca="1" si="165"/>
        <v>0.42278575777130839</v>
      </c>
      <c r="BW194" s="1">
        <f t="shared" ca="1" si="166"/>
        <v>745</v>
      </c>
      <c r="BX194" s="1">
        <f t="shared" ca="1" si="167"/>
        <v>8.0529256190058837E-3</v>
      </c>
      <c r="BY194" s="1">
        <f t="shared" ca="1" si="168"/>
        <v>9.4747884454695008E-2</v>
      </c>
      <c r="BZ194" s="1">
        <f t="shared" ca="1" si="169"/>
        <v>0.22859738009331687</v>
      </c>
      <c r="CB194" s="1">
        <f t="shared" ca="1" si="170"/>
        <v>479</v>
      </c>
      <c r="CC194" s="1">
        <f t="shared" ca="1" si="171"/>
        <v>11</v>
      </c>
      <c r="CD194" s="1">
        <f t="shared" ca="1" si="172"/>
        <v>0.18550442331799136</v>
      </c>
      <c r="CE194" s="1">
        <f t="shared" ca="1" si="188"/>
        <v>0.57802469794443878</v>
      </c>
      <c r="CF194" s="1">
        <f t="shared" ca="1" si="188"/>
        <v>0.74102811624701204</v>
      </c>
      <c r="CH194" s="3">
        <f t="shared" ca="1" si="174"/>
        <v>0.88795237185552089</v>
      </c>
      <c r="CI194" s="3">
        <f t="shared" ca="1" si="175"/>
        <v>0.31206320036792351</v>
      </c>
      <c r="CJ194" s="3">
        <f t="shared" ca="1" si="176"/>
        <v>716</v>
      </c>
      <c r="CK194" s="3">
        <f t="shared" ca="1" si="177"/>
        <v>6.6753931582855149E-3</v>
      </c>
      <c r="CL194" s="3">
        <f t="shared" ca="1" si="178"/>
        <v>0</v>
      </c>
      <c r="CM194" s="3"/>
      <c r="CN194" s="1">
        <f t="shared" ca="1" si="179"/>
        <v>5.4454206148981372</v>
      </c>
      <c r="CO194" s="1">
        <f t="shared" ca="1" si="180"/>
        <v>0.41238425780533355</v>
      </c>
      <c r="CP194" s="1">
        <f t="shared" ca="1" si="181"/>
        <v>4</v>
      </c>
      <c r="DH194" s="1">
        <f t="shared" ca="1" si="182"/>
        <v>542</v>
      </c>
      <c r="DI194" s="1">
        <f t="shared" ca="1" si="183"/>
        <v>0.26496132248272652</v>
      </c>
      <c r="DJ194" s="1">
        <f t="shared" ca="1" si="184"/>
        <v>14</v>
      </c>
      <c r="DL194" s="1">
        <f t="shared" ca="1" si="185"/>
        <v>0.16579525475358711</v>
      </c>
      <c r="DM194" s="1">
        <f t="shared" ca="1" si="186"/>
        <v>160</v>
      </c>
      <c r="DN194" s="1">
        <f t="shared" ca="1" si="187"/>
        <v>4</v>
      </c>
    </row>
    <row r="195" spans="2:118" x14ac:dyDescent="0.25">
      <c r="B195">
        <f t="shared" ca="1" si="126"/>
        <v>91</v>
      </c>
      <c r="C195">
        <f t="shared" ca="1" si="127"/>
        <v>14</v>
      </c>
      <c r="D195">
        <f t="shared" ca="1" si="128"/>
        <v>6.2859503389221583E-2</v>
      </c>
      <c r="F195" s="1">
        <f t="shared" ca="1" si="129"/>
        <v>31</v>
      </c>
      <c r="G195" s="1">
        <f t="shared" ca="1" si="130"/>
        <v>10</v>
      </c>
      <c r="H195" s="1">
        <f t="shared" ca="1" si="131"/>
        <v>15</v>
      </c>
      <c r="I195" s="1"/>
      <c r="J195" s="1">
        <f t="shared" ca="1" si="132"/>
        <v>3</v>
      </c>
      <c r="K195" s="1">
        <f t="shared" ca="1" si="133"/>
        <v>1.3486907062974944</v>
      </c>
      <c r="L195" s="1">
        <f t="shared" ca="1" si="134"/>
        <v>27</v>
      </c>
      <c r="M195" s="1"/>
      <c r="N195" s="1">
        <f t="shared" ca="1" si="135"/>
        <v>647</v>
      </c>
      <c r="O195" s="1">
        <f t="shared" ca="1" si="136"/>
        <v>49</v>
      </c>
      <c r="P195" s="1"/>
      <c r="Q195" s="1">
        <f t="shared" ca="1" si="137"/>
        <v>2.0134197077907561</v>
      </c>
      <c r="R195" s="1">
        <f t="shared" ca="1" si="138"/>
        <v>646</v>
      </c>
      <c r="S195" s="1"/>
      <c r="T195" s="1">
        <f t="shared" ca="1" si="139"/>
        <v>5.5903314220785941E-2</v>
      </c>
      <c r="U195" s="1">
        <f t="shared" ca="1" si="140"/>
        <v>273</v>
      </c>
      <c r="V195" s="1">
        <f t="shared" ca="1" si="141"/>
        <v>30</v>
      </c>
      <c r="W195" s="1"/>
      <c r="X195" s="1">
        <f t="shared" ca="1" si="142"/>
        <v>8.3478080502325476</v>
      </c>
      <c r="Y195" s="1">
        <f t="shared" ca="1" si="143"/>
        <v>0.5344930878570614</v>
      </c>
      <c r="Z195" s="1">
        <f t="shared" ca="1" si="144"/>
        <v>743</v>
      </c>
      <c r="AB195" s="1">
        <f t="shared" ca="1" si="145"/>
        <v>5.8014461769334745E-2</v>
      </c>
      <c r="AC195" s="1">
        <f t="shared" ca="1" si="146"/>
        <v>832</v>
      </c>
      <c r="AD195" s="1">
        <f t="shared" ca="1" si="147"/>
        <v>6.8331792326138457E-3</v>
      </c>
      <c r="AE195" s="1"/>
      <c r="AF195" s="1">
        <f t="shared" ca="1" si="148"/>
        <v>0.46107110845820198</v>
      </c>
      <c r="AG195" s="1">
        <f t="shared" ca="1" si="149"/>
        <v>801</v>
      </c>
      <c r="AH195" s="1">
        <f t="shared" ca="1" si="150"/>
        <v>9.7306735074058381E-4</v>
      </c>
      <c r="AJ195" s="1">
        <f t="shared" ca="1" si="151"/>
        <v>0.6625324734789606</v>
      </c>
      <c r="AK195" s="1">
        <f t="shared" ca="1" si="152"/>
        <v>1.9955832289532105E-3</v>
      </c>
      <c r="AL195" s="1"/>
      <c r="AM195" s="1">
        <f t="shared" ca="1" si="153"/>
        <v>3.2192227262216794E-2</v>
      </c>
      <c r="AN195" s="1">
        <f t="shared" ca="1" si="154"/>
        <v>17</v>
      </c>
      <c r="AO195" s="1">
        <f t="shared" ca="1" si="155"/>
        <v>14</v>
      </c>
      <c r="AQ195" s="1">
        <f t="shared" ca="1" si="156"/>
        <v>174</v>
      </c>
      <c r="AR195" s="1">
        <f t="shared" ca="1" si="157"/>
        <v>5</v>
      </c>
      <c r="AS195" s="1">
        <f t="shared" ca="1" si="158"/>
        <v>68</v>
      </c>
      <c r="AU195" s="1">
        <f t="shared" ca="1" si="159"/>
        <v>295</v>
      </c>
      <c r="AV195" s="1">
        <f t="shared" ca="1" si="160"/>
        <v>2</v>
      </c>
      <c r="AW195" s="1">
        <f t="shared" ca="1" si="161"/>
        <v>0.137612656117274</v>
      </c>
      <c r="AY195" s="1">
        <f t="shared" ca="1" si="162"/>
        <v>1.932094656373593</v>
      </c>
      <c r="AZ195" s="1">
        <f t="shared" ca="1" si="163"/>
        <v>366</v>
      </c>
      <c r="BA195" s="1">
        <f t="shared" ca="1" si="164"/>
        <v>6.4280957772043824E-3</v>
      </c>
      <c r="BV195" s="1">
        <f t="shared" ca="1" si="165"/>
        <v>0.70312684850797891</v>
      </c>
      <c r="BW195" s="1">
        <f t="shared" ca="1" si="166"/>
        <v>377</v>
      </c>
      <c r="BX195" s="1">
        <f t="shared" ca="1" si="167"/>
        <v>8.8483256413509001E-3</v>
      </c>
      <c r="BY195" s="1">
        <f t="shared" ca="1" si="168"/>
        <v>8.9625678311506321E-2</v>
      </c>
      <c r="BZ195" s="1">
        <f t="shared" ca="1" si="169"/>
        <v>0.85101672688741647</v>
      </c>
      <c r="CB195" s="1">
        <f t="shared" ca="1" si="170"/>
        <v>142</v>
      </c>
      <c r="CC195" s="1">
        <f t="shared" ca="1" si="171"/>
        <v>11</v>
      </c>
      <c r="CD195" s="1">
        <f t="shared" ca="1" si="172"/>
        <v>1.2823616418235796E-2</v>
      </c>
      <c r="CE195" s="1">
        <f t="shared" ca="1" si="188"/>
        <v>0.68986736641210866</v>
      </c>
      <c r="CF195" s="1">
        <f t="shared" ca="1" si="188"/>
        <v>0.87295917689368463</v>
      </c>
      <c r="CH195" s="3">
        <f t="shared" ca="1" si="174"/>
        <v>0.99340161084583412</v>
      </c>
      <c r="CI195" s="3">
        <f t="shared" ca="1" si="175"/>
        <v>0.57718812704828437</v>
      </c>
      <c r="CJ195" s="3">
        <f t="shared" ca="1" si="176"/>
        <v>1611</v>
      </c>
      <c r="CK195" s="3">
        <f t="shared" ca="1" si="177"/>
        <v>1.821171963530419E-3</v>
      </c>
      <c r="CL195" s="3">
        <f t="shared" ca="1" si="178"/>
        <v>1</v>
      </c>
      <c r="CM195" s="3"/>
      <c r="CN195" s="1">
        <f t="shared" ca="1" si="179"/>
        <v>19.432351453950155</v>
      </c>
      <c r="CO195" s="1">
        <f t="shared" ca="1" si="180"/>
        <v>0.23132481833155882</v>
      </c>
      <c r="CP195" s="1">
        <f t="shared" ca="1" si="181"/>
        <v>4</v>
      </c>
      <c r="DH195" s="1">
        <f t="shared" ca="1" si="182"/>
        <v>750</v>
      </c>
      <c r="DI195" s="1">
        <f t="shared" ca="1" si="183"/>
        <v>5.6090285204398488E-2</v>
      </c>
      <c r="DJ195" s="1">
        <f t="shared" ca="1" si="184"/>
        <v>7</v>
      </c>
      <c r="DL195" s="1">
        <f t="shared" ca="1" si="185"/>
        <v>5.9839342734168507E-2</v>
      </c>
      <c r="DM195" s="1">
        <f t="shared" ca="1" si="186"/>
        <v>85</v>
      </c>
      <c r="DN195" s="1">
        <f t="shared" ca="1" si="187"/>
        <v>2</v>
      </c>
    </row>
    <row r="196" spans="2:118" x14ac:dyDescent="0.25">
      <c r="B196">
        <f t="shared" ref="B196:B202" ca="1" si="189">RANDBETWEEN(15,1000)</f>
        <v>217</v>
      </c>
      <c r="C196">
        <f t="shared" ref="C196:C202" ca="1" si="190">RANDBETWEEN(2,52)</f>
        <v>44</v>
      </c>
      <c r="D196">
        <f t="shared" ref="D196:D202" ca="1" si="191">RAND()*(0.3-0.01)+0.01</f>
        <v>0.28380907199223648</v>
      </c>
      <c r="F196" s="1">
        <f t="shared" ref="F196:F202" ca="1" si="192">RANDBETWEEN(2,52)</f>
        <v>15</v>
      </c>
      <c r="G196" s="1">
        <f t="shared" ref="G196:G202" ca="1" si="193">RANDBETWEEN(2,30)</f>
        <v>9</v>
      </c>
      <c r="H196" s="1">
        <f t="shared" ref="H196:H202" ca="1" si="194">RANDBETWEEN(1,15)</f>
        <v>10</v>
      </c>
      <c r="I196" s="1"/>
      <c r="J196" s="1">
        <f t="shared" ref="J196:J202" ca="1" si="195">RANDBETWEEN(1,39)</f>
        <v>17</v>
      </c>
      <c r="K196" s="1">
        <f t="shared" ref="K196:K202" ca="1" si="196">RAND()*(3-1)+1</f>
        <v>1.2843726485582674</v>
      </c>
      <c r="L196" s="1">
        <f t="shared" ref="L196:L202" ca="1" si="197">RANDBETWEEN(2,35)</f>
        <v>27</v>
      </c>
      <c r="M196" s="1"/>
      <c r="N196" s="1">
        <f t="shared" ref="N196:N202" ca="1" si="198">RANDBETWEEN(15,1000)</f>
        <v>613</v>
      </c>
      <c r="O196" s="1">
        <f t="shared" ref="O196:O202" ca="1" si="199">RANDBETWEEN(2,52)</f>
        <v>29</v>
      </c>
      <c r="P196" s="1"/>
      <c r="Q196" s="1">
        <f t="shared" ref="Q196:Q202" ca="1" si="200">RAND()*(5-0.01)+0.01</f>
        <v>2.7777199475495506E-2</v>
      </c>
      <c r="R196" s="1">
        <f t="shared" ref="R196:R202" ca="1" si="201">RANDBETWEEN(200,1200)</f>
        <v>279</v>
      </c>
      <c r="S196" s="1"/>
      <c r="T196" s="1">
        <f t="shared" ref="T196:T202" ca="1" si="202">RAND()*(0.2-0.01)+0.01</f>
        <v>0.12164154431249186</v>
      </c>
      <c r="U196" s="1">
        <f t="shared" ref="U196:U202" ca="1" si="203">RANDBETWEEN(50,450)</f>
        <v>388</v>
      </c>
      <c r="V196" s="1">
        <f t="shared" ref="V196:V202" ca="1" si="204">RANDBETWEEN(2,52)</f>
        <v>34</v>
      </c>
      <c r="W196" s="1"/>
      <c r="X196" s="1">
        <f t="shared" ref="X196:X202" ca="1" si="205">RAND()*(10-0.01)+0.01</f>
        <v>6.2841521673427563</v>
      </c>
      <c r="Y196" s="1">
        <f t="shared" ref="Y196:Y202" ca="1" si="206">RAND()*(1-0.0001)+0.0001</f>
        <v>0.59474810114671339</v>
      </c>
      <c r="Z196" s="1">
        <f t="shared" ref="Z196:Z202" ca="1" si="207">RANDBETWEEN(100,2000)</f>
        <v>645</v>
      </c>
      <c r="AB196" s="1">
        <f t="shared" ref="AB196:AB202" ca="1" si="208">RAND()*(1-0.0001)+0.0001</f>
        <v>0.81288295509883757</v>
      </c>
      <c r="AC196" s="1">
        <f t="shared" ref="AC196:AC202" ca="1" si="209">RANDBETWEEN(100,1000)</f>
        <v>485</v>
      </c>
      <c r="AD196" s="1">
        <f t="shared" ref="AD196:AD202" ca="1" si="210">RAND()*(0.01-0.00001)+0.00001</f>
        <v>2.6802617897046677E-3</v>
      </c>
      <c r="AE196" s="1"/>
      <c r="AF196" s="1">
        <f t="shared" ref="AF196:AF202" ca="1" si="211">RAND()*(0.9-0.1)+0.1</f>
        <v>0.16289137251358668</v>
      </c>
      <c r="AG196" s="1">
        <f t="shared" ref="AG196:AG202" ca="1" si="212">RANDBETWEEN(100,1000)</f>
        <v>615</v>
      </c>
      <c r="AH196" s="1">
        <f t="shared" ref="AH196:AH202" ca="1" si="213">RAND()*(0.01-0.00001)+0.00001</f>
        <v>5.9839580092570562E-3</v>
      </c>
      <c r="AJ196" s="1">
        <f t="shared" ref="AJ196:AJ202" ca="1" si="214">RAND()*(1-0)+0</f>
        <v>0.41135877286777478</v>
      </c>
      <c r="AK196" s="1">
        <f t="shared" ref="AK196:AK202" ca="1" si="215">RAND()*(0.01-0.00001)+0.00001</f>
        <v>9.0455032949908684E-3</v>
      </c>
      <c r="AL196" s="1"/>
      <c r="AM196" s="1">
        <f t="shared" ref="AM196:AM202" ca="1" si="216">RAND()*(0.2-0.005)+0.005</f>
        <v>0.17296477730290796</v>
      </c>
      <c r="AN196" s="1">
        <f t="shared" ref="AN196:AN202" ca="1" si="217">RANDBETWEEN(10,80)</f>
        <v>44</v>
      </c>
      <c r="AO196" s="1">
        <f t="shared" ref="AO196:AO202" ca="1" si="218">RANDBETWEEN(-1,20)</f>
        <v>8</v>
      </c>
      <c r="AQ196" s="1">
        <f t="shared" ref="AQ196:AQ202" ca="1" si="219">RANDBETWEEN(10,200)</f>
        <v>102</v>
      </c>
      <c r="AR196" s="1">
        <f t="shared" ref="AR196:AR202" ca="1" si="220">RANDBETWEEN(0,10)</f>
        <v>0</v>
      </c>
      <c r="AS196" s="1">
        <f t="shared" ref="AS196:AS202" ca="1" si="221">RANDBETWEEN(1,100)</f>
        <v>83</v>
      </c>
      <c r="AU196" s="1">
        <f t="shared" ref="AU196:AU202" ca="1" si="222">RANDBETWEEN(50,400)</f>
        <v>337</v>
      </c>
      <c r="AV196" s="1">
        <f t="shared" ref="AV196:AV202" ca="1" si="223">RANDBETWEEN(2,10)</f>
        <v>7</v>
      </c>
      <c r="AW196" s="1">
        <f t="shared" ref="AW196:AW202" ca="1" si="224">RAND()*(0.2-0.01)+0.01</f>
        <v>0.12520933522984964</v>
      </c>
      <c r="AY196" s="1">
        <f t="shared" ref="AY196:AY202" ca="1" si="225">RAND()*(2-1.1)+1.1</f>
        <v>1.8211045892907012</v>
      </c>
      <c r="AZ196" s="1">
        <f t="shared" ref="AZ196:AZ202" ca="1" si="226">RANDBETWEEN(50,500)</f>
        <v>142</v>
      </c>
      <c r="BA196" s="1">
        <f t="shared" ref="BA196:BA202" ca="1" si="227">RAND()*(0.01-0.00001)+0.00001</f>
        <v>1.9190247644493481E-3</v>
      </c>
      <c r="BV196" s="1">
        <f t="shared" ref="BV196:BV202" ca="1" si="228">RAND()*(1-0.0001)+0.0001</f>
        <v>0.96720770503700693</v>
      </c>
      <c r="BW196" s="1">
        <f t="shared" ref="BW196:BW202" ca="1" si="229">RANDBETWEEN(100,1000)</f>
        <v>941</v>
      </c>
      <c r="BX196" s="1">
        <f t="shared" ref="BX196:BX202" ca="1" si="230">RAND()*(0.01-0.00001)+0.00001</f>
        <v>5.8907761841316747E-3</v>
      </c>
      <c r="BY196" s="1">
        <f t="shared" ref="BY196:BY202" ca="1" si="231">RAND()*(0.1-0.0001)+0.0001</f>
        <v>2.5781638170474696E-2</v>
      </c>
      <c r="BZ196" s="1">
        <f t="shared" ref="BZ196:BZ202" ca="1" si="232">RAND()*(1-0)+0</f>
        <v>0.19929260571383922</v>
      </c>
      <c r="CB196" s="1">
        <f t="shared" ref="CB196:CB202" ca="1" si="233">RANDBETWEEN(50,500)</f>
        <v>333</v>
      </c>
      <c r="CC196" s="1">
        <f t="shared" ref="CC196:CC202" ca="1" si="234">RANDBETWEEN(3,15)</f>
        <v>13</v>
      </c>
      <c r="CD196" s="1">
        <f t="shared" ref="CD196:CD202" ca="1" si="235">RAND()*(0.3-0.01)+0.01</f>
        <v>0.17170178784206117</v>
      </c>
      <c r="CE196" s="1">
        <f t="shared" ca="1" si="188"/>
        <v>0.55282291571750819</v>
      </c>
      <c r="CF196" s="1">
        <f t="shared" ca="1" si="188"/>
        <v>0.99200907511780367</v>
      </c>
      <c r="CH196" s="3">
        <f t="shared" ref="CH196:CH202" ca="1" si="236">RAND()*(1-0.0001)+0.0001</f>
        <v>0.44956282630591277</v>
      </c>
      <c r="CI196" s="3">
        <f t="shared" ref="CI196:CI202" ca="1" si="237">RAND()*(0.99-0.01)+0.01</f>
        <v>0.28452580472314071</v>
      </c>
      <c r="CJ196" s="3">
        <f t="shared" ref="CJ196:CJ202" ca="1" si="238">RANDBETWEEN(100,2000)</f>
        <v>1172</v>
      </c>
      <c r="CK196" s="3">
        <f t="shared" ref="CK196:CK202" ca="1" si="239">RAND()*(0.01-0.000001)+0.000001</f>
        <v>9.2049811844419037E-3</v>
      </c>
      <c r="CL196" s="3">
        <f t="shared" ref="CL196:CL202" ca="1" si="240">RANDBETWEEN(0,1)</f>
        <v>1</v>
      </c>
      <c r="CM196" s="3"/>
      <c r="CN196" s="1">
        <f t="shared" ref="CN196:CN202" ca="1" si="241">RAND()*(20-0.1)+0.1</f>
        <v>17.829105406159695</v>
      </c>
      <c r="CO196" s="1">
        <f t="shared" ref="CO196:CO202" ca="1" si="242">RAND()*(0.5-0.001)+0.001</f>
        <v>0.13149278956608293</v>
      </c>
      <c r="CP196" s="1">
        <f t="shared" ref="CP196:CP202" ca="1" si="243">RANDBETWEEN(1,5)</f>
        <v>2</v>
      </c>
      <c r="DH196" s="1">
        <f t="shared" ref="DH196:DH202" ca="1" si="244">RANDBETWEEN(10,900)</f>
        <v>584</v>
      </c>
      <c r="DI196" s="1">
        <f t="shared" ref="DI196:DI202" ca="1" si="245">RAND()*(1-0.001)+0.001</f>
        <v>0.53077138333161322</v>
      </c>
      <c r="DJ196" s="1">
        <f t="shared" ref="DJ196:DJ202" ca="1" si="246">RANDBETWEEN(1,30)</f>
        <v>16</v>
      </c>
      <c r="DL196" s="1">
        <f t="shared" ref="DL196:DL202" ca="1" si="247">RAND()*(0.2-0.01)+0.01</f>
        <v>0.11749530539430754</v>
      </c>
      <c r="DM196" s="1">
        <f t="shared" ref="DM196:DM202" ca="1" si="248">RANDBETWEEN(50,300)</f>
        <v>89</v>
      </c>
      <c r="DN196" s="1">
        <f t="shared" ref="DN196:DN202" ca="1" si="249">RANDBETWEEN(1,10)</f>
        <v>8</v>
      </c>
    </row>
    <row r="197" spans="2:118" x14ac:dyDescent="0.25">
      <c r="B197">
        <f t="shared" ca="1" si="189"/>
        <v>76</v>
      </c>
      <c r="C197">
        <f t="shared" ca="1" si="190"/>
        <v>8</v>
      </c>
      <c r="D197">
        <f t="shared" ca="1" si="191"/>
        <v>0.24749783242721288</v>
      </c>
      <c r="F197" s="1">
        <f t="shared" ca="1" si="192"/>
        <v>17</v>
      </c>
      <c r="G197" s="1">
        <f t="shared" ca="1" si="193"/>
        <v>7</v>
      </c>
      <c r="H197" s="1">
        <f t="shared" ca="1" si="194"/>
        <v>14</v>
      </c>
      <c r="I197" s="1"/>
      <c r="J197" s="1">
        <f t="shared" ca="1" si="195"/>
        <v>10</v>
      </c>
      <c r="K197" s="1">
        <f t="shared" ca="1" si="196"/>
        <v>1.8639767294536409</v>
      </c>
      <c r="L197" s="1">
        <f t="shared" ca="1" si="197"/>
        <v>3</v>
      </c>
      <c r="M197" s="1"/>
      <c r="N197" s="1">
        <f t="shared" ca="1" si="198"/>
        <v>849</v>
      </c>
      <c r="O197" s="1">
        <f t="shared" ca="1" si="199"/>
        <v>7</v>
      </c>
      <c r="P197" s="1"/>
      <c r="Q197" s="1">
        <f t="shared" ca="1" si="200"/>
        <v>0.23748311740378072</v>
      </c>
      <c r="R197" s="1">
        <f t="shared" ca="1" si="201"/>
        <v>960</v>
      </c>
      <c r="S197" s="1"/>
      <c r="T197" s="1">
        <f t="shared" ca="1" si="202"/>
        <v>0.1483660846296406</v>
      </c>
      <c r="U197" s="1">
        <f t="shared" ca="1" si="203"/>
        <v>67</v>
      </c>
      <c r="V197" s="1">
        <f t="shared" ca="1" si="204"/>
        <v>51</v>
      </c>
      <c r="W197" s="1"/>
      <c r="X197" s="1">
        <f t="shared" ca="1" si="205"/>
        <v>9.6636999957843734</v>
      </c>
      <c r="Y197" s="1">
        <f t="shared" ca="1" si="206"/>
        <v>1.9423263170001627E-2</v>
      </c>
      <c r="Z197" s="1">
        <f t="shared" ca="1" si="207"/>
        <v>1852</v>
      </c>
      <c r="AB197" s="1">
        <f t="shared" ca="1" si="208"/>
        <v>2.8092951368042574E-2</v>
      </c>
      <c r="AC197" s="1">
        <f t="shared" ca="1" si="209"/>
        <v>570</v>
      </c>
      <c r="AD197" s="1">
        <f t="shared" ca="1" si="210"/>
        <v>6.9195732698064377E-3</v>
      </c>
      <c r="AE197" s="1"/>
      <c r="AF197" s="1">
        <f t="shared" ca="1" si="211"/>
        <v>0.85626003053984945</v>
      </c>
      <c r="AG197" s="1">
        <f t="shared" ca="1" si="212"/>
        <v>366</v>
      </c>
      <c r="AH197" s="1">
        <f t="shared" ca="1" si="213"/>
        <v>9.3623259119531965E-3</v>
      </c>
      <c r="AJ197" s="1">
        <f t="shared" ca="1" si="214"/>
        <v>0.87390443815252272</v>
      </c>
      <c r="AK197" s="1">
        <f t="shared" ca="1" si="215"/>
        <v>8.5382037294924121E-3</v>
      </c>
      <c r="AL197" s="1"/>
      <c r="AM197" s="1">
        <f t="shared" ca="1" si="216"/>
        <v>0.12301634236679904</v>
      </c>
      <c r="AN197" s="1">
        <f t="shared" ca="1" si="217"/>
        <v>73</v>
      </c>
      <c r="AO197" s="1">
        <f t="shared" ca="1" si="218"/>
        <v>10</v>
      </c>
      <c r="AQ197" s="1">
        <f t="shared" ca="1" si="219"/>
        <v>134</v>
      </c>
      <c r="AR197" s="1">
        <f t="shared" ca="1" si="220"/>
        <v>0</v>
      </c>
      <c r="AS197" s="1">
        <f t="shared" ca="1" si="221"/>
        <v>46</v>
      </c>
      <c r="AU197" s="1">
        <f t="shared" ca="1" si="222"/>
        <v>351</v>
      </c>
      <c r="AV197" s="1">
        <f t="shared" ca="1" si="223"/>
        <v>2</v>
      </c>
      <c r="AW197" s="1">
        <f t="shared" ca="1" si="224"/>
        <v>0.16608408170378564</v>
      </c>
      <c r="AY197" s="1">
        <f t="shared" ca="1" si="225"/>
        <v>1.6520369344825374</v>
      </c>
      <c r="AZ197" s="1">
        <f t="shared" ca="1" si="226"/>
        <v>130</v>
      </c>
      <c r="BA197" s="1">
        <f t="shared" ca="1" si="227"/>
        <v>2.182984911899897E-3</v>
      </c>
      <c r="BV197" s="1">
        <f t="shared" ca="1" si="228"/>
        <v>0.47462282987682763</v>
      </c>
      <c r="BW197" s="1">
        <f t="shared" ca="1" si="229"/>
        <v>573</v>
      </c>
      <c r="BX197" s="1">
        <f t="shared" ca="1" si="230"/>
        <v>3.0637563076864631E-3</v>
      </c>
      <c r="BY197" s="1">
        <f t="shared" ca="1" si="231"/>
        <v>8.9926025958698551E-4</v>
      </c>
      <c r="BZ197" s="1">
        <f t="shared" ca="1" si="232"/>
        <v>0.54966533446425125</v>
      </c>
      <c r="CB197" s="1">
        <f t="shared" ca="1" si="233"/>
        <v>471</v>
      </c>
      <c r="CC197" s="1">
        <f t="shared" ca="1" si="234"/>
        <v>5</v>
      </c>
      <c r="CD197" s="1">
        <f t="shared" ca="1" si="235"/>
        <v>4.8908600969520405E-2</v>
      </c>
      <c r="CE197" s="1">
        <f t="shared" ca="1" si="188"/>
        <v>0.62301539313581855</v>
      </c>
      <c r="CF197" s="1">
        <f t="shared" ca="1" si="188"/>
        <v>0.63528240590436424</v>
      </c>
      <c r="CH197" s="3">
        <f t="shared" ca="1" si="236"/>
        <v>0.38421177839811738</v>
      </c>
      <c r="CI197" s="3">
        <f t="shared" ca="1" si="237"/>
        <v>0.24676543824979935</v>
      </c>
      <c r="CJ197" s="3">
        <f t="shared" ca="1" si="238"/>
        <v>1283</v>
      </c>
      <c r="CK197" s="3">
        <f t="shared" ca="1" si="239"/>
        <v>1.4186207258709693E-4</v>
      </c>
      <c r="CL197" s="3">
        <f t="shared" ca="1" si="240"/>
        <v>0</v>
      </c>
      <c r="CM197" s="3"/>
      <c r="CN197" s="1">
        <f t="shared" ca="1" si="241"/>
        <v>9.1161869607347246</v>
      </c>
      <c r="CO197" s="1">
        <f t="shared" ca="1" si="242"/>
        <v>0.2587664180453636</v>
      </c>
      <c r="CP197" s="1">
        <f t="shared" ca="1" si="243"/>
        <v>4</v>
      </c>
      <c r="DH197" s="1">
        <f t="shared" ca="1" si="244"/>
        <v>658</v>
      </c>
      <c r="DI197" s="1">
        <f t="shared" ca="1" si="245"/>
        <v>0.13074357047228793</v>
      </c>
      <c r="DJ197" s="1">
        <f t="shared" ca="1" si="246"/>
        <v>3</v>
      </c>
      <c r="DL197" s="1">
        <f t="shared" ca="1" si="247"/>
        <v>0.19413447690774918</v>
      </c>
      <c r="DM197" s="1">
        <f t="shared" ca="1" si="248"/>
        <v>297</v>
      </c>
      <c r="DN197" s="1">
        <f t="shared" ca="1" si="249"/>
        <v>8</v>
      </c>
    </row>
    <row r="198" spans="2:118" x14ac:dyDescent="0.25">
      <c r="B198">
        <f t="shared" ca="1" si="189"/>
        <v>596</v>
      </c>
      <c r="C198">
        <f t="shared" ca="1" si="190"/>
        <v>39</v>
      </c>
      <c r="D198">
        <f t="shared" ca="1" si="191"/>
        <v>9.0069758000743433E-2</v>
      </c>
      <c r="F198" s="1">
        <f t="shared" ca="1" si="192"/>
        <v>13</v>
      </c>
      <c r="G198" s="1">
        <f t="shared" ca="1" si="193"/>
        <v>11</v>
      </c>
      <c r="H198" s="1">
        <f t="shared" ca="1" si="194"/>
        <v>6</v>
      </c>
      <c r="I198" s="1"/>
      <c r="J198" s="1">
        <f t="shared" ca="1" si="195"/>
        <v>3</v>
      </c>
      <c r="K198" s="1">
        <f t="shared" ca="1" si="196"/>
        <v>1.0122450609551465</v>
      </c>
      <c r="L198" s="1">
        <f t="shared" ca="1" si="197"/>
        <v>5</v>
      </c>
      <c r="M198" s="1"/>
      <c r="N198" s="1">
        <f t="shared" ca="1" si="198"/>
        <v>558</v>
      </c>
      <c r="O198" s="1">
        <f t="shared" ca="1" si="199"/>
        <v>3</v>
      </c>
      <c r="P198" s="1"/>
      <c r="Q198" s="1">
        <f t="shared" ca="1" si="200"/>
        <v>1.6131978968395728</v>
      </c>
      <c r="R198" s="1">
        <f t="shared" ca="1" si="201"/>
        <v>1188</v>
      </c>
      <c r="S198" s="1"/>
      <c r="T198" s="1">
        <f t="shared" ca="1" si="202"/>
        <v>0.19924062779925319</v>
      </c>
      <c r="U198" s="1">
        <f t="shared" ca="1" si="203"/>
        <v>393</v>
      </c>
      <c r="V198" s="1">
        <f t="shared" ca="1" si="204"/>
        <v>13</v>
      </c>
      <c r="W198" s="1"/>
      <c r="X198" s="1">
        <f t="shared" ca="1" si="205"/>
        <v>7.9303336454278393</v>
      </c>
      <c r="Y198" s="1">
        <f t="shared" ca="1" si="206"/>
        <v>0.55341239014960453</v>
      </c>
      <c r="Z198" s="1">
        <f t="shared" ca="1" si="207"/>
        <v>159</v>
      </c>
      <c r="AB198" s="1">
        <f t="shared" ca="1" si="208"/>
        <v>0.69429142615654527</v>
      </c>
      <c r="AC198" s="1">
        <f t="shared" ca="1" si="209"/>
        <v>214</v>
      </c>
      <c r="AD198" s="1">
        <f t="shared" ca="1" si="210"/>
        <v>2.9062543201804265E-3</v>
      </c>
      <c r="AE198" s="1"/>
      <c r="AF198" s="1">
        <f t="shared" ca="1" si="211"/>
        <v>0.31518042631154747</v>
      </c>
      <c r="AG198" s="1">
        <f t="shared" ca="1" si="212"/>
        <v>962</v>
      </c>
      <c r="AH198" s="1">
        <f t="shared" ca="1" si="213"/>
        <v>6.5338158240968638E-3</v>
      </c>
      <c r="AJ198" s="1">
        <f t="shared" ca="1" si="214"/>
        <v>0.17360771401515085</v>
      </c>
      <c r="AK198" s="1">
        <f t="shared" ca="1" si="215"/>
        <v>7.5196260475147896E-3</v>
      </c>
      <c r="AL198" s="1"/>
      <c r="AM198" s="1">
        <f t="shared" ca="1" si="216"/>
        <v>1.6198138710959879E-2</v>
      </c>
      <c r="AN198" s="1">
        <f t="shared" ca="1" si="217"/>
        <v>26</v>
      </c>
      <c r="AO198" s="1">
        <f t="shared" ca="1" si="218"/>
        <v>17</v>
      </c>
      <c r="AQ198" s="1">
        <f t="shared" ca="1" si="219"/>
        <v>118</v>
      </c>
      <c r="AR198" s="1">
        <f t="shared" ca="1" si="220"/>
        <v>6</v>
      </c>
      <c r="AS198" s="1">
        <f t="shared" ca="1" si="221"/>
        <v>19</v>
      </c>
      <c r="AU198" s="1">
        <f t="shared" ca="1" si="222"/>
        <v>215</v>
      </c>
      <c r="AV198" s="1">
        <f t="shared" ca="1" si="223"/>
        <v>2</v>
      </c>
      <c r="AW198" s="1">
        <f t="shared" ca="1" si="224"/>
        <v>9.1690401152092468E-2</v>
      </c>
      <c r="AY198" s="1">
        <f t="shared" ca="1" si="225"/>
        <v>1.9137520261333691</v>
      </c>
      <c r="AZ198" s="1">
        <f t="shared" ca="1" si="226"/>
        <v>370</v>
      </c>
      <c r="BA198" s="1">
        <f t="shared" ca="1" si="227"/>
        <v>7.1744619220930842E-3</v>
      </c>
      <c r="BV198" s="1">
        <f t="shared" ca="1" si="228"/>
        <v>0.25390616208687333</v>
      </c>
      <c r="BW198" s="1">
        <f t="shared" ca="1" si="229"/>
        <v>924</v>
      </c>
      <c r="BX198" s="1">
        <f t="shared" ca="1" si="230"/>
        <v>1.7711559747467592E-3</v>
      </c>
      <c r="BY198" s="1">
        <f t="shared" ca="1" si="231"/>
        <v>3.7188427125041085E-2</v>
      </c>
      <c r="BZ198" s="1">
        <f t="shared" ca="1" si="232"/>
        <v>0.78810624624740344</v>
      </c>
      <c r="CB198" s="1">
        <f t="shared" ca="1" si="233"/>
        <v>360</v>
      </c>
      <c r="CC198" s="1">
        <f t="shared" ca="1" si="234"/>
        <v>15</v>
      </c>
      <c r="CD198" s="1">
        <f t="shared" ca="1" si="235"/>
        <v>0.10354565790624448</v>
      </c>
      <c r="CE198" s="1">
        <f t="shared" ca="1" si="188"/>
        <v>0.54603836969328012</v>
      </c>
      <c r="CF198" s="1">
        <f t="shared" ca="1" si="188"/>
        <v>0.55596774710415109</v>
      </c>
      <c r="CH198" s="3">
        <f t="shared" ca="1" si="236"/>
        <v>0.56409033722127144</v>
      </c>
      <c r="CI198" s="3">
        <f t="shared" ca="1" si="237"/>
        <v>0.27982830734202435</v>
      </c>
      <c r="CJ198" s="3">
        <f t="shared" ca="1" si="238"/>
        <v>463</v>
      </c>
      <c r="CK198" s="3">
        <f t="shared" ca="1" si="239"/>
        <v>9.7511577077090544E-3</v>
      </c>
      <c r="CL198" s="3">
        <f t="shared" ca="1" si="240"/>
        <v>0</v>
      </c>
      <c r="CM198" s="3"/>
      <c r="CN198" s="1">
        <f t="shared" ca="1" si="241"/>
        <v>6.4409440765489929</v>
      </c>
      <c r="CO198" s="1">
        <f t="shared" ca="1" si="242"/>
        <v>0.15601608483403387</v>
      </c>
      <c r="CP198" s="1">
        <f t="shared" ca="1" si="243"/>
        <v>1</v>
      </c>
      <c r="DH198" s="1">
        <f t="shared" ca="1" si="244"/>
        <v>733</v>
      </c>
      <c r="DI198" s="1">
        <f t="shared" ca="1" si="245"/>
        <v>0.24373451116266154</v>
      </c>
      <c r="DJ198" s="1">
        <f t="shared" ca="1" si="246"/>
        <v>24</v>
      </c>
      <c r="DL198" s="1">
        <f t="shared" ca="1" si="247"/>
        <v>8.7627665618264169E-2</v>
      </c>
      <c r="DM198" s="1">
        <f t="shared" ca="1" si="248"/>
        <v>189</v>
      </c>
      <c r="DN198" s="1">
        <f t="shared" ca="1" si="249"/>
        <v>1</v>
      </c>
    </row>
    <row r="199" spans="2:118" x14ac:dyDescent="0.25">
      <c r="B199">
        <f t="shared" ca="1" si="189"/>
        <v>234</v>
      </c>
      <c r="C199">
        <f t="shared" ca="1" si="190"/>
        <v>37</v>
      </c>
      <c r="D199">
        <f t="shared" ca="1" si="191"/>
        <v>9.2060758605501905E-2</v>
      </c>
      <c r="F199" s="1">
        <f t="shared" ca="1" si="192"/>
        <v>48</v>
      </c>
      <c r="G199" s="1">
        <f t="shared" ca="1" si="193"/>
        <v>21</v>
      </c>
      <c r="H199" s="1">
        <f t="shared" ca="1" si="194"/>
        <v>12</v>
      </c>
      <c r="I199" s="1"/>
      <c r="J199" s="1">
        <f t="shared" ca="1" si="195"/>
        <v>36</v>
      </c>
      <c r="K199" s="1">
        <f t="shared" ca="1" si="196"/>
        <v>1.1365854905223096</v>
      </c>
      <c r="L199" s="1">
        <f t="shared" ca="1" si="197"/>
        <v>23</v>
      </c>
      <c r="M199" s="1"/>
      <c r="N199" s="1">
        <f t="shared" ca="1" si="198"/>
        <v>113</v>
      </c>
      <c r="O199" s="1">
        <f t="shared" ca="1" si="199"/>
        <v>36</v>
      </c>
      <c r="P199" s="1"/>
      <c r="Q199" s="1">
        <f t="shared" ca="1" si="200"/>
        <v>0.23366418995463878</v>
      </c>
      <c r="R199" s="1">
        <f t="shared" ca="1" si="201"/>
        <v>614</v>
      </c>
      <c r="S199" s="1"/>
      <c r="T199" s="1">
        <f t="shared" ca="1" si="202"/>
        <v>0.18351667001993069</v>
      </c>
      <c r="U199" s="1">
        <f t="shared" ca="1" si="203"/>
        <v>361</v>
      </c>
      <c r="V199" s="1">
        <f t="shared" ca="1" si="204"/>
        <v>21</v>
      </c>
      <c r="W199" s="1"/>
      <c r="X199" s="1">
        <f t="shared" ca="1" si="205"/>
        <v>6.9191482106105697</v>
      </c>
      <c r="Y199" s="1">
        <f t="shared" ca="1" si="206"/>
        <v>6.5644547255984356E-2</v>
      </c>
      <c r="Z199" s="1">
        <f t="shared" ca="1" si="207"/>
        <v>1906</v>
      </c>
      <c r="AB199" s="1">
        <f t="shared" ca="1" si="208"/>
        <v>0.40067927548724852</v>
      </c>
      <c r="AC199" s="1">
        <f t="shared" ca="1" si="209"/>
        <v>255</v>
      </c>
      <c r="AD199" s="1">
        <f t="shared" ca="1" si="210"/>
        <v>5.5222418039911269E-3</v>
      </c>
      <c r="AE199" s="1"/>
      <c r="AF199" s="1">
        <f t="shared" ca="1" si="211"/>
        <v>0.45008600417357358</v>
      </c>
      <c r="AG199" s="1">
        <f t="shared" ca="1" si="212"/>
        <v>574</v>
      </c>
      <c r="AH199" s="1">
        <f t="shared" ca="1" si="213"/>
        <v>3.3140177409133297E-3</v>
      </c>
      <c r="AJ199" s="1">
        <f t="shared" ca="1" si="214"/>
        <v>0.42036355515717894</v>
      </c>
      <c r="AK199" s="1">
        <f t="shared" ca="1" si="215"/>
        <v>9.620052010464529E-3</v>
      </c>
      <c r="AL199" s="1"/>
      <c r="AM199" s="1">
        <f t="shared" ca="1" si="216"/>
        <v>3.5495381023821361E-2</v>
      </c>
      <c r="AN199" s="1">
        <f t="shared" ca="1" si="217"/>
        <v>50</v>
      </c>
      <c r="AO199" s="1">
        <f t="shared" ca="1" si="218"/>
        <v>16</v>
      </c>
      <c r="AQ199" s="1">
        <f t="shared" ca="1" si="219"/>
        <v>31</v>
      </c>
      <c r="AR199" s="1">
        <f t="shared" ca="1" si="220"/>
        <v>4</v>
      </c>
      <c r="AS199" s="1">
        <f t="shared" ca="1" si="221"/>
        <v>68</v>
      </c>
      <c r="AU199" s="1">
        <f t="shared" ca="1" si="222"/>
        <v>333</v>
      </c>
      <c r="AV199" s="1">
        <f t="shared" ca="1" si="223"/>
        <v>7</v>
      </c>
      <c r="AW199" s="1">
        <f t="shared" ca="1" si="224"/>
        <v>0.13876530643424037</v>
      </c>
      <c r="AY199" s="1">
        <f t="shared" ca="1" si="225"/>
        <v>1.9458953164468844</v>
      </c>
      <c r="AZ199" s="1">
        <f t="shared" ca="1" si="226"/>
        <v>357</v>
      </c>
      <c r="BA199" s="1">
        <f t="shared" ca="1" si="227"/>
        <v>4.4286254404599275E-3</v>
      </c>
      <c r="BV199" s="1">
        <f t="shared" ca="1" si="228"/>
        <v>0.1041054906858222</v>
      </c>
      <c r="BW199" s="1">
        <f t="shared" ca="1" si="229"/>
        <v>592</v>
      </c>
      <c r="BX199" s="1">
        <f t="shared" ca="1" si="230"/>
        <v>8.2221307325010366E-3</v>
      </c>
      <c r="BY199" s="1">
        <f t="shared" ca="1" si="231"/>
        <v>1.5419669707439505E-2</v>
      </c>
      <c r="BZ199" s="1">
        <f t="shared" ca="1" si="232"/>
        <v>0.11365549531247676</v>
      </c>
      <c r="CB199" s="1">
        <f t="shared" ca="1" si="233"/>
        <v>79</v>
      </c>
      <c r="CC199" s="1">
        <f t="shared" ca="1" si="234"/>
        <v>4</v>
      </c>
      <c r="CD199" s="1">
        <f t="shared" ca="1" si="235"/>
        <v>0.20932216745121754</v>
      </c>
      <c r="CE199" s="1">
        <f t="shared" ca="1" si="188"/>
        <v>0.73078478646840539</v>
      </c>
      <c r="CF199" s="1">
        <f t="shared" ca="1" si="188"/>
        <v>0.9697045353899385</v>
      </c>
      <c r="CH199" s="3">
        <f t="shared" ca="1" si="236"/>
        <v>0.74269053920886607</v>
      </c>
      <c r="CI199" s="3">
        <f t="shared" ca="1" si="237"/>
        <v>0.81608860690766549</v>
      </c>
      <c r="CJ199" s="3">
        <f t="shared" ca="1" si="238"/>
        <v>1600</v>
      </c>
      <c r="CK199" s="3">
        <f t="shared" ca="1" si="239"/>
        <v>7.4269085296878624E-3</v>
      </c>
      <c r="CL199" s="3">
        <f t="shared" ca="1" si="240"/>
        <v>0</v>
      </c>
      <c r="CM199" s="3"/>
      <c r="CN199" s="1">
        <f t="shared" ca="1" si="241"/>
        <v>18.065788638645515</v>
      </c>
      <c r="CO199" s="1">
        <f t="shared" ca="1" si="242"/>
        <v>0.38284826650288434</v>
      </c>
      <c r="CP199" s="1">
        <f t="shared" ca="1" si="243"/>
        <v>1</v>
      </c>
      <c r="DH199" s="1">
        <f t="shared" ca="1" si="244"/>
        <v>337</v>
      </c>
      <c r="DI199" s="1">
        <f t="shared" ca="1" si="245"/>
        <v>0.98880353831797485</v>
      </c>
      <c r="DJ199" s="1">
        <f t="shared" ca="1" si="246"/>
        <v>30</v>
      </c>
      <c r="DL199" s="1">
        <f t="shared" ca="1" si="247"/>
        <v>7.9429143102363792E-2</v>
      </c>
      <c r="DM199" s="1">
        <f t="shared" ca="1" si="248"/>
        <v>158</v>
      </c>
      <c r="DN199" s="1">
        <f t="shared" ca="1" si="249"/>
        <v>4</v>
      </c>
    </row>
    <row r="200" spans="2:118" x14ac:dyDescent="0.25">
      <c r="B200">
        <f t="shared" ca="1" si="189"/>
        <v>977</v>
      </c>
      <c r="C200">
        <f t="shared" ca="1" si="190"/>
        <v>34</v>
      </c>
      <c r="D200">
        <f t="shared" ca="1" si="191"/>
        <v>0.22894214637427029</v>
      </c>
      <c r="F200" s="1">
        <f t="shared" ca="1" si="192"/>
        <v>29</v>
      </c>
      <c r="G200" s="1">
        <f t="shared" ca="1" si="193"/>
        <v>13</v>
      </c>
      <c r="H200" s="1">
        <f t="shared" ca="1" si="194"/>
        <v>14</v>
      </c>
      <c r="I200" s="1"/>
      <c r="J200" s="1">
        <f t="shared" ca="1" si="195"/>
        <v>20</v>
      </c>
      <c r="K200" s="1">
        <f t="shared" ca="1" si="196"/>
        <v>1.9376122704596777</v>
      </c>
      <c r="L200" s="1">
        <f t="shared" ca="1" si="197"/>
        <v>24</v>
      </c>
      <c r="M200" s="1"/>
      <c r="N200" s="1">
        <f t="shared" ca="1" si="198"/>
        <v>330</v>
      </c>
      <c r="O200" s="1">
        <f t="shared" ca="1" si="199"/>
        <v>5</v>
      </c>
      <c r="P200" s="1"/>
      <c r="Q200" s="1">
        <f t="shared" ca="1" si="200"/>
        <v>1.0987340606998721</v>
      </c>
      <c r="R200" s="1">
        <f t="shared" ca="1" si="201"/>
        <v>749</v>
      </c>
      <c r="S200" s="1"/>
      <c r="T200" s="1">
        <f t="shared" ca="1" si="202"/>
        <v>2.692869286616708E-2</v>
      </c>
      <c r="U200" s="1">
        <f t="shared" ca="1" si="203"/>
        <v>221</v>
      </c>
      <c r="V200" s="1">
        <f t="shared" ca="1" si="204"/>
        <v>14</v>
      </c>
      <c r="W200" s="1"/>
      <c r="X200" s="1">
        <f t="shared" ca="1" si="205"/>
        <v>3.2760164553030671</v>
      </c>
      <c r="Y200" s="1">
        <f t="shared" ca="1" si="206"/>
        <v>0.63967986098763951</v>
      </c>
      <c r="Z200" s="1">
        <f t="shared" ca="1" si="207"/>
        <v>1196</v>
      </c>
      <c r="AB200" s="1">
        <f t="shared" ca="1" si="208"/>
        <v>0.82301916181807377</v>
      </c>
      <c r="AC200" s="1">
        <f t="shared" ca="1" si="209"/>
        <v>377</v>
      </c>
      <c r="AD200" s="1">
        <f t="shared" ca="1" si="210"/>
        <v>2.8144001261936448E-3</v>
      </c>
      <c r="AE200" s="1"/>
      <c r="AF200" s="1">
        <f t="shared" ca="1" si="211"/>
        <v>0.21793881752252775</v>
      </c>
      <c r="AG200" s="1">
        <f t="shared" ca="1" si="212"/>
        <v>503</v>
      </c>
      <c r="AH200" s="1">
        <f t="shared" ca="1" si="213"/>
        <v>5.0327055090983166E-3</v>
      </c>
      <c r="AJ200" s="1">
        <f t="shared" ca="1" si="214"/>
        <v>0.87874023700758863</v>
      </c>
      <c r="AK200" s="1">
        <f t="shared" ca="1" si="215"/>
        <v>2.6419560098787463E-3</v>
      </c>
      <c r="AL200" s="1"/>
      <c r="AM200" s="1">
        <f t="shared" ca="1" si="216"/>
        <v>1.1190213833092334E-2</v>
      </c>
      <c r="AN200" s="1">
        <f t="shared" ca="1" si="217"/>
        <v>37</v>
      </c>
      <c r="AO200" s="1">
        <f t="shared" ca="1" si="218"/>
        <v>17</v>
      </c>
      <c r="AQ200" s="1">
        <f t="shared" ca="1" si="219"/>
        <v>108</v>
      </c>
      <c r="AR200" s="1">
        <f t="shared" ca="1" si="220"/>
        <v>3</v>
      </c>
      <c r="AS200" s="1">
        <f t="shared" ca="1" si="221"/>
        <v>88</v>
      </c>
      <c r="AU200" s="1">
        <f t="shared" ca="1" si="222"/>
        <v>204</v>
      </c>
      <c r="AV200" s="1">
        <f t="shared" ca="1" si="223"/>
        <v>6</v>
      </c>
      <c r="AW200" s="1">
        <f t="shared" ca="1" si="224"/>
        <v>2.9691623458726397E-2</v>
      </c>
      <c r="AY200" s="1">
        <f t="shared" ca="1" si="225"/>
        <v>1.5811096811731939</v>
      </c>
      <c r="AZ200" s="1">
        <f t="shared" ca="1" si="226"/>
        <v>120</v>
      </c>
      <c r="BA200" s="1">
        <f t="shared" ca="1" si="227"/>
        <v>5.8440201617579396E-3</v>
      </c>
      <c r="BV200" s="1">
        <f t="shared" ca="1" si="228"/>
        <v>0.65362079719092769</v>
      </c>
      <c r="BW200" s="1">
        <f t="shared" ca="1" si="229"/>
        <v>967</v>
      </c>
      <c r="BX200" s="1">
        <f t="shared" ca="1" si="230"/>
        <v>4.9490036502319364E-3</v>
      </c>
      <c r="BY200" s="1">
        <f t="shared" ca="1" si="231"/>
        <v>4.3024832918713937E-2</v>
      </c>
      <c r="BZ200" s="1">
        <f t="shared" ca="1" si="232"/>
        <v>0.23912636794935471</v>
      </c>
      <c r="CB200" s="1">
        <f t="shared" ca="1" si="233"/>
        <v>197</v>
      </c>
      <c r="CC200" s="1">
        <f t="shared" ca="1" si="234"/>
        <v>14</v>
      </c>
      <c r="CD200" s="1">
        <f t="shared" ca="1" si="235"/>
        <v>0.14834977577177746</v>
      </c>
      <c r="CE200" s="1">
        <f t="shared" ca="1" si="188"/>
        <v>0.64673170939133362</v>
      </c>
      <c r="CF200" s="1">
        <f t="shared" ca="1" si="188"/>
        <v>0.82204611090238877</v>
      </c>
      <c r="CH200" s="3">
        <f t="shared" ca="1" si="236"/>
        <v>8.0146163509251262E-3</v>
      </c>
      <c r="CI200" s="3">
        <f t="shared" ca="1" si="237"/>
        <v>0.45190430265256371</v>
      </c>
      <c r="CJ200" s="3">
        <f t="shared" ca="1" si="238"/>
        <v>237</v>
      </c>
      <c r="CK200" s="3">
        <f t="shared" ca="1" si="239"/>
        <v>9.4181115560422884E-3</v>
      </c>
      <c r="CL200" s="3">
        <f t="shared" ca="1" si="240"/>
        <v>0</v>
      </c>
      <c r="CM200" s="3"/>
      <c r="CN200" s="1">
        <f t="shared" ca="1" si="241"/>
        <v>7.2058831193801129</v>
      </c>
      <c r="CO200" s="1">
        <f t="shared" ca="1" si="242"/>
        <v>0.45583001176712645</v>
      </c>
      <c r="CP200" s="1">
        <f t="shared" ca="1" si="243"/>
        <v>3</v>
      </c>
      <c r="DH200" s="1">
        <f t="shared" ca="1" si="244"/>
        <v>319</v>
      </c>
      <c r="DI200" s="1">
        <f t="shared" ca="1" si="245"/>
        <v>0.99829330210320444</v>
      </c>
      <c r="DJ200" s="1">
        <f t="shared" ca="1" si="246"/>
        <v>9</v>
      </c>
      <c r="DL200" s="1">
        <f t="shared" ca="1" si="247"/>
        <v>0.16000193505405291</v>
      </c>
      <c r="DM200" s="1">
        <f t="shared" ca="1" si="248"/>
        <v>93</v>
      </c>
      <c r="DN200" s="1">
        <f t="shared" ca="1" si="249"/>
        <v>3</v>
      </c>
    </row>
    <row r="201" spans="2:118" x14ac:dyDescent="0.25">
      <c r="B201">
        <f t="shared" ca="1" si="189"/>
        <v>379</v>
      </c>
      <c r="C201">
        <f t="shared" ca="1" si="190"/>
        <v>4</v>
      </c>
      <c r="D201">
        <f t="shared" ca="1" si="191"/>
        <v>0.2354093321438904</v>
      </c>
      <c r="F201" s="1">
        <f t="shared" ca="1" si="192"/>
        <v>8</v>
      </c>
      <c r="G201" s="1">
        <f t="shared" ca="1" si="193"/>
        <v>6</v>
      </c>
      <c r="H201" s="1">
        <f t="shared" ca="1" si="194"/>
        <v>13</v>
      </c>
      <c r="I201" s="1"/>
      <c r="J201" s="1">
        <f t="shared" ca="1" si="195"/>
        <v>7</v>
      </c>
      <c r="K201" s="1">
        <f t="shared" ca="1" si="196"/>
        <v>2.1016390292113547</v>
      </c>
      <c r="L201" s="1">
        <f t="shared" ca="1" si="197"/>
        <v>24</v>
      </c>
      <c r="M201" s="1"/>
      <c r="N201" s="1">
        <f t="shared" ca="1" si="198"/>
        <v>223</v>
      </c>
      <c r="O201" s="1">
        <f t="shared" ca="1" si="199"/>
        <v>47</v>
      </c>
      <c r="P201" s="1"/>
      <c r="Q201" s="1">
        <f t="shared" ca="1" si="200"/>
        <v>3.8999940200488363</v>
      </c>
      <c r="R201" s="1">
        <f t="shared" ca="1" si="201"/>
        <v>368</v>
      </c>
      <c r="S201" s="1"/>
      <c r="T201" s="1">
        <f t="shared" ca="1" si="202"/>
        <v>0.1411270562250192</v>
      </c>
      <c r="U201" s="1">
        <f t="shared" ca="1" si="203"/>
        <v>107</v>
      </c>
      <c r="V201" s="1">
        <f t="shared" ca="1" si="204"/>
        <v>50</v>
      </c>
      <c r="W201" s="1"/>
      <c r="X201" s="1">
        <f t="shared" ca="1" si="205"/>
        <v>7.2717611300417779</v>
      </c>
      <c r="Y201" s="1">
        <f t="shared" ca="1" si="206"/>
        <v>0.87182895186361986</v>
      </c>
      <c r="Z201" s="1">
        <f t="shared" ca="1" si="207"/>
        <v>1087</v>
      </c>
      <c r="AB201" s="1">
        <f t="shared" ca="1" si="208"/>
        <v>3.3210406596549521E-3</v>
      </c>
      <c r="AC201" s="1">
        <f t="shared" ca="1" si="209"/>
        <v>586</v>
      </c>
      <c r="AD201" s="1">
        <f t="shared" ca="1" si="210"/>
        <v>9.5284147453451006E-3</v>
      </c>
      <c r="AE201" s="1"/>
      <c r="AF201" s="1">
        <f t="shared" ca="1" si="211"/>
        <v>0.18096099052112119</v>
      </c>
      <c r="AG201" s="1">
        <f t="shared" ca="1" si="212"/>
        <v>172</v>
      </c>
      <c r="AH201" s="1">
        <f t="shared" ca="1" si="213"/>
        <v>9.8581455010743053E-4</v>
      </c>
      <c r="AJ201" s="1">
        <f t="shared" ca="1" si="214"/>
        <v>0.48799908629564237</v>
      </c>
      <c r="AK201" s="1">
        <f t="shared" ca="1" si="215"/>
        <v>6.8594515929247171E-3</v>
      </c>
      <c r="AL201" s="1"/>
      <c r="AM201" s="1">
        <f t="shared" ca="1" si="216"/>
        <v>0.17892695280198706</v>
      </c>
      <c r="AN201" s="1">
        <f t="shared" ca="1" si="217"/>
        <v>40</v>
      </c>
      <c r="AO201" s="1">
        <f t="shared" ca="1" si="218"/>
        <v>18</v>
      </c>
      <c r="AQ201" s="1">
        <f t="shared" ca="1" si="219"/>
        <v>185</v>
      </c>
      <c r="AR201" s="1">
        <f t="shared" ca="1" si="220"/>
        <v>5</v>
      </c>
      <c r="AS201" s="1">
        <f t="shared" ca="1" si="221"/>
        <v>5</v>
      </c>
      <c r="AU201" s="1">
        <f t="shared" ca="1" si="222"/>
        <v>173</v>
      </c>
      <c r="AV201" s="1">
        <f t="shared" ca="1" si="223"/>
        <v>6</v>
      </c>
      <c r="AW201" s="1">
        <f t="shared" ca="1" si="224"/>
        <v>4.5324484388724856E-2</v>
      </c>
      <c r="AY201" s="1">
        <f t="shared" ca="1" si="225"/>
        <v>1.6598657995211799</v>
      </c>
      <c r="AZ201" s="1">
        <f t="shared" ca="1" si="226"/>
        <v>66</v>
      </c>
      <c r="BA201" s="1">
        <f t="shared" ca="1" si="227"/>
        <v>7.4057150167837569E-4</v>
      </c>
      <c r="BV201" s="1">
        <f t="shared" ca="1" si="228"/>
        <v>0.50634105601340595</v>
      </c>
      <c r="BW201" s="1">
        <f t="shared" ca="1" si="229"/>
        <v>789</v>
      </c>
      <c r="BX201" s="1">
        <f t="shared" ca="1" si="230"/>
        <v>5.6102192497610743E-3</v>
      </c>
      <c r="BY201" s="1">
        <f t="shared" ca="1" si="231"/>
        <v>3.365503921293439E-2</v>
      </c>
      <c r="BZ201" s="1">
        <f t="shared" ca="1" si="232"/>
        <v>0.62756052332866241</v>
      </c>
      <c r="CB201" s="1">
        <f t="shared" ca="1" si="233"/>
        <v>399</v>
      </c>
      <c r="CC201" s="1">
        <f t="shared" ca="1" si="234"/>
        <v>8</v>
      </c>
      <c r="CD201" s="1">
        <f t="shared" ca="1" si="235"/>
        <v>0.13286879321020267</v>
      </c>
      <c r="CE201" s="1">
        <f t="shared" ca="1" si="188"/>
        <v>0.62627454425156581</v>
      </c>
      <c r="CF201" s="1">
        <f t="shared" ca="1" si="188"/>
        <v>0.7983895361370108</v>
      </c>
      <c r="CH201" s="3">
        <f t="shared" ca="1" si="236"/>
        <v>0.91149686461832136</v>
      </c>
      <c r="CI201" s="3">
        <f t="shared" ca="1" si="237"/>
        <v>0.27199826361349622</v>
      </c>
      <c r="CJ201" s="3">
        <f t="shared" ca="1" si="238"/>
        <v>1340</v>
      </c>
      <c r="CK201" s="3">
        <f t="shared" ca="1" si="239"/>
        <v>9.0055446471308358E-3</v>
      </c>
      <c r="CL201" s="3">
        <f t="shared" ca="1" si="240"/>
        <v>1</v>
      </c>
      <c r="CM201" s="3"/>
      <c r="CN201" s="1">
        <f t="shared" ca="1" si="241"/>
        <v>9.3377401369811235</v>
      </c>
      <c r="CO201" s="1">
        <f t="shared" ca="1" si="242"/>
        <v>0.14260615625521919</v>
      </c>
      <c r="CP201" s="1">
        <f t="shared" ca="1" si="243"/>
        <v>2</v>
      </c>
      <c r="DH201" s="1">
        <f t="shared" ca="1" si="244"/>
        <v>64</v>
      </c>
      <c r="DI201" s="1">
        <f t="shared" ca="1" si="245"/>
        <v>0.74228154661778745</v>
      </c>
      <c r="DJ201" s="1">
        <f t="shared" ca="1" si="246"/>
        <v>16</v>
      </c>
      <c r="DL201" s="1">
        <f t="shared" ca="1" si="247"/>
        <v>7.2217646646824701E-2</v>
      </c>
      <c r="DM201" s="1">
        <f t="shared" ca="1" si="248"/>
        <v>208</v>
      </c>
      <c r="DN201" s="1">
        <f t="shared" ca="1" si="249"/>
        <v>10</v>
      </c>
    </row>
    <row r="202" spans="2:118" x14ac:dyDescent="0.25">
      <c r="B202">
        <f t="shared" ca="1" si="189"/>
        <v>898</v>
      </c>
      <c r="C202">
        <f t="shared" ca="1" si="190"/>
        <v>20</v>
      </c>
      <c r="D202">
        <f t="shared" ca="1" si="191"/>
        <v>0.19151799120004251</v>
      </c>
      <c r="F202" s="1">
        <f t="shared" ca="1" si="192"/>
        <v>45</v>
      </c>
      <c r="G202" s="1">
        <f t="shared" ca="1" si="193"/>
        <v>25</v>
      </c>
      <c r="H202" s="1">
        <f t="shared" ca="1" si="194"/>
        <v>8</v>
      </c>
      <c r="I202" s="1"/>
      <c r="J202" s="1">
        <f t="shared" ca="1" si="195"/>
        <v>30</v>
      </c>
      <c r="K202" s="1">
        <f t="shared" ca="1" si="196"/>
        <v>1.883325901774999</v>
      </c>
      <c r="L202" s="1">
        <f t="shared" ca="1" si="197"/>
        <v>13</v>
      </c>
      <c r="M202" s="1"/>
      <c r="N202" s="1">
        <f t="shared" ca="1" si="198"/>
        <v>858</v>
      </c>
      <c r="O202" s="1">
        <f t="shared" ca="1" si="199"/>
        <v>7</v>
      </c>
      <c r="P202" s="1"/>
      <c r="Q202" s="1">
        <f t="shared" ca="1" si="200"/>
        <v>0.1357592964651784</v>
      </c>
      <c r="R202" s="1">
        <f t="shared" ca="1" si="201"/>
        <v>1067</v>
      </c>
      <c r="S202" s="1"/>
      <c r="T202" s="1">
        <f t="shared" ca="1" si="202"/>
        <v>0.12055489626259343</v>
      </c>
      <c r="U202" s="1">
        <f t="shared" ca="1" si="203"/>
        <v>254</v>
      </c>
      <c r="V202" s="1">
        <f t="shared" ca="1" si="204"/>
        <v>6</v>
      </c>
      <c r="W202" s="1"/>
      <c r="X202" s="1">
        <f t="shared" ca="1" si="205"/>
        <v>4.2275880985844232</v>
      </c>
      <c r="Y202" s="1">
        <f t="shared" ca="1" si="206"/>
        <v>0.41665550934613638</v>
      </c>
      <c r="Z202" s="1">
        <f t="shared" ca="1" si="207"/>
        <v>553</v>
      </c>
      <c r="AB202" s="1">
        <f t="shared" ca="1" si="208"/>
        <v>0.12423920333802635</v>
      </c>
      <c r="AC202" s="1">
        <f t="shared" ca="1" si="209"/>
        <v>935</v>
      </c>
      <c r="AD202" s="1">
        <f t="shared" ca="1" si="210"/>
        <v>6.5015751719750105E-3</v>
      </c>
      <c r="AE202" s="1"/>
      <c r="AF202" s="1">
        <f t="shared" ca="1" si="211"/>
        <v>0.36014779152256449</v>
      </c>
      <c r="AG202" s="1">
        <f t="shared" ca="1" si="212"/>
        <v>432</v>
      </c>
      <c r="AH202" s="1">
        <f t="shared" ca="1" si="213"/>
        <v>1.3213213216197921E-3</v>
      </c>
      <c r="AJ202" s="1">
        <f t="shared" ca="1" si="214"/>
        <v>0.50047426839876719</v>
      </c>
      <c r="AK202" s="1">
        <f t="shared" ca="1" si="215"/>
        <v>1.9395258269544867E-4</v>
      </c>
      <c r="AL202" s="1"/>
      <c r="AM202" s="1">
        <f t="shared" ca="1" si="216"/>
        <v>1.4363087124769594E-2</v>
      </c>
      <c r="AN202" s="1">
        <f t="shared" ca="1" si="217"/>
        <v>44</v>
      </c>
      <c r="AO202" s="1">
        <f t="shared" ca="1" si="218"/>
        <v>-1</v>
      </c>
      <c r="AQ202" s="1">
        <f t="shared" ca="1" si="219"/>
        <v>185</v>
      </c>
      <c r="AR202" s="1">
        <f t="shared" ca="1" si="220"/>
        <v>0</v>
      </c>
      <c r="AS202" s="1">
        <f t="shared" ca="1" si="221"/>
        <v>90</v>
      </c>
      <c r="AU202" s="1">
        <f t="shared" ca="1" si="222"/>
        <v>79</v>
      </c>
      <c r="AV202" s="1">
        <f t="shared" ca="1" si="223"/>
        <v>2</v>
      </c>
      <c r="AW202" s="1">
        <f t="shared" ca="1" si="224"/>
        <v>3.2537668931834372E-2</v>
      </c>
      <c r="AY202" s="1">
        <f t="shared" ca="1" si="225"/>
        <v>1.9462548048653896</v>
      </c>
      <c r="AZ202" s="1">
        <f t="shared" ca="1" si="226"/>
        <v>336</v>
      </c>
      <c r="BA202" s="1">
        <f t="shared" ca="1" si="227"/>
        <v>7.0585446947692282E-3</v>
      </c>
      <c r="BV202" s="1">
        <f t="shared" ca="1" si="228"/>
        <v>0.68891599428143135</v>
      </c>
      <c r="BW202" s="1">
        <f t="shared" ca="1" si="229"/>
        <v>932</v>
      </c>
      <c r="BX202" s="1">
        <f t="shared" ca="1" si="230"/>
        <v>4.9669652070380051E-3</v>
      </c>
      <c r="BY202" s="1">
        <f t="shared" ca="1" si="231"/>
        <v>5.4227536512872175E-2</v>
      </c>
      <c r="BZ202" s="1">
        <f t="shared" ca="1" si="232"/>
        <v>1.6985365380180917E-2</v>
      </c>
      <c r="CB202" s="1">
        <f t="shared" ca="1" si="233"/>
        <v>486</v>
      </c>
      <c r="CC202" s="1">
        <f t="shared" ca="1" si="234"/>
        <v>9</v>
      </c>
      <c r="CD202" s="1">
        <f t="shared" ca="1" si="235"/>
        <v>0.158372369947063</v>
      </c>
      <c r="CE202" s="1">
        <f t="shared" ca="1" si="188"/>
        <v>0.65023600916642588</v>
      </c>
      <c r="CF202" s="1">
        <f t="shared" ca="1" si="188"/>
        <v>0.82691218517314857</v>
      </c>
      <c r="CH202" s="3">
        <f t="shared" ca="1" si="236"/>
        <v>0.63154276592983305</v>
      </c>
      <c r="CI202" s="3">
        <f t="shared" ca="1" si="237"/>
        <v>0.22970020558188864</v>
      </c>
      <c r="CJ202" s="3">
        <f t="shared" ca="1" si="238"/>
        <v>1530</v>
      </c>
      <c r="CK202" s="3">
        <f t="shared" ca="1" si="239"/>
        <v>4.8343191652203731E-3</v>
      </c>
      <c r="CL202" s="3">
        <f t="shared" ca="1" si="240"/>
        <v>1</v>
      </c>
      <c r="CM202" s="3"/>
      <c r="CN202" s="1">
        <f t="shared" ca="1" si="241"/>
        <v>18.003943618206041</v>
      </c>
      <c r="CO202" s="1">
        <f t="shared" ca="1" si="242"/>
        <v>0.36842460092029156</v>
      </c>
      <c r="CP202" s="1">
        <f t="shared" ca="1" si="243"/>
        <v>5</v>
      </c>
      <c r="DH202" s="1">
        <f t="shared" ca="1" si="244"/>
        <v>644</v>
      </c>
      <c r="DI202" s="1">
        <f t="shared" ca="1" si="245"/>
        <v>0.29242163902664803</v>
      </c>
      <c r="DJ202" s="1">
        <f t="shared" ca="1" si="246"/>
        <v>6</v>
      </c>
      <c r="DL202" s="1">
        <f t="shared" ca="1" si="247"/>
        <v>0.12314614800572343</v>
      </c>
      <c r="DM202" s="1">
        <f t="shared" ca="1" si="248"/>
        <v>72</v>
      </c>
      <c r="DN202" s="1">
        <f t="shared" ca="1" si="249"/>
        <v>5</v>
      </c>
    </row>
  </sheetData>
  <mergeCells count="29">
    <mergeCell ref="DL1:DN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  <mergeCell ref="AJ1:AK1"/>
    <mergeCell ref="AB1:AD1"/>
    <mergeCell ref="AF1:AH1"/>
    <mergeCell ref="AY1:BA1"/>
    <mergeCell ref="BC1:BE1"/>
    <mergeCell ref="T1:V1"/>
    <mergeCell ref="X1:Z1"/>
    <mergeCell ref="B1:D1"/>
    <mergeCell ref="F1:H1"/>
    <mergeCell ref="J1:L1"/>
    <mergeCell ref="N1:O1"/>
    <mergeCell ref="Q1:R1"/>
    <mergeCell ref="CR1:CT1"/>
    <mergeCell ref="CV1:CX1"/>
    <mergeCell ref="CN1:CP1"/>
    <mergeCell ref="CH1:CL1"/>
    <mergeCell ref="DH1:DJ1"/>
    <mergeCell ref="DD1:DF1"/>
    <mergeCell ref="CZ1:DB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2026-06-28T07:57:31Z</dcterms:modified>
</cp:coreProperties>
</file>