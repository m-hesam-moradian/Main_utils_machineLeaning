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4C1284AE-81B2-439A-A5AB-49F646E84E3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D3" i="1" l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<sst xmlns="http://schemas.openxmlformats.org/spreadsheetml/2006/main" count="109" uniqueCount="59">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</sst>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F202"/>
  <sheetViews>
    <sheetView tabSelected="1" topLeftCell="CF1" zoomScale="70" zoomScaleNormal="70" workbookViewId="0">
      <selection activeCell="CT16" sqref="CT16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110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7" t="s">
        <v>10</v>
      </c>
      <c r="O1" s="9"/>
      <c r="P1" s="1"/>
      <c r="Q1" s="7" t="s">
        <v>11</v>
      </c>
      <c r="R1" s="9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7" t="s">
        <v>24</v>
      </c>
      <c r="AK1" s="9"/>
      <c r="AM1" s="7" t="s">
        <v>26</v>
      </c>
      <c r="AN1" s="8"/>
      <c r="AO1" s="8"/>
      <c r="AQ1" s="7" t="s">
        <v>30</v>
      </c>
      <c r="AR1" s="8"/>
      <c r="AS1" s="8"/>
      <c r="AU1" s="7" t="s">
        <v>31</v>
      </c>
      <c r="AV1" s="8"/>
      <c r="AW1" s="8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7" t="s">
        <v>41</v>
      </c>
      <c r="BP1" s="9"/>
      <c r="BR1" s="4" t="s">
        <v>44</v>
      </c>
      <c r="BS1" s="4"/>
      <c r="BT1" s="4"/>
      <c r="BV1" s="5" t="s">
        <v>37</v>
      </c>
      <c r="BW1" s="6"/>
      <c r="BX1" s="6"/>
      <c r="BY1" s="6"/>
      <c r="BZ1" s="6"/>
      <c r="CB1" s="5" t="s">
        <v>50</v>
      </c>
      <c r="CC1" s="6"/>
      <c r="CD1" s="6"/>
      <c r="CE1" s="6"/>
      <c r="CF1" s="6"/>
      <c r="CH1" s="5" t="s">
        <v>22</v>
      </c>
      <c r="CI1" s="6"/>
      <c r="CJ1" s="6"/>
      <c r="CK1" s="6"/>
      <c r="CL1" s="6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</row>
    <row r="2" spans="2:110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</row>
    <row r="3" spans="2:110" x14ac:dyDescent="0.25">
      <c r="B3">
        <f ca="1">RANDBETWEEN(15,1000)</f>
        <v>169</v>
      </c>
      <c r="C3">
        <f ca="1">RANDBETWEEN(2,52)</f>
        <v>35</v>
      </c>
      <c r="D3">
        <f ca="1">RAND()*(0.3-0.01)+0.01</f>
        <v>0.21893344426125011</v>
      </c>
      <c r="F3" s="1">
        <f ca="1">RANDBETWEEN(2,52)</f>
        <v>39</v>
      </c>
      <c r="G3" s="1">
        <f ca="1">RANDBETWEEN(2,30)</f>
        <v>18</v>
      </c>
      <c r="H3" s="1">
        <f ca="1">RANDBETWEEN(1,15)</f>
        <v>2</v>
      </c>
      <c r="I3" s="1"/>
      <c r="J3" s="1">
        <f ca="1">RANDBETWEEN(1,39)</f>
        <v>10</v>
      </c>
      <c r="K3" s="1">
        <f ca="1">RAND()*(3-1)+1</f>
        <v>1.8940122289554879</v>
      </c>
      <c r="L3" s="1">
        <f ca="1">RANDBETWEEN(2,35)</f>
        <v>16</v>
      </c>
      <c r="M3" s="1"/>
      <c r="N3" s="1">
        <f ca="1">RANDBETWEEN(15,1000)</f>
        <v>558</v>
      </c>
      <c r="O3" s="1">
        <f ca="1">RANDBETWEEN(2,52)</f>
        <v>30</v>
      </c>
      <c r="P3" s="1"/>
      <c r="Q3" s="1">
        <f ca="1">RAND()*(5-0.01)+0.01</f>
        <v>4.3232910042630275</v>
      </c>
      <c r="R3" s="1">
        <f ca="1">RANDBETWEEN(200,1200)</f>
        <v>240</v>
      </c>
      <c r="S3" s="1"/>
      <c r="T3" s="1">
        <f ca="1">RAND()*(0.2-0.01)+0.01</f>
        <v>7.5100357596446773E-2</v>
      </c>
      <c r="U3" s="1">
        <f ca="1">RANDBETWEEN(50,450)</f>
        <v>331</v>
      </c>
      <c r="V3" s="1">
        <f ca="1">RANDBETWEEN(2,52)</f>
        <v>31</v>
      </c>
      <c r="W3" s="1"/>
      <c r="X3" s="1">
        <f ca="1">RAND()*(10-0.01)+0.01</f>
        <v>4.5227579006853844</v>
      </c>
      <c r="Y3" s="1">
        <f ca="1">RAND()*(1-0.0001)+0.0001</f>
        <v>0.6473915683687882</v>
      </c>
      <c r="Z3" s="1">
        <f ca="1">RANDBETWEEN(100,2000)</f>
        <v>823</v>
      </c>
      <c r="AB3" s="1">
        <f ca="1">RAND()*(1-0.0001)+0.0001</f>
        <v>0.48929501198832309</v>
      </c>
      <c r="AC3" s="1">
        <f ca="1">RANDBETWEEN(100,1000)</f>
        <v>180</v>
      </c>
      <c r="AD3" s="1">
        <f ca="1">RAND()*(0.01-0.00001)+0.00001</f>
        <v>7.6618288143009841E-3</v>
      </c>
      <c r="AE3" s="1"/>
      <c r="AF3" s="1">
        <f ca="1">RAND()*(0.9-0.1)+0.1</f>
        <v>0.45444233881331397</v>
      </c>
      <c r="AG3" s="1">
        <f ca="1">RANDBETWEEN(100,1000)</f>
        <v>895</v>
      </c>
      <c r="AH3" s="1">
        <f ca="1">RAND()*(0.01-0.00001)+0.00001</f>
        <v>6.6147078009327984E-4</v>
      </c>
      <c r="AJ3" s="1">
        <f ca="1">RAND()*(1-0)+0</f>
        <v>3.3506223109291744E-2</v>
      </c>
      <c r="AK3" s="1">
        <f ca="1">RAND()*(0.01-0.00001)+0.00001</f>
        <v>1.0848032177648045E-3</v>
      </c>
      <c r="AM3" s="1">
        <f ca="1">RAND()*(0.2-0.005)+0.005</f>
        <v>2.8609509337903707E-2</v>
      </c>
      <c r="AN3" s="1">
        <f ca="1">RANDBETWEEN(10,80)</f>
        <v>11</v>
      </c>
      <c r="AO3" s="1">
        <f ca="1">RANDBETWEEN(-1,20)</f>
        <v>7</v>
      </c>
      <c r="AQ3" s="1">
        <f ca="1">RANDBETWEEN(10,200)</f>
        <v>100</v>
      </c>
      <c r="AR3" s="1">
        <f ca="1">RANDBETWEEN(0,10)</f>
        <v>7</v>
      </c>
      <c r="AS3" s="1">
        <f ca="1">RANDBETWEEN(1,100)</f>
        <v>66</v>
      </c>
      <c r="AU3" s="1">
        <f ca="1">RANDBETWEEN(50,400)</f>
        <v>58</v>
      </c>
      <c r="AV3" s="1">
        <f ca="1">RANDBETWEEN(2,10)</f>
        <v>2</v>
      </c>
      <c r="AW3" s="1">
        <f ca="1">RAND()*(0.2-0.01)+0.01</f>
        <v>2.7913229069447952E-2</v>
      </c>
      <c r="AY3" s="1">
        <f ca="1">RAND()*(2-1.1)+1.1</f>
        <v>1.281854479218804</v>
      </c>
      <c r="AZ3" s="1">
        <f ca="1">RANDBETWEEN(50,500)</f>
        <v>56</v>
      </c>
      <c r="BA3" s="1">
        <f ca="1">RAND()*(0.01-0.00001)+0.00001</f>
        <v>7.8566195439592219E-3</v>
      </c>
      <c r="BC3" s="1">
        <f ca="1">RAND()*(1-0.0001)+0.0001</f>
        <v>0.64988467542446549</v>
      </c>
      <c r="BD3" s="1">
        <f ca="1">RAND()*(1-0.0001)+0.0001</f>
        <v>0.96367752788083816</v>
      </c>
      <c r="BE3" s="1">
        <f ca="1">RANDBETWEEN(0,2)</f>
        <v>1</v>
      </c>
      <c r="BG3" s="1">
        <f ca="1">RAND()*(1-0.0001)+0.0001</f>
        <v>0.87987918504281482</v>
      </c>
      <c r="BH3" s="1">
        <f ca="1">RAND()*(1-0)+0</f>
        <v>2.9042634993711069E-2</v>
      </c>
      <c r="BI3" s="1">
        <f ca="1">RANDBETWEEN(100,1000)</f>
        <v>436</v>
      </c>
      <c r="BK3" s="1">
        <f ca="1">RANDBETWEEN(100,600)</f>
        <v>340</v>
      </c>
      <c r="BL3" s="1">
        <f ca="1">RANDBETWEEN(3,10)</f>
        <v>9</v>
      </c>
      <c r="BM3" s="1">
        <f ca="1">RAND()*(0.3-0.01)+0.01</f>
        <v>4.9964040747678552E-2</v>
      </c>
      <c r="BO3" s="1">
        <f ca="1">RAND()*(0.1-0.000001)+0.000001</f>
        <v>8.3642124991734942E-2</v>
      </c>
      <c r="BP3" s="1">
        <f ca="1">RANDBETWEEN(0,15)</f>
        <v>1</v>
      </c>
      <c r="BR3" s="1">
        <f ca="1">RAND()*(0.01-0.000001)+0.000001</f>
        <v>4.2300739610369774E-3</v>
      </c>
      <c r="BS3" s="1">
        <f ca="1">RAND()*(0.01-0.000001)+0.000001</f>
        <v>6.2618514303714786E-3</v>
      </c>
      <c r="BT3" s="1">
        <f ca="1">RANDBETWEEN(100,1000)</f>
        <v>653</v>
      </c>
      <c r="BV3" s="1">
        <f ca="1">RAND()*(1-0.0001)+0.0001</f>
        <v>0.32308320561341441</v>
      </c>
      <c r="BW3" s="1">
        <f ca="1">RANDBETWEEN(100,1000)</f>
        <v>703</v>
      </c>
      <c r="BX3" s="1">
        <f ca="1">RAND()*(0.01-0.00001)+0.00001</f>
        <v>5.6614111118112468E-3</v>
      </c>
      <c r="BY3" s="1">
        <f ca="1">RAND()*(0.1-0.0001)+0.0001</f>
        <v>5.8869006406617623E-2</v>
      </c>
      <c r="BZ3" s="1">
        <f ca="1">RAND()*(1-0)+0</f>
        <v>0.72035027623964554</v>
      </c>
      <c r="CB3" s="1">
        <f ca="1">RANDBETWEEN(50,500)</f>
        <v>475</v>
      </c>
      <c r="CC3" s="1">
        <f ca="1">RANDBETWEEN(3,15)</f>
        <v>11</v>
      </c>
      <c r="CD3" s="1">
        <f ca="1">RAND()*(0.3-0.01)+0.01</f>
        <v>0.26948876489683404</v>
      </c>
      <c r="CE3" s="1">
        <f ca="1">RAND()*(1-0.5)+0.5</f>
        <v>0.80305558458275406</v>
      </c>
      <c r="CF3" s="1">
        <f ca="1">RAND()*(1-0.5)+0.5</f>
        <v>0.77643052214339625</v>
      </c>
      <c r="CH3" s="3">
        <f ca="1">RAND()*(1-0.0001)+0.0001</f>
        <v>0.79246271370741828</v>
      </c>
      <c r="CI3" s="3">
        <f ca="1">RAND()*(0.99-0.01)+0.01</f>
        <v>0.40154039925967244</v>
      </c>
      <c r="CJ3" s="3">
        <f ca="1">RANDBETWEEN(100,2000)</f>
        <v>896</v>
      </c>
      <c r="CK3" s="3">
        <f ca="1">RAND()*(0.01-0.000001)+0.000001</f>
        <v>2.1037208026028296E-3</v>
      </c>
      <c r="CL3" s="3">
        <f ca="1">RANDBETWEEN(0,1)</f>
        <v>0</v>
      </c>
      <c r="CM3" s="3"/>
      <c r="CN3" s="1">
        <f ca="1">RAND()*(20-0.1)+0.1</f>
        <v>15.509018342149998</v>
      </c>
      <c r="CO3" s="1">
        <f ca="1">RAND()*(0.5-0.001)+0.001</f>
        <v>0.28676654862860396</v>
      </c>
      <c r="CP3" s="1">
        <f ca="1">RANDBETWEEN(1,5)</f>
        <v>3</v>
      </c>
      <c r="CR3" s="1"/>
      <c r="CS3" s="1">
        <f ca="1">RAND()*(1-0)+0</f>
        <v>0.48760246186424827</v>
      </c>
      <c r="CT3" s="1">
        <f ca="1">RAND()*(0.01-0.000001)+0.000001</f>
        <v>5.832838936350491E-3</v>
      </c>
      <c r="CV3" s="1">
        <f ca="1">RAND()*(10-0.0001)+0.0001</f>
        <v>5.5364896472319192</v>
      </c>
      <c r="CW3" s="1">
        <f ca="1">RANDBETWEEN(100,2000)</f>
        <v>630</v>
      </c>
      <c r="CX3" s="1">
        <f ca="1">RAND()*(0.01-0.000001)+0.000001</f>
        <v>1.1181512543398881E-3</v>
      </c>
      <c r="CZ3" s="1">
        <f ca="1">RANDBETWEEN(10,500)</f>
        <v>136</v>
      </c>
      <c r="DA3" s="1">
        <f ca="1">RAND()*(1-0.001)+0.001</f>
        <v>0.92512204123017994</v>
      </c>
      <c r="DB3" s="1">
        <f ca="1">RANDBETWEEN(0,2)</f>
        <v>0</v>
      </c>
      <c r="DD3" s="1">
        <f ca="1">RAND()*(10-0.01)+0.01</f>
        <v>8.5005167433809365</v>
      </c>
      <c r="DE3" s="1">
        <f ca="1">RAND()*(1-0.0001)+0.0001</f>
        <v>0.69467450279536547</v>
      </c>
      <c r="DF3" s="1">
        <f ca="1">RAND()*(0.01-0.000001)+0.000001</f>
        <v>4.7735993474460701E-3</v>
      </c>
    </row>
    <row r="4" spans="2:110" x14ac:dyDescent="0.25">
      <c r="B4">
        <f t="shared" ref="B4:B67" ca="1" si="0">RANDBETWEEN(15,1000)</f>
        <v>397</v>
      </c>
      <c r="C4">
        <f t="shared" ref="C4:C67" ca="1" si="1">RANDBETWEEN(2,52)</f>
        <v>36</v>
      </c>
      <c r="D4">
        <f t="shared" ref="D4:D67" ca="1" si="2">RAND()*(0.3-0.01)+0.01</f>
        <v>0.2606401388328573</v>
      </c>
      <c r="F4" s="1">
        <f t="shared" ref="F4:F67" ca="1" si="3">RANDBETWEEN(2,52)</f>
        <v>6</v>
      </c>
      <c r="G4" s="1">
        <f t="shared" ref="G4:G67" ca="1" si="4">RANDBETWEEN(2,30)</f>
        <v>22</v>
      </c>
      <c r="H4" s="1">
        <f t="shared" ref="H4:H67" ca="1" si="5">RANDBETWEEN(1,15)</f>
        <v>8</v>
      </c>
      <c r="I4" s="1"/>
      <c r="J4" s="1">
        <f t="shared" ref="J4:J67" ca="1" si="6">RANDBETWEEN(1,39)</f>
        <v>10</v>
      </c>
      <c r="K4" s="1">
        <f t="shared" ref="K4:K67" ca="1" si="7">RAND()*(3-1)+1</f>
        <v>2.7838369385349688</v>
      </c>
      <c r="L4" s="1">
        <f t="shared" ref="L4:L67" ca="1" si="8">RANDBETWEEN(2,35)</f>
        <v>17</v>
      </c>
      <c r="M4" s="1"/>
      <c r="N4" s="1">
        <f t="shared" ref="N4:N67" ca="1" si="9">RANDBETWEEN(15,1000)</f>
        <v>564</v>
      </c>
      <c r="O4" s="1">
        <f t="shared" ref="O4:O67" ca="1" si="10">RANDBETWEEN(2,52)</f>
        <v>4</v>
      </c>
      <c r="P4" s="1"/>
      <c r="Q4" s="1">
        <f t="shared" ref="Q4:Q67" ca="1" si="11">RAND()*(5-0.01)+0.01</f>
        <v>2.131398294721532</v>
      </c>
      <c r="R4" s="1">
        <f t="shared" ref="R4:R67" ca="1" si="12">RANDBETWEEN(200,1200)</f>
        <v>589</v>
      </c>
      <c r="S4" s="1"/>
      <c r="T4" s="1">
        <f t="shared" ref="T4:T67" ca="1" si="13">RAND()*(0.2-0.01)+0.01</f>
        <v>0.10860196486564884</v>
      </c>
      <c r="U4" s="1">
        <f t="shared" ref="U4:U67" ca="1" si="14">RANDBETWEEN(50,450)</f>
        <v>408</v>
      </c>
      <c r="V4" s="1">
        <f t="shared" ref="V4:V67" ca="1" si="15">RANDBETWEEN(2,52)</f>
        <v>52</v>
      </c>
      <c r="W4" s="1"/>
      <c r="X4" s="1">
        <f t="shared" ref="X4:X67" ca="1" si="16">RAND()*(10-0.01)+0.01</f>
        <v>7.0107464273258433</v>
      </c>
      <c r="Y4" s="1">
        <f t="shared" ref="Y4:Y67" ca="1" si="17">RAND()*(1-0.0001)+0.0001</f>
        <v>1.9859254659455494E-3</v>
      </c>
      <c r="Z4" s="1">
        <f t="shared" ref="Z4:Z67" ca="1" si="18">RANDBETWEEN(100,2000)</f>
        <v>988</v>
      </c>
      <c r="AB4" s="1">
        <f t="shared" ref="AB4:AB67" ca="1" si="19">RAND()*(1-0.0001)+0.0001</f>
        <v>0.94033258285919863</v>
      </c>
      <c r="AC4" s="1">
        <f t="shared" ref="AC4:AC67" ca="1" si="20">RANDBETWEEN(100,1000)</f>
        <v>655</v>
      </c>
      <c r="AD4" s="1">
        <f t="shared" ref="AD4:AD67" ca="1" si="21">RAND()*(0.01-0.00001)+0.00001</f>
        <v>8.4738024398369159E-3</v>
      </c>
      <c r="AE4" s="1"/>
      <c r="AF4" s="1">
        <f t="shared" ref="AF4:AF67" ca="1" si="22">RAND()*(0.9-0.1)+0.1</f>
        <v>0.8034046655071736</v>
      </c>
      <c r="AG4" s="1">
        <f t="shared" ref="AG4:AG67" ca="1" si="23">RANDBETWEEN(100,1000)</f>
        <v>224</v>
      </c>
      <c r="AH4" s="1">
        <f t="shared" ref="AH4:AH67" ca="1" si="24">RAND()*(0.01-0.00001)+0.00001</f>
        <v>1.1584389402564974E-3</v>
      </c>
      <c r="AJ4" s="1">
        <f t="shared" ref="AJ4:AJ67" ca="1" si="25">RAND()*(1-0)+0</f>
        <v>0.6224913905374132</v>
      </c>
      <c r="AK4" s="1">
        <f t="shared" ref="AK4:AK67" ca="1" si="26">RAND()*(0.01-0.00001)+0.00001</f>
        <v>1.2206274156832035E-4</v>
      </c>
      <c r="AL4" s="1"/>
      <c r="AM4" s="1">
        <f t="shared" ref="AM4:AM67" ca="1" si="27">RAND()*(0.2-0.005)+0.005</f>
        <v>0.12051876249090192</v>
      </c>
      <c r="AN4" s="1">
        <f t="shared" ref="AN4:AN67" ca="1" si="28">RANDBETWEEN(10,80)</f>
        <v>69</v>
      </c>
      <c r="AO4" s="1">
        <f t="shared" ref="AO4:AO67" ca="1" si="29">RANDBETWEEN(-1,20)</f>
        <v>10</v>
      </c>
      <c r="AQ4" s="1">
        <f t="shared" ref="AQ4:AQ67" ca="1" si="30">RANDBETWEEN(10,200)</f>
        <v>54</v>
      </c>
      <c r="AR4" s="1">
        <f t="shared" ref="AR4:AR67" ca="1" si="31">RANDBETWEEN(0,10)</f>
        <v>9</v>
      </c>
      <c r="AS4" s="1">
        <f t="shared" ref="AS4:AS67" ca="1" si="32">RANDBETWEEN(1,100)</f>
        <v>69</v>
      </c>
      <c r="AU4" s="1">
        <f t="shared" ref="AU4:AU67" ca="1" si="33">RANDBETWEEN(50,400)</f>
        <v>72</v>
      </c>
      <c r="AV4" s="1">
        <f t="shared" ref="AV4:AV67" ca="1" si="34">RANDBETWEEN(2,10)</f>
        <v>4</v>
      </c>
      <c r="AW4" s="1">
        <f t="shared" ref="AW4:AW67" ca="1" si="35">RAND()*(0.2-0.01)+0.01</f>
        <v>0.19393037338941826</v>
      </c>
      <c r="AY4" s="1">
        <f t="shared" ref="AY4:AY67" ca="1" si="36">RAND()*(2-1.1)+1.1</f>
        <v>1.2033555770675506</v>
      </c>
      <c r="AZ4" s="1">
        <f t="shared" ref="AZ4:AZ67" ca="1" si="37">RANDBETWEEN(50,500)</f>
        <v>62</v>
      </c>
      <c r="BA4" s="1">
        <f t="shared" ref="BA4:BA67" ca="1" si="38">RAND()*(0.01-0.00001)+0.00001</f>
        <v>4.3186168339378554E-3</v>
      </c>
      <c r="BV4" s="1">
        <f t="shared" ref="BV4:BV67" ca="1" si="39">RAND()*(1-0.0001)+0.0001</f>
        <v>0.74259908180220235</v>
      </c>
      <c r="BW4" s="1">
        <f t="shared" ref="BW4:BW67" ca="1" si="40">RANDBETWEEN(100,1000)</f>
        <v>500</v>
      </c>
      <c r="BX4" s="1">
        <f t="shared" ref="BX4:BX67" ca="1" si="41">RAND()*(0.01-0.00001)+0.00001</f>
        <v>5.7200396461267811E-3</v>
      </c>
      <c r="BY4" s="1">
        <f t="shared" ref="BY4:BY67" ca="1" si="42">RAND()*(0.1-0.0001)+0.0001</f>
        <v>6.3742750234033155E-2</v>
      </c>
      <c r="BZ4" s="1">
        <f t="shared" ref="BZ4:BZ67" ca="1" si="43">RAND()*(1-0)+0</f>
        <v>0.23650712653111461</v>
      </c>
      <c r="CB4" s="1">
        <f t="shared" ref="CB4:CB67" ca="1" si="44">RANDBETWEEN(50,500)</f>
        <v>226</v>
      </c>
      <c r="CC4" s="1">
        <f t="shared" ref="CC4:CC67" ca="1" si="45">RANDBETWEEN(3,15)</f>
        <v>3</v>
      </c>
      <c r="CD4" s="1">
        <f t="shared" ref="CD4:CD67" ca="1" si="46">RAND()*(0.3-0.01)+0.01</f>
        <v>0.14861535810322885</v>
      </c>
      <c r="CE4" s="1">
        <f t="shared" ref="CE4:CF35" ca="1" si="47">RAND()*(1-0.5)+0.5</f>
        <v>0.83526397839547961</v>
      </c>
      <c r="CF4" s="1">
        <f t="shared" ca="1" si="47"/>
        <v>0.80903389411549476</v>
      </c>
      <c r="CH4" s="3">
        <f t="shared" ref="CH4:CH67" ca="1" si="48">RAND()*(1-0.0001)+0.0001</f>
        <v>0.7910797166802257</v>
      </c>
      <c r="CI4" s="3">
        <f t="shared" ref="CI4:CI67" ca="1" si="49">RAND()*(0.99-0.01)+0.01</f>
        <v>0.6255670156649441</v>
      </c>
      <c r="CJ4" s="3">
        <f t="shared" ref="CJ4:CJ67" ca="1" si="50">RANDBETWEEN(100,2000)</f>
        <v>191</v>
      </c>
      <c r="CK4" s="3">
        <f t="shared" ref="CK4:CK67" ca="1" si="51">RAND()*(0.01-0.000001)+0.000001</f>
        <v>9.6834086985467405E-3</v>
      </c>
      <c r="CL4" s="3">
        <f t="shared" ref="CL4:CL67" ca="1" si="52">RANDBETWEEN(0,1)</f>
        <v>0</v>
      </c>
      <c r="CM4" s="3"/>
      <c r="CN4" s="1">
        <f t="shared" ref="CN4:CN67" ca="1" si="53">RAND()*(20-0.1)+0.1</f>
        <v>2.5990655982117645</v>
      </c>
      <c r="CO4" s="1">
        <f t="shared" ref="CO4:CO67" ca="1" si="54">RAND()*(0.5-0.001)+0.001</f>
        <v>0.47662492926410732</v>
      </c>
      <c r="CP4" s="1">
        <f t="shared" ref="CP4:CP67" ca="1" si="55">RANDBETWEEN(1,5)</f>
        <v>2</v>
      </c>
    </row>
    <row r="5" spans="2:110" x14ac:dyDescent="0.25">
      <c r="B5">
        <f t="shared" ca="1" si="0"/>
        <v>120</v>
      </c>
      <c r="C5">
        <f t="shared" ca="1" si="1"/>
        <v>46</v>
      </c>
      <c r="D5">
        <f t="shared" ca="1" si="2"/>
        <v>6.7227585166454162E-2</v>
      </c>
      <c r="F5" s="1">
        <f t="shared" ca="1" si="3"/>
        <v>32</v>
      </c>
      <c r="G5" s="1">
        <f t="shared" ca="1" si="4"/>
        <v>18</v>
      </c>
      <c r="H5" s="1">
        <f t="shared" ca="1" si="5"/>
        <v>4</v>
      </c>
      <c r="I5" s="1"/>
      <c r="J5" s="1">
        <f t="shared" ca="1" si="6"/>
        <v>39</v>
      </c>
      <c r="K5" s="1">
        <f t="shared" ca="1" si="7"/>
        <v>2.9377177277182129</v>
      </c>
      <c r="L5" s="1">
        <f t="shared" ca="1" si="8"/>
        <v>25</v>
      </c>
      <c r="M5" s="1"/>
      <c r="N5" s="1">
        <f t="shared" ca="1" si="9"/>
        <v>558</v>
      </c>
      <c r="O5" s="1">
        <f t="shared" ca="1" si="10"/>
        <v>32</v>
      </c>
      <c r="P5" s="1"/>
      <c r="Q5" s="1">
        <f t="shared" ca="1" si="11"/>
        <v>3.6772264878712093</v>
      </c>
      <c r="R5" s="1">
        <f t="shared" ca="1" si="12"/>
        <v>1035</v>
      </c>
      <c r="S5" s="1"/>
      <c r="T5" s="1">
        <f t="shared" ca="1" si="13"/>
        <v>5.3244639159142591E-2</v>
      </c>
      <c r="U5" s="1">
        <f t="shared" ca="1" si="14"/>
        <v>180</v>
      </c>
      <c r="V5" s="1">
        <f t="shared" ca="1" si="15"/>
        <v>10</v>
      </c>
      <c r="W5" s="1"/>
      <c r="X5" s="1">
        <f t="shared" ca="1" si="16"/>
        <v>7.8155595343450504</v>
      </c>
      <c r="Y5" s="1">
        <f t="shared" ca="1" si="17"/>
        <v>0.66585333912203226</v>
      </c>
      <c r="Z5" s="1">
        <f t="shared" ca="1" si="18"/>
        <v>1398</v>
      </c>
      <c r="AB5" s="1">
        <f t="shared" ca="1" si="19"/>
        <v>0.38148043294027678</v>
      </c>
      <c r="AC5" s="1">
        <f t="shared" ca="1" si="20"/>
        <v>389</v>
      </c>
      <c r="AD5" s="1">
        <f t="shared" ca="1" si="21"/>
        <v>8.8224393215914337E-3</v>
      </c>
      <c r="AE5" s="1"/>
      <c r="AF5" s="1">
        <f t="shared" ca="1" si="22"/>
        <v>0.14154299357589117</v>
      </c>
      <c r="AG5" s="1">
        <f t="shared" ca="1" si="23"/>
        <v>642</v>
      </c>
      <c r="AH5" s="1">
        <f t="shared" ca="1" si="24"/>
        <v>9.4019568845976863E-3</v>
      </c>
      <c r="AJ5" s="1">
        <f t="shared" ca="1" si="25"/>
        <v>0.60806102992183941</v>
      </c>
      <c r="AK5" s="1">
        <f t="shared" ca="1" si="26"/>
        <v>1.4871111021232072E-3</v>
      </c>
      <c r="AL5" s="1"/>
      <c r="AM5" s="1">
        <f t="shared" ca="1" si="27"/>
        <v>5.5719453178342274E-2</v>
      </c>
      <c r="AN5" s="1">
        <f t="shared" ca="1" si="28"/>
        <v>26</v>
      </c>
      <c r="AO5" s="1">
        <f t="shared" ca="1" si="29"/>
        <v>11</v>
      </c>
      <c r="AQ5" s="1">
        <f t="shared" ca="1" si="30"/>
        <v>120</v>
      </c>
      <c r="AR5" s="1">
        <f t="shared" ca="1" si="31"/>
        <v>8</v>
      </c>
      <c r="AS5" s="1">
        <f t="shared" ca="1" si="32"/>
        <v>18</v>
      </c>
      <c r="AU5" s="1">
        <f t="shared" ca="1" si="33"/>
        <v>146</v>
      </c>
      <c r="AV5" s="1">
        <f t="shared" ca="1" si="34"/>
        <v>10</v>
      </c>
      <c r="AW5" s="1">
        <f t="shared" ca="1" si="35"/>
        <v>0.13228639142526466</v>
      </c>
      <c r="AY5" s="1">
        <f t="shared" ca="1" si="36"/>
        <v>1.5984280322937696</v>
      </c>
      <c r="AZ5" s="1">
        <f t="shared" ca="1" si="37"/>
        <v>377</v>
      </c>
      <c r="BA5" s="1">
        <f t="shared" ca="1" si="38"/>
        <v>2.6037387279887274E-3</v>
      </c>
      <c r="BV5" s="1">
        <f t="shared" ca="1" si="39"/>
        <v>8.5329358562680147E-2</v>
      </c>
      <c r="BW5" s="1">
        <f t="shared" ca="1" si="40"/>
        <v>488</v>
      </c>
      <c r="BX5" s="1">
        <f t="shared" ca="1" si="41"/>
        <v>2.4691407097319918E-3</v>
      </c>
      <c r="BY5" s="1">
        <f t="shared" ca="1" si="42"/>
        <v>4.8121970183482394E-3</v>
      </c>
      <c r="BZ5" s="1">
        <f t="shared" ca="1" si="43"/>
        <v>0.42178234389919889</v>
      </c>
      <c r="CB5" s="1">
        <f t="shared" ca="1" si="44"/>
        <v>57</v>
      </c>
      <c r="CC5" s="1">
        <f t="shared" ca="1" si="45"/>
        <v>9</v>
      </c>
      <c r="CD5" s="1">
        <f t="shared" ca="1" si="46"/>
        <v>0.15136021014105602</v>
      </c>
      <c r="CE5" s="1">
        <f t="shared" ca="1" si="47"/>
        <v>0.89587921949440219</v>
      </c>
      <c r="CF5" s="1">
        <f t="shared" ca="1" si="47"/>
        <v>0.8579806485703978</v>
      </c>
      <c r="CH5" s="3">
        <f t="shared" ca="1" si="48"/>
        <v>0.93989964454601072</v>
      </c>
      <c r="CI5" s="3">
        <f t="shared" ca="1" si="49"/>
        <v>0.46331593681562405</v>
      </c>
      <c r="CJ5" s="3">
        <f t="shared" ca="1" si="50"/>
        <v>1195</v>
      </c>
      <c r="CK5" s="3">
        <f t="shared" ca="1" si="51"/>
        <v>4.5414026658337926E-3</v>
      </c>
      <c r="CL5" s="3">
        <f t="shared" ca="1" si="52"/>
        <v>1</v>
      </c>
      <c r="CM5" s="3"/>
      <c r="CN5" s="1">
        <f t="shared" ca="1" si="53"/>
        <v>3.6292854382832869</v>
      </c>
      <c r="CO5" s="1">
        <f t="shared" ca="1" si="54"/>
        <v>0.47307875631542479</v>
      </c>
      <c r="CP5" s="1">
        <f t="shared" ca="1" si="55"/>
        <v>1</v>
      </c>
    </row>
    <row r="6" spans="2:110" x14ac:dyDescent="0.25">
      <c r="B6">
        <f t="shared" ca="1" si="0"/>
        <v>16</v>
      </c>
      <c r="C6">
        <f t="shared" ca="1" si="1"/>
        <v>15</v>
      </c>
      <c r="D6">
        <f t="shared" ca="1" si="2"/>
        <v>0.11716255952685641</v>
      </c>
      <c r="F6" s="1">
        <f t="shared" ca="1" si="3"/>
        <v>24</v>
      </c>
      <c r="G6" s="1">
        <f t="shared" ca="1" si="4"/>
        <v>13</v>
      </c>
      <c r="H6" s="1">
        <f t="shared" ca="1" si="5"/>
        <v>9</v>
      </c>
      <c r="I6" s="1"/>
      <c r="J6" s="1">
        <f t="shared" ca="1" si="6"/>
        <v>14</v>
      </c>
      <c r="K6" s="1">
        <f t="shared" ca="1" si="7"/>
        <v>2.6453748936156414</v>
      </c>
      <c r="L6" s="1">
        <f t="shared" ca="1" si="8"/>
        <v>17</v>
      </c>
      <c r="M6" s="1"/>
      <c r="N6" s="1">
        <f t="shared" ca="1" si="9"/>
        <v>682</v>
      </c>
      <c r="O6" s="1">
        <f t="shared" ca="1" si="10"/>
        <v>15</v>
      </c>
      <c r="P6" s="1"/>
      <c r="Q6" s="1">
        <f t="shared" ca="1" si="11"/>
        <v>4.0967736485605064</v>
      </c>
      <c r="R6" s="1">
        <f t="shared" ca="1" si="12"/>
        <v>857</v>
      </c>
      <c r="S6" s="1"/>
      <c r="T6" s="1">
        <f t="shared" ca="1" si="13"/>
        <v>0.1743950595594925</v>
      </c>
      <c r="U6" s="1">
        <f t="shared" ca="1" si="14"/>
        <v>240</v>
      </c>
      <c r="V6" s="1">
        <f t="shared" ca="1" si="15"/>
        <v>7</v>
      </c>
      <c r="W6" s="1"/>
      <c r="X6" s="1">
        <f t="shared" ca="1" si="16"/>
        <v>3.7859968507332207</v>
      </c>
      <c r="Y6" s="1">
        <f t="shared" ca="1" si="17"/>
        <v>0.36889106698313912</v>
      </c>
      <c r="Z6" s="1">
        <f t="shared" ca="1" si="18"/>
        <v>1603</v>
      </c>
      <c r="AB6" s="1">
        <f t="shared" ca="1" si="19"/>
        <v>0.43255450567561654</v>
      </c>
      <c r="AC6" s="1">
        <f t="shared" ca="1" si="20"/>
        <v>528</v>
      </c>
      <c r="AD6" s="1">
        <f t="shared" ca="1" si="21"/>
        <v>6.258857826096682E-3</v>
      </c>
      <c r="AE6" s="1"/>
      <c r="AF6" s="1">
        <f t="shared" ca="1" si="22"/>
        <v>0.15927100344394562</v>
      </c>
      <c r="AG6" s="1">
        <f t="shared" ca="1" si="23"/>
        <v>772</v>
      </c>
      <c r="AH6" s="1">
        <f t="shared" ca="1" si="24"/>
        <v>9.3351542022029731E-3</v>
      </c>
      <c r="AJ6" s="1">
        <f t="shared" ca="1" si="25"/>
        <v>0.18222732219866722</v>
      </c>
      <c r="AK6" s="1">
        <f t="shared" ca="1" si="26"/>
        <v>7.6023541493288223E-3</v>
      </c>
      <c r="AL6" s="1"/>
      <c r="AM6" s="1">
        <f t="shared" ca="1" si="27"/>
        <v>8.4251963093722099E-2</v>
      </c>
      <c r="AN6" s="1">
        <f t="shared" ca="1" si="28"/>
        <v>74</v>
      </c>
      <c r="AO6" s="1">
        <f t="shared" ca="1" si="29"/>
        <v>11</v>
      </c>
      <c r="AQ6" s="1">
        <f t="shared" ca="1" si="30"/>
        <v>64</v>
      </c>
      <c r="AR6" s="1">
        <f t="shared" ca="1" si="31"/>
        <v>10</v>
      </c>
      <c r="AS6" s="1">
        <f t="shared" ca="1" si="32"/>
        <v>44</v>
      </c>
      <c r="AU6" s="1">
        <f t="shared" ca="1" si="33"/>
        <v>215</v>
      </c>
      <c r="AV6" s="1">
        <f t="shared" ca="1" si="34"/>
        <v>5</v>
      </c>
      <c r="AW6" s="1">
        <f t="shared" ca="1" si="35"/>
        <v>4.8286904933125097E-2</v>
      </c>
      <c r="AY6" s="1">
        <f t="shared" ca="1" si="36"/>
        <v>1.8856702381170405</v>
      </c>
      <c r="AZ6" s="1">
        <f t="shared" ca="1" si="37"/>
        <v>157</v>
      </c>
      <c r="BA6" s="1">
        <f t="shared" ca="1" si="38"/>
        <v>2.2488940068199677E-3</v>
      </c>
      <c r="BV6" s="1">
        <f t="shared" ca="1" si="39"/>
        <v>0.4779062618057327</v>
      </c>
      <c r="BW6" s="1">
        <f t="shared" ca="1" si="40"/>
        <v>641</v>
      </c>
      <c r="BX6" s="1">
        <f t="shared" ca="1" si="41"/>
        <v>4.2642872747550792E-3</v>
      </c>
      <c r="BY6" s="1">
        <f t="shared" ca="1" si="42"/>
        <v>3.6719821022623812E-2</v>
      </c>
      <c r="BZ6" s="1">
        <f t="shared" ca="1" si="43"/>
        <v>0.40143320068790012</v>
      </c>
      <c r="CB6" s="1">
        <f t="shared" ca="1" si="44"/>
        <v>89</v>
      </c>
      <c r="CC6" s="1">
        <f t="shared" ca="1" si="45"/>
        <v>10</v>
      </c>
      <c r="CD6" s="1">
        <f t="shared" ca="1" si="46"/>
        <v>0.26753087749968008</v>
      </c>
      <c r="CE6" s="1">
        <f t="shared" ca="1" si="47"/>
        <v>0.68059473051886343</v>
      </c>
      <c r="CF6" s="1">
        <f t="shared" ca="1" si="47"/>
        <v>0.53274655566970996</v>
      </c>
      <c r="CH6" s="3">
        <f t="shared" ca="1" si="48"/>
        <v>0.14796272713381078</v>
      </c>
      <c r="CI6" s="3">
        <f t="shared" ca="1" si="49"/>
        <v>0.64536445576678392</v>
      </c>
      <c r="CJ6" s="3">
        <f t="shared" ca="1" si="50"/>
        <v>259</v>
      </c>
      <c r="CK6" s="3">
        <f t="shared" ca="1" si="51"/>
        <v>6.4549225266991453E-3</v>
      </c>
      <c r="CL6" s="3">
        <f t="shared" ca="1" si="52"/>
        <v>0</v>
      </c>
      <c r="CM6" s="3"/>
      <c r="CN6" s="1">
        <f t="shared" ca="1" si="53"/>
        <v>4.7620305109819858</v>
      </c>
      <c r="CO6" s="1">
        <f t="shared" ca="1" si="54"/>
        <v>5.2769265850772434E-2</v>
      </c>
      <c r="CP6" s="1">
        <f t="shared" ca="1" si="55"/>
        <v>2</v>
      </c>
    </row>
    <row r="7" spans="2:110" x14ac:dyDescent="0.25">
      <c r="B7">
        <f t="shared" ca="1" si="0"/>
        <v>752</v>
      </c>
      <c r="C7">
        <f t="shared" ca="1" si="1"/>
        <v>6</v>
      </c>
      <c r="D7">
        <f t="shared" ca="1" si="2"/>
        <v>0.25160674616643108</v>
      </c>
      <c r="F7" s="1">
        <f t="shared" ca="1" si="3"/>
        <v>52</v>
      </c>
      <c r="G7" s="1">
        <f t="shared" ca="1" si="4"/>
        <v>21</v>
      </c>
      <c r="H7" s="1">
        <f t="shared" ca="1" si="5"/>
        <v>15</v>
      </c>
      <c r="I7" s="1"/>
      <c r="J7" s="1">
        <f t="shared" ca="1" si="6"/>
        <v>33</v>
      </c>
      <c r="K7" s="1">
        <f t="shared" ca="1" si="7"/>
        <v>2.8618260651045544</v>
      </c>
      <c r="L7" s="1">
        <f t="shared" ca="1" si="8"/>
        <v>8</v>
      </c>
      <c r="M7" s="1"/>
      <c r="N7" s="1">
        <f t="shared" ca="1" si="9"/>
        <v>386</v>
      </c>
      <c r="O7" s="1">
        <f t="shared" ca="1" si="10"/>
        <v>30</v>
      </c>
      <c r="P7" s="1"/>
      <c r="Q7" s="1">
        <f t="shared" ca="1" si="11"/>
        <v>2.6867078996447247</v>
      </c>
      <c r="R7" s="1">
        <f t="shared" ca="1" si="12"/>
        <v>677</v>
      </c>
      <c r="S7" s="1"/>
      <c r="T7" s="1">
        <f t="shared" ca="1" si="13"/>
        <v>1.4759051751118175E-2</v>
      </c>
      <c r="U7" s="1">
        <f t="shared" ca="1" si="14"/>
        <v>86</v>
      </c>
      <c r="V7" s="1">
        <f t="shared" ca="1" si="15"/>
        <v>8</v>
      </c>
      <c r="W7" s="1"/>
      <c r="X7" s="1">
        <f t="shared" ca="1" si="16"/>
        <v>5.9149242314189463</v>
      </c>
      <c r="Y7" s="1">
        <f t="shared" ca="1" si="17"/>
        <v>0.43804357981134329</v>
      </c>
      <c r="Z7" s="1">
        <f t="shared" ca="1" si="18"/>
        <v>787</v>
      </c>
      <c r="AB7" s="1">
        <f t="shared" ca="1" si="19"/>
        <v>6.983825635514522E-2</v>
      </c>
      <c r="AC7" s="1">
        <f t="shared" ca="1" si="20"/>
        <v>727</v>
      </c>
      <c r="AD7" s="1">
        <f t="shared" ca="1" si="21"/>
        <v>1.7399338235502388E-3</v>
      </c>
      <c r="AE7" s="1"/>
      <c r="AF7" s="1">
        <f t="shared" ca="1" si="22"/>
        <v>0.83740917462975561</v>
      </c>
      <c r="AG7" s="1">
        <f t="shared" ca="1" si="23"/>
        <v>844</v>
      </c>
      <c r="AH7" s="1">
        <f t="shared" ca="1" si="24"/>
        <v>5.799719784933201E-3</v>
      </c>
      <c r="AJ7" s="1">
        <f t="shared" ca="1" si="25"/>
        <v>0.60750827452819978</v>
      </c>
      <c r="AK7" s="1">
        <f t="shared" ca="1" si="26"/>
        <v>2.3374535013657837E-3</v>
      </c>
      <c r="AL7" s="1"/>
      <c r="AM7" s="1">
        <f t="shared" ca="1" si="27"/>
        <v>2.1830268196079573E-2</v>
      </c>
      <c r="AN7" s="1">
        <f t="shared" ca="1" si="28"/>
        <v>66</v>
      </c>
      <c r="AO7" s="1">
        <f t="shared" ca="1" si="29"/>
        <v>12</v>
      </c>
      <c r="AQ7" s="1">
        <f t="shared" ca="1" si="30"/>
        <v>160</v>
      </c>
      <c r="AR7" s="1">
        <f t="shared" ca="1" si="31"/>
        <v>1</v>
      </c>
      <c r="AS7" s="1">
        <f t="shared" ca="1" si="32"/>
        <v>66</v>
      </c>
      <c r="AU7" s="1">
        <f t="shared" ca="1" si="33"/>
        <v>218</v>
      </c>
      <c r="AV7" s="1">
        <f t="shared" ca="1" si="34"/>
        <v>5</v>
      </c>
      <c r="AW7" s="1">
        <f t="shared" ca="1" si="35"/>
        <v>0.15515723547116794</v>
      </c>
      <c r="AY7" s="1">
        <f t="shared" ca="1" si="36"/>
        <v>1.4755503425681862</v>
      </c>
      <c r="AZ7" s="1">
        <f t="shared" ca="1" si="37"/>
        <v>356</v>
      </c>
      <c r="BA7" s="1">
        <f t="shared" ca="1" si="38"/>
        <v>9.6022091949956399E-3</v>
      </c>
      <c r="BV7" s="1">
        <f t="shared" ca="1" si="39"/>
        <v>6.1693220000245901E-2</v>
      </c>
      <c r="BW7" s="1">
        <f t="shared" ca="1" si="40"/>
        <v>702</v>
      </c>
      <c r="BX7" s="1">
        <f t="shared" ca="1" si="41"/>
        <v>5.4368067935794328E-3</v>
      </c>
      <c r="BY7" s="1">
        <f t="shared" ca="1" si="42"/>
        <v>4.0922739252532273E-2</v>
      </c>
      <c r="BZ7" s="1">
        <f t="shared" ca="1" si="43"/>
        <v>0.61575487444994748</v>
      </c>
      <c r="CB7" s="1">
        <f t="shared" ca="1" si="44"/>
        <v>235</v>
      </c>
      <c r="CC7" s="1">
        <f t="shared" ca="1" si="45"/>
        <v>10</v>
      </c>
      <c r="CD7" s="1">
        <f t="shared" ca="1" si="46"/>
        <v>8.515508416208295E-2</v>
      </c>
      <c r="CE7" s="1">
        <f t="shared" ca="1" si="47"/>
        <v>0.55034649757080212</v>
      </c>
      <c r="CF7" s="1">
        <f t="shared" ca="1" si="47"/>
        <v>0.83222734130926479</v>
      </c>
      <c r="CH7" s="3">
        <f t="shared" ca="1" si="48"/>
        <v>0.76907052107420204</v>
      </c>
      <c r="CI7" s="3">
        <f t="shared" ca="1" si="49"/>
        <v>0.15419264346888564</v>
      </c>
      <c r="CJ7" s="3">
        <f t="shared" ca="1" si="50"/>
        <v>1482</v>
      </c>
      <c r="CK7" s="3">
        <f t="shared" ca="1" si="51"/>
        <v>7.6790022419102669E-3</v>
      </c>
      <c r="CL7" s="3">
        <f t="shared" ca="1" si="52"/>
        <v>1</v>
      </c>
      <c r="CM7" s="3"/>
      <c r="CN7" s="1">
        <f t="shared" ca="1" si="53"/>
        <v>3.2313431647793549</v>
      </c>
      <c r="CO7" s="1">
        <f t="shared" ca="1" si="54"/>
        <v>4.2715038611905926E-2</v>
      </c>
      <c r="CP7" s="1">
        <f t="shared" ca="1" si="55"/>
        <v>2</v>
      </c>
    </row>
    <row r="8" spans="2:110" x14ac:dyDescent="0.25">
      <c r="B8">
        <f t="shared" ca="1" si="0"/>
        <v>425</v>
      </c>
      <c r="C8">
        <f t="shared" ca="1" si="1"/>
        <v>12</v>
      </c>
      <c r="D8">
        <f t="shared" ca="1" si="2"/>
        <v>0.19204160829397263</v>
      </c>
      <c r="F8" s="1">
        <f t="shared" ca="1" si="3"/>
        <v>8</v>
      </c>
      <c r="G8" s="1">
        <f t="shared" ca="1" si="4"/>
        <v>28</v>
      </c>
      <c r="H8" s="1">
        <f t="shared" ca="1" si="5"/>
        <v>7</v>
      </c>
      <c r="I8" s="1"/>
      <c r="J8" s="1">
        <f t="shared" ca="1" si="6"/>
        <v>29</v>
      </c>
      <c r="K8" s="1">
        <f t="shared" ca="1" si="7"/>
        <v>1.1649183547135016</v>
      </c>
      <c r="L8" s="1">
        <f t="shared" ca="1" si="8"/>
        <v>12</v>
      </c>
      <c r="M8" s="1"/>
      <c r="N8" s="1">
        <f t="shared" ca="1" si="9"/>
        <v>417</v>
      </c>
      <c r="O8" s="1">
        <f t="shared" ca="1" si="10"/>
        <v>37</v>
      </c>
      <c r="P8" s="1"/>
      <c r="Q8" s="1">
        <f t="shared" ca="1" si="11"/>
        <v>4.44252777898968</v>
      </c>
      <c r="R8" s="1">
        <f t="shared" ca="1" si="12"/>
        <v>751</v>
      </c>
      <c r="S8" s="1"/>
      <c r="T8" s="1">
        <f t="shared" ca="1" si="13"/>
        <v>5.2146588156578431E-2</v>
      </c>
      <c r="U8" s="1">
        <f t="shared" ca="1" si="14"/>
        <v>217</v>
      </c>
      <c r="V8" s="1">
        <f t="shared" ca="1" si="15"/>
        <v>50</v>
      </c>
      <c r="W8" s="1"/>
      <c r="X8" s="1">
        <f t="shared" ca="1" si="16"/>
        <v>1.8990190223789998</v>
      </c>
      <c r="Y8" s="1">
        <f t="shared" ca="1" si="17"/>
        <v>0.85555510446058514</v>
      </c>
      <c r="Z8" s="1">
        <f t="shared" ca="1" si="18"/>
        <v>1905</v>
      </c>
      <c r="AB8" s="1">
        <f t="shared" ca="1" si="19"/>
        <v>0.96378008377733526</v>
      </c>
      <c r="AC8" s="1">
        <f t="shared" ca="1" si="20"/>
        <v>129</v>
      </c>
      <c r="AD8" s="1">
        <f t="shared" ca="1" si="21"/>
        <v>9.9135600786179612E-3</v>
      </c>
      <c r="AE8" s="1"/>
      <c r="AF8" s="1">
        <f t="shared" ca="1" si="22"/>
        <v>0.40280423387527642</v>
      </c>
      <c r="AG8" s="1">
        <f t="shared" ca="1" si="23"/>
        <v>892</v>
      </c>
      <c r="AH8" s="1">
        <f t="shared" ca="1" si="24"/>
        <v>2.1435368152729886E-3</v>
      </c>
      <c r="AJ8" s="1">
        <f t="shared" ca="1" si="25"/>
        <v>0.75164323680344869</v>
      </c>
      <c r="AK8" s="1">
        <f t="shared" ca="1" si="26"/>
        <v>5.9437497917574226E-3</v>
      </c>
      <c r="AL8" s="1"/>
      <c r="AM8" s="1">
        <f t="shared" ca="1" si="27"/>
        <v>6.2996079918317668E-2</v>
      </c>
      <c r="AN8" s="1">
        <f t="shared" ca="1" si="28"/>
        <v>29</v>
      </c>
      <c r="AO8" s="1">
        <f t="shared" ca="1" si="29"/>
        <v>14</v>
      </c>
      <c r="AQ8" s="1">
        <f t="shared" ca="1" si="30"/>
        <v>152</v>
      </c>
      <c r="AR8" s="1">
        <f t="shared" ca="1" si="31"/>
        <v>1</v>
      </c>
      <c r="AS8" s="1">
        <f t="shared" ca="1" si="32"/>
        <v>55</v>
      </c>
      <c r="AU8" s="1">
        <f t="shared" ca="1" si="33"/>
        <v>99</v>
      </c>
      <c r="AV8" s="1">
        <f t="shared" ca="1" si="34"/>
        <v>8</v>
      </c>
      <c r="AW8" s="1">
        <f t="shared" ca="1" si="35"/>
        <v>7.244900116083966E-2</v>
      </c>
      <c r="AY8" s="1">
        <f t="shared" ca="1" si="36"/>
        <v>1.5721897177645932</v>
      </c>
      <c r="AZ8" s="1">
        <f t="shared" ca="1" si="37"/>
        <v>103</v>
      </c>
      <c r="BA8" s="1">
        <f t="shared" ca="1" si="38"/>
        <v>5.0041749875713451E-3</v>
      </c>
      <c r="BV8" s="1">
        <f t="shared" ca="1" si="39"/>
        <v>0.65033814540255275</v>
      </c>
      <c r="BW8" s="1">
        <f t="shared" ca="1" si="40"/>
        <v>977</v>
      </c>
      <c r="BX8" s="1">
        <f t="shared" ca="1" si="41"/>
        <v>9.784927474527097E-3</v>
      </c>
      <c r="BY8" s="1">
        <f t="shared" ca="1" si="42"/>
        <v>5.6043229647217307E-2</v>
      </c>
      <c r="BZ8" s="1">
        <f t="shared" ca="1" si="43"/>
        <v>0.15805429659615566</v>
      </c>
      <c r="CB8" s="1">
        <f t="shared" ca="1" si="44"/>
        <v>439</v>
      </c>
      <c r="CC8" s="1">
        <f t="shared" ca="1" si="45"/>
        <v>8</v>
      </c>
      <c r="CD8" s="1">
        <f t="shared" ca="1" si="46"/>
        <v>0.18917286729678776</v>
      </c>
      <c r="CE8" s="1">
        <f t="shared" ca="1" si="47"/>
        <v>0.75065908428084316</v>
      </c>
      <c r="CF8" s="1">
        <f t="shared" ca="1" si="47"/>
        <v>0.54863972627032054</v>
      </c>
      <c r="CH8" s="3">
        <f t="shared" ca="1" si="48"/>
        <v>0.67332647598908546</v>
      </c>
      <c r="CI8" s="3">
        <f t="shared" ca="1" si="49"/>
        <v>0.80276916036720614</v>
      </c>
      <c r="CJ8" s="3">
        <f t="shared" ca="1" si="50"/>
        <v>1801</v>
      </c>
      <c r="CK8" s="3">
        <f t="shared" ca="1" si="51"/>
        <v>1.0948946623863592E-3</v>
      </c>
      <c r="CL8" s="3">
        <f t="shared" ca="1" si="52"/>
        <v>0</v>
      </c>
      <c r="CM8" s="3"/>
      <c r="CN8" s="1">
        <f t="shared" ca="1" si="53"/>
        <v>8.5031034574838902</v>
      </c>
      <c r="CO8" s="1">
        <f t="shared" ca="1" si="54"/>
        <v>0.12027262113386586</v>
      </c>
      <c r="CP8" s="1">
        <f t="shared" ca="1" si="55"/>
        <v>2</v>
      </c>
    </row>
    <row r="9" spans="2:110" x14ac:dyDescent="0.25">
      <c r="B9">
        <f t="shared" ca="1" si="0"/>
        <v>492</v>
      </c>
      <c r="C9">
        <f t="shared" ca="1" si="1"/>
        <v>26</v>
      </c>
      <c r="D9">
        <f t="shared" ca="1" si="2"/>
        <v>7.7469771849943081E-2</v>
      </c>
      <c r="F9" s="1">
        <f t="shared" ca="1" si="3"/>
        <v>5</v>
      </c>
      <c r="G9" s="1">
        <f t="shared" ca="1" si="4"/>
        <v>14</v>
      </c>
      <c r="H9" s="1">
        <f t="shared" ca="1" si="5"/>
        <v>2</v>
      </c>
      <c r="I9" s="1"/>
      <c r="J9" s="1">
        <f t="shared" ca="1" si="6"/>
        <v>18</v>
      </c>
      <c r="K9" s="1">
        <f t="shared" ca="1" si="7"/>
        <v>2.6289600284707459</v>
      </c>
      <c r="L9" s="1">
        <f t="shared" ca="1" si="8"/>
        <v>3</v>
      </c>
      <c r="M9" s="1"/>
      <c r="N9" s="1">
        <f t="shared" ca="1" si="9"/>
        <v>852</v>
      </c>
      <c r="O9" s="1">
        <f t="shared" ca="1" si="10"/>
        <v>3</v>
      </c>
      <c r="P9" s="1"/>
      <c r="Q9" s="1">
        <f t="shared" ca="1" si="11"/>
        <v>3.1604739453525634</v>
      </c>
      <c r="R9" s="1">
        <f t="shared" ca="1" si="12"/>
        <v>660</v>
      </c>
      <c r="S9" s="1"/>
      <c r="T9" s="1">
        <f t="shared" ca="1" si="13"/>
        <v>0.16562514592464717</v>
      </c>
      <c r="U9" s="1">
        <f t="shared" ca="1" si="14"/>
        <v>139</v>
      </c>
      <c r="V9" s="1">
        <f t="shared" ca="1" si="15"/>
        <v>15</v>
      </c>
      <c r="W9" s="1"/>
      <c r="X9" s="1">
        <f t="shared" ca="1" si="16"/>
        <v>5.5913345996410078</v>
      </c>
      <c r="Y9" s="1">
        <f t="shared" ca="1" si="17"/>
        <v>0.29118108552822047</v>
      </c>
      <c r="Z9" s="1">
        <f t="shared" ca="1" si="18"/>
        <v>349</v>
      </c>
      <c r="AB9" s="1">
        <f t="shared" ca="1" si="19"/>
        <v>0.71462103541006272</v>
      </c>
      <c r="AC9" s="1">
        <f t="shared" ca="1" si="20"/>
        <v>739</v>
      </c>
      <c r="AD9" s="1">
        <f t="shared" ca="1" si="21"/>
        <v>3.8278806623127945E-3</v>
      </c>
      <c r="AE9" s="1"/>
      <c r="AF9" s="1">
        <f t="shared" ca="1" si="22"/>
        <v>0.40223422579279855</v>
      </c>
      <c r="AG9" s="1">
        <f t="shared" ca="1" si="23"/>
        <v>824</v>
      </c>
      <c r="AH9" s="1">
        <f t="shared" ca="1" si="24"/>
        <v>7.2385579038195562E-3</v>
      </c>
      <c r="AJ9" s="1">
        <f t="shared" ca="1" si="25"/>
        <v>0.89395051018523253</v>
      </c>
      <c r="AK9" s="1">
        <f t="shared" ca="1" si="26"/>
        <v>4.5707646465954046E-3</v>
      </c>
      <c r="AL9" s="1"/>
      <c r="AM9" s="1">
        <f t="shared" ca="1" si="27"/>
        <v>0.18783297753061876</v>
      </c>
      <c r="AN9" s="1">
        <f t="shared" ca="1" si="28"/>
        <v>54</v>
      </c>
      <c r="AO9" s="1">
        <f t="shared" ca="1" si="29"/>
        <v>3</v>
      </c>
      <c r="AQ9" s="1">
        <f t="shared" ca="1" si="30"/>
        <v>78</v>
      </c>
      <c r="AR9" s="1">
        <f t="shared" ca="1" si="31"/>
        <v>10</v>
      </c>
      <c r="AS9" s="1">
        <f t="shared" ca="1" si="32"/>
        <v>75</v>
      </c>
      <c r="AU9" s="1">
        <f t="shared" ca="1" si="33"/>
        <v>265</v>
      </c>
      <c r="AV9" s="1">
        <f t="shared" ca="1" si="34"/>
        <v>4</v>
      </c>
      <c r="AW9" s="1">
        <f t="shared" ca="1" si="35"/>
        <v>9.9500892416894693E-2</v>
      </c>
      <c r="AY9" s="1">
        <f t="shared" ca="1" si="36"/>
        <v>1.30191277709699</v>
      </c>
      <c r="AZ9" s="1">
        <f t="shared" ca="1" si="37"/>
        <v>93</v>
      </c>
      <c r="BA9" s="1">
        <f t="shared" ca="1" si="38"/>
        <v>1.2423618923352138E-4</v>
      </c>
      <c r="BV9" s="1">
        <f t="shared" ca="1" si="39"/>
        <v>0.889067335341853</v>
      </c>
      <c r="BW9" s="1">
        <f t="shared" ca="1" si="40"/>
        <v>535</v>
      </c>
      <c r="BX9" s="1">
        <f t="shared" ca="1" si="41"/>
        <v>6.4809352532387001E-3</v>
      </c>
      <c r="BY9" s="1">
        <f t="shared" ca="1" si="42"/>
        <v>1.3287657160353947E-2</v>
      </c>
      <c r="BZ9" s="1">
        <f t="shared" ca="1" si="43"/>
        <v>0.23818825647114383</v>
      </c>
      <c r="CB9" s="1">
        <f t="shared" ca="1" si="44"/>
        <v>381</v>
      </c>
      <c r="CC9" s="1">
        <f t="shared" ca="1" si="45"/>
        <v>9</v>
      </c>
      <c r="CD9" s="1">
        <f t="shared" ca="1" si="46"/>
        <v>0.14481919743209781</v>
      </c>
      <c r="CE9" s="1">
        <f t="shared" ca="1" si="47"/>
        <v>0.67950941741760573</v>
      </c>
      <c r="CF9" s="1">
        <f t="shared" ca="1" si="47"/>
        <v>0.59875591668448991</v>
      </c>
      <c r="CH9" s="3">
        <f t="shared" ca="1" si="48"/>
        <v>0.82171060276723318</v>
      </c>
      <c r="CI9" s="3">
        <f t="shared" ca="1" si="49"/>
        <v>0.35997335271992759</v>
      </c>
      <c r="CJ9" s="3">
        <f t="shared" ca="1" si="50"/>
        <v>932</v>
      </c>
      <c r="CK9" s="3">
        <f t="shared" ca="1" si="51"/>
        <v>8.8320914838590191E-3</v>
      </c>
      <c r="CL9" s="3">
        <f t="shared" ca="1" si="52"/>
        <v>1</v>
      </c>
      <c r="CM9" s="3"/>
      <c r="CN9" s="1">
        <f t="shared" ca="1" si="53"/>
        <v>11.865206593601419</v>
      </c>
      <c r="CO9" s="1">
        <f t="shared" ca="1" si="54"/>
        <v>7.0069929809334908E-2</v>
      </c>
      <c r="CP9" s="1">
        <f t="shared" ca="1" si="55"/>
        <v>4</v>
      </c>
    </row>
    <row r="10" spans="2:110" x14ac:dyDescent="0.25">
      <c r="B10">
        <f t="shared" ca="1" si="0"/>
        <v>897</v>
      </c>
      <c r="C10">
        <f t="shared" ca="1" si="1"/>
        <v>21</v>
      </c>
      <c r="D10">
        <f t="shared" ca="1" si="2"/>
        <v>0.19709350158560857</v>
      </c>
      <c r="F10" s="1">
        <f t="shared" ca="1" si="3"/>
        <v>52</v>
      </c>
      <c r="G10" s="1">
        <f t="shared" ca="1" si="4"/>
        <v>20</v>
      </c>
      <c r="H10" s="1">
        <f t="shared" ca="1" si="5"/>
        <v>11</v>
      </c>
      <c r="I10" s="1"/>
      <c r="J10" s="1">
        <f t="shared" ca="1" si="6"/>
        <v>7</v>
      </c>
      <c r="K10" s="1">
        <f t="shared" ca="1" si="7"/>
        <v>1.3605925891780797</v>
      </c>
      <c r="L10" s="1">
        <f t="shared" ca="1" si="8"/>
        <v>24</v>
      </c>
      <c r="M10" s="1"/>
      <c r="N10" s="1">
        <f t="shared" ca="1" si="9"/>
        <v>161</v>
      </c>
      <c r="O10" s="1">
        <f t="shared" ca="1" si="10"/>
        <v>18</v>
      </c>
      <c r="P10" s="1"/>
      <c r="Q10" s="1">
        <f t="shared" ca="1" si="11"/>
        <v>4.0675139347571827</v>
      </c>
      <c r="R10" s="1">
        <f t="shared" ca="1" si="12"/>
        <v>916</v>
      </c>
      <c r="S10" s="1"/>
      <c r="T10" s="1">
        <f t="shared" ca="1" si="13"/>
        <v>8.1841413297841573E-2</v>
      </c>
      <c r="U10" s="1">
        <f t="shared" ca="1" si="14"/>
        <v>369</v>
      </c>
      <c r="V10" s="1">
        <f t="shared" ca="1" si="15"/>
        <v>39</v>
      </c>
      <c r="W10" s="1"/>
      <c r="X10" s="1">
        <f t="shared" ca="1" si="16"/>
        <v>5.1790212895031917</v>
      </c>
      <c r="Y10" s="1">
        <f t="shared" ca="1" si="17"/>
        <v>8.8584732112042028E-2</v>
      </c>
      <c r="Z10" s="1">
        <f t="shared" ca="1" si="18"/>
        <v>1079</v>
      </c>
      <c r="AB10" s="1">
        <f t="shared" ca="1" si="19"/>
        <v>0.89325821859511223</v>
      </c>
      <c r="AC10" s="1">
        <f t="shared" ca="1" si="20"/>
        <v>790</v>
      </c>
      <c r="AD10" s="1">
        <f t="shared" ca="1" si="21"/>
        <v>8.4283993099275242E-3</v>
      </c>
      <c r="AE10" s="1"/>
      <c r="AF10" s="1">
        <f t="shared" ca="1" si="22"/>
        <v>0.10705672918618642</v>
      </c>
      <c r="AG10" s="1">
        <f t="shared" ca="1" si="23"/>
        <v>688</v>
      </c>
      <c r="AH10" s="1">
        <f t="shared" ca="1" si="24"/>
        <v>7.8109309527670734E-3</v>
      </c>
      <c r="AJ10" s="1">
        <f t="shared" ca="1" si="25"/>
        <v>0.43437831089204126</v>
      </c>
      <c r="AK10" s="1">
        <f t="shared" ca="1" si="26"/>
        <v>4.5188541108754053E-3</v>
      </c>
      <c r="AL10" s="1"/>
      <c r="AM10" s="1">
        <f t="shared" ca="1" si="27"/>
        <v>0.12204729351375962</v>
      </c>
      <c r="AN10" s="1">
        <f t="shared" ca="1" si="28"/>
        <v>72</v>
      </c>
      <c r="AO10" s="1">
        <f t="shared" ca="1" si="29"/>
        <v>12</v>
      </c>
      <c r="AQ10" s="1">
        <f t="shared" ca="1" si="30"/>
        <v>95</v>
      </c>
      <c r="AR10" s="1">
        <f t="shared" ca="1" si="31"/>
        <v>2</v>
      </c>
      <c r="AS10" s="1">
        <f t="shared" ca="1" si="32"/>
        <v>56</v>
      </c>
      <c r="AU10" s="1">
        <f t="shared" ca="1" si="33"/>
        <v>327</v>
      </c>
      <c r="AV10" s="1">
        <f t="shared" ca="1" si="34"/>
        <v>8</v>
      </c>
      <c r="AW10" s="1">
        <f t="shared" ca="1" si="35"/>
        <v>0.17108280770434375</v>
      </c>
      <c r="AY10" s="1">
        <f t="shared" ca="1" si="36"/>
        <v>1.4649604821671276</v>
      </c>
      <c r="AZ10" s="1">
        <f t="shared" ca="1" si="37"/>
        <v>376</v>
      </c>
      <c r="BA10" s="1">
        <f t="shared" ca="1" si="38"/>
        <v>7.6493094487449361E-3</v>
      </c>
      <c r="BV10" s="1">
        <f t="shared" ca="1" si="39"/>
        <v>0.23283578808388086</v>
      </c>
      <c r="BW10" s="1">
        <f t="shared" ca="1" si="40"/>
        <v>858</v>
      </c>
      <c r="BX10" s="1">
        <f t="shared" ca="1" si="41"/>
        <v>4.9251563313063868E-3</v>
      </c>
      <c r="BY10" s="1">
        <f t="shared" ca="1" si="42"/>
        <v>5.0789796119545531E-2</v>
      </c>
      <c r="BZ10" s="1">
        <f t="shared" ca="1" si="43"/>
        <v>0.32353372934029712</v>
      </c>
      <c r="CB10" s="1">
        <f t="shared" ca="1" si="44"/>
        <v>194</v>
      </c>
      <c r="CC10" s="1">
        <f t="shared" ca="1" si="45"/>
        <v>4</v>
      </c>
      <c r="CD10" s="1">
        <f t="shared" ca="1" si="46"/>
        <v>0.25592512597581341</v>
      </c>
      <c r="CE10" s="1">
        <f t="shared" ca="1" si="47"/>
        <v>0.84505632568732914</v>
      </c>
      <c r="CF10" s="1">
        <f t="shared" ca="1" si="47"/>
        <v>0.51019981080216104</v>
      </c>
      <c r="CH10" s="3">
        <f t="shared" ca="1" si="48"/>
        <v>0.68398353317405747</v>
      </c>
      <c r="CI10" s="3">
        <f t="shared" ca="1" si="49"/>
        <v>0.75348045357949311</v>
      </c>
      <c r="CJ10" s="3">
        <f t="shared" ca="1" si="50"/>
        <v>1328</v>
      </c>
      <c r="CK10" s="3">
        <f t="shared" ca="1" si="51"/>
        <v>9.0096773201573839E-3</v>
      </c>
      <c r="CL10" s="3">
        <f t="shared" ca="1" si="52"/>
        <v>1</v>
      </c>
      <c r="CM10" s="3"/>
      <c r="CN10" s="1">
        <f t="shared" ca="1" si="53"/>
        <v>13.183625533891597</v>
      </c>
      <c r="CO10" s="1">
        <f t="shared" ca="1" si="54"/>
        <v>0.44285577274934801</v>
      </c>
      <c r="CP10" s="1">
        <f t="shared" ca="1" si="55"/>
        <v>1</v>
      </c>
    </row>
    <row r="11" spans="2:110" x14ac:dyDescent="0.25">
      <c r="B11">
        <f t="shared" ca="1" si="0"/>
        <v>295</v>
      </c>
      <c r="C11">
        <f t="shared" ca="1" si="1"/>
        <v>8</v>
      </c>
      <c r="D11">
        <f t="shared" ca="1" si="2"/>
        <v>0.26731783337939968</v>
      </c>
      <c r="F11" s="1">
        <f t="shared" ca="1" si="3"/>
        <v>15</v>
      </c>
      <c r="G11" s="1">
        <f t="shared" ca="1" si="4"/>
        <v>22</v>
      </c>
      <c r="H11" s="1">
        <f t="shared" ca="1" si="5"/>
        <v>12</v>
      </c>
      <c r="I11" s="1"/>
      <c r="J11" s="1">
        <f t="shared" ca="1" si="6"/>
        <v>7</v>
      </c>
      <c r="K11" s="1">
        <f t="shared" ca="1" si="7"/>
        <v>1.9690511358962033</v>
      </c>
      <c r="L11" s="1">
        <f t="shared" ca="1" si="8"/>
        <v>33</v>
      </c>
      <c r="M11" s="1"/>
      <c r="N11" s="1">
        <f t="shared" ca="1" si="9"/>
        <v>83</v>
      </c>
      <c r="O11" s="1">
        <f t="shared" ca="1" si="10"/>
        <v>20</v>
      </c>
      <c r="P11" s="1"/>
      <c r="Q11" s="1">
        <f t="shared" ca="1" si="11"/>
        <v>0.54742872851316404</v>
      </c>
      <c r="R11" s="1">
        <f t="shared" ca="1" si="12"/>
        <v>243</v>
      </c>
      <c r="S11" s="1"/>
      <c r="T11" s="1">
        <f t="shared" ca="1" si="13"/>
        <v>1.9402323139119979E-2</v>
      </c>
      <c r="U11" s="1">
        <f t="shared" ca="1" si="14"/>
        <v>77</v>
      </c>
      <c r="V11" s="1">
        <f t="shared" ca="1" si="15"/>
        <v>48</v>
      </c>
      <c r="W11" s="1"/>
      <c r="X11" s="1">
        <f t="shared" ca="1" si="16"/>
        <v>3.6466757006952819</v>
      </c>
      <c r="Y11" s="1">
        <f t="shared" ca="1" si="17"/>
        <v>2.2945997524484469E-2</v>
      </c>
      <c r="Z11" s="1">
        <f t="shared" ca="1" si="18"/>
        <v>1287</v>
      </c>
      <c r="AB11" s="1">
        <f t="shared" ca="1" si="19"/>
        <v>0.61507570757177288</v>
      </c>
      <c r="AC11" s="1">
        <f t="shared" ca="1" si="20"/>
        <v>884</v>
      </c>
      <c r="AD11" s="1">
        <f t="shared" ca="1" si="21"/>
        <v>9.8120874829782205E-3</v>
      </c>
      <c r="AE11" s="1"/>
      <c r="AF11" s="1">
        <f t="shared" ca="1" si="22"/>
        <v>0.68995832373036037</v>
      </c>
      <c r="AG11" s="1">
        <f t="shared" ca="1" si="23"/>
        <v>488</v>
      </c>
      <c r="AH11" s="1">
        <f t="shared" ca="1" si="24"/>
        <v>1.0534760167176158E-3</v>
      </c>
      <c r="AJ11" s="1">
        <f t="shared" ca="1" si="25"/>
        <v>0.68122702334214513</v>
      </c>
      <c r="AK11" s="1">
        <f t="shared" ca="1" si="26"/>
        <v>7.5651932532257785E-3</v>
      </c>
      <c r="AL11" s="1"/>
      <c r="AM11" s="1">
        <f t="shared" ca="1" si="27"/>
        <v>0.16171103317769636</v>
      </c>
      <c r="AN11" s="1">
        <f t="shared" ca="1" si="28"/>
        <v>54</v>
      </c>
      <c r="AO11" s="1">
        <f t="shared" ca="1" si="29"/>
        <v>11</v>
      </c>
      <c r="AQ11" s="1">
        <f t="shared" ca="1" si="30"/>
        <v>86</v>
      </c>
      <c r="AR11" s="1">
        <f t="shared" ca="1" si="31"/>
        <v>6</v>
      </c>
      <c r="AS11" s="1">
        <f t="shared" ca="1" si="32"/>
        <v>15</v>
      </c>
      <c r="AU11" s="1">
        <f t="shared" ca="1" si="33"/>
        <v>356</v>
      </c>
      <c r="AV11" s="1">
        <f t="shared" ca="1" si="34"/>
        <v>7</v>
      </c>
      <c r="AW11" s="1">
        <f t="shared" ca="1" si="35"/>
        <v>0.15721242397593238</v>
      </c>
      <c r="AY11" s="1">
        <f t="shared" ca="1" si="36"/>
        <v>1.4403202075364188</v>
      </c>
      <c r="AZ11" s="1">
        <f t="shared" ca="1" si="37"/>
        <v>419</v>
      </c>
      <c r="BA11" s="1">
        <f t="shared" ca="1" si="38"/>
        <v>8.184355544269108E-3</v>
      </c>
      <c r="BV11" s="1">
        <f t="shared" ca="1" si="39"/>
        <v>0.81121205329923396</v>
      </c>
      <c r="BW11" s="1">
        <f t="shared" ca="1" si="40"/>
        <v>271</v>
      </c>
      <c r="BX11" s="1">
        <f t="shared" ca="1" si="41"/>
        <v>7.0139840685350824E-4</v>
      </c>
      <c r="BY11" s="1">
        <f t="shared" ca="1" si="42"/>
        <v>2.1159668173453217E-2</v>
      </c>
      <c r="BZ11" s="1">
        <f t="shared" ca="1" si="43"/>
        <v>0.88216331206830967</v>
      </c>
      <c r="CB11" s="1">
        <f t="shared" ca="1" si="44"/>
        <v>390</v>
      </c>
      <c r="CC11" s="1">
        <f t="shared" ca="1" si="45"/>
        <v>3</v>
      </c>
      <c r="CD11" s="1">
        <f t="shared" ca="1" si="46"/>
        <v>3.9583445231254989E-2</v>
      </c>
      <c r="CE11" s="1">
        <f t="shared" ca="1" si="47"/>
        <v>0.60927274714980806</v>
      </c>
      <c r="CF11" s="1">
        <f t="shared" ca="1" si="47"/>
        <v>0.64797643217186796</v>
      </c>
      <c r="CH11" s="3">
        <f t="shared" ca="1" si="48"/>
        <v>0.39681248876060971</v>
      </c>
      <c r="CI11" s="3">
        <f t="shared" ca="1" si="49"/>
        <v>0.51482364289229443</v>
      </c>
      <c r="CJ11" s="3">
        <f t="shared" ca="1" si="50"/>
        <v>1025</v>
      </c>
      <c r="CK11" s="3">
        <f t="shared" ca="1" si="51"/>
        <v>9.4116623122094765E-3</v>
      </c>
      <c r="CL11" s="3">
        <f t="shared" ca="1" si="52"/>
        <v>1</v>
      </c>
      <c r="CM11" s="3"/>
      <c r="CN11" s="1">
        <f t="shared" ca="1" si="53"/>
        <v>11.085607209866057</v>
      </c>
      <c r="CO11" s="1">
        <f t="shared" ca="1" si="54"/>
        <v>0.39570256448772528</v>
      </c>
      <c r="CP11" s="1">
        <f t="shared" ca="1" si="55"/>
        <v>2</v>
      </c>
    </row>
    <row r="12" spans="2:110" x14ac:dyDescent="0.25">
      <c r="B12">
        <f t="shared" ca="1" si="0"/>
        <v>33</v>
      </c>
      <c r="C12">
        <f t="shared" ca="1" si="1"/>
        <v>44</v>
      </c>
      <c r="D12">
        <f t="shared" ca="1" si="2"/>
        <v>0.29248804002311596</v>
      </c>
      <c r="F12" s="1">
        <f t="shared" ca="1" si="3"/>
        <v>18</v>
      </c>
      <c r="G12" s="1">
        <f t="shared" ca="1" si="4"/>
        <v>17</v>
      </c>
      <c r="H12" s="1">
        <f t="shared" ca="1" si="5"/>
        <v>8</v>
      </c>
      <c r="I12" s="1"/>
      <c r="J12" s="1">
        <f t="shared" ca="1" si="6"/>
        <v>3</v>
      </c>
      <c r="K12" s="1">
        <f t="shared" ca="1" si="7"/>
        <v>2.222190125662868</v>
      </c>
      <c r="L12" s="1">
        <f t="shared" ca="1" si="8"/>
        <v>29</v>
      </c>
      <c r="M12" s="1"/>
      <c r="N12" s="1">
        <f t="shared" ca="1" si="9"/>
        <v>866</v>
      </c>
      <c r="O12" s="1">
        <f t="shared" ca="1" si="10"/>
        <v>12</v>
      </c>
      <c r="P12" s="1"/>
      <c r="Q12" s="1">
        <f t="shared" ca="1" si="11"/>
        <v>1.3887426443741859</v>
      </c>
      <c r="R12" s="1">
        <f t="shared" ca="1" si="12"/>
        <v>760</v>
      </c>
      <c r="S12" s="1"/>
      <c r="T12" s="1">
        <f t="shared" ca="1" si="13"/>
        <v>0.19830095678052467</v>
      </c>
      <c r="U12" s="1">
        <f t="shared" ca="1" si="14"/>
        <v>283</v>
      </c>
      <c r="V12" s="1">
        <f t="shared" ca="1" si="15"/>
        <v>50</v>
      </c>
      <c r="W12" s="1"/>
      <c r="X12" s="1">
        <f t="shared" ca="1" si="16"/>
        <v>5.2335532996472134</v>
      </c>
      <c r="Y12" s="1">
        <f t="shared" ca="1" si="17"/>
        <v>9.1903039936157768E-2</v>
      </c>
      <c r="Z12" s="1">
        <f t="shared" ca="1" si="18"/>
        <v>968</v>
      </c>
      <c r="AB12" s="1">
        <f t="shared" ca="1" si="19"/>
        <v>0.64399534021141092</v>
      </c>
      <c r="AC12" s="1">
        <f t="shared" ca="1" si="20"/>
        <v>181</v>
      </c>
      <c r="AD12" s="1">
        <f t="shared" ca="1" si="21"/>
        <v>2.5959080237977043E-3</v>
      </c>
      <c r="AE12" s="1"/>
      <c r="AF12" s="1">
        <f t="shared" ca="1" si="22"/>
        <v>0.39626471253090778</v>
      </c>
      <c r="AG12" s="1">
        <f t="shared" ca="1" si="23"/>
        <v>925</v>
      </c>
      <c r="AH12" s="1">
        <f t="shared" ca="1" si="24"/>
        <v>1.9453042519625508E-3</v>
      </c>
      <c r="AJ12" s="1">
        <f t="shared" ca="1" si="25"/>
        <v>0.77886009389711197</v>
      </c>
      <c r="AK12" s="1">
        <f t="shared" ca="1" si="26"/>
        <v>8.3312430170099632E-3</v>
      </c>
      <c r="AL12" s="1"/>
      <c r="AM12" s="1">
        <f t="shared" ca="1" si="27"/>
        <v>0.19854672120365685</v>
      </c>
      <c r="AN12" s="1">
        <f t="shared" ca="1" si="28"/>
        <v>78</v>
      </c>
      <c r="AO12" s="1">
        <f t="shared" ca="1" si="29"/>
        <v>18</v>
      </c>
      <c r="AQ12" s="1">
        <f t="shared" ca="1" si="30"/>
        <v>74</v>
      </c>
      <c r="AR12" s="1">
        <f t="shared" ca="1" si="31"/>
        <v>10</v>
      </c>
      <c r="AS12" s="1">
        <f t="shared" ca="1" si="32"/>
        <v>50</v>
      </c>
      <c r="AU12" s="1">
        <f t="shared" ca="1" si="33"/>
        <v>228</v>
      </c>
      <c r="AV12" s="1">
        <f t="shared" ca="1" si="34"/>
        <v>7</v>
      </c>
      <c r="AW12" s="1">
        <f t="shared" ca="1" si="35"/>
        <v>6.6761099944165736E-2</v>
      </c>
      <c r="AY12" s="1">
        <f t="shared" ca="1" si="36"/>
        <v>1.2630002150709683</v>
      </c>
      <c r="AZ12" s="1">
        <f t="shared" ca="1" si="37"/>
        <v>238</v>
      </c>
      <c r="BA12" s="1">
        <f t="shared" ca="1" si="38"/>
        <v>9.5904272748525751E-3</v>
      </c>
      <c r="BV12" s="1">
        <f t="shared" ca="1" si="39"/>
        <v>3.1812951649302153E-2</v>
      </c>
      <c r="BW12" s="1">
        <f t="shared" ca="1" si="40"/>
        <v>873</v>
      </c>
      <c r="BX12" s="1">
        <f t="shared" ca="1" si="41"/>
        <v>7.839604596694646E-4</v>
      </c>
      <c r="BY12" s="1">
        <f t="shared" ca="1" si="42"/>
        <v>6.821140080655784E-2</v>
      </c>
      <c r="BZ12" s="1">
        <f t="shared" ca="1" si="43"/>
        <v>0.97784025314127909</v>
      </c>
      <c r="CB12" s="1">
        <f t="shared" ca="1" si="44"/>
        <v>52</v>
      </c>
      <c r="CC12" s="1">
        <f t="shared" ca="1" si="45"/>
        <v>4</v>
      </c>
      <c r="CD12" s="1">
        <f t="shared" ca="1" si="46"/>
        <v>0.18605463497633087</v>
      </c>
      <c r="CE12" s="1">
        <f t="shared" ca="1" si="47"/>
        <v>0.85490203317842273</v>
      </c>
      <c r="CF12" s="1">
        <f t="shared" ca="1" si="47"/>
        <v>0.79825378797964985</v>
      </c>
      <c r="CH12" s="3">
        <f t="shared" ca="1" si="48"/>
        <v>0.15779345433653102</v>
      </c>
      <c r="CI12" s="3">
        <f t="shared" ca="1" si="49"/>
        <v>0.82501945663521592</v>
      </c>
      <c r="CJ12" s="3">
        <f t="shared" ca="1" si="50"/>
        <v>735</v>
      </c>
      <c r="CK12" s="3">
        <f t="shared" ca="1" si="51"/>
        <v>9.1465731523266806E-3</v>
      </c>
      <c r="CL12" s="3">
        <f t="shared" ca="1" si="52"/>
        <v>1</v>
      </c>
      <c r="CM12" s="3"/>
      <c r="CN12" s="1">
        <f t="shared" ca="1" si="53"/>
        <v>19.3798214006659</v>
      </c>
      <c r="CO12" s="1">
        <f t="shared" ca="1" si="54"/>
        <v>5.3976274606954651E-2</v>
      </c>
      <c r="CP12" s="1">
        <f t="shared" ca="1" si="55"/>
        <v>4</v>
      </c>
    </row>
    <row r="13" spans="2:110" x14ac:dyDescent="0.25">
      <c r="B13">
        <f t="shared" ca="1" si="0"/>
        <v>279</v>
      </c>
      <c r="C13">
        <f t="shared" ca="1" si="1"/>
        <v>31</v>
      </c>
      <c r="D13">
        <f t="shared" ca="1" si="2"/>
        <v>5.9226956296364625E-2</v>
      </c>
      <c r="F13" s="1">
        <f t="shared" ca="1" si="3"/>
        <v>31</v>
      </c>
      <c r="G13" s="1">
        <f t="shared" ca="1" si="4"/>
        <v>23</v>
      </c>
      <c r="H13" s="1">
        <f t="shared" ca="1" si="5"/>
        <v>8</v>
      </c>
      <c r="I13" s="1"/>
      <c r="J13" s="1">
        <f t="shared" ca="1" si="6"/>
        <v>1</v>
      </c>
      <c r="K13" s="1">
        <f t="shared" ca="1" si="7"/>
        <v>1.9295592389678182</v>
      </c>
      <c r="L13" s="1">
        <f t="shared" ca="1" si="8"/>
        <v>23</v>
      </c>
      <c r="M13" s="1"/>
      <c r="N13" s="1">
        <f t="shared" ca="1" si="9"/>
        <v>702</v>
      </c>
      <c r="O13" s="1">
        <f t="shared" ca="1" si="10"/>
        <v>22</v>
      </c>
      <c r="P13" s="1"/>
      <c r="Q13" s="1">
        <f t="shared" ca="1" si="11"/>
        <v>0.94877247063915882</v>
      </c>
      <c r="R13" s="1">
        <f t="shared" ca="1" si="12"/>
        <v>1197</v>
      </c>
      <c r="S13" s="1"/>
      <c r="T13" s="1">
        <f t="shared" ca="1" si="13"/>
        <v>1.7626037653018459E-2</v>
      </c>
      <c r="U13" s="1">
        <f t="shared" ca="1" si="14"/>
        <v>434</v>
      </c>
      <c r="V13" s="1">
        <f t="shared" ca="1" si="15"/>
        <v>41</v>
      </c>
      <c r="W13" s="1"/>
      <c r="X13" s="1">
        <f t="shared" ca="1" si="16"/>
        <v>0.20025105358632123</v>
      </c>
      <c r="Y13" s="1">
        <f t="shared" ca="1" si="17"/>
        <v>0.62921932689868965</v>
      </c>
      <c r="Z13" s="1">
        <f t="shared" ca="1" si="18"/>
        <v>689</v>
      </c>
      <c r="AB13" s="1">
        <f t="shared" ca="1" si="19"/>
        <v>0.52548672215038372</v>
      </c>
      <c r="AC13" s="1">
        <f t="shared" ca="1" si="20"/>
        <v>360</v>
      </c>
      <c r="AD13" s="1">
        <f t="shared" ca="1" si="21"/>
        <v>3.5130392969329603E-3</v>
      </c>
      <c r="AE13" s="1"/>
      <c r="AF13" s="1">
        <f t="shared" ca="1" si="22"/>
        <v>0.37260038911670168</v>
      </c>
      <c r="AG13" s="1">
        <f t="shared" ca="1" si="23"/>
        <v>734</v>
      </c>
      <c r="AH13" s="1">
        <f t="shared" ca="1" si="24"/>
        <v>3.4245686866299974E-3</v>
      </c>
      <c r="AJ13" s="1">
        <f t="shared" ca="1" si="25"/>
        <v>4.4061880975539536E-2</v>
      </c>
      <c r="AK13" s="1">
        <f t="shared" ca="1" si="26"/>
        <v>9.4639529013087996E-3</v>
      </c>
      <c r="AL13" s="1"/>
      <c r="AM13" s="1">
        <f t="shared" ca="1" si="27"/>
        <v>9.0078376335197718E-2</v>
      </c>
      <c r="AN13" s="1">
        <f t="shared" ca="1" si="28"/>
        <v>46</v>
      </c>
      <c r="AO13" s="1">
        <f t="shared" ca="1" si="29"/>
        <v>2</v>
      </c>
      <c r="AQ13" s="1">
        <f t="shared" ca="1" si="30"/>
        <v>191</v>
      </c>
      <c r="AR13" s="1">
        <f t="shared" ca="1" si="31"/>
        <v>1</v>
      </c>
      <c r="AS13" s="1">
        <f t="shared" ca="1" si="32"/>
        <v>16</v>
      </c>
      <c r="AU13" s="1">
        <f t="shared" ca="1" si="33"/>
        <v>260</v>
      </c>
      <c r="AV13" s="1">
        <f t="shared" ca="1" si="34"/>
        <v>6</v>
      </c>
      <c r="AW13" s="1">
        <f t="shared" ca="1" si="35"/>
        <v>0.19331309532091898</v>
      </c>
      <c r="AY13" s="1">
        <f t="shared" ca="1" si="36"/>
        <v>1.5735520906003801</v>
      </c>
      <c r="AZ13" s="1">
        <f t="shared" ca="1" si="37"/>
        <v>420</v>
      </c>
      <c r="BA13" s="1">
        <f t="shared" ca="1" si="38"/>
        <v>8.017460193074798E-3</v>
      </c>
      <c r="BV13" s="1">
        <f t="shared" ca="1" si="39"/>
        <v>0.78763775036101868</v>
      </c>
      <c r="BW13" s="1">
        <f t="shared" ca="1" si="40"/>
        <v>987</v>
      </c>
      <c r="BX13" s="1">
        <f t="shared" ca="1" si="41"/>
        <v>4.0780620635269956E-3</v>
      </c>
      <c r="BY13" s="1">
        <f t="shared" ca="1" si="42"/>
        <v>1.7637721642529355E-2</v>
      </c>
      <c r="BZ13" s="1">
        <f t="shared" ca="1" si="43"/>
        <v>0.76544344290230737</v>
      </c>
      <c r="CB13" s="1">
        <f t="shared" ca="1" si="44"/>
        <v>110</v>
      </c>
      <c r="CC13" s="1">
        <f t="shared" ca="1" si="45"/>
        <v>14</v>
      </c>
      <c r="CD13" s="1">
        <f t="shared" ca="1" si="46"/>
        <v>0.17053476504982251</v>
      </c>
      <c r="CE13" s="1">
        <f t="shared" ca="1" si="47"/>
        <v>0.63269725878860128</v>
      </c>
      <c r="CF13" s="1">
        <f t="shared" ca="1" si="47"/>
        <v>0.64893310987607933</v>
      </c>
      <c r="CH13" s="3">
        <f t="shared" ca="1" si="48"/>
        <v>0.64699308770624542</v>
      </c>
      <c r="CI13" s="3">
        <f t="shared" ca="1" si="49"/>
        <v>0.11457372898857461</v>
      </c>
      <c r="CJ13" s="3">
        <f t="shared" ca="1" si="50"/>
        <v>695</v>
      </c>
      <c r="CK13" s="3">
        <f t="shared" ca="1" si="51"/>
        <v>4.4183795938120265E-3</v>
      </c>
      <c r="CL13" s="3">
        <f t="shared" ca="1" si="52"/>
        <v>0</v>
      </c>
      <c r="CM13" s="3"/>
      <c r="CN13" s="1">
        <f t="shared" ca="1" si="53"/>
        <v>3.088466891343332</v>
      </c>
      <c r="CO13" s="1">
        <f t="shared" ca="1" si="54"/>
        <v>0.25673019694829646</v>
      </c>
      <c r="CP13" s="1">
        <f t="shared" ca="1" si="55"/>
        <v>3</v>
      </c>
    </row>
    <row r="14" spans="2:110" x14ac:dyDescent="0.25">
      <c r="B14">
        <f t="shared" ca="1" si="0"/>
        <v>965</v>
      </c>
      <c r="C14">
        <f t="shared" ca="1" si="1"/>
        <v>52</v>
      </c>
      <c r="D14">
        <f t="shared" ca="1" si="2"/>
        <v>0.11905921837391269</v>
      </c>
      <c r="F14" s="1">
        <f t="shared" ca="1" si="3"/>
        <v>42</v>
      </c>
      <c r="G14" s="1">
        <f t="shared" ca="1" si="4"/>
        <v>17</v>
      </c>
      <c r="H14" s="1">
        <f t="shared" ca="1" si="5"/>
        <v>10</v>
      </c>
      <c r="I14" s="1"/>
      <c r="J14" s="1">
        <f t="shared" ca="1" si="6"/>
        <v>39</v>
      </c>
      <c r="K14" s="1">
        <f t="shared" ca="1" si="7"/>
        <v>1.2052546657897065</v>
      </c>
      <c r="L14" s="1">
        <f t="shared" ca="1" si="8"/>
        <v>8</v>
      </c>
      <c r="M14" s="1"/>
      <c r="N14" s="1">
        <f t="shared" ca="1" si="9"/>
        <v>674</v>
      </c>
      <c r="O14" s="1">
        <f t="shared" ca="1" si="10"/>
        <v>19</v>
      </c>
      <c r="P14" s="1"/>
      <c r="Q14" s="1">
        <f t="shared" ca="1" si="11"/>
        <v>0.37136527540016129</v>
      </c>
      <c r="R14" s="1">
        <f t="shared" ca="1" si="12"/>
        <v>690</v>
      </c>
      <c r="S14" s="1"/>
      <c r="T14" s="1">
        <f t="shared" ca="1" si="13"/>
        <v>8.6789611118790605E-2</v>
      </c>
      <c r="U14" s="1">
        <f t="shared" ca="1" si="14"/>
        <v>400</v>
      </c>
      <c r="V14" s="1">
        <f t="shared" ca="1" si="15"/>
        <v>12</v>
      </c>
      <c r="W14" s="1"/>
      <c r="X14" s="1">
        <f t="shared" ca="1" si="16"/>
        <v>7.2558043806131609</v>
      </c>
      <c r="Y14" s="1">
        <f t="shared" ca="1" si="17"/>
        <v>0.17810254505764578</v>
      </c>
      <c r="Z14" s="1">
        <f t="shared" ca="1" si="18"/>
        <v>438</v>
      </c>
      <c r="AB14" s="1">
        <f t="shared" ca="1" si="19"/>
        <v>0.66648616310309083</v>
      </c>
      <c r="AC14" s="1">
        <f t="shared" ca="1" si="20"/>
        <v>426</v>
      </c>
      <c r="AD14" s="1">
        <f t="shared" ca="1" si="21"/>
        <v>5.6657193093892291E-3</v>
      </c>
      <c r="AE14" s="1"/>
      <c r="AF14" s="1">
        <f t="shared" ca="1" si="22"/>
        <v>0.24173874373941856</v>
      </c>
      <c r="AG14" s="1">
        <f t="shared" ca="1" si="23"/>
        <v>866</v>
      </c>
      <c r="AH14" s="1">
        <f t="shared" ca="1" si="24"/>
        <v>7.2874275286864015E-4</v>
      </c>
      <c r="AJ14" s="1">
        <f t="shared" ca="1" si="25"/>
        <v>0.18460454956042072</v>
      </c>
      <c r="AK14" s="1">
        <f t="shared" ca="1" si="26"/>
        <v>8.1524041322985335E-3</v>
      </c>
      <c r="AL14" s="1"/>
      <c r="AM14" s="1">
        <f t="shared" ca="1" si="27"/>
        <v>9.9705094040434497E-2</v>
      </c>
      <c r="AN14" s="1">
        <f t="shared" ca="1" si="28"/>
        <v>79</v>
      </c>
      <c r="AO14" s="1">
        <f t="shared" ca="1" si="29"/>
        <v>15</v>
      </c>
      <c r="AQ14" s="1">
        <f t="shared" ca="1" si="30"/>
        <v>130</v>
      </c>
      <c r="AR14" s="1">
        <f t="shared" ca="1" si="31"/>
        <v>8</v>
      </c>
      <c r="AS14" s="1">
        <f t="shared" ca="1" si="32"/>
        <v>33</v>
      </c>
      <c r="AU14" s="1">
        <f t="shared" ca="1" si="33"/>
        <v>132</v>
      </c>
      <c r="AV14" s="1">
        <f t="shared" ca="1" si="34"/>
        <v>10</v>
      </c>
      <c r="AW14" s="1">
        <f t="shared" ca="1" si="35"/>
        <v>0.18528008785140709</v>
      </c>
      <c r="AY14" s="1">
        <f t="shared" ca="1" si="36"/>
        <v>1.7841903216908026</v>
      </c>
      <c r="AZ14" s="1">
        <f t="shared" ca="1" si="37"/>
        <v>129</v>
      </c>
      <c r="BA14" s="1">
        <f t="shared" ca="1" si="38"/>
        <v>9.2477518799372743E-3</v>
      </c>
      <c r="BV14" s="1">
        <f t="shared" ca="1" si="39"/>
        <v>0.266236707915466</v>
      </c>
      <c r="BW14" s="1">
        <f t="shared" ca="1" si="40"/>
        <v>566</v>
      </c>
      <c r="BX14" s="1">
        <f t="shared" ca="1" si="41"/>
        <v>5.2703742702815129E-3</v>
      </c>
      <c r="BY14" s="1">
        <f t="shared" ca="1" si="42"/>
        <v>9.6042297581119054E-2</v>
      </c>
      <c r="BZ14" s="1">
        <f t="shared" ca="1" si="43"/>
        <v>0.60983698393503916</v>
      </c>
      <c r="CB14" s="1">
        <f t="shared" ca="1" si="44"/>
        <v>352</v>
      </c>
      <c r="CC14" s="1">
        <f t="shared" ca="1" si="45"/>
        <v>3</v>
      </c>
      <c r="CD14" s="1">
        <f t="shared" ca="1" si="46"/>
        <v>0.17496261712405636</v>
      </c>
      <c r="CE14" s="1">
        <f t="shared" ca="1" si="47"/>
        <v>0.98894585946822189</v>
      </c>
      <c r="CF14" s="1">
        <f t="shared" ca="1" si="47"/>
        <v>0.80782880835196824</v>
      </c>
      <c r="CH14" s="3">
        <f t="shared" ca="1" si="48"/>
        <v>0.43965811111227882</v>
      </c>
      <c r="CI14" s="3">
        <f t="shared" ca="1" si="49"/>
        <v>0.89559446943250109</v>
      </c>
      <c r="CJ14" s="3">
        <f t="shared" ca="1" si="50"/>
        <v>1828</v>
      </c>
      <c r="CK14" s="3">
        <f t="shared" ca="1" si="51"/>
        <v>1.8827681809841629E-3</v>
      </c>
      <c r="CL14" s="3">
        <f t="shared" ca="1" si="52"/>
        <v>1</v>
      </c>
      <c r="CM14" s="3"/>
      <c r="CN14" s="1">
        <f t="shared" ca="1" si="53"/>
        <v>4.9582344522980559</v>
      </c>
      <c r="CO14" s="1">
        <f t="shared" ca="1" si="54"/>
        <v>0.31996043735324514</v>
      </c>
      <c r="CP14" s="1">
        <f t="shared" ca="1" si="55"/>
        <v>1</v>
      </c>
    </row>
    <row r="15" spans="2:110" x14ac:dyDescent="0.25">
      <c r="B15">
        <f t="shared" ca="1" si="0"/>
        <v>404</v>
      </c>
      <c r="C15">
        <f t="shared" ca="1" si="1"/>
        <v>26</v>
      </c>
      <c r="D15">
        <f t="shared" ca="1" si="2"/>
        <v>8.472079468453568E-2</v>
      </c>
      <c r="F15" s="1">
        <f t="shared" ca="1" si="3"/>
        <v>15</v>
      </c>
      <c r="G15" s="1">
        <f t="shared" ca="1" si="4"/>
        <v>10</v>
      </c>
      <c r="H15" s="1">
        <f t="shared" ca="1" si="5"/>
        <v>10</v>
      </c>
      <c r="I15" s="1"/>
      <c r="J15" s="1">
        <f t="shared" ca="1" si="6"/>
        <v>34</v>
      </c>
      <c r="K15" s="1">
        <f t="shared" ca="1" si="7"/>
        <v>2.5507748132413628</v>
      </c>
      <c r="L15" s="1">
        <f t="shared" ca="1" si="8"/>
        <v>24</v>
      </c>
      <c r="M15" s="1"/>
      <c r="N15" s="1">
        <f t="shared" ca="1" si="9"/>
        <v>452</v>
      </c>
      <c r="O15" s="1">
        <f t="shared" ca="1" si="10"/>
        <v>16</v>
      </c>
      <c r="P15" s="1"/>
      <c r="Q15" s="1">
        <f t="shared" ca="1" si="11"/>
        <v>4.7628483694380668</v>
      </c>
      <c r="R15" s="1">
        <f t="shared" ca="1" si="12"/>
        <v>590</v>
      </c>
      <c r="S15" s="1"/>
      <c r="T15" s="1">
        <f t="shared" ca="1" si="13"/>
        <v>0.12432088090910279</v>
      </c>
      <c r="U15" s="1">
        <f t="shared" ca="1" si="14"/>
        <v>80</v>
      </c>
      <c r="V15" s="1">
        <f t="shared" ca="1" si="15"/>
        <v>37</v>
      </c>
      <c r="W15" s="1"/>
      <c r="X15" s="1">
        <f t="shared" ca="1" si="16"/>
        <v>3.3040773663752936</v>
      </c>
      <c r="Y15" s="1">
        <f t="shared" ca="1" si="17"/>
        <v>0.91985664002109391</v>
      </c>
      <c r="Z15" s="1">
        <f t="shared" ca="1" si="18"/>
        <v>1801</v>
      </c>
      <c r="AB15" s="1">
        <f t="shared" ca="1" si="19"/>
        <v>0.7865552122416718</v>
      </c>
      <c r="AC15" s="1">
        <f t="shared" ca="1" si="20"/>
        <v>868</v>
      </c>
      <c r="AD15" s="1">
        <f t="shared" ca="1" si="21"/>
        <v>3.7593738082746467E-3</v>
      </c>
      <c r="AE15" s="1"/>
      <c r="AF15" s="1">
        <f t="shared" ca="1" si="22"/>
        <v>0.59351496011345473</v>
      </c>
      <c r="AG15" s="1">
        <f t="shared" ca="1" si="23"/>
        <v>519</v>
      </c>
      <c r="AH15" s="1">
        <f t="shared" ca="1" si="24"/>
        <v>6.3091581559008587E-3</v>
      </c>
      <c r="AJ15" s="1">
        <f t="shared" ca="1" si="25"/>
        <v>0.63260762037244112</v>
      </c>
      <c r="AK15" s="1">
        <f t="shared" ca="1" si="26"/>
        <v>2.0458860892152222E-3</v>
      </c>
      <c r="AL15" s="1"/>
      <c r="AM15" s="1">
        <f t="shared" ca="1" si="27"/>
        <v>0.18944603913209768</v>
      </c>
      <c r="AN15" s="1">
        <f t="shared" ca="1" si="28"/>
        <v>48</v>
      </c>
      <c r="AO15" s="1">
        <f t="shared" ca="1" si="29"/>
        <v>18</v>
      </c>
      <c r="AQ15" s="1">
        <f t="shared" ca="1" si="30"/>
        <v>100</v>
      </c>
      <c r="AR15" s="1">
        <f t="shared" ca="1" si="31"/>
        <v>0</v>
      </c>
      <c r="AS15" s="1">
        <f t="shared" ca="1" si="32"/>
        <v>46</v>
      </c>
      <c r="AU15" s="1">
        <f t="shared" ca="1" si="33"/>
        <v>77</v>
      </c>
      <c r="AV15" s="1">
        <f t="shared" ca="1" si="34"/>
        <v>8</v>
      </c>
      <c r="AW15" s="1">
        <f t="shared" ca="1" si="35"/>
        <v>9.6745748353466984E-2</v>
      </c>
      <c r="AY15" s="1">
        <f t="shared" ca="1" si="36"/>
        <v>1.464090779524031</v>
      </c>
      <c r="AZ15" s="1">
        <f t="shared" ca="1" si="37"/>
        <v>208</v>
      </c>
      <c r="BA15" s="1">
        <f t="shared" ca="1" si="38"/>
        <v>9.0160008262686452E-3</v>
      </c>
      <c r="BV15" s="1">
        <f t="shared" ca="1" si="39"/>
        <v>0.84796501401156554</v>
      </c>
      <c r="BW15" s="1">
        <f t="shared" ca="1" si="40"/>
        <v>616</v>
      </c>
      <c r="BX15" s="1">
        <f t="shared" ca="1" si="41"/>
        <v>2.4622243315576488E-3</v>
      </c>
      <c r="BY15" s="1">
        <f t="shared" ca="1" si="42"/>
        <v>1.4420855635339246E-2</v>
      </c>
      <c r="BZ15" s="1">
        <f t="shared" ca="1" si="43"/>
        <v>0.67506273633523128</v>
      </c>
      <c r="CB15" s="1">
        <f t="shared" ca="1" si="44"/>
        <v>111</v>
      </c>
      <c r="CC15" s="1">
        <f t="shared" ca="1" si="45"/>
        <v>14</v>
      </c>
      <c r="CD15" s="1">
        <f t="shared" ca="1" si="46"/>
        <v>0.1006902414393086</v>
      </c>
      <c r="CE15" s="1">
        <f t="shared" ca="1" si="47"/>
        <v>0.65397697002169319</v>
      </c>
      <c r="CF15" s="1">
        <f t="shared" ca="1" si="47"/>
        <v>0.78777369519763862</v>
      </c>
      <c r="CH15" s="3">
        <f t="shared" ca="1" si="48"/>
        <v>0.92539209483390228</v>
      </c>
      <c r="CI15" s="3">
        <f t="shared" ca="1" si="49"/>
        <v>0.97909876318315647</v>
      </c>
      <c r="CJ15" s="3">
        <f t="shared" ca="1" si="50"/>
        <v>1569</v>
      </c>
      <c r="CK15" s="3">
        <f t="shared" ca="1" si="51"/>
        <v>4.0960475299991594E-3</v>
      </c>
      <c r="CL15" s="3">
        <f t="shared" ca="1" si="52"/>
        <v>1</v>
      </c>
      <c r="CM15" s="3"/>
      <c r="CN15" s="1">
        <f t="shared" ca="1" si="53"/>
        <v>6.4700934989857295</v>
      </c>
      <c r="CO15" s="1">
        <f t="shared" ca="1" si="54"/>
        <v>2.9407132367530568E-2</v>
      </c>
      <c r="CP15" s="1">
        <f t="shared" ca="1" si="55"/>
        <v>4</v>
      </c>
    </row>
    <row r="16" spans="2:110" x14ac:dyDescent="0.25">
      <c r="B16">
        <f t="shared" ca="1" si="0"/>
        <v>888</v>
      </c>
      <c r="C16">
        <f t="shared" ca="1" si="1"/>
        <v>8</v>
      </c>
      <c r="D16">
        <f t="shared" ca="1" si="2"/>
        <v>0.24160105381685487</v>
      </c>
      <c r="F16" s="1">
        <f t="shared" ca="1" si="3"/>
        <v>33</v>
      </c>
      <c r="G16" s="1">
        <f t="shared" ca="1" si="4"/>
        <v>29</v>
      </c>
      <c r="H16" s="1">
        <f t="shared" ca="1" si="5"/>
        <v>15</v>
      </c>
      <c r="I16" s="1"/>
      <c r="J16" s="1">
        <f t="shared" ca="1" si="6"/>
        <v>27</v>
      </c>
      <c r="K16" s="1">
        <f t="shared" ca="1" si="7"/>
        <v>1.7585015618701259</v>
      </c>
      <c r="L16" s="1">
        <f t="shared" ca="1" si="8"/>
        <v>6</v>
      </c>
      <c r="M16" s="1"/>
      <c r="N16" s="1">
        <f t="shared" ca="1" si="9"/>
        <v>47</v>
      </c>
      <c r="O16" s="1">
        <f t="shared" ca="1" si="10"/>
        <v>4</v>
      </c>
      <c r="P16" s="1"/>
      <c r="Q16" s="1">
        <f t="shared" ca="1" si="11"/>
        <v>1.3369742273551595</v>
      </c>
      <c r="R16" s="1">
        <f t="shared" ca="1" si="12"/>
        <v>654</v>
      </c>
      <c r="S16" s="1"/>
      <c r="T16" s="1">
        <f t="shared" ca="1" si="13"/>
        <v>6.9179459702334134E-2</v>
      </c>
      <c r="U16" s="1">
        <f t="shared" ca="1" si="14"/>
        <v>408</v>
      </c>
      <c r="V16" s="1">
        <f t="shared" ca="1" si="15"/>
        <v>12</v>
      </c>
      <c r="W16" s="1"/>
      <c r="X16" s="1">
        <f t="shared" ca="1" si="16"/>
        <v>1.988340387308664</v>
      </c>
      <c r="Y16" s="1">
        <f t="shared" ca="1" si="17"/>
        <v>5.1577576679093191E-2</v>
      </c>
      <c r="Z16" s="1">
        <f t="shared" ca="1" si="18"/>
        <v>1777</v>
      </c>
      <c r="AB16" s="1">
        <f t="shared" ca="1" si="19"/>
        <v>0.16326171147064469</v>
      </c>
      <c r="AC16" s="1">
        <f t="shared" ca="1" si="20"/>
        <v>456</v>
      </c>
      <c r="AD16" s="1">
        <f t="shared" ca="1" si="21"/>
        <v>3.1787617243113058E-3</v>
      </c>
      <c r="AE16" s="1"/>
      <c r="AF16" s="1">
        <f t="shared" ca="1" si="22"/>
        <v>0.1859086300965509</v>
      </c>
      <c r="AG16" s="1">
        <f t="shared" ca="1" si="23"/>
        <v>482</v>
      </c>
      <c r="AH16" s="1">
        <f t="shared" ca="1" si="24"/>
        <v>7.8438578199888486E-3</v>
      </c>
      <c r="AJ16" s="1">
        <f t="shared" ca="1" si="25"/>
        <v>0.6093311115022324</v>
      </c>
      <c r="AK16" s="1">
        <f t="shared" ca="1" si="26"/>
        <v>7.0100523897181606E-3</v>
      </c>
      <c r="AL16" s="1"/>
      <c r="AM16" s="1">
        <f t="shared" ca="1" si="27"/>
        <v>0.16521136439747841</v>
      </c>
      <c r="AN16" s="1">
        <f t="shared" ca="1" si="28"/>
        <v>78</v>
      </c>
      <c r="AO16" s="1">
        <f t="shared" ca="1" si="29"/>
        <v>18</v>
      </c>
      <c r="AQ16" s="1">
        <f t="shared" ca="1" si="30"/>
        <v>147</v>
      </c>
      <c r="AR16" s="1">
        <f t="shared" ca="1" si="31"/>
        <v>4</v>
      </c>
      <c r="AS16" s="1">
        <f t="shared" ca="1" si="32"/>
        <v>80</v>
      </c>
      <c r="AU16" s="1">
        <f t="shared" ca="1" si="33"/>
        <v>88</v>
      </c>
      <c r="AV16" s="1">
        <f t="shared" ca="1" si="34"/>
        <v>3</v>
      </c>
      <c r="AW16" s="1">
        <f t="shared" ca="1" si="35"/>
        <v>0.19500165284839518</v>
      </c>
      <c r="AY16" s="1">
        <f t="shared" ca="1" si="36"/>
        <v>1.8402554893798762</v>
      </c>
      <c r="AZ16" s="1">
        <f t="shared" ca="1" si="37"/>
        <v>316</v>
      </c>
      <c r="BA16" s="1">
        <f t="shared" ca="1" si="38"/>
        <v>6.8389881263883454E-4</v>
      </c>
      <c r="BV16" s="1">
        <f t="shared" ca="1" si="39"/>
        <v>0.90717880717501653</v>
      </c>
      <c r="BW16" s="1">
        <f t="shared" ca="1" si="40"/>
        <v>816</v>
      </c>
      <c r="BX16" s="1">
        <f t="shared" ca="1" si="41"/>
        <v>3.0658377644603085E-3</v>
      </c>
      <c r="BY16" s="1">
        <f t="shared" ca="1" si="42"/>
        <v>1.971231184063605E-2</v>
      </c>
      <c r="BZ16" s="1">
        <f t="shared" ca="1" si="43"/>
        <v>0.8145303664999779</v>
      </c>
      <c r="CB16" s="1">
        <f t="shared" ca="1" si="44"/>
        <v>435</v>
      </c>
      <c r="CC16" s="1">
        <f t="shared" ca="1" si="45"/>
        <v>9</v>
      </c>
      <c r="CD16" s="1">
        <f t="shared" ca="1" si="46"/>
        <v>2.4130256496179649E-2</v>
      </c>
      <c r="CE16" s="1">
        <f t="shared" ca="1" si="47"/>
        <v>0.7692391989954751</v>
      </c>
      <c r="CF16" s="1">
        <f t="shared" ca="1" si="47"/>
        <v>0.83187021384571436</v>
      </c>
      <c r="CH16" s="3">
        <f t="shared" ca="1" si="48"/>
        <v>0.95887400744659157</v>
      </c>
      <c r="CI16" s="3">
        <f t="shared" ca="1" si="49"/>
        <v>0.55503412831706667</v>
      </c>
      <c r="CJ16" s="3">
        <f t="shared" ca="1" si="50"/>
        <v>183</v>
      </c>
      <c r="CK16" s="3">
        <f t="shared" ca="1" si="51"/>
        <v>7.8257991348343759E-3</v>
      </c>
      <c r="CL16" s="3">
        <f t="shared" ca="1" si="52"/>
        <v>1</v>
      </c>
      <c r="CM16" s="3"/>
      <c r="CN16" s="1">
        <f t="shared" ca="1" si="53"/>
        <v>13.828573933253038</v>
      </c>
      <c r="CO16" s="1">
        <f t="shared" ca="1" si="54"/>
        <v>0.37125173108380177</v>
      </c>
      <c r="CP16" s="1">
        <f t="shared" ca="1" si="55"/>
        <v>3</v>
      </c>
    </row>
    <row r="17" spans="2:94" x14ac:dyDescent="0.25">
      <c r="B17">
        <f t="shared" ca="1" si="0"/>
        <v>67</v>
      </c>
      <c r="C17">
        <f t="shared" ca="1" si="1"/>
        <v>29</v>
      </c>
      <c r="D17">
        <f t="shared" ca="1" si="2"/>
        <v>0.16826956616454211</v>
      </c>
      <c r="F17" s="1">
        <f t="shared" ca="1" si="3"/>
        <v>33</v>
      </c>
      <c r="G17" s="1">
        <f t="shared" ca="1" si="4"/>
        <v>20</v>
      </c>
      <c r="H17" s="1">
        <f t="shared" ca="1" si="5"/>
        <v>2</v>
      </c>
      <c r="I17" s="1"/>
      <c r="J17" s="1">
        <f t="shared" ca="1" si="6"/>
        <v>27</v>
      </c>
      <c r="K17" s="1">
        <f t="shared" ca="1" si="7"/>
        <v>1.9119622943785377</v>
      </c>
      <c r="L17" s="1">
        <f t="shared" ca="1" si="8"/>
        <v>10</v>
      </c>
      <c r="M17" s="1"/>
      <c r="N17" s="1">
        <f t="shared" ca="1" si="9"/>
        <v>990</v>
      </c>
      <c r="O17" s="1">
        <f t="shared" ca="1" si="10"/>
        <v>28</v>
      </c>
      <c r="P17" s="1"/>
      <c r="Q17" s="1">
        <f t="shared" ca="1" si="11"/>
        <v>1.9772532051092155</v>
      </c>
      <c r="R17" s="1">
        <f t="shared" ca="1" si="12"/>
        <v>535</v>
      </c>
      <c r="S17" s="1"/>
      <c r="T17" s="1">
        <f t="shared" ca="1" si="13"/>
        <v>2.3790925017640796E-2</v>
      </c>
      <c r="U17" s="1">
        <f t="shared" ca="1" si="14"/>
        <v>344</v>
      </c>
      <c r="V17" s="1">
        <f t="shared" ca="1" si="15"/>
        <v>32</v>
      </c>
      <c r="W17" s="1"/>
      <c r="X17" s="1">
        <f t="shared" ca="1" si="16"/>
        <v>0.82774055490012499</v>
      </c>
      <c r="Y17" s="1">
        <f t="shared" ca="1" si="17"/>
        <v>0.46122901456094106</v>
      </c>
      <c r="Z17" s="1">
        <f t="shared" ca="1" si="18"/>
        <v>632</v>
      </c>
      <c r="AB17" s="1">
        <f t="shared" ca="1" si="19"/>
        <v>0.15109496637878936</v>
      </c>
      <c r="AC17" s="1">
        <f t="shared" ca="1" si="20"/>
        <v>278</v>
      </c>
      <c r="AD17" s="1">
        <f t="shared" ca="1" si="21"/>
        <v>9.5813513828037558E-3</v>
      </c>
      <c r="AE17" s="1"/>
      <c r="AF17" s="1">
        <f t="shared" ca="1" si="22"/>
        <v>0.78547758491511244</v>
      </c>
      <c r="AG17" s="1">
        <f t="shared" ca="1" si="23"/>
        <v>732</v>
      </c>
      <c r="AH17" s="1">
        <f t="shared" ca="1" si="24"/>
        <v>1.3140439385075147E-3</v>
      </c>
      <c r="AJ17" s="1">
        <f t="shared" ca="1" si="25"/>
        <v>8.6604579420556993E-2</v>
      </c>
      <c r="AK17" s="1">
        <f t="shared" ca="1" si="26"/>
        <v>7.4833577806233753E-3</v>
      </c>
      <c r="AL17" s="1"/>
      <c r="AM17" s="1">
        <f t="shared" ca="1" si="27"/>
        <v>7.5073767059877144E-2</v>
      </c>
      <c r="AN17" s="1">
        <f t="shared" ca="1" si="28"/>
        <v>79</v>
      </c>
      <c r="AO17" s="1">
        <f t="shared" ca="1" si="29"/>
        <v>18</v>
      </c>
      <c r="AQ17" s="1">
        <f t="shared" ca="1" si="30"/>
        <v>119</v>
      </c>
      <c r="AR17" s="1">
        <f t="shared" ca="1" si="31"/>
        <v>3</v>
      </c>
      <c r="AS17" s="1">
        <f t="shared" ca="1" si="32"/>
        <v>81</v>
      </c>
      <c r="AU17" s="1">
        <f t="shared" ca="1" si="33"/>
        <v>96</v>
      </c>
      <c r="AV17" s="1">
        <f t="shared" ca="1" si="34"/>
        <v>8</v>
      </c>
      <c r="AW17" s="1">
        <f t="shared" ca="1" si="35"/>
        <v>0.1074601602578905</v>
      </c>
      <c r="AY17" s="1">
        <f t="shared" ca="1" si="36"/>
        <v>1.9212675338239136</v>
      </c>
      <c r="AZ17" s="1">
        <f t="shared" ca="1" si="37"/>
        <v>428</v>
      </c>
      <c r="BA17" s="1">
        <f t="shared" ca="1" si="38"/>
        <v>9.1787387030480873E-3</v>
      </c>
      <c r="BV17" s="1">
        <f t="shared" ca="1" si="39"/>
        <v>0.41902515864756845</v>
      </c>
      <c r="BW17" s="1">
        <f t="shared" ca="1" si="40"/>
        <v>468</v>
      </c>
      <c r="BX17" s="1">
        <f t="shared" ca="1" si="41"/>
        <v>3.9100436995366224E-3</v>
      </c>
      <c r="BY17" s="1">
        <f t="shared" ca="1" si="42"/>
        <v>8.5814684089754442E-2</v>
      </c>
      <c r="BZ17" s="1">
        <f t="shared" ca="1" si="43"/>
        <v>0.73217439609145418</v>
      </c>
      <c r="CB17" s="1">
        <f t="shared" ca="1" si="44"/>
        <v>348</v>
      </c>
      <c r="CC17" s="1">
        <f t="shared" ca="1" si="45"/>
        <v>4</v>
      </c>
      <c r="CD17" s="1">
        <f t="shared" ca="1" si="46"/>
        <v>0.28629317459446313</v>
      </c>
      <c r="CE17" s="1">
        <f t="shared" ca="1" si="47"/>
        <v>0.66873140361243832</v>
      </c>
      <c r="CF17" s="1">
        <f t="shared" ca="1" si="47"/>
        <v>0.77892598063381979</v>
      </c>
      <c r="CH17" s="3">
        <f t="shared" ca="1" si="48"/>
        <v>0.30723215517219005</v>
      </c>
      <c r="CI17" s="3">
        <f t="shared" ca="1" si="49"/>
        <v>0.27923608813901357</v>
      </c>
      <c r="CJ17" s="3">
        <f t="shared" ca="1" si="50"/>
        <v>383</v>
      </c>
      <c r="CK17" s="3">
        <f t="shared" ca="1" si="51"/>
        <v>9.9190297141907892E-3</v>
      </c>
      <c r="CL17" s="3">
        <f t="shared" ca="1" si="52"/>
        <v>0</v>
      </c>
      <c r="CM17" s="3"/>
      <c r="CN17" s="1">
        <f t="shared" ca="1" si="53"/>
        <v>4.0176705207014614</v>
      </c>
      <c r="CO17" s="1">
        <f t="shared" ca="1" si="54"/>
        <v>7.1243514264536317E-2</v>
      </c>
      <c r="CP17" s="1">
        <f t="shared" ca="1" si="55"/>
        <v>2</v>
      </c>
    </row>
    <row r="18" spans="2:94" x14ac:dyDescent="0.25">
      <c r="B18">
        <f t="shared" ca="1" si="0"/>
        <v>789</v>
      </c>
      <c r="C18">
        <f t="shared" ca="1" si="1"/>
        <v>44</v>
      </c>
      <c r="D18">
        <f t="shared" ca="1" si="2"/>
        <v>0.13343702905004351</v>
      </c>
      <c r="F18" s="1">
        <f t="shared" ca="1" si="3"/>
        <v>36</v>
      </c>
      <c r="G18" s="1">
        <f t="shared" ca="1" si="4"/>
        <v>2</v>
      </c>
      <c r="H18" s="1">
        <f t="shared" ca="1" si="5"/>
        <v>3</v>
      </c>
      <c r="I18" s="1"/>
      <c r="J18" s="1">
        <f t="shared" ca="1" si="6"/>
        <v>10</v>
      </c>
      <c r="K18" s="1">
        <f t="shared" ca="1" si="7"/>
        <v>1.4592126820134381</v>
      </c>
      <c r="L18" s="1">
        <f t="shared" ca="1" si="8"/>
        <v>12</v>
      </c>
      <c r="M18" s="1"/>
      <c r="N18" s="1">
        <f t="shared" ca="1" si="9"/>
        <v>190</v>
      </c>
      <c r="O18" s="1">
        <f t="shared" ca="1" si="10"/>
        <v>50</v>
      </c>
      <c r="P18" s="1"/>
      <c r="Q18" s="1">
        <f t="shared" ca="1" si="11"/>
        <v>2.0157532161897569</v>
      </c>
      <c r="R18" s="1">
        <f t="shared" ca="1" si="12"/>
        <v>734</v>
      </c>
      <c r="S18" s="1"/>
      <c r="T18" s="1">
        <f t="shared" ca="1" si="13"/>
        <v>5.1877811907585544E-2</v>
      </c>
      <c r="U18" s="1">
        <f t="shared" ca="1" si="14"/>
        <v>327</v>
      </c>
      <c r="V18" s="1">
        <f t="shared" ca="1" si="15"/>
        <v>52</v>
      </c>
      <c r="W18" s="1"/>
      <c r="X18" s="1">
        <f t="shared" ca="1" si="16"/>
        <v>6.2806236995806879</v>
      </c>
      <c r="Y18" s="1">
        <f t="shared" ca="1" si="17"/>
        <v>0.29611404696349919</v>
      </c>
      <c r="Z18" s="1">
        <f t="shared" ca="1" si="18"/>
        <v>593</v>
      </c>
      <c r="AB18" s="1">
        <f t="shared" ca="1" si="19"/>
        <v>0.31525041474151105</v>
      </c>
      <c r="AC18" s="1">
        <f t="shared" ca="1" si="20"/>
        <v>734</v>
      </c>
      <c r="AD18" s="1">
        <f t="shared" ca="1" si="21"/>
        <v>9.7385533958582867E-4</v>
      </c>
      <c r="AE18" s="1"/>
      <c r="AF18" s="1">
        <f t="shared" ca="1" si="22"/>
        <v>0.31920092177964482</v>
      </c>
      <c r="AG18" s="1">
        <f t="shared" ca="1" si="23"/>
        <v>831</v>
      </c>
      <c r="AH18" s="1">
        <f t="shared" ca="1" si="24"/>
        <v>6.714685871642867E-3</v>
      </c>
      <c r="AJ18" s="1">
        <f t="shared" ca="1" si="25"/>
        <v>0.82184344311549351</v>
      </c>
      <c r="AK18" s="1">
        <f t="shared" ca="1" si="26"/>
        <v>6.1094808249509804E-3</v>
      </c>
      <c r="AL18" s="1"/>
      <c r="AM18" s="1">
        <f t="shared" ca="1" si="27"/>
        <v>5.935997976665823E-2</v>
      </c>
      <c r="AN18" s="1">
        <f t="shared" ca="1" si="28"/>
        <v>66</v>
      </c>
      <c r="AO18" s="1">
        <f t="shared" ca="1" si="29"/>
        <v>13</v>
      </c>
      <c r="AQ18" s="1">
        <f t="shared" ca="1" si="30"/>
        <v>70</v>
      </c>
      <c r="AR18" s="1">
        <f t="shared" ca="1" si="31"/>
        <v>6</v>
      </c>
      <c r="AS18" s="1">
        <f t="shared" ca="1" si="32"/>
        <v>49</v>
      </c>
      <c r="AU18" s="1">
        <f t="shared" ca="1" si="33"/>
        <v>240</v>
      </c>
      <c r="AV18" s="1">
        <f t="shared" ca="1" si="34"/>
        <v>5</v>
      </c>
      <c r="AW18" s="1">
        <f t="shared" ca="1" si="35"/>
        <v>8.844711361071407E-2</v>
      </c>
      <c r="AY18" s="1">
        <f t="shared" ca="1" si="36"/>
        <v>1.3927272057115603</v>
      </c>
      <c r="AZ18" s="1">
        <f t="shared" ca="1" si="37"/>
        <v>221</v>
      </c>
      <c r="BA18" s="1">
        <f t="shared" ca="1" si="38"/>
        <v>3.8789283607533476E-3</v>
      </c>
      <c r="BV18" s="1">
        <f t="shared" ca="1" si="39"/>
        <v>0.59879093555009832</v>
      </c>
      <c r="BW18" s="1">
        <f t="shared" ca="1" si="40"/>
        <v>372</v>
      </c>
      <c r="BX18" s="1">
        <f t="shared" ca="1" si="41"/>
        <v>4.4959717677080825E-3</v>
      </c>
      <c r="BY18" s="1">
        <f t="shared" ca="1" si="42"/>
        <v>1.1788188722467566E-2</v>
      </c>
      <c r="BZ18" s="1">
        <f t="shared" ca="1" si="43"/>
        <v>0.95804323983877293</v>
      </c>
      <c r="CB18" s="1">
        <f t="shared" ca="1" si="44"/>
        <v>294</v>
      </c>
      <c r="CC18" s="1">
        <f t="shared" ca="1" si="45"/>
        <v>9</v>
      </c>
      <c r="CD18" s="1">
        <f t="shared" ca="1" si="46"/>
        <v>5.4297284016161108E-2</v>
      </c>
      <c r="CE18" s="1">
        <f t="shared" ca="1" si="47"/>
        <v>0.98432403672443924</v>
      </c>
      <c r="CF18" s="1">
        <f t="shared" ca="1" si="47"/>
        <v>0.98083227708825937</v>
      </c>
      <c r="CH18" s="3">
        <f t="shared" ca="1" si="48"/>
        <v>0.51708996257810014</v>
      </c>
      <c r="CI18" s="3">
        <f t="shared" ca="1" si="49"/>
        <v>0.43435108180753995</v>
      </c>
      <c r="CJ18" s="3">
        <f t="shared" ca="1" si="50"/>
        <v>652</v>
      </c>
      <c r="CK18" s="3">
        <f t="shared" ca="1" si="51"/>
        <v>4.0100369730709465E-3</v>
      </c>
      <c r="CL18" s="3">
        <f t="shared" ca="1" si="52"/>
        <v>0</v>
      </c>
      <c r="CM18" s="3"/>
      <c r="CN18" s="1">
        <f t="shared" ca="1" si="53"/>
        <v>8.4467956102196347</v>
      </c>
      <c r="CO18" s="1">
        <f t="shared" ca="1" si="54"/>
        <v>0.23678114239598375</v>
      </c>
      <c r="CP18" s="1">
        <f t="shared" ca="1" si="55"/>
        <v>3</v>
      </c>
    </row>
    <row r="19" spans="2:94" x14ac:dyDescent="0.25">
      <c r="B19">
        <f t="shared" ca="1" si="0"/>
        <v>154</v>
      </c>
      <c r="C19">
        <f t="shared" ca="1" si="1"/>
        <v>14</v>
      </c>
      <c r="D19">
        <f t="shared" ca="1" si="2"/>
        <v>8.1824283932725436E-2</v>
      </c>
      <c r="F19" s="1">
        <f t="shared" ca="1" si="3"/>
        <v>51</v>
      </c>
      <c r="G19" s="1">
        <f t="shared" ca="1" si="4"/>
        <v>11</v>
      </c>
      <c r="H19" s="1">
        <f t="shared" ca="1" si="5"/>
        <v>4</v>
      </c>
      <c r="I19" s="1"/>
      <c r="J19" s="1">
        <f t="shared" ca="1" si="6"/>
        <v>29</v>
      </c>
      <c r="K19" s="1">
        <f t="shared" ca="1" si="7"/>
        <v>1.3570926763265616</v>
      </c>
      <c r="L19" s="1">
        <f t="shared" ca="1" si="8"/>
        <v>3</v>
      </c>
      <c r="M19" s="1"/>
      <c r="N19" s="1">
        <f t="shared" ca="1" si="9"/>
        <v>634</v>
      </c>
      <c r="O19" s="1">
        <f t="shared" ca="1" si="10"/>
        <v>43</v>
      </c>
      <c r="P19" s="1"/>
      <c r="Q19" s="1">
        <f t="shared" ca="1" si="11"/>
        <v>1.3066893718395445</v>
      </c>
      <c r="R19" s="1">
        <f t="shared" ca="1" si="12"/>
        <v>679</v>
      </c>
      <c r="S19" s="1"/>
      <c r="T19" s="1">
        <f t="shared" ca="1" si="13"/>
        <v>0.14545562393413866</v>
      </c>
      <c r="U19" s="1">
        <f t="shared" ca="1" si="14"/>
        <v>119</v>
      </c>
      <c r="V19" s="1">
        <f t="shared" ca="1" si="15"/>
        <v>23</v>
      </c>
      <c r="W19" s="1"/>
      <c r="X19" s="1">
        <f t="shared" ca="1" si="16"/>
        <v>9.4179774077884577</v>
      </c>
      <c r="Y19" s="1">
        <f t="shared" ca="1" si="17"/>
        <v>0.44454819999047923</v>
      </c>
      <c r="Z19" s="1">
        <f t="shared" ca="1" si="18"/>
        <v>1900</v>
      </c>
      <c r="AB19" s="1">
        <f t="shared" ca="1" si="19"/>
        <v>0.57604863645375626</v>
      </c>
      <c r="AC19" s="1">
        <f t="shared" ca="1" si="20"/>
        <v>663</v>
      </c>
      <c r="AD19" s="1">
        <f t="shared" ca="1" si="21"/>
        <v>8.5842282433853216E-3</v>
      </c>
      <c r="AE19" s="1"/>
      <c r="AF19" s="1">
        <f t="shared" ca="1" si="22"/>
        <v>0.237705301957336</v>
      </c>
      <c r="AG19" s="1">
        <f t="shared" ca="1" si="23"/>
        <v>554</v>
      </c>
      <c r="AH19" s="1">
        <f t="shared" ca="1" si="24"/>
        <v>7.0343725970463556E-3</v>
      </c>
      <c r="AJ19" s="1">
        <f t="shared" ca="1" si="25"/>
        <v>0.27997390607053674</v>
      </c>
      <c r="AK19" s="1">
        <f t="shared" ca="1" si="26"/>
        <v>4.2757460575834459E-4</v>
      </c>
      <c r="AL19" s="1"/>
      <c r="AM19" s="1">
        <f t="shared" ca="1" si="27"/>
        <v>7.6666974519768033E-2</v>
      </c>
      <c r="AN19" s="1">
        <f t="shared" ca="1" si="28"/>
        <v>74</v>
      </c>
      <c r="AO19" s="1">
        <f t="shared" ca="1" si="29"/>
        <v>3</v>
      </c>
      <c r="AQ19" s="1">
        <f t="shared" ca="1" si="30"/>
        <v>82</v>
      </c>
      <c r="AR19" s="1">
        <f t="shared" ca="1" si="31"/>
        <v>9</v>
      </c>
      <c r="AS19" s="1">
        <f t="shared" ca="1" si="32"/>
        <v>53</v>
      </c>
      <c r="AU19" s="1">
        <f t="shared" ca="1" si="33"/>
        <v>80</v>
      </c>
      <c r="AV19" s="1">
        <f t="shared" ca="1" si="34"/>
        <v>5</v>
      </c>
      <c r="AW19" s="1">
        <f t="shared" ca="1" si="35"/>
        <v>0.11965010212472441</v>
      </c>
      <c r="AY19" s="1">
        <f t="shared" ca="1" si="36"/>
        <v>1.9976358075551577</v>
      </c>
      <c r="AZ19" s="1">
        <f t="shared" ca="1" si="37"/>
        <v>114</v>
      </c>
      <c r="BA19" s="1">
        <f t="shared" ca="1" si="38"/>
        <v>2.9110456462902025E-3</v>
      </c>
      <c r="BV19" s="1">
        <f t="shared" ca="1" si="39"/>
        <v>0.98271377665092075</v>
      </c>
      <c r="BW19" s="1">
        <f t="shared" ca="1" si="40"/>
        <v>538</v>
      </c>
      <c r="BX19" s="1">
        <f t="shared" ca="1" si="41"/>
        <v>7.8947629304182698E-3</v>
      </c>
      <c r="BY19" s="1">
        <f t="shared" ca="1" si="42"/>
        <v>9.4711550128589121E-3</v>
      </c>
      <c r="BZ19" s="1">
        <f t="shared" ca="1" si="43"/>
        <v>0.461677103559339</v>
      </c>
      <c r="CB19" s="1">
        <f t="shared" ca="1" si="44"/>
        <v>112</v>
      </c>
      <c r="CC19" s="1">
        <f t="shared" ca="1" si="45"/>
        <v>3</v>
      </c>
      <c r="CD19" s="1">
        <f t="shared" ca="1" si="46"/>
        <v>3.4476546889807468E-2</v>
      </c>
      <c r="CE19" s="1">
        <f t="shared" ca="1" si="47"/>
        <v>0.72668577468369977</v>
      </c>
      <c r="CF19" s="1">
        <f t="shared" ca="1" si="47"/>
        <v>0.75959339403170667</v>
      </c>
      <c r="CH19" s="3">
        <f t="shared" ca="1" si="48"/>
        <v>0.92390349307264175</v>
      </c>
      <c r="CI19" s="3">
        <f t="shared" ca="1" si="49"/>
        <v>0.10300388568287068</v>
      </c>
      <c r="CJ19" s="3">
        <f t="shared" ca="1" si="50"/>
        <v>166</v>
      </c>
      <c r="CK19" s="3">
        <f t="shared" ca="1" si="51"/>
        <v>8.7622298059705228E-3</v>
      </c>
      <c r="CL19" s="3">
        <f t="shared" ca="1" si="52"/>
        <v>1</v>
      </c>
      <c r="CM19" s="3"/>
      <c r="CN19" s="1">
        <f t="shared" ca="1" si="53"/>
        <v>10.662857686517233</v>
      </c>
      <c r="CO19" s="1">
        <f t="shared" ca="1" si="54"/>
        <v>0.38288596024772431</v>
      </c>
      <c r="CP19" s="1">
        <f t="shared" ca="1" si="55"/>
        <v>5</v>
      </c>
    </row>
    <row r="20" spans="2:94" x14ac:dyDescent="0.25">
      <c r="B20">
        <f t="shared" ca="1" si="0"/>
        <v>858</v>
      </c>
      <c r="C20">
        <f t="shared" ca="1" si="1"/>
        <v>50</v>
      </c>
      <c r="D20">
        <f t="shared" ca="1" si="2"/>
        <v>0.24270613976084116</v>
      </c>
      <c r="F20" s="1">
        <f t="shared" ca="1" si="3"/>
        <v>50</v>
      </c>
      <c r="G20" s="1">
        <f t="shared" ca="1" si="4"/>
        <v>25</v>
      </c>
      <c r="H20" s="1">
        <f t="shared" ca="1" si="5"/>
        <v>12</v>
      </c>
      <c r="I20" s="1"/>
      <c r="J20" s="1">
        <f t="shared" ca="1" si="6"/>
        <v>15</v>
      </c>
      <c r="K20" s="1">
        <f t="shared" ca="1" si="7"/>
        <v>2.8991326508986806</v>
      </c>
      <c r="L20" s="1">
        <f t="shared" ca="1" si="8"/>
        <v>18</v>
      </c>
      <c r="M20" s="1"/>
      <c r="N20" s="1">
        <f t="shared" ca="1" si="9"/>
        <v>369</v>
      </c>
      <c r="O20" s="1">
        <f t="shared" ca="1" si="10"/>
        <v>28</v>
      </c>
      <c r="P20" s="1"/>
      <c r="Q20" s="1">
        <f t="shared" ca="1" si="11"/>
        <v>0.48579793129626869</v>
      </c>
      <c r="R20" s="1">
        <f t="shared" ca="1" si="12"/>
        <v>348</v>
      </c>
      <c r="S20" s="1"/>
      <c r="T20" s="1">
        <f t="shared" ca="1" si="13"/>
        <v>0.16993740808344462</v>
      </c>
      <c r="U20" s="1">
        <f t="shared" ca="1" si="14"/>
        <v>105</v>
      </c>
      <c r="V20" s="1">
        <f t="shared" ca="1" si="15"/>
        <v>38</v>
      </c>
      <c r="W20" s="1"/>
      <c r="X20" s="1">
        <f t="shared" ca="1" si="16"/>
        <v>6.4342798223199207</v>
      </c>
      <c r="Y20" s="1">
        <f t="shared" ca="1" si="17"/>
        <v>0.24049389719162409</v>
      </c>
      <c r="Z20" s="1">
        <f t="shared" ca="1" si="18"/>
        <v>884</v>
      </c>
      <c r="AB20" s="1">
        <f t="shared" ca="1" si="19"/>
        <v>0.54211253351332556</v>
      </c>
      <c r="AC20" s="1">
        <f t="shared" ca="1" si="20"/>
        <v>198</v>
      </c>
      <c r="AD20" s="1">
        <f t="shared" ca="1" si="21"/>
        <v>5.7927020195963734E-3</v>
      </c>
      <c r="AE20" s="1"/>
      <c r="AF20" s="1">
        <f t="shared" ca="1" si="22"/>
        <v>0.41812137267556904</v>
      </c>
      <c r="AG20" s="1">
        <f t="shared" ca="1" si="23"/>
        <v>584</v>
      </c>
      <c r="AH20" s="1">
        <f t="shared" ca="1" si="24"/>
        <v>5.6027974376058809E-3</v>
      </c>
      <c r="AJ20" s="1">
        <f t="shared" ca="1" si="25"/>
        <v>0.51264749912863783</v>
      </c>
      <c r="AK20" s="1">
        <f t="shared" ca="1" si="26"/>
        <v>5.0422604998193446E-3</v>
      </c>
      <c r="AL20" s="1"/>
      <c r="AM20" s="1">
        <f t="shared" ca="1" si="27"/>
        <v>9.4287898756164723E-2</v>
      </c>
      <c r="AN20" s="1">
        <f t="shared" ca="1" si="28"/>
        <v>25</v>
      </c>
      <c r="AO20" s="1">
        <f t="shared" ca="1" si="29"/>
        <v>2</v>
      </c>
      <c r="AQ20" s="1">
        <f t="shared" ca="1" si="30"/>
        <v>108</v>
      </c>
      <c r="AR20" s="1">
        <f t="shared" ca="1" si="31"/>
        <v>2</v>
      </c>
      <c r="AS20" s="1">
        <f t="shared" ca="1" si="32"/>
        <v>19</v>
      </c>
      <c r="AU20" s="1">
        <f t="shared" ca="1" si="33"/>
        <v>355</v>
      </c>
      <c r="AV20" s="1">
        <f t="shared" ca="1" si="34"/>
        <v>5</v>
      </c>
      <c r="AW20" s="1">
        <f t="shared" ca="1" si="35"/>
        <v>0.1581617882286257</v>
      </c>
      <c r="AY20" s="1">
        <f t="shared" ca="1" si="36"/>
        <v>1.8554773843710106</v>
      </c>
      <c r="AZ20" s="1">
        <f t="shared" ca="1" si="37"/>
        <v>408</v>
      </c>
      <c r="BA20" s="1">
        <f t="shared" ca="1" si="38"/>
        <v>1.4247830691504386E-3</v>
      </c>
      <c r="BV20" s="1">
        <f t="shared" ca="1" si="39"/>
        <v>0.37124174079402256</v>
      </c>
      <c r="BW20" s="1">
        <f t="shared" ca="1" si="40"/>
        <v>216</v>
      </c>
      <c r="BX20" s="1">
        <f t="shared" ca="1" si="41"/>
        <v>2.9394909965780513E-3</v>
      </c>
      <c r="BY20" s="1">
        <f t="shared" ca="1" si="42"/>
        <v>2.3145912400294676E-3</v>
      </c>
      <c r="BZ20" s="1">
        <f t="shared" ca="1" si="43"/>
        <v>0.12118131075476413</v>
      </c>
      <c r="CB20" s="1">
        <f t="shared" ca="1" si="44"/>
        <v>384</v>
      </c>
      <c r="CC20" s="1">
        <f t="shared" ca="1" si="45"/>
        <v>6</v>
      </c>
      <c r="CD20" s="1">
        <f t="shared" ca="1" si="46"/>
        <v>4.667354181121524E-2</v>
      </c>
      <c r="CE20" s="1">
        <f t="shared" ca="1" si="47"/>
        <v>0.67966572132315051</v>
      </c>
      <c r="CF20" s="1">
        <f t="shared" ca="1" si="47"/>
        <v>0.60049036303371461</v>
      </c>
      <c r="CH20" s="3">
        <f t="shared" ca="1" si="48"/>
        <v>0.24829717823869754</v>
      </c>
      <c r="CI20" s="3">
        <f t="shared" ca="1" si="49"/>
        <v>0.70235594554021163</v>
      </c>
      <c r="CJ20" s="3">
        <f t="shared" ca="1" si="50"/>
        <v>1749</v>
      </c>
      <c r="CK20" s="3">
        <f t="shared" ca="1" si="51"/>
        <v>3.6064872520909803E-3</v>
      </c>
      <c r="CL20" s="3">
        <f t="shared" ca="1" si="52"/>
        <v>0</v>
      </c>
      <c r="CM20" s="3"/>
      <c r="CN20" s="1">
        <f t="shared" ca="1" si="53"/>
        <v>12.951116552721317</v>
      </c>
      <c r="CO20" s="1">
        <f t="shared" ca="1" si="54"/>
        <v>0.19007577473343049</v>
      </c>
      <c r="CP20" s="1">
        <f t="shared" ca="1" si="55"/>
        <v>4</v>
      </c>
    </row>
    <row r="21" spans="2:94" x14ac:dyDescent="0.25">
      <c r="B21">
        <f t="shared" ca="1" si="0"/>
        <v>918</v>
      </c>
      <c r="C21">
        <f t="shared" ca="1" si="1"/>
        <v>21</v>
      </c>
      <c r="D21">
        <f t="shared" ca="1" si="2"/>
        <v>0.24424121224520073</v>
      </c>
      <c r="F21" s="1">
        <f t="shared" ca="1" si="3"/>
        <v>41</v>
      </c>
      <c r="G21" s="1">
        <f t="shared" ca="1" si="4"/>
        <v>18</v>
      </c>
      <c r="H21" s="1">
        <f t="shared" ca="1" si="5"/>
        <v>8</v>
      </c>
      <c r="I21" s="1"/>
      <c r="J21" s="1">
        <f t="shared" ca="1" si="6"/>
        <v>6</v>
      </c>
      <c r="K21" s="1">
        <f t="shared" ca="1" si="7"/>
        <v>1.3835111702575118</v>
      </c>
      <c r="L21" s="1">
        <f t="shared" ca="1" si="8"/>
        <v>23</v>
      </c>
      <c r="M21" s="1"/>
      <c r="N21" s="1">
        <f t="shared" ca="1" si="9"/>
        <v>780</v>
      </c>
      <c r="O21" s="1">
        <f t="shared" ca="1" si="10"/>
        <v>26</v>
      </c>
      <c r="P21" s="1"/>
      <c r="Q21" s="1">
        <f t="shared" ca="1" si="11"/>
        <v>2.4156542556140779</v>
      </c>
      <c r="R21" s="1">
        <f t="shared" ca="1" si="12"/>
        <v>655</v>
      </c>
      <c r="S21" s="1"/>
      <c r="T21" s="1">
        <f t="shared" ca="1" si="13"/>
        <v>0.15791740623413286</v>
      </c>
      <c r="U21" s="1">
        <f t="shared" ca="1" si="14"/>
        <v>367</v>
      </c>
      <c r="V21" s="1">
        <f t="shared" ca="1" si="15"/>
        <v>28</v>
      </c>
      <c r="W21" s="1"/>
      <c r="X21" s="1">
        <f t="shared" ca="1" si="16"/>
        <v>1.6181768663154252</v>
      </c>
      <c r="Y21" s="1">
        <f t="shared" ca="1" si="17"/>
        <v>0.38949218945921471</v>
      </c>
      <c r="Z21" s="1">
        <f t="shared" ca="1" si="18"/>
        <v>1078</v>
      </c>
      <c r="AB21" s="1">
        <f t="shared" ca="1" si="19"/>
        <v>0.96323579322576391</v>
      </c>
      <c r="AC21" s="1">
        <f t="shared" ca="1" si="20"/>
        <v>779</v>
      </c>
      <c r="AD21" s="1">
        <f t="shared" ca="1" si="21"/>
        <v>2.0388015913710656E-3</v>
      </c>
      <c r="AE21" s="1"/>
      <c r="AF21" s="1">
        <f t="shared" ca="1" si="22"/>
        <v>0.72202048034824906</v>
      </c>
      <c r="AG21" s="1">
        <f t="shared" ca="1" si="23"/>
        <v>226</v>
      </c>
      <c r="AH21" s="1">
        <f t="shared" ca="1" si="24"/>
        <v>2.5002791408783998E-5</v>
      </c>
      <c r="AJ21" s="1">
        <f t="shared" ca="1" si="25"/>
        <v>2.7796253465784071E-2</v>
      </c>
      <c r="AK21" s="1">
        <f t="shared" ca="1" si="26"/>
        <v>3.0058404184842803E-3</v>
      </c>
      <c r="AL21" s="1"/>
      <c r="AM21" s="1">
        <f t="shared" ca="1" si="27"/>
        <v>2.018659645009694E-2</v>
      </c>
      <c r="AN21" s="1">
        <f t="shared" ca="1" si="28"/>
        <v>35</v>
      </c>
      <c r="AO21" s="1">
        <f t="shared" ca="1" si="29"/>
        <v>16</v>
      </c>
      <c r="AQ21" s="1">
        <f t="shared" ca="1" si="30"/>
        <v>191</v>
      </c>
      <c r="AR21" s="1">
        <f t="shared" ca="1" si="31"/>
        <v>9</v>
      </c>
      <c r="AS21" s="1">
        <f t="shared" ca="1" si="32"/>
        <v>61</v>
      </c>
      <c r="AU21" s="1">
        <f t="shared" ca="1" si="33"/>
        <v>76</v>
      </c>
      <c r="AV21" s="1">
        <f t="shared" ca="1" si="34"/>
        <v>8</v>
      </c>
      <c r="AW21" s="1">
        <f t="shared" ca="1" si="35"/>
        <v>0.12677775687720183</v>
      </c>
      <c r="AY21" s="1">
        <f t="shared" ca="1" si="36"/>
        <v>1.7353740516039347</v>
      </c>
      <c r="AZ21" s="1">
        <f t="shared" ca="1" si="37"/>
        <v>228</v>
      </c>
      <c r="BA21" s="1">
        <f t="shared" ca="1" si="38"/>
        <v>3.5212534834596878E-4</v>
      </c>
      <c r="BV21" s="1">
        <f t="shared" ca="1" si="39"/>
        <v>0.34000035883117835</v>
      </c>
      <c r="BW21" s="1">
        <f t="shared" ca="1" si="40"/>
        <v>886</v>
      </c>
      <c r="BX21" s="1">
        <f t="shared" ca="1" si="41"/>
        <v>2.9509334229312367E-3</v>
      </c>
      <c r="BY21" s="1">
        <f t="shared" ca="1" si="42"/>
        <v>6.6525889909579597E-2</v>
      </c>
      <c r="BZ21" s="1">
        <f t="shared" ca="1" si="43"/>
        <v>0.58456551355028696</v>
      </c>
      <c r="CB21" s="1">
        <f t="shared" ca="1" si="44"/>
        <v>350</v>
      </c>
      <c r="CC21" s="1">
        <f t="shared" ca="1" si="45"/>
        <v>6</v>
      </c>
      <c r="CD21" s="1">
        <f t="shared" ca="1" si="46"/>
        <v>0.16656808588085531</v>
      </c>
      <c r="CE21" s="1">
        <f t="shared" ca="1" si="47"/>
        <v>0.57494375453839608</v>
      </c>
      <c r="CF21" s="1">
        <f t="shared" ca="1" si="47"/>
        <v>0.75528636626776213</v>
      </c>
      <c r="CH21" s="3">
        <f t="shared" ca="1" si="48"/>
        <v>0.9844253955554606</v>
      </c>
      <c r="CI21" s="3">
        <f t="shared" ca="1" si="49"/>
        <v>0.32183257398224541</v>
      </c>
      <c r="CJ21" s="3">
        <f t="shared" ca="1" si="50"/>
        <v>1878</v>
      </c>
      <c r="CK21" s="3">
        <f t="shared" ca="1" si="51"/>
        <v>4.8838916340837616E-3</v>
      </c>
      <c r="CL21" s="3">
        <f t="shared" ca="1" si="52"/>
        <v>0</v>
      </c>
      <c r="CM21" s="3"/>
      <c r="CN21" s="1">
        <f t="shared" ca="1" si="53"/>
        <v>6.2418933829236041</v>
      </c>
      <c r="CO21" s="1">
        <f t="shared" ca="1" si="54"/>
        <v>5.271161718533135E-2</v>
      </c>
      <c r="CP21" s="1">
        <f t="shared" ca="1" si="55"/>
        <v>1</v>
      </c>
    </row>
    <row r="22" spans="2:94" x14ac:dyDescent="0.25">
      <c r="B22">
        <f t="shared" ca="1" si="0"/>
        <v>132</v>
      </c>
      <c r="C22">
        <f t="shared" ca="1" si="1"/>
        <v>18</v>
      </c>
      <c r="D22">
        <f t="shared" ca="1" si="2"/>
        <v>0.13556897551852826</v>
      </c>
      <c r="F22" s="1">
        <f t="shared" ca="1" si="3"/>
        <v>4</v>
      </c>
      <c r="G22" s="1">
        <f t="shared" ca="1" si="4"/>
        <v>7</v>
      </c>
      <c r="H22" s="1">
        <f t="shared" ca="1" si="5"/>
        <v>14</v>
      </c>
      <c r="I22" s="1"/>
      <c r="J22" s="1">
        <f t="shared" ca="1" si="6"/>
        <v>20</v>
      </c>
      <c r="K22" s="1">
        <f t="shared" ca="1" si="7"/>
        <v>1.3080097362417897</v>
      </c>
      <c r="L22" s="1">
        <f t="shared" ca="1" si="8"/>
        <v>5</v>
      </c>
      <c r="M22" s="1"/>
      <c r="N22" s="1">
        <f t="shared" ca="1" si="9"/>
        <v>727</v>
      </c>
      <c r="O22" s="1">
        <f t="shared" ca="1" si="10"/>
        <v>7</v>
      </c>
      <c r="P22" s="1"/>
      <c r="Q22" s="1">
        <f t="shared" ca="1" si="11"/>
        <v>0.36102670959207922</v>
      </c>
      <c r="R22" s="1">
        <f t="shared" ca="1" si="12"/>
        <v>213</v>
      </c>
      <c r="S22" s="1"/>
      <c r="T22" s="1">
        <f t="shared" ca="1" si="13"/>
        <v>7.0737191127154403E-2</v>
      </c>
      <c r="U22" s="1">
        <f t="shared" ca="1" si="14"/>
        <v>317</v>
      </c>
      <c r="V22" s="1">
        <f t="shared" ca="1" si="15"/>
        <v>2</v>
      </c>
      <c r="W22" s="1"/>
      <c r="X22" s="1">
        <f t="shared" ca="1" si="16"/>
        <v>7.2326128791323185</v>
      </c>
      <c r="Y22" s="1">
        <f t="shared" ca="1" si="17"/>
        <v>0.58234083668820646</v>
      </c>
      <c r="Z22" s="1">
        <f t="shared" ca="1" si="18"/>
        <v>1270</v>
      </c>
      <c r="AB22" s="1">
        <f t="shared" ca="1" si="19"/>
        <v>0.71634551110337241</v>
      </c>
      <c r="AC22" s="1">
        <f t="shared" ca="1" si="20"/>
        <v>575</v>
      </c>
      <c r="AD22" s="1">
        <f t="shared" ca="1" si="21"/>
        <v>7.6457875087886868E-3</v>
      </c>
      <c r="AE22" s="1"/>
      <c r="AF22" s="1">
        <f t="shared" ca="1" si="22"/>
        <v>0.30067472168205472</v>
      </c>
      <c r="AG22" s="1">
        <f t="shared" ca="1" si="23"/>
        <v>958</v>
      </c>
      <c r="AH22" s="1">
        <f t="shared" ca="1" si="24"/>
        <v>8.1225571531319072E-3</v>
      </c>
      <c r="AJ22" s="1">
        <f t="shared" ca="1" si="25"/>
        <v>0.44068976699295703</v>
      </c>
      <c r="AK22" s="1">
        <f t="shared" ca="1" si="26"/>
        <v>6.3176983043159553E-3</v>
      </c>
      <c r="AL22" s="1"/>
      <c r="AM22" s="1">
        <f t="shared" ca="1" si="27"/>
        <v>3.2066131912748479E-2</v>
      </c>
      <c r="AN22" s="1">
        <f t="shared" ca="1" si="28"/>
        <v>70</v>
      </c>
      <c r="AO22" s="1">
        <f t="shared" ca="1" si="29"/>
        <v>16</v>
      </c>
      <c r="AQ22" s="1">
        <f t="shared" ca="1" si="30"/>
        <v>69</v>
      </c>
      <c r="AR22" s="1">
        <f t="shared" ca="1" si="31"/>
        <v>8</v>
      </c>
      <c r="AS22" s="1">
        <f t="shared" ca="1" si="32"/>
        <v>43</v>
      </c>
      <c r="AU22" s="1">
        <f t="shared" ca="1" si="33"/>
        <v>351</v>
      </c>
      <c r="AV22" s="1">
        <f t="shared" ca="1" si="34"/>
        <v>7</v>
      </c>
      <c r="AW22" s="1">
        <f t="shared" ca="1" si="35"/>
        <v>0.10319558194097127</v>
      </c>
      <c r="AY22" s="1">
        <f t="shared" ca="1" si="36"/>
        <v>1.2321669644064306</v>
      </c>
      <c r="AZ22" s="1">
        <f t="shared" ca="1" si="37"/>
        <v>213</v>
      </c>
      <c r="BA22" s="1">
        <f t="shared" ca="1" si="38"/>
        <v>5.3290719871325798E-4</v>
      </c>
      <c r="BV22" s="1">
        <f t="shared" ca="1" si="39"/>
        <v>0.24242068347614931</v>
      </c>
      <c r="BW22" s="1">
        <f t="shared" ca="1" si="40"/>
        <v>219</v>
      </c>
      <c r="BX22" s="1">
        <f t="shared" ca="1" si="41"/>
        <v>7.574152256173936E-3</v>
      </c>
      <c r="BY22" s="1">
        <f t="shared" ca="1" si="42"/>
        <v>8.9243979980702021E-2</v>
      </c>
      <c r="BZ22" s="1">
        <f t="shared" ca="1" si="43"/>
        <v>0.22955246065505197</v>
      </c>
      <c r="CB22" s="1">
        <f t="shared" ca="1" si="44"/>
        <v>345</v>
      </c>
      <c r="CC22" s="1">
        <f t="shared" ca="1" si="45"/>
        <v>5</v>
      </c>
      <c r="CD22" s="1">
        <f t="shared" ca="1" si="46"/>
        <v>7.5083499743680823E-2</v>
      </c>
      <c r="CE22" s="1">
        <f t="shared" ca="1" si="47"/>
        <v>0.93426376384987297</v>
      </c>
      <c r="CF22" s="1">
        <f t="shared" ca="1" si="47"/>
        <v>0.97242769578493626</v>
      </c>
      <c r="CH22" s="3">
        <f t="shared" ca="1" si="48"/>
        <v>0.4315648832520631</v>
      </c>
      <c r="CI22" s="3">
        <f t="shared" ca="1" si="49"/>
        <v>0.42153679618389378</v>
      </c>
      <c r="CJ22" s="3">
        <f t="shared" ca="1" si="50"/>
        <v>1599</v>
      </c>
      <c r="CK22" s="3">
        <f t="shared" ca="1" si="51"/>
        <v>9.8812352729477689E-3</v>
      </c>
      <c r="CL22" s="3">
        <f t="shared" ca="1" si="52"/>
        <v>1</v>
      </c>
      <c r="CM22" s="3"/>
      <c r="CN22" s="1">
        <f t="shared" ca="1" si="53"/>
        <v>7.8247138468334683</v>
      </c>
      <c r="CO22" s="1">
        <f t="shared" ca="1" si="54"/>
        <v>0.30063388663592727</v>
      </c>
      <c r="CP22" s="1">
        <f t="shared" ca="1" si="55"/>
        <v>5</v>
      </c>
    </row>
    <row r="23" spans="2:94" x14ac:dyDescent="0.25">
      <c r="B23">
        <f t="shared" ca="1" si="0"/>
        <v>243</v>
      </c>
      <c r="C23">
        <f t="shared" ca="1" si="1"/>
        <v>45</v>
      </c>
      <c r="D23">
        <f t="shared" ca="1" si="2"/>
        <v>0.25790339718453759</v>
      </c>
      <c r="F23" s="1">
        <f t="shared" ca="1" si="3"/>
        <v>47</v>
      </c>
      <c r="G23" s="1">
        <f t="shared" ca="1" si="4"/>
        <v>29</v>
      </c>
      <c r="H23" s="1">
        <f t="shared" ca="1" si="5"/>
        <v>4</v>
      </c>
      <c r="I23" s="1"/>
      <c r="J23" s="1">
        <f t="shared" ca="1" si="6"/>
        <v>16</v>
      </c>
      <c r="K23" s="1">
        <f t="shared" ca="1" si="7"/>
        <v>1.1765258469332307</v>
      </c>
      <c r="L23" s="1">
        <f t="shared" ca="1" si="8"/>
        <v>27</v>
      </c>
      <c r="M23" s="1"/>
      <c r="N23" s="1">
        <f t="shared" ca="1" si="9"/>
        <v>783</v>
      </c>
      <c r="O23" s="1">
        <f t="shared" ca="1" si="10"/>
        <v>10</v>
      </c>
      <c r="P23" s="1"/>
      <c r="Q23" s="1">
        <f t="shared" ca="1" si="11"/>
        <v>3.9195423919658716</v>
      </c>
      <c r="R23" s="1">
        <f t="shared" ca="1" si="12"/>
        <v>475</v>
      </c>
      <c r="S23" s="1"/>
      <c r="T23" s="1">
        <f t="shared" ca="1" si="13"/>
        <v>0.1411423033055911</v>
      </c>
      <c r="U23" s="1">
        <f t="shared" ca="1" si="14"/>
        <v>249</v>
      </c>
      <c r="V23" s="1">
        <f t="shared" ca="1" si="15"/>
        <v>23</v>
      </c>
      <c r="W23" s="1"/>
      <c r="X23" s="1">
        <f t="shared" ca="1" si="16"/>
        <v>6.5365777362926982</v>
      </c>
      <c r="Y23" s="1">
        <f t="shared" ca="1" si="17"/>
        <v>0.23286669581510053</v>
      </c>
      <c r="Z23" s="1">
        <f t="shared" ca="1" si="18"/>
        <v>160</v>
      </c>
      <c r="AB23" s="1">
        <f t="shared" ca="1" si="19"/>
        <v>0.47453005806394649</v>
      </c>
      <c r="AC23" s="1">
        <f t="shared" ca="1" si="20"/>
        <v>298</v>
      </c>
      <c r="AD23" s="1">
        <f t="shared" ca="1" si="21"/>
        <v>4.3517948526327352E-3</v>
      </c>
      <c r="AE23" s="1"/>
      <c r="AF23" s="1">
        <f t="shared" ca="1" si="22"/>
        <v>0.39597227338196161</v>
      </c>
      <c r="AG23" s="1">
        <f t="shared" ca="1" si="23"/>
        <v>913</v>
      </c>
      <c r="AH23" s="1">
        <f t="shared" ca="1" si="24"/>
        <v>7.3093009390831137E-3</v>
      </c>
      <c r="AJ23" s="1">
        <f t="shared" ca="1" si="25"/>
        <v>9.6208809420841312E-2</v>
      </c>
      <c r="AK23" s="1">
        <f t="shared" ca="1" si="26"/>
        <v>7.0114032753871769E-3</v>
      </c>
      <c r="AL23" s="1"/>
      <c r="AM23" s="1">
        <f t="shared" ca="1" si="27"/>
        <v>0.19985837180217136</v>
      </c>
      <c r="AN23" s="1">
        <f t="shared" ca="1" si="28"/>
        <v>49</v>
      </c>
      <c r="AO23" s="1">
        <f t="shared" ca="1" si="29"/>
        <v>0</v>
      </c>
      <c r="AQ23" s="1">
        <f t="shared" ca="1" si="30"/>
        <v>135</v>
      </c>
      <c r="AR23" s="1">
        <f t="shared" ca="1" si="31"/>
        <v>7</v>
      </c>
      <c r="AS23" s="1">
        <f t="shared" ca="1" si="32"/>
        <v>77</v>
      </c>
      <c r="AU23" s="1">
        <f t="shared" ca="1" si="33"/>
        <v>271</v>
      </c>
      <c r="AV23" s="1">
        <f t="shared" ca="1" si="34"/>
        <v>5</v>
      </c>
      <c r="AW23" s="1">
        <f t="shared" ca="1" si="35"/>
        <v>0.11532981706960568</v>
      </c>
      <c r="AY23" s="1">
        <f t="shared" ca="1" si="36"/>
        <v>1.9520866772234116</v>
      </c>
      <c r="AZ23" s="1">
        <f t="shared" ca="1" si="37"/>
        <v>153</v>
      </c>
      <c r="BA23" s="1">
        <f t="shared" ca="1" si="38"/>
        <v>3.0338220522240883E-4</v>
      </c>
      <c r="BV23" s="1">
        <f t="shared" ca="1" si="39"/>
        <v>0.19773335448549503</v>
      </c>
      <c r="BW23" s="1">
        <f t="shared" ca="1" si="40"/>
        <v>485</v>
      </c>
      <c r="BX23" s="1">
        <f t="shared" ca="1" si="41"/>
        <v>4.8273189530296792E-3</v>
      </c>
      <c r="BY23" s="1">
        <f t="shared" ca="1" si="42"/>
        <v>8.978345125107845E-2</v>
      </c>
      <c r="BZ23" s="1">
        <f t="shared" ca="1" si="43"/>
        <v>0.87352685089168258</v>
      </c>
      <c r="CB23" s="1">
        <f t="shared" ca="1" si="44"/>
        <v>282</v>
      </c>
      <c r="CC23" s="1">
        <f t="shared" ca="1" si="45"/>
        <v>9</v>
      </c>
      <c r="CD23" s="1">
        <f t="shared" ca="1" si="46"/>
        <v>0.28236734486891241</v>
      </c>
      <c r="CE23" s="1">
        <f t="shared" ca="1" si="47"/>
        <v>0.54980336118381989</v>
      </c>
      <c r="CF23" s="1">
        <f t="shared" ca="1" si="47"/>
        <v>0.9423803330897107</v>
      </c>
      <c r="CH23" s="3">
        <f t="shared" ca="1" si="48"/>
        <v>0.47181179272894197</v>
      </c>
      <c r="CI23" s="3">
        <f t="shared" ca="1" si="49"/>
        <v>0.22866056022978765</v>
      </c>
      <c r="CJ23" s="3">
        <f t="shared" ca="1" si="50"/>
        <v>1264</v>
      </c>
      <c r="CK23" s="3">
        <f t="shared" ca="1" si="51"/>
        <v>4.8804046075464425E-3</v>
      </c>
      <c r="CL23" s="3">
        <f t="shared" ca="1" si="52"/>
        <v>1</v>
      </c>
      <c r="CM23" s="3"/>
      <c r="CN23" s="1">
        <f t="shared" ca="1" si="53"/>
        <v>17.524962484883865</v>
      </c>
      <c r="CO23" s="1">
        <f t="shared" ca="1" si="54"/>
        <v>3.2508146924766258E-2</v>
      </c>
      <c r="CP23" s="1">
        <f t="shared" ca="1" si="55"/>
        <v>4</v>
      </c>
    </row>
    <row r="24" spans="2:94" x14ac:dyDescent="0.25">
      <c r="B24">
        <f t="shared" ca="1" si="0"/>
        <v>25</v>
      </c>
      <c r="C24">
        <f t="shared" ca="1" si="1"/>
        <v>45</v>
      </c>
      <c r="D24">
        <f t="shared" ca="1" si="2"/>
        <v>2.9811153366291511E-2</v>
      </c>
      <c r="F24" s="1">
        <f t="shared" ca="1" si="3"/>
        <v>47</v>
      </c>
      <c r="G24" s="1">
        <f t="shared" ca="1" si="4"/>
        <v>17</v>
      </c>
      <c r="H24" s="1">
        <f t="shared" ca="1" si="5"/>
        <v>6</v>
      </c>
      <c r="I24" s="1"/>
      <c r="J24" s="1">
        <f t="shared" ca="1" si="6"/>
        <v>25</v>
      </c>
      <c r="K24" s="1">
        <f t="shared" ca="1" si="7"/>
        <v>1.2116552090699628</v>
      </c>
      <c r="L24" s="1">
        <f t="shared" ca="1" si="8"/>
        <v>7</v>
      </c>
      <c r="M24" s="1"/>
      <c r="N24" s="1">
        <f t="shared" ca="1" si="9"/>
        <v>941</v>
      </c>
      <c r="O24" s="1">
        <f t="shared" ca="1" si="10"/>
        <v>13</v>
      </c>
      <c r="P24" s="1"/>
      <c r="Q24" s="1">
        <f t="shared" ca="1" si="11"/>
        <v>4.5020633851338587</v>
      </c>
      <c r="R24" s="1">
        <f t="shared" ca="1" si="12"/>
        <v>998</v>
      </c>
      <c r="S24" s="1"/>
      <c r="T24" s="1">
        <f t="shared" ca="1" si="13"/>
        <v>0.17806065283753039</v>
      </c>
      <c r="U24" s="1">
        <f t="shared" ca="1" si="14"/>
        <v>53</v>
      </c>
      <c r="V24" s="1">
        <f t="shared" ca="1" si="15"/>
        <v>21</v>
      </c>
      <c r="W24" s="1"/>
      <c r="X24" s="1">
        <f t="shared" ca="1" si="16"/>
        <v>2.6232850207546776</v>
      </c>
      <c r="Y24" s="1">
        <f t="shared" ca="1" si="17"/>
        <v>0.59275153872383013</v>
      </c>
      <c r="Z24" s="1">
        <f t="shared" ca="1" si="18"/>
        <v>1596</v>
      </c>
      <c r="AB24" s="1">
        <f t="shared" ca="1" si="19"/>
        <v>0.46255775122372444</v>
      </c>
      <c r="AC24" s="1">
        <f t="shared" ca="1" si="20"/>
        <v>168</v>
      </c>
      <c r="AD24" s="1">
        <f t="shared" ca="1" si="21"/>
        <v>2.0917962042085623E-3</v>
      </c>
      <c r="AE24" s="1"/>
      <c r="AF24" s="1">
        <f t="shared" ca="1" si="22"/>
        <v>0.40903317426328145</v>
      </c>
      <c r="AG24" s="1">
        <f t="shared" ca="1" si="23"/>
        <v>513</v>
      </c>
      <c r="AH24" s="1">
        <f t="shared" ca="1" si="24"/>
        <v>5.7566156607649736E-3</v>
      </c>
      <c r="AJ24" s="1">
        <f t="shared" ca="1" si="25"/>
        <v>0.48868943459827752</v>
      </c>
      <c r="AK24" s="1">
        <f t="shared" ca="1" si="26"/>
        <v>2.3809599247260789E-3</v>
      </c>
      <c r="AL24" s="1"/>
      <c r="AM24" s="1">
        <f t="shared" ca="1" si="27"/>
        <v>0.10286853582619103</v>
      </c>
      <c r="AN24" s="1">
        <f t="shared" ca="1" si="28"/>
        <v>55</v>
      </c>
      <c r="AO24" s="1">
        <f t="shared" ca="1" si="29"/>
        <v>14</v>
      </c>
      <c r="AQ24" s="1">
        <f t="shared" ca="1" si="30"/>
        <v>32</v>
      </c>
      <c r="AR24" s="1">
        <f t="shared" ca="1" si="31"/>
        <v>6</v>
      </c>
      <c r="AS24" s="1">
        <f t="shared" ca="1" si="32"/>
        <v>21</v>
      </c>
      <c r="AU24" s="1">
        <f t="shared" ca="1" si="33"/>
        <v>163</v>
      </c>
      <c r="AV24" s="1">
        <f t="shared" ca="1" si="34"/>
        <v>7</v>
      </c>
      <c r="AW24" s="1">
        <f t="shared" ca="1" si="35"/>
        <v>4.4048625155061617E-2</v>
      </c>
      <c r="AY24" s="1">
        <f t="shared" ca="1" si="36"/>
        <v>1.2016920025710029</v>
      </c>
      <c r="AZ24" s="1">
        <f t="shared" ca="1" si="37"/>
        <v>211</v>
      </c>
      <c r="BA24" s="1">
        <f t="shared" ca="1" si="38"/>
        <v>7.1803636249319997E-3</v>
      </c>
      <c r="BV24" s="1">
        <f t="shared" ca="1" si="39"/>
        <v>0.97264725070697244</v>
      </c>
      <c r="BW24" s="1">
        <f t="shared" ca="1" si="40"/>
        <v>972</v>
      </c>
      <c r="BX24" s="1">
        <f t="shared" ca="1" si="41"/>
        <v>7.8299654107126145E-3</v>
      </c>
      <c r="BY24" s="1">
        <f t="shared" ca="1" si="42"/>
        <v>9.543178410889061E-2</v>
      </c>
      <c r="BZ24" s="1">
        <f t="shared" ca="1" si="43"/>
        <v>0.57110189149872848</v>
      </c>
      <c r="CB24" s="1">
        <f t="shared" ca="1" si="44"/>
        <v>198</v>
      </c>
      <c r="CC24" s="1">
        <f t="shared" ca="1" si="45"/>
        <v>5</v>
      </c>
      <c r="CD24" s="1">
        <f t="shared" ca="1" si="46"/>
        <v>0.14183473919100956</v>
      </c>
      <c r="CE24" s="1">
        <f t="shared" ca="1" si="47"/>
        <v>0.74808635802059353</v>
      </c>
      <c r="CF24" s="1">
        <f t="shared" ca="1" si="47"/>
        <v>0.93769818211775291</v>
      </c>
      <c r="CH24" s="3">
        <f t="shared" ca="1" si="48"/>
        <v>0.57647240477736583</v>
      </c>
      <c r="CI24" s="3">
        <f t="shared" ca="1" si="49"/>
        <v>2.6288971643638782E-2</v>
      </c>
      <c r="CJ24" s="3">
        <f t="shared" ca="1" si="50"/>
        <v>1188</v>
      </c>
      <c r="CK24" s="3">
        <f t="shared" ca="1" si="51"/>
        <v>7.9603432307726631E-3</v>
      </c>
      <c r="CL24" s="3">
        <f t="shared" ca="1" si="52"/>
        <v>1</v>
      </c>
      <c r="CM24" s="3"/>
      <c r="CN24" s="1">
        <f t="shared" ca="1" si="53"/>
        <v>1.385025457793329</v>
      </c>
      <c r="CO24" s="1">
        <f t="shared" ca="1" si="54"/>
        <v>0.13402454908961409</v>
      </c>
      <c r="CP24" s="1">
        <f t="shared" ca="1" si="55"/>
        <v>3</v>
      </c>
    </row>
    <row r="25" spans="2:94" x14ac:dyDescent="0.25">
      <c r="B25">
        <f t="shared" ca="1" si="0"/>
        <v>289</v>
      </c>
      <c r="C25">
        <f t="shared" ca="1" si="1"/>
        <v>17</v>
      </c>
      <c r="D25">
        <f t="shared" ca="1" si="2"/>
        <v>5.6147131590113794E-2</v>
      </c>
      <c r="F25" s="1">
        <f t="shared" ca="1" si="3"/>
        <v>29</v>
      </c>
      <c r="G25" s="1">
        <f t="shared" ca="1" si="4"/>
        <v>29</v>
      </c>
      <c r="H25" s="1">
        <f t="shared" ca="1" si="5"/>
        <v>1</v>
      </c>
      <c r="I25" s="1"/>
      <c r="J25" s="1">
        <f t="shared" ca="1" si="6"/>
        <v>23</v>
      </c>
      <c r="K25" s="1">
        <f t="shared" ca="1" si="7"/>
        <v>1.5942658100999036</v>
      </c>
      <c r="L25" s="1">
        <f t="shared" ca="1" si="8"/>
        <v>14</v>
      </c>
      <c r="M25" s="1"/>
      <c r="N25" s="1">
        <f t="shared" ca="1" si="9"/>
        <v>69</v>
      </c>
      <c r="O25" s="1">
        <f t="shared" ca="1" si="10"/>
        <v>27</v>
      </c>
      <c r="P25" s="1"/>
      <c r="Q25" s="1">
        <f t="shared" ca="1" si="11"/>
        <v>2.4119039214445528</v>
      </c>
      <c r="R25" s="1">
        <f t="shared" ca="1" si="12"/>
        <v>894</v>
      </c>
      <c r="S25" s="1"/>
      <c r="T25" s="1">
        <f t="shared" ca="1" si="13"/>
        <v>4.5591611532701283E-2</v>
      </c>
      <c r="U25" s="1">
        <f t="shared" ca="1" si="14"/>
        <v>217</v>
      </c>
      <c r="V25" s="1">
        <f t="shared" ca="1" si="15"/>
        <v>44</v>
      </c>
      <c r="W25" s="1"/>
      <c r="X25" s="1">
        <f t="shared" ca="1" si="16"/>
        <v>7.9151235815409056</v>
      </c>
      <c r="Y25" s="1">
        <f t="shared" ca="1" si="17"/>
        <v>0.75774445743315499</v>
      </c>
      <c r="Z25" s="1">
        <f t="shared" ca="1" si="18"/>
        <v>492</v>
      </c>
      <c r="AB25" s="1">
        <f t="shared" ca="1" si="19"/>
        <v>0.87831230849017039</v>
      </c>
      <c r="AC25" s="1">
        <f t="shared" ca="1" si="20"/>
        <v>600</v>
      </c>
      <c r="AD25" s="1">
        <f t="shared" ca="1" si="21"/>
        <v>5.2026557245885546E-3</v>
      </c>
      <c r="AE25" s="1"/>
      <c r="AF25" s="1">
        <f t="shared" ca="1" si="22"/>
        <v>0.25072266561789991</v>
      </c>
      <c r="AG25" s="1">
        <f t="shared" ca="1" si="23"/>
        <v>376</v>
      </c>
      <c r="AH25" s="1">
        <f t="shared" ca="1" si="24"/>
        <v>9.6835943747415124E-3</v>
      </c>
      <c r="AJ25" s="1">
        <f t="shared" ca="1" si="25"/>
        <v>0.29412568029157948</v>
      </c>
      <c r="AK25" s="1">
        <f t="shared" ca="1" si="26"/>
        <v>3.4109776747328628E-3</v>
      </c>
      <c r="AL25" s="1"/>
      <c r="AM25" s="1">
        <f t="shared" ca="1" si="27"/>
        <v>0.19659251733184219</v>
      </c>
      <c r="AN25" s="1">
        <f t="shared" ca="1" si="28"/>
        <v>18</v>
      </c>
      <c r="AO25" s="1">
        <f t="shared" ca="1" si="29"/>
        <v>1</v>
      </c>
      <c r="AQ25" s="1">
        <f t="shared" ca="1" si="30"/>
        <v>138</v>
      </c>
      <c r="AR25" s="1">
        <f t="shared" ca="1" si="31"/>
        <v>6</v>
      </c>
      <c r="AS25" s="1">
        <f t="shared" ca="1" si="32"/>
        <v>65</v>
      </c>
      <c r="AU25" s="1">
        <f t="shared" ca="1" si="33"/>
        <v>247</v>
      </c>
      <c r="AV25" s="1">
        <f t="shared" ca="1" si="34"/>
        <v>6</v>
      </c>
      <c r="AW25" s="1">
        <f t="shared" ca="1" si="35"/>
        <v>5.9112374703834687E-2</v>
      </c>
      <c r="AY25" s="1">
        <f t="shared" ca="1" si="36"/>
        <v>1.8742920017256313</v>
      </c>
      <c r="AZ25" s="1">
        <f t="shared" ca="1" si="37"/>
        <v>279</v>
      </c>
      <c r="BA25" s="1">
        <f t="shared" ca="1" si="38"/>
        <v>9.1619656015864085E-3</v>
      </c>
      <c r="BV25" s="1">
        <f t="shared" ca="1" si="39"/>
        <v>0.12153073604769013</v>
      </c>
      <c r="BW25" s="1">
        <f t="shared" ca="1" si="40"/>
        <v>115</v>
      </c>
      <c r="BX25" s="1">
        <f t="shared" ca="1" si="41"/>
        <v>7.6557295237326154E-3</v>
      </c>
      <c r="BY25" s="1">
        <f t="shared" ca="1" si="42"/>
        <v>2.1634773013308663E-2</v>
      </c>
      <c r="BZ25" s="1">
        <f t="shared" ca="1" si="43"/>
        <v>0.32675075486905425</v>
      </c>
      <c r="CB25" s="1">
        <f t="shared" ca="1" si="44"/>
        <v>75</v>
      </c>
      <c r="CC25" s="1">
        <f t="shared" ca="1" si="45"/>
        <v>12</v>
      </c>
      <c r="CD25" s="1">
        <f t="shared" ca="1" si="46"/>
        <v>0.28025933991362761</v>
      </c>
      <c r="CE25" s="1">
        <f t="shared" ca="1" si="47"/>
        <v>0.7466718364982734</v>
      </c>
      <c r="CF25" s="1">
        <f t="shared" ca="1" si="47"/>
        <v>0.79420145270957132</v>
      </c>
      <c r="CH25" s="3">
        <f t="shared" ca="1" si="48"/>
        <v>0.70350041007006059</v>
      </c>
      <c r="CI25" s="3">
        <f t="shared" ca="1" si="49"/>
        <v>0.11348709020715728</v>
      </c>
      <c r="CJ25" s="3">
        <f t="shared" ca="1" si="50"/>
        <v>1835</v>
      </c>
      <c r="CK25" s="3">
        <f t="shared" ca="1" si="51"/>
        <v>1.7298332212976608E-3</v>
      </c>
      <c r="CL25" s="3">
        <f t="shared" ca="1" si="52"/>
        <v>0</v>
      </c>
      <c r="CM25" s="3"/>
      <c r="CN25" s="1">
        <f t="shared" ca="1" si="53"/>
        <v>8.4504391744625948</v>
      </c>
      <c r="CO25" s="1">
        <f t="shared" ca="1" si="54"/>
        <v>0.4846572374886125</v>
      </c>
      <c r="CP25" s="1">
        <f t="shared" ca="1" si="55"/>
        <v>1</v>
      </c>
    </row>
    <row r="26" spans="2:94" x14ac:dyDescent="0.25">
      <c r="B26">
        <f t="shared" ca="1" si="0"/>
        <v>928</v>
      </c>
      <c r="C26">
        <f t="shared" ca="1" si="1"/>
        <v>3</v>
      </c>
      <c r="D26">
        <f t="shared" ca="1" si="2"/>
        <v>0.22039173210783275</v>
      </c>
      <c r="F26" s="1">
        <f t="shared" ca="1" si="3"/>
        <v>52</v>
      </c>
      <c r="G26" s="1">
        <f t="shared" ca="1" si="4"/>
        <v>6</v>
      </c>
      <c r="H26" s="1">
        <f t="shared" ca="1" si="5"/>
        <v>5</v>
      </c>
      <c r="I26" s="1"/>
      <c r="J26" s="1">
        <f t="shared" ca="1" si="6"/>
        <v>13</v>
      </c>
      <c r="K26" s="1">
        <f t="shared" ca="1" si="7"/>
        <v>1.4284639533978081</v>
      </c>
      <c r="L26" s="1">
        <f t="shared" ca="1" si="8"/>
        <v>28</v>
      </c>
      <c r="M26" s="1"/>
      <c r="N26" s="1">
        <f t="shared" ca="1" si="9"/>
        <v>533</v>
      </c>
      <c r="O26" s="1">
        <f t="shared" ca="1" si="10"/>
        <v>12</v>
      </c>
      <c r="P26" s="1"/>
      <c r="Q26" s="1">
        <f t="shared" ca="1" si="11"/>
        <v>0.3350086099696919</v>
      </c>
      <c r="R26" s="1">
        <f t="shared" ca="1" si="12"/>
        <v>532</v>
      </c>
      <c r="S26" s="1"/>
      <c r="T26" s="1">
        <f t="shared" ca="1" si="13"/>
        <v>0.19633396055204294</v>
      </c>
      <c r="U26" s="1">
        <f t="shared" ca="1" si="14"/>
        <v>193</v>
      </c>
      <c r="V26" s="1">
        <f t="shared" ca="1" si="15"/>
        <v>41</v>
      </c>
      <c r="W26" s="1"/>
      <c r="X26" s="1">
        <f t="shared" ca="1" si="16"/>
        <v>7.3630573521170088</v>
      </c>
      <c r="Y26" s="1">
        <f t="shared" ca="1" si="17"/>
        <v>0.25521931001385817</v>
      </c>
      <c r="Z26" s="1">
        <f t="shared" ca="1" si="18"/>
        <v>1977</v>
      </c>
      <c r="AB26" s="1">
        <f t="shared" ca="1" si="19"/>
        <v>0.19895291484842337</v>
      </c>
      <c r="AC26" s="1">
        <f t="shared" ca="1" si="20"/>
        <v>656</v>
      </c>
      <c r="AD26" s="1">
        <f t="shared" ca="1" si="21"/>
        <v>6.0710645358551685E-3</v>
      </c>
      <c r="AE26" s="1"/>
      <c r="AF26" s="1">
        <f t="shared" ca="1" si="22"/>
        <v>0.39540534205457234</v>
      </c>
      <c r="AG26" s="1">
        <f t="shared" ca="1" si="23"/>
        <v>776</v>
      </c>
      <c r="AH26" s="1">
        <f t="shared" ca="1" si="24"/>
        <v>7.7882469089152126E-3</v>
      </c>
      <c r="AJ26" s="1">
        <f t="shared" ca="1" si="25"/>
        <v>0.98869204283522771</v>
      </c>
      <c r="AK26" s="1">
        <f t="shared" ca="1" si="26"/>
        <v>2.8832241311102171E-3</v>
      </c>
      <c r="AL26" s="1"/>
      <c r="AM26" s="1">
        <f t="shared" ca="1" si="27"/>
        <v>0.10609923818605294</v>
      </c>
      <c r="AN26" s="1">
        <f t="shared" ca="1" si="28"/>
        <v>39</v>
      </c>
      <c r="AO26" s="1">
        <f t="shared" ca="1" si="29"/>
        <v>19</v>
      </c>
      <c r="AQ26" s="1">
        <f t="shared" ca="1" si="30"/>
        <v>190</v>
      </c>
      <c r="AR26" s="1">
        <f t="shared" ca="1" si="31"/>
        <v>4</v>
      </c>
      <c r="AS26" s="1">
        <f t="shared" ca="1" si="32"/>
        <v>32</v>
      </c>
      <c r="AU26" s="1">
        <f t="shared" ca="1" si="33"/>
        <v>283</v>
      </c>
      <c r="AV26" s="1">
        <f t="shared" ca="1" si="34"/>
        <v>8</v>
      </c>
      <c r="AW26" s="1">
        <f t="shared" ca="1" si="35"/>
        <v>1.9738826232109059E-2</v>
      </c>
      <c r="AY26" s="1">
        <f t="shared" ca="1" si="36"/>
        <v>1.972628947747376</v>
      </c>
      <c r="AZ26" s="1">
        <f t="shared" ca="1" si="37"/>
        <v>73</v>
      </c>
      <c r="BA26" s="1">
        <f t="shared" ca="1" si="38"/>
        <v>3.4452875345561611E-3</v>
      </c>
      <c r="BV26" s="1">
        <f t="shared" ca="1" si="39"/>
        <v>0.33719897857313474</v>
      </c>
      <c r="BW26" s="1">
        <f t="shared" ca="1" si="40"/>
        <v>777</v>
      </c>
      <c r="BX26" s="1">
        <f t="shared" ca="1" si="41"/>
        <v>5.6484084011899083E-3</v>
      </c>
      <c r="BY26" s="1">
        <f t="shared" ca="1" si="42"/>
        <v>3.2049965027234804E-2</v>
      </c>
      <c r="BZ26" s="1">
        <f t="shared" ca="1" si="43"/>
        <v>0.79775279657462606</v>
      </c>
      <c r="CB26" s="1">
        <f t="shared" ca="1" si="44"/>
        <v>382</v>
      </c>
      <c r="CC26" s="1">
        <f t="shared" ca="1" si="45"/>
        <v>7</v>
      </c>
      <c r="CD26" s="1">
        <f t="shared" ca="1" si="46"/>
        <v>2.2445430874722113E-2</v>
      </c>
      <c r="CE26" s="1">
        <f t="shared" ca="1" si="47"/>
        <v>0.62650896494488584</v>
      </c>
      <c r="CF26" s="1">
        <f t="shared" ca="1" si="47"/>
        <v>0.6274340571765622</v>
      </c>
      <c r="CH26" s="3">
        <f t="shared" ca="1" si="48"/>
        <v>0.26724165285037793</v>
      </c>
      <c r="CI26" s="3">
        <f t="shared" ca="1" si="49"/>
        <v>0.73749388426032458</v>
      </c>
      <c r="CJ26" s="3">
        <f t="shared" ca="1" si="50"/>
        <v>1714</v>
      </c>
      <c r="CK26" s="3">
        <f t="shared" ca="1" si="51"/>
        <v>9.4619094925309961E-3</v>
      </c>
      <c r="CL26" s="3">
        <f t="shared" ca="1" si="52"/>
        <v>1</v>
      </c>
      <c r="CM26" s="3"/>
      <c r="CN26" s="1">
        <f t="shared" ca="1" si="53"/>
        <v>8.4944870606364464</v>
      </c>
      <c r="CO26" s="1">
        <f t="shared" ca="1" si="54"/>
        <v>0.17520050105560769</v>
      </c>
      <c r="CP26" s="1">
        <f t="shared" ca="1" si="55"/>
        <v>3</v>
      </c>
    </row>
    <row r="27" spans="2:94" x14ac:dyDescent="0.25">
      <c r="B27">
        <f t="shared" ca="1" si="0"/>
        <v>556</v>
      </c>
      <c r="C27">
        <f t="shared" ca="1" si="1"/>
        <v>31</v>
      </c>
      <c r="D27">
        <f t="shared" ca="1" si="2"/>
        <v>3.8428388640334502E-2</v>
      </c>
      <c r="F27" s="1">
        <f t="shared" ca="1" si="3"/>
        <v>7</v>
      </c>
      <c r="G27" s="1">
        <f t="shared" ca="1" si="4"/>
        <v>3</v>
      </c>
      <c r="H27" s="1">
        <f t="shared" ca="1" si="5"/>
        <v>12</v>
      </c>
      <c r="I27" s="1"/>
      <c r="J27" s="1">
        <f t="shared" ca="1" si="6"/>
        <v>38</v>
      </c>
      <c r="K27" s="1">
        <f t="shared" ca="1" si="7"/>
        <v>2.9847427315178758</v>
      </c>
      <c r="L27" s="1">
        <f t="shared" ca="1" si="8"/>
        <v>23</v>
      </c>
      <c r="M27" s="1"/>
      <c r="N27" s="1">
        <f t="shared" ca="1" si="9"/>
        <v>845</v>
      </c>
      <c r="O27" s="1">
        <f t="shared" ca="1" si="10"/>
        <v>21</v>
      </c>
      <c r="P27" s="1"/>
      <c r="Q27" s="1">
        <f t="shared" ca="1" si="11"/>
        <v>1.3144986290814535</v>
      </c>
      <c r="R27" s="1">
        <f t="shared" ca="1" si="12"/>
        <v>948</v>
      </c>
      <c r="S27" s="1"/>
      <c r="T27" s="1">
        <f t="shared" ca="1" si="13"/>
        <v>9.4112323580508153E-2</v>
      </c>
      <c r="U27" s="1">
        <f t="shared" ca="1" si="14"/>
        <v>232</v>
      </c>
      <c r="V27" s="1">
        <f t="shared" ca="1" si="15"/>
        <v>49</v>
      </c>
      <c r="W27" s="1"/>
      <c r="X27" s="1">
        <f t="shared" ca="1" si="16"/>
        <v>6.5016978785266595</v>
      </c>
      <c r="Y27" s="1">
        <f t="shared" ca="1" si="17"/>
        <v>6.86278328749345E-2</v>
      </c>
      <c r="Z27" s="1">
        <f t="shared" ca="1" si="18"/>
        <v>1676</v>
      </c>
      <c r="AB27" s="1">
        <f t="shared" ca="1" si="19"/>
        <v>0.97573129962573069</v>
      </c>
      <c r="AC27" s="1">
        <f t="shared" ca="1" si="20"/>
        <v>204</v>
      </c>
      <c r="AD27" s="1">
        <f t="shared" ca="1" si="21"/>
        <v>1.4130686824557642E-3</v>
      </c>
      <c r="AE27" s="1"/>
      <c r="AF27" s="1">
        <f t="shared" ca="1" si="22"/>
        <v>0.33774606645729788</v>
      </c>
      <c r="AG27" s="1">
        <f t="shared" ca="1" si="23"/>
        <v>269</v>
      </c>
      <c r="AH27" s="1">
        <f t="shared" ca="1" si="24"/>
        <v>1.4733984704946694E-3</v>
      </c>
      <c r="AJ27" s="1">
        <f t="shared" ca="1" si="25"/>
        <v>0.93027150348771748</v>
      </c>
      <c r="AK27" s="1">
        <f t="shared" ca="1" si="26"/>
        <v>4.6472073187370398E-3</v>
      </c>
      <c r="AL27" s="1"/>
      <c r="AM27" s="1">
        <f t="shared" ca="1" si="27"/>
        <v>7.116671256248111E-2</v>
      </c>
      <c r="AN27" s="1">
        <f t="shared" ca="1" si="28"/>
        <v>50</v>
      </c>
      <c r="AO27" s="1">
        <f t="shared" ca="1" si="29"/>
        <v>11</v>
      </c>
      <c r="AQ27" s="1">
        <f t="shared" ca="1" si="30"/>
        <v>11</v>
      </c>
      <c r="AR27" s="1">
        <f t="shared" ca="1" si="31"/>
        <v>6</v>
      </c>
      <c r="AS27" s="1">
        <f t="shared" ca="1" si="32"/>
        <v>64</v>
      </c>
      <c r="AU27" s="1">
        <f t="shared" ca="1" si="33"/>
        <v>253</v>
      </c>
      <c r="AV27" s="1">
        <f t="shared" ca="1" si="34"/>
        <v>6</v>
      </c>
      <c r="AW27" s="1">
        <f t="shared" ca="1" si="35"/>
        <v>3.1068077799358357E-2</v>
      </c>
      <c r="AY27" s="1">
        <f t="shared" ca="1" si="36"/>
        <v>1.2616709591661039</v>
      </c>
      <c r="AZ27" s="1">
        <f t="shared" ca="1" si="37"/>
        <v>96</v>
      </c>
      <c r="BA27" s="1">
        <f t="shared" ca="1" si="38"/>
        <v>8.6463141471782388E-3</v>
      </c>
      <c r="BV27" s="1">
        <f t="shared" ca="1" si="39"/>
        <v>0.56795620134989289</v>
      </c>
      <c r="BW27" s="1">
        <f t="shared" ca="1" si="40"/>
        <v>331</v>
      </c>
      <c r="BX27" s="1">
        <f t="shared" ca="1" si="41"/>
        <v>4.3275383708404795E-3</v>
      </c>
      <c r="BY27" s="1">
        <f t="shared" ca="1" si="42"/>
        <v>8.7053860270539588E-2</v>
      </c>
      <c r="BZ27" s="1">
        <f t="shared" ca="1" si="43"/>
        <v>0.86274901577030316</v>
      </c>
      <c r="CB27" s="1">
        <f t="shared" ca="1" si="44"/>
        <v>235</v>
      </c>
      <c r="CC27" s="1">
        <f t="shared" ca="1" si="45"/>
        <v>12</v>
      </c>
      <c r="CD27" s="1">
        <f t="shared" ca="1" si="46"/>
        <v>0.24106018524929759</v>
      </c>
      <c r="CE27" s="1">
        <f t="shared" ca="1" si="47"/>
        <v>0.98608665069994605</v>
      </c>
      <c r="CF27" s="1">
        <f t="shared" ca="1" si="47"/>
        <v>0.98252419642736299</v>
      </c>
      <c r="CH27" s="3">
        <f t="shared" ca="1" si="48"/>
        <v>0.79229330214272564</v>
      </c>
      <c r="CI27" s="3">
        <f t="shared" ca="1" si="49"/>
        <v>0.47106201062344499</v>
      </c>
      <c r="CJ27" s="3">
        <f t="shared" ca="1" si="50"/>
        <v>1717</v>
      </c>
      <c r="CK27" s="3">
        <f t="shared" ca="1" si="51"/>
        <v>1.8063797776908831E-3</v>
      </c>
      <c r="CL27" s="3">
        <f t="shared" ca="1" si="52"/>
        <v>0</v>
      </c>
      <c r="CM27" s="3"/>
      <c r="CN27" s="1">
        <f t="shared" ca="1" si="53"/>
        <v>15.43444498810347</v>
      </c>
      <c r="CO27" s="1">
        <f t="shared" ca="1" si="54"/>
        <v>0.46517883332177351</v>
      </c>
      <c r="CP27" s="1">
        <f t="shared" ca="1" si="55"/>
        <v>2</v>
      </c>
    </row>
    <row r="28" spans="2:94" x14ac:dyDescent="0.25">
      <c r="B28">
        <f t="shared" ca="1" si="0"/>
        <v>381</v>
      </c>
      <c r="C28">
        <f t="shared" ca="1" si="1"/>
        <v>43</v>
      </c>
      <c r="D28">
        <f t="shared" ca="1" si="2"/>
        <v>0.12556695118132627</v>
      </c>
      <c r="F28" s="1">
        <f t="shared" ca="1" si="3"/>
        <v>25</v>
      </c>
      <c r="G28" s="1">
        <f t="shared" ca="1" si="4"/>
        <v>18</v>
      </c>
      <c r="H28" s="1">
        <f t="shared" ca="1" si="5"/>
        <v>1</v>
      </c>
      <c r="I28" s="1"/>
      <c r="J28" s="1">
        <f t="shared" ca="1" si="6"/>
        <v>19</v>
      </c>
      <c r="K28" s="1">
        <f t="shared" ca="1" si="7"/>
        <v>2.8442420031972042</v>
      </c>
      <c r="L28" s="1">
        <f t="shared" ca="1" si="8"/>
        <v>12</v>
      </c>
      <c r="M28" s="1"/>
      <c r="N28" s="1">
        <f t="shared" ca="1" si="9"/>
        <v>250</v>
      </c>
      <c r="O28" s="1">
        <f t="shared" ca="1" si="10"/>
        <v>23</v>
      </c>
      <c r="P28" s="1"/>
      <c r="Q28" s="1">
        <f t="shared" ca="1" si="11"/>
        <v>1.3647463000772015</v>
      </c>
      <c r="R28" s="1">
        <f t="shared" ca="1" si="12"/>
        <v>953</v>
      </c>
      <c r="S28" s="1"/>
      <c r="T28" s="1">
        <f t="shared" ca="1" si="13"/>
        <v>1.2016959299220975E-2</v>
      </c>
      <c r="U28" s="1">
        <f t="shared" ca="1" si="14"/>
        <v>217</v>
      </c>
      <c r="V28" s="1">
        <f t="shared" ca="1" si="15"/>
        <v>25</v>
      </c>
      <c r="W28" s="1"/>
      <c r="X28" s="1">
        <f t="shared" ca="1" si="16"/>
        <v>7.8590484290942264</v>
      </c>
      <c r="Y28" s="1">
        <f t="shared" ca="1" si="17"/>
        <v>0.71008959580198983</v>
      </c>
      <c r="Z28" s="1">
        <f t="shared" ca="1" si="18"/>
        <v>1275</v>
      </c>
      <c r="AB28" s="1">
        <f t="shared" ca="1" si="19"/>
        <v>2.4793008741839338E-3</v>
      </c>
      <c r="AC28" s="1">
        <f t="shared" ca="1" si="20"/>
        <v>849</v>
      </c>
      <c r="AD28" s="1">
        <f t="shared" ca="1" si="21"/>
        <v>7.0816291349938675E-3</v>
      </c>
      <c r="AE28" s="1"/>
      <c r="AF28" s="1">
        <f t="shared" ca="1" si="22"/>
        <v>0.75650341987506431</v>
      </c>
      <c r="AG28" s="1">
        <f t="shared" ca="1" si="23"/>
        <v>597</v>
      </c>
      <c r="AH28" s="1">
        <f t="shared" ca="1" si="24"/>
        <v>6.35251507502365E-3</v>
      </c>
      <c r="AJ28" s="1">
        <f t="shared" ca="1" si="25"/>
        <v>0.99232985727852774</v>
      </c>
      <c r="AK28" s="1">
        <f t="shared" ca="1" si="26"/>
        <v>4.4052764819107384E-3</v>
      </c>
      <c r="AL28" s="1"/>
      <c r="AM28" s="1">
        <f t="shared" ca="1" si="27"/>
        <v>5.8396835527230198E-2</v>
      </c>
      <c r="AN28" s="1">
        <f t="shared" ca="1" si="28"/>
        <v>16</v>
      </c>
      <c r="AO28" s="1">
        <f t="shared" ca="1" si="29"/>
        <v>11</v>
      </c>
      <c r="AQ28" s="1">
        <f t="shared" ca="1" si="30"/>
        <v>153</v>
      </c>
      <c r="AR28" s="1">
        <f t="shared" ca="1" si="31"/>
        <v>1</v>
      </c>
      <c r="AS28" s="1">
        <f t="shared" ca="1" si="32"/>
        <v>12</v>
      </c>
      <c r="AU28" s="1">
        <f t="shared" ca="1" si="33"/>
        <v>304</v>
      </c>
      <c r="AV28" s="1">
        <f t="shared" ca="1" si="34"/>
        <v>3</v>
      </c>
      <c r="AW28" s="1">
        <f t="shared" ca="1" si="35"/>
        <v>0.18925389276221033</v>
      </c>
      <c r="AY28" s="1">
        <f t="shared" ca="1" si="36"/>
        <v>1.2105395274761133</v>
      </c>
      <c r="AZ28" s="1">
        <f t="shared" ca="1" si="37"/>
        <v>190</v>
      </c>
      <c r="BA28" s="1">
        <f t="shared" ca="1" si="38"/>
        <v>7.364277746295441E-3</v>
      </c>
      <c r="BV28" s="1">
        <f t="shared" ca="1" si="39"/>
        <v>0.56479239296438777</v>
      </c>
      <c r="BW28" s="1">
        <f t="shared" ca="1" si="40"/>
        <v>475</v>
      </c>
      <c r="BX28" s="1">
        <f t="shared" ca="1" si="41"/>
        <v>6.0529963337706636E-3</v>
      </c>
      <c r="BY28" s="1">
        <f t="shared" ca="1" si="42"/>
        <v>2.0896343076539274E-3</v>
      </c>
      <c r="BZ28" s="1">
        <f t="shared" ca="1" si="43"/>
        <v>0.80727435868321107</v>
      </c>
      <c r="CB28" s="1">
        <f t="shared" ca="1" si="44"/>
        <v>297</v>
      </c>
      <c r="CC28" s="1">
        <f t="shared" ca="1" si="45"/>
        <v>13</v>
      </c>
      <c r="CD28" s="1">
        <f t="shared" ca="1" si="46"/>
        <v>6.7606080900936213E-2</v>
      </c>
      <c r="CE28" s="1">
        <f t="shared" ca="1" si="47"/>
        <v>0.86401546816113828</v>
      </c>
      <c r="CF28" s="1">
        <f t="shared" ca="1" si="47"/>
        <v>0.7419404070737432</v>
      </c>
      <c r="CH28" s="3">
        <f t="shared" ca="1" si="48"/>
        <v>0.67577223761517891</v>
      </c>
      <c r="CI28" s="3">
        <f t="shared" ca="1" si="49"/>
        <v>0.77761463798667296</v>
      </c>
      <c r="CJ28" s="3">
        <f t="shared" ca="1" si="50"/>
        <v>1380</v>
      </c>
      <c r="CK28" s="3">
        <f t="shared" ca="1" si="51"/>
        <v>1.1198221240532887E-4</v>
      </c>
      <c r="CL28" s="3">
        <f t="shared" ca="1" si="52"/>
        <v>0</v>
      </c>
      <c r="CM28" s="3"/>
      <c r="CN28" s="1">
        <f t="shared" ca="1" si="53"/>
        <v>18.038617368172545</v>
      </c>
      <c r="CO28" s="1">
        <f t="shared" ca="1" si="54"/>
        <v>1.9555227969979463E-3</v>
      </c>
      <c r="CP28" s="1">
        <f t="shared" ca="1" si="55"/>
        <v>5</v>
      </c>
    </row>
    <row r="29" spans="2:94" x14ac:dyDescent="0.25">
      <c r="B29">
        <f t="shared" ca="1" si="0"/>
        <v>706</v>
      </c>
      <c r="C29">
        <f t="shared" ca="1" si="1"/>
        <v>4</v>
      </c>
      <c r="D29">
        <f t="shared" ca="1" si="2"/>
        <v>0.2108095660330126</v>
      </c>
      <c r="F29" s="1">
        <f t="shared" ca="1" si="3"/>
        <v>15</v>
      </c>
      <c r="G29" s="1">
        <f t="shared" ca="1" si="4"/>
        <v>5</v>
      </c>
      <c r="H29" s="1">
        <f t="shared" ca="1" si="5"/>
        <v>4</v>
      </c>
      <c r="I29" s="1"/>
      <c r="J29" s="1">
        <f t="shared" ca="1" si="6"/>
        <v>6</v>
      </c>
      <c r="K29" s="1">
        <f t="shared" ca="1" si="7"/>
        <v>2.8021327687845803</v>
      </c>
      <c r="L29" s="1">
        <f t="shared" ca="1" si="8"/>
        <v>27</v>
      </c>
      <c r="M29" s="1"/>
      <c r="N29" s="1">
        <f t="shared" ca="1" si="9"/>
        <v>456</v>
      </c>
      <c r="O29" s="1">
        <f t="shared" ca="1" si="10"/>
        <v>11</v>
      </c>
      <c r="P29" s="1"/>
      <c r="Q29" s="1">
        <f t="shared" ca="1" si="11"/>
        <v>0.43284831454855532</v>
      </c>
      <c r="R29" s="1">
        <f t="shared" ca="1" si="12"/>
        <v>379</v>
      </c>
      <c r="S29" s="1"/>
      <c r="T29" s="1">
        <f t="shared" ca="1" si="13"/>
        <v>0.11459561723954556</v>
      </c>
      <c r="U29" s="1">
        <f t="shared" ca="1" si="14"/>
        <v>401</v>
      </c>
      <c r="V29" s="1">
        <f t="shared" ca="1" si="15"/>
        <v>37</v>
      </c>
      <c r="W29" s="1"/>
      <c r="X29" s="1">
        <f t="shared" ca="1" si="16"/>
        <v>3.6873367087094362</v>
      </c>
      <c r="Y29" s="1">
        <f t="shared" ca="1" si="17"/>
        <v>0.95265032663920546</v>
      </c>
      <c r="Z29" s="1">
        <f t="shared" ca="1" si="18"/>
        <v>559</v>
      </c>
      <c r="AB29" s="1">
        <f t="shared" ca="1" si="19"/>
        <v>0.62743383543755338</v>
      </c>
      <c r="AC29" s="1">
        <f t="shared" ca="1" si="20"/>
        <v>700</v>
      </c>
      <c r="AD29" s="1">
        <f t="shared" ca="1" si="21"/>
        <v>1.9847332478364031E-3</v>
      </c>
      <c r="AE29" s="1"/>
      <c r="AF29" s="1">
        <f t="shared" ca="1" si="22"/>
        <v>0.77061705603350605</v>
      </c>
      <c r="AG29" s="1">
        <f t="shared" ca="1" si="23"/>
        <v>590</v>
      </c>
      <c r="AH29" s="1">
        <f t="shared" ca="1" si="24"/>
        <v>6.5010393879553017E-3</v>
      </c>
      <c r="AJ29" s="1">
        <f t="shared" ca="1" si="25"/>
        <v>0.95230667329674024</v>
      </c>
      <c r="AK29" s="1">
        <f t="shared" ca="1" si="26"/>
        <v>6.4815191280933066E-3</v>
      </c>
      <c r="AL29" s="1"/>
      <c r="AM29" s="1">
        <f t="shared" ca="1" si="27"/>
        <v>0.15636502631352814</v>
      </c>
      <c r="AN29" s="1">
        <f t="shared" ca="1" si="28"/>
        <v>59</v>
      </c>
      <c r="AO29" s="1">
        <f t="shared" ca="1" si="29"/>
        <v>19</v>
      </c>
      <c r="AQ29" s="1">
        <f t="shared" ca="1" si="30"/>
        <v>122</v>
      </c>
      <c r="AR29" s="1">
        <f t="shared" ca="1" si="31"/>
        <v>5</v>
      </c>
      <c r="AS29" s="1">
        <f t="shared" ca="1" si="32"/>
        <v>83</v>
      </c>
      <c r="AU29" s="1">
        <f t="shared" ca="1" si="33"/>
        <v>399</v>
      </c>
      <c r="AV29" s="1">
        <f t="shared" ca="1" si="34"/>
        <v>8</v>
      </c>
      <c r="AW29" s="1">
        <f t="shared" ca="1" si="35"/>
        <v>5.4007973647706507E-2</v>
      </c>
      <c r="AY29" s="1">
        <f t="shared" ca="1" si="36"/>
        <v>1.1636614402069072</v>
      </c>
      <c r="AZ29" s="1">
        <f t="shared" ca="1" si="37"/>
        <v>496</v>
      </c>
      <c r="BA29" s="1">
        <f t="shared" ca="1" si="38"/>
        <v>1.5708115658732969E-3</v>
      </c>
      <c r="BV29" s="1">
        <f t="shared" ca="1" si="39"/>
        <v>0.77146751034403338</v>
      </c>
      <c r="BW29" s="1">
        <f t="shared" ca="1" si="40"/>
        <v>446</v>
      </c>
      <c r="BX29" s="1">
        <f t="shared" ca="1" si="41"/>
        <v>8.6495978092058778E-3</v>
      </c>
      <c r="BY29" s="1">
        <f t="shared" ca="1" si="42"/>
        <v>3.8298456977089931E-2</v>
      </c>
      <c r="BZ29" s="1">
        <f t="shared" ca="1" si="43"/>
        <v>0.6623157521197035</v>
      </c>
      <c r="CB29" s="1">
        <f t="shared" ca="1" si="44"/>
        <v>87</v>
      </c>
      <c r="CC29" s="1">
        <f t="shared" ca="1" si="45"/>
        <v>15</v>
      </c>
      <c r="CD29" s="1">
        <f t="shared" ca="1" si="46"/>
        <v>0.19550738522249214</v>
      </c>
      <c r="CE29" s="1">
        <f t="shared" ca="1" si="47"/>
        <v>0.76703416700377991</v>
      </c>
      <c r="CF29" s="1">
        <f t="shared" ca="1" si="47"/>
        <v>0.78572437809252493</v>
      </c>
      <c r="CH29" s="3">
        <f t="shared" ca="1" si="48"/>
        <v>0.12896901118139828</v>
      </c>
      <c r="CI29" s="3">
        <f t="shared" ca="1" si="49"/>
        <v>0.29142243232762771</v>
      </c>
      <c r="CJ29" s="3">
        <f t="shared" ca="1" si="50"/>
        <v>282</v>
      </c>
      <c r="CK29" s="3">
        <f t="shared" ca="1" si="51"/>
        <v>6.5286753877463197E-3</v>
      </c>
      <c r="CL29" s="3">
        <f t="shared" ca="1" si="52"/>
        <v>0</v>
      </c>
      <c r="CM29" s="3"/>
      <c r="CN29" s="1">
        <f t="shared" ca="1" si="53"/>
        <v>3.9628836597966881</v>
      </c>
      <c r="CO29" s="1">
        <f t="shared" ca="1" si="54"/>
        <v>0.26435276044995898</v>
      </c>
      <c r="CP29" s="1">
        <f t="shared" ca="1" si="55"/>
        <v>5</v>
      </c>
    </row>
    <row r="30" spans="2:94" x14ac:dyDescent="0.25">
      <c r="B30">
        <f t="shared" ca="1" si="0"/>
        <v>344</v>
      </c>
      <c r="C30">
        <f t="shared" ca="1" si="1"/>
        <v>12</v>
      </c>
      <c r="D30">
        <f t="shared" ca="1" si="2"/>
        <v>0.27916468508403791</v>
      </c>
      <c r="F30" s="1">
        <f t="shared" ca="1" si="3"/>
        <v>9</v>
      </c>
      <c r="G30" s="1">
        <f t="shared" ca="1" si="4"/>
        <v>23</v>
      </c>
      <c r="H30" s="1">
        <f t="shared" ca="1" si="5"/>
        <v>12</v>
      </c>
      <c r="I30" s="1"/>
      <c r="J30" s="1">
        <f t="shared" ca="1" si="6"/>
        <v>36</v>
      </c>
      <c r="K30" s="1">
        <f t="shared" ca="1" si="7"/>
        <v>1.6895427314709197</v>
      </c>
      <c r="L30" s="1">
        <f t="shared" ca="1" si="8"/>
        <v>34</v>
      </c>
      <c r="M30" s="1"/>
      <c r="N30" s="1">
        <f t="shared" ca="1" si="9"/>
        <v>472</v>
      </c>
      <c r="O30" s="1">
        <f t="shared" ca="1" si="10"/>
        <v>44</v>
      </c>
      <c r="P30" s="1"/>
      <c r="Q30" s="1">
        <f t="shared" ca="1" si="11"/>
        <v>1.7121268466713802</v>
      </c>
      <c r="R30" s="1">
        <f t="shared" ca="1" si="12"/>
        <v>710</v>
      </c>
      <c r="S30" s="1"/>
      <c r="T30" s="1">
        <f t="shared" ca="1" si="13"/>
        <v>9.4862092423468367E-2</v>
      </c>
      <c r="U30" s="1">
        <f t="shared" ca="1" si="14"/>
        <v>332</v>
      </c>
      <c r="V30" s="1">
        <f t="shared" ca="1" si="15"/>
        <v>33</v>
      </c>
      <c r="W30" s="1"/>
      <c r="X30" s="1">
        <f t="shared" ca="1" si="16"/>
        <v>3.8057364022218945</v>
      </c>
      <c r="Y30" s="1">
        <f t="shared" ca="1" si="17"/>
        <v>0.94848691674654273</v>
      </c>
      <c r="Z30" s="1">
        <f t="shared" ca="1" si="18"/>
        <v>943</v>
      </c>
      <c r="AB30" s="1">
        <f t="shared" ca="1" si="19"/>
        <v>0.75344649988360846</v>
      </c>
      <c r="AC30" s="1">
        <f t="shared" ca="1" si="20"/>
        <v>358</v>
      </c>
      <c r="AD30" s="1">
        <f t="shared" ca="1" si="21"/>
        <v>7.9825763004876416E-3</v>
      </c>
      <c r="AE30" s="1"/>
      <c r="AF30" s="1">
        <f t="shared" ca="1" si="22"/>
        <v>0.52557703910499698</v>
      </c>
      <c r="AG30" s="1">
        <f t="shared" ca="1" si="23"/>
        <v>234</v>
      </c>
      <c r="AH30" s="1">
        <f t="shared" ca="1" si="24"/>
        <v>8.4263904242199011E-3</v>
      </c>
      <c r="AJ30" s="1">
        <f t="shared" ca="1" si="25"/>
        <v>0.44110045993161506</v>
      </c>
      <c r="AK30" s="1">
        <f t="shared" ca="1" si="26"/>
        <v>7.4176217876274764E-3</v>
      </c>
      <c r="AL30" s="1"/>
      <c r="AM30" s="1">
        <f t="shared" ca="1" si="27"/>
        <v>0.11183794304727769</v>
      </c>
      <c r="AN30" s="1">
        <f t="shared" ca="1" si="28"/>
        <v>40</v>
      </c>
      <c r="AO30" s="1">
        <f t="shared" ca="1" si="29"/>
        <v>12</v>
      </c>
      <c r="AQ30" s="1">
        <f t="shared" ca="1" si="30"/>
        <v>52</v>
      </c>
      <c r="AR30" s="1">
        <f t="shared" ca="1" si="31"/>
        <v>0</v>
      </c>
      <c r="AS30" s="1">
        <f t="shared" ca="1" si="32"/>
        <v>67</v>
      </c>
      <c r="AU30" s="1">
        <f t="shared" ca="1" si="33"/>
        <v>377</v>
      </c>
      <c r="AV30" s="1">
        <f t="shared" ca="1" si="34"/>
        <v>3</v>
      </c>
      <c r="AW30" s="1">
        <f t="shared" ca="1" si="35"/>
        <v>2.5616378013507649E-2</v>
      </c>
      <c r="AY30" s="1">
        <f t="shared" ca="1" si="36"/>
        <v>1.4972260384921348</v>
      </c>
      <c r="AZ30" s="1">
        <f t="shared" ca="1" si="37"/>
        <v>117</v>
      </c>
      <c r="BA30" s="1">
        <f t="shared" ca="1" si="38"/>
        <v>6.3765813021700772E-3</v>
      </c>
      <c r="BV30" s="1">
        <f t="shared" ca="1" si="39"/>
        <v>0.19651513542736809</v>
      </c>
      <c r="BW30" s="1">
        <f t="shared" ca="1" si="40"/>
        <v>250</v>
      </c>
      <c r="BX30" s="1">
        <f t="shared" ca="1" si="41"/>
        <v>6.3763413441531658E-3</v>
      </c>
      <c r="BY30" s="1">
        <f t="shared" ca="1" si="42"/>
        <v>8.3089800174421385E-2</v>
      </c>
      <c r="BZ30" s="1">
        <f t="shared" ca="1" si="43"/>
        <v>0.27643485997441131</v>
      </c>
      <c r="CB30" s="1">
        <f t="shared" ca="1" si="44"/>
        <v>123</v>
      </c>
      <c r="CC30" s="1">
        <f t="shared" ca="1" si="45"/>
        <v>4</v>
      </c>
      <c r="CD30" s="1">
        <f t="shared" ca="1" si="46"/>
        <v>0.19837303663636122</v>
      </c>
      <c r="CE30" s="1">
        <f t="shared" ca="1" si="47"/>
        <v>0.92418596454961555</v>
      </c>
      <c r="CF30" s="1">
        <f t="shared" ca="1" si="47"/>
        <v>0.57617869217629047</v>
      </c>
      <c r="CH30" s="3">
        <f t="shared" ca="1" si="48"/>
        <v>0.76037020778793374</v>
      </c>
      <c r="CI30" s="3">
        <f t="shared" ca="1" si="49"/>
        <v>0.59683825440437199</v>
      </c>
      <c r="CJ30" s="3">
        <f t="shared" ca="1" si="50"/>
        <v>900</v>
      </c>
      <c r="CK30" s="3">
        <f t="shared" ca="1" si="51"/>
        <v>7.6114603200805268E-3</v>
      </c>
      <c r="CL30" s="3">
        <f t="shared" ca="1" si="52"/>
        <v>1</v>
      </c>
      <c r="CM30" s="3"/>
      <c r="CN30" s="1">
        <f t="shared" ca="1" si="53"/>
        <v>15.379782232533188</v>
      </c>
      <c r="CO30" s="1">
        <f t="shared" ca="1" si="54"/>
        <v>0.38291842087628764</v>
      </c>
      <c r="CP30" s="1">
        <f t="shared" ca="1" si="55"/>
        <v>4</v>
      </c>
    </row>
    <row r="31" spans="2:94" x14ac:dyDescent="0.25">
      <c r="B31">
        <f t="shared" ca="1" si="0"/>
        <v>918</v>
      </c>
      <c r="C31">
        <f t="shared" ca="1" si="1"/>
        <v>20</v>
      </c>
      <c r="D31">
        <f t="shared" ca="1" si="2"/>
        <v>0.27538313553577914</v>
      </c>
      <c r="F31" s="1">
        <f t="shared" ca="1" si="3"/>
        <v>21</v>
      </c>
      <c r="G31" s="1">
        <f t="shared" ca="1" si="4"/>
        <v>5</v>
      </c>
      <c r="H31" s="1">
        <f t="shared" ca="1" si="5"/>
        <v>1</v>
      </c>
      <c r="I31" s="1"/>
      <c r="J31" s="1">
        <f t="shared" ca="1" si="6"/>
        <v>24</v>
      </c>
      <c r="K31" s="1">
        <f t="shared" ca="1" si="7"/>
        <v>2.3929931350532678</v>
      </c>
      <c r="L31" s="1">
        <f t="shared" ca="1" si="8"/>
        <v>27</v>
      </c>
      <c r="M31" s="1"/>
      <c r="N31" s="1">
        <f t="shared" ca="1" si="9"/>
        <v>237</v>
      </c>
      <c r="O31" s="1">
        <f t="shared" ca="1" si="10"/>
        <v>28</v>
      </c>
      <c r="P31" s="1"/>
      <c r="Q31" s="1">
        <f t="shared" ca="1" si="11"/>
        <v>2.5099381089074297</v>
      </c>
      <c r="R31" s="1">
        <f t="shared" ca="1" si="12"/>
        <v>1040</v>
      </c>
      <c r="S31" s="1"/>
      <c r="T31" s="1">
        <f t="shared" ca="1" si="13"/>
        <v>4.3218752397358846E-2</v>
      </c>
      <c r="U31" s="1">
        <f t="shared" ca="1" si="14"/>
        <v>401</v>
      </c>
      <c r="V31" s="1">
        <f t="shared" ca="1" si="15"/>
        <v>36</v>
      </c>
      <c r="W31" s="1"/>
      <c r="X31" s="1">
        <f t="shared" ca="1" si="16"/>
        <v>8.0266616262015944</v>
      </c>
      <c r="Y31" s="1">
        <f t="shared" ca="1" si="17"/>
        <v>0.96777998720854819</v>
      </c>
      <c r="Z31" s="1">
        <f t="shared" ca="1" si="18"/>
        <v>751</v>
      </c>
      <c r="AB31" s="1">
        <f t="shared" ca="1" si="19"/>
        <v>0.59739074895621147</v>
      </c>
      <c r="AC31" s="1">
        <f t="shared" ca="1" si="20"/>
        <v>515</v>
      </c>
      <c r="AD31" s="1">
        <f t="shared" ca="1" si="21"/>
        <v>6.2484015241441376E-3</v>
      </c>
      <c r="AE31" s="1"/>
      <c r="AF31" s="1">
        <f t="shared" ca="1" si="22"/>
        <v>0.71931109591240483</v>
      </c>
      <c r="AG31" s="1">
        <f t="shared" ca="1" si="23"/>
        <v>475</v>
      </c>
      <c r="AH31" s="1">
        <f t="shared" ca="1" si="24"/>
        <v>1.4601659921643312E-3</v>
      </c>
      <c r="AJ31" s="1">
        <f t="shared" ca="1" si="25"/>
        <v>9.6375195374381883E-2</v>
      </c>
      <c r="AK31" s="1">
        <f t="shared" ca="1" si="26"/>
        <v>1.356522537385629E-3</v>
      </c>
      <c r="AL31" s="1"/>
      <c r="AM31" s="1">
        <f t="shared" ca="1" si="27"/>
        <v>8.6414506842030919E-2</v>
      </c>
      <c r="AN31" s="1">
        <f t="shared" ca="1" si="28"/>
        <v>64</v>
      </c>
      <c r="AO31" s="1">
        <f t="shared" ca="1" si="29"/>
        <v>16</v>
      </c>
      <c r="AQ31" s="1">
        <f t="shared" ca="1" si="30"/>
        <v>126</v>
      </c>
      <c r="AR31" s="1">
        <f t="shared" ca="1" si="31"/>
        <v>10</v>
      </c>
      <c r="AS31" s="1">
        <f t="shared" ca="1" si="32"/>
        <v>1</v>
      </c>
      <c r="AU31" s="1">
        <f t="shared" ca="1" si="33"/>
        <v>166</v>
      </c>
      <c r="AV31" s="1">
        <f t="shared" ca="1" si="34"/>
        <v>2</v>
      </c>
      <c r="AW31" s="1">
        <f t="shared" ca="1" si="35"/>
        <v>0.18324360190229458</v>
      </c>
      <c r="AY31" s="1">
        <f t="shared" ca="1" si="36"/>
        <v>1.7730756505496061</v>
      </c>
      <c r="AZ31" s="1">
        <f t="shared" ca="1" si="37"/>
        <v>211</v>
      </c>
      <c r="BA31" s="1">
        <f t="shared" ca="1" si="38"/>
        <v>3.4806760635447817E-3</v>
      </c>
      <c r="BV31" s="1">
        <f t="shared" ca="1" si="39"/>
        <v>0.75422627813055176</v>
      </c>
      <c r="BW31" s="1">
        <f t="shared" ca="1" si="40"/>
        <v>165</v>
      </c>
      <c r="BX31" s="1">
        <f t="shared" ca="1" si="41"/>
        <v>1.4941176324007437E-4</v>
      </c>
      <c r="BY31" s="1">
        <f t="shared" ca="1" si="42"/>
        <v>5.0776767067618892E-3</v>
      </c>
      <c r="BZ31" s="1">
        <f t="shared" ca="1" si="43"/>
        <v>0.36500599483949669</v>
      </c>
      <c r="CB31" s="1">
        <f t="shared" ca="1" si="44"/>
        <v>180</v>
      </c>
      <c r="CC31" s="1">
        <f t="shared" ca="1" si="45"/>
        <v>15</v>
      </c>
      <c r="CD31" s="1">
        <f t="shared" ca="1" si="46"/>
        <v>0.17495875993964508</v>
      </c>
      <c r="CE31" s="1">
        <f t="shared" ca="1" si="47"/>
        <v>0.96485951424582117</v>
      </c>
      <c r="CF31" s="1">
        <f t="shared" ca="1" si="47"/>
        <v>0.66263839641578448</v>
      </c>
      <c r="CH31" s="3">
        <f t="shared" ca="1" si="48"/>
        <v>0.36453424156633996</v>
      </c>
      <c r="CI31" s="3">
        <f t="shared" ca="1" si="49"/>
        <v>9.9088465371188456E-2</v>
      </c>
      <c r="CJ31" s="3">
        <f t="shared" ca="1" si="50"/>
        <v>1464</v>
      </c>
      <c r="CK31" s="3">
        <f t="shared" ca="1" si="51"/>
        <v>4.9258094867723687E-3</v>
      </c>
      <c r="CL31" s="3">
        <f t="shared" ca="1" si="52"/>
        <v>0</v>
      </c>
      <c r="CM31" s="3"/>
      <c r="CN31" s="1">
        <f t="shared" ca="1" si="53"/>
        <v>17.400750063804775</v>
      </c>
      <c r="CO31" s="1">
        <f t="shared" ca="1" si="54"/>
        <v>0.12723075342743984</v>
      </c>
      <c r="CP31" s="1">
        <f t="shared" ca="1" si="55"/>
        <v>5</v>
      </c>
    </row>
    <row r="32" spans="2:94" x14ac:dyDescent="0.25">
      <c r="B32">
        <f t="shared" ca="1" si="0"/>
        <v>856</v>
      </c>
      <c r="C32">
        <f t="shared" ca="1" si="1"/>
        <v>31</v>
      </c>
      <c r="D32">
        <f t="shared" ca="1" si="2"/>
        <v>0.2554047637616188</v>
      </c>
      <c r="F32" s="1">
        <f t="shared" ca="1" si="3"/>
        <v>8</v>
      </c>
      <c r="G32" s="1">
        <f t="shared" ca="1" si="4"/>
        <v>9</v>
      </c>
      <c r="H32" s="1">
        <f t="shared" ca="1" si="5"/>
        <v>14</v>
      </c>
      <c r="I32" s="1"/>
      <c r="J32" s="1">
        <f t="shared" ca="1" si="6"/>
        <v>31</v>
      </c>
      <c r="K32" s="1">
        <f t="shared" ca="1" si="7"/>
        <v>2.2476236579734934</v>
      </c>
      <c r="L32" s="1">
        <f t="shared" ca="1" si="8"/>
        <v>27</v>
      </c>
      <c r="M32" s="1"/>
      <c r="N32" s="1">
        <f t="shared" ca="1" si="9"/>
        <v>877</v>
      </c>
      <c r="O32" s="1">
        <f t="shared" ca="1" si="10"/>
        <v>5</v>
      </c>
      <c r="P32" s="1"/>
      <c r="Q32" s="1">
        <f t="shared" ca="1" si="11"/>
        <v>1.5876542905135294</v>
      </c>
      <c r="R32" s="1">
        <f t="shared" ca="1" si="12"/>
        <v>740</v>
      </c>
      <c r="S32" s="1"/>
      <c r="T32" s="1">
        <f t="shared" ca="1" si="13"/>
        <v>9.7137399736662633E-2</v>
      </c>
      <c r="U32" s="1">
        <f t="shared" ca="1" si="14"/>
        <v>182</v>
      </c>
      <c r="V32" s="1">
        <f t="shared" ca="1" si="15"/>
        <v>10</v>
      </c>
      <c r="W32" s="1"/>
      <c r="X32" s="1">
        <f t="shared" ca="1" si="16"/>
        <v>4.1350303816784626</v>
      </c>
      <c r="Y32" s="1">
        <f t="shared" ca="1" si="17"/>
        <v>4.8654064498529249E-2</v>
      </c>
      <c r="Z32" s="1">
        <f t="shared" ca="1" si="18"/>
        <v>1847</v>
      </c>
      <c r="AB32" s="1">
        <f t="shared" ca="1" si="19"/>
        <v>0.22690639849659808</v>
      </c>
      <c r="AC32" s="1">
        <f t="shared" ca="1" si="20"/>
        <v>939</v>
      </c>
      <c r="AD32" s="1">
        <f t="shared" ca="1" si="21"/>
        <v>6.500727050535106E-3</v>
      </c>
      <c r="AE32" s="1"/>
      <c r="AF32" s="1">
        <f t="shared" ca="1" si="22"/>
        <v>0.61676671006002148</v>
      </c>
      <c r="AG32" s="1">
        <f t="shared" ca="1" si="23"/>
        <v>903</v>
      </c>
      <c r="AH32" s="1">
        <f t="shared" ca="1" si="24"/>
        <v>4.2940539446003007E-3</v>
      </c>
      <c r="AJ32" s="1">
        <f t="shared" ca="1" si="25"/>
        <v>0.89918223985017032</v>
      </c>
      <c r="AK32" s="1">
        <f t="shared" ca="1" si="26"/>
        <v>8.8345247926173917E-3</v>
      </c>
      <c r="AL32" s="1"/>
      <c r="AM32" s="1">
        <f t="shared" ca="1" si="27"/>
        <v>3.9735659420034319E-2</v>
      </c>
      <c r="AN32" s="1">
        <f t="shared" ca="1" si="28"/>
        <v>48</v>
      </c>
      <c r="AO32" s="1">
        <f t="shared" ca="1" si="29"/>
        <v>-1</v>
      </c>
      <c r="AQ32" s="1">
        <f t="shared" ca="1" si="30"/>
        <v>26</v>
      </c>
      <c r="AR32" s="1">
        <f t="shared" ca="1" si="31"/>
        <v>7</v>
      </c>
      <c r="AS32" s="1">
        <f t="shared" ca="1" si="32"/>
        <v>49</v>
      </c>
      <c r="AU32" s="1">
        <f t="shared" ca="1" si="33"/>
        <v>138</v>
      </c>
      <c r="AV32" s="1">
        <f t="shared" ca="1" si="34"/>
        <v>8</v>
      </c>
      <c r="AW32" s="1">
        <f t="shared" ca="1" si="35"/>
        <v>8.151562175508148E-2</v>
      </c>
      <c r="AY32" s="1">
        <f t="shared" ca="1" si="36"/>
        <v>1.1874115313223148</v>
      </c>
      <c r="AZ32" s="1">
        <f t="shared" ca="1" si="37"/>
        <v>296</v>
      </c>
      <c r="BA32" s="1">
        <f t="shared" ca="1" si="38"/>
        <v>3.4620117871852329E-3</v>
      </c>
      <c r="BV32" s="1">
        <f t="shared" ca="1" si="39"/>
        <v>0.12881372874773339</v>
      </c>
      <c r="BW32" s="1">
        <f t="shared" ca="1" si="40"/>
        <v>745</v>
      </c>
      <c r="BX32" s="1">
        <f t="shared" ca="1" si="41"/>
        <v>2.4603501261582427E-3</v>
      </c>
      <c r="BY32" s="1">
        <f t="shared" ca="1" si="42"/>
        <v>3.3849716644435347E-2</v>
      </c>
      <c r="BZ32" s="1">
        <f t="shared" ca="1" si="43"/>
        <v>0.86597964048322296</v>
      </c>
      <c r="CB32" s="1">
        <f t="shared" ca="1" si="44"/>
        <v>294</v>
      </c>
      <c r="CC32" s="1">
        <f t="shared" ca="1" si="45"/>
        <v>13</v>
      </c>
      <c r="CD32" s="1">
        <f t="shared" ca="1" si="46"/>
        <v>0.15304387913126394</v>
      </c>
      <c r="CE32" s="1">
        <f t="shared" ca="1" si="47"/>
        <v>0.80359633909202377</v>
      </c>
      <c r="CF32" s="1">
        <f t="shared" ca="1" si="47"/>
        <v>0.72780977768255339</v>
      </c>
      <c r="CH32" s="3">
        <f t="shared" ca="1" si="48"/>
        <v>0.65361537943550563</v>
      </c>
      <c r="CI32" s="3">
        <f t="shared" ca="1" si="49"/>
        <v>0.3640352144577082</v>
      </c>
      <c r="CJ32" s="3">
        <f t="shared" ca="1" si="50"/>
        <v>1242</v>
      </c>
      <c r="CK32" s="3">
        <f t="shared" ca="1" si="51"/>
        <v>9.5023550472356933E-3</v>
      </c>
      <c r="CL32" s="3">
        <f t="shared" ca="1" si="52"/>
        <v>1</v>
      </c>
      <c r="CM32" s="3"/>
      <c r="CN32" s="1">
        <f t="shared" ca="1" si="53"/>
        <v>10.144125252762226</v>
      </c>
      <c r="CO32" s="1">
        <f t="shared" ca="1" si="54"/>
        <v>0.17835332038367832</v>
      </c>
      <c r="CP32" s="1">
        <f t="shared" ca="1" si="55"/>
        <v>3</v>
      </c>
    </row>
    <row r="33" spans="2:94" x14ac:dyDescent="0.25">
      <c r="B33">
        <f t="shared" ca="1" si="0"/>
        <v>300</v>
      </c>
      <c r="C33">
        <f t="shared" ca="1" si="1"/>
        <v>48</v>
      </c>
      <c r="D33">
        <f t="shared" ca="1" si="2"/>
        <v>0.20558937308430178</v>
      </c>
      <c r="F33" s="1">
        <f t="shared" ca="1" si="3"/>
        <v>46</v>
      </c>
      <c r="G33" s="1">
        <f t="shared" ca="1" si="4"/>
        <v>5</v>
      </c>
      <c r="H33" s="1">
        <f t="shared" ca="1" si="5"/>
        <v>9</v>
      </c>
      <c r="I33" s="1"/>
      <c r="J33" s="1">
        <f t="shared" ca="1" si="6"/>
        <v>18</v>
      </c>
      <c r="K33" s="1">
        <f t="shared" ca="1" si="7"/>
        <v>2.5606549386499706</v>
      </c>
      <c r="L33" s="1">
        <f t="shared" ca="1" si="8"/>
        <v>12</v>
      </c>
      <c r="M33" s="1"/>
      <c r="N33" s="1">
        <f t="shared" ca="1" si="9"/>
        <v>294</v>
      </c>
      <c r="O33" s="1">
        <f t="shared" ca="1" si="10"/>
        <v>35</v>
      </c>
      <c r="P33" s="1"/>
      <c r="Q33" s="1">
        <f t="shared" ca="1" si="11"/>
        <v>1.2177169963870993</v>
      </c>
      <c r="R33" s="1">
        <f t="shared" ca="1" si="12"/>
        <v>977</v>
      </c>
      <c r="S33" s="1"/>
      <c r="T33" s="1">
        <f t="shared" ca="1" si="13"/>
        <v>5.6784163403239746E-2</v>
      </c>
      <c r="U33" s="1">
        <f t="shared" ca="1" si="14"/>
        <v>171</v>
      </c>
      <c r="V33" s="1">
        <f t="shared" ca="1" si="15"/>
        <v>2</v>
      </c>
      <c r="W33" s="1"/>
      <c r="X33" s="1">
        <f t="shared" ca="1" si="16"/>
        <v>9.9306412141882898</v>
      </c>
      <c r="Y33" s="1">
        <f t="shared" ca="1" si="17"/>
        <v>0.41835968153385977</v>
      </c>
      <c r="Z33" s="1">
        <f t="shared" ca="1" si="18"/>
        <v>1772</v>
      </c>
      <c r="AB33" s="1">
        <f t="shared" ca="1" si="19"/>
        <v>0.91042417987920154</v>
      </c>
      <c r="AC33" s="1">
        <f t="shared" ca="1" si="20"/>
        <v>993</v>
      </c>
      <c r="AD33" s="1">
        <f t="shared" ca="1" si="21"/>
        <v>4.4226780204272599E-3</v>
      </c>
      <c r="AE33" s="1"/>
      <c r="AF33" s="1">
        <f t="shared" ca="1" si="22"/>
        <v>0.75462861806750647</v>
      </c>
      <c r="AG33" s="1">
        <f t="shared" ca="1" si="23"/>
        <v>857</v>
      </c>
      <c r="AH33" s="1">
        <f t="shared" ca="1" si="24"/>
        <v>5.12611122108266E-3</v>
      </c>
      <c r="AJ33" s="1">
        <f t="shared" ca="1" si="25"/>
        <v>0.52369508502131001</v>
      </c>
      <c r="AK33" s="1">
        <f t="shared" ca="1" si="26"/>
        <v>3.7138974999921912E-3</v>
      </c>
      <c r="AL33" s="1"/>
      <c r="AM33" s="1">
        <f t="shared" ca="1" si="27"/>
        <v>0.14980074359448733</v>
      </c>
      <c r="AN33" s="1">
        <f t="shared" ca="1" si="28"/>
        <v>73</v>
      </c>
      <c r="AO33" s="1">
        <f t="shared" ca="1" si="29"/>
        <v>10</v>
      </c>
      <c r="AQ33" s="1">
        <f t="shared" ca="1" si="30"/>
        <v>66</v>
      </c>
      <c r="AR33" s="1">
        <f t="shared" ca="1" si="31"/>
        <v>0</v>
      </c>
      <c r="AS33" s="1">
        <f t="shared" ca="1" si="32"/>
        <v>1</v>
      </c>
      <c r="AU33" s="1">
        <f t="shared" ca="1" si="33"/>
        <v>74</v>
      </c>
      <c r="AV33" s="1">
        <f t="shared" ca="1" si="34"/>
        <v>3</v>
      </c>
      <c r="AW33" s="1">
        <f t="shared" ca="1" si="35"/>
        <v>0.14481305984700343</v>
      </c>
      <c r="AY33" s="1">
        <f t="shared" ca="1" si="36"/>
        <v>1.9320810359016125</v>
      </c>
      <c r="AZ33" s="1">
        <f t="shared" ca="1" si="37"/>
        <v>173</v>
      </c>
      <c r="BA33" s="1">
        <f t="shared" ca="1" si="38"/>
        <v>5.5562632884390189E-3</v>
      </c>
      <c r="BV33" s="1">
        <f t="shared" ca="1" si="39"/>
        <v>0.31792646231910243</v>
      </c>
      <c r="BW33" s="1">
        <f t="shared" ca="1" si="40"/>
        <v>627</v>
      </c>
      <c r="BX33" s="1">
        <f t="shared" ca="1" si="41"/>
        <v>6.3953792156747355E-3</v>
      </c>
      <c r="BY33" s="1">
        <f t="shared" ca="1" si="42"/>
        <v>5.1652476679960355E-2</v>
      </c>
      <c r="BZ33" s="1">
        <f t="shared" ca="1" si="43"/>
        <v>0.56253283349971905</v>
      </c>
      <c r="CB33" s="1">
        <f t="shared" ca="1" si="44"/>
        <v>228</v>
      </c>
      <c r="CC33" s="1">
        <f t="shared" ca="1" si="45"/>
        <v>14</v>
      </c>
      <c r="CD33" s="1">
        <f t="shared" ca="1" si="46"/>
        <v>0.26469357852567343</v>
      </c>
      <c r="CE33" s="1">
        <f t="shared" ca="1" si="47"/>
        <v>0.64764868088345651</v>
      </c>
      <c r="CF33" s="1">
        <f t="shared" ca="1" si="47"/>
        <v>0.5665702342968888</v>
      </c>
      <c r="CH33" s="3">
        <f t="shared" ca="1" si="48"/>
        <v>0.8597786902430582</v>
      </c>
      <c r="CI33" s="3">
        <f t="shared" ca="1" si="49"/>
        <v>0.22960706215405965</v>
      </c>
      <c r="CJ33" s="3">
        <f t="shared" ca="1" si="50"/>
        <v>1855</v>
      </c>
      <c r="CK33" s="3">
        <f t="shared" ca="1" si="51"/>
        <v>6.0356816865289277E-3</v>
      </c>
      <c r="CL33" s="3">
        <f t="shared" ca="1" si="52"/>
        <v>1</v>
      </c>
      <c r="CM33" s="3"/>
      <c r="CN33" s="1">
        <f t="shared" ca="1" si="53"/>
        <v>2.0079087021126987</v>
      </c>
      <c r="CO33" s="1">
        <f t="shared" ca="1" si="54"/>
        <v>0.30650452857779037</v>
      </c>
      <c r="CP33" s="1">
        <f t="shared" ca="1" si="55"/>
        <v>4</v>
      </c>
    </row>
    <row r="34" spans="2:94" x14ac:dyDescent="0.25">
      <c r="B34">
        <f t="shared" ca="1" si="0"/>
        <v>43</v>
      </c>
      <c r="C34">
        <f t="shared" ca="1" si="1"/>
        <v>32</v>
      </c>
      <c r="D34">
        <f t="shared" ca="1" si="2"/>
        <v>0.2602180049150466</v>
      </c>
      <c r="F34" s="1">
        <f t="shared" ca="1" si="3"/>
        <v>42</v>
      </c>
      <c r="G34" s="1">
        <f t="shared" ca="1" si="4"/>
        <v>16</v>
      </c>
      <c r="H34" s="1">
        <f t="shared" ca="1" si="5"/>
        <v>12</v>
      </c>
      <c r="I34" s="1"/>
      <c r="J34" s="1">
        <f t="shared" ca="1" si="6"/>
        <v>29</v>
      </c>
      <c r="K34" s="1">
        <f t="shared" ca="1" si="7"/>
        <v>1.631439630529059</v>
      </c>
      <c r="L34" s="1">
        <f t="shared" ca="1" si="8"/>
        <v>31</v>
      </c>
      <c r="M34" s="1"/>
      <c r="N34" s="1">
        <f t="shared" ca="1" si="9"/>
        <v>877</v>
      </c>
      <c r="O34" s="1">
        <f t="shared" ca="1" si="10"/>
        <v>7</v>
      </c>
      <c r="P34" s="1"/>
      <c r="Q34" s="1">
        <f t="shared" ca="1" si="11"/>
        <v>1.3042514870869519</v>
      </c>
      <c r="R34" s="1">
        <f t="shared" ca="1" si="12"/>
        <v>601</v>
      </c>
      <c r="S34" s="1"/>
      <c r="T34" s="1">
        <f t="shared" ca="1" si="13"/>
        <v>0.15988371552956043</v>
      </c>
      <c r="U34" s="1">
        <f t="shared" ca="1" si="14"/>
        <v>172</v>
      </c>
      <c r="V34" s="1">
        <f t="shared" ca="1" si="15"/>
        <v>41</v>
      </c>
      <c r="W34" s="1"/>
      <c r="X34" s="1">
        <f t="shared" ca="1" si="16"/>
        <v>9.7388091862137998</v>
      </c>
      <c r="Y34" s="1">
        <f t="shared" ca="1" si="17"/>
        <v>0.19487363138612701</v>
      </c>
      <c r="Z34" s="1">
        <f t="shared" ca="1" si="18"/>
        <v>959</v>
      </c>
      <c r="AB34" s="1">
        <f t="shared" ca="1" si="19"/>
        <v>0.40486193126529402</v>
      </c>
      <c r="AC34" s="1">
        <f t="shared" ca="1" si="20"/>
        <v>872</v>
      </c>
      <c r="AD34" s="1">
        <f t="shared" ca="1" si="21"/>
        <v>3.9424759844161814E-3</v>
      </c>
      <c r="AE34" s="1"/>
      <c r="AF34" s="1">
        <f t="shared" ca="1" si="22"/>
        <v>0.46910662958038218</v>
      </c>
      <c r="AG34" s="1">
        <f t="shared" ca="1" si="23"/>
        <v>180</v>
      </c>
      <c r="AH34" s="1">
        <f t="shared" ca="1" si="24"/>
        <v>7.5880718246422669E-3</v>
      </c>
      <c r="AJ34" s="1">
        <f t="shared" ca="1" si="25"/>
        <v>0.16604780404424424</v>
      </c>
      <c r="AK34" s="1">
        <f t="shared" ca="1" si="26"/>
        <v>8.900043904597971E-3</v>
      </c>
      <c r="AL34" s="1"/>
      <c r="AM34" s="1">
        <f t="shared" ca="1" si="27"/>
        <v>0.16959180195791754</v>
      </c>
      <c r="AN34" s="1">
        <f t="shared" ca="1" si="28"/>
        <v>14</v>
      </c>
      <c r="AO34" s="1">
        <f t="shared" ca="1" si="29"/>
        <v>2</v>
      </c>
      <c r="AQ34" s="1">
        <f t="shared" ca="1" si="30"/>
        <v>29</v>
      </c>
      <c r="AR34" s="1">
        <f t="shared" ca="1" si="31"/>
        <v>9</v>
      </c>
      <c r="AS34" s="1">
        <f t="shared" ca="1" si="32"/>
        <v>13</v>
      </c>
      <c r="AU34" s="1">
        <f t="shared" ca="1" si="33"/>
        <v>67</v>
      </c>
      <c r="AV34" s="1">
        <f t="shared" ca="1" si="34"/>
        <v>8</v>
      </c>
      <c r="AW34" s="1">
        <f t="shared" ca="1" si="35"/>
        <v>3.4761477316615538E-2</v>
      </c>
      <c r="AY34" s="1">
        <f t="shared" ca="1" si="36"/>
        <v>1.2877806148718782</v>
      </c>
      <c r="AZ34" s="1">
        <f t="shared" ca="1" si="37"/>
        <v>280</v>
      </c>
      <c r="BA34" s="1">
        <f t="shared" ca="1" si="38"/>
        <v>4.853304570770026E-3</v>
      </c>
      <c r="BV34" s="1">
        <f t="shared" ca="1" si="39"/>
        <v>0.6828820261186016</v>
      </c>
      <c r="BW34" s="1">
        <f t="shared" ca="1" si="40"/>
        <v>547</v>
      </c>
      <c r="BX34" s="1">
        <f t="shared" ca="1" si="41"/>
        <v>4.8377093213674005E-3</v>
      </c>
      <c r="BY34" s="1">
        <f t="shared" ca="1" si="42"/>
        <v>7.5519488028152155E-3</v>
      </c>
      <c r="BZ34" s="1">
        <f t="shared" ca="1" si="43"/>
        <v>0.2254547067400785</v>
      </c>
      <c r="CB34" s="1">
        <f t="shared" ca="1" si="44"/>
        <v>151</v>
      </c>
      <c r="CC34" s="1">
        <f t="shared" ca="1" si="45"/>
        <v>9</v>
      </c>
      <c r="CD34" s="1">
        <f t="shared" ca="1" si="46"/>
        <v>0.25209769624840567</v>
      </c>
      <c r="CE34" s="1">
        <f t="shared" ca="1" si="47"/>
        <v>0.75166858975861706</v>
      </c>
      <c r="CF34" s="1">
        <f t="shared" ca="1" si="47"/>
        <v>0.64361902478716904</v>
      </c>
      <c r="CH34" s="3">
        <f t="shared" ca="1" si="48"/>
        <v>0.70569070196057471</v>
      </c>
      <c r="CI34" s="3">
        <f t="shared" ca="1" si="49"/>
        <v>0.31894452742370549</v>
      </c>
      <c r="CJ34" s="3">
        <f t="shared" ca="1" si="50"/>
        <v>575</v>
      </c>
      <c r="CK34" s="3">
        <f t="shared" ca="1" si="51"/>
        <v>8.126867199286061E-3</v>
      </c>
      <c r="CL34" s="3">
        <f t="shared" ca="1" si="52"/>
        <v>1</v>
      </c>
      <c r="CM34" s="3"/>
      <c r="CN34" s="1">
        <f t="shared" ca="1" si="53"/>
        <v>4.5691007113803863</v>
      </c>
      <c r="CO34" s="1">
        <f t="shared" ca="1" si="54"/>
        <v>0.44406335506881017</v>
      </c>
      <c r="CP34" s="1">
        <f t="shared" ca="1" si="55"/>
        <v>4</v>
      </c>
    </row>
    <row r="35" spans="2:94" x14ac:dyDescent="0.25">
      <c r="B35">
        <f t="shared" ca="1" si="0"/>
        <v>62</v>
      </c>
      <c r="C35">
        <f t="shared" ca="1" si="1"/>
        <v>46</v>
      </c>
      <c r="D35">
        <f t="shared" ca="1" si="2"/>
        <v>0.21435270811341942</v>
      </c>
      <c r="F35" s="1">
        <f t="shared" ca="1" si="3"/>
        <v>5</v>
      </c>
      <c r="G35" s="1">
        <f t="shared" ca="1" si="4"/>
        <v>17</v>
      </c>
      <c r="H35" s="1">
        <f t="shared" ca="1" si="5"/>
        <v>15</v>
      </c>
      <c r="I35" s="1"/>
      <c r="J35" s="1">
        <f t="shared" ca="1" si="6"/>
        <v>38</v>
      </c>
      <c r="K35" s="1">
        <f t="shared" ca="1" si="7"/>
        <v>2.30750823707778</v>
      </c>
      <c r="L35" s="1">
        <f t="shared" ca="1" si="8"/>
        <v>32</v>
      </c>
      <c r="M35" s="1"/>
      <c r="N35" s="1">
        <f t="shared" ca="1" si="9"/>
        <v>783</v>
      </c>
      <c r="O35" s="1">
        <f t="shared" ca="1" si="10"/>
        <v>2</v>
      </c>
      <c r="P35" s="1"/>
      <c r="Q35" s="1">
        <f t="shared" ca="1" si="11"/>
        <v>4.8423601224686514</v>
      </c>
      <c r="R35" s="1">
        <f t="shared" ca="1" si="12"/>
        <v>658</v>
      </c>
      <c r="S35" s="1"/>
      <c r="T35" s="1">
        <f t="shared" ca="1" si="13"/>
        <v>0.11046654306618801</v>
      </c>
      <c r="U35" s="1">
        <f t="shared" ca="1" si="14"/>
        <v>114</v>
      </c>
      <c r="V35" s="1">
        <f t="shared" ca="1" si="15"/>
        <v>42</v>
      </c>
      <c r="W35" s="1"/>
      <c r="X35" s="1">
        <f t="shared" ca="1" si="16"/>
        <v>3.1453422144351175</v>
      </c>
      <c r="Y35" s="1">
        <f t="shared" ca="1" si="17"/>
        <v>0.4560949696569232</v>
      </c>
      <c r="Z35" s="1">
        <f t="shared" ca="1" si="18"/>
        <v>1943</v>
      </c>
      <c r="AB35" s="1">
        <f t="shared" ca="1" si="19"/>
        <v>0.30456550036832719</v>
      </c>
      <c r="AC35" s="1">
        <f t="shared" ca="1" si="20"/>
        <v>467</v>
      </c>
      <c r="AD35" s="1">
        <f t="shared" ca="1" si="21"/>
        <v>7.3566685589377184E-3</v>
      </c>
      <c r="AE35" s="1"/>
      <c r="AF35" s="1">
        <f t="shared" ca="1" si="22"/>
        <v>0.13537221768026156</v>
      </c>
      <c r="AG35" s="1">
        <f t="shared" ca="1" si="23"/>
        <v>183</v>
      </c>
      <c r="AH35" s="1">
        <f t="shared" ca="1" si="24"/>
        <v>2.4903383066544678E-3</v>
      </c>
      <c r="AJ35" s="1">
        <f t="shared" ca="1" si="25"/>
        <v>0.78599544281474265</v>
      </c>
      <c r="AK35" s="1">
        <f t="shared" ca="1" si="26"/>
        <v>8.3261857496975226E-3</v>
      </c>
      <c r="AL35" s="1"/>
      <c r="AM35" s="1">
        <f t="shared" ca="1" si="27"/>
        <v>0.16715308503180556</v>
      </c>
      <c r="AN35" s="1">
        <f t="shared" ca="1" si="28"/>
        <v>50</v>
      </c>
      <c r="AO35" s="1">
        <f t="shared" ca="1" si="29"/>
        <v>4</v>
      </c>
      <c r="AQ35" s="1">
        <f t="shared" ca="1" si="30"/>
        <v>81</v>
      </c>
      <c r="AR35" s="1">
        <f t="shared" ca="1" si="31"/>
        <v>9</v>
      </c>
      <c r="AS35" s="1">
        <f t="shared" ca="1" si="32"/>
        <v>50</v>
      </c>
      <c r="AU35" s="1">
        <f t="shared" ca="1" si="33"/>
        <v>124</v>
      </c>
      <c r="AV35" s="1">
        <f t="shared" ca="1" si="34"/>
        <v>6</v>
      </c>
      <c r="AW35" s="1">
        <f t="shared" ca="1" si="35"/>
        <v>0.17654811901480041</v>
      </c>
      <c r="AY35" s="1">
        <f t="shared" ca="1" si="36"/>
        <v>1.3833714437805718</v>
      </c>
      <c r="AZ35" s="1">
        <f t="shared" ca="1" si="37"/>
        <v>353</v>
      </c>
      <c r="BA35" s="1">
        <f t="shared" ca="1" si="38"/>
        <v>1.8018156325452185E-3</v>
      </c>
      <c r="BV35" s="1">
        <f t="shared" ca="1" si="39"/>
        <v>0.74819811417055637</v>
      </c>
      <c r="BW35" s="1">
        <f t="shared" ca="1" si="40"/>
        <v>796</v>
      </c>
      <c r="BX35" s="1">
        <f t="shared" ca="1" si="41"/>
        <v>9.8836086108877903E-3</v>
      </c>
      <c r="BY35" s="1">
        <f t="shared" ca="1" si="42"/>
        <v>5.604225708138684E-2</v>
      </c>
      <c r="BZ35" s="1">
        <f t="shared" ca="1" si="43"/>
        <v>0.65132782716034332</v>
      </c>
      <c r="CB35" s="1">
        <f t="shared" ca="1" si="44"/>
        <v>265</v>
      </c>
      <c r="CC35" s="1">
        <f t="shared" ca="1" si="45"/>
        <v>5</v>
      </c>
      <c r="CD35" s="1">
        <f t="shared" ca="1" si="46"/>
        <v>0.25270493710301528</v>
      </c>
      <c r="CE35" s="1">
        <f t="shared" ca="1" si="47"/>
        <v>0.78880200027988889</v>
      </c>
      <c r="CF35" s="1">
        <f t="shared" ca="1" si="47"/>
        <v>0.71494615252271154</v>
      </c>
      <c r="CH35" s="3">
        <f t="shared" ca="1" si="48"/>
        <v>0.55271273999203496</v>
      </c>
      <c r="CI35" s="3">
        <f t="shared" ca="1" si="49"/>
        <v>0.58198323777250016</v>
      </c>
      <c r="CJ35" s="3">
        <f t="shared" ca="1" si="50"/>
        <v>273</v>
      </c>
      <c r="CK35" s="3">
        <f t="shared" ca="1" si="51"/>
        <v>1.5296244079096306E-3</v>
      </c>
      <c r="CL35" s="3">
        <f t="shared" ca="1" si="52"/>
        <v>0</v>
      </c>
      <c r="CM35" s="3"/>
      <c r="CN35" s="1">
        <f t="shared" ca="1" si="53"/>
        <v>15.121364553114947</v>
      </c>
      <c r="CO35" s="1">
        <f t="shared" ca="1" si="54"/>
        <v>0.23351378119367636</v>
      </c>
      <c r="CP35" s="1">
        <f t="shared" ca="1" si="55"/>
        <v>2</v>
      </c>
    </row>
    <row r="36" spans="2:94" x14ac:dyDescent="0.25">
      <c r="B36">
        <f t="shared" ca="1" si="0"/>
        <v>40</v>
      </c>
      <c r="C36">
        <f t="shared" ca="1" si="1"/>
        <v>35</v>
      </c>
      <c r="D36">
        <f t="shared" ca="1" si="2"/>
        <v>0.27429783248908568</v>
      </c>
      <c r="F36" s="1">
        <f t="shared" ca="1" si="3"/>
        <v>8</v>
      </c>
      <c r="G36" s="1">
        <f t="shared" ca="1" si="4"/>
        <v>8</v>
      </c>
      <c r="H36" s="1">
        <f t="shared" ca="1" si="5"/>
        <v>3</v>
      </c>
      <c r="I36" s="1"/>
      <c r="J36" s="1">
        <f t="shared" ca="1" si="6"/>
        <v>27</v>
      </c>
      <c r="K36" s="1">
        <f t="shared" ca="1" si="7"/>
        <v>1.9711723470244884</v>
      </c>
      <c r="L36" s="1">
        <f t="shared" ca="1" si="8"/>
        <v>26</v>
      </c>
      <c r="M36" s="1"/>
      <c r="N36" s="1">
        <f t="shared" ca="1" si="9"/>
        <v>472</v>
      </c>
      <c r="O36" s="1">
        <f t="shared" ca="1" si="10"/>
        <v>14</v>
      </c>
      <c r="P36" s="1"/>
      <c r="Q36" s="1">
        <f t="shared" ca="1" si="11"/>
        <v>2.3694863379185946</v>
      </c>
      <c r="R36" s="1">
        <f t="shared" ca="1" si="12"/>
        <v>871</v>
      </c>
      <c r="S36" s="1"/>
      <c r="T36" s="1">
        <f t="shared" ca="1" si="13"/>
        <v>0.11609763668872536</v>
      </c>
      <c r="U36" s="1">
        <f t="shared" ca="1" si="14"/>
        <v>350</v>
      </c>
      <c r="V36" s="1">
        <f t="shared" ca="1" si="15"/>
        <v>18</v>
      </c>
      <c r="W36" s="1"/>
      <c r="X36" s="1">
        <f t="shared" ca="1" si="16"/>
        <v>2.3263616173566408</v>
      </c>
      <c r="Y36" s="1">
        <f t="shared" ca="1" si="17"/>
        <v>0.66159832534509477</v>
      </c>
      <c r="Z36" s="1">
        <f t="shared" ca="1" si="18"/>
        <v>1239</v>
      </c>
      <c r="AB36" s="1">
        <f t="shared" ca="1" si="19"/>
        <v>0.32166446433976703</v>
      </c>
      <c r="AC36" s="1">
        <f t="shared" ca="1" si="20"/>
        <v>413</v>
      </c>
      <c r="AD36" s="1">
        <f t="shared" ca="1" si="21"/>
        <v>4.6022432996479009E-3</v>
      </c>
      <c r="AE36" s="1"/>
      <c r="AF36" s="1">
        <f t="shared" ca="1" si="22"/>
        <v>0.84152314953590246</v>
      </c>
      <c r="AG36" s="1">
        <f t="shared" ca="1" si="23"/>
        <v>765</v>
      </c>
      <c r="AH36" s="1">
        <f t="shared" ca="1" si="24"/>
        <v>9.5163144664777675E-3</v>
      </c>
      <c r="AJ36" s="1">
        <f t="shared" ca="1" si="25"/>
        <v>0.73404493995079556</v>
      </c>
      <c r="AK36" s="1">
        <f t="shared" ca="1" si="26"/>
        <v>7.0995174256443024E-3</v>
      </c>
      <c r="AL36" s="1"/>
      <c r="AM36" s="1">
        <f t="shared" ca="1" si="27"/>
        <v>0.14062851899249859</v>
      </c>
      <c r="AN36" s="1">
        <f t="shared" ca="1" si="28"/>
        <v>67</v>
      </c>
      <c r="AO36" s="1">
        <f t="shared" ca="1" si="29"/>
        <v>6</v>
      </c>
      <c r="AQ36" s="1">
        <f t="shared" ca="1" si="30"/>
        <v>169</v>
      </c>
      <c r="AR36" s="1">
        <f t="shared" ca="1" si="31"/>
        <v>10</v>
      </c>
      <c r="AS36" s="1">
        <f t="shared" ca="1" si="32"/>
        <v>21</v>
      </c>
      <c r="AU36" s="1">
        <f t="shared" ca="1" si="33"/>
        <v>61</v>
      </c>
      <c r="AV36" s="1">
        <f t="shared" ca="1" si="34"/>
        <v>10</v>
      </c>
      <c r="AW36" s="1">
        <f t="shared" ca="1" si="35"/>
        <v>0.12044508605300901</v>
      </c>
      <c r="AY36" s="1">
        <f t="shared" ca="1" si="36"/>
        <v>1.9054066055918937</v>
      </c>
      <c r="AZ36" s="1">
        <f t="shared" ca="1" si="37"/>
        <v>213</v>
      </c>
      <c r="BA36" s="1">
        <f t="shared" ca="1" si="38"/>
        <v>6.5144478985547632E-3</v>
      </c>
      <c r="BV36" s="1">
        <f t="shared" ca="1" si="39"/>
        <v>0.7179705474143</v>
      </c>
      <c r="BW36" s="1">
        <f t="shared" ca="1" si="40"/>
        <v>358</v>
      </c>
      <c r="BX36" s="1">
        <f t="shared" ca="1" si="41"/>
        <v>5.3265880846828893E-4</v>
      </c>
      <c r="BY36" s="1">
        <f t="shared" ca="1" si="42"/>
        <v>4.4543333585096392E-2</v>
      </c>
      <c r="BZ36" s="1">
        <f t="shared" ca="1" si="43"/>
        <v>0.97976402223849113</v>
      </c>
      <c r="CB36" s="1">
        <f t="shared" ca="1" si="44"/>
        <v>288</v>
      </c>
      <c r="CC36" s="1">
        <f t="shared" ca="1" si="45"/>
        <v>5</v>
      </c>
      <c r="CD36" s="1">
        <f t="shared" ca="1" si="46"/>
        <v>0.29764197469933878</v>
      </c>
      <c r="CE36" s="1">
        <f t="shared" ref="CE36:CF67" ca="1" si="56">RAND()*(1-0.5)+0.5</f>
        <v>0.5262917208270379</v>
      </c>
      <c r="CF36" s="1">
        <f t="shared" ca="1" si="56"/>
        <v>0.54866572213038522</v>
      </c>
      <c r="CH36" s="3">
        <f t="shared" ca="1" si="48"/>
        <v>0.98477964126037876</v>
      </c>
      <c r="CI36" s="3">
        <f t="shared" ca="1" si="49"/>
        <v>0.91363265623076173</v>
      </c>
      <c r="CJ36" s="3">
        <f t="shared" ca="1" si="50"/>
        <v>803</v>
      </c>
      <c r="CK36" s="3">
        <f t="shared" ca="1" si="51"/>
        <v>8.0825315269494723E-3</v>
      </c>
      <c r="CL36" s="3">
        <f t="shared" ca="1" si="52"/>
        <v>1</v>
      </c>
      <c r="CM36" s="3"/>
      <c r="CN36" s="1">
        <f t="shared" ca="1" si="53"/>
        <v>16.745602221357888</v>
      </c>
      <c r="CO36" s="1">
        <f t="shared" ca="1" si="54"/>
        <v>0.10557436661301081</v>
      </c>
      <c r="CP36" s="1">
        <f t="shared" ca="1" si="55"/>
        <v>3</v>
      </c>
    </row>
    <row r="37" spans="2:94" x14ac:dyDescent="0.25">
      <c r="B37">
        <f t="shared" ca="1" si="0"/>
        <v>270</v>
      </c>
      <c r="C37">
        <f t="shared" ca="1" si="1"/>
        <v>33</v>
      </c>
      <c r="D37">
        <f t="shared" ca="1" si="2"/>
        <v>0.10414519400775428</v>
      </c>
      <c r="F37" s="1">
        <f t="shared" ca="1" si="3"/>
        <v>35</v>
      </c>
      <c r="G37" s="1">
        <f t="shared" ca="1" si="4"/>
        <v>24</v>
      </c>
      <c r="H37" s="1">
        <f t="shared" ca="1" si="5"/>
        <v>8</v>
      </c>
      <c r="I37" s="1"/>
      <c r="J37" s="1">
        <f t="shared" ca="1" si="6"/>
        <v>17</v>
      </c>
      <c r="K37" s="1">
        <f t="shared" ca="1" si="7"/>
        <v>2.2989428672417462</v>
      </c>
      <c r="L37" s="1">
        <f t="shared" ca="1" si="8"/>
        <v>17</v>
      </c>
      <c r="M37" s="1"/>
      <c r="N37" s="1">
        <f t="shared" ca="1" si="9"/>
        <v>44</v>
      </c>
      <c r="O37" s="1">
        <f t="shared" ca="1" si="10"/>
        <v>42</v>
      </c>
      <c r="P37" s="1"/>
      <c r="Q37" s="1">
        <f t="shared" ca="1" si="11"/>
        <v>3.7442959348820635</v>
      </c>
      <c r="R37" s="1">
        <f t="shared" ca="1" si="12"/>
        <v>1121</v>
      </c>
      <c r="S37" s="1"/>
      <c r="T37" s="1">
        <f t="shared" ca="1" si="13"/>
        <v>1.9399872609823399E-2</v>
      </c>
      <c r="U37" s="1">
        <f t="shared" ca="1" si="14"/>
        <v>308</v>
      </c>
      <c r="V37" s="1">
        <f t="shared" ca="1" si="15"/>
        <v>20</v>
      </c>
      <c r="W37" s="1"/>
      <c r="X37" s="1">
        <f t="shared" ca="1" si="16"/>
        <v>8.7001872530129027</v>
      </c>
      <c r="Y37" s="1">
        <f t="shared" ca="1" si="17"/>
        <v>0.73339716309780645</v>
      </c>
      <c r="Z37" s="1">
        <f t="shared" ca="1" si="18"/>
        <v>1221</v>
      </c>
      <c r="AB37" s="1">
        <f t="shared" ca="1" si="19"/>
        <v>0.77085205141231916</v>
      </c>
      <c r="AC37" s="1">
        <f t="shared" ca="1" si="20"/>
        <v>895</v>
      </c>
      <c r="AD37" s="1">
        <f t="shared" ca="1" si="21"/>
        <v>7.5699419275820001E-3</v>
      </c>
      <c r="AE37" s="1"/>
      <c r="AF37" s="1">
        <f t="shared" ca="1" si="22"/>
        <v>0.31507506080121084</v>
      </c>
      <c r="AG37" s="1">
        <f t="shared" ca="1" si="23"/>
        <v>355</v>
      </c>
      <c r="AH37" s="1">
        <f t="shared" ca="1" si="24"/>
        <v>1.4302615480218006E-3</v>
      </c>
      <c r="AJ37" s="1">
        <f t="shared" ca="1" si="25"/>
        <v>0.68010295208659122</v>
      </c>
      <c r="AK37" s="1">
        <f t="shared" ca="1" si="26"/>
        <v>4.144165239107264E-4</v>
      </c>
      <c r="AL37" s="1"/>
      <c r="AM37" s="1">
        <f t="shared" ca="1" si="27"/>
        <v>0.15805003440232021</v>
      </c>
      <c r="AN37" s="1">
        <f t="shared" ca="1" si="28"/>
        <v>38</v>
      </c>
      <c r="AO37" s="1">
        <f t="shared" ca="1" si="29"/>
        <v>14</v>
      </c>
      <c r="AQ37" s="1">
        <f t="shared" ca="1" si="30"/>
        <v>39</v>
      </c>
      <c r="AR37" s="1">
        <f t="shared" ca="1" si="31"/>
        <v>2</v>
      </c>
      <c r="AS37" s="1">
        <f t="shared" ca="1" si="32"/>
        <v>84</v>
      </c>
      <c r="AU37" s="1">
        <f t="shared" ca="1" si="33"/>
        <v>270</v>
      </c>
      <c r="AV37" s="1">
        <f t="shared" ca="1" si="34"/>
        <v>5</v>
      </c>
      <c r="AW37" s="1">
        <f t="shared" ca="1" si="35"/>
        <v>0.12963965575101136</v>
      </c>
      <c r="AY37" s="1">
        <f t="shared" ca="1" si="36"/>
        <v>1.6007895290062668</v>
      </c>
      <c r="AZ37" s="1">
        <f t="shared" ca="1" si="37"/>
        <v>56</v>
      </c>
      <c r="BA37" s="1">
        <f t="shared" ca="1" si="38"/>
        <v>1.2511383028896601E-3</v>
      </c>
      <c r="BV37" s="1">
        <f t="shared" ca="1" si="39"/>
        <v>0.80293200153862909</v>
      </c>
      <c r="BW37" s="1">
        <f t="shared" ca="1" si="40"/>
        <v>644</v>
      </c>
      <c r="BX37" s="1">
        <f t="shared" ca="1" si="41"/>
        <v>5.9710164754968962E-3</v>
      </c>
      <c r="BY37" s="1">
        <f t="shared" ca="1" si="42"/>
        <v>9.9791874628138058E-2</v>
      </c>
      <c r="BZ37" s="1">
        <f t="shared" ca="1" si="43"/>
        <v>0.34710343519623743</v>
      </c>
      <c r="CB37" s="1">
        <f t="shared" ca="1" si="44"/>
        <v>241</v>
      </c>
      <c r="CC37" s="1">
        <f t="shared" ca="1" si="45"/>
        <v>7</v>
      </c>
      <c r="CD37" s="1">
        <f t="shared" ca="1" si="46"/>
        <v>0.22878184868116938</v>
      </c>
      <c r="CE37" s="1">
        <f t="shared" ca="1" si="56"/>
        <v>0.58002395589420397</v>
      </c>
      <c r="CF37" s="1">
        <f t="shared" ca="1" si="56"/>
        <v>0.51515540313897912</v>
      </c>
      <c r="CH37" s="3">
        <f t="shared" ca="1" si="48"/>
        <v>0.17742177368156617</v>
      </c>
      <c r="CI37" s="3">
        <f t="shared" ca="1" si="49"/>
        <v>1.6487769388280768E-2</v>
      </c>
      <c r="CJ37" s="3">
        <f t="shared" ca="1" si="50"/>
        <v>1070</v>
      </c>
      <c r="CK37" s="3">
        <f t="shared" ca="1" si="51"/>
        <v>2.2141657722545348E-3</v>
      </c>
      <c r="CL37" s="3">
        <f t="shared" ca="1" si="52"/>
        <v>0</v>
      </c>
      <c r="CM37" s="3"/>
      <c r="CN37" s="1">
        <f t="shared" ca="1" si="53"/>
        <v>3.9535661493486698</v>
      </c>
      <c r="CO37" s="1">
        <f t="shared" ca="1" si="54"/>
        <v>0.16870088141186798</v>
      </c>
      <c r="CP37" s="1">
        <f t="shared" ca="1" si="55"/>
        <v>2</v>
      </c>
    </row>
    <row r="38" spans="2:94" x14ac:dyDescent="0.25">
      <c r="B38">
        <f t="shared" ca="1" si="0"/>
        <v>874</v>
      </c>
      <c r="C38">
        <f t="shared" ca="1" si="1"/>
        <v>36</v>
      </c>
      <c r="D38">
        <f t="shared" ca="1" si="2"/>
        <v>0.26324976909515507</v>
      </c>
      <c r="F38" s="1">
        <f t="shared" ca="1" si="3"/>
        <v>17</v>
      </c>
      <c r="G38" s="1">
        <f t="shared" ca="1" si="4"/>
        <v>19</v>
      </c>
      <c r="H38" s="1">
        <f t="shared" ca="1" si="5"/>
        <v>4</v>
      </c>
      <c r="I38" s="1"/>
      <c r="J38" s="1">
        <f t="shared" ca="1" si="6"/>
        <v>28</v>
      </c>
      <c r="K38" s="1">
        <f t="shared" ca="1" si="7"/>
        <v>2.2451911276332126</v>
      </c>
      <c r="L38" s="1">
        <f t="shared" ca="1" si="8"/>
        <v>35</v>
      </c>
      <c r="M38" s="1"/>
      <c r="N38" s="1">
        <f t="shared" ca="1" si="9"/>
        <v>761</v>
      </c>
      <c r="O38" s="1">
        <f t="shared" ca="1" si="10"/>
        <v>42</v>
      </c>
      <c r="P38" s="1"/>
      <c r="Q38" s="1">
        <f t="shared" ca="1" si="11"/>
        <v>2.6146937126499399</v>
      </c>
      <c r="R38" s="1">
        <f t="shared" ca="1" si="12"/>
        <v>1006</v>
      </c>
      <c r="S38" s="1"/>
      <c r="T38" s="1">
        <f t="shared" ca="1" si="13"/>
        <v>0.14276654451845755</v>
      </c>
      <c r="U38" s="1">
        <f t="shared" ca="1" si="14"/>
        <v>280</v>
      </c>
      <c r="V38" s="1">
        <f t="shared" ca="1" si="15"/>
        <v>6</v>
      </c>
      <c r="W38" s="1"/>
      <c r="X38" s="1">
        <f t="shared" ca="1" si="16"/>
        <v>6.5929517929907933</v>
      </c>
      <c r="Y38" s="1">
        <f t="shared" ca="1" si="17"/>
        <v>0.52331710004720189</v>
      </c>
      <c r="Z38" s="1">
        <f t="shared" ca="1" si="18"/>
        <v>1127</v>
      </c>
      <c r="AB38" s="1">
        <f t="shared" ca="1" si="19"/>
        <v>0.9982208737573236</v>
      </c>
      <c r="AC38" s="1">
        <f t="shared" ca="1" si="20"/>
        <v>571</v>
      </c>
      <c r="AD38" s="1">
        <f t="shared" ca="1" si="21"/>
        <v>4.6565378626858469E-3</v>
      </c>
      <c r="AE38" s="1"/>
      <c r="AF38" s="1">
        <f t="shared" ca="1" si="22"/>
        <v>0.82261719520301335</v>
      </c>
      <c r="AG38" s="1">
        <f t="shared" ca="1" si="23"/>
        <v>927</v>
      </c>
      <c r="AH38" s="1">
        <f t="shared" ca="1" si="24"/>
        <v>2.1099255850433596E-3</v>
      </c>
      <c r="AJ38" s="1">
        <f t="shared" ca="1" si="25"/>
        <v>0.3531206854407799</v>
      </c>
      <c r="AK38" s="1">
        <f t="shared" ca="1" si="26"/>
        <v>2.2261315956193899E-3</v>
      </c>
      <c r="AL38" s="1"/>
      <c r="AM38" s="1">
        <f t="shared" ca="1" si="27"/>
        <v>7.6589094962286358E-2</v>
      </c>
      <c r="AN38" s="1">
        <f t="shared" ca="1" si="28"/>
        <v>79</v>
      </c>
      <c r="AO38" s="1">
        <f t="shared" ca="1" si="29"/>
        <v>14</v>
      </c>
      <c r="AQ38" s="1">
        <f t="shared" ca="1" si="30"/>
        <v>119</v>
      </c>
      <c r="AR38" s="1">
        <f t="shared" ca="1" si="31"/>
        <v>4</v>
      </c>
      <c r="AS38" s="1">
        <f t="shared" ca="1" si="32"/>
        <v>17</v>
      </c>
      <c r="AU38" s="1">
        <f t="shared" ca="1" si="33"/>
        <v>291</v>
      </c>
      <c r="AV38" s="1">
        <f t="shared" ca="1" si="34"/>
        <v>2</v>
      </c>
      <c r="AW38" s="1">
        <f t="shared" ca="1" si="35"/>
        <v>4.0471525855563413E-2</v>
      </c>
      <c r="AY38" s="1">
        <f t="shared" ca="1" si="36"/>
        <v>1.1941874071546046</v>
      </c>
      <c r="AZ38" s="1">
        <f t="shared" ca="1" si="37"/>
        <v>319</v>
      </c>
      <c r="BA38" s="1">
        <f t="shared" ca="1" si="38"/>
        <v>8.9899278400334664E-3</v>
      </c>
      <c r="BV38" s="1">
        <f t="shared" ca="1" si="39"/>
        <v>0.50510150698689382</v>
      </c>
      <c r="BW38" s="1">
        <f t="shared" ca="1" si="40"/>
        <v>193</v>
      </c>
      <c r="BX38" s="1">
        <f t="shared" ca="1" si="41"/>
        <v>3.2637794269396838E-3</v>
      </c>
      <c r="BY38" s="1">
        <f t="shared" ca="1" si="42"/>
        <v>2.5701454667578779E-2</v>
      </c>
      <c r="BZ38" s="1">
        <f t="shared" ca="1" si="43"/>
        <v>0.37611492226497034</v>
      </c>
      <c r="CB38" s="1">
        <f t="shared" ca="1" si="44"/>
        <v>442</v>
      </c>
      <c r="CC38" s="1">
        <f t="shared" ca="1" si="45"/>
        <v>10</v>
      </c>
      <c r="CD38" s="1">
        <f t="shared" ca="1" si="46"/>
        <v>0.21161426084662191</v>
      </c>
      <c r="CE38" s="1">
        <f t="shared" ca="1" si="56"/>
        <v>0.98161026119845396</v>
      </c>
      <c r="CF38" s="1">
        <f t="shared" ca="1" si="56"/>
        <v>0.54814520191410987</v>
      </c>
      <c r="CH38" s="3">
        <f t="shared" ca="1" si="48"/>
        <v>0.83870590077370233</v>
      </c>
      <c r="CI38" s="3">
        <f t="shared" ca="1" si="49"/>
        <v>0.47906992911464541</v>
      </c>
      <c r="CJ38" s="3">
        <f t="shared" ca="1" si="50"/>
        <v>1624</v>
      </c>
      <c r="CK38" s="3">
        <f t="shared" ca="1" si="51"/>
        <v>9.7368641865679412E-3</v>
      </c>
      <c r="CL38" s="3">
        <f t="shared" ca="1" si="52"/>
        <v>0</v>
      </c>
      <c r="CM38" s="3"/>
      <c r="CN38" s="1">
        <f t="shared" ca="1" si="53"/>
        <v>16.692579958416431</v>
      </c>
      <c r="CO38" s="1">
        <f t="shared" ca="1" si="54"/>
        <v>7.5784496581533162E-2</v>
      </c>
      <c r="CP38" s="1">
        <f t="shared" ca="1" si="55"/>
        <v>2</v>
      </c>
    </row>
    <row r="39" spans="2:94" x14ac:dyDescent="0.25">
      <c r="B39">
        <f t="shared" ca="1" si="0"/>
        <v>403</v>
      </c>
      <c r="C39">
        <f t="shared" ca="1" si="1"/>
        <v>28</v>
      </c>
      <c r="D39">
        <f t="shared" ca="1" si="2"/>
        <v>3.5835478768823023E-2</v>
      </c>
      <c r="F39" s="1">
        <f t="shared" ca="1" si="3"/>
        <v>37</v>
      </c>
      <c r="G39" s="1">
        <f t="shared" ca="1" si="4"/>
        <v>28</v>
      </c>
      <c r="H39" s="1">
        <f t="shared" ca="1" si="5"/>
        <v>7</v>
      </c>
      <c r="I39" s="1"/>
      <c r="J39" s="1">
        <f t="shared" ca="1" si="6"/>
        <v>16</v>
      </c>
      <c r="K39" s="1">
        <f t="shared" ca="1" si="7"/>
        <v>1.7952476769920576</v>
      </c>
      <c r="L39" s="1">
        <f t="shared" ca="1" si="8"/>
        <v>8</v>
      </c>
      <c r="M39" s="1"/>
      <c r="N39" s="1">
        <f t="shared" ca="1" si="9"/>
        <v>756</v>
      </c>
      <c r="O39" s="1">
        <f t="shared" ca="1" si="10"/>
        <v>35</v>
      </c>
      <c r="P39" s="1"/>
      <c r="Q39" s="1">
        <f t="shared" ca="1" si="11"/>
        <v>2.9051794524921828</v>
      </c>
      <c r="R39" s="1">
        <f t="shared" ca="1" si="12"/>
        <v>386</v>
      </c>
      <c r="S39" s="1"/>
      <c r="T39" s="1">
        <f t="shared" ca="1" si="13"/>
        <v>2.6736514157234E-2</v>
      </c>
      <c r="U39" s="1">
        <f t="shared" ca="1" si="14"/>
        <v>156</v>
      </c>
      <c r="V39" s="1">
        <f t="shared" ca="1" si="15"/>
        <v>8</v>
      </c>
      <c r="W39" s="1"/>
      <c r="X39" s="1">
        <f t="shared" ca="1" si="16"/>
        <v>7.3855710864534787</v>
      </c>
      <c r="Y39" s="1">
        <f t="shared" ca="1" si="17"/>
        <v>0.80584223432257507</v>
      </c>
      <c r="Z39" s="1">
        <f t="shared" ca="1" si="18"/>
        <v>1975</v>
      </c>
      <c r="AB39" s="1">
        <f t="shared" ca="1" si="19"/>
        <v>0.31510754493563398</v>
      </c>
      <c r="AC39" s="1">
        <f t="shared" ca="1" si="20"/>
        <v>392</v>
      </c>
      <c r="AD39" s="1">
        <f t="shared" ca="1" si="21"/>
        <v>9.092481742800522E-3</v>
      </c>
      <c r="AE39" s="1"/>
      <c r="AF39" s="1">
        <f t="shared" ca="1" si="22"/>
        <v>0.15638315303945938</v>
      </c>
      <c r="AG39" s="1">
        <f t="shared" ca="1" si="23"/>
        <v>346</v>
      </c>
      <c r="AH39" s="1">
        <f t="shared" ca="1" si="24"/>
        <v>3.4991009397253693E-3</v>
      </c>
      <c r="AJ39" s="1">
        <f t="shared" ca="1" si="25"/>
        <v>0.40555913888612549</v>
      </c>
      <c r="AK39" s="1">
        <f t="shared" ca="1" si="26"/>
        <v>7.3504788792943298E-3</v>
      </c>
      <c r="AL39" s="1"/>
      <c r="AM39" s="1">
        <f t="shared" ca="1" si="27"/>
        <v>0.17237304999801195</v>
      </c>
      <c r="AN39" s="1">
        <f t="shared" ca="1" si="28"/>
        <v>14</v>
      </c>
      <c r="AO39" s="1">
        <f t="shared" ca="1" si="29"/>
        <v>15</v>
      </c>
      <c r="AQ39" s="1">
        <f t="shared" ca="1" si="30"/>
        <v>199</v>
      </c>
      <c r="AR39" s="1">
        <f t="shared" ca="1" si="31"/>
        <v>10</v>
      </c>
      <c r="AS39" s="1">
        <f t="shared" ca="1" si="32"/>
        <v>71</v>
      </c>
      <c r="AU39" s="1">
        <f t="shared" ca="1" si="33"/>
        <v>395</v>
      </c>
      <c r="AV39" s="1">
        <f t="shared" ca="1" si="34"/>
        <v>6</v>
      </c>
      <c r="AW39" s="1">
        <f t="shared" ca="1" si="35"/>
        <v>0.15006110307348824</v>
      </c>
      <c r="AY39" s="1">
        <f t="shared" ca="1" si="36"/>
        <v>1.3206660804628645</v>
      </c>
      <c r="AZ39" s="1">
        <f t="shared" ca="1" si="37"/>
        <v>193</v>
      </c>
      <c r="BA39" s="1">
        <f t="shared" ca="1" si="38"/>
        <v>3.8204004311245175E-4</v>
      </c>
      <c r="BV39" s="1">
        <f t="shared" ca="1" si="39"/>
        <v>0.88817473462339247</v>
      </c>
      <c r="BW39" s="1">
        <f t="shared" ca="1" si="40"/>
        <v>828</v>
      </c>
      <c r="BX39" s="1">
        <f t="shared" ca="1" si="41"/>
        <v>6.5737529471187131E-4</v>
      </c>
      <c r="BY39" s="1">
        <f t="shared" ca="1" si="42"/>
        <v>8.0357359574081633E-2</v>
      </c>
      <c r="BZ39" s="1">
        <f t="shared" ca="1" si="43"/>
        <v>0.85550007843869458</v>
      </c>
      <c r="CB39" s="1">
        <f t="shared" ca="1" si="44"/>
        <v>161</v>
      </c>
      <c r="CC39" s="1">
        <f t="shared" ca="1" si="45"/>
        <v>6</v>
      </c>
      <c r="CD39" s="1">
        <f t="shared" ca="1" si="46"/>
        <v>0.18541739146334979</v>
      </c>
      <c r="CE39" s="1">
        <f t="shared" ca="1" si="56"/>
        <v>0.62504144104248338</v>
      </c>
      <c r="CF39" s="1">
        <f t="shared" ca="1" si="56"/>
        <v>0.56026809528846522</v>
      </c>
      <c r="CH39" s="3">
        <f t="shared" ca="1" si="48"/>
        <v>0.36727351509908329</v>
      </c>
      <c r="CI39" s="3">
        <f t="shared" ca="1" si="49"/>
        <v>0.97772213406003317</v>
      </c>
      <c r="CJ39" s="3">
        <f t="shared" ca="1" si="50"/>
        <v>1393</v>
      </c>
      <c r="CK39" s="3">
        <f t="shared" ca="1" si="51"/>
        <v>3.0160973986174234E-4</v>
      </c>
      <c r="CL39" s="3">
        <f t="shared" ca="1" si="52"/>
        <v>0</v>
      </c>
      <c r="CM39" s="3"/>
      <c r="CN39" s="1">
        <f t="shared" ca="1" si="53"/>
        <v>15.782278221776432</v>
      </c>
      <c r="CO39" s="1">
        <f t="shared" ca="1" si="54"/>
        <v>0.28421593658113808</v>
      </c>
      <c r="CP39" s="1">
        <f t="shared" ca="1" si="55"/>
        <v>1</v>
      </c>
    </row>
    <row r="40" spans="2:94" x14ac:dyDescent="0.25">
      <c r="B40">
        <f t="shared" ca="1" si="0"/>
        <v>198</v>
      </c>
      <c r="C40">
        <f t="shared" ca="1" si="1"/>
        <v>26</v>
      </c>
      <c r="D40">
        <f t="shared" ca="1" si="2"/>
        <v>0.19056529633404223</v>
      </c>
      <c r="F40" s="1">
        <f t="shared" ca="1" si="3"/>
        <v>42</v>
      </c>
      <c r="G40" s="1">
        <f t="shared" ca="1" si="4"/>
        <v>21</v>
      </c>
      <c r="H40" s="1">
        <f t="shared" ca="1" si="5"/>
        <v>5</v>
      </c>
      <c r="I40" s="1"/>
      <c r="J40" s="1">
        <f t="shared" ca="1" si="6"/>
        <v>5</v>
      </c>
      <c r="K40" s="1">
        <f t="shared" ca="1" si="7"/>
        <v>1.2055020252855135</v>
      </c>
      <c r="L40" s="1">
        <f t="shared" ca="1" si="8"/>
        <v>19</v>
      </c>
      <c r="M40" s="1"/>
      <c r="N40" s="1">
        <f t="shared" ca="1" si="9"/>
        <v>943</v>
      </c>
      <c r="O40" s="1">
        <f t="shared" ca="1" si="10"/>
        <v>35</v>
      </c>
      <c r="P40" s="1"/>
      <c r="Q40" s="1">
        <f t="shared" ca="1" si="11"/>
        <v>3.941002602739526</v>
      </c>
      <c r="R40" s="1">
        <f t="shared" ca="1" si="12"/>
        <v>717</v>
      </c>
      <c r="S40" s="1"/>
      <c r="T40" s="1">
        <f t="shared" ca="1" si="13"/>
        <v>4.9004986280996671E-2</v>
      </c>
      <c r="U40" s="1">
        <f t="shared" ca="1" si="14"/>
        <v>274</v>
      </c>
      <c r="V40" s="1">
        <f t="shared" ca="1" si="15"/>
        <v>52</v>
      </c>
      <c r="W40" s="1"/>
      <c r="X40" s="1">
        <f t="shared" ca="1" si="16"/>
        <v>0.40067430140301413</v>
      </c>
      <c r="Y40" s="1">
        <f t="shared" ca="1" si="17"/>
        <v>0.58035707743236919</v>
      </c>
      <c r="Z40" s="1">
        <f t="shared" ca="1" si="18"/>
        <v>1290</v>
      </c>
      <c r="AB40" s="1">
        <f t="shared" ca="1" si="19"/>
        <v>0.24274359980687799</v>
      </c>
      <c r="AC40" s="1">
        <f t="shared" ca="1" si="20"/>
        <v>401</v>
      </c>
      <c r="AD40" s="1">
        <f t="shared" ca="1" si="21"/>
        <v>3.9108831609663873E-3</v>
      </c>
      <c r="AE40" s="1"/>
      <c r="AF40" s="1">
        <f t="shared" ca="1" si="22"/>
        <v>0.24334673963752096</v>
      </c>
      <c r="AG40" s="1">
        <f t="shared" ca="1" si="23"/>
        <v>663</v>
      </c>
      <c r="AH40" s="1">
        <f t="shared" ca="1" si="24"/>
        <v>2.8761900033733912E-3</v>
      </c>
      <c r="AJ40" s="1">
        <f t="shared" ca="1" si="25"/>
        <v>0.48468719916155856</v>
      </c>
      <c r="AK40" s="1">
        <f t="shared" ca="1" si="26"/>
        <v>7.9776146969091251E-3</v>
      </c>
      <c r="AL40" s="1"/>
      <c r="AM40" s="1">
        <f t="shared" ca="1" si="27"/>
        <v>0.1876329438051503</v>
      </c>
      <c r="AN40" s="1">
        <f t="shared" ca="1" si="28"/>
        <v>15</v>
      </c>
      <c r="AO40" s="1">
        <f t="shared" ca="1" si="29"/>
        <v>4</v>
      </c>
      <c r="AQ40" s="1">
        <f t="shared" ca="1" si="30"/>
        <v>54</v>
      </c>
      <c r="AR40" s="1">
        <f t="shared" ca="1" si="31"/>
        <v>5</v>
      </c>
      <c r="AS40" s="1">
        <f t="shared" ca="1" si="32"/>
        <v>72</v>
      </c>
      <c r="AU40" s="1">
        <f t="shared" ca="1" si="33"/>
        <v>143</v>
      </c>
      <c r="AV40" s="1">
        <f t="shared" ca="1" si="34"/>
        <v>10</v>
      </c>
      <c r="AW40" s="1">
        <f t="shared" ca="1" si="35"/>
        <v>1.627442400571661E-2</v>
      </c>
      <c r="AY40" s="1">
        <f t="shared" ca="1" si="36"/>
        <v>1.5581773639936571</v>
      </c>
      <c r="AZ40" s="1">
        <f t="shared" ca="1" si="37"/>
        <v>489</v>
      </c>
      <c r="BA40" s="1">
        <f t="shared" ca="1" si="38"/>
        <v>8.3323086283413478E-3</v>
      </c>
      <c r="BV40" s="1">
        <f t="shared" ca="1" si="39"/>
        <v>0.37595297130565958</v>
      </c>
      <c r="BW40" s="1">
        <f t="shared" ca="1" si="40"/>
        <v>446</v>
      </c>
      <c r="BX40" s="1">
        <f t="shared" ca="1" si="41"/>
        <v>8.2851077567566208E-3</v>
      </c>
      <c r="BY40" s="1">
        <f t="shared" ca="1" si="42"/>
        <v>2.0061241554990981E-2</v>
      </c>
      <c r="BZ40" s="1">
        <f t="shared" ca="1" si="43"/>
        <v>0.82188097367421908</v>
      </c>
      <c r="CB40" s="1">
        <f t="shared" ca="1" si="44"/>
        <v>300</v>
      </c>
      <c r="CC40" s="1">
        <f t="shared" ca="1" si="45"/>
        <v>8</v>
      </c>
      <c r="CD40" s="1">
        <f t="shared" ca="1" si="46"/>
        <v>0.17172334239489104</v>
      </c>
      <c r="CE40" s="1">
        <f t="shared" ca="1" si="56"/>
        <v>0.91106105747284527</v>
      </c>
      <c r="CF40" s="1">
        <f t="shared" ca="1" si="56"/>
        <v>0.68099989213647094</v>
      </c>
      <c r="CH40" s="3">
        <f t="shared" ca="1" si="48"/>
        <v>0.16621706821257676</v>
      </c>
      <c r="CI40" s="3">
        <f t="shared" ca="1" si="49"/>
        <v>0.9333132641470393</v>
      </c>
      <c r="CJ40" s="3">
        <f t="shared" ca="1" si="50"/>
        <v>1166</v>
      </c>
      <c r="CK40" s="3">
        <f t="shared" ca="1" si="51"/>
        <v>4.6811787227413913E-3</v>
      </c>
      <c r="CL40" s="3">
        <f t="shared" ca="1" si="52"/>
        <v>1</v>
      </c>
      <c r="CM40" s="3"/>
      <c r="CN40" s="1">
        <f t="shared" ca="1" si="53"/>
        <v>1.4459025069508062</v>
      </c>
      <c r="CO40" s="1">
        <f t="shared" ca="1" si="54"/>
        <v>5.4520667971921545E-2</v>
      </c>
      <c r="CP40" s="1">
        <f t="shared" ca="1" si="55"/>
        <v>1</v>
      </c>
    </row>
    <row r="41" spans="2:94" x14ac:dyDescent="0.25">
      <c r="B41">
        <f t="shared" ca="1" si="0"/>
        <v>255</v>
      </c>
      <c r="C41">
        <f t="shared" ca="1" si="1"/>
        <v>18</v>
      </c>
      <c r="D41">
        <f t="shared" ca="1" si="2"/>
        <v>0.28290314681809675</v>
      </c>
      <c r="F41" s="1">
        <f t="shared" ca="1" si="3"/>
        <v>44</v>
      </c>
      <c r="G41" s="1">
        <f t="shared" ca="1" si="4"/>
        <v>2</v>
      </c>
      <c r="H41" s="1">
        <f t="shared" ca="1" si="5"/>
        <v>8</v>
      </c>
      <c r="I41" s="1"/>
      <c r="J41" s="1">
        <f t="shared" ca="1" si="6"/>
        <v>2</v>
      </c>
      <c r="K41" s="1">
        <f t="shared" ca="1" si="7"/>
        <v>2.4388042161559031</v>
      </c>
      <c r="L41" s="1">
        <f t="shared" ca="1" si="8"/>
        <v>27</v>
      </c>
      <c r="M41" s="1"/>
      <c r="N41" s="1">
        <f t="shared" ca="1" si="9"/>
        <v>749</v>
      </c>
      <c r="O41" s="1">
        <f t="shared" ca="1" si="10"/>
        <v>48</v>
      </c>
      <c r="P41" s="1"/>
      <c r="Q41" s="1">
        <f t="shared" ca="1" si="11"/>
        <v>3.0052228351227175</v>
      </c>
      <c r="R41" s="1">
        <f t="shared" ca="1" si="12"/>
        <v>518</v>
      </c>
      <c r="S41" s="1"/>
      <c r="T41" s="1">
        <f t="shared" ca="1" si="13"/>
        <v>0.12210647836035682</v>
      </c>
      <c r="U41" s="1">
        <f t="shared" ca="1" si="14"/>
        <v>207</v>
      </c>
      <c r="V41" s="1">
        <f t="shared" ca="1" si="15"/>
        <v>21</v>
      </c>
      <c r="W41" s="1"/>
      <c r="X41" s="1">
        <f t="shared" ca="1" si="16"/>
        <v>1.3391342163921669</v>
      </c>
      <c r="Y41" s="1">
        <f t="shared" ca="1" si="17"/>
        <v>0.1835273494734089</v>
      </c>
      <c r="Z41" s="1">
        <f t="shared" ca="1" si="18"/>
        <v>100</v>
      </c>
      <c r="AB41" s="1">
        <f t="shared" ca="1" si="19"/>
        <v>0.72086678077271471</v>
      </c>
      <c r="AC41" s="1">
        <f t="shared" ca="1" si="20"/>
        <v>819</v>
      </c>
      <c r="AD41" s="1">
        <f t="shared" ca="1" si="21"/>
        <v>7.6567642242135201E-3</v>
      </c>
      <c r="AE41" s="1"/>
      <c r="AF41" s="1">
        <f t="shared" ca="1" si="22"/>
        <v>0.16354101077647182</v>
      </c>
      <c r="AG41" s="1">
        <f t="shared" ca="1" si="23"/>
        <v>771</v>
      </c>
      <c r="AH41" s="1">
        <f t="shared" ca="1" si="24"/>
        <v>7.149561535011696E-3</v>
      </c>
      <c r="AJ41" s="1">
        <f t="shared" ca="1" si="25"/>
        <v>0.2865799137140429</v>
      </c>
      <c r="AK41" s="1">
        <f t="shared" ca="1" si="26"/>
        <v>4.3359041002679257E-3</v>
      </c>
      <c r="AL41" s="1"/>
      <c r="AM41" s="1">
        <f t="shared" ca="1" si="27"/>
        <v>7.9576900856063813E-3</v>
      </c>
      <c r="AN41" s="1">
        <f t="shared" ca="1" si="28"/>
        <v>25</v>
      </c>
      <c r="AO41" s="1">
        <f t="shared" ca="1" si="29"/>
        <v>16</v>
      </c>
      <c r="AQ41" s="1">
        <f t="shared" ca="1" si="30"/>
        <v>74</v>
      </c>
      <c r="AR41" s="1">
        <f t="shared" ca="1" si="31"/>
        <v>1</v>
      </c>
      <c r="AS41" s="1">
        <f t="shared" ca="1" si="32"/>
        <v>66</v>
      </c>
      <c r="AU41" s="1">
        <f t="shared" ca="1" si="33"/>
        <v>158</v>
      </c>
      <c r="AV41" s="1">
        <f t="shared" ca="1" si="34"/>
        <v>6</v>
      </c>
      <c r="AW41" s="1">
        <f t="shared" ca="1" si="35"/>
        <v>0.17480864488907638</v>
      </c>
      <c r="AY41" s="1">
        <f t="shared" ca="1" si="36"/>
        <v>1.2957377517116202</v>
      </c>
      <c r="AZ41" s="1">
        <f t="shared" ca="1" si="37"/>
        <v>377</v>
      </c>
      <c r="BA41" s="1">
        <f t="shared" ca="1" si="38"/>
        <v>9.0962064284012267E-3</v>
      </c>
      <c r="BV41" s="1">
        <f t="shared" ca="1" si="39"/>
        <v>0.39502201483166283</v>
      </c>
      <c r="BW41" s="1">
        <f t="shared" ca="1" si="40"/>
        <v>528</v>
      </c>
      <c r="BX41" s="1">
        <f t="shared" ca="1" si="41"/>
        <v>2.7784458671941963E-3</v>
      </c>
      <c r="BY41" s="1">
        <f t="shared" ca="1" si="42"/>
        <v>9.5918490467219158E-3</v>
      </c>
      <c r="BZ41" s="1">
        <f t="shared" ca="1" si="43"/>
        <v>9.471823583174932E-2</v>
      </c>
      <c r="CB41" s="1">
        <f t="shared" ca="1" si="44"/>
        <v>286</v>
      </c>
      <c r="CC41" s="1">
        <f t="shared" ca="1" si="45"/>
        <v>3</v>
      </c>
      <c r="CD41" s="1">
        <f t="shared" ca="1" si="46"/>
        <v>0.18207958583990841</v>
      </c>
      <c r="CE41" s="1">
        <f t="shared" ca="1" si="56"/>
        <v>0.93216691243506578</v>
      </c>
      <c r="CF41" s="1">
        <f t="shared" ca="1" si="56"/>
        <v>0.53083016484805157</v>
      </c>
      <c r="CH41" s="3">
        <f t="shared" ca="1" si="48"/>
        <v>0.35854835944932456</v>
      </c>
      <c r="CI41" s="3">
        <f t="shared" ca="1" si="49"/>
        <v>0.50801513697814915</v>
      </c>
      <c r="CJ41" s="3">
        <f t="shared" ca="1" si="50"/>
        <v>1302</v>
      </c>
      <c r="CK41" s="3">
        <f t="shared" ca="1" si="51"/>
        <v>8.6908247469973648E-3</v>
      </c>
      <c r="CL41" s="3">
        <f t="shared" ca="1" si="52"/>
        <v>0</v>
      </c>
      <c r="CM41" s="3"/>
      <c r="CN41" s="1">
        <f t="shared" ca="1" si="53"/>
        <v>10.383908564793595</v>
      </c>
      <c r="CO41" s="1">
        <f t="shared" ca="1" si="54"/>
        <v>6.8107166802206964E-2</v>
      </c>
      <c r="CP41" s="1">
        <f t="shared" ca="1" si="55"/>
        <v>1</v>
      </c>
    </row>
    <row r="42" spans="2:94" x14ac:dyDescent="0.25">
      <c r="B42">
        <f t="shared" ca="1" si="0"/>
        <v>524</v>
      </c>
      <c r="C42">
        <f t="shared" ca="1" si="1"/>
        <v>7</v>
      </c>
      <c r="D42">
        <f t="shared" ca="1" si="2"/>
        <v>7.2928763056764434E-2</v>
      </c>
      <c r="F42" s="1">
        <f t="shared" ca="1" si="3"/>
        <v>49</v>
      </c>
      <c r="G42" s="1">
        <f t="shared" ca="1" si="4"/>
        <v>25</v>
      </c>
      <c r="H42" s="1">
        <f t="shared" ca="1" si="5"/>
        <v>2</v>
      </c>
      <c r="I42" s="1"/>
      <c r="J42" s="1">
        <f t="shared" ca="1" si="6"/>
        <v>6</v>
      </c>
      <c r="K42" s="1">
        <f t="shared" ca="1" si="7"/>
        <v>2.7121171545275202</v>
      </c>
      <c r="L42" s="1">
        <f t="shared" ca="1" si="8"/>
        <v>29</v>
      </c>
      <c r="M42" s="1"/>
      <c r="N42" s="1">
        <f t="shared" ca="1" si="9"/>
        <v>350</v>
      </c>
      <c r="O42" s="1">
        <f t="shared" ca="1" si="10"/>
        <v>41</v>
      </c>
      <c r="P42" s="1"/>
      <c r="Q42" s="1">
        <f t="shared" ca="1" si="11"/>
        <v>2.5156732217394446</v>
      </c>
      <c r="R42" s="1">
        <f t="shared" ca="1" si="12"/>
        <v>633</v>
      </c>
      <c r="S42" s="1"/>
      <c r="T42" s="1">
        <f t="shared" ca="1" si="13"/>
        <v>0.1304356534412196</v>
      </c>
      <c r="U42" s="1">
        <f t="shared" ca="1" si="14"/>
        <v>234</v>
      </c>
      <c r="V42" s="1">
        <f t="shared" ca="1" si="15"/>
        <v>52</v>
      </c>
      <c r="W42" s="1"/>
      <c r="X42" s="1">
        <f t="shared" ca="1" si="16"/>
        <v>0.37670902849611693</v>
      </c>
      <c r="Y42" s="1">
        <f t="shared" ca="1" si="17"/>
        <v>0.56744821280763236</v>
      </c>
      <c r="Z42" s="1">
        <f t="shared" ca="1" si="18"/>
        <v>637</v>
      </c>
      <c r="AB42" s="1">
        <f t="shared" ca="1" si="19"/>
        <v>0.73886012811896529</v>
      </c>
      <c r="AC42" s="1">
        <f t="shared" ca="1" si="20"/>
        <v>564</v>
      </c>
      <c r="AD42" s="1">
        <f t="shared" ca="1" si="21"/>
        <v>8.2679140676855199E-3</v>
      </c>
      <c r="AE42" s="1"/>
      <c r="AF42" s="1">
        <f t="shared" ca="1" si="22"/>
        <v>0.72047540151356226</v>
      </c>
      <c r="AG42" s="1">
        <f t="shared" ca="1" si="23"/>
        <v>438</v>
      </c>
      <c r="AH42" s="1">
        <f t="shared" ca="1" si="24"/>
        <v>8.1102480508560924E-3</v>
      </c>
      <c r="AJ42" s="1">
        <f t="shared" ca="1" si="25"/>
        <v>0.722271617767824</v>
      </c>
      <c r="AK42" s="1">
        <f t="shared" ca="1" si="26"/>
        <v>8.3507632606120447E-3</v>
      </c>
      <c r="AL42" s="1"/>
      <c r="AM42" s="1">
        <f t="shared" ca="1" si="27"/>
        <v>9.3666403413065286E-2</v>
      </c>
      <c r="AN42" s="1">
        <f t="shared" ca="1" si="28"/>
        <v>59</v>
      </c>
      <c r="AO42" s="1">
        <f t="shared" ca="1" si="29"/>
        <v>12</v>
      </c>
      <c r="AQ42" s="1">
        <f t="shared" ca="1" si="30"/>
        <v>143</v>
      </c>
      <c r="AR42" s="1">
        <f t="shared" ca="1" si="31"/>
        <v>3</v>
      </c>
      <c r="AS42" s="1">
        <f t="shared" ca="1" si="32"/>
        <v>100</v>
      </c>
      <c r="AU42" s="1">
        <f t="shared" ca="1" si="33"/>
        <v>348</v>
      </c>
      <c r="AV42" s="1">
        <f t="shared" ca="1" si="34"/>
        <v>4</v>
      </c>
      <c r="AW42" s="1">
        <f t="shared" ca="1" si="35"/>
        <v>4.2860016076705379E-2</v>
      </c>
      <c r="AY42" s="1">
        <f t="shared" ca="1" si="36"/>
        <v>1.8636364484659462</v>
      </c>
      <c r="AZ42" s="1">
        <f t="shared" ca="1" si="37"/>
        <v>306</v>
      </c>
      <c r="BA42" s="1">
        <f t="shared" ca="1" si="38"/>
        <v>2.7083404925640152E-3</v>
      </c>
      <c r="BV42" s="1">
        <f t="shared" ca="1" si="39"/>
        <v>0.4435515381798939</v>
      </c>
      <c r="BW42" s="1">
        <f t="shared" ca="1" si="40"/>
        <v>637</v>
      </c>
      <c r="BX42" s="1">
        <f t="shared" ca="1" si="41"/>
        <v>8.4340109405468908E-3</v>
      </c>
      <c r="BY42" s="1">
        <f t="shared" ca="1" si="42"/>
        <v>9.8109765749724451E-2</v>
      </c>
      <c r="BZ42" s="1">
        <f t="shared" ca="1" si="43"/>
        <v>0.83183049818891408</v>
      </c>
      <c r="CB42" s="1">
        <f t="shared" ca="1" si="44"/>
        <v>486</v>
      </c>
      <c r="CC42" s="1">
        <f t="shared" ca="1" si="45"/>
        <v>10</v>
      </c>
      <c r="CD42" s="1">
        <f t="shared" ca="1" si="46"/>
        <v>0.24488789552522539</v>
      </c>
      <c r="CE42" s="1">
        <f t="shared" ca="1" si="56"/>
        <v>0.76439643109114352</v>
      </c>
      <c r="CF42" s="1">
        <f t="shared" ca="1" si="56"/>
        <v>0.67784625350531558</v>
      </c>
      <c r="CH42" s="3">
        <f t="shared" ca="1" si="48"/>
        <v>9.1886653595080844E-2</v>
      </c>
      <c r="CI42" s="3">
        <f t="shared" ca="1" si="49"/>
        <v>0.20833079421168513</v>
      </c>
      <c r="CJ42" s="3">
        <f t="shared" ca="1" si="50"/>
        <v>1731</v>
      </c>
      <c r="CK42" s="3">
        <f t="shared" ca="1" si="51"/>
        <v>8.3283948411803938E-3</v>
      </c>
      <c r="CL42" s="3">
        <f t="shared" ca="1" si="52"/>
        <v>0</v>
      </c>
      <c r="CM42" s="3"/>
      <c r="CN42" s="1">
        <f t="shared" ca="1" si="53"/>
        <v>4.6594907806414128</v>
      </c>
      <c r="CO42" s="1">
        <f t="shared" ca="1" si="54"/>
        <v>0.25541597869449001</v>
      </c>
      <c r="CP42" s="1">
        <f t="shared" ca="1" si="55"/>
        <v>5</v>
      </c>
    </row>
    <row r="43" spans="2:94" x14ac:dyDescent="0.25">
      <c r="B43">
        <f t="shared" ca="1" si="0"/>
        <v>817</v>
      </c>
      <c r="C43">
        <f t="shared" ca="1" si="1"/>
        <v>46</v>
      </c>
      <c r="D43">
        <f t="shared" ca="1" si="2"/>
        <v>9.6769781889934819E-2</v>
      </c>
      <c r="F43" s="1">
        <f t="shared" ca="1" si="3"/>
        <v>8</v>
      </c>
      <c r="G43" s="1">
        <f t="shared" ca="1" si="4"/>
        <v>12</v>
      </c>
      <c r="H43" s="1">
        <f t="shared" ca="1" si="5"/>
        <v>15</v>
      </c>
      <c r="I43" s="1"/>
      <c r="J43" s="1">
        <f t="shared" ca="1" si="6"/>
        <v>10</v>
      </c>
      <c r="K43" s="1">
        <f t="shared" ca="1" si="7"/>
        <v>1.8317991146446417</v>
      </c>
      <c r="L43" s="1">
        <f t="shared" ca="1" si="8"/>
        <v>2</v>
      </c>
      <c r="M43" s="1"/>
      <c r="N43" s="1">
        <f t="shared" ca="1" si="9"/>
        <v>397</v>
      </c>
      <c r="O43" s="1">
        <f t="shared" ca="1" si="10"/>
        <v>13</v>
      </c>
      <c r="P43" s="1"/>
      <c r="Q43" s="1">
        <f t="shared" ca="1" si="11"/>
        <v>4.1271706097044047</v>
      </c>
      <c r="R43" s="1">
        <f t="shared" ca="1" si="12"/>
        <v>688</v>
      </c>
      <c r="S43" s="1"/>
      <c r="T43" s="1">
        <f t="shared" ca="1" si="13"/>
        <v>0.19160048653419953</v>
      </c>
      <c r="U43" s="1">
        <f t="shared" ca="1" si="14"/>
        <v>193</v>
      </c>
      <c r="V43" s="1">
        <f t="shared" ca="1" si="15"/>
        <v>49</v>
      </c>
      <c r="W43" s="1"/>
      <c r="X43" s="1">
        <f t="shared" ca="1" si="16"/>
        <v>2.3245544594472594</v>
      </c>
      <c r="Y43" s="1">
        <f t="shared" ca="1" si="17"/>
        <v>0.66346967696261105</v>
      </c>
      <c r="Z43" s="1">
        <f t="shared" ca="1" si="18"/>
        <v>330</v>
      </c>
      <c r="AB43" s="1">
        <f t="shared" ca="1" si="19"/>
        <v>0.72443991189521428</v>
      </c>
      <c r="AC43" s="1">
        <f t="shared" ca="1" si="20"/>
        <v>760</v>
      </c>
      <c r="AD43" s="1">
        <f t="shared" ca="1" si="21"/>
        <v>4.276854180289202E-3</v>
      </c>
      <c r="AE43" s="1"/>
      <c r="AF43" s="1">
        <f t="shared" ca="1" si="22"/>
        <v>0.13605951791468238</v>
      </c>
      <c r="AG43" s="1">
        <f t="shared" ca="1" si="23"/>
        <v>453</v>
      </c>
      <c r="AH43" s="1">
        <f t="shared" ca="1" si="24"/>
        <v>3.6801169424354563E-3</v>
      </c>
      <c r="AJ43" s="1">
        <f t="shared" ca="1" si="25"/>
        <v>0.67128358563278778</v>
      </c>
      <c r="AK43" s="1">
        <f t="shared" ca="1" si="26"/>
        <v>4.4789820765334869E-4</v>
      </c>
      <c r="AL43" s="1"/>
      <c r="AM43" s="1">
        <f t="shared" ca="1" si="27"/>
        <v>0.17458183869299454</v>
      </c>
      <c r="AN43" s="1">
        <f t="shared" ca="1" si="28"/>
        <v>74</v>
      </c>
      <c r="AO43" s="1">
        <f t="shared" ca="1" si="29"/>
        <v>4</v>
      </c>
      <c r="AQ43" s="1">
        <f t="shared" ca="1" si="30"/>
        <v>58</v>
      </c>
      <c r="AR43" s="1">
        <f t="shared" ca="1" si="31"/>
        <v>7</v>
      </c>
      <c r="AS43" s="1">
        <f t="shared" ca="1" si="32"/>
        <v>36</v>
      </c>
      <c r="AU43" s="1">
        <f t="shared" ca="1" si="33"/>
        <v>256</v>
      </c>
      <c r="AV43" s="1">
        <f t="shared" ca="1" si="34"/>
        <v>7</v>
      </c>
      <c r="AW43" s="1">
        <f t="shared" ca="1" si="35"/>
        <v>5.7673927461476954E-2</v>
      </c>
      <c r="AY43" s="1">
        <f t="shared" ca="1" si="36"/>
        <v>1.8578780170194111</v>
      </c>
      <c r="AZ43" s="1">
        <f t="shared" ca="1" si="37"/>
        <v>206</v>
      </c>
      <c r="BA43" s="1">
        <f t="shared" ca="1" si="38"/>
        <v>5.0146705498515529E-3</v>
      </c>
      <c r="BV43" s="1">
        <f t="shared" ca="1" si="39"/>
        <v>0.215487583783874</v>
      </c>
      <c r="BW43" s="1">
        <f t="shared" ca="1" si="40"/>
        <v>116</v>
      </c>
      <c r="BX43" s="1">
        <f t="shared" ca="1" si="41"/>
        <v>2.4579395688044477E-3</v>
      </c>
      <c r="BY43" s="1">
        <f t="shared" ca="1" si="42"/>
        <v>3.9105453406422123E-2</v>
      </c>
      <c r="BZ43" s="1">
        <f t="shared" ca="1" si="43"/>
        <v>0.68497776482005868</v>
      </c>
      <c r="CB43" s="1">
        <f t="shared" ca="1" si="44"/>
        <v>152</v>
      </c>
      <c r="CC43" s="1">
        <f t="shared" ca="1" si="45"/>
        <v>6</v>
      </c>
      <c r="CD43" s="1">
        <f t="shared" ca="1" si="46"/>
        <v>4.3388790497794989E-2</v>
      </c>
      <c r="CE43" s="1">
        <f t="shared" ca="1" si="56"/>
        <v>0.76210851624784048</v>
      </c>
      <c r="CF43" s="1">
        <f t="shared" ca="1" si="56"/>
        <v>0.74484245815735106</v>
      </c>
      <c r="CH43" s="3">
        <f t="shared" ca="1" si="48"/>
        <v>0.80382452217270128</v>
      </c>
      <c r="CI43" s="3">
        <f t="shared" ca="1" si="49"/>
        <v>1.7950694374524945E-2</v>
      </c>
      <c r="CJ43" s="3">
        <f t="shared" ca="1" si="50"/>
        <v>1175</v>
      </c>
      <c r="CK43" s="3">
        <f t="shared" ca="1" si="51"/>
        <v>8.3864733375243767E-3</v>
      </c>
      <c r="CL43" s="3">
        <f t="shared" ca="1" si="52"/>
        <v>1</v>
      </c>
      <c r="CM43" s="3"/>
      <c r="CN43" s="1">
        <f t="shared" ca="1" si="53"/>
        <v>5.5751546960434153</v>
      </c>
      <c r="CO43" s="1">
        <f t="shared" ca="1" si="54"/>
        <v>0.12994606973545517</v>
      </c>
      <c r="CP43" s="1">
        <f t="shared" ca="1" si="55"/>
        <v>3</v>
      </c>
    </row>
    <row r="44" spans="2:94" x14ac:dyDescent="0.25">
      <c r="B44">
        <f t="shared" ca="1" si="0"/>
        <v>670</v>
      </c>
      <c r="C44">
        <f t="shared" ca="1" si="1"/>
        <v>34</v>
      </c>
      <c r="D44">
        <f t="shared" ca="1" si="2"/>
        <v>0.23119994660278173</v>
      </c>
      <c r="F44" s="1">
        <f t="shared" ca="1" si="3"/>
        <v>34</v>
      </c>
      <c r="G44" s="1">
        <f t="shared" ca="1" si="4"/>
        <v>21</v>
      </c>
      <c r="H44" s="1">
        <f t="shared" ca="1" si="5"/>
        <v>11</v>
      </c>
      <c r="I44" s="1"/>
      <c r="J44" s="1">
        <f t="shared" ca="1" si="6"/>
        <v>1</v>
      </c>
      <c r="K44" s="1">
        <f t="shared" ca="1" si="7"/>
        <v>1.1907811338814882</v>
      </c>
      <c r="L44" s="1">
        <f t="shared" ca="1" si="8"/>
        <v>26</v>
      </c>
      <c r="M44" s="1"/>
      <c r="N44" s="1">
        <f t="shared" ca="1" si="9"/>
        <v>481</v>
      </c>
      <c r="O44" s="1">
        <f t="shared" ca="1" si="10"/>
        <v>26</v>
      </c>
      <c r="P44" s="1"/>
      <c r="Q44" s="1">
        <f t="shared" ca="1" si="11"/>
        <v>2.9686259921509515</v>
      </c>
      <c r="R44" s="1">
        <f t="shared" ca="1" si="12"/>
        <v>234</v>
      </c>
      <c r="S44" s="1"/>
      <c r="T44" s="1">
        <f t="shared" ca="1" si="13"/>
        <v>6.629550810887086E-2</v>
      </c>
      <c r="U44" s="1">
        <f t="shared" ca="1" si="14"/>
        <v>58</v>
      </c>
      <c r="V44" s="1">
        <f t="shared" ca="1" si="15"/>
        <v>45</v>
      </c>
      <c r="W44" s="1"/>
      <c r="X44" s="1">
        <f t="shared" ca="1" si="16"/>
        <v>5.3725406908514133</v>
      </c>
      <c r="Y44" s="1">
        <f t="shared" ca="1" si="17"/>
        <v>4.754747793430391E-2</v>
      </c>
      <c r="Z44" s="1">
        <f t="shared" ca="1" si="18"/>
        <v>1416</v>
      </c>
      <c r="AB44" s="1">
        <f t="shared" ca="1" si="19"/>
        <v>0.27920364954329036</v>
      </c>
      <c r="AC44" s="1">
        <f t="shared" ca="1" si="20"/>
        <v>484</v>
      </c>
      <c r="AD44" s="1">
        <f t="shared" ca="1" si="21"/>
        <v>5.0012121917219132E-3</v>
      </c>
      <c r="AE44" s="1"/>
      <c r="AF44" s="1">
        <f t="shared" ca="1" si="22"/>
        <v>0.10603486685402058</v>
      </c>
      <c r="AG44" s="1">
        <f t="shared" ca="1" si="23"/>
        <v>438</v>
      </c>
      <c r="AH44" s="1">
        <f t="shared" ca="1" si="24"/>
        <v>6.8205680647807094E-3</v>
      </c>
      <c r="AJ44" s="1">
        <f t="shared" ca="1" si="25"/>
        <v>0.17396615099060875</v>
      </c>
      <c r="AK44" s="1">
        <f t="shared" ca="1" si="26"/>
        <v>4.2450935123610166E-3</v>
      </c>
      <c r="AL44" s="1"/>
      <c r="AM44" s="1">
        <f t="shared" ca="1" si="27"/>
        <v>1.3650960756361071E-2</v>
      </c>
      <c r="AN44" s="1">
        <f t="shared" ca="1" si="28"/>
        <v>19</v>
      </c>
      <c r="AO44" s="1">
        <f t="shared" ca="1" si="29"/>
        <v>5</v>
      </c>
      <c r="AQ44" s="1">
        <f t="shared" ca="1" si="30"/>
        <v>194</v>
      </c>
      <c r="AR44" s="1">
        <f t="shared" ca="1" si="31"/>
        <v>4</v>
      </c>
      <c r="AS44" s="1">
        <f t="shared" ca="1" si="32"/>
        <v>79</v>
      </c>
      <c r="AU44" s="1">
        <f t="shared" ca="1" si="33"/>
        <v>153</v>
      </c>
      <c r="AV44" s="1">
        <f t="shared" ca="1" si="34"/>
        <v>3</v>
      </c>
      <c r="AW44" s="1">
        <f t="shared" ca="1" si="35"/>
        <v>0.12850407267034084</v>
      </c>
      <c r="AY44" s="1">
        <f t="shared" ca="1" si="36"/>
        <v>1.414636722576804</v>
      </c>
      <c r="AZ44" s="1">
        <f t="shared" ca="1" si="37"/>
        <v>60</v>
      </c>
      <c r="BA44" s="1">
        <f t="shared" ca="1" si="38"/>
        <v>8.689370270521633E-3</v>
      </c>
      <c r="BV44" s="1">
        <f t="shared" ca="1" si="39"/>
        <v>0.89622802829925241</v>
      </c>
      <c r="BW44" s="1">
        <f t="shared" ca="1" si="40"/>
        <v>466</v>
      </c>
      <c r="BX44" s="1">
        <f t="shared" ca="1" si="41"/>
        <v>4.8224035884081133E-3</v>
      </c>
      <c r="BY44" s="1">
        <f t="shared" ca="1" si="42"/>
        <v>4.6157086033808498E-2</v>
      </c>
      <c r="BZ44" s="1">
        <f t="shared" ca="1" si="43"/>
        <v>0.50186258816922757</v>
      </c>
      <c r="CB44" s="1">
        <f t="shared" ca="1" si="44"/>
        <v>333</v>
      </c>
      <c r="CC44" s="1">
        <f t="shared" ca="1" si="45"/>
        <v>14</v>
      </c>
      <c r="CD44" s="1">
        <f t="shared" ca="1" si="46"/>
        <v>0.18548348260706679</v>
      </c>
      <c r="CE44" s="1">
        <f t="shared" ca="1" si="56"/>
        <v>0.95910260383785639</v>
      </c>
      <c r="CF44" s="1">
        <f t="shared" ca="1" si="56"/>
        <v>0.92258753185688769</v>
      </c>
      <c r="CH44" s="3">
        <f t="shared" ca="1" si="48"/>
        <v>0.49392542838832232</v>
      </c>
      <c r="CI44" s="3">
        <f t="shared" ca="1" si="49"/>
        <v>0.184441900557612</v>
      </c>
      <c r="CJ44" s="3">
        <f t="shared" ca="1" si="50"/>
        <v>1632</v>
      </c>
      <c r="CK44" s="3">
        <f t="shared" ca="1" si="51"/>
        <v>7.7703008090887803E-3</v>
      </c>
      <c r="CL44" s="3">
        <f t="shared" ca="1" si="52"/>
        <v>0</v>
      </c>
      <c r="CM44" s="3"/>
      <c r="CN44" s="1">
        <f t="shared" ca="1" si="53"/>
        <v>2.1888137316482337</v>
      </c>
      <c r="CO44" s="1">
        <f t="shared" ca="1" si="54"/>
        <v>0.44415019983805071</v>
      </c>
      <c r="CP44" s="1">
        <f t="shared" ca="1" si="55"/>
        <v>1</v>
      </c>
    </row>
    <row r="45" spans="2:94" x14ac:dyDescent="0.25">
      <c r="B45">
        <f t="shared" ca="1" si="0"/>
        <v>270</v>
      </c>
      <c r="C45">
        <f t="shared" ca="1" si="1"/>
        <v>46</v>
      </c>
      <c r="D45">
        <f t="shared" ca="1" si="2"/>
        <v>0.25297413312615769</v>
      </c>
      <c r="F45" s="1">
        <f t="shared" ca="1" si="3"/>
        <v>22</v>
      </c>
      <c r="G45" s="1">
        <f t="shared" ca="1" si="4"/>
        <v>14</v>
      </c>
      <c r="H45" s="1">
        <f t="shared" ca="1" si="5"/>
        <v>14</v>
      </c>
      <c r="I45" s="1"/>
      <c r="J45" s="1">
        <f t="shared" ca="1" si="6"/>
        <v>38</v>
      </c>
      <c r="K45" s="1">
        <f t="shared" ca="1" si="7"/>
        <v>1.9571411930920459</v>
      </c>
      <c r="L45" s="1">
        <f t="shared" ca="1" si="8"/>
        <v>16</v>
      </c>
      <c r="M45" s="1"/>
      <c r="N45" s="1">
        <f t="shared" ca="1" si="9"/>
        <v>592</v>
      </c>
      <c r="O45" s="1">
        <f t="shared" ca="1" si="10"/>
        <v>6</v>
      </c>
      <c r="P45" s="1"/>
      <c r="Q45" s="1">
        <f t="shared" ca="1" si="11"/>
        <v>0.96503417123391977</v>
      </c>
      <c r="R45" s="1">
        <f t="shared" ca="1" si="12"/>
        <v>720</v>
      </c>
      <c r="S45" s="1"/>
      <c r="T45" s="1">
        <f t="shared" ca="1" si="13"/>
        <v>2.5941185585028663E-2</v>
      </c>
      <c r="U45" s="1">
        <f t="shared" ca="1" si="14"/>
        <v>333</v>
      </c>
      <c r="V45" s="1">
        <f t="shared" ca="1" si="15"/>
        <v>41</v>
      </c>
      <c r="W45" s="1"/>
      <c r="X45" s="1">
        <f t="shared" ca="1" si="16"/>
        <v>0.46614078849193713</v>
      </c>
      <c r="Y45" s="1">
        <f t="shared" ca="1" si="17"/>
        <v>0.9243375135958205</v>
      </c>
      <c r="Z45" s="1">
        <f t="shared" ca="1" si="18"/>
        <v>1595</v>
      </c>
      <c r="AB45" s="1">
        <f t="shared" ca="1" si="19"/>
        <v>0.99872479705565198</v>
      </c>
      <c r="AC45" s="1">
        <f t="shared" ca="1" si="20"/>
        <v>892</v>
      </c>
      <c r="AD45" s="1">
        <f t="shared" ca="1" si="21"/>
        <v>4.8788430396851882E-3</v>
      </c>
      <c r="AE45" s="1"/>
      <c r="AF45" s="1">
        <f t="shared" ca="1" si="22"/>
        <v>0.58761901672935923</v>
      </c>
      <c r="AG45" s="1">
        <f t="shared" ca="1" si="23"/>
        <v>818</v>
      </c>
      <c r="AH45" s="1">
        <f t="shared" ca="1" si="24"/>
        <v>8.5187753624188407E-3</v>
      </c>
      <c r="AJ45" s="1">
        <f t="shared" ca="1" si="25"/>
        <v>0.12286040490540262</v>
      </c>
      <c r="AK45" s="1">
        <f t="shared" ca="1" si="26"/>
        <v>3.8844151940864015E-3</v>
      </c>
      <c r="AL45" s="1"/>
      <c r="AM45" s="1">
        <f t="shared" ca="1" si="27"/>
        <v>0.13906755273005469</v>
      </c>
      <c r="AN45" s="1">
        <f t="shared" ca="1" si="28"/>
        <v>43</v>
      </c>
      <c r="AO45" s="1">
        <f t="shared" ca="1" si="29"/>
        <v>16</v>
      </c>
      <c r="AQ45" s="1">
        <f t="shared" ca="1" si="30"/>
        <v>124</v>
      </c>
      <c r="AR45" s="1">
        <f t="shared" ca="1" si="31"/>
        <v>5</v>
      </c>
      <c r="AS45" s="1">
        <f t="shared" ca="1" si="32"/>
        <v>30</v>
      </c>
      <c r="AU45" s="1">
        <f t="shared" ca="1" si="33"/>
        <v>126</v>
      </c>
      <c r="AV45" s="1">
        <f t="shared" ca="1" si="34"/>
        <v>7</v>
      </c>
      <c r="AW45" s="1">
        <f t="shared" ca="1" si="35"/>
        <v>0.15973903365686684</v>
      </c>
      <c r="AY45" s="1">
        <f t="shared" ca="1" si="36"/>
        <v>1.9606425456803274</v>
      </c>
      <c r="AZ45" s="1">
        <f t="shared" ca="1" si="37"/>
        <v>275</v>
      </c>
      <c r="BA45" s="1">
        <f t="shared" ca="1" si="38"/>
        <v>7.2894315788958174E-3</v>
      </c>
      <c r="BV45" s="1">
        <f t="shared" ca="1" si="39"/>
        <v>0.11873106586805686</v>
      </c>
      <c r="BW45" s="1">
        <f t="shared" ca="1" si="40"/>
        <v>763</v>
      </c>
      <c r="BX45" s="1">
        <f t="shared" ca="1" si="41"/>
        <v>9.7388332555320527E-3</v>
      </c>
      <c r="BY45" s="1">
        <f t="shared" ca="1" si="42"/>
        <v>4.0170560268484E-2</v>
      </c>
      <c r="BZ45" s="1">
        <f t="shared" ca="1" si="43"/>
        <v>0.51819770761950956</v>
      </c>
      <c r="CB45" s="1">
        <f t="shared" ca="1" si="44"/>
        <v>297</v>
      </c>
      <c r="CC45" s="1">
        <f t="shared" ca="1" si="45"/>
        <v>10</v>
      </c>
      <c r="CD45" s="1">
        <f t="shared" ca="1" si="46"/>
        <v>7.5610999126365291E-2</v>
      </c>
      <c r="CE45" s="1">
        <f t="shared" ca="1" si="56"/>
        <v>0.85136433979068149</v>
      </c>
      <c r="CF45" s="1">
        <f t="shared" ca="1" si="56"/>
        <v>0.64122057705117885</v>
      </c>
      <c r="CH45" s="3">
        <f t="shared" ca="1" si="48"/>
        <v>0.47250028593974358</v>
      </c>
      <c r="CI45" s="3">
        <f t="shared" ca="1" si="49"/>
        <v>0.39834280478221207</v>
      </c>
      <c r="CJ45" s="3">
        <f t="shared" ca="1" si="50"/>
        <v>211</v>
      </c>
      <c r="CK45" s="3">
        <f t="shared" ca="1" si="51"/>
        <v>3.4082742751572379E-3</v>
      </c>
      <c r="CL45" s="3">
        <f t="shared" ca="1" si="52"/>
        <v>0</v>
      </c>
      <c r="CM45" s="3"/>
      <c r="CN45" s="1">
        <f t="shared" ca="1" si="53"/>
        <v>3.1944876818382379</v>
      </c>
      <c r="CO45" s="1">
        <f t="shared" ca="1" si="54"/>
        <v>0.28826246936675837</v>
      </c>
      <c r="CP45" s="1">
        <f t="shared" ca="1" si="55"/>
        <v>1</v>
      </c>
    </row>
    <row r="46" spans="2:94" x14ac:dyDescent="0.25">
      <c r="B46">
        <f t="shared" ca="1" si="0"/>
        <v>594</v>
      </c>
      <c r="C46">
        <f t="shared" ca="1" si="1"/>
        <v>11</v>
      </c>
      <c r="D46">
        <f t="shared" ca="1" si="2"/>
        <v>0.25899401018626772</v>
      </c>
      <c r="F46" s="1">
        <f t="shared" ca="1" si="3"/>
        <v>40</v>
      </c>
      <c r="G46" s="1">
        <f t="shared" ca="1" si="4"/>
        <v>13</v>
      </c>
      <c r="H46" s="1">
        <f t="shared" ca="1" si="5"/>
        <v>2</v>
      </c>
      <c r="I46" s="1"/>
      <c r="J46" s="1">
        <f t="shared" ca="1" si="6"/>
        <v>36</v>
      </c>
      <c r="K46" s="1">
        <f t="shared" ca="1" si="7"/>
        <v>2.2331896548430583</v>
      </c>
      <c r="L46" s="1">
        <f t="shared" ca="1" si="8"/>
        <v>8</v>
      </c>
      <c r="M46" s="1"/>
      <c r="N46" s="1">
        <f t="shared" ca="1" si="9"/>
        <v>580</v>
      </c>
      <c r="O46" s="1">
        <f t="shared" ca="1" si="10"/>
        <v>26</v>
      </c>
      <c r="P46" s="1"/>
      <c r="Q46" s="1">
        <f t="shared" ca="1" si="11"/>
        <v>1.8281268852814525</v>
      </c>
      <c r="R46" s="1">
        <f t="shared" ca="1" si="12"/>
        <v>976</v>
      </c>
      <c r="S46" s="1"/>
      <c r="T46" s="1">
        <f t="shared" ca="1" si="13"/>
        <v>2.1528894020131622E-2</v>
      </c>
      <c r="U46" s="1">
        <f t="shared" ca="1" si="14"/>
        <v>335</v>
      </c>
      <c r="V46" s="1">
        <f t="shared" ca="1" si="15"/>
        <v>23</v>
      </c>
      <c r="W46" s="1"/>
      <c r="X46" s="1">
        <f t="shared" ca="1" si="16"/>
        <v>3.1862180281434269</v>
      </c>
      <c r="Y46" s="1">
        <f t="shared" ca="1" si="17"/>
        <v>0.80678474042575721</v>
      </c>
      <c r="Z46" s="1">
        <f t="shared" ca="1" si="18"/>
        <v>1295</v>
      </c>
      <c r="AB46" s="1">
        <f t="shared" ca="1" si="19"/>
        <v>0.82560084558076108</v>
      </c>
      <c r="AC46" s="1">
        <f t="shared" ca="1" si="20"/>
        <v>911</v>
      </c>
      <c r="AD46" s="1">
        <f t="shared" ca="1" si="21"/>
        <v>7.4630474399275922E-3</v>
      </c>
      <c r="AE46" s="1"/>
      <c r="AF46" s="1">
        <f t="shared" ca="1" si="22"/>
        <v>0.39653829509287242</v>
      </c>
      <c r="AG46" s="1">
        <f t="shared" ca="1" si="23"/>
        <v>748</v>
      </c>
      <c r="AH46" s="1">
        <f t="shared" ca="1" si="24"/>
        <v>1.5592037976831618E-3</v>
      </c>
      <c r="AJ46" s="1">
        <f t="shared" ca="1" si="25"/>
        <v>0.78712690523696804</v>
      </c>
      <c r="AK46" s="1">
        <f t="shared" ca="1" si="26"/>
        <v>6.3813234671759424E-3</v>
      </c>
      <c r="AL46" s="1"/>
      <c r="AM46" s="1">
        <f t="shared" ca="1" si="27"/>
        <v>0.13732673711574375</v>
      </c>
      <c r="AN46" s="1">
        <f t="shared" ca="1" si="28"/>
        <v>69</v>
      </c>
      <c r="AO46" s="1">
        <f t="shared" ca="1" si="29"/>
        <v>18</v>
      </c>
      <c r="AQ46" s="1">
        <f t="shared" ca="1" si="30"/>
        <v>139</v>
      </c>
      <c r="AR46" s="1">
        <f t="shared" ca="1" si="31"/>
        <v>6</v>
      </c>
      <c r="AS46" s="1">
        <f t="shared" ca="1" si="32"/>
        <v>98</v>
      </c>
      <c r="AU46" s="1">
        <f t="shared" ca="1" si="33"/>
        <v>222</v>
      </c>
      <c r="AV46" s="1">
        <f t="shared" ca="1" si="34"/>
        <v>5</v>
      </c>
      <c r="AW46" s="1">
        <f t="shared" ca="1" si="35"/>
        <v>5.6870211453153595E-2</v>
      </c>
      <c r="AY46" s="1">
        <f t="shared" ca="1" si="36"/>
        <v>1.7039381438947103</v>
      </c>
      <c r="AZ46" s="1">
        <f t="shared" ca="1" si="37"/>
        <v>270</v>
      </c>
      <c r="BA46" s="1">
        <f t="shared" ca="1" si="38"/>
        <v>5.6695198649614801E-4</v>
      </c>
      <c r="BV46" s="1">
        <f t="shared" ca="1" si="39"/>
        <v>0.44161795867590176</v>
      </c>
      <c r="BW46" s="1">
        <f t="shared" ca="1" si="40"/>
        <v>119</v>
      </c>
      <c r="BX46" s="1">
        <f t="shared" ca="1" si="41"/>
        <v>6.300434711038836E-3</v>
      </c>
      <c r="BY46" s="1">
        <f t="shared" ca="1" si="42"/>
        <v>2.6215785380565952E-2</v>
      </c>
      <c r="BZ46" s="1">
        <f t="shared" ca="1" si="43"/>
        <v>0.81746498846808324</v>
      </c>
      <c r="CB46" s="1">
        <f t="shared" ca="1" si="44"/>
        <v>133</v>
      </c>
      <c r="CC46" s="1">
        <f t="shared" ca="1" si="45"/>
        <v>5</v>
      </c>
      <c r="CD46" s="1">
        <f t="shared" ca="1" si="46"/>
        <v>0.11401095659203649</v>
      </c>
      <c r="CE46" s="1">
        <f t="shared" ca="1" si="56"/>
        <v>0.79780084934943807</v>
      </c>
      <c r="CF46" s="1">
        <f t="shared" ca="1" si="56"/>
        <v>0.96316276544621771</v>
      </c>
      <c r="CH46" s="3">
        <f t="shared" ca="1" si="48"/>
        <v>5.0535052522607529E-3</v>
      </c>
      <c r="CI46" s="3">
        <f t="shared" ca="1" si="49"/>
        <v>0.50097509357566539</v>
      </c>
      <c r="CJ46" s="3">
        <f t="shared" ca="1" si="50"/>
        <v>1290</v>
      </c>
      <c r="CK46" s="3">
        <f t="shared" ca="1" si="51"/>
        <v>7.1418576822437759E-3</v>
      </c>
      <c r="CL46" s="3">
        <f t="shared" ca="1" si="52"/>
        <v>1</v>
      </c>
      <c r="CM46" s="3"/>
      <c r="CN46" s="1">
        <f t="shared" ca="1" si="53"/>
        <v>13.594890098967053</v>
      </c>
      <c r="CO46" s="1">
        <f t="shared" ca="1" si="54"/>
        <v>0.40789095189678831</v>
      </c>
      <c r="CP46" s="1">
        <f t="shared" ca="1" si="55"/>
        <v>2</v>
      </c>
    </row>
    <row r="47" spans="2:94" x14ac:dyDescent="0.25">
      <c r="B47">
        <f t="shared" ca="1" si="0"/>
        <v>226</v>
      </c>
      <c r="C47">
        <f t="shared" ca="1" si="1"/>
        <v>46</v>
      </c>
      <c r="D47">
        <f t="shared" ca="1" si="2"/>
        <v>0.22706031625891099</v>
      </c>
      <c r="F47" s="1">
        <f t="shared" ca="1" si="3"/>
        <v>20</v>
      </c>
      <c r="G47" s="1">
        <f t="shared" ca="1" si="4"/>
        <v>26</v>
      </c>
      <c r="H47" s="1">
        <f t="shared" ca="1" si="5"/>
        <v>6</v>
      </c>
      <c r="I47" s="1"/>
      <c r="J47" s="1">
        <f t="shared" ca="1" si="6"/>
        <v>30</v>
      </c>
      <c r="K47" s="1">
        <f t="shared" ca="1" si="7"/>
        <v>2.2141902760790275</v>
      </c>
      <c r="L47" s="1">
        <f t="shared" ca="1" si="8"/>
        <v>25</v>
      </c>
      <c r="M47" s="1"/>
      <c r="N47" s="1">
        <f t="shared" ca="1" si="9"/>
        <v>697</v>
      </c>
      <c r="O47" s="1">
        <f t="shared" ca="1" si="10"/>
        <v>31</v>
      </c>
      <c r="P47" s="1"/>
      <c r="Q47" s="1">
        <f t="shared" ca="1" si="11"/>
        <v>0.36092449846286745</v>
      </c>
      <c r="R47" s="1">
        <f t="shared" ca="1" si="12"/>
        <v>397</v>
      </c>
      <c r="S47" s="1"/>
      <c r="T47" s="1">
        <f t="shared" ca="1" si="13"/>
        <v>0.18560103051732518</v>
      </c>
      <c r="U47" s="1">
        <f t="shared" ca="1" si="14"/>
        <v>323</v>
      </c>
      <c r="V47" s="1">
        <f t="shared" ca="1" si="15"/>
        <v>24</v>
      </c>
      <c r="W47" s="1"/>
      <c r="X47" s="1">
        <f t="shared" ca="1" si="16"/>
        <v>5.0252833000991517</v>
      </c>
      <c r="Y47" s="1">
        <f t="shared" ca="1" si="17"/>
        <v>5.3546271122696949E-2</v>
      </c>
      <c r="Z47" s="1">
        <f t="shared" ca="1" si="18"/>
        <v>834</v>
      </c>
      <c r="AB47" s="1">
        <f t="shared" ca="1" si="19"/>
        <v>0.68814271364427448</v>
      </c>
      <c r="AC47" s="1">
        <f t="shared" ca="1" si="20"/>
        <v>527</v>
      </c>
      <c r="AD47" s="1">
        <f t="shared" ca="1" si="21"/>
        <v>6.9239230085360159E-4</v>
      </c>
      <c r="AE47" s="1"/>
      <c r="AF47" s="1">
        <f t="shared" ca="1" si="22"/>
        <v>0.53729469509623384</v>
      </c>
      <c r="AG47" s="1">
        <f t="shared" ca="1" si="23"/>
        <v>427</v>
      </c>
      <c r="AH47" s="1">
        <f t="shared" ca="1" si="24"/>
        <v>4.388095578851601E-3</v>
      </c>
      <c r="AJ47" s="1">
        <f t="shared" ca="1" si="25"/>
        <v>0.46346703306238868</v>
      </c>
      <c r="AK47" s="1">
        <f t="shared" ca="1" si="26"/>
        <v>9.5757929747488316E-3</v>
      </c>
      <c r="AL47" s="1"/>
      <c r="AM47" s="1">
        <f t="shared" ca="1" si="27"/>
        <v>0.13660440420623163</v>
      </c>
      <c r="AN47" s="1">
        <f t="shared" ca="1" si="28"/>
        <v>49</v>
      </c>
      <c r="AO47" s="1">
        <f t="shared" ca="1" si="29"/>
        <v>18</v>
      </c>
      <c r="AQ47" s="1">
        <f t="shared" ca="1" si="30"/>
        <v>155</v>
      </c>
      <c r="AR47" s="1">
        <f t="shared" ca="1" si="31"/>
        <v>3</v>
      </c>
      <c r="AS47" s="1">
        <f t="shared" ca="1" si="32"/>
        <v>5</v>
      </c>
      <c r="AU47" s="1">
        <f t="shared" ca="1" si="33"/>
        <v>364</v>
      </c>
      <c r="AV47" s="1">
        <f t="shared" ca="1" si="34"/>
        <v>8</v>
      </c>
      <c r="AW47" s="1">
        <f t="shared" ca="1" si="35"/>
        <v>5.6574980721322783E-2</v>
      </c>
      <c r="AY47" s="1">
        <f t="shared" ca="1" si="36"/>
        <v>1.6662229460781517</v>
      </c>
      <c r="AZ47" s="1">
        <f t="shared" ca="1" si="37"/>
        <v>323</v>
      </c>
      <c r="BA47" s="1">
        <f t="shared" ca="1" si="38"/>
        <v>7.6425917779929242E-3</v>
      </c>
      <c r="BV47" s="1">
        <f t="shared" ca="1" si="39"/>
        <v>0.9910309798009731</v>
      </c>
      <c r="BW47" s="1">
        <f t="shared" ca="1" si="40"/>
        <v>213</v>
      </c>
      <c r="BX47" s="1">
        <f t="shared" ca="1" si="41"/>
        <v>7.2381009012272499E-3</v>
      </c>
      <c r="BY47" s="1">
        <f t="shared" ca="1" si="42"/>
        <v>5.9341868905519367E-2</v>
      </c>
      <c r="BZ47" s="1">
        <f t="shared" ca="1" si="43"/>
        <v>0.46207569375804891</v>
      </c>
      <c r="CB47" s="1">
        <f t="shared" ca="1" si="44"/>
        <v>372</v>
      </c>
      <c r="CC47" s="1">
        <f t="shared" ca="1" si="45"/>
        <v>15</v>
      </c>
      <c r="CD47" s="1">
        <f t="shared" ca="1" si="46"/>
        <v>0.24242537483814575</v>
      </c>
      <c r="CE47" s="1">
        <f t="shared" ca="1" si="56"/>
        <v>0.57379220633844941</v>
      </c>
      <c r="CF47" s="1">
        <f t="shared" ca="1" si="56"/>
        <v>0.63374061278327187</v>
      </c>
      <c r="CH47" s="3">
        <f t="shared" ca="1" si="48"/>
        <v>0.54860810499436019</v>
      </c>
      <c r="CI47" s="3">
        <f t="shared" ca="1" si="49"/>
        <v>0.5330754577818636</v>
      </c>
      <c r="CJ47" s="3">
        <f t="shared" ca="1" si="50"/>
        <v>380</v>
      </c>
      <c r="CK47" s="3">
        <f t="shared" ca="1" si="51"/>
        <v>2.0812907881303387E-3</v>
      </c>
      <c r="CL47" s="3">
        <f t="shared" ca="1" si="52"/>
        <v>0</v>
      </c>
      <c r="CM47" s="3"/>
      <c r="CN47" s="1">
        <f t="shared" ca="1" si="53"/>
        <v>10.073229284616639</v>
      </c>
      <c r="CO47" s="1">
        <f t="shared" ca="1" si="54"/>
        <v>3.0717971418716947E-2</v>
      </c>
      <c r="CP47" s="1">
        <f t="shared" ca="1" si="55"/>
        <v>4</v>
      </c>
    </row>
    <row r="48" spans="2:94" x14ac:dyDescent="0.25">
      <c r="B48">
        <f t="shared" ca="1" si="0"/>
        <v>778</v>
      </c>
      <c r="C48">
        <f t="shared" ca="1" si="1"/>
        <v>3</v>
      </c>
      <c r="D48">
        <f t="shared" ca="1" si="2"/>
        <v>1.4921415684165933E-2</v>
      </c>
      <c r="F48" s="1">
        <f t="shared" ca="1" si="3"/>
        <v>13</v>
      </c>
      <c r="G48" s="1">
        <f t="shared" ca="1" si="4"/>
        <v>14</v>
      </c>
      <c r="H48" s="1">
        <f t="shared" ca="1" si="5"/>
        <v>2</v>
      </c>
      <c r="I48" s="1"/>
      <c r="J48" s="1">
        <f t="shared" ca="1" si="6"/>
        <v>4</v>
      </c>
      <c r="K48" s="1">
        <f t="shared" ca="1" si="7"/>
        <v>2.1759405309551636</v>
      </c>
      <c r="L48" s="1">
        <f t="shared" ca="1" si="8"/>
        <v>13</v>
      </c>
      <c r="M48" s="1"/>
      <c r="N48" s="1">
        <f t="shared" ca="1" si="9"/>
        <v>933</v>
      </c>
      <c r="O48" s="1">
        <f t="shared" ca="1" si="10"/>
        <v>46</v>
      </c>
      <c r="P48" s="1"/>
      <c r="Q48" s="1">
        <f t="shared" ca="1" si="11"/>
        <v>3.8049235955719509</v>
      </c>
      <c r="R48" s="1">
        <f t="shared" ca="1" si="12"/>
        <v>871</v>
      </c>
      <c r="S48" s="1"/>
      <c r="T48" s="1">
        <f t="shared" ca="1" si="13"/>
        <v>0.10649377615714592</v>
      </c>
      <c r="U48" s="1">
        <f t="shared" ca="1" si="14"/>
        <v>353</v>
      </c>
      <c r="V48" s="1">
        <f t="shared" ca="1" si="15"/>
        <v>5</v>
      </c>
      <c r="W48" s="1"/>
      <c r="X48" s="1">
        <f t="shared" ca="1" si="16"/>
        <v>8.1498450528032418</v>
      </c>
      <c r="Y48" s="1">
        <f t="shared" ca="1" si="17"/>
        <v>0.17478661106838816</v>
      </c>
      <c r="Z48" s="1">
        <f t="shared" ca="1" si="18"/>
        <v>153</v>
      </c>
      <c r="AB48" s="1">
        <f t="shared" ca="1" si="19"/>
        <v>0.56603002640315792</v>
      </c>
      <c r="AC48" s="1">
        <f t="shared" ca="1" si="20"/>
        <v>711</v>
      </c>
      <c r="AD48" s="1">
        <f t="shared" ca="1" si="21"/>
        <v>2.3471747508757121E-4</v>
      </c>
      <c r="AE48" s="1"/>
      <c r="AF48" s="1">
        <f t="shared" ca="1" si="22"/>
        <v>0.16519730006573818</v>
      </c>
      <c r="AG48" s="1">
        <f t="shared" ca="1" si="23"/>
        <v>296</v>
      </c>
      <c r="AH48" s="1">
        <f t="shared" ca="1" si="24"/>
        <v>9.7193219331555471E-3</v>
      </c>
      <c r="AJ48" s="1">
        <f t="shared" ca="1" si="25"/>
        <v>0.67401479678646403</v>
      </c>
      <c r="AK48" s="1">
        <f t="shared" ca="1" si="26"/>
        <v>8.0311660327077976E-3</v>
      </c>
      <c r="AL48" s="1"/>
      <c r="AM48" s="1">
        <f t="shared" ca="1" si="27"/>
        <v>3.2962800063585145E-2</v>
      </c>
      <c r="AN48" s="1">
        <f t="shared" ca="1" si="28"/>
        <v>32</v>
      </c>
      <c r="AO48" s="1">
        <f t="shared" ca="1" si="29"/>
        <v>2</v>
      </c>
      <c r="AQ48" s="1">
        <f t="shared" ca="1" si="30"/>
        <v>114</v>
      </c>
      <c r="AR48" s="1">
        <f t="shared" ca="1" si="31"/>
        <v>3</v>
      </c>
      <c r="AS48" s="1">
        <f t="shared" ca="1" si="32"/>
        <v>71</v>
      </c>
      <c r="AU48" s="1">
        <f t="shared" ca="1" si="33"/>
        <v>396</v>
      </c>
      <c r="AV48" s="1">
        <f t="shared" ca="1" si="34"/>
        <v>8</v>
      </c>
      <c r="AW48" s="1">
        <f t="shared" ca="1" si="35"/>
        <v>4.5296505310258563E-2</v>
      </c>
      <c r="AY48" s="1">
        <f t="shared" ca="1" si="36"/>
        <v>1.2625936421195318</v>
      </c>
      <c r="AZ48" s="1">
        <f t="shared" ca="1" si="37"/>
        <v>492</v>
      </c>
      <c r="BA48" s="1">
        <f t="shared" ca="1" si="38"/>
        <v>9.9087367155459329E-3</v>
      </c>
      <c r="BV48" s="1">
        <f t="shared" ca="1" si="39"/>
        <v>0.29957222743591821</v>
      </c>
      <c r="BW48" s="1">
        <f t="shared" ca="1" si="40"/>
        <v>532</v>
      </c>
      <c r="BX48" s="1">
        <f t="shared" ca="1" si="41"/>
        <v>4.0568469827941371E-3</v>
      </c>
      <c r="BY48" s="1">
        <f t="shared" ca="1" si="42"/>
        <v>7.6468068715617815E-2</v>
      </c>
      <c r="BZ48" s="1">
        <f t="shared" ca="1" si="43"/>
        <v>0.10233617222008906</v>
      </c>
      <c r="CB48" s="1">
        <f t="shared" ca="1" si="44"/>
        <v>374</v>
      </c>
      <c r="CC48" s="1">
        <f t="shared" ca="1" si="45"/>
        <v>7</v>
      </c>
      <c r="CD48" s="1">
        <f t="shared" ca="1" si="46"/>
        <v>0.16301299575791994</v>
      </c>
      <c r="CE48" s="1">
        <f t="shared" ca="1" si="56"/>
        <v>0.51138916289559011</v>
      </c>
      <c r="CF48" s="1">
        <f t="shared" ca="1" si="56"/>
        <v>0.82438508388437226</v>
      </c>
      <c r="CH48" s="3">
        <f t="shared" ca="1" si="48"/>
        <v>0.57613737412732668</v>
      </c>
      <c r="CI48" s="3">
        <f t="shared" ca="1" si="49"/>
        <v>0.86483890486575254</v>
      </c>
      <c r="CJ48" s="3">
        <f t="shared" ca="1" si="50"/>
        <v>1022</v>
      </c>
      <c r="CK48" s="3">
        <f t="shared" ca="1" si="51"/>
        <v>9.5449317453327985E-3</v>
      </c>
      <c r="CL48" s="3">
        <f t="shared" ca="1" si="52"/>
        <v>1</v>
      </c>
      <c r="CM48" s="3"/>
      <c r="CN48" s="1">
        <f t="shared" ca="1" si="53"/>
        <v>17.708666199626961</v>
      </c>
      <c r="CO48" s="1">
        <f t="shared" ca="1" si="54"/>
        <v>0.38440173199116712</v>
      </c>
      <c r="CP48" s="1">
        <f t="shared" ca="1" si="55"/>
        <v>5</v>
      </c>
    </row>
    <row r="49" spans="2:94" x14ac:dyDescent="0.25">
      <c r="B49">
        <f t="shared" ca="1" si="0"/>
        <v>81</v>
      </c>
      <c r="C49">
        <f t="shared" ca="1" si="1"/>
        <v>11</v>
      </c>
      <c r="D49">
        <f t="shared" ca="1" si="2"/>
        <v>0.1980082063047926</v>
      </c>
      <c r="F49" s="1">
        <f t="shared" ca="1" si="3"/>
        <v>50</v>
      </c>
      <c r="G49" s="1">
        <f t="shared" ca="1" si="4"/>
        <v>27</v>
      </c>
      <c r="H49" s="1">
        <f t="shared" ca="1" si="5"/>
        <v>6</v>
      </c>
      <c r="I49" s="1"/>
      <c r="J49" s="1">
        <f t="shared" ca="1" si="6"/>
        <v>4</v>
      </c>
      <c r="K49" s="1">
        <f t="shared" ca="1" si="7"/>
        <v>1.0572626264884089</v>
      </c>
      <c r="L49" s="1">
        <f t="shared" ca="1" si="8"/>
        <v>31</v>
      </c>
      <c r="M49" s="1"/>
      <c r="N49" s="1">
        <f t="shared" ca="1" si="9"/>
        <v>741</v>
      </c>
      <c r="O49" s="1">
        <f t="shared" ca="1" si="10"/>
        <v>11</v>
      </c>
      <c r="P49" s="1"/>
      <c r="Q49" s="1">
        <f t="shared" ca="1" si="11"/>
        <v>3.0751119638282751</v>
      </c>
      <c r="R49" s="1">
        <f t="shared" ca="1" si="12"/>
        <v>456</v>
      </c>
      <c r="S49" s="1"/>
      <c r="T49" s="1">
        <f t="shared" ca="1" si="13"/>
        <v>0.19617776495610603</v>
      </c>
      <c r="U49" s="1">
        <f t="shared" ca="1" si="14"/>
        <v>384</v>
      </c>
      <c r="V49" s="1">
        <f t="shared" ca="1" si="15"/>
        <v>33</v>
      </c>
      <c r="W49" s="1"/>
      <c r="X49" s="1">
        <f t="shared" ca="1" si="16"/>
        <v>6.3563089335816212</v>
      </c>
      <c r="Y49" s="1">
        <f t="shared" ca="1" si="17"/>
        <v>0.51506590651086803</v>
      </c>
      <c r="Z49" s="1">
        <f t="shared" ca="1" si="18"/>
        <v>1250</v>
      </c>
      <c r="AB49" s="1">
        <f t="shared" ca="1" si="19"/>
        <v>0.7054234685671571</v>
      </c>
      <c r="AC49" s="1">
        <f t="shared" ca="1" si="20"/>
        <v>928</v>
      </c>
      <c r="AD49" s="1">
        <f t="shared" ca="1" si="21"/>
        <v>3.8579093868733008E-3</v>
      </c>
      <c r="AE49" s="1"/>
      <c r="AF49" s="1">
        <f t="shared" ca="1" si="22"/>
        <v>0.64695648544256512</v>
      </c>
      <c r="AG49" s="1">
        <f t="shared" ca="1" si="23"/>
        <v>738</v>
      </c>
      <c r="AH49" s="1">
        <f t="shared" ca="1" si="24"/>
        <v>5.9448093300035216E-3</v>
      </c>
      <c r="AJ49" s="1">
        <f t="shared" ca="1" si="25"/>
        <v>0.47625847773023799</v>
      </c>
      <c r="AK49" s="1">
        <f t="shared" ca="1" si="26"/>
        <v>1.6612695374139197E-3</v>
      </c>
      <c r="AL49" s="1"/>
      <c r="AM49" s="1">
        <f t="shared" ca="1" si="27"/>
        <v>0.10841146227060071</v>
      </c>
      <c r="AN49" s="1">
        <f t="shared" ca="1" si="28"/>
        <v>62</v>
      </c>
      <c r="AO49" s="1">
        <f t="shared" ca="1" si="29"/>
        <v>3</v>
      </c>
      <c r="AQ49" s="1">
        <f t="shared" ca="1" si="30"/>
        <v>118</v>
      </c>
      <c r="AR49" s="1">
        <f t="shared" ca="1" si="31"/>
        <v>0</v>
      </c>
      <c r="AS49" s="1">
        <f t="shared" ca="1" si="32"/>
        <v>82</v>
      </c>
      <c r="AU49" s="1">
        <f t="shared" ca="1" si="33"/>
        <v>362</v>
      </c>
      <c r="AV49" s="1">
        <f t="shared" ca="1" si="34"/>
        <v>9</v>
      </c>
      <c r="AW49" s="1">
        <f t="shared" ca="1" si="35"/>
        <v>0.149812750872484</v>
      </c>
      <c r="AY49" s="1">
        <f t="shared" ca="1" si="36"/>
        <v>1.2618250092402037</v>
      </c>
      <c r="AZ49" s="1">
        <f t="shared" ca="1" si="37"/>
        <v>201</v>
      </c>
      <c r="BA49" s="1">
        <f t="shared" ca="1" si="38"/>
        <v>2.7924885447313808E-3</v>
      </c>
      <c r="BV49" s="1">
        <f t="shared" ca="1" si="39"/>
        <v>0.45717274077462761</v>
      </c>
      <c r="BW49" s="1">
        <f t="shared" ca="1" si="40"/>
        <v>616</v>
      </c>
      <c r="BX49" s="1">
        <f t="shared" ca="1" si="41"/>
        <v>8.6490084490701124E-3</v>
      </c>
      <c r="BY49" s="1">
        <f t="shared" ca="1" si="42"/>
        <v>8.3354533107922901E-2</v>
      </c>
      <c r="BZ49" s="1">
        <f t="shared" ca="1" si="43"/>
        <v>0.59233874446833379</v>
      </c>
      <c r="CB49" s="1">
        <f t="shared" ca="1" si="44"/>
        <v>499</v>
      </c>
      <c r="CC49" s="1">
        <f t="shared" ca="1" si="45"/>
        <v>11</v>
      </c>
      <c r="CD49" s="1">
        <f t="shared" ca="1" si="46"/>
        <v>0.15549067081215323</v>
      </c>
      <c r="CE49" s="1">
        <f t="shared" ca="1" si="56"/>
        <v>0.84647080818286069</v>
      </c>
      <c r="CF49" s="1">
        <f t="shared" ca="1" si="56"/>
        <v>0.98031345687904503</v>
      </c>
      <c r="CH49" s="3">
        <f t="shared" ca="1" si="48"/>
        <v>0.22067845548967494</v>
      </c>
      <c r="CI49" s="3">
        <f t="shared" ca="1" si="49"/>
        <v>0.64063599202531518</v>
      </c>
      <c r="CJ49" s="3">
        <f t="shared" ca="1" si="50"/>
        <v>1679</v>
      </c>
      <c r="CK49" s="3">
        <f t="shared" ca="1" si="51"/>
        <v>9.6940733557157825E-3</v>
      </c>
      <c r="CL49" s="3">
        <f t="shared" ca="1" si="52"/>
        <v>1</v>
      </c>
      <c r="CM49" s="3"/>
      <c r="CN49" s="1">
        <f t="shared" ca="1" si="53"/>
        <v>4.1590847779872355</v>
      </c>
      <c r="CO49" s="1">
        <f t="shared" ca="1" si="54"/>
        <v>7.0613697031167225E-2</v>
      </c>
      <c r="CP49" s="1">
        <f t="shared" ca="1" si="55"/>
        <v>5</v>
      </c>
    </row>
    <row r="50" spans="2:94" x14ac:dyDescent="0.25">
      <c r="B50">
        <f t="shared" ca="1" si="0"/>
        <v>383</v>
      </c>
      <c r="C50">
        <f t="shared" ca="1" si="1"/>
        <v>29</v>
      </c>
      <c r="D50">
        <f t="shared" ca="1" si="2"/>
        <v>0.24515043179880805</v>
      </c>
      <c r="F50" s="1">
        <f t="shared" ca="1" si="3"/>
        <v>21</v>
      </c>
      <c r="G50" s="1">
        <f t="shared" ca="1" si="4"/>
        <v>13</v>
      </c>
      <c r="H50" s="1">
        <f t="shared" ca="1" si="5"/>
        <v>12</v>
      </c>
      <c r="I50" s="1"/>
      <c r="J50" s="1">
        <f t="shared" ca="1" si="6"/>
        <v>24</v>
      </c>
      <c r="K50" s="1">
        <f t="shared" ca="1" si="7"/>
        <v>1.7459705512172679</v>
      </c>
      <c r="L50" s="1">
        <f t="shared" ca="1" si="8"/>
        <v>6</v>
      </c>
      <c r="M50" s="1"/>
      <c r="N50" s="1">
        <f t="shared" ca="1" si="9"/>
        <v>718</v>
      </c>
      <c r="O50" s="1">
        <f t="shared" ca="1" si="10"/>
        <v>7</v>
      </c>
      <c r="P50" s="1"/>
      <c r="Q50" s="1">
        <f t="shared" ca="1" si="11"/>
        <v>1.3586885991490363</v>
      </c>
      <c r="R50" s="1">
        <f t="shared" ca="1" si="12"/>
        <v>782</v>
      </c>
      <c r="S50" s="1"/>
      <c r="T50" s="1">
        <f t="shared" ca="1" si="13"/>
        <v>6.8582267594570936E-2</v>
      </c>
      <c r="U50" s="1">
        <f t="shared" ca="1" si="14"/>
        <v>217</v>
      </c>
      <c r="V50" s="1">
        <f t="shared" ca="1" si="15"/>
        <v>5</v>
      </c>
      <c r="W50" s="1"/>
      <c r="X50" s="1">
        <f t="shared" ca="1" si="16"/>
        <v>0.17855246146242015</v>
      </c>
      <c r="Y50" s="1">
        <f t="shared" ca="1" si="17"/>
        <v>0.49950838479698284</v>
      </c>
      <c r="Z50" s="1">
        <f t="shared" ca="1" si="18"/>
        <v>408</v>
      </c>
      <c r="AB50" s="1">
        <f t="shared" ca="1" si="19"/>
        <v>0.91510654276229664</v>
      </c>
      <c r="AC50" s="1">
        <f t="shared" ca="1" si="20"/>
        <v>464</v>
      </c>
      <c r="AD50" s="1">
        <f t="shared" ca="1" si="21"/>
        <v>5.6340267294109972E-3</v>
      </c>
      <c r="AE50" s="1"/>
      <c r="AF50" s="1">
        <f t="shared" ca="1" si="22"/>
        <v>0.28995616515008155</v>
      </c>
      <c r="AG50" s="1">
        <f t="shared" ca="1" si="23"/>
        <v>455</v>
      </c>
      <c r="AH50" s="1">
        <f t="shared" ca="1" si="24"/>
        <v>5.1417151476720801E-3</v>
      </c>
      <c r="AJ50" s="1">
        <f t="shared" ca="1" si="25"/>
        <v>0.49090940879013056</v>
      </c>
      <c r="AK50" s="1">
        <f t="shared" ca="1" si="26"/>
        <v>2.7375449387407923E-3</v>
      </c>
      <c r="AL50" s="1"/>
      <c r="AM50" s="1">
        <f t="shared" ca="1" si="27"/>
        <v>7.5064926539830171E-2</v>
      </c>
      <c r="AN50" s="1">
        <f t="shared" ca="1" si="28"/>
        <v>15</v>
      </c>
      <c r="AO50" s="1">
        <f t="shared" ca="1" si="29"/>
        <v>20</v>
      </c>
      <c r="AQ50" s="1">
        <f t="shared" ca="1" si="30"/>
        <v>31</v>
      </c>
      <c r="AR50" s="1">
        <f t="shared" ca="1" si="31"/>
        <v>8</v>
      </c>
      <c r="AS50" s="1">
        <f t="shared" ca="1" si="32"/>
        <v>40</v>
      </c>
      <c r="AU50" s="1">
        <f t="shared" ca="1" si="33"/>
        <v>167</v>
      </c>
      <c r="AV50" s="1">
        <f t="shared" ca="1" si="34"/>
        <v>10</v>
      </c>
      <c r="AW50" s="1">
        <f t="shared" ca="1" si="35"/>
        <v>0.18696483863608859</v>
      </c>
      <c r="AY50" s="1">
        <f t="shared" ca="1" si="36"/>
        <v>1.3286464552282913</v>
      </c>
      <c r="AZ50" s="1">
        <f t="shared" ca="1" si="37"/>
        <v>68</v>
      </c>
      <c r="BA50" s="1">
        <f t="shared" ca="1" si="38"/>
        <v>2.345456404083904E-3</v>
      </c>
      <c r="BV50" s="1">
        <f t="shared" ca="1" si="39"/>
        <v>7.4910529669718229E-2</v>
      </c>
      <c r="BW50" s="1">
        <f t="shared" ca="1" si="40"/>
        <v>733</v>
      </c>
      <c r="BX50" s="1">
        <f t="shared" ca="1" si="41"/>
        <v>1.7416629020994136E-3</v>
      </c>
      <c r="BY50" s="1">
        <f t="shared" ca="1" si="42"/>
        <v>7.4077834162117565E-2</v>
      </c>
      <c r="BZ50" s="1">
        <f t="shared" ca="1" si="43"/>
        <v>0.51164213682370352</v>
      </c>
      <c r="CB50" s="1">
        <f t="shared" ca="1" si="44"/>
        <v>174</v>
      </c>
      <c r="CC50" s="1">
        <f t="shared" ca="1" si="45"/>
        <v>9</v>
      </c>
      <c r="CD50" s="1">
        <f t="shared" ca="1" si="46"/>
        <v>4.7138902396487187E-2</v>
      </c>
      <c r="CE50" s="1">
        <f t="shared" ca="1" si="56"/>
        <v>0.50562712106560115</v>
      </c>
      <c r="CF50" s="1">
        <f t="shared" ca="1" si="56"/>
        <v>0.89821910687183071</v>
      </c>
      <c r="CH50" s="3">
        <f t="shared" ca="1" si="48"/>
        <v>0.62085808104663964</v>
      </c>
      <c r="CI50" s="3">
        <f t="shared" ca="1" si="49"/>
        <v>0.30006493202513734</v>
      </c>
      <c r="CJ50" s="3">
        <f t="shared" ca="1" si="50"/>
        <v>519</v>
      </c>
      <c r="CK50" s="3">
        <f t="shared" ca="1" si="51"/>
        <v>5.5736928413648969E-3</v>
      </c>
      <c r="CL50" s="3">
        <f t="shared" ca="1" si="52"/>
        <v>0</v>
      </c>
      <c r="CM50" s="3"/>
      <c r="CN50" s="1">
        <f t="shared" ca="1" si="53"/>
        <v>7.7785115945457415</v>
      </c>
      <c r="CO50" s="1">
        <f t="shared" ca="1" si="54"/>
        <v>0.13031004107167357</v>
      </c>
      <c r="CP50" s="1">
        <f t="shared" ca="1" si="55"/>
        <v>4</v>
      </c>
    </row>
    <row r="51" spans="2:94" x14ac:dyDescent="0.25">
      <c r="B51">
        <f t="shared" ca="1" si="0"/>
        <v>403</v>
      </c>
      <c r="C51">
        <f t="shared" ca="1" si="1"/>
        <v>15</v>
      </c>
      <c r="D51">
        <f t="shared" ca="1" si="2"/>
        <v>0.14456161442681542</v>
      </c>
      <c r="F51" s="1">
        <f t="shared" ca="1" si="3"/>
        <v>31</v>
      </c>
      <c r="G51" s="1">
        <f t="shared" ca="1" si="4"/>
        <v>26</v>
      </c>
      <c r="H51" s="1">
        <f t="shared" ca="1" si="5"/>
        <v>14</v>
      </c>
      <c r="I51" s="1"/>
      <c r="J51" s="1">
        <f t="shared" ca="1" si="6"/>
        <v>22</v>
      </c>
      <c r="K51" s="1">
        <f t="shared" ca="1" si="7"/>
        <v>1.0656177139169098</v>
      </c>
      <c r="L51" s="1">
        <f t="shared" ca="1" si="8"/>
        <v>31</v>
      </c>
      <c r="M51" s="1"/>
      <c r="N51" s="1">
        <f t="shared" ca="1" si="9"/>
        <v>697</v>
      </c>
      <c r="O51" s="1">
        <f t="shared" ca="1" si="10"/>
        <v>14</v>
      </c>
      <c r="P51" s="1"/>
      <c r="Q51" s="1">
        <f t="shared" ca="1" si="11"/>
        <v>3.2225690941945531</v>
      </c>
      <c r="R51" s="1">
        <f t="shared" ca="1" si="12"/>
        <v>261</v>
      </c>
      <c r="S51" s="1"/>
      <c r="T51" s="1">
        <f t="shared" ca="1" si="13"/>
        <v>0.14127689310609615</v>
      </c>
      <c r="U51" s="1">
        <f t="shared" ca="1" si="14"/>
        <v>115</v>
      </c>
      <c r="V51" s="1">
        <f t="shared" ca="1" si="15"/>
        <v>2</v>
      </c>
      <c r="W51" s="1"/>
      <c r="X51" s="1">
        <f t="shared" ca="1" si="16"/>
        <v>7.7394652719417225</v>
      </c>
      <c r="Y51" s="1">
        <f t="shared" ca="1" si="17"/>
        <v>2.5706649682004562E-2</v>
      </c>
      <c r="Z51" s="1">
        <f t="shared" ca="1" si="18"/>
        <v>895</v>
      </c>
      <c r="AB51" s="1">
        <f t="shared" ca="1" si="19"/>
        <v>0.16383195724781968</v>
      </c>
      <c r="AC51" s="1">
        <f t="shared" ca="1" si="20"/>
        <v>864</v>
      </c>
      <c r="AD51" s="1">
        <f t="shared" ca="1" si="21"/>
        <v>7.7222881734914763E-3</v>
      </c>
      <c r="AE51" s="1"/>
      <c r="AF51" s="1">
        <f t="shared" ca="1" si="22"/>
        <v>0.7705078815342794</v>
      </c>
      <c r="AG51" s="1">
        <f t="shared" ca="1" si="23"/>
        <v>996</v>
      </c>
      <c r="AH51" s="1">
        <f t="shared" ca="1" si="24"/>
        <v>2.2693727403608538E-3</v>
      </c>
      <c r="AJ51" s="1">
        <f t="shared" ca="1" si="25"/>
        <v>0.12239629927989459</v>
      </c>
      <c r="AK51" s="1">
        <f t="shared" ca="1" si="26"/>
        <v>2.6606490788718268E-3</v>
      </c>
      <c r="AL51" s="1"/>
      <c r="AM51" s="1">
        <f t="shared" ca="1" si="27"/>
        <v>5.1688955682141442E-2</v>
      </c>
      <c r="AN51" s="1">
        <f t="shared" ca="1" si="28"/>
        <v>51</v>
      </c>
      <c r="AO51" s="1">
        <f t="shared" ca="1" si="29"/>
        <v>4</v>
      </c>
      <c r="AQ51" s="1">
        <f t="shared" ca="1" si="30"/>
        <v>64</v>
      </c>
      <c r="AR51" s="1">
        <f t="shared" ca="1" si="31"/>
        <v>4</v>
      </c>
      <c r="AS51" s="1">
        <f t="shared" ca="1" si="32"/>
        <v>9</v>
      </c>
      <c r="AU51" s="1">
        <f t="shared" ca="1" si="33"/>
        <v>178</v>
      </c>
      <c r="AV51" s="1">
        <f t="shared" ca="1" si="34"/>
        <v>8</v>
      </c>
      <c r="AW51" s="1">
        <f t="shared" ca="1" si="35"/>
        <v>9.8536715519616389E-2</v>
      </c>
      <c r="AY51" s="1">
        <f t="shared" ca="1" si="36"/>
        <v>1.4502808716607314</v>
      </c>
      <c r="AZ51" s="1">
        <f t="shared" ca="1" si="37"/>
        <v>271</v>
      </c>
      <c r="BA51" s="1">
        <f t="shared" ca="1" si="38"/>
        <v>1.4105977528272337E-3</v>
      </c>
      <c r="BV51" s="1">
        <f t="shared" ca="1" si="39"/>
        <v>0.31811911358087464</v>
      </c>
      <c r="BW51" s="1">
        <f t="shared" ca="1" si="40"/>
        <v>327</v>
      </c>
      <c r="BX51" s="1">
        <f t="shared" ca="1" si="41"/>
        <v>4.0375834963963866E-3</v>
      </c>
      <c r="BY51" s="1">
        <f t="shared" ca="1" si="42"/>
        <v>2.7720095596768281E-2</v>
      </c>
      <c r="BZ51" s="1">
        <f t="shared" ca="1" si="43"/>
        <v>0.66735936559964815</v>
      </c>
      <c r="CB51" s="1">
        <f t="shared" ca="1" si="44"/>
        <v>451</v>
      </c>
      <c r="CC51" s="1">
        <f t="shared" ca="1" si="45"/>
        <v>13</v>
      </c>
      <c r="CD51" s="1">
        <f t="shared" ca="1" si="46"/>
        <v>0.1391739244553124</v>
      </c>
      <c r="CE51" s="1">
        <f t="shared" ca="1" si="56"/>
        <v>0.57265185742406932</v>
      </c>
      <c r="CF51" s="1">
        <f t="shared" ca="1" si="56"/>
        <v>0.74564902052436044</v>
      </c>
      <c r="CH51" s="3">
        <f t="shared" ca="1" si="48"/>
        <v>0.52573232156307681</v>
      </c>
      <c r="CI51" s="3">
        <f t="shared" ca="1" si="49"/>
        <v>0.11444462151758802</v>
      </c>
      <c r="CJ51" s="3">
        <f t="shared" ca="1" si="50"/>
        <v>1006</v>
      </c>
      <c r="CK51" s="3">
        <f t="shared" ca="1" si="51"/>
        <v>1.5161662288471682E-3</v>
      </c>
      <c r="CL51" s="3">
        <f t="shared" ca="1" si="52"/>
        <v>1</v>
      </c>
      <c r="CM51" s="3"/>
      <c r="CN51" s="1">
        <f t="shared" ca="1" si="53"/>
        <v>14.488378971110288</v>
      </c>
      <c r="CO51" s="1">
        <f t="shared" ca="1" si="54"/>
        <v>0.16423040356946636</v>
      </c>
      <c r="CP51" s="1">
        <f t="shared" ca="1" si="55"/>
        <v>5</v>
      </c>
    </row>
    <row r="52" spans="2:94" x14ac:dyDescent="0.25">
      <c r="B52">
        <f t="shared" ca="1" si="0"/>
        <v>992</v>
      </c>
      <c r="C52">
        <f t="shared" ca="1" si="1"/>
        <v>23</v>
      </c>
      <c r="D52">
        <f t="shared" ca="1" si="2"/>
        <v>0.12882400395954155</v>
      </c>
      <c r="F52" s="1">
        <f t="shared" ca="1" si="3"/>
        <v>47</v>
      </c>
      <c r="G52" s="1">
        <f t="shared" ca="1" si="4"/>
        <v>14</v>
      </c>
      <c r="H52" s="1">
        <f t="shared" ca="1" si="5"/>
        <v>13</v>
      </c>
      <c r="I52" s="1"/>
      <c r="J52" s="1">
        <f t="shared" ca="1" si="6"/>
        <v>35</v>
      </c>
      <c r="K52" s="1">
        <f t="shared" ca="1" si="7"/>
        <v>1.2444172361736738</v>
      </c>
      <c r="L52" s="1">
        <f t="shared" ca="1" si="8"/>
        <v>4</v>
      </c>
      <c r="M52" s="1"/>
      <c r="N52" s="1">
        <f t="shared" ca="1" si="9"/>
        <v>379</v>
      </c>
      <c r="O52" s="1">
        <f t="shared" ca="1" si="10"/>
        <v>24</v>
      </c>
      <c r="P52" s="1"/>
      <c r="Q52" s="1">
        <f t="shared" ca="1" si="11"/>
        <v>2.3567323211982418</v>
      </c>
      <c r="R52" s="1">
        <f t="shared" ca="1" si="12"/>
        <v>850</v>
      </c>
      <c r="S52" s="1"/>
      <c r="T52" s="1">
        <f t="shared" ca="1" si="13"/>
        <v>9.9607105956492623E-2</v>
      </c>
      <c r="U52" s="1">
        <f t="shared" ca="1" si="14"/>
        <v>247</v>
      </c>
      <c r="V52" s="1">
        <f t="shared" ca="1" si="15"/>
        <v>42</v>
      </c>
      <c r="W52" s="1"/>
      <c r="X52" s="1">
        <f t="shared" ca="1" si="16"/>
        <v>1.6752560101992175</v>
      </c>
      <c r="Y52" s="1">
        <f t="shared" ca="1" si="17"/>
        <v>5.847774784432952E-2</v>
      </c>
      <c r="Z52" s="1">
        <f t="shared" ca="1" si="18"/>
        <v>1134</v>
      </c>
      <c r="AB52" s="1">
        <f t="shared" ca="1" si="19"/>
        <v>0.36970337940681824</v>
      </c>
      <c r="AC52" s="1">
        <f t="shared" ca="1" si="20"/>
        <v>513</v>
      </c>
      <c r="AD52" s="1">
        <f t="shared" ca="1" si="21"/>
        <v>8.0264301020117369E-3</v>
      </c>
      <c r="AE52" s="1"/>
      <c r="AF52" s="1">
        <f t="shared" ca="1" si="22"/>
        <v>0.37886920457012974</v>
      </c>
      <c r="AG52" s="1">
        <f t="shared" ca="1" si="23"/>
        <v>532</v>
      </c>
      <c r="AH52" s="1">
        <f t="shared" ca="1" si="24"/>
        <v>8.2040379281180398E-3</v>
      </c>
      <c r="AJ52" s="1">
        <f t="shared" ca="1" si="25"/>
        <v>0.95791143288003144</v>
      </c>
      <c r="AK52" s="1">
        <f t="shared" ca="1" si="26"/>
        <v>6.8300730671445866E-3</v>
      </c>
      <c r="AL52" s="1"/>
      <c r="AM52" s="1">
        <f t="shared" ca="1" si="27"/>
        <v>1.718991056115839E-2</v>
      </c>
      <c r="AN52" s="1">
        <f t="shared" ca="1" si="28"/>
        <v>11</v>
      </c>
      <c r="AO52" s="1">
        <f t="shared" ca="1" si="29"/>
        <v>5</v>
      </c>
      <c r="AQ52" s="1">
        <f t="shared" ca="1" si="30"/>
        <v>195</v>
      </c>
      <c r="AR52" s="1">
        <f t="shared" ca="1" si="31"/>
        <v>1</v>
      </c>
      <c r="AS52" s="1">
        <f t="shared" ca="1" si="32"/>
        <v>60</v>
      </c>
      <c r="AU52" s="1">
        <f t="shared" ca="1" si="33"/>
        <v>63</v>
      </c>
      <c r="AV52" s="1">
        <f t="shared" ca="1" si="34"/>
        <v>2</v>
      </c>
      <c r="AW52" s="1">
        <f t="shared" ca="1" si="35"/>
        <v>0.14647402609972157</v>
      </c>
      <c r="AY52" s="1">
        <f t="shared" ca="1" si="36"/>
        <v>1.1658860083610381</v>
      </c>
      <c r="AZ52" s="1">
        <f t="shared" ca="1" si="37"/>
        <v>345</v>
      </c>
      <c r="BA52" s="1">
        <f t="shared" ca="1" si="38"/>
        <v>2.0144890458288511E-3</v>
      </c>
      <c r="BV52" s="1">
        <f t="shared" ca="1" si="39"/>
        <v>0.3258675655744448</v>
      </c>
      <c r="BW52" s="1">
        <f t="shared" ca="1" si="40"/>
        <v>950</v>
      </c>
      <c r="BX52" s="1">
        <f t="shared" ca="1" si="41"/>
        <v>4.8645531486766341E-3</v>
      </c>
      <c r="BY52" s="1">
        <f t="shared" ca="1" si="42"/>
        <v>2.3518684768480461E-2</v>
      </c>
      <c r="BZ52" s="1">
        <f t="shared" ca="1" si="43"/>
        <v>0.58107386885603163</v>
      </c>
      <c r="CB52" s="1">
        <f t="shared" ca="1" si="44"/>
        <v>251</v>
      </c>
      <c r="CC52" s="1">
        <f t="shared" ca="1" si="45"/>
        <v>9</v>
      </c>
      <c r="CD52" s="1">
        <f t="shared" ca="1" si="46"/>
        <v>0.10066846258651957</v>
      </c>
      <c r="CE52" s="1">
        <f t="shared" ca="1" si="56"/>
        <v>0.73340982694821455</v>
      </c>
      <c r="CF52" s="1">
        <f t="shared" ca="1" si="56"/>
        <v>0.53298758162189297</v>
      </c>
      <c r="CH52" s="3">
        <f t="shared" ca="1" si="48"/>
        <v>0.15355687215848204</v>
      </c>
      <c r="CI52" s="3">
        <f t="shared" ca="1" si="49"/>
        <v>0.94621168289417623</v>
      </c>
      <c r="CJ52" s="3">
        <f t="shared" ca="1" si="50"/>
        <v>1818</v>
      </c>
      <c r="CK52" s="3">
        <f t="shared" ca="1" si="51"/>
        <v>6.742672838492998E-3</v>
      </c>
      <c r="CL52" s="3">
        <f t="shared" ca="1" si="52"/>
        <v>1</v>
      </c>
      <c r="CM52" s="3"/>
      <c r="CN52" s="1">
        <f t="shared" ca="1" si="53"/>
        <v>9.1524257543488758</v>
      </c>
      <c r="CO52" s="1">
        <f t="shared" ca="1" si="54"/>
        <v>0.1438064646534693</v>
      </c>
      <c r="CP52" s="1">
        <f t="shared" ca="1" si="55"/>
        <v>4</v>
      </c>
    </row>
    <row r="53" spans="2:94" x14ac:dyDescent="0.25">
      <c r="B53">
        <f t="shared" ca="1" si="0"/>
        <v>825</v>
      </c>
      <c r="C53">
        <f t="shared" ca="1" si="1"/>
        <v>16</v>
      </c>
      <c r="D53">
        <f t="shared" ca="1" si="2"/>
        <v>5.1588745134927713E-2</v>
      </c>
      <c r="F53" s="1">
        <f t="shared" ca="1" si="3"/>
        <v>28</v>
      </c>
      <c r="G53" s="1">
        <f t="shared" ca="1" si="4"/>
        <v>8</v>
      </c>
      <c r="H53" s="1">
        <f t="shared" ca="1" si="5"/>
        <v>4</v>
      </c>
      <c r="I53" s="1"/>
      <c r="J53" s="1">
        <f t="shared" ca="1" si="6"/>
        <v>20</v>
      </c>
      <c r="K53" s="1">
        <f t="shared" ca="1" si="7"/>
        <v>1.1467802615298501</v>
      </c>
      <c r="L53" s="1">
        <f t="shared" ca="1" si="8"/>
        <v>24</v>
      </c>
      <c r="M53" s="1"/>
      <c r="N53" s="1">
        <f t="shared" ca="1" si="9"/>
        <v>882</v>
      </c>
      <c r="O53" s="1">
        <f t="shared" ca="1" si="10"/>
        <v>34</v>
      </c>
      <c r="P53" s="1"/>
      <c r="Q53" s="1">
        <f t="shared" ca="1" si="11"/>
        <v>4.8159358014716993</v>
      </c>
      <c r="R53" s="1">
        <f t="shared" ca="1" si="12"/>
        <v>719</v>
      </c>
      <c r="S53" s="1"/>
      <c r="T53" s="1">
        <f t="shared" ca="1" si="13"/>
        <v>0.15512242863050443</v>
      </c>
      <c r="U53" s="1">
        <f t="shared" ca="1" si="14"/>
        <v>264</v>
      </c>
      <c r="V53" s="1">
        <f t="shared" ca="1" si="15"/>
        <v>42</v>
      </c>
      <c r="W53" s="1"/>
      <c r="X53" s="1">
        <f t="shared" ca="1" si="16"/>
        <v>6.6645853063477185</v>
      </c>
      <c r="Y53" s="1">
        <f t="shared" ca="1" si="17"/>
        <v>0.76491773843308941</v>
      </c>
      <c r="Z53" s="1">
        <f t="shared" ca="1" si="18"/>
        <v>894</v>
      </c>
      <c r="AB53" s="1">
        <f t="shared" ca="1" si="19"/>
        <v>0.48204663704144041</v>
      </c>
      <c r="AC53" s="1">
        <f t="shared" ca="1" si="20"/>
        <v>956</v>
      </c>
      <c r="AD53" s="1">
        <f t="shared" ca="1" si="21"/>
        <v>1.5812335887603584E-3</v>
      </c>
      <c r="AE53" s="1"/>
      <c r="AF53" s="1">
        <f t="shared" ca="1" si="22"/>
        <v>0.33395573096434444</v>
      </c>
      <c r="AG53" s="1">
        <f t="shared" ca="1" si="23"/>
        <v>520</v>
      </c>
      <c r="AH53" s="1">
        <f t="shared" ca="1" si="24"/>
        <v>1.226989840208609E-3</v>
      </c>
      <c r="AJ53" s="1">
        <f t="shared" ca="1" si="25"/>
        <v>0.68428153918932066</v>
      </c>
      <c r="AK53" s="1">
        <f t="shared" ca="1" si="26"/>
        <v>3.5335128147170837E-3</v>
      </c>
      <c r="AL53" s="1"/>
      <c r="AM53" s="1">
        <f t="shared" ca="1" si="27"/>
        <v>0.12737716672251351</v>
      </c>
      <c r="AN53" s="1">
        <f t="shared" ca="1" si="28"/>
        <v>70</v>
      </c>
      <c r="AO53" s="1">
        <f t="shared" ca="1" si="29"/>
        <v>5</v>
      </c>
      <c r="AQ53" s="1">
        <f t="shared" ca="1" si="30"/>
        <v>97</v>
      </c>
      <c r="AR53" s="1">
        <f t="shared" ca="1" si="31"/>
        <v>7</v>
      </c>
      <c r="AS53" s="1">
        <f t="shared" ca="1" si="32"/>
        <v>84</v>
      </c>
      <c r="AU53" s="1">
        <f t="shared" ca="1" si="33"/>
        <v>108</v>
      </c>
      <c r="AV53" s="1">
        <f t="shared" ca="1" si="34"/>
        <v>8</v>
      </c>
      <c r="AW53" s="1">
        <f t="shared" ca="1" si="35"/>
        <v>2.5321800857636342E-2</v>
      </c>
      <c r="AY53" s="1">
        <f t="shared" ca="1" si="36"/>
        <v>1.271797794140554</v>
      </c>
      <c r="AZ53" s="1">
        <f t="shared" ca="1" si="37"/>
        <v>176</v>
      </c>
      <c r="BA53" s="1">
        <f t="shared" ca="1" si="38"/>
        <v>8.8166272730841426E-3</v>
      </c>
      <c r="BV53" s="1">
        <f t="shared" ca="1" si="39"/>
        <v>0.49357630994691576</v>
      </c>
      <c r="BW53" s="1">
        <f t="shared" ca="1" si="40"/>
        <v>719</v>
      </c>
      <c r="BX53" s="1">
        <f t="shared" ca="1" si="41"/>
        <v>3.7863017498410258E-3</v>
      </c>
      <c r="BY53" s="1">
        <f t="shared" ca="1" si="42"/>
        <v>4.6376531247629187E-2</v>
      </c>
      <c r="BZ53" s="1">
        <f t="shared" ca="1" si="43"/>
        <v>0.16238451239614626</v>
      </c>
      <c r="CB53" s="1">
        <f t="shared" ca="1" si="44"/>
        <v>226</v>
      </c>
      <c r="CC53" s="1">
        <f t="shared" ca="1" si="45"/>
        <v>6</v>
      </c>
      <c r="CD53" s="1">
        <f t="shared" ca="1" si="46"/>
        <v>3.8815161569304257E-2</v>
      </c>
      <c r="CE53" s="1">
        <f t="shared" ca="1" si="56"/>
        <v>0.95008623625583832</v>
      </c>
      <c r="CF53" s="1">
        <f t="shared" ca="1" si="56"/>
        <v>0.84576209032569194</v>
      </c>
      <c r="CH53" s="3">
        <f t="shared" ca="1" si="48"/>
        <v>0.54673292948842955</v>
      </c>
      <c r="CI53" s="3">
        <f t="shared" ca="1" si="49"/>
        <v>0.28658078789004932</v>
      </c>
      <c r="CJ53" s="3">
        <f t="shared" ca="1" si="50"/>
        <v>1575</v>
      </c>
      <c r="CK53" s="3">
        <f t="shared" ca="1" si="51"/>
        <v>7.4042532871932392E-3</v>
      </c>
      <c r="CL53" s="3">
        <f t="shared" ca="1" si="52"/>
        <v>1</v>
      </c>
      <c r="CM53" s="3"/>
      <c r="CN53" s="1">
        <f t="shared" ca="1" si="53"/>
        <v>5.3428961700084869</v>
      </c>
      <c r="CO53" s="1">
        <f t="shared" ca="1" si="54"/>
        <v>0.1415795801340021</v>
      </c>
      <c r="CP53" s="1">
        <f t="shared" ca="1" si="55"/>
        <v>2</v>
      </c>
    </row>
    <row r="54" spans="2:94" x14ac:dyDescent="0.25">
      <c r="B54">
        <f t="shared" ca="1" si="0"/>
        <v>317</v>
      </c>
      <c r="C54">
        <f t="shared" ca="1" si="1"/>
        <v>39</v>
      </c>
      <c r="D54">
        <f t="shared" ca="1" si="2"/>
        <v>4.7581413296169876E-2</v>
      </c>
      <c r="F54" s="1">
        <f t="shared" ca="1" si="3"/>
        <v>4</v>
      </c>
      <c r="G54" s="1">
        <f t="shared" ca="1" si="4"/>
        <v>19</v>
      </c>
      <c r="H54" s="1">
        <f t="shared" ca="1" si="5"/>
        <v>14</v>
      </c>
      <c r="I54" s="1"/>
      <c r="J54" s="1">
        <f t="shared" ca="1" si="6"/>
        <v>24</v>
      </c>
      <c r="K54" s="1">
        <f t="shared" ca="1" si="7"/>
        <v>1.4050028463584663</v>
      </c>
      <c r="L54" s="1">
        <f t="shared" ca="1" si="8"/>
        <v>7</v>
      </c>
      <c r="M54" s="1"/>
      <c r="N54" s="1">
        <f t="shared" ca="1" si="9"/>
        <v>596</v>
      </c>
      <c r="O54" s="1">
        <f t="shared" ca="1" si="10"/>
        <v>23</v>
      </c>
      <c r="P54" s="1"/>
      <c r="Q54" s="1">
        <f t="shared" ca="1" si="11"/>
        <v>1.3302730478324494</v>
      </c>
      <c r="R54" s="1">
        <f t="shared" ca="1" si="12"/>
        <v>659</v>
      </c>
      <c r="S54" s="1"/>
      <c r="T54" s="1">
        <f t="shared" ca="1" si="13"/>
        <v>0.11707484074802284</v>
      </c>
      <c r="U54" s="1">
        <f t="shared" ca="1" si="14"/>
        <v>213</v>
      </c>
      <c r="V54" s="1">
        <f t="shared" ca="1" si="15"/>
        <v>47</v>
      </c>
      <c r="W54" s="1"/>
      <c r="X54" s="1">
        <f t="shared" ca="1" si="16"/>
        <v>4.9670581454187506</v>
      </c>
      <c r="Y54" s="1">
        <f t="shared" ca="1" si="17"/>
        <v>0.75534800604423635</v>
      </c>
      <c r="Z54" s="1">
        <f t="shared" ca="1" si="18"/>
        <v>965</v>
      </c>
      <c r="AB54" s="1">
        <f t="shared" ca="1" si="19"/>
        <v>5.2173594530152051E-2</v>
      </c>
      <c r="AC54" s="1">
        <f t="shared" ca="1" si="20"/>
        <v>380</v>
      </c>
      <c r="AD54" s="1">
        <f t="shared" ca="1" si="21"/>
        <v>2.299516614907507E-3</v>
      </c>
      <c r="AE54" s="1"/>
      <c r="AF54" s="1">
        <f t="shared" ca="1" si="22"/>
        <v>0.86612110678366161</v>
      </c>
      <c r="AG54" s="1">
        <f t="shared" ca="1" si="23"/>
        <v>638</v>
      </c>
      <c r="AH54" s="1">
        <f t="shared" ca="1" si="24"/>
        <v>9.6636300706795814E-3</v>
      </c>
      <c r="AJ54" s="1">
        <f t="shared" ca="1" si="25"/>
        <v>0.49132100523093125</v>
      </c>
      <c r="AK54" s="1">
        <f t="shared" ca="1" si="26"/>
        <v>6.3340055176448629E-3</v>
      </c>
      <c r="AL54" s="1"/>
      <c r="AM54" s="1">
        <f t="shared" ca="1" si="27"/>
        <v>6.9455461568228238E-2</v>
      </c>
      <c r="AN54" s="1">
        <f t="shared" ca="1" si="28"/>
        <v>60</v>
      </c>
      <c r="AO54" s="1">
        <f t="shared" ca="1" si="29"/>
        <v>10</v>
      </c>
      <c r="AQ54" s="1">
        <f t="shared" ca="1" si="30"/>
        <v>62</v>
      </c>
      <c r="AR54" s="1">
        <f t="shared" ca="1" si="31"/>
        <v>2</v>
      </c>
      <c r="AS54" s="1">
        <f t="shared" ca="1" si="32"/>
        <v>30</v>
      </c>
      <c r="AU54" s="1">
        <f t="shared" ca="1" si="33"/>
        <v>75</v>
      </c>
      <c r="AV54" s="1">
        <f t="shared" ca="1" si="34"/>
        <v>9</v>
      </c>
      <c r="AW54" s="1">
        <f t="shared" ca="1" si="35"/>
        <v>9.5631780722411297E-2</v>
      </c>
      <c r="AY54" s="1">
        <f t="shared" ca="1" si="36"/>
        <v>1.8418075982204887</v>
      </c>
      <c r="AZ54" s="1">
        <f t="shared" ca="1" si="37"/>
        <v>235</v>
      </c>
      <c r="BA54" s="1">
        <f t="shared" ca="1" si="38"/>
        <v>3.9368042520274869E-3</v>
      </c>
      <c r="BV54" s="1">
        <f t="shared" ca="1" si="39"/>
        <v>0.89382229125088775</v>
      </c>
      <c r="BW54" s="1">
        <f t="shared" ca="1" si="40"/>
        <v>277</v>
      </c>
      <c r="BX54" s="1">
        <f t="shared" ca="1" si="41"/>
        <v>9.096512166127774E-3</v>
      </c>
      <c r="BY54" s="1">
        <f t="shared" ca="1" si="42"/>
        <v>3.123739968514835E-2</v>
      </c>
      <c r="BZ54" s="1">
        <f t="shared" ca="1" si="43"/>
        <v>0.62415147575286378</v>
      </c>
      <c r="CB54" s="1">
        <f t="shared" ca="1" si="44"/>
        <v>122</v>
      </c>
      <c r="CC54" s="1">
        <f t="shared" ca="1" si="45"/>
        <v>4</v>
      </c>
      <c r="CD54" s="1">
        <f t="shared" ca="1" si="46"/>
        <v>0.12764917820022878</v>
      </c>
      <c r="CE54" s="1">
        <f t="shared" ca="1" si="56"/>
        <v>0.66581501368725338</v>
      </c>
      <c r="CF54" s="1">
        <f t="shared" ca="1" si="56"/>
        <v>0.61788943874039415</v>
      </c>
      <c r="CH54" s="3">
        <f t="shared" ca="1" si="48"/>
        <v>0.56695132318996422</v>
      </c>
      <c r="CI54" s="3">
        <f t="shared" ca="1" si="49"/>
        <v>0.19000875401195133</v>
      </c>
      <c r="CJ54" s="3">
        <f t="shared" ca="1" si="50"/>
        <v>154</v>
      </c>
      <c r="CK54" s="3">
        <f t="shared" ca="1" si="51"/>
        <v>6.4258369823919402E-3</v>
      </c>
      <c r="CL54" s="3">
        <f t="shared" ca="1" si="52"/>
        <v>0</v>
      </c>
      <c r="CM54" s="3"/>
      <c r="CN54" s="1">
        <f t="shared" ca="1" si="53"/>
        <v>10.529542087453089</v>
      </c>
      <c r="CO54" s="1">
        <f t="shared" ca="1" si="54"/>
        <v>0.16214946332367366</v>
      </c>
      <c r="CP54" s="1">
        <f t="shared" ca="1" si="55"/>
        <v>2</v>
      </c>
    </row>
    <row r="55" spans="2:94" x14ac:dyDescent="0.25">
      <c r="B55">
        <f t="shared" ca="1" si="0"/>
        <v>464</v>
      </c>
      <c r="C55">
        <f t="shared" ca="1" si="1"/>
        <v>48</v>
      </c>
      <c r="D55">
        <f t="shared" ca="1" si="2"/>
        <v>6.7689084231490088E-2</v>
      </c>
      <c r="F55" s="1">
        <f t="shared" ca="1" si="3"/>
        <v>44</v>
      </c>
      <c r="G55" s="1">
        <f t="shared" ca="1" si="4"/>
        <v>29</v>
      </c>
      <c r="H55" s="1">
        <f t="shared" ca="1" si="5"/>
        <v>1</v>
      </c>
      <c r="I55" s="1"/>
      <c r="J55" s="1">
        <f t="shared" ca="1" si="6"/>
        <v>8</v>
      </c>
      <c r="K55" s="1">
        <f t="shared" ca="1" si="7"/>
        <v>1.8571331297378568</v>
      </c>
      <c r="L55" s="1">
        <f t="shared" ca="1" si="8"/>
        <v>30</v>
      </c>
      <c r="M55" s="1"/>
      <c r="N55" s="1">
        <f t="shared" ca="1" si="9"/>
        <v>125</v>
      </c>
      <c r="O55" s="1">
        <f t="shared" ca="1" si="10"/>
        <v>29</v>
      </c>
      <c r="P55" s="1"/>
      <c r="Q55" s="1">
        <f t="shared" ca="1" si="11"/>
        <v>4.9674495405483254</v>
      </c>
      <c r="R55" s="1">
        <f t="shared" ca="1" si="12"/>
        <v>813</v>
      </c>
      <c r="S55" s="1"/>
      <c r="T55" s="1">
        <f t="shared" ca="1" si="13"/>
        <v>0.12769797823278009</v>
      </c>
      <c r="U55" s="1">
        <f t="shared" ca="1" si="14"/>
        <v>223</v>
      </c>
      <c r="V55" s="1">
        <f t="shared" ca="1" si="15"/>
        <v>39</v>
      </c>
      <c r="W55" s="1"/>
      <c r="X55" s="1">
        <f t="shared" ca="1" si="16"/>
        <v>2.843067153380145</v>
      </c>
      <c r="Y55" s="1">
        <f t="shared" ca="1" si="17"/>
        <v>0.83719338770917895</v>
      </c>
      <c r="Z55" s="1">
        <f t="shared" ca="1" si="18"/>
        <v>1501</v>
      </c>
      <c r="AB55" s="1">
        <f t="shared" ca="1" si="19"/>
        <v>0.33614119534178194</v>
      </c>
      <c r="AC55" s="1">
        <f t="shared" ca="1" si="20"/>
        <v>621</v>
      </c>
      <c r="AD55" s="1">
        <f t="shared" ca="1" si="21"/>
        <v>7.8458119574332137E-3</v>
      </c>
      <c r="AE55" s="1"/>
      <c r="AF55" s="1">
        <f t="shared" ca="1" si="22"/>
        <v>0.87887686930649556</v>
      </c>
      <c r="AG55" s="1">
        <f t="shared" ca="1" si="23"/>
        <v>292</v>
      </c>
      <c r="AH55" s="1">
        <f t="shared" ca="1" si="24"/>
        <v>6.4118447918353732E-3</v>
      </c>
      <c r="AJ55" s="1">
        <f t="shared" ca="1" si="25"/>
        <v>0.4528403622498719</v>
      </c>
      <c r="AK55" s="1">
        <f t="shared" ca="1" si="26"/>
        <v>7.4768193437139549E-3</v>
      </c>
      <c r="AL55" s="1"/>
      <c r="AM55" s="1">
        <f t="shared" ca="1" si="27"/>
        <v>0.19618397680796271</v>
      </c>
      <c r="AN55" s="1">
        <f t="shared" ca="1" si="28"/>
        <v>61</v>
      </c>
      <c r="AO55" s="1">
        <f t="shared" ca="1" si="29"/>
        <v>1</v>
      </c>
      <c r="AQ55" s="1">
        <f t="shared" ca="1" si="30"/>
        <v>48</v>
      </c>
      <c r="AR55" s="1">
        <f t="shared" ca="1" si="31"/>
        <v>0</v>
      </c>
      <c r="AS55" s="1">
        <f t="shared" ca="1" si="32"/>
        <v>47</v>
      </c>
      <c r="AU55" s="1">
        <f t="shared" ca="1" si="33"/>
        <v>168</v>
      </c>
      <c r="AV55" s="1">
        <f t="shared" ca="1" si="34"/>
        <v>5</v>
      </c>
      <c r="AW55" s="1">
        <f t="shared" ca="1" si="35"/>
        <v>7.1513336883729919E-2</v>
      </c>
      <c r="AY55" s="1">
        <f t="shared" ca="1" si="36"/>
        <v>1.5192092528968055</v>
      </c>
      <c r="AZ55" s="1">
        <f t="shared" ca="1" si="37"/>
        <v>482</v>
      </c>
      <c r="BA55" s="1">
        <f t="shared" ca="1" si="38"/>
        <v>2.6080755700749053E-3</v>
      </c>
      <c r="BV55" s="1">
        <f t="shared" ca="1" si="39"/>
        <v>0.97564644343186158</v>
      </c>
      <c r="BW55" s="1">
        <f t="shared" ca="1" si="40"/>
        <v>230</v>
      </c>
      <c r="BX55" s="1">
        <f t="shared" ca="1" si="41"/>
        <v>6.5626437898588545E-3</v>
      </c>
      <c r="BY55" s="1">
        <f t="shared" ca="1" si="42"/>
        <v>4.4781394986415715E-2</v>
      </c>
      <c r="BZ55" s="1">
        <f t="shared" ca="1" si="43"/>
        <v>0.95414039964298192</v>
      </c>
      <c r="CB55" s="1">
        <f t="shared" ca="1" si="44"/>
        <v>296</v>
      </c>
      <c r="CC55" s="1">
        <f t="shared" ca="1" si="45"/>
        <v>9</v>
      </c>
      <c r="CD55" s="1">
        <f t="shared" ca="1" si="46"/>
        <v>0.24631619528595652</v>
      </c>
      <c r="CE55" s="1">
        <f t="shared" ca="1" si="56"/>
        <v>0.55933704501518589</v>
      </c>
      <c r="CF55" s="1">
        <f t="shared" ca="1" si="56"/>
        <v>0.61940724576247397</v>
      </c>
      <c r="CH55" s="3">
        <f t="shared" ca="1" si="48"/>
        <v>0.64154011321594218</v>
      </c>
      <c r="CI55" s="3">
        <f t="shared" ca="1" si="49"/>
        <v>0.35526684148443566</v>
      </c>
      <c r="CJ55" s="3">
        <f t="shared" ca="1" si="50"/>
        <v>971</v>
      </c>
      <c r="CK55" s="3">
        <f t="shared" ca="1" si="51"/>
        <v>6.9257378150436736E-3</v>
      </c>
      <c r="CL55" s="3">
        <f t="shared" ca="1" si="52"/>
        <v>1</v>
      </c>
      <c r="CM55" s="3"/>
      <c r="CN55" s="1">
        <f t="shared" ca="1" si="53"/>
        <v>6.0370135201949688</v>
      </c>
      <c r="CO55" s="1">
        <f t="shared" ca="1" si="54"/>
        <v>0.4811362233819434</v>
      </c>
      <c r="CP55" s="1">
        <f t="shared" ca="1" si="55"/>
        <v>3</v>
      </c>
    </row>
    <row r="56" spans="2:94" x14ac:dyDescent="0.25">
      <c r="B56">
        <f t="shared" ca="1" si="0"/>
        <v>947</v>
      </c>
      <c r="C56">
        <f t="shared" ca="1" si="1"/>
        <v>19</v>
      </c>
      <c r="D56">
        <f t="shared" ca="1" si="2"/>
        <v>0.10552352072408078</v>
      </c>
      <c r="F56" s="1">
        <f t="shared" ca="1" si="3"/>
        <v>8</v>
      </c>
      <c r="G56" s="1">
        <f t="shared" ca="1" si="4"/>
        <v>3</v>
      </c>
      <c r="H56" s="1">
        <f t="shared" ca="1" si="5"/>
        <v>9</v>
      </c>
      <c r="I56" s="1"/>
      <c r="J56" s="1">
        <f t="shared" ca="1" si="6"/>
        <v>36</v>
      </c>
      <c r="K56" s="1">
        <f t="shared" ca="1" si="7"/>
        <v>1.7595048917384604</v>
      </c>
      <c r="L56" s="1">
        <f t="shared" ca="1" si="8"/>
        <v>25</v>
      </c>
      <c r="M56" s="1"/>
      <c r="N56" s="1">
        <f t="shared" ca="1" si="9"/>
        <v>674</v>
      </c>
      <c r="O56" s="1">
        <f t="shared" ca="1" si="10"/>
        <v>44</v>
      </c>
      <c r="P56" s="1"/>
      <c r="Q56" s="1">
        <f t="shared" ca="1" si="11"/>
        <v>4.4618737017743344</v>
      </c>
      <c r="R56" s="1">
        <f t="shared" ca="1" si="12"/>
        <v>616</v>
      </c>
      <c r="S56" s="1"/>
      <c r="T56" s="1">
        <f t="shared" ca="1" si="13"/>
        <v>0.1767842173051615</v>
      </c>
      <c r="U56" s="1">
        <f t="shared" ca="1" si="14"/>
        <v>85</v>
      </c>
      <c r="V56" s="1">
        <f t="shared" ca="1" si="15"/>
        <v>37</v>
      </c>
      <c r="W56" s="1"/>
      <c r="X56" s="1">
        <f t="shared" ca="1" si="16"/>
        <v>4.4770236547877076</v>
      </c>
      <c r="Y56" s="1">
        <f t="shared" ca="1" si="17"/>
        <v>0.2191012511946086</v>
      </c>
      <c r="Z56" s="1">
        <f t="shared" ca="1" si="18"/>
        <v>1280</v>
      </c>
      <c r="AB56" s="1">
        <f t="shared" ca="1" si="19"/>
        <v>0.83215642685494773</v>
      </c>
      <c r="AC56" s="1">
        <f t="shared" ca="1" si="20"/>
        <v>715</v>
      </c>
      <c r="AD56" s="1">
        <f t="shared" ca="1" si="21"/>
        <v>4.3030921963112419E-4</v>
      </c>
      <c r="AE56" s="1"/>
      <c r="AF56" s="1">
        <f t="shared" ca="1" si="22"/>
        <v>0.24573914116863832</v>
      </c>
      <c r="AG56" s="1">
        <f t="shared" ca="1" si="23"/>
        <v>687</v>
      </c>
      <c r="AH56" s="1">
        <f t="shared" ca="1" si="24"/>
        <v>3.4804362430740925E-3</v>
      </c>
      <c r="AJ56" s="1">
        <f t="shared" ca="1" si="25"/>
        <v>8.294217056019193E-2</v>
      </c>
      <c r="AK56" s="1">
        <f t="shared" ca="1" si="26"/>
        <v>2.3079459887729191E-3</v>
      </c>
      <c r="AL56" s="1"/>
      <c r="AM56" s="1">
        <f t="shared" ca="1" si="27"/>
        <v>3.1058621957265324E-2</v>
      </c>
      <c r="AN56" s="1">
        <f t="shared" ca="1" si="28"/>
        <v>21</v>
      </c>
      <c r="AO56" s="1">
        <f t="shared" ca="1" si="29"/>
        <v>19</v>
      </c>
      <c r="AQ56" s="1">
        <f t="shared" ca="1" si="30"/>
        <v>96</v>
      </c>
      <c r="AR56" s="1">
        <f t="shared" ca="1" si="31"/>
        <v>7</v>
      </c>
      <c r="AS56" s="1">
        <f t="shared" ca="1" si="32"/>
        <v>17</v>
      </c>
      <c r="AU56" s="1">
        <f t="shared" ca="1" si="33"/>
        <v>368</v>
      </c>
      <c r="AV56" s="1">
        <f t="shared" ca="1" si="34"/>
        <v>7</v>
      </c>
      <c r="AW56" s="1">
        <f t="shared" ca="1" si="35"/>
        <v>6.0763850298221983E-2</v>
      </c>
      <c r="AY56" s="1">
        <f t="shared" ca="1" si="36"/>
        <v>1.6969101537783455</v>
      </c>
      <c r="AZ56" s="1">
        <f t="shared" ca="1" si="37"/>
        <v>71</v>
      </c>
      <c r="BA56" s="1">
        <f t="shared" ca="1" si="38"/>
        <v>6.9816427813411256E-4</v>
      </c>
      <c r="BV56" s="1">
        <f t="shared" ca="1" si="39"/>
        <v>0.55384747440322135</v>
      </c>
      <c r="BW56" s="1">
        <f t="shared" ca="1" si="40"/>
        <v>911</v>
      </c>
      <c r="BX56" s="1">
        <f t="shared" ca="1" si="41"/>
        <v>8.6328822256942505E-4</v>
      </c>
      <c r="BY56" s="1">
        <f t="shared" ca="1" si="42"/>
        <v>8.6168031266783976E-2</v>
      </c>
      <c r="BZ56" s="1">
        <f t="shared" ca="1" si="43"/>
        <v>0.83106538888301951</v>
      </c>
      <c r="CB56" s="1">
        <f t="shared" ca="1" si="44"/>
        <v>234</v>
      </c>
      <c r="CC56" s="1">
        <f t="shared" ca="1" si="45"/>
        <v>9</v>
      </c>
      <c r="CD56" s="1">
        <f t="shared" ca="1" si="46"/>
        <v>0.21968768368697181</v>
      </c>
      <c r="CE56" s="1">
        <f t="shared" ca="1" si="56"/>
        <v>0.66233865318758522</v>
      </c>
      <c r="CF56" s="1">
        <f t="shared" ca="1" si="56"/>
        <v>0.96939962018655335</v>
      </c>
      <c r="CH56" s="3">
        <f t="shared" ca="1" si="48"/>
        <v>0.2628771036409232</v>
      </c>
      <c r="CI56" s="3">
        <f t="shared" ca="1" si="49"/>
        <v>0.58607067211585107</v>
      </c>
      <c r="CJ56" s="3">
        <f t="shared" ca="1" si="50"/>
        <v>1829</v>
      </c>
      <c r="CK56" s="3">
        <f t="shared" ca="1" si="51"/>
        <v>2.6646247733649558E-3</v>
      </c>
      <c r="CL56" s="3">
        <f t="shared" ca="1" si="52"/>
        <v>0</v>
      </c>
      <c r="CM56" s="3"/>
      <c r="CN56" s="1">
        <f t="shared" ca="1" si="53"/>
        <v>9.2605428129628127</v>
      </c>
      <c r="CO56" s="1">
        <f t="shared" ca="1" si="54"/>
        <v>0.48123809165316017</v>
      </c>
      <c r="CP56" s="1">
        <f t="shared" ca="1" si="55"/>
        <v>1</v>
      </c>
    </row>
    <row r="57" spans="2:94" x14ac:dyDescent="0.25">
      <c r="B57">
        <f t="shared" ca="1" si="0"/>
        <v>835</v>
      </c>
      <c r="C57">
        <f t="shared" ca="1" si="1"/>
        <v>17</v>
      </c>
      <c r="D57">
        <f t="shared" ca="1" si="2"/>
        <v>6.350267374204252E-2</v>
      </c>
      <c r="F57" s="1">
        <f t="shared" ca="1" si="3"/>
        <v>13</v>
      </c>
      <c r="G57" s="1">
        <f t="shared" ca="1" si="4"/>
        <v>17</v>
      </c>
      <c r="H57" s="1">
        <f t="shared" ca="1" si="5"/>
        <v>6</v>
      </c>
      <c r="I57" s="1"/>
      <c r="J57" s="1">
        <f t="shared" ca="1" si="6"/>
        <v>32</v>
      </c>
      <c r="K57" s="1">
        <f t="shared" ca="1" si="7"/>
        <v>2.2917525670758927</v>
      </c>
      <c r="L57" s="1">
        <f t="shared" ca="1" si="8"/>
        <v>12</v>
      </c>
      <c r="M57" s="1"/>
      <c r="N57" s="1">
        <f t="shared" ca="1" si="9"/>
        <v>220</v>
      </c>
      <c r="O57" s="1">
        <f t="shared" ca="1" si="10"/>
        <v>43</v>
      </c>
      <c r="P57" s="1"/>
      <c r="Q57" s="1">
        <f t="shared" ca="1" si="11"/>
        <v>2.7811467369267238</v>
      </c>
      <c r="R57" s="1">
        <f t="shared" ca="1" si="12"/>
        <v>577</v>
      </c>
      <c r="S57" s="1"/>
      <c r="T57" s="1">
        <f t="shared" ca="1" si="13"/>
        <v>9.7698278988966672E-2</v>
      </c>
      <c r="U57" s="1">
        <f t="shared" ca="1" si="14"/>
        <v>389</v>
      </c>
      <c r="V57" s="1">
        <f t="shared" ca="1" si="15"/>
        <v>43</v>
      </c>
      <c r="W57" s="1"/>
      <c r="X57" s="1">
        <f t="shared" ca="1" si="16"/>
        <v>3.0621890316745741</v>
      </c>
      <c r="Y57" s="1">
        <f t="shared" ca="1" si="17"/>
        <v>0.81363610222962623</v>
      </c>
      <c r="Z57" s="1">
        <f t="shared" ca="1" si="18"/>
        <v>1562</v>
      </c>
      <c r="AB57" s="1">
        <f t="shared" ca="1" si="19"/>
        <v>0.87954530040718104</v>
      </c>
      <c r="AC57" s="1">
        <f t="shared" ca="1" si="20"/>
        <v>703</v>
      </c>
      <c r="AD57" s="1">
        <f t="shared" ca="1" si="21"/>
        <v>1.3246553088423641E-3</v>
      </c>
      <c r="AE57" s="1"/>
      <c r="AF57" s="1">
        <f t="shared" ca="1" si="22"/>
        <v>0.43001220762185233</v>
      </c>
      <c r="AG57" s="1">
        <f t="shared" ca="1" si="23"/>
        <v>256</v>
      </c>
      <c r="AH57" s="1">
        <f t="shared" ca="1" si="24"/>
        <v>1.6341797524085312E-3</v>
      </c>
      <c r="AJ57" s="1">
        <f t="shared" ca="1" si="25"/>
        <v>0.91735522117731905</v>
      </c>
      <c r="AK57" s="1">
        <f t="shared" ca="1" si="26"/>
        <v>4.9105691116011776E-4</v>
      </c>
      <c r="AL57" s="1"/>
      <c r="AM57" s="1">
        <f t="shared" ca="1" si="27"/>
        <v>0.17935721526352835</v>
      </c>
      <c r="AN57" s="1">
        <f t="shared" ca="1" si="28"/>
        <v>48</v>
      </c>
      <c r="AO57" s="1">
        <f t="shared" ca="1" si="29"/>
        <v>8</v>
      </c>
      <c r="AQ57" s="1">
        <f t="shared" ca="1" si="30"/>
        <v>82</v>
      </c>
      <c r="AR57" s="1">
        <f t="shared" ca="1" si="31"/>
        <v>0</v>
      </c>
      <c r="AS57" s="1">
        <f t="shared" ca="1" si="32"/>
        <v>92</v>
      </c>
      <c r="AU57" s="1">
        <f t="shared" ca="1" si="33"/>
        <v>97</v>
      </c>
      <c r="AV57" s="1">
        <f t="shared" ca="1" si="34"/>
        <v>8</v>
      </c>
      <c r="AW57" s="1">
        <f t="shared" ca="1" si="35"/>
        <v>0.17079962868077375</v>
      </c>
      <c r="AY57" s="1">
        <f t="shared" ca="1" si="36"/>
        <v>1.5262815136025911</v>
      </c>
      <c r="AZ57" s="1">
        <f t="shared" ca="1" si="37"/>
        <v>53</v>
      </c>
      <c r="BA57" s="1">
        <f t="shared" ca="1" si="38"/>
        <v>7.6150670674302355E-3</v>
      </c>
      <c r="BV57" s="1">
        <f t="shared" ca="1" si="39"/>
        <v>0.83847216584701145</v>
      </c>
      <c r="BW57" s="1">
        <f t="shared" ca="1" si="40"/>
        <v>879</v>
      </c>
      <c r="BX57" s="1">
        <f t="shared" ca="1" si="41"/>
        <v>1.3691991395411776E-3</v>
      </c>
      <c r="BY57" s="1">
        <f t="shared" ca="1" si="42"/>
        <v>2.1913164680658001E-2</v>
      </c>
      <c r="BZ57" s="1">
        <f t="shared" ca="1" si="43"/>
        <v>0.40516395027176977</v>
      </c>
      <c r="CB57" s="1">
        <f t="shared" ca="1" si="44"/>
        <v>65</v>
      </c>
      <c r="CC57" s="1">
        <f t="shared" ca="1" si="45"/>
        <v>6</v>
      </c>
      <c r="CD57" s="1">
        <f t="shared" ca="1" si="46"/>
        <v>1.3338545275073816E-2</v>
      </c>
      <c r="CE57" s="1">
        <f t="shared" ca="1" si="56"/>
        <v>0.70240054540731145</v>
      </c>
      <c r="CF57" s="1">
        <f t="shared" ca="1" si="56"/>
        <v>0.67769821519662776</v>
      </c>
      <c r="CH57" s="3">
        <f t="shared" ca="1" si="48"/>
        <v>0.87854041267808047</v>
      </c>
      <c r="CI57" s="3">
        <f t="shared" ca="1" si="49"/>
        <v>0.96400421689313687</v>
      </c>
      <c r="CJ57" s="3">
        <f t="shared" ca="1" si="50"/>
        <v>1702</v>
      </c>
      <c r="CK57" s="3">
        <f t="shared" ca="1" si="51"/>
        <v>7.5698945209256045E-3</v>
      </c>
      <c r="CL57" s="3">
        <f t="shared" ca="1" si="52"/>
        <v>1</v>
      </c>
      <c r="CM57" s="3"/>
      <c r="CN57" s="1">
        <f t="shared" ca="1" si="53"/>
        <v>1.7034884500639949</v>
      </c>
      <c r="CO57" s="1">
        <f t="shared" ca="1" si="54"/>
        <v>0.13990690732384628</v>
      </c>
      <c r="CP57" s="1">
        <f t="shared" ca="1" si="55"/>
        <v>1</v>
      </c>
    </row>
    <row r="58" spans="2:94" x14ac:dyDescent="0.25">
      <c r="B58">
        <f t="shared" ca="1" si="0"/>
        <v>446</v>
      </c>
      <c r="C58">
        <f t="shared" ca="1" si="1"/>
        <v>35</v>
      </c>
      <c r="D58">
        <f t="shared" ca="1" si="2"/>
        <v>2.2862200311914372E-2</v>
      </c>
      <c r="F58" s="1">
        <f t="shared" ca="1" si="3"/>
        <v>47</v>
      </c>
      <c r="G58" s="1">
        <f t="shared" ca="1" si="4"/>
        <v>10</v>
      </c>
      <c r="H58" s="1">
        <f t="shared" ca="1" si="5"/>
        <v>1</v>
      </c>
      <c r="I58" s="1"/>
      <c r="J58" s="1">
        <f t="shared" ca="1" si="6"/>
        <v>27</v>
      </c>
      <c r="K58" s="1">
        <f t="shared" ca="1" si="7"/>
        <v>1.0587904260606036</v>
      </c>
      <c r="L58" s="1">
        <f t="shared" ca="1" si="8"/>
        <v>23</v>
      </c>
      <c r="M58" s="1"/>
      <c r="N58" s="1">
        <f t="shared" ca="1" si="9"/>
        <v>615</v>
      </c>
      <c r="O58" s="1">
        <f t="shared" ca="1" si="10"/>
        <v>50</v>
      </c>
      <c r="P58" s="1"/>
      <c r="Q58" s="1">
        <f t="shared" ca="1" si="11"/>
        <v>4.5672402693757137</v>
      </c>
      <c r="R58" s="1">
        <f t="shared" ca="1" si="12"/>
        <v>1006</v>
      </c>
      <c r="S58" s="1"/>
      <c r="T58" s="1">
        <f t="shared" ca="1" si="13"/>
        <v>0.16479966826556883</v>
      </c>
      <c r="U58" s="1">
        <f t="shared" ca="1" si="14"/>
        <v>275</v>
      </c>
      <c r="V58" s="1">
        <f t="shared" ca="1" si="15"/>
        <v>4</v>
      </c>
      <c r="W58" s="1"/>
      <c r="X58" s="1">
        <f t="shared" ca="1" si="16"/>
        <v>9.5626372775524899</v>
      </c>
      <c r="Y58" s="1">
        <f t="shared" ca="1" si="17"/>
        <v>0.45742402256745007</v>
      </c>
      <c r="Z58" s="1">
        <f t="shared" ca="1" si="18"/>
        <v>1637</v>
      </c>
      <c r="AB58" s="1">
        <f t="shared" ca="1" si="19"/>
        <v>0.21963574784861439</v>
      </c>
      <c r="AC58" s="1">
        <f t="shared" ca="1" si="20"/>
        <v>507</v>
      </c>
      <c r="AD58" s="1">
        <f t="shared" ca="1" si="21"/>
        <v>1.6993493478659717E-3</v>
      </c>
      <c r="AE58" s="1"/>
      <c r="AF58" s="1">
        <f t="shared" ca="1" si="22"/>
        <v>0.30235046351238004</v>
      </c>
      <c r="AG58" s="1">
        <f t="shared" ca="1" si="23"/>
        <v>860</v>
      </c>
      <c r="AH58" s="1">
        <f t="shared" ca="1" si="24"/>
        <v>5.0781879417973602E-3</v>
      </c>
      <c r="AJ58" s="1">
        <f t="shared" ca="1" si="25"/>
        <v>0.25244064236186081</v>
      </c>
      <c r="AK58" s="1">
        <f t="shared" ca="1" si="26"/>
        <v>7.2525117756288091E-3</v>
      </c>
      <c r="AL58" s="1"/>
      <c r="AM58" s="1">
        <f t="shared" ca="1" si="27"/>
        <v>0.18486315294111061</v>
      </c>
      <c r="AN58" s="1">
        <f t="shared" ca="1" si="28"/>
        <v>77</v>
      </c>
      <c r="AO58" s="1">
        <f t="shared" ca="1" si="29"/>
        <v>4</v>
      </c>
      <c r="AQ58" s="1">
        <f t="shared" ca="1" si="30"/>
        <v>149</v>
      </c>
      <c r="AR58" s="1">
        <f t="shared" ca="1" si="31"/>
        <v>0</v>
      </c>
      <c r="AS58" s="1">
        <f t="shared" ca="1" si="32"/>
        <v>39</v>
      </c>
      <c r="AU58" s="1">
        <f t="shared" ca="1" si="33"/>
        <v>187</v>
      </c>
      <c r="AV58" s="1">
        <f t="shared" ca="1" si="34"/>
        <v>8</v>
      </c>
      <c r="AW58" s="1">
        <f t="shared" ca="1" si="35"/>
        <v>0.14660416315434227</v>
      </c>
      <c r="AY58" s="1">
        <f t="shared" ca="1" si="36"/>
        <v>1.7657808180809953</v>
      </c>
      <c r="AZ58" s="1">
        <f t="shared" ca="1" si="37"/>
        <v>435</v>
      </c>
      <c r="BA58" s="1">
        <f t="shared" ca="1" si="38"/>
        <v>8.3072551129644377E-3</v>
      </c>
      <c r="BV58" s="1">
        <f t="shared" ca="1" si="39"/>
        <v>0.89578370495064286</v>
      </c>
      <c r="BW58" s="1">
        <f t="shared" ca="1" si="40"/>
        <v>198</v>
      </c>
      <c r="BX58" s="1">
        <f t="shared" ca="1" si="41"/>
        <v>7.0592805245449858E-3</v>
      </c>
      <c r="BY58" s="1">
        <f t="shared" ca="1" si="42"/>
        <v>1.1508880658702427E-2</v>
      </c>
      <c r="BZ58" s="1">
        <f t="shared" ca="1" si="43"/>
        <v>0.9064380119383656</v>
      </c>
      <c r="CB58" s="1">
        <f t="shared" ca="1" si="44"/>
        <v>304</v>
      </c>
      <c r="CC58" s="1">
        <f t="shared" ca="1" si="45"/>
        <v>3</v>
      </c>
      <c r="CD58" s="1">
        <f t="shared" ca="1" si="46"/>
        <v>0.17665445036792635</v>
      </c>
      <c r="CE58" s="1">
        <f t="shared" ca="1" si="56"/>
        <v>0.88306630365325645</v>
      </c>
      <c r="CF58" s="1">
        <f t="shared" ca="1" si="56"/>
        <v>0.70312237398603417</v>
      </c>
      <c r="CH58" s="3">
        <f t="shared" ca="1" si="48"/>
        <v>0.25490000325054329</v>
      </c>
      <c r="CI58" s="3">
        <f t="shared" ca="1" si="49"/>
        <v>0.33978676539498126</v>
      </c>
      <c r="CJ58" s="3">
        <f t="shared" ca="1" si="50"/>
        <v>1711</v>
      </c>
      <c r="CK58" s="3">
        <f t="shared" ca="1" si="51"/>
        <v>8.8572500108306026E-3</v>
      </c>
      <c r="CL58" s="3">
        <f t="shared" ca="1" si="52"/>
        <v>0</v>
      </c>
      <c r="CM58" s="3"/>
      <c r="CN58" s="1">
        <f t="shared" ca="1" si="53"/>
        <v>14.154618497279531</v>
      </c>
      <c r="CO58" s="1">
        <f t="shared" ca="1" si="54"/>
        <v>4.7071967092686337E-2</v>
      </c>
      <c r="CP58" s="1">
        <f t="shared" ca="1" si="55"/>
        <v>3</v>
      </c>
    </row>
    <row r="59" spans="2:94" x14ac:dyDescent="0.25">
      <c r="B59">
        <f t="shared" ca="1" si="0"/>
        <v>356</v>
      </c>
      <c r="C59">
        <f t="shared" ca="1" si="1"/>
        <v>44</v>
      </c>
      <c r="D59">
        <f t="shared" ca="1" si="2"/>
        <v>0.23756333017648176</v>
      </c>
      <c r="F59" s="1">
        <f t="shared" ca="1" si="3"/>
        <v>49</v>
      </c>
      <c r="G59" s="1">
        <f t="shared" ca="1" si="4"/>
        <v>14</v>
      </c>
      <c r="H59" s="1">
        <f t="shared" ca="1" si="5"/>
        <v>7</v>
      </c>
      <c r="I59" s="1"/>
      <c r="J59" s="1">
        <f t="shared" ca="1" si="6"/>
        <v>15</v>
      </c>
      <c r="K59" s="1">
        <f t="shared" ca="1" si="7"/>
        <v>1.6855039674435308</v>
      </c>
      <c r="L59" s="1">
        <f t="shared" ca="1" si="8"/>
        <v>27</v>
      </c>
      <c r="M59" s="1"/>
      <c r="N59" s="1">
        <f t="shared" ca="1" si="9"/>
        <v>306</v>
      </c>
      <c r="O59" s="1">
        <f t="shared" ca="1" si="10"/>
        <v>38</v>
      </c>
      <c r="P59" s="1"/>
      <c r="Q59" s="1">
        <f t="shared" ca="1" si="11"/>
        <v>0.35586801454029593</v>
      </c>
      <c r="R59" s="1">
        <f t="shared" ca="1" si="12"/>
        <v>525</v>
      </c>
      <c r="S59" s="1"/>
      <c r="T59" s="1">
        <f t="shared" ca="1" si="13"/>
        <v>0.16303179199401527</v>
      </c>
      <c r="U59" s="1">
        <f t="shared" ca="1" si="14"/>
        <v>182</v>
      </c>
      <c r="V59" s="1">
        <f t="shared" ca="1" si="15"/>
        <v>43</v>
      </c>
      <c r="W59" s="1"/>
      <c r="X59" s="1">
        <f t="shared" ca="1" si="16"/>
        <v>8.7903050038421906</v>
      </c>
      <c r="Y59" s="1">
        <f t="shared" ca="1" si="17"/>
        <v>1.5143677221362775E-2</v>
      </c>
      <c r="Z59" s="1">
        <f t="shared" ca="1" si="18"/>
        <v>723</v>
      </c>
      <c r="AB59" s="1">
        <f t="shared" ca="1" si="19"/>
        <v>0.66599719523546208</v>
      </c>
      <c r="AC59" s="1">
        <f t="shared" ca="1" si="20"/>
        <v>593</v>
      </c>
      <c r="AD59" s="1">
        <f t="shared" ca="1" si="21"/>
        <v>2.9872216052458244E-3</v>
      </c>
      <c r="AE59" s="1"/>
      <c r="AF59" s="1">
        <f t="shared" ca="1" si="22"/>
        <v>0.66821221267836928</v>
      </c>
      <c r="AG59" s="1">
        <f t="shared" ca="1" si="23"/>
        <v>730</v>
      </c>
      <c r="AH59" s="1">
        <f t="shared" ca="1" si="24"/>
        <v>5.4912586691066067E-3</v>
      </c>
      <c r="AJ59" s="1">
        <f t="shared" ca="1" si="25"/>
        <v>0.50000526011148405</v>
      </c>
      <c r="AK59" s="1">
        <f t="shared" ca="1" si="26"/>
        <v>1.3808739039737087E-3</v>
      </c>
      <c r="AL59" s="1"/>
      <c r="AM59" s="1">
        <f t="shared" ca="1" si="27"/>
        <v>4.0162866845943175E-2</v>
      </c>
      <c r="AN59" s="1">
        <f t="shared" ca="1" si="28"/>
        <v>65</v>
      </c>
      <c r="AO59" s="1">
        <f t="shared" ca="1" si="29"/>
        <v>6</v>
      </c>
      <c r="AQ59" s="1">
        <f t="shared" ca="1" si="30"/>
        <v>126</v>
      </c>
      <c r="AR59" s="1">
        <f t="shared" ca="1" si="31"/>
        <v>8</v>
      </c>
      <c r="AS59" s="1">
        <f t="shared" ca="1" si="32"/>
        <v>41</v>
      </c>
      <c r="AU59" s="1">
        <f t="shared" ca="1" si="33"/>
        <v>365</v>
      </c>
      <c r="AV59" s="1">
        <f t="shared" ca="1" si="34"/>
        <v>8</v>
      </c>
      <c r="AW59" s="1">
        <f t="shared" ca="1" si="35"/>
        <v>7.8049565298512341E-2</v>
      </c>
      <c r="AY59" s="1">
        <f t="shared" ca="1" si="36"/>
        <v>1.7659245401775789</v>
      </c>
      <c r="AZ59" s="1">
        <f t="shared" ca="1" si="37"/>
        <v>256</v>
      </c>
      <c r="BA59" s="1">
        <f t="shared" ca="1" si="38"/>
        <v>4.5736506279382932E-4</v>
      </c>
      <c r="BV59" s="1">
        <f t="shared" ca="1" si="39"/>
        <v>9.0746389092753038E-3</v>
      </c>
      <c r="BW59" s="1">
        <f t="shared" ca="1" si="40"/>
        <v>528</v>
      </c>
      <c r="BX59" s="1">
        <f t="shared" ca="1" si="41"/>
        <v>8.6477201292256955E-3</v>
      </c>
      <c r="BY59" s="1">
        <f t="shared" ca="1" si="42"/>
        <v>3.7891226920264205E-2</v>
      </c>
      <c r="BZ59" s="1">
        <f t="shared" ca="1" si="43"/>
        <v>0.39858524391530248</v>
      </c>
      <c r="CB59" s="1">
        <f t="shared" ca="1" si="44"/>
        <v>386</v>
      </c>
      <c r="CC59" s="1">
        <f t="shared" ca="1" si="45"/>
        <v>8</v>
      </c>
      <c r="CD59" s="1">
        <f t="shared" ca="1" si="46"/>
        <v>3.2428847501721494E-2</v>
      </c>
      <c r="CE59" s="1">
        <f t="shared" ca="1" si="56"/>
        <v>0.63705665171107118</v>
      </c>
      <c r="CF59" s="1">
        <f t="shared" ca="1" si="56"/>
        <v>0.53727360768036447</v>
      </c>
      <c r="CH59" s="3">
        <f t="shared" ca="1" si="48"/>
        <v>0.55213961672190504</v>
      </c>
      <c r="CI59" s="3">
        <f t="shared" ca="1" si="49"/>
        <v>0.81025521301816772</v>
      </c>
      <c r="CJ59" s="3">
        <f t="shared" ca="1" si="50"/>
        <v>1019</v>
      </c>
      <c r="CK59" s="3">
        <f t="shared" ca="1" si="51"/>
        <v>3.4953213594507843E-3</v>
      </c>
      <c r="CL59" s="3">
        <f t="shared" ca="1" si="52"/>
        <v>1</v>
      </c>
      <c r="CM59" s="3"/>
      <c r="CN59" s="1">
        <f t="shared" ca="1" si="53"/>
        <v>1.6619476230525567</v>
      </c>
      <c r="CO59" s="1">
        <f t="shared" ca="1" si="54"/>
        <v>0.46534867597426427</v>
      </c>
      <c r="CP59" s="1">
        <f t="shared" ca="1" si="55"/>
        <v>2</v>
      </c>
    </row>
    <row r="60" spans="2:94" x14ac:dyDescent="0.25">
      <c r="B60">
        <f t="shared" ca="1" si="0"/>
        <v>449</v>
      </c>
      <c r="C60">
        <f t="shared" ca="1" si="1"/>
        <v>47</v>
      </c>
      <c r="D60">
        <f t="shared" ca="1" si="2"/>
        <v>0.11308078962298368</v>
      </c>
      <c r="F60" s="1">
        <f t="shared" ca="1" si="3"/>
        <v>3</v>
      </c>
      <c r="G60" s="1">
        <f t="shared" ca="1" si="4"/>
        <v>3</v>
      </c>
      <c r="H60" s="1">
        <f t="shared" ca="1" si="5"/>
        <v>7</v>
      </c>
      <c r="I60" s="1"/>
      <c r="J60" s="1">
        <f t="shared" ca="1" si="6"/>
        <v>20</v>
      </c>
      <c r="K60" s="1">
        <f t="shared" ca="1" si="7"/>
        <v>1.7862013758862711</v>
      </c>
      <c r="L60" s="1">
        <f t="shared" ca="1" si="8"/>
        <v>34</v>
      </c>
      <c r="M60" s="1"/>
      <c r="N60" s="1">
        <f t="shared" ca="1" si="9"/>
        <v>395</v>
      </c>
      <c r="O60" s="1">
        <f t="shared" ca="1" si="10"/>
        <v>19</v>
      </c>
      <c r="P60" s="1"/>
      <c r="Q60" s="1">
        <f t="shared" ca="1" si="11"/>
        <v>0.73350781121571407</v>
      </c>
      <c r="R60" s="1">
        <f t="shared" ca="1" si="12"/>
        <v>331</v>
      </c>
      <c r="S60" s="1"/>
      <c r="T60" s="1">
        <f t="shared" ca="1" si="13"/>
        <v>0.14495320449175561</v>
      </c>
      <c r="U60" s="1">
        <f t="shared" ca="1" si="14"/>
        <v>311</v>
      </c>
      <c r="V60" s="1">
        <f t="shared" ca="1" si="15"/>
        <v>48</v>
      </c>
      <c r="W60" s="1"/>
      <c r="X60" s="1">
        <f t="shared" ca="1" si="16"/>
        <v>1.3612818501351471</v>
      </c>
      <c r="Y60" s="1">
        <f t="shared" ca="1" si="17"/>
        <v>0.96262004925732436</v>
      </c>
      <c r="Z60" s="1">
        <f t="shared" ca="1" si="18"/>
        <v>1809</v>
      </c>
      <c r="AB60" s="1">
        <f t="shared" ca="1" si="19"/>
        <v>0.56198156571801894</v>
      </c>
      <c r="AC60" s="1">
        <f t="shared" ca="1" si="20"/>
        <v>973</v>
      </c>
      <c r="AD60" s="1">
        <f t="shared" ca="1" si="21"/>
        <v>6.8951020736805037E-3</v>
      </c>
      <c r="AE60" s="1"/>
      <c r="AF60" s="1">
        <f t="shared" ca="1" si="22"/>
        <v>0.59559963349900868</v>
      </c>
      <c r="AG60" s="1">
        <f t="shared" ca="1" si="23"/>
        <v>541</v>
      </c>
      <c r="AH60" s="1">
        <f t="shared" ca="1" si="24"/>
        <v>5.3800391259870278E-3</v>
      </c>
      <c r="AJ60" s="1">
        <f t="shared" ca="1" si="25"/>
        <v>0.25200095934598077</v>
      </c>
      <c r="AK60" s="1">
        <f t="shared" ca="1" si="26"/>
        <v>3.3350139118849638E-3</v>
      </c>
      <c r="AL60" s="1"/>
      <c r="AM60" s="1">
        <f t="shared" ca="1" si="27"/>
        <v>2.6170258347173233E-2</v>
      </c>
      <c r="AN60" s="1">
        <f t="shared" ca="1" si="28"/>
        <v>48</v>
      </c>
      <c r="AO60" s="1">
        <f t="shared" ca="1" si="29"/>
        <v>16</v>
      </c>
      <c r="AQ60" s="1">
        <f t="shared" ca="1" si="30"/>
        <v>194</v>
      </c>
      <c r="AR60" s="1">
        <f t="shared" ca="1" si="31"/>
        <v>8</v>
      </c>
      <c r="AS60" s="1">
        <f t="shared" ca="1" si="32"/>
        <v>60</v>
      </c>
      <c r="AU60" s="1">
        <f t="shared" ca="1" si="33"/>
        <v>375</v>
      </c>
      <c r="AV60" s="1">
        <f t="shared" ca="1" si="34"/>
        <v>10</v>
      </c>
      <c r="AW60" s="1">
        <f t="shared" ca="1" si="35"/>
        <v>0.17063278373422278</v>
      </c>
      <c r="AY60" s="1">
        <f t="shared" ca="1" si="36"/>
        <v>1.4142932295519202</v>
      </c>
      <c r="AZ60" s="1">
        <f t="shared" ca="1" si="37"/>
        <v>111</v>
      </c>
      <c r="BA60" s="1">
        <f t="shared" ca="1" si="38"/>
        <v>9.5418168085769917E-3</v>
      </c>
      <c r="BV60" s="1">
        <f t="shared" ca="1" si="39"/>
        <v>0.30591982618595343</v>
      </c>
      <c r="BW60" s="1">
        <f t="shared" ca="1" si="40"/>
        <v>908</v>
      </c>
      <c r="BX60" s="1">
        <f t="shared" ca="1" si="41"/>
        <v>8.0224822636784151E-3</v>
      </c>
      <c r="BY60" s="1">
        <f t="shared" ca="1" si="42"/>
        <v>7.5193847621890506E-2</v>
      </c>
      <c r="BZ60" s="1">
        <f t="shared" ca="1" si="43"/>
        <v>0.77931914364569599</v>
      </c>
      <c r="CB60" s="1">
        <f t="shared" ca="1" si="44"/>
        <v>75</v>
      </c>
      <c r="CC60" s="1">
        <f t="shared" ca="1" si="45"/>
        <v>7</v>
      </c>
      <c r="CD60" s="1">
        <f t="shared" ca="1" si="46"/>
        <v>0.14126097971374027</v>
      </c>
      <c r="CE60" s="1">
        <f t="shared" ca="1" si="56"/>
        <v>0.6120648252167753</v>
      </c>
      <c r="CF60" s="1">
        <f t="shared" ca="1" si="56"/>
        <v>0.71827079303071106</v>
      </c>
      <c r="CH60" s="3">
        <f t="shared" ca="1" si="48"/>
        <v>0.35537748275312719</v>
      </c>
      <c r="CI60" s="3">
        <f t="shared" ca="1" si="49"/>
        <v>0.76181428124816852</v>
      </c>
      <c r="CJ60" s="3">
        <f t="shared" ca="1" si="50"/>
        <v>1414</v>
      </c>
      <c r="CK60" s="3">
        <f t="shared" ca="1" si="51"/>
        <v>5.0466225644626066E-3</v>
      </c>
      <c r="CL60" s="3">
        <f t="shared" ca="1" si="52"/>
        <v>0</v>
      </c>
      <c r="CM60" s="3"/>
      <c r="CN60" s="1">
        <f t="shared" ca="1" si="53"/>
        <v>19.536219492269435</v>
      </c>
      <c r="CO60" s="1">
        <f t="shared" ca="1" si="54"/>
        <v>1.7939968082316311E-2</v>
      </c>
      <c r="CP60" s="1">
        <f t="shared" ca="1" si="55"/>
        <v>3</v>
      </c>
    </row>
    <row r="61" spans="2:94" x14ac:dyDescent="0.25">
      <c r="B61">
        <f t="shared" ca="1" si="0"/>
        <v>707</v>
      </c>
      <c r="C61">
        <f t="shared" ca="1" si="1"/>
        <v>19</v>
      </c>
      <c r="D61">
        <f t="shared" ca="1" si="2"/>
        <v>0.22263555474568378</v>
      </c>
      <c r="F61" s="1">
        <f t="shared" ca="1" si="3"/>
        <v>3</v>
      </c>
      <c r="G61" s="1">
        <f t="shared" ca="1" si="4"/>
        <v>5</v>
      </c>
      <c r="H61" s="1">
        <f t="shared" ca="1" si="5"/>
        <v>15</v>
      </c>
      <c r="I61" s="1"/>
      <c r="J61" s="1">
        <f t="shared" ca="1" si="6"/>
        <v>29</v>
      </c>
      <c r="K61" s="1">
        <f t="shared" ca="1" si="7"/>
        <v>2.218140423308383</v>
      </c>
      <c r="L61" s="1">
        <f t="shared" ca="1" si="8"/>
        <v>29</v>
      </c>
      <c r="M61" s="1"/>
      <c r="N61" s="1">
        <f t="shared" ca="1" si="9"/>
        <v>263</v>
      </c>
      <c r="O61" s="1">
        <f t="shared" ca="1" si="10"/>
        <v>41</v>
      </c>
      <c r="P61" s="1"/>
      <c r="Q61" s="1">
        <f t="shared" ca="1" si="11"/>
        <v>1.3279024128646519</v>
      </c>
      <c r="R61" s="1">
        <f t="shared" ca="1" si="12"/>
        <v>331</v>
      </c>
      <c r="S61" s="1"/>
      <c r="T61" s="1">
        <f t="shared" ca="1" si="13"/>
        <v>0.17718033385580251</v>
      </c>
      <c r="U61" s="1">
        <f t="shared" ca="1" si="14"/>
        <v>54</v>
      </c>
      <c r="V61" s="1">
        <f t="shared" ca="1" si="15"/>
        <v>43</v>
      </c>
      <c r="W61" s="1"/>
      <c r="X61" s="1">
        <f t="shared" ca="1" si="16"/>
        <v>3.0779014068192789</v>
      </c>
      <c r="Y61" s="1">
        <f t="shared" ca="1" si="17"/>
        <v>0.6624381865787432</v>
      </c>
      <c r="Z61" s="1">
        <f t="shared" ca="1" si="18"/>
        <v>641</v>
      </c>
      <c r="AB61" s="1">
        <f t="shared" ca="1" si="19"/>
        <v>0.12065544512005166</v>
      </c>
      <c r="AC61" s="1">
        <f t="shared" ca="1" si="20"/>
        <v>810</v>
      </c>
      <c r="AD61" s="1">
        <f t="shared" ca="1" si="21"/>
        <v>5.9768510671378526E-3</v>
      </c>
      <c r="AE61" s="1"/>
      <c r="AF61" s="1">
        <f t="shared" ca="1" si="22"/>
        <v>0.779947147011673</v>
      </c>
      <c r="AG61" s="1">
        <f t="shared" ca="1" si="23"/>
        <v>268</v>
      </c>
      <c r="AH61" s="1">
        <f t="shared" ca="1" si="24"/>
        <v>1.5778196702922421E-3</v>
      </c>
      <c r="AJ61" s="1">
        <f t="shared" ca="1" si="25"/>
        <v>7.050905125646767E-2</v>
      </c>
      <c r="AK61" s="1">
        <f t="shared" ca="1" si="26"/>
        <v>1.5551498050007894E-3</v>
      </c>
      <c r="AL61" s="1"/>
      <c r="AM61" s="1">
        <f t="shared" ca="1" si="27"/>
        <v>0.1065850747164475</v>
      </c>
      <c r="AN61" s="1">
        <f t="shared" ca="1" si="28"/>
        <v>34</v>
      </c>
      <c r="AO61" s="1">
        <f t="shared" ca="1" si="29"/>
        <v>3</v>
      </c>
      <c r="AQ61" s="1">
        <f t="shared" ca="1" si="30"/>
        <v>129</v>
      </c>
      <c r="AR61" s="1">
        <f t="shared" ca="1" si="31"/>
        <v>7</v>
      </c>
      <c r="AS61" s="1">
        <f t="shared" ca="1" si="32"/>
        <v>92</v>
      </c>
      <c r="AU61" s="1">
        <f t="shared" ca="1" si="33"/>
        <v>378</v>
      </c>
      <c r="AV61" s="1">
        <f t="shared" ca="1" si="34"/>
        <v>10</v>
      </c>
      <c r="AW61" s="1">
        <f t="shared" ca="1" si="35"/>
        <v>0.15575010217293567</v>
      </c>
      <c r="AY61" s="1">
        <f t="shared" ca="1" si="36"/>
        <v>1.5496132352779266</v>
      </c>
      <c r="AZ61" s="1">
        <f t="shared" ca="1" si="37"/>
        <v>144</v>
      </c>
      <c r="BA61" s="1">
        <f t="shared" ca="1" si="38"/>
        <v>9.8887224278107772E-3</v>
      </c>
      <c r="BV61" s="1">
        <f t="shared" ca="1" si="39"/>
        <v>0.33004359460630234</v>
      </c>
      <c r="BW61" s="1">
        <f t="shared" ca="1" si="40"/>
        <v>326</v>
      </c>
      <c r="BX61" s="1">
        <f t="shared" ca="1" si="41"/>
        <v>5.2818762855377519E-3</v>
      </c>
      <c r="BY61" s="1">
        <f t="shared" ca="1" si="42"/>
        <v>3.2813044332670807E-2</v>
      </c>
      <c r="BZ61" s="1">
        <f t="shared" ca="1" si="43"/>
        <v>0.38560694999849188</v>
      </c>
      <c r="CB61" s="1">
        <f t="shared" ca="1" si="44"/>
        <v>149</v>
      </c>
      <c r="CC61" s="1">
        <f t="shared" ca="1" si="45"/>
        <v>13</v>
      </c>
      <c r="CD61" s="1">
        <f t="shared" ca="1" si="46"/>
        <v>0.27852512407787672</v>
      </c>
      <c r="CE61" s="1">
        <f t="shared" ca="1" si="56"/>
        <v>0.74614452295388001</v>
      </c>
      <c r="CF61" s="1">
        <f t="shared" ca="1" si="56"/>
        <v>0.72785768383231808</v>
      </c>
      <c r="CH61" s="3">
        <f t="shared" ca="1" si="48"/>
        <v>2.4491581716134688E-2</v>
      </c>
      <c r="CI61" s="3">
        <f t="shared" ca="1" si="49"/>
        <v>0.60444704706684438</v>
      </c>
      <c r="CJ61" s="3">
        <f t="shared" ca="1" si="50"/>
        <v>1709</v>
      </c>
      <c r="CK61" s="3">
        <f t="shared" ca="1" si="51"/>
        <v>5.0586790900374583E-3</v>
      </c>
      <c r="CL61" s="3">
        <f t="shared" ca="1" si="52"/>
        <v>1</v>
      </c>
      <c r="CM61" s="3"/>
      <c r="CN61" s="1">
        <f t="shared" ca="1" si="53"/>
        <v>12.484401450896561</v>
      </c>
      <c r="CO61" s="1">
        <f t="shared" ca="1" si="54"/>
        <v>0.23098922699038937</v>
      </c>
      <c r="CP61" s="1">
        <f t="shared" ca="1" si="55"/>
        <v>4</v>
      </c>
    </row>
    <row r="62" spans="2:94" x14ac:dyDescent="0.25">
      <c r="B62">
        <f t="shared" ca="1" si="0"/>
        <v>386</v>
      </c>
      <c r="C62">
        <f t="shared" ca="1" si="1"/>
        <v>40</v>
      </c>
      <c r="D62">
        <f t="shared" ca="1" si="2"/>
        <v>0.25826282325862254</v>
      </c>
      <c r="F62" s="1">
        <f t="shared" ca="1" si="3"/>
        <v>12</v>
      </c>
      <c r="G62" s="1">
        <f t="shared" ca="1" si="4"/>
        <v>14</v>
      </c>
      <c r="H62" s="1">
        <f t="shared" ca="1" si="5"/>
        <v>7</v>
      </c>
      <c r="I62" s="1"/>
      <c r="J62" s="1">
        <f t="shared" ca="1" si="6"/>
        <v>9</v>
      </c>
      <c r="K62" s="1">
        <f t="shared" ca="1" si="7"/>
        <v>1.7524510376856828</v>
      </c>
      <c r="L62" s="1">
        <f t="shared" ca="1" si="8"/>
        <v>28</v>
      </c>
      <c r="M62" s="1"/>
      <c r="N62" s="1">
        <f t="shared" ca="1" si="9"/>
        <v>983</v>
      </c>
      <c r="O62" s="1">
        <f t="shared" ca="1" si="10"/>
        <v>22</v>
      </c>
      <c r="P62" s="1"/>
      <c r="Q62" s="1">
        <f t="shared" ca="1" si="11"/>
        <v>1.0287710551617291</v>
      </c>
      <c r="R62" s="1">
        <f t="shared" ca="1" si="12"/>
        <v>319</v>
      </c>
      <c r="S62" s="1"/>
      <c r="T62" s="1">
        <f t="shared" ca="1" si="13"/>
        <v>6.4424030723648829E-2</v>
      </c>
      <c r="U62" s="1">
        <f t="shared" ca="1" si="14"/>
        <v>87</v>
      </c>
      <c r="V62" s="1">
        <f t="shared" ca="1" si="15"/>
        <v>9</v>
      </c>
      <c r="W62" s="1"/>
      <c r="X62" s="1">
        <f t="shared" ca="1" si="16"/>
        <v>2.9244935453992138</v>
      </c>
      <c r="Y62" s="1">
        <f t="shared" ca="1" si="17"/>
        <v>0.81581904855851206</v>
      </c>
      <c r="Z62" s="1">
        <f t="shared" ca="1" si="18"/>
        <v>1808</v>
      </c>
      <c r="AB62" s="1">
        <f t="shared" ca="1" si="19"/>
        <v>0.45606636173436588</v>
      </c>
      <c r="AC62" s="1">
        <f t="shared" ca="1" si="20"/>
        <v>254</v>
      </c>
      <c r="AD62" s="1">
        <f t="shared" ca="1" si="21"/>
        <v>8.5077987131099535E-3</v>
      </c>
      <c r="AE62" s="1"/>
      <c r="AF62" s="1">
        <f t="shared" ca="1" si="22"/>
        <v>0.87682884660395499</v>
      </c>
      <c r="AG62" s="1">
        <f t="shared" ca="1" si="23"/>
        <v>993</v>
      </c>
      <c r="AH62" s="1">
        <f t="shared" ca="1" si="24"/>
        <v>5.0455141654993853E-4</v>
      </c>
      <c r="AJ62" s="1">
        <f t="shared" ca="1" si="25"/>
        <v>0.46363959055913284</v>
      </c>
      <c r="AK62" s="1">
        <f t="shared" ca="1" si="26"/>
        <v>2.2130844327015614E-3</v>
      </c>
      <c r="AL62" s="1"/>
      <c r="AM62" s="1">
        <f t="shared" ca="1" si="27"/>
        <v>6.1502249429572636E-2</v>
      </c>
      <c r="AN62" s="1">
        <f t="shared" ca="1" si="28"/>
        <v>77</v>
      </c>
      <c r="AO62" s="1">
        <f t="shared" ca="1" si="29"/>
        <v>5</v>
      </c>
      <c r="AQ62" s="1">
        <f t="shared" ca="1" si="30"/>
        <v>197</v>
      </c>
      <c r="AR62" s="1">
        <f t="shared" ca="1" si="31"/>
        <v>10</v>
      </c>
      <c r="AS62" s="1">
        <f t="shared" ca="1" si="32"/>
        <v>72</v>
      </c>
      <c r="AU62" s="1">
        <f t="shared" ca="1" si="33"/>
        <v>99</v>
      </c>
      <c r="AV62" s="1">
        <f t="shared" ca="1" si="34"/>
        <v>6</v>
      </c>
      <c r="AW62" s="1">
        <f t="shared" ca="1" si="35"/>
        <v>1.0827116461915148E-2</v>
      </c>
      <c r="AY62" s="1">
        <f t="shared" ca="1" si="36"/>
        <v>1.7121886450972568</v>
      </c>
      <c r="AZ62" s="1">
        <f t="shared" ca="1" si="37"/>
        <v>122</v>
      </c>
      <c r="BA62" s="1">
        <f t="shared" ca="1" si="38"/>
        <v>4.5605108596286307E-3</v>
      </c>
      <c r="BV62" s="1">
        <f t="shared" ca="1" si="39"/>
        <v>0.60689612229113932</v>
      </c>
      <c r="BW62" s="1">
        <f t="shared" ca="1" si="40"/>
        <v>877</v>
      </c>
      <c r="BX62" s="1">
        <f t="shared" ca="1" si="41"/>
        <v>3.1414702027535992E-4</v>
      </c>
      <c r="BY62" s="1">
        <f t="shared" ca="1" si="42"/>
        <v>2.9670817100126218E-2</v>
      </c>
      <c r="BZ62" s="1">
        <f t="shared" ca="1" si="43"/>
        <v>0.92623895797663669</v>
      </c>
      <c r="CB62" s="1">
        <f t="shared" ca="1" si="44"/>
        <v>209</v>
      </c>
      <c r="CC62" s="1">
        <f t="shared" ca="1" si="45"/>
        <v>3</v>
      </c>
      <c r="CD62" s="1">
        <f t="shared" ca="1" si="46"/>
        <v>0.21908756558055839</v>
      </c>
      <c r="CE62" s="1">
        <f t="shared" ca="1" si="56"/>
        <v>0.51686430272893791</v>
      </c>
      <c r="CF62" s="1">
        <f t="shared" ca="1" si="56"/>
        <v>0.96016990613925501</v>
      </c>
      <c r="CH62" s="3">
        <f t="shared" ca="1" si="48"/>
        <v>0.69125226208274126</v>
      </c>
      <c r="CI62" s="3">
        <f t="shared" ca="1" si="49"/>
        <v>0.35508658589303066</v>
      </c>
      <c r="CJ62" s="3">
        <f t="shared" ca="1" si="50"/>
        <v>664</v>
      </c>
      <c r="CK62" s="3">
        <f t="shared" ca="1" si="51"/>
        <v>6.2154615206713743E-3</v>
      </c>
      <c r="CL62" s="3">
        <f t="shared" ca="1" si="52"/>
        <v>0</v>
      </c>
      <c r="CM62" s="3"/>
      <c r="CN62" s="1">
        <f t="shared" ca="1" si="53"/>
        <v>7.711129687242261</v>
      </c>
      <c r="CO62" s="1">
        <f t="shared" ca="1" si="54"/>
        <v>0.46465468484063932</v>
      </c>
      <c r="CP62" s="1">
        <f t="shared" ca="1" si="55"/>
        <v>2</v>
      </c>
    </row>
    <row r="63" spans="2:94" x14ac:dyDescent="0.25">
      <c r="B63">
        <f t="shared" ca="1" si="0"/>
        <v>925</v>
      </c>
      <c r="C63">
        <f t="shared" ca="1" si="1"/>
        <v>29</v>
      </c>
      <c r="D63">
        <f t="shared" ca="1" si="2"/>
        <v>0.23355915827926013</v>
      </c>
      <c r="F63" s="1">
        <f t="shared" ca="1" si="3"/>
        <v>6</v>
      </c>
      <c r="G63" s="1">
        <f t="shared" ca="1" si="4"/>
        <v>2</v>
      </c>
      <c r="H63" s="1">
        <f t="shared" ca="1" si="5"/>
        <v>4</v>
      </c>
      <c r="I63" s="1"/>
      <c r="J63" s="1">
        <f t="shared" ca="1" si="6"/>
        <v>11</v>
      </c>
      <c r="K63" s="1">
        <f t="shared" ca="1" si="7"/>
        <v>2.8972077000615952</v>
      </c>
      <c r="L63" s="1">
        <f t="shared" ca="1" si="8"/>
        <v>25</v>
      </c>
      <c r="M63" s="1"/>
      <c r="N63" s="1">
        <f t="shared" ca="1" si="9"/>
        <v>16</v>
      </c>
      <c r="O63" s="1">
        <f t="shared" ca="1" si="10"/>
        <v>27</v>
      </c>
      <c r="P63" s="1"/>
      <c r="Q63" s="1">
        <f t="shared" ca="1" si="11"/>
        <v>4.8302885117029417</v>
      </c>
      <c r="R63" s="1">
        <f t="shared" ca="1" si="12"/>
        <v>707</v>
      </c>
      <c r="S63" s="1"/>
      <c r="T63" s="1">
        <f t="shared" ca="1" si="13"/>
        <v>0.10031680689003279</v>
      </c>
      <c r="U63" s="1">
        <f t="shared" ca="1" si="14"/>
        <v>72</v>
      </c>
      <c r="V63" s="1">
        <f t="shared" ca="1" si="15"/>
        <v>10</v>
      </c>
      <c r="W63" s="1"/>
      <c r="X63" s="1">
        <f t="shared" ca="1" si="16"/>
        <v>6.3362222028459465</v>
      </c>
      <c r="Y63" s="1">
        <f t="shared" ca="1" si="17"/>
        <v>0.92609218795158221</v>
      </c>
      <c r="Z63" s="1">
        <f t="shared" ca="1" si="18"/>
        <v>1580</v>
      </c>
      <c r="AB63" s="1">
        <f t="shared" ca="1" si="19"/>
        <v>0.59490087957204685</v>
      </c>
      <c r="AC63" s="1">
        <f t="shared" ca="1" si="20"/>
        <v>636</v>
      </c>
      <c r="AD63" s="1">
        <f t="shared" ca="1" si="21"/>
        <v>5.4327117647254754E-3</v>
      </c>
      <c r="AE63" s="1"/>
      <c r="AF63" s="1">
        <f t="shared" ca="1" si="22"/>
        <v>0.66263832798139632</v>
      </c>
      <c r="AG63" s="1">
        <f t="shared" ca="1" si="23"/>
        <v>105</v>
      </c>
      <c r="AH63" s="1">
        <f t="shared" ca="1" si="24"/>
        <v>3.7777015874163511E-4</v>
      </c>
      <c r="AJ63" s="1">
        <f t="shared" ca="1" si="25"/>
        <v>0.74423346145450242</v>
      </c>
      <c r="AK63" s="1">
        <f t="shared" ca="1" si="26"/>
        <v>6.7554729830689485E-3</v>
      </c>
      <c r="AL63" s="1"/>
      <c r="AM63" s="1">
        <f t="shared" ca="1" si="27"/>
        <v>0.1795816890293751</v>
      </c>
      <c r="AN63" s="1">
        <f t="shared" ca="1" si="28"/>
        <v>48</v>
      </c>
      <c r="AO63" s="1">
        <f t="shared" ca="1" si="29"/>
        <v>11</v>
      </c>
      <c r="AQ63" s="1">
        <f t="shared" ca="1" si="30"/>
        <v>132</v>
      </c>
      <c r="AR63" s="1">
        <f t="shared" ca="1" si="31"/>
        <v>2</v>
      </c>
      <c r="AS63" s="1">
        <f t="shared" ca="1" si="32"/>
        <v>54</v>
      </c>
      <c r="AU63" s="1">
        <f t="shared" ca="1" si="33"/>
        <v>298</v>
      </c>
      <c r="AV63" s="1">
        <f t="shared" ca="1" si="34"/>
        <v>8</v>
      </c>
      <c r="AW63" s="1">
        <f t="shared" ca="1" si="35"/>
        <v>6.7810546833087973E-2</v>
      </c>
      <c r="AY63" s="1">
        <f t="shared" ca="1" si="36"/>
        <v>1.6326925157480445</v>
      </c>
      <c r="AZ63" s="1">
        <f t="shared" ca="1" si="37"/>
        <v>228</v>
      </c>
      <c r="BA63" s="1">
        <f t="shared" ca="1" si="38"/>
        <v>6.6071264936349945E-3</v>
      </c>
      <c r="BV63" s="1">
        <f t="shared" ca="1" si="39"/>
        <v>0.85142242769119936</v>
      </c>
      <c r="BW63" s="1">
        <f t="shared" ca="1" si="40"/>
        <v>653</v>
      </c>
      <c r="BX63" s="1">
        <f t="shared" ca="1" si="41"/>
        <v>6.6386362529208178E-3</v>
      </c>
      <c r="BY63" s="1">
        <f t="shared" ca="1" si="42"/>
        <v>4.8346277784686344E-3</v>
      </c>
      <c r="BZ63" s="1">
        <f t="shared" ca="1" si="43"/>
        <v>0.95061782819685925</v>
      </c>
      <c r="CB63" s="1">
        <f t="shared" ca="1" si="44"/>
        <v>354</v>
      </c>
      <c r="CC63" s="1">
        <f t="shared" ca="1" si="45"/>
        <v>6</v>
      </c>
      <c r="CD63" s="1">
        <f t="shared" ca="1" si="46"/>
        <v>1.9214565271944289E-2</v>
      </c>
      <c r="CE63" s="1">
        <f t="shared" ca="1" si="56"/>
        <v>0.78180359471239402</v>
      </c>
      <c r="CF63" s="1">
        <f t="shared" ca="1" si="56"/>
        <v>0.97955233725697022</v>
      </c>
      <c r="CH63" s="3">
        <f t="shared" ca="1" si="48"/>
        <v>0.12181795816415367</v>
      </c>
      <c r="CI63" s="3">
        <f t="shared" ca="1" si="49"/>
        <v>0.65261013755503117</v>
      </c>
      <c r="CJ63" s="3">
        <f t="shared" ca="1" si="50"/>
        <v>604</v>
      </c>
      <c r="CK63" s="3">
        <f t="shared" ca="1" si="51"/>
        <v>4.8623817898022391E-3</v>
      </c>
      <c r="CL63" s="3">
        <f t="shared" ca="1" si="52"/>
        <v>1</v>
      </c>
      <c r="CM63" s="3"/>
      <c r="CN63" s="1">
        <f t="shared" ca="1" si="53"/>
        <v>3.8876362673818678</v>
      </c>
      <c r="CO63" s="1">
        <f t="shared" ca="1" si="54"/>
        <v>0.30202857463028893</v>
      </c>
      <c r="CP63" s="1">
        <f t="shared" ca="1" si="55"/>
        <v>2</v>
      </c>
    </row>
    <row r="64" spans="2:94" x14ac:dyDescent="0.25">
      <c r="B64">
        <f t="shared" ca="1" si="0"/>
        <v>724</v>
      </c>
      <c r="C64">
        <f t="shared" ca="1" si="1"/>
        <v>9</v>
      </c>
      <c r="D64">
        <f t="shared" ca="1" si="2"/>
        <v>0.11679528451261879</v>
      </c>
      <c r="F64" s="1">
        <f t="shared" ca="1" si="3"/>
        <v>34</v>
      </c>
      <c r="G64" s="1">
        <f t="shared" ca="1" si="4"/>
        <v>24</v>
      </c>
      <c r="H64" s="1">
        <f t="shared" ca="1" si="5"/>
        <v>8</v>
      </c>
      <c r="I64" s="1"/>
      <c r="J64" s="1">
        <f t="shared" ca="1" si="6"/>
        <v>31</v>
      </c>
      <c r="K64" s="1">
        <f t="shared" ca="1" si="7"/>
        <v>1.5729494805702948</v>
      </c>
      <c r="L64" s="1">
        <f t="shared" ca="1" si="8"/>
        <v>16</v>
      </c>
      <c r="M64" s="1"/>
      <c r="N64" s="1">
        <f t="shared" ca="1" si="9"/>
        <v>160</v>
      </c>
      <c r="O64" s="1">
        <f t="shared" ca="1" si="10"/>
        <v>41</v>
      </c>
      <c r="P64" s="1"/>
      <c r="Q64" s="1">
        <f t="shared" ca="1" si="11"/>
        <v>3.1829296825758537</v>
      </c>
      <c r="R64" s="1">
        <f t="shared" ca="1" si="12"/>
        <v>1076</v>
      </c>
      <c r="S64" s="1"/>
      <c r="T64" s="1">
        <f t="shared" ca="1" si="13"/>
        <v>9.5323404550343618E-2</v>
      </c>
      <c r="U64" s="1">
        <f t="shared" ca="1" si="14"/>
        <v>252</v>
      </c>
      <c r="V64" s="1">
        <f t="shared" ca="1" si="15"/>
        <v>2</v>
      </c>
      <c r="W64" s="1"/>
      <c r="X64" s="1">
        <f t="shared" ca="1" si="16"/>
        <v>5.6978857443479942</v>
      </c>
      <c r="Y64" s="1">
        <f t="shared" ca="1" si="17"/>
        <v>0.53494890825796337</v>
      </c>
      <c r="Z64" s="1">
        <f t="shared" ca="1" si="18"/>
        <v>103</v>
      </c>
      <c r="AB64" s="1">
        <f t="shared" ca="1" si="19"/>
        <v>0.10430924243772345</v>
      </c>
      <c r="AC64" s="1">
        <f t="shared" ca="1" si="20"/>
        <v>898</v>
      </c>
      <c r="AD64" s="1">
        <f t="shared" ca="1" si="21"/>
        <v>8.2738459495897768E-3</v>
      </c>
      <c r="AE64" s="1"/>
      <c r="AF64" s="1">
        <f t="shared" ca="1" si="22"/>
        <v>0.48731288102533787</v>
      </c>
      <c r="AG64" s="1">
        <f t="shared" ca="1" si="23"/>
        <v>898</v>
      </c>
      <c r="AH64" s="1">
        <f t="shared" ca="1" si="24"/>
        <v>8.2503023239961087E-3</v>
      </c>
      <c r="AJ64" s="1">
        <f t="shared" ca="1" si="25"/>
        <v>0.21570782211664474</v>
      </c>
      <c r="AK64" s="1">
        <f t="shared" ca="1" si="26"/>
        <v>5.5102542818543897E-3</v>
      </c>
      <c r="AL64" s="1"/>
      <c r="AM64" s="1">
        <f t="shared" ca="1" si="27"/>
        <v>0.10915056641377902</v>
      </c>
      <c r="AN64" s="1">
        <f t="shared" ca="1" si="28"/>
        <v>75</v>
      </c>
      <c r="AO64" s="1">
        <f t="shared" ca="1" si="29"/>
        <v>5</v>
      </c>
      <c r="AQ64" s="1">
        <f t="shared" ca="1" si="30"/>
        <v>61</v>
      </c>
      <c r="AR64" s="1">
        <f t="shared" ca="1" si="31"/>
        <v>0</v>
      </c>
      <c r="AS64" s="1">
        <f t="shared" ca="1" si="32"/>
        <v>60</v>
      </c>
      <c r="AU64" s="1">
        <f t="shared" ca="1" si="33"/>
        <v>216</v>
      </c>
      <c r="AV64" s="1">
        <f t="shared" ca="1" si="34"/>
        <v>4</v>
      </c>
      <c r="AW64" s="1">
        <f t="shared" ca="1" si="35"/>
        <v>7.4162990150798136E-2</v>
      </c>
      <c r="AY64" s="1">
        <f t="shared" ca="1" si="36"/>
        <v>1.8561132645995628</v>
      </c>
      <c r="AZ64" s="1">
        <f t="shared" ca="1" si="37"/>
        <v>246</v>
      </c>
      <c r="BA64" s="1">
        <f t="shared" ca="1" si="38"/>
        <v>2.3284871576935857E-4</v>
      </c>
      <c r="BV64" s="1">
        <f t="shared" ca="1" si="39"/>
        <v>0.84803241267201235</v>
      </c>
      <c r="BW64" s="1">
        <f t="shared" ca="1" si="40"/>
        <v>952</v>
      </c>
      <c r="BX64" s="1">
        <f t="shared" ca="1" si="41"/>
        <v>7.6471073073676029E-3</v>
      </c>
      <c r="BY64" s="1">
        <f t="shared" ca="1" si="42"/>
        <v>9.3727721357960911E-3</v>
      </c>
      <c r="BZ64" s="1">
        <f t="shared" ca="1" si="43"/>
        <v>0.88348741354139126</v>
      </c>
      <c r="CB64" s="1">
        <f t="shared" ca="1" si="44"/>
        <v>173</v>
      </c>
      <c r="CC64" s="1">
        <f t="shared" ca="1" si="45"/>
        <v>9</v>
      </c>
      <c r="CD64" s="1">
        <f t="shared" ca="1" si="46"/>
        <v>1.140214232942616E-2</v>
      </c>
      <c r="CE64" s="1">
        <f t="shared" ca="1" si="56"/>
        <v>0.86391697900908559</v>
      </c>
      <c r="CF64" s="1">
        <f t="shared" ca="1" si="56"/>
        <v>0.65880796020701649</v>
      </c>
      <c r="CH64" s="3">
        <f t="shared" ca="1" si="48"/>
        <v>0.27718087828870142</v>
      </c>
      <c r="CI64" s="3">
        <f t="shared" ca="1" si="49"/>
        <v>0.35086041716715105</v>
      </c>
      <c r="CJ64" s="3">
        <f t="shared" ca="1" si="50"/>
        <v>573</v>
      </c>
      <c r="CK64" s="3">
        <f t="shared" ca="1" si="51"/>
        <v>4.4393036552813009E-3</v>
      </c>
      <c r="CL64" s="3">
        <f t="shared" ca="1" si="52"/>
        <v>0</v>
      </c>
      <c r="CM64" s="3"/>
      <c r="CN64" s="1">
        <f t="shared" ca="1" si="53"/>
        <v>14.379462248556521</v>
      </c>
      <c r="CO64" s="1">
        <f t="shared" ca="1" si="54"/>
        <v>0.24242392241747518</v>
      </c>
      <c r="CP64" s="1">
        <f t="shared" ca="1" si="55"/>
        <v>5</v>
      </c>
    </row>
    <row r="65" spans="2:94" x14ac:dyDescent="0.25">
      <c r="B65">
        <f t="shared" ca="1" si="0"/>
        <v>561</v>
      </c>
      <c r="C65">
        <f t="shared" ca="1" si="1"/>
        <v>7</v>
      </c>
      <c r="D65">
        <f t="shared" ca="1" si="2"/>
        <v>0.12613048768612928</v>
      </c>
      <c r="F65" s="1">
        <f t="shared" ca="1" si="3"/>
        <v>27</v>
      </c>
      <c r="G65" s="1">
        <f t="shared" ca="1" si="4"/>
        <v>13</v>
      </c>
      <c r="H65" s="1">
        <f t="shared" ca="1" si="5"/>
        <v>5</v>
      </c>
      <c r="I65" s="1"/>
      <c r="J65" s="1">
        <f t="shared" ca="1" si="6"/>
        <v>9</v>
      </c>
      <c r="K65" s="1">
        <f t="shared" ca="1" si="7"/>
        <v>1.4938272732922528</v>
      </c>
      <c r="L65" s="1">
        <f t="shared" ca="1" si="8"/>
        <v>17</v>
      </c>
      <c r="M65" s="1"/>
      <c r="N65" s="1">
        <f t="shared" ca="1" si="9"/>
        <v>47</v>
      </c>
      <c r="O65" s="1">
        <f t="shared" ca="1" si="10"/>
        <v>17</v>
      </c>
      <c r="P65" s="1"/>
      <c r="Q65" s="1">
        <f t="shared" ca="1" si="11"/>
        <v>3.4092269537912512</v>
      </c>
      <c r="R65" s="1">
        <f t="shared" ca="1" si="12"/>
        <v>595</v>
      </c>
      <c r="S65" s="1"/>
      <c r="T65" s="1">
        <f t="shared" ca="1" si="13"/>
        <v>0.12637682926487501</v>
      </c>
      <c r="U65" s="1">
        <f t="shared" ca="1" si="14"/>
        <v>409</v>
      </c>
      <c r="V65" s="1">
        <f t="shared" ca="1" si="15"/>
        <v>42</v>
      </c>
      <c r="W65" s="1"/>
      <c r="X65" s="1">
        <f t="shared" ca="1" si="16"/>
        <v>7.9408996557437073</v>
      </c>
      <c r="Y65" s="1">
        <f t="shared" ca="1" si="17"/>
        <v>0.91962418841179194</v>
      </c>
      <c r="Z65" s="1">
        <f t="shared" ca="1" si="18"/>
        <v>122</v>
      </c>
      <c r="AB65" s="1">
        <f t="shared" ca="1" si="19"/>
        <v>0.19178980377625235</v>
      </c>
      <c r="AC65" s="1">
        <f t="shared" ca="1" si="20"/>
        <v>567</v>
      </c>
      <c r="AD65" s="1">
        <f t="shared" ca="1" si="21"/>
        <v>2.1681260895743942E-3</v>
      </c>
      <c r="AE65" s="1"/>
      <c r="AF65" s="1">
        <f t="shared" ca="1" si="22"/>
        <v>0.13995911368422373</v>
      </c>
      <c r="AG65" s="1">
        <f t="shared" ca="1" si="23"/>
        <v>694</v>
      </c>
      <c r="AH65" s="1">
        <f t="shared" ca="1" si="24"/>
        <v>5.4844533228923485E-3</v>
      </c>
      <c r="AJ65" s="1">
        <f t="shared" ca="1" si="25"/>
        <v>0.76965907694145996</v>
      </c>
      <c r="AK65" s="1">
        <f t="shared" ca="1" si="26"/>
        <v>1.9840194016852953E-3</v>
      </c>
      <c r="AL65" s="1"/>
      <c r="AM65" s="1">
        <f t="shared" ca="1" si="27"/>
        <v>4.0145383987397837E-2</v>
      </c>
      <c r="AN65" s="1">
        <f t="shared" ca="1" si="28"/>
        <v>17</v>
      </c>
      <c r="AO65" s="1">
        <f t="shared" ca="1" si="29"/>
        <v>13</v>
      </c>
      <c r="AQ65" s="1">
        <f t="shared" ca="1" si="30"/>
        <v>11</v>
      </c>
      <c r="AR65" s="1">
        <f t="shared" ca="1" si="31"/>
        <v>2</v>
      </c>
      <c r="AS65" s="1">
        <f t="shared" ca="1" si="32"/>
        <v>31</v>
      </c>
      <c r="AU65" s="1">
        <f t="shared" ca="1" si="33"/>
        <v>301</v>
      </c>
      <c r="AV65" s="1">
        <f t="shared" ca="1" si="34"/>
        <v>6</v>
      </c>
      <c r="AW65" s="1">
        <f t="shared" ca="1" si="35"/>
        <v>0.19222818648783788</v>
      </c>
      <c r="AY65" s="1">
        <f t="shared" ca="1" si="36"/>
        <v>1.3561655417807346</v>
      </c>
      <c r="AZ65" s="1">
        <f t="shared" ca="1" si="37"/>
        <v>484</v>
      </c>
      <c r="BA65" s="1">
        <f t="shared" ca="1" si="38"/>
        <v>8.5608729730384543E-3</v>
      </c>
      <c r="BV65" s="1">
        <f t="shared" ca="1" si="39"/>
        <v>6.3577792560351551E-2</v>
      </c>
      <c r="BW65" s="1">
        <f t="shared" ca="1" si="40"/>
        <v>245</v>
      </c>
      <c r="BX65" s="1">
        <f t="shared" ca="1" si="41"/>
        <v>5.1793177980645764E-3</v>
      </c>
      <c r="BY65" s="1">
        <f t="shared" ca="1" si="42"/>
        <v>6.9309795397794222E-2</v>
      </c>
      <c r="BZ65" s="1">
        <f t="shared" ca="1" si="43"/>
        <v>0.22806008133970235</v>
      </c>
      <c r="CB65" s="1">
        <f t="shared" ca="1" si="44"/>
        <v>382</v>
      </c>
      <c r="CC65" s="1">
        <f t="shared" ca="1" si="45"/>
        <v>5</v>
      </c>
      <c r="CD65" s="1">
        <f t="shared" ca="1" si="46"/>
        <v>0.29003133197701658</v>
      </c>
      <c r="CE65" s="1">
        <f t="shared" ca="1" si="56"/>
        <v>0.9916533096715876</v>
      </c>
      <c r="CF65" s="1">
        <f t="shared" ca="1" si="56"/>
        <v>0.86569037901497592</v>
      </c>
      <c r="CH65" s="3">
        <f t="shared" ca="1" si="48"/>
        <v>0.19442697941119974</v>
      </c>
      <c r="CI65" s="3">
        <f t="shared" ca="1" si="49"/>
        <v>0.87307644683406671</v>
      </c>
      <c r="CJ65" s="3">
        <f t="shared" ca="1" si="50"/>
        <v>1138</v>
      </c>
      <c r="CK65" s="3">
        <f t="shared" ca="1" si="51"/>
        <v>7.649021600964521E-3</v>
      </c>
      <c r="CL65" s="3">
        <f t="shared" ca="1" si="52"/>
        <v>0</v>
      </c>
      <c r="CM65" s="3"/>
      <c r="CN65" s="1">
        <f t="shared" ca="1" si="53"/>
        <v>1.819375758928983</v>
      </c>
      <c r="CO65" s="1">
        <f t="shared" ca="1" si="54"/>
        <v>0.21995652795989787</v>
      </c>
      <c r="CP65" s="1">
        <f t="shared" ca="1" si="55"/>
        <v>5</v>
      </c>
    </row>
    <row r="66" spans="2:94" x14ac:dyDescent="0.25">
      <c r="B66">
        <f t="shared" ca="1" si="0"/>
        <v>766</v>
      </c>
      <c r="C66">
        <f t="shared" ca="1" si="1"/>
        <v>15</v>
      </c>
      <c r="D66">
        <f t="shared" ca="1" si="2"/>
        <v>3.4594917114681253E-2</v>
      </c>
      <c r="F66" s="1">
        <f t="shared" ca="1" si="3"/>
        <v>5</v>
      </c>
      <c r="G66" s="1">
        <f t="shared" ca="1" si="4"/>
        <v>14</v>
      </c>
      <c r="H66" s="1">
        <f t="shared" ca="1" si="5"/>
        <v>10</v>
      </c>
      <c r="I66" s="1"/>
      <c r="J66" s="1">
        <f t="shared" ca="1" si="6"/>
        <v>18</v>
      </c>
      <c r="K66" s="1">
        <f t="shared" ca="1" si="7"/>
        <v>2.1928909983822651</v>
      </c>
      <c r="L66" s="1">
        <f t="shared" ca="1" si="8"/>
        <v>13</v>
      </c>
      <c r="M66" s="1"/>
      <c r="N66" s="1">
        <f t="shared" ca="1" si="9"/>
        <v>209</v>
      </c>
      <c r="O66" s="1">
        <f t="shared" ca="1" si="10"/>
        <v>51</v>
      </c>
      <c r="P66" s="1"/>
      <c r="Q66" s="1">
        <f t="shared" ca="1" si="11"/>
        <v>1.9914668878828272</v>
      </c>
      <c r="R66" s="1">
        <f t="shared" ca="1" si="12"/>
        <v>803</v>
      </c>
      <c r="S66" s="1"/>
      <c r="T66" s="1">
        <f t="shared" ca="1" si="13"/>
        <v>0.19619020971441412</v>
      </c>
      <c r="U66" s="1">
        <f t="shared" ca="1" si="14"/>
        <v>57</v>
      </c>
      <c r="V66" s="1">
        <f t="shared" ca="1" si="15"/>
        <v>32</v>
      </c>
      <c r="W66" s="1"/>
      <c r="X66" s="1">
        <f t="shared" ca="1" si="16"/>
        <v>9.4289376918697112</v>
      </c>
      <c r="Y66" s="1">
        <f t="shared" ca="1" si="17"/>
        <v>0.18038193988021392</v>
      </c>
      <c r="Z66" s="1">
        <f t="shared" ca="1" si="18"/>
        <v>1396</v>
      </c>
      <c r="AB66" s="1">
        <f t="shared" ca="1" si="19"/>
        <v>0.81137680741698115</v>
      </c>
      <c r="AC66" s="1">
        <f t="shared" ca="1" si="20"/>
        <v>606</v>
      </c>
      <c r="AD66" s="1">
        <f t="shared" ca="1" si="21"/>
        <v>3.5656858759612509E-3</v>
      </c>
      <c r="AE66" s="1"/>
      <c r="AF66" s="1">
        <f t="shared" ca="1" si="22"/>
        <v>0.70198468180778428</v>
      </c>
      <c r="AG66" s="1">
        <f t="shared" ca="1" si="23"/>
        <v>505</v>
      </c>
      <c r="AH66" s="1">
        <f t="shared" ca="1" si="24"/>
        <v>2.6977398341262115E-3</v>
      </c>
      <c r="AJ66" s="1">
        <f t="shared" ca="1" si="25"/>
        <v>0.97703613840629056</v>
      </c>
      <c r="AK66" s="1">
        <f t="shared" ca="1" si="26"/>
        <v>4.2577823413000124E-3</v>
      </c>
      <c r="AL66" s="1"/>
      <c r="AM66" s="1">
        <f t="shared" ca="1" si="27"/>
        <v>5.3175684244014809E-2</v>
      </c>
      <c r="AN66" s="1">
        <f t="shared" ca="1" si="28"/>
        <v>63</v>
      </c>
      <c r="AO66" s="1">
        <f t="shared" ca="1" si="29"/>
        <v>7</v>
      </c>
      <c r="AQ66" s="1">
        <f t="shared" ca="1" si="30"/>
        <v>115</v>
      </c>
      <c r="AR66" s="1">
        <f t="shared" ca="1" si="31"/>
        <v>8</v>
      </c>
      <c r="AS66" s="1">
        <f t="shared" ca="1" si="32"/>
        <v>56</v>
      </c>
      <c r="AU66" s="1">
        <f t="shared" ca="1" si="33"/>
        <v>207</v>
      </c>
      <c r="AV66" s="1">
        <f t="shared" ca="1" si="34"/>
        <v>10</v>
      </c>
      <c r="AW66" s="1">
        <f t="shared" ca="1" si="35"/>
        <v>0.18355350010971805</v>
      </c>
      <c r="AY66" s="1">
        <f t="shared" ca="1" si="36"/>
        <v>1.4564231912512005</v>
      </c>
      <c r="AZ66" s="1">
        <f t="shared" ca="1" si="37"/>
        <v>248</v>
      </c>
      <c r="BA66" s="1">
        <f t="shared" ca="1" si="38"/>
        <v>7.5680562428140519E-3</v>
      </c>
      <c r="BV66" s="1">
        <f t="shared" ca="1" si="39"/>
        <v>1.1210358181565641E-2</v>
      </c>
      <c r="BW66" s="1">
        <f t="shared" ca="1" si="40"/>
        <v>198</v>
      </c>
      <c r="BX66" s="1">
        <f t="shared" ca="1" si="41"/>
        <v>6.4194489517885077E-3</v>
      </c>
      <c r="BY66" s="1">
        <f t="shared" ca="1" si="42"/>
        <v>5.1552943737319161E-2</v>
      </c>
      <c r="BZ66" s="1">
        <f t="shared" ca="1" si="43"/>
        <v>0.46299913484382182</v>
      </c>
      <c r="CB66" s="1">
        <f t="shared" ca="1" si="44"/>
        <v>491</v>
      </c>
      <c r="CC66" s="1">
        <f t="shared" ca="1" si="45"/>
        <v>9</v>
      </c>
      <c r="CD66" s="1">
        <f t="shared" ca="1" si="46"/>
        <v>0.20125422440230453</v>
      </c>
      <c r="CE66" s="1">
        <f t="shared" ca="1" si="56"/>
        <v>0.67205272581822961</v>
      </c>
      <c r="CF66" s="1">
        <f t="shared" ca="1" si="56"/>
        <v>0.55234804081659861</v>
      </c>
      <c r="CH66" s="3">
        <f t="shared" ca="1" si="48"/>
        <v>0.14063200953555816</v>
      </c>
      <c r="CI66" s="3">
        <f t="shared" ca="1" si="49"/>
        <v>0.20469797632729794</v>
      </c>
      <c r="CJ66" s="3">
        <f t="shared" ca="1" si="50"/>
        <v>1229</v>
      </c>
      <c r="CK66" s="3">
        <f t="shared" ca="1" si="51"/>
        <v>2.5638669563473751E-3</v>
      </c>
      <c r="CL66" s="3">
        <f t="shared" ca="1" si="52"/>
        <v>1</v>
      </c>
      <c r="CM66" s="3"/>
      <c r="CN66" s="1">
        <f t="shared" ca="1" si="53"/>
        <v>9.6262546689998114</v>
      </c>
      <c r="CO66" s="1">
        <f t="shared" ca="1" si="54"/>
        <v>8.6367659092707869E-2</v>
      </c>
      <c r="CP66" s="1">
        <f t="shared" ca="1" si="55"/>
        <v>1</v>
      </c>
    </row>
    <row r="67" spans="2:94" x14ac:dyDescent="0.25">
      <c r="B67">
        <f t="shared" ca="1" si="0"/>
        <v>601</v>
      </c>
      <c r="C67">
        <f t="shared" ca="1" si="1"/>
        <v>34</v>
      </c>
      <c r="D67">
        <f t="shared" ca="1" si="2"/>
        <v>2.0714798484235401E-2</v>
      </c>
      <c r="F67" s="1">
        <f t="shared" ca="1" si="3"/>
        <v>34</v>
      </c>
      <c r="G67" s="1">
        <f t="shared" ca="1" si="4"/>
        <v>30</v>
      </c>
      <c r="H67" s="1">
        <f t="shared" ca="1" si="5"/>
        <v>7</v>
      </c>
      <c r="I67" s="1"/>
      <c r="J67" s="1">
        <f t="shared" ca="1" si="6"/>
        <v>15</v>
      </c>
      <c r="K67" s="1">
        <f t="shared" ca="1" si="7"/>
        <v>1.3504314728201778</v>
      </c>
      <c r="L67" s="1">
        <f t="shared" ca="1" si="8"/>
        <v>23</v>
      </c>
      <c r="M67" s="1"/>
      <c r="N67" s="1">
        <f t="shared" ca="1" si="9"/>
        <v>955</v>
      </c>
      <c r="O67" s="1">
        <f t="shared" ca="1" si="10"/>
        <v>43</v>
      </c>
      <c r="P67" s="1"/>
      <c r="Q67" s="1">
        <f t="shared" ca="1" si="11"/>
        <v>3.3771701679961601</v>
      </c>
      <c r="R67" s="1">
        <f t="shared" ca="1" si="12"/>
        <v>226</v>
      </c>
      <c r="S67" s="1"/>
      <c r="T67" s="1">
        <f t="shared" ca="1" si="13"/>
        <v>8.4885274532503649E-2</v>
      </c>
      <c r="U67" s="1">
        <f t="shared" ca="1" si="14"/>
        <v>78</v>
      </c>
      <c r="V67" s="1">
        <f t="shared" ca="1" si="15"/>
        <v>52</v>
      </c>
      <c r="W67" s="1"/>
      <c r="X67" s="1">
        <f t="shared" ca="1" si="16"/>
        <v>0.45551112403271643</v>
      </c>
      <c r="Y67" s="1">
        <f t="shared" ca="1" si="17"/>
        <v>0.608765752709436</v>
      </c>
      <c r="Z67" s="1">
        <f t="shared" ca="1" si="18"/>
        <v>655</v>
      </c>
      <c r="AB67" s="1">
        <f t="shared" ca="1" si="19"/>
        <v>0.59144728134806701</v>
      </c>
      <c r="AC67" s="1">
        <f t="shared" ca="1" si="20"/>
        <v>316</v>
      </c>
      <c r="AD67" s="1">
        <f t="shared" ca="1" si="21"/>
        <v>4.1196823638844707E-3</v>
      </c>
      <c r="AE67" s="1"/>
      <c r="AF67" s="1">
        <f t="shared" ca="1" si="22"/>
        <v>0.11390874747900118</v>
      </c>
      <c r="AG67" s="1">
        <f t="shared" ca="1" si="23"/>
        <v>273</v>
      </c>
      <c r="AH67" s="1">
        <f t="shared" ca="1" si="24"/>
        <v>7.9607400590336538E-3</v>
      </c>
      <c r="AJ67" s="1">
        <f t="shared" ca="1" si="25"/>
        <v>9.4568725857788971E-2</v>
      </c>
      <c r="AK67" s="1">
        <f t="shared" ca="1" si="26"/>
        <v>9.4056110920566621E-3</v>
      </c>
      <c r="AL67" s="1"/>
      <c r="AM67" s="1">
        <f t="shared" ca="1" si="27"/>
        <v>7.7102715851772738E-2</v>
      </c>
      <c r="AN67" s="1">
        <f t="shared" ca="1" si="28"/>
        <v>17</v>
      </c>
      <c r="AO67" s="1">
        <f t="shared" ca="1" si="29"/>
        <v>4</v>
      </c>
      <c r="AQ67" s="1">
        <f t="shared" ca="1" si="30"/>
        <v>131</v>
      </c>
      <c r="AR67" s="1">
        <f t="shared" ca="1" si="31"/>
        <v>9</v>
      </c>
      <c r="AS67" s="1">
        <f t="shared" ca="1" si="32"/>
        <v>11</v>
      </c>
      <c r="AU67" s="1">
        <f t="shared" ca="1" si="33"/>
        <v>118</v>
      </c>
      <c r="AV67" s="1">
        <f t="shared" ca="1" si="34"/>
        <v>4</v>
      </c>
      <c r="AW67" s="1">
        <f t="shared" ca="1" si="35"/>
        <v>0.18115208529160667</v>
      </c>
      <c r="AY67" s="1">
        <f t="shared" ca="1" si="36"/>
        <v>1.1554183560799312</v>
      </c>
      <c r="AZ67" s="1">
        <f t="shared" ca="1" si="37"/>
        <v>336</v>
      </c>
      <c r="BA67" s="1">
        <f t="shared" ca="1" si="38"/>
        <v>3.5879010532079707E-3</v>
      </c>
      <c r="BV67" s="1">
        <f t="shared" ca="1" si="39"/>
        <v>0.37460286773659762</v>
      </c>
      <c r="BW67" s="1">
        <f t="shared" ca="1" si="40"/>
        <v>165</v>
      </c>
      <c r="BX67" s="1">
        <f t="shared" ca="1" si="41"/>
        <v>2.6152744779592216E-3</v>
      </c>
      <c r="BY67" s="1">
        <f t="shared" ca="1" si="42"/>
        <v>8.5177936259224221E-2</v>
      </c>
      <c r="BZ67" s="1">
        <f t="shared" ca="1" si="43"/>
        <v>0.14407035422391701</v>
      </c>
      <c r="CB67" s="1">
        <f t="shared" ca="1" si="44"/>
        <v>313</v>
      </c>
      <c r="CC67" s="1">
        <f t="shared" ca="1" si="45"/>
        <v>6</v>
      </c>
      <c r="CD67" s="1">
        <f t="shared" ca="1" si="46"/>
        <v>0.11211168742428422</v>
      </c>
      <c r="CE67" s="1">
        <f t="shared" ca="1" si="56"/>
        <v>0.70218079537371947</v>
      </c>
      <c r="CF67" s="1">
        <f t="shared" ca="1" si="56"/>
        <v>0.68935963511986698</v>
      </c>
      <c r="CH67" s="3">
        <f t="shared" ca="1" si="48"/>
        <v>0.22541035307623231</v>
      </c>
      <c r="CI67" s="3">
        <f t="shared" ca="1" si="49"/>
        <v>0.53882699432614922</v>
      </c>
      <c r="CJ67" s="3">
        <f t="shared" ca="1" si="50"/>
        <v>1835</v>
      </c>
      <c r="CK67" s="3">
        <f t="shared" ca="1" si="51"/>
        <v>8.4259610339168772E-3</v>
      </c>
      <c r="CL67" s="3">
        <f t="shared" ca="1" si="52"/>
        <v>0</v>
      </c>
      <c r="CM67" s="3"/>
      <c r="CN67" s="1">
        <f t="shared" ca="1" si="53"/>
        <v>2.7378038245062792</v>
      </c>
      <c r="CO67" s="1">
        <f t="shared" ca="1" si="54"/>
        <v>0.46580159632121976</v>
      </c>
      <c r="CP67" s="1">
        <f t="shared" ca="1" si="55"/>
        <v>4</v>
      </c>
    </row>
    <row r="68" spans="2:94" x14ac:dyDescent="0.25">
      <c r="B68">
        <f t="shared" ref="B68:B131" ca="1" si="57">RANDBETWEEN(15,1000)</f>
        <v>40</v>
      </c>
      <c r="C68">
        <f t="shared" ref="C68:C131" ca="1" si="58">RANDBETWEEN(2,52)</f>
        <v>13</v>
      </c>
      <c r="D68">
        <f t="shared" ref="D68:D131" ca="1" si="59">RAND()*(0.3-0.01)+0.01</f>
        <v>0.19906308944503537</v>
      </c>
      <c r="F68" s="1">
        <f t="shared" ref="F68:F131" ca="1" si="60">RANDBETWEEN(2,52)</f>
        <v>44</v>
      </c>
      <c r="G68" s="1">
        <f t="shared" ref="G68:G131" ca="1" si="61">RANDBETWEEN(2,30)</f>
        <v>21</v>
      </c>
      <c r="H68" s="1">
        <f t="shared" ref="H68:H131" ca="1" si="62">RANDBETWEEN(1,15)</f>
        <v>2</v>
      </c>
      <c r="I68" s="1"/>
      <c r="J68" s="1">
        <f t="shared" ref="J68:J131" ca="1" si="63">RANDBETWEEN(1,39)</f>
        <v>4</v>
      </c>
      <c r="K68" s="1">
        <f t="shared" ref="K68:K131" ca="1" si="64">RAND()*(3-1)+1</f>
        <v>2.3422838885259551</v>
      </c>
      <c r="L68" s="1">
        <f t="shared" ref="L68:L131" ca="1" si="65">RANDBETWEEN(2,35)</f>
        <v>15</v>
      </c>
      <c r="M68" s="1"/>
      <c r="N68" s="1">
        <f t="shared" ref="N68:N131" ca="1" si="66">RANDBETWEEN(15,1000)</f>
        <v>135</v>
      </c>
      <c r="O68" s="1">
        <f t="shared" ref="O68:O131" ca="1" si="67">RANDBETWEEN(2,52)</f>
        <v>17</v>
      </c>
      <c r="P68" s="1"/>
      <c r="Q68" s="1">
        <f t="shared" ref="Q68:Q131" ca="1" si="68">RAND()*(5-0.01)+0.01</f>
        <v>3.0175589288187417</v>
      </c>
      <c r="R68" s="1">
        <f t="shared" ref="R68:R131" ca="1" si="69">RANDBETWEEN(200,1200)</f>
        <v>858</v>
      </c>
      <c r="S68" s="1"/>
      <c r="T68" s="1">
        <f t="shared" ref="T68:T131" ca="1" si="70">RAND()*(0.2-0.01)+0.01</f>
        <v>0.16161397585088302</v>
      </c>
      <c r="U68" s="1">
        <f t="shared" ref="U68:U131" ca="1" si="71">RANDBETWEEN(50,450)</f>
        <v>312</v>
      </c>
      <c r="V68" s="1">
        <f t="shared" ref="V68:V131" ca="1" si="72">RANDBETWEEN(2,52)</f>
        <v>34</v>
      </c>
      <c r="W68" s="1"/>
      <c r="X68" s="1">
        <f t="shared" ref="X68:X131" ca="1" si="73">RAND()*(10-0.01)+0.01</f>
        <v>4.1938919654686098</v>
      </c>
      <c r="Y68" s="1">
        <f t="shared" ref="Y68:Y131" ca="1" si="74">RAND()*(1-0.0001)+0.0001</f>
        <v>0.74966411707636349</v>
      </c>
      <c r="Z68" s="1">
        <f t="shared" ref="Z68:Z131" ca="1" si="75">RANDBETWEEN(100,2000)</f>
        <v>619</v>
      </c>
      <c r="AB68" s="1">
        <f t="shared" ref="AB68:AB131" ca="1" si="76">RAND()*(1-0.0001)+0.0001</f>
        <v>0.90090431005664773</v>
      </c>
      <c r="AC68" s="1">
        <f t="shared" ref="AC68:AC131" ca="1" si="77">RANDBETWEEN(100,1000)</f>
        <v>305</v>
      </c>
      <c r="AD68" s="1">
        <f t="shared" ref="AD68:AD131" ca="1" si="78">RAND()*(0.01-0.00001)+0.00001</f>
        <v>4.8251199890499688E-3</v>
      </c>
      <c r="AE68" s="1"/>
      <c r="AF68" s="1">
        <f t="shared" ref="AF68:AF131" ca="1" si="79">RAND()*(0.9-0.1)+0.1</f>
        <v>0.50340273698470206</v>
      </c>
      <c r="AG68" s="1">
        <f t="shared" ref="AG68:AG131" ca="1" si="80">RANDBETWEEN(100,1000)</f>
        <v>660</v>
      </c>
      <c r="AH68" s="1">
        <f t="shared" ref="AH68:AH131" ca="1" si="81">RAND()*(0.01-0.00001)+0.00001</f>
        <v>8.3775814467044671E-3</v>
      </c>
      <c r="AJ68" s="1">
        <f t="shared" ref="AJ68:AJ131" ca="1" si="82">RAND()*(1-0)+0</f>
        <v>0.80238948694469581</v>
      </c>
      <c r="AK68" s="1">
        <f t="shared" ref="AK68:AK131" ca="1" si="83">RAND()*(0.01-0.00001)+0.00001</f>
        <v>8.9918237654964476E-4</v>
      </c>
      <c r="AL68" s="1"/>
      <c r="AM68" s="1">
        <f t="shared" ref="AM68:AM131" ca="1" si="84">RAND()*(0.2-0.005)+0.005</f>
        <v>0.1472017623431971</v>
      </c>
      <c r="AN68" s="1">
        <f t="shared" ref="AN68:AN131" ca="1" si="85">RANDBETWEEN(10,80)</f>
        <v>16</v>
      </c>
      <c r="AO68" s="1">
        <f t="shared" ref="AO68:AO131" ca="1" si="86">RANDBETWEEN(-1,20)</f>
        <v>9</v>
      </c>
      <c r="AQ68" s="1">
        <f t="shared" ref="AQ68:AQ131" ca="1" si="87">RANDBETWEEN(10,200)</f>
        <v>166</v>
      </c>
      <c r="AR68" s="1">
        <f t="shared" ref="AR68:AR131" ca="1" si="88">RANDBETWEEN(0,10)</f>
        <v>2</v>
      </c>
      <c r="AS68" s="1">
        <f t="shared" ref="AS68:AS131" ca="1" si="89">RANDBETWEEN(1,100)</f>
        <v>63</v>
      </c>
      <c r="AU68" s="1">
        <f t="shared" ref="AU68:AU131" ca="1" si="90">RANDBETWEEN(50,400)</f>
        <v>254</v>
      </c>
      <c r="AV68" s="1">
        <f t="shared" ref="AV68:AV131" ca="1" si="91">RANDBETWEEN(2,10)</f>
        <v>6</v>
      </c>
      <c r="AW68" s="1">
        <f t="shared" ref="AW68:AW131" ca="1" si="92">RAND()*(0.2-0.01)+0.01</f>
        <v>0.18692494257502201</v>
      </c>
      <c r="AY68" s="1">
        <f t="shared" ref="AY68:AY131" ca="1" si="93">RAND()*(2-1.1)+1.1</f>
        <v>1.7119021940374506</v>
      </c>
      <c r="AZ68" s="1">
        <f t="shared" ref="AZ68:AZ131" ca="1" si="94">RANDBETWEEN(50,500)</f>
        <v>229</v>
      </c>
      <c r="BA68" s="1">
        <f t="shared" ref="BA68:BA131" ca="1" si="95">RAND()*(0.01-0.00001)+0.00001</f>
        <v>3.9450976261380276E-3</v>
      </c>
      <c r="BV68" s="1">
        <f t="shared" ref="BV68:BV131" ca="1" si="96">RAND()*(1-0.0001)+0.0001</f>
        <v>0.66409025771358665</v>
      </c>
      <c r="BW68" s="1">
        <f t="shared" ref="BW68:BW131" ca="1" si="97">RANDBETWEEN(100,1000)</f>
        <v>312</v>
      </c>
      <c r="BX68" s="1">
        <f t="shared" ref="BX68:BX131" ca="1" si="98">RAND()*(0.01-0.00001)+0.00001</f>
        <v>5.0170162080848827E-3</v>
      </c>
      <c r="BY68" s="1">
        <f t="shared" ref="BY68:BY131" ca="1" si="99">RAND()*(0.1-0.0001)+0.0001</f>
        <v>6.0714902558055825E-2</v>
      </c>
      <c r="BZ68" s="1">
        <f t="shared" ref="BZ68:BZ131" ca="1" si="100">RAND()*(1-0)+0</f>
        <v>0.57786959912633051</v>
      </c>
      <c r="CB68" s="1">
        <f t="shared" ref="CB68:CB131" ca="1" si="101">RANDBETWEEN(50,500)</f>
        <v>390</v>
      </c>
      <c r="CC68" s="1">
        <f t="shared" ref="CC68:CC131" ca="1" si="102">RANDBETWEEN(3,15)</f>
        <v>4</v>
      </c>
      <c r="CD68" s="1">
        <f t="shared" ref="CD68:CD131" ca="1" si="103">RAND()*(0.3-0.01)+0.01</f>
        <v>0.27168532393641515</v>
      </c>
      <c r="CE68" s="1">
        <f t="shared" ref="CE68:CF99" ca="1" si="104">RAND()*(1-0.5)+0.5</f>
        <v>0.98430854422058278</v>
      </c>
      <c r="CF68" s="1">
        <f t="shared" ca="1" si="104"/>
        <v>0.61828558824944513</v>
      </c>
      <c r="CH68" s="3">
        <f t="shared" ref="CH68:CH131" ca="1" si="105">RAND()*(1-0.0001)+0.0001</f>
        <v>0.91399559373620098</v>
      </c>
      <c r="CI68" s="3">
        <f t="shared" ref="CI68:CI131" ca="1" si="106">RAND()*(0.99-0.01)+0.01</f>
        <v>0.6052666224995602</v>
      </c>
      <c r="CJ68" s="3">
        <f t="shared" ref="CJ68:CJ131" ca="1" si="107">RANDBETWEEN(100,2000)</f>
        <v>999</v>
      </c>
      <c r="CK68" s="3">
        <f t="shared" ref="CK68:CK131" ca="1" si="108">RAND()*(0.01-0.000001)+0.000001</f>
        <v>8.2558226692039573E-3</v>
      </c>
      <c r="CL68" s="3">
        <f t="shared" ref="CL68:CL131" ca="1" si="109">RANDBETWEEN(0,1)</f>
        <v>1</v>
      </c>
      <c r="CM68" s="3"/>
      <c r="CN68" s="1">
        <f t="shared" ref="CN68:CN131" ca="1" si="110">RAND()*(20-0.1)+0.1</f>
        <v>14.722714858211344</v>
      </c>
      <c r="CO68" s="1">
        <f t="shared" ref="CO68:CO131" ca="1" si="111">RAND()*(0.5-0.001)+0.001</f>
        <v>0.19884111947158409</v>
      </c>
      <c r="CP68" s="1">
        <f t="shared" ref="CP68:CP131" ca="1" si="112">RANDBETWEEN(1,5)</f>
        <v>5</v>
      </c>
    </row>
    <row r="69" spans="2:94" x14ac:dyDescent="0.25">
      <c r="B69">
        <f t="shared" ca="1" si="57"/>
        <v>168</v>
      </c>
      <c r="C69">
        <f t="shared" ca="1" si="58"/>
        <v>31</v>
      </c>
      <c r="D69">
        <f t="shared" ca="1" si="59"/>
        <v>0.13599872893779696</v>
      </c>
      <c r="F69" s="1">
        <f t="shared" ca="1" si="60"/>
        <v>15</v>
      </c>
      <c r="G69" s="1">
        <f t="shared" ca="1" si="61"/>
        <v>23</v>
      </c>
      <c r="H69" s="1">
        <f t="shared" ca="1" si="62"/>
        <v>10</v>
      </c>
      <c r="I69" s="1"/>
      <c r="J69" s="1">
        <f t="shared" ca="1" si="63"/>
        <v>15</v>
      </c>
      <c r="K69" s="1">
        <f t="shared" ca="1" si="64"/>
        <v>2.219379067098969</v>
      </c>
      <c r="L69" s="1">
        <f t="shared" ca="1" si="65"/>
        <v>16</v>
      </c>
      <c r="M69" s="1"/>
      <c r="N69" s="1">
        <f t="shared" ca="1" si="66"/>
        <v>887</v>
      </c>
      <c r="O69" s="1">
        <f t="shared" ca="1" si="67"/>
        <v>40</v>
      </c>
      <c r="P69" s="1"/>
      <c r="Q69" s="1">
        <f t="shared" ca="1" si="68"/>
        <v>1.6540850213445664</v>
      </c>
      <c r="R69" s="1">
        <f t="shared" ca="1" si="69"/>
        <v>693</v>
      </c>
      <c r="S69" s="1"/>
      <c r="T69" s="1">
        <f t="shared" ca="1" si="70"/>
        <v>4.6908833406257053E-2</v>
      </c>
      <c r="U69" s="1">
        <f t="shared" ca="1" si="71"/>
        <v>231</v>
      </c>
      <c r="V69" s="1">
        <f t="shared" ca="1" si="72"/>
        <v>29</v>
      </c>
      <c r="W69" s="1"/>
      <c r="X69" s="1">
        <f t="shared" ca="1" si="73"/>
        <v>6.5927527014730893</v>
      </c>
      <c r="Y69" s="1">
        <f t="shared" ca="1" si="74"/>
        <v>0.34952291930566204</v>
      </c>
      <c r="Z69" s="1">
        <f t="shared" ca="1" si="75"/>
        <v>1963</v>
      </c>
      <c r="AB69" s="1">
        <f t="shared" ca="1" si="76"/>
        <v>0.24404614549591677</v>
      </c>
      <c r="AC69" s="1">
        <f t="shared" ca="1" si="77"/>
        <v>860</v>
      </c>
      <c r="AD69" s="1">
        <f t="shared" ca="1" si="78"/>
        <v>2.9011594340171828E-3</v>
      </c>
      <c r="AE69" s="1"/>
      <c r="AF69" s="1">
        <f t="shared" ca="1" si="79"/>
        <v>0.81642261682506123</v>
      </c>
      <c r="AG69" s="1">
        <f t="shared" ca="1" si="80"/>
        <v>365</v>
      </c>
      <c r="AH69" s="1">
        <f t="shared" ca="1" si="81"/>
        <v>7.9637608069989142E-3</v>
      </c>
      <c r="AJ69" s="1">
        <f t="shared" ca="1" si="82"/>
        <v>0.20891961236588463</v>
      </c>
      <c r="AK69" s="1">
        <f t="shared" ca="1" si="83"/>
        <v>7.4491063579052831E-3</v>
      </c>
      <c r="AL69" s="1"/>
      <c r="AM69" s="1">
        <f t="shared" ca="1" si="84"/>
        <v>6.5953836490692516E-2</v>
      </c>
      <c r="AN69" s="1">
        <f t="shared" ca="1" si="85"/>
        <v>46</v>
      </c>
      <c r="AO69" s="1">
        <f t="shared" ca="1" si="86"/>
        <v>13</v>
      </c>
      <c r="AQ69" s="1">
        <f t="shared" ca="1" si="87"/>
        <v>63</v>
      </c>
      <c r="AR69" s="1">
        <f t="shared" ca="1" si="88"/>
        <v>9</v>
      </c>
      <c r="AS69" s="1">
        <f t="shared" ca="1" si="89"/>
        <v>31</v>
      </c>
      <c r="AU69" s="1">
        <f t="shared" ca="1" si="90"/>
        <v>165</v>
      </c>
      <c r="AV69" s="1">
        <f t="shared" ca="1" si="91"/>
        <v>6</v>
      </c>
      <c r="AW69" s="1">
        <f t="shared" ca="1" si="92"/>
        <v>6.7453063064749949E-2</v>
      </c>
      <c r="AY69" s="1">
        <f t="shared" ca="1" si="93"/>
        <v>1.9666853020133086</v>
      </c>
      <c r="AZ69" s="1">
        <f t="shared" ca="1" si="94"/>
        <v>114</v>
      </c>
      <c r="BA69" s="1">
        <f t="shared" ca="1" si="95"/>
        <v>2.2198226247728738E-3</v>
      </c>
      <c r="BV69" s="1">
        <f t="shared" ca="1" si="96"/>
        <v>0.71385914747215029</v>
      </c>
      <c r="BW69" s="1">
        <f t="shared" ca="1" si="97"/>
        <v>536</v>
      </c>
      <c r="BX69" s="1">
        <f t="shared" ca="1" si="98"/>
        <v>1.9428914565334304E-3</v>
      </c>
      <c r="BY69" s="1">
        <f t="shared" ca="1" si="99"/>
        <v>8.0800031858441979E-2</v>
      </c>
      <c r="BZ69" s="1">
        <f t="shared" ca="1" si="100"/>
        <v>0.74621659115451811</v>
      </c>
      <c r="CB69" s="1">
        <f t="shared" ca="1" si="101"/>
        <v>288</v>
      </c>
      <c r="CC69" s="1">
        <f t="shared" ca="1" si="102"/>
        <v>5</v>
      </c>
      <c r="CD69" s="1">
        <f t="shared" ca="1" si="103"/>
        <v>0.28003334684382825</v>
      </c>
      <c r="CE69" s="1">
        <f t="shared" ca="1" si="104"/>
        <v>0.66156619442557951</v>
      </c>
      <c r="CF69" s="1">
        <f t="shared" ca="1" si="104"/>
        <v>0.9551278603419584</v>
      </c>
      <c r="CH69" s="3">
        <f t="shared" ca="1" si="105"/>
        <v>0.32088383177211915</v>
      </c>
      <c r="CI69" s="3">
        <f t="shared" ca="1" si="106"/>
        <v>0.64769834167714624</v>
      </c>
      <c r="CJ69" s="3">
        <f t="shared" ca="1" si="107"/>
        <v>1842</v>
      </c>
      <c r="CK69" s="3">
        <f t="shared" ca="1" si="108"/>
        <v>6.4052528056258405E-3</v>
      </c>
      <c r="CL69" s="3">
        <f t="shared" ca="1" si="109"/>
        <v>0</v>
      </c>
      <c r="CM69" s="3"/>
      <c r="CN69" s="1">
        <f t="shared" ca="1" si="110"/>
        <v>5.0550518046274782</v>
      </c>
      <c r="CO69" s="1">
        <f t="shared" ca="1" si="111"/>
        <v>0.17551758601091422</v>
      </c>
      <c r="CP69" s="1">
        <f t="shared" ca="1" si="112"/>
        <v>4</v>
      </c>
    </row>
    <row r="70" spans="2:94" x14ac:dyDescent="0.25">
      <c r="B70">
        <f t="shared" ca="1" si="57"/>
        <v>411</v>
      </c>
      <c r="C70">
        <f t="shared" ca="1" si="58"/>
        <v>39</v>
      </c>
      <c r="D70">
        <f t="shared" ca="1" si="59"/>
        <v>0.20966139230202857</v>
      </c>
      <c r="F70" s="1">
        <f t="shared" ca="1" si="60"/>
        <v>41</v>
      </c>
      <c r="G70" s="1">
        <f t="shared" ca="1" si="61"/>
        <v>2</v>
      </c>
      <c r="H70" s="1">
        <f t="shared" ca="1" si="62"/>
        <v>3</v>
      </c>
      <c r="I70" s="1"/>
      <c r="J70" s="1">
        <f t="shared" ca="1" si="63"/>
        <v>11</v>
      </c>
      <c r="K70" s="1">
        <f t="shared" ca="1" si="64"/>
        <v>1.2052573905339432</v>
      </c>
      <c r="L70" s="1">
        <f t="shared" ca="1" si="65"/>
        <v>14</v>
      </c>
      <c r="M70" s="1"/>
      <c r="N70" s="1">
        <f t="shared" ca="1" si="66"/>
        <v>514</v>
      </c>
      <c r="O70" s="1">
        <f t="shared" ca="1" si="67"/>
        <v>4</v>
      </c>
      <c r="P70" s="1"/>
      <c r="Q70" s="1">
        <f t="shared" ca="1" si="68"/>
        <v>4.8537861168612073</v>
      </c>
      <c r="R70" s="1">
        <f t="shared" ca="1" si="69"/>
        <v>881</v>
      </c>
      <c r="S70" s="1"/>
      <c r="T70" s="1">
        <f t="shared" ca="1" si="70"/>
        <v>6.5271207138638376E-2</v>
      </c>
      <c r="U70" s="1">
        <f t="shared" ca="1" si="71"/>
        <v>150</v>
      </c>
      <c r="V70" s="1">
        <f t="shared" ca="1" si="72"/>
        <v>26</v>
      </c>
      <c r="W70" s="1"/>
      <c r="X70" s="1">
        <f t="shared" ca="1" si="73"/>
        <v>5.2567831594664041</v>
      </c>
      <c r="Y70" s="1">
        <f t="shared" ca="1" si="74"/>
        <v>0.57790830684403394</v>
      </c>
      <c r="Z70" s="1">
        <f t="shared" ca="1" si="75"/>
        <v>348</v>
      </c>
      <c r="AB70" s="1">
        <f t="shared" ca="1" si="76"/>
        <v>0.5759288657154753</v>
      </c>
      <c r="AC70" s="1">
        <f t="shared" ca="1" si="77"/>
        <v>774</v>
      </c>
      <c r="AD70" s="1">
        <f t="shared" ca="1" si="78"/>
        <v>3.8607972794808152E-3</v>
      </c>
      <c r="AE70" s="1"/>
      <c r="AF70" s="1">
        <f t="shared" ca="1" si="79"/>
        <v>0.68298968595072052</v>
      </c>
      <c r="AG70" s="1">
        <f t="shared" ca="1" si="80"/>
        <v>693</v>
      </c>
      <c r="AH70" s="1">
        <f t="shared" ca="1" si="81"/>
        <v>9.1458453280513826E-3</v>
      </c>
      <c r="AJ70" s="1">
        <f t="shared" ca="1" si="82"/>
        <v>0.30442395210181128</v>
      </c>
      <c r="AK70" s="1">
        <f t="shared" ca="1" si="83"/>
        <v>1.034845548670072E-3</v>
      </c>
      <c r="AL70" s="1"/>
      <c r="AM70" s="1">
        <f t="shared" ca="1" si="84"/>
        <v>2.6924023040956792E-2</v>
      </c>
      <c r="AN70" s="1">
        <f t="shared" ca="1" si="85"/>
        <v>10</v>
      </c>
      <c r="AO70" s="1">
        <f t="shared" ca="1" si="86"/>
        <v>9</v>
      </c>
      <c r="AQ70" s="1">
        <f t="shared" ca="1" si="87"/>
        <v>48</v>
      </c>
      <c r="AR70" s="1">
        <f t="shared" ca="1" si="88"/>
        <v>9</v>
      </c>
      <c r="AS70" s="1">
        <f t="shared" ca="1" si="89"/>
        <v>93</v>
      </c>
      <c r="AU70" s="1">
        <f t="shared" ca="1" si="90"/>
        <v>112</v>
      </c>
      <c r="AV70" s="1">
        <f t="shared" ca="1" si="91"/>
        <v>9</v>
      </c>
      <c r="AW70" s="1">
        <f t="shared" ca="1" si="92"/>
        <v>4.3235352138951862E-2</v>
      </c>
      <c r="AY70" s="1">
        <f t="shared" ca="1" si="93"/>
        <v>1.2153954735126127</v>
      </c>
      <c r="AZ70" s="1">
        <f t="shared" ca="1" si="94"/>
        <v>372</v>
      </c>
      <c r="BA70" s="1">
        <f t="shared" ca="1" si="95"/>
        <v>6.9481146680462642E-3</v>
      </c>
      <c r="BV70" s="1">
        <f t="shared" ca="1" si="96"/>
        <v>0.30168503367927552</v>
      </c>
      <c r="BW70" s="1">
        <f t="shared" ca="1" si="97"/>
        <v>790</v>
      </c>
      <c r="BX70" s="1">
        <f t="shared" ca="1" si="98"/>
        <v>9.7000699712246254E-3</v>
      </c>
      <c r="BY70" s="1">
        <f t="shared" ca="1" si="99"/>
        <v>8.751598637389861E-2</v>
      </c>
      <c r="BZ70" s="1">
        <f t="shared" ca="1" si="100"/>
        <v>0.22617382401668906</v>
      </c>
      <c r="CB70" s="1">
        <f t="shared" ca="1" si="101"/>
        <v>397</v>
      </c>
      <c r="CC70" s="1">
        <f t="shared" ca="1" si="102"/>
        <v>13</v>
      </c>
      <c r="CD70" s="1">
        <f t="shared" ca="1" si="103"/>
        <v>0.25538759732043059</v>
      </c>
      <c r="CE70" s="1">
        <f t="shared" ca="1" si="104"/>
        <v>0.85373012307119567</v>
      </c>
      <c r="CF70" s="1">
        <f t="shared" ca="1" si="104"/>
        <v>0.83310777682012438</v>
      </c>
      <c r="CH70" s="3">
        <f t="shared" ca="1" si="105"/>
        <v>0.23232338990217569</v>
      </c>
      <c r="CI70" s="3">
        <f t="shared" ca="1" si="106"/>
        <v>8.1155368674440703E-2</v>
      </c>
      <c r="CJ70" s="3">
        <f t="shared" ca="1" si="107"/>
        <v>1012</v>
      </c>
      <c r="CK70" s="3">
        <f t="shared" ca="1" si="108"/>
        <v>1.7836131954090543E-3</v>
      </c>
      <c r="CL70" s="3">
        <f t="shared" ca="1" si="109"/>
        <v>0</v>
      </c>
      <c r="CM70" s="3"/>
      <c r="CN70" s="1">
        <f t="shared" ca="1" si="110"/>
        <v>12.170972550487964</v>
      </c>
      <c r="CO70" s="1">
        <f t="shared" ca="1" si="111"/>
        <v>4.5077621566118879E-2</v>
      </c>
      <c r="CP70" s="1">
        <f t="shared" ca="1" si="112"/>
        <v>2</v>
      </c>
    </row>
    <row r="71" spans="2:94" x14ac:dyDescent="0.25">
      <c r="B71">
        <f t="shared" ca="1" si="57"/>
        <v>420</v>
      </c>
      <c r="C71">
        <f t="shared" ca="1" si="58"/>
        <v>48</v>
      </c>
      <c r="D71">
        <f t="shared" ca="1" si="59"/>
        <v>0.16445402577217291</v>
      </c>
      <c r="F71" s="1">
        <f t="shared" ca="1" si="60"/>
        <v>44</v>
      </c>
      <c r="G71" s="1">
        <f t="shared" ca="1" si="61"/>
        <v>23</v>
      </c>
      <c r="H71" s="1">
        <f t="shared" ca="1" si="62"/>
        <v>3</v>
      </c>
      <c r="I71" s="1"/>
      <c r="J71" s="1">
        <f t="shared" ca="1" si="63"/>
        <v>33</v>
      </c>
      <c r="K71" s="1">
        <f t="shared" ca="1" si="64"/>
        <v>1.9568724050956876</v>
      </c>
      <c r="L71" s="1">
        <f t="shared" ca="1" si="65"/>
        <v>13</v>
      </c>
      <c r="M71" s="1"/>
      <c r="N71" s="1">
        <f t="shared" ca="1" si="66"/>
        <v>184</v>
      </c>
      <c r="O71" s="1">
        <f t="shared" ca="1" si="67"/>
        <v>12</v>
      </c>
      <c r="P71" s="1"/>
      <c r="Q71" s="1">
        <f t="shared" ca="1" si="68"/>
        <v>3.4661992856146435</v>
      </c>
      <c r="R71" s="1">
        <f t="shared" ca="1" si="69"/>
        <v>1154</v>
      </c>
      <c r="S71" s="1"/>
      <c r="T71" s="1">
        <f t="shared" ca="1" si="70"/>
        <v>0.11866789690504223</v>
      </c>
      <c r="U71" s="1">
        <f t="shared" ca="1" si="71"/>
        <v>171</v>
      </c>
      <c r="V71" s="1">
        <f t="shared" ca="1" si="72"/>
        <v>52</v>
      </c>
      <c r="W71" s="1"/>
      <c r="X71" s="1">
        <f t="shared" ca="1" si="73"/>
        <v>3.5227669541522415</v>
      </c>
      <c r="Y71" s="1">
        <f t="shared" ca="1" si="74"/>
        <v>0.7962023406323081</v>
      </c>
      <c r="Z71" s="1">
        <f t="shared" ca="1" si="75"/>
        <v>1371</v>
      </c>
      <c r="AB71" s="1">
        <f t="shared" ca="1" si="76"/>
        <v>0.13331137215878444</v>
      </c>
      <c r="AC71" s="1">
        <f t="shared" ca="1" si="77"/>
        <v>589</v>
      </c>
      <c r="AD71" s="1">
        <f t="shared" ca="1" si="78"/>
        <v>1.7117067870256273E-3</v>
      </c>
      <c r="AE71" s="1"/>
      <c r="AF71" s="1">
        <f t="shared" ca="1" si="79"/>
        <v>0.23794332775533605</v>
      </c>
      <c r="AG71" s="1">
        <f t="shared" ca="1" si="80"/>
        <v>986</v>
      </c>
      <c r="AH71" s="1">
        <f t="shared" ca="1" si="81"/>
        <v>9.7493856334671721E-3</v>
      </c>
      <c r="AJ71" s="1">
        <f t="shared" ca="1" si="82"/>
        <v>0.93096808749855176</v>
      </c>
      <c r="AK71" s="1">
        <f t="shared" ca="1" si="83"/>
        <v>5.7904116758719952E-3</v>
      </c>
      <c r="AL71" s="1"/>
      <c r="AM71" s="1">
        <f t="shared" ca="1" si="84"/>
        <v>7.4444549940414953E-2</v>
      </c>
      <c r="AN71" s="1">
        <f t="shared" ca="1" si="85"/>
        <v>13</v>
      </c>
      <c r="AO71" s="1">
        <f t="shared" ca="1" si="86"/>
        <v>13</v>
      </c>
      <c r="AQ71" s="1">
        <f t="shared" ca="1" si="87"/>
        <v>168</v>
      </c>
      <c r="AR71" s="1">
        <f t="shared" ca="1" si="88"/>
        <v>7</v>
      </c>
      <c r="AS71" s="1">
        <f t="shared" ca="1" si="89"/>
        <v>92</v>
      </c>
      <c r="AU71" s="1">
        <f t="shared" ca="1" si="90"/>
        <v>145</v>
      </c>
      <c r="AV71" s="1">
        <f t="shared" ca="1" si="91"/>
        <v>7</v>
      </c>
      <c r="AW71" s="1">
        <f t="shared" ca="1" si="92"/>
        <v>4.7301651722572655E-2</v>
      </c>
      <c r="AY71" s="1">
        <f t="shared" ca="1" si="93"/>
        <v>1.5604830430745236</v>
      </c>
      <c r="AZ71" s="1">
        <f t="shared" ca="1" si="94"/>
        <v>481</v>
      </c>
      <c r="BA71" s="1">
        <f t="shared" ca="1" si="95"/>
        <v>5.4464560077449519E-3</v>
      </c>
      <c r="BV71" s="1">
        <f t="shared" ca="1" si="96"/>
        <v>0.39254557342251101</v>
      </c>
      <c r="BW71" s="1">
        <f t="shared" ca="1" si="97"/>
        <v>902</v>
      </c>
      <c r="BX71" s="1">
        <f t="shared" ca="1" si="98"/>
        <v>3.1759660390285327E-3</v>
      </c>
      <c r="BY71" s="1">
        <f t="shared" ca="1" si="99"/>
        <v>1.4321619896294298E-2</v>
      </c>
      <c r="BZ71" s="1">
        <f t="shared" ca="1" si="100"/>
        <v>0.61922671136609131</v>
      </c>
      <c r="CB71" s="1">
        <f t="shared" ca="1" si="101"/>
        <v>175</v>
      </c>
      <c r="CC71" s="1">
        <f t="shared" ca="1" si="102"/>
        <v>12</v>
      </c>
      <c r="CD71" s="1">
        <f t="shared" ca="1" si="103"/>
        <v>0.21565268710054239</v>
      </c>
      <c r="CE71" s="1">
        <f t="shared" ca="1" si="104"/>
        <v>0.76277106755864788</v>
      </c>
      <c r="CF71" s="1">
        <f t="shared" ca="1" si="104"/>
        <v>0.52996006443922394</v>
      </c>
      <c r="CH71" s="3">
        <f t="shared" ca="1" si="105"/>
        <v>0.8983391778105162</v>
      </c>
      <c r="CI71" s="3">
        <f t="shared" ca="1" si="106"/>
        <v>0.22308812315179641</v>
      </c>
      <c r="CJ71" s="3">
        <f t="shared" ca="1" si="107"/>
        <v>1798</v>
      </c>
      <c r="CK71" s="3">
        <f t="shared" ca="1" si="108"/>
        <v>2.1097938888662215E-3</v>
      </c>
      <c r="CL71" s="3">
        <f t="shared" ca="1" si="109"/>
        <v>1</v>
      </c>
      <c r="CM71" s="3"/>
      <c r="CN71" s="1">
        <f t="shared" ca="1" si="110"/>
        <v>12.080978671215393</v>
      </c>
      <c r="CO71" s="1">
        <f t="shared" ca="1" si="111"/>
        <v>0.37847042078161502</v>
      </c>
      <c r="CP71" s="1">
        <f t="shared" ca="1" si="112"/>
        <v>5</v>
      </c>
    </row>
    <row r="72" spans="2:94" x14ac:dyDescent="0.25">
      <c r="B72">
        <f t="shared" ca="1" si="57"/>
        <v>111</v>
      </c>
      <c r="C72">
        <f t="shared" ca="1" si="58"/>
        <v>17</v>
      </c>
      <c r="D72">
        <f t="shared" ca="1" si="59"/>
        <v>0.21563547920957982</v>
      </c>
      <c r="F72" s="1">
        <f t="shared" ca="1" si="60"/>
        <v>51</v>
      </c>
      <c r="G72" s="1">
        <f t="shared" ca="1" si="61"/>
        <v>10</v>
      </c>
      <c r="H72" s="1">
        <f t="shared" ca="1" si="62"/>
        <v>11</v>
      </c>
      <c r="I72" s="1"/>
      <c r="J72" s="1">
        <f t="shared" ca="1" si="63"/>
        <v>7</v>
      </c>
      <c r="K72" s="1">
        <f t="shared" ca="1" si="64"/>
        <v>2.6863966297587965</v>
      </c>
      <c r="L72" s="1">
        <f t="shared" ca="1" si="65"/>
        <v>10</v>
      </c>
      <c r="M72" s="1"/>
      <c r="N72" s="1">
        <f t="shared" ca="1" si="66"/>
        <v>459</v>
      </c>
      <c r="O72" s="1">
        <f t="shared" ca="1" si="67"/>
        <v>15</v>
      </c>
      <c r="P72" s="1"/>
      <c r="Q72" s="1">
        <f t="shared" ca="1" si="68"/>
        <v>4.9942514122354842</v>
      </c>
      <c r="R72" s="1">
        <f t="shared" ca="1" si="69"/>
        <v>1044</v>
      </c>
      <c r="S72" s="1"/>
      <c r="T72" s="1">
        <f t="shared" ca="1" si="70"/>
        <v>0.19471396968581789</v>
      </c>
      <c r="U72" s="1">
        <f t="shared" ca="1" si="71"/>
        <v>393</v>
      </c>
      <c r="V72" s="1">
        <f t="shared" ca="1" si="72"/>
        <v>43</v>
      </c>
      <c r="W72" s="1"/>
      <c r="X72" s="1">
        <f t="shared" ca="1" si="73"/>
        <v>0.59039972644587846</v>
      </c>
      <c r="Y72" s="1">
        <f t="shared" ca="1" si="74"/>
        <v>9.778096936935611E-2</v>
      </c>
      <c r="Z72" s="1">
        <f t="shared" ca="1" si="75"/>
        <v>1769</v>
      </c>
      <c r="AB72" s="1">
        <f t="shared" ca="1" si="76"/>
        <v>0.25770788823180002</v>
      </c>
      <c r="AC72" s="1">
        <f t="shared" ca="1" si="77"/>
        <v>450</v>
      </c>
      <c r="AD72" s="1">
        <f t="shared" ca="1" si="78"/>
        <v>7.9796729244097121E-3</v>
      </c>
      <c r="AE72" s="1"/>
      <c r="AF72" s="1">
        <f t="shared" ca="1" si="79"/>
        <v>0.33314804757291699</v>
      </c>
      <c r="AG72" s="1">
        <f t="shared" ca="1" si="80"/>
        <v>533</v>
      </c>
      <c r="AH72" s="1">
        <f t="shared" ca="1" si="81"/>
        <v>2.8267805993194726E-3</v>
      </c>
      <c r="AJ72" s="1">
        <f t="shared" ca="1" si="82"/>
        <v>6.9356233256305466E-2</v>
      </c>
      <c r="AK72" s="1">
        <f t="shared" ca="1" si="83"/>
        <v>4.6004731743933139E-3</v>
      </c>
      <c r="AL72" s="1"/>
      <c r="AM72" s="1">
        <f t="shared" ca="1" si="84"/>
        <v>0.14390239120606174</v>
      </c>
      <c r="AN72" s="1">
        <f t="shared" ca="1" si="85"/>
        <v>45</v>
      </c>
      <c r="AO72" s="1">
        <f t="shared" ca="1" si="86"/>
        <v>17</v>
      </c>
      <c r="AQ72" s="1">
        <f t="shared" ca="1" si="87"/>
        <v>175</v>
      </c>
      <c r="AR72" s="1">
        <f t="shared" ca="1" si="88"/>
        <v>2</v>
      </c>
      <c r="AS72" s="1">
        <f t="shared" ca="1" si="89"/>
        <v>92</v>
      </c>
      <c r="AU72" s="1">
        <f t="shared" ca="1" si="90"/>
        <v>341</v>
      </c>
      <c r="AV72" s="1">
        <f t="shared" ca="1" si="91"/>
        <v>9</v>
      </c>
      <c r="AW72" s="1">
        <f t="shared" ca="1" si="92"/>
        <v>3.2214858917541639E-2</v>
      </c>
      <c r="AY72" s="1">
        <f t="shared" ca="1" si="93"/>
        <v>1.4141154546732106</v>
      </c>
      <c r="AZ72" s="1">
        <f t="shared" ca="1" si="94"/>
        <v>387</v>
      </c>
      <c r="BA72" s="1">
        <f t="shared" ca="1" si="95"/>
        <v>4.8702525854034838E-3</v>
      </c>
      <c r="BV72" s="1">
        <f t="shared" ca="1" si="96"/>
        <v>0.64016674437525112</v>
      </c>
      <c r="BW72" s="1">
        <f t="shared" ca="1" si="97"/>
        <v>778</v>
      </c>
      <c r="BX72" s="1">
        <f t="shared" ca="1" si="98"/>
        <v>3.6480730641242241E-3</v>
      </c>
      <c r="BY72" s="1">
        <f t="shared" ca="1" si="99"/>
        <v>4.5804363465998546E-2</v>
      </c>
      <c r="BZ72" s="1">
        <f t="shared" ca="1" si="100"/>
        <v>0.93677541093473959</v>
      </c>
      <c r="CB72" s="1">
        <f t="shared" ca="1" si="101"/>
        <v>345</v>
      </c>
      <c r="CC72" s="1">
        <f t="shared" ca="1" si="102"/>
        <v>4</v>
      </c>
      <c r="CD72" s="1">
        <f t="shared" ca="1" si="103"/>
        <v>0.13843151308857754</v>
      </c>
      <c r="CE72" s="1">
        <f t="shared" ca="1" si="104"/>
        <v>0.97894835063199803</v>
      </c>
      <c r="CF72" s="1">
        <f t="shared" ca="1" si="104"/>
        <v>0.54352316568516645</v>
      </c>
      <c r="CH72" s="3">
        <f t="shared" ca="1" si="105"/>
        <v>0.69136579311717283</v>
      </c>
      <c r="CI72" s="3">
        <f t="shared" ca="1" si="106"/>
        <v>0.53901445752436639</v>
      </c>
      <c r="CJ72" s="3">
        <f t="shared" ca="1" si="107"/>
        <v>931</v>
      </c>
      <c r="CK72" s="3">
        <f t="shared" ca="1" si="108"/>
        <v>3.673241907748257E-3</v>
      </c>
      <c r="CL72" s="3">
        <f t="shared" ca="1" si="109"/>
        <v>0</v>
      </c>
      <c r="CM72" s="3"/>
      <c r="CN72" s="1">
        <f t="shared" ca="1" si="110"/>
        <v>2.2974079022160714</v>
      </c>
      <c r="CO72" s="1">
        <f t="shared" ca="1" si="111"/>
        <v>0.35260626529717837</v>
      </c>
      <c r="CP72" s="1">
        <f t="shared" ca="1" si="112"/>
        <v>2</v>
      </c>
    </row>
    <row r="73" spans="2:94" x14ac:dyDescent="0.25">
      <c r="B73">
        <f t="shared" ca="1" si="57"/>
        <v>554</v>
      </c>
      <c r="C73">
        <f t="shared" ca="1" si="58"/>
        <v>10</v>
      </c>
      <c r="D73">
        <f t="shared" ca="1" si="59"/>
        <v>0.19922887580709328</v>
      </c>
      <c r="F73" s="1">
        <f t="shared" ca="1" si="60"/>
        <v>24</v>
      </c>
      <c r="G73" s="1">
        <f t="shared" ca="1" si="61"/>
        <v>28</v>
      </c>
      <c r="H73" s="1">
        <f t="shared" ca="1" si="62"/>
        <v>7</v>
      </c>
      <c r="I73" s="1"/>
      <c r="J73" s="1">
        <f t="shared" ca="1" si="63"/>
        <v>28</v>
      </c>
      <c r="K73" s="1">
        <f t="shared" ca="1" si="64"/>
        <v>2.4152744502180425</v>
      </c>
      <c r="L73" s="1">
        <f t="shared" ca="1" si="65"/>
        <v>19</v>
      </c>
      <c r="M73" s="1"/>
      <c r="N73" s="1">
        <f t="shared" ca="1" si="66"/>
        <v>975</v>
      </c>
      <c r="O73" s="1">
        <f t="shared" ca="1" si="67"/>
        <v>2</v>
      </c>
      <c r="P73" s="1"/>
      <c r="Q73" s="1">
        <f t="shared" ca="1" si="68"/>
        <v>2.7447005851926032</v>
      </c>
      <c r="R73" s="1">
        <f t="shared" ca="1" si="69"/>
        <v>969</v>
      </c>
      <c r="S73" s="1"/>
      <c r="T73" s="1">
        <f t="shared" ca="1" si="70"/>
        <v>0.19187084438520846</v>
      </c>
      <c r="U73" s="1">
        <f t="shared" ca="1" si="71"/>
        <v>271</v>
      </c>
      <c r="V73" s="1">
        <f t="shared" ca="1" si="72"/>
        <v>47</v>
      </c>
      <c r="W73" s="1"/>
      <c r="X73" s="1">
        <f t="shared" ca="1" si="73"/>
        <v>6.4047570445686102</v>
      </c>
      <c r="Y73" s="1">
        <f t="shared" ca="1" si="74"/>
        <v>0.38524040026148187</v>
      </c>
      <c r="Z73" s="1">
        <f t="shared" ca="1" si="75"/>
        <v>911</v>
      </c>
      <c r="AB73" s="1">
        <f t="shared" ca="1" si="76"/>
        <v>0.28513820239860033</v>
      </c>
      <c r="AC73" s="1">
        <f t="shared" ca="1" si="77"/>
        <v>512</v>
      </c>
      <c r="AD73" s="1">
        <f t="shared" ca="1" si="78"/>
        <v>2.6242697064546949E-3</v>
      </c>
      <c r="AE73" s="1"/>
      <c r="AF73" s="1">
        <f t="shared" ca="1" si="79"/>
        <v>0.78254424860029581</v>
      </c>
      <c r="AG73" s="1">
        <f t="shared" ca="1" si="80"/>
        <v>826</v>
      </c>
      <c r="AH73" s="1">
        <f t="shared" ca="1" si="81"/>
        <v>7.1444502576656277E-3</v>
      </c>
      <c r="AJ73" s="1">
        <f t="shared" ca="1" si="82"/>
        <v>0.81402624028435333</v>
      </c>
      <c r="AK73" s="1">
        <f t="shared" ca="1" si="83"/>
        <v>8.7683979946741909E-3</v>
      </c>
      <c r="AL73" s="1"/>
      <c r="AM73" s="1">
        <f t="shared" ca="1" si="84"/>
        <v>0.10959511868606858</v>
      </c>
      <c r="AN73" s="1">
        <f t="shared" ca="1" si="85"/>
        <v>37</v>
      </c>
      <c r="AO73" s="1">
        <f t="shared" ca="1" si="86"/>
        <v>20</v>
      </c>
      <c r="AQ73" s="1">
        <f t="shared" ca="1" si="87"/>
        <v>165</v>
      </c>
      <c r="AR73" s="1">
        <f t="shared" ca="1" si="88"/>
        <v>6</v>
      </c>
      <c r="AS73" s="1">
        <f t="shared" ca="1" si="89"/>
        <v>29</v>
      </c>
      <c r="AU73" s="1">
        <f t="shared" ca="1" si="90"/>
        <v>204</v>
      </c>
      <c r="AV73" s="1">
        <f t="shared" ca="1" si="91"/>
        <v>3</v>
      </c>
      <c r="AW73" s="1">
        <f t="shared" ca="1" si="92"/>
        <v>7.5963759471113224E-2</v>
      </c>
      <c r="AY73" s="1">
        <f t="shared" ca="1" si="93"/>
        <v>1.2172081980240232</v>
      </c>
      <c r="AZ73" s="1">
        <f t="shared" ca="1" si="94"/>
        <v>66</v>
      </c>
      <c r="BA73" s="1">
        <f t="shared" ca="1" si="95"/>
        <v>8.7518602634963534E-3</v>
      </c>
      <c r="BV73" s="1">
        <f t="shared" ca="1" si="96"/>
        <v>4.5404782516705981E-2</v>
      </c>
      <c r="BW73" s="1">
        <f t="shared" ca="1" si="97"/>
        <v>387</v>
      </c>
      <c r="BX73" s="1">
        <f t="shared" ca="1" si="98"/>
        <v>1.4706912038275177E-3</v>
      </c>
      <c r="BY73" s="1">
        <f t="shared" ca="1" si="99"/>
        <v>3.7230559839566947E-2</v>
      </c>
      <c r="BZ73" s="1">
        <f t="shared" ca="1" si="100"/>
        <v>0.10480403282616224</v>
      </c>
      <c r="CB73" s="1">
        <f t="shared" ca="1" si="101"/>
        <v>88</v>
      </c>
      <c r="CC73" s="1">
        <f t="shared" ca="1" si="102"/>
        <v>5</v>
      </c>
      <c r="CD73" s="1">
        <f t="shared" ca="1" si="103"/>
        <v>0.21767585635544476</v>
      </c>
      <c r="CE73" s="1">
        <f t="shared" ca="1" si="104"/>
        <v>0.8361539327400378</v>
      </c>
      <c r="CF73" s="1">
        <f t="shared" ca="1" si="104"/>
        <v>0.71620574099426459</v>
      </c>
      <c r="CH73" s="3">
        <f t="shared" ca="1" si="105"/>
        <v>0.77249436806379135</v>
      </c>
      <c r="CI73" s="3">
        <f t="shared" ca="1" si="106"/>
        <v>0.38422583899816021</v>
      </c>
      <c r="CJ73" s="3">
        <f t="shared" ca="1" si="107"/>
        <v>967</v>
      </c>
      <c r="CK73" s="3">
        <f t="shared" ca="1" si="108"/>
        <v>2.7867057589552905E-3</v>
      </c>
      <c r="CL73" s="3">
        <f t="shared" ca="1" si="109"/>
        <v>1</v>
      </c>
      <c r="CM73" s="3"/>
      <c r="CN73" s="1">
        <f t="shared" ca="1" si="110"/>
        <v>15.421901133688245</v>
      </c>
      <c r="CO73" s="1">
        <f t="shared" ca="1" si="111"/>
        <v>0.49731725551290601</v>
      </c>
      <c r="CP73" s="1">
        <f t="shared" ca="1" si="112"/>
        <v>4</v>
      </c>
    </row>
    <row r="74" spans="2:94" x14ac:dyDescent="0.25">
      <c r="B74">
        <f t="shared" ca="1" si="57"/>
        <v>598</v>
      </c>
      <c r="C74">
        <f t="shared" ca="1" si="58"/>
        <v>32</v>
      </c>
      <c r="D74">
        <f t="shared" ca="1" si="59"/>
        <v>0.1973118123502848</v>
      </c>
      <c r="F74" s="1">
        <f t="shared" ca="1" si="60"/>
        <v>18</v>
      </c>
      <c r="G74" s="1">
        <f t="shared" ca="1" si="61"/>
        <v>7</v>
      </c>
      <c r="H74" s="1">
        <f t="shared" ca="1" si="62"/>
        <v>8</v>
      </c>
      <c r="I74" s="1"/>
      <c r="J74" s="1">
        <f t="shared" ca="1" si="63"/>
        <v>33</v>
      </c>
      <c r="K74" s="1">
        <f t="shared" ca="1" si="64"/>
        <v>1.9693439780343593</v>
      </c>
      <c r="L74" s="1">
        <f t="shared" ca="1" si="65"/>
        <v>31</v>
      </c>
      <c r="M74" s="1"/>
      <c r="N74" s="1">
        <f t="shared" ca="1" si="66"/>
        <v>600</v>
      </c>
      <c r="O74" s="1">
        <f t="shared" ca="1" si="67"/>
        <v>29</v>
      </c>
      <c r="P74" s="1"/>
      <c r="Q74" s="1">
        <f t="shared" ca="1" si="68"/>
        <v>4.5778508438540646</v>
      </c>
      <c r="R74" s="1">
        <f t="shared" ca="1" si="69"/>
        <v>893</v>
      </c>
      <c r="S74" s="1"/>
      <c r="T74" s="1">
        <f t="shared" ca="1" si="70"/>
        <v>2.5776732107965994E-2</v>
      </c>
      <c r="U74" s="1">
        <f t="shared" ca="1" si="71"/>
        <v>380</v>
      </c>
      <c r="V74" s="1">
        <f t="shared" ca="1" si="72"/>
        <v>42</v>
      </c>
      <c r="W74" s="1"/>
      <c r="X74" s="1">
        <f t="shared" ca="1" si="73"/>
        <v>5.0279262557227984</v>
      </c>
      <c r="Y74" s="1">
        <f t="shared" ca="1" si="74"/>
        <v>0.48951080124225033</v>
      </c>
      <c r="Z74" s="1">
        <f t="shared" ca="1" si="75"/>
        <v>1578</v>
      </c>
      <c r="AB74" s="1">
        <f t="shared" ca="1" si="76"/>
        <v>0.78397028760348186</v>
      </c>
      <c r="AC74" s="1">
        <f t="shared" ca="1" si="77"/>
        <v>788</v>
      </c>
      <c r="AD74" s="1">
        <f t="shared" ca="1" si="78"/>
        <v>6.2047824156401081E-3</v>
      </c>
      <c r="AE74" s="1"/>
      <c r="AF74" s="1">
        <f t="shared" ca="1" si="79"/>
        <v>0.64923562737217011</v>
      </c>
      <c r="AG74" s="1">
        <f t="shared" ca="1" si="80"/>
        <v>364</v>
      </c>
      <c r="AH74" s="1">
        <f t="shared" ca="1" si="81"/>
        <v>4.5221864815958163E-3</v>
      </c>
      <c r="AJ74" s="1">
        <f t="shared" ca="1" si="82"/>
        <v>0.53602698332305243</v>
      </c>
      <c r="AK74" s="1">
        <f t="shared" ca="1" si="83"/>
        <v>8.26374943566624E-3</v>
      </c>
      <c r="AL74" s="1"/>
      <c r="AM74" s="1">
        <f t="shared" ca="1" si="84"/>
        <v>0.1609881688244055</v>
      </c>
      <c r="AN74" s="1">
        <f t="shared" ca="1" si="85"/>
        <v>20</v>
      </c>
      <c r="AO74" s="1">
        <f t="shared" ca="1" si="86"/>
        <v>2</v>
      </c>
      <c r="AQ74" s="1">
        <f t="shared" ca="1" si="87"/>
        <v>137</v>
      </c>
      <c r="AR74" s="1">
        <f t="shared" ca="1" si="88"/>
        <v>0</v>
      </c>
      <c r="AS74" s="1">
        <f t="shared" ca="1" si="89"/>
        <v>71</v>
      </c>
      <c r="AU74" s="1">
        <f t="shared" ca="1" si="90"/>
        <v>125</v>
      </c>
      <c r="AV74" s="1">
        <f t="shared" ca="1" si="91"/>
        <v>6</v>
      </c>
      <c r="AW74" s="1">
        <f t="shared" ca="1" si="92"/>
        <v>0.17865393665754425</v>
      </c>
      <c r="AY74" s="1">
        <f t="shared" ca="1" si="93"/>
        <v>1.1435586449467181</v>
      </c>
      <c r="AZ74" s="1">
        <f t="shared" ca="1" si="94"/>
        <v>200</v>
      </c>
      <c r="BA74" s="1">
        <f t="shared" ca="1" si="95"/>
        <v>1.8010634068798671E-3</v>
      </c>
      <c r="BV74" s="1">
        <f t="shared" ca="1" si="96"/>
        <v>0.74252632647468553</v>
      </c>
      <c r="BW74" s="1">
        <f t="shared" ca="1" si="97"/>
        <v>181</v>
      </c>
      <c r="BX74" s="1">
        <f t="shared" ca="1" si="98"/>
        <v>8.331189548534847E-3</v>
      </c>
      <c r="BY74" s="1">
        <f t="shared" ca="1" si="99"/>
        <v>6.221726549181375E-2</v>
      </c>
      <c r="BZ74" s="1">
        <f t="shared" ca="1" si="100"/>
        <v>5.9027393744085499E-3</v>
      </c>
      <c r="CB74" s="1">
        <f t="shared" ca="1" si="101"/>
        <v>456</v>
      </c>
      <c r="CC74" s="1">
        <f t="shared" ca="1" si="102"/>
        <v>14</v>
      </c>
      <c r="CD74" s="1">
        <f t="shared" ca="1" si="103"/>
        <v>0.2425370010298003</v>
      </c>
      <c r="CE74" s="1">
        <f t="shared" ca="1" si="104"/>
        <v>0.84257053140681704</v>
      </c>
      <c r="CF74" s="1">
        <f t="shared" ca="1" si="104"/>
        <v>0.91418343930810653</v>
      </c>
      <c r="CH74" s="3">
        <f t="shared" ca="1" si="105"/>
        <v>0.72485129715071961</v>
      </c>
      <c r="CI74" s="3">
        <f t="shared" ca="1" si="106"/>
        <v>3.4199288650905782E-2</v>
      </c>
      <c r="CJ74" s="3">
        <f t="shared" ca="1" si="107"/>
        <v>1887</v>
      </c>
      <c r="CK74" s="3">
        <f t="shared" ca="1" si="108"/>
        <v>1.6446457171657967E-3</v>
      </c>
      <c r="CL74" s="3">
        <f t="shared" ca="1" si="109"/>
        <v>1</v>
      </c>
      <c r="CM74" s="3"/>
      <c r="CN74" s="1">
        <f t="shared" ca="1" si="110"/>
        <v>11.385796849061016</v>
      </c>
      <c r="CO74" s="1">
        <f t="shared" ca="1" si="111"/>
        <v>0.33971987268274073</v>
      </c>
      <c r="CP74" s="1">
        <f t="shared" ca="1" si="112"/>
        <v>3</v>
      </c>
    </row>
    <row r="75" spans="2:94" x14ac:dyDescent="0.25">
      <c r="B75">
        <f t="shared" ca="1" si="57"/>
        <v>286</v>
      </c>
      <c r="C75">
        <f t="shared" ca="1" si="58"/>
        <v>5</v>
      </c>
      <c r="D75">
        <f t="shared" ca="1" si="59"/>
        <v>9.936319109190879E-2</v>
      </c>
      <c r="F75" s="1">
        <f t="shared" ca="1" si="60"/>
        <v>4</v>
      </c>
      <c r="G75" s="1">
        <f t="shared" ca="1" si="61"/>
        <v>4</v>
      </c>
      <c r="H75" s="1">
        <f t="shared" ca="1" si="62"/>
        <v>11</v>
      </c>
      <c r="I75" s="1"/>
      <c r="J75" s="1">
        <f t="shared" ca="1" si="63"/>
        <v>31</v>
      </c>
      <c r="K75" s="1">
        <f t="shared" ca="1" si="64"/>
        <v>2.6738119038517567</v>
      </c>
      <c r="L75" s="1">
        <f t="shared" ca="1" si="65"/>
        <v>21</v>
      </c>
      <c r="M75" s="1"/>
      <c r="N75" s="1">
        <f t="shared" ca="1" si="66"/>
        <v>114</v>
      </c>
      <c r="O75" s="1">
        <f t="shared" ca="1" si="67"/>
        <v>11</v>
      </c>
      <c r="P75" s="1"/>
      <c r="Q75" s="1">
        <f t="shared" ca="1" si="68"/>
        <v>4.3441884787452212</v>
      </c>
      <c r="R75" s="1">
        <f t="shared" ca="1" si="69"/>
        <v>285</v>
      </c>
      <c r="S75" s="1"/>
      <c r="T75" s="1">
        <f t="shared" ca="1" si="70"/>
        <v>9.8441543636730092E-2</v>
      </c>
      <c r="U75" s="1">
        <f t="shared" ca="1" si="71"/>
        <v>370</v>
      </c>
      <c r="V75" s="1">
        <f t="shared" ca="1" si="72"/>
        <v>8</v>
      </c>
      <c r="W75" s="1"/>
      <c r="X75" s="1">
        <f t="shared" ca="1" si="73"/>
        <v>2.8599191205452179</v>
      </c>
      <c r="Y75" s="1">
        <f t="shared" ca="1" si="74"/>
        <v>0.77791113834429904</v>
      </c>
      <c r="Z75" s="1">
        <f t="shared" ca="1" si="75"/>
        <v>1665</v>
      </c>
      <c r="AB75" s="1">
        <f t="shared" ca="1" si="76"/>
        <v>1.8641569949695309E-2</v>
      </c>
      <c r="AC75" s="1">
        <f t="shared" ca="1" si="77"/>
        <v>375</v>
      </c>
      <c r="AD75" s="1">
        <f t="shared" ca="1" si="78"/>
        <v>8.6291347229774263E-3</v>
      </c>
      <c r="AE75" s="1"/>
      <c r="AF75" s="1">
        <f t="shared" ca="1" si="79"/>
        <v>0.24476499346497224</v>
      </c>
      <c r="AG75" s="1">
        <f t="shared" ca="1" si="80"/>
        <v>593</v>
      </c>
      <c r="AH75" s="1">
        <f t="shared" ca="1" si="81"/>
        <v>8.8915425916353359E-4</v>
      </c>
      <c r="AJ75" s="1">
        <f t="shared" ca="1" si="82"/>
        <v>0.68903873412003591</v>
      </c>
      <c r="AK75" s="1">
        <f t="shared" ca="1" si="83"/>
        <v>2.4267234215846045E-3</v>
      </c>
      <c r="AL75" s="1"/>
      <c r="AM75" s="1">
        <f t="shared" ca="1" si="84"/>
        <v>0.18497587229902998</v>
      </c>
      <c r="AN75" s="1">
        <f t="shared" ca="1" si="85"/>
        <v>27</v>
      </c>
      <c r="AO75" s="1">
        <f t="shared" ca="1" si="86"/>
        <v>20</v>
      </c>
      <c r="AQ75" s="1">
        <f t="shared" ca="1" si="87"/>
        <v>79</v>
      </c>
      <c r="AR75" s="1">
        <f t="shared" ca="1" si="88"/>
        <v>8</v>
      </c>
      <c r="AS75" s="1">
        <f t="shared" ca="1" si="89"/>
        <v>44</v>
      </c>
      <c r="AU75" s="1">
        <f t="shared" ca="1" si="90"/>
        <v>62</v>
      </c>
      <c r="AV75" s="1">
        <f t="shared" ca="1" si="91"/>
        <v>8</v>
      </c>
      <c r="AW75" s="1">
        <f t="shared" ca="1" si="92"/>
        <v>0.17146740327176738</v>
      </c>
      <c r="AY75" s="1">
        <f t="shared" ca="1" si="93"/>
        <v>1.2759363971826083</v>
      </c>
      <c r="AZ75" s="1">
        <f t="shared" ca="1" si="94"/>
        <v>329</v>
      </c>
      <c r="BA75" s="1">
        <f t="shared" ca="1" si="95"/>
        <v>2.8853039650929137E-3</v>
      </c>
      <c r="BV75" s="1">
        <f t="shared" ca="1" si="96"/>
        <v>0.62827124994495087</v>
      </c>
      <c r="BW75" s="1">
        <f t="shared" ca="1" si="97"/>
        <v>730</v>
      </c>
      <c r="BX75" s="1">
        <f t="shared" ca="1" si="98"/>
        <v>6.9331213437145095E-3</v>
      </c>
      <c r="BY75" s="1">
        <f t="shared" ca="1" si="99"/>
        <v>7.2986194842513154E-3</v>
      </c>
      <c r="BZ75" s="1">
        <f t="shared" ca="1" si="100"/>
        <v>0.89591552494753024</v>
      </c>
      <c r="CB75" s="1">
        <f t="shared" ca="1" si="101"/>
        <v>254</v>
      </c>
      <c r="CC75" s="1">
        <f t="shared" ca="1" si="102"/>
        <v>14</v>
      </c>
      <c r="CD75" s="1">
        <f t="shared" ca="1" si="103"/>
        <v>9.8629143164323294E-2</v>
      </c>
      <c r="CE75" s="1">
        <f t="shared" ca="1" si="104"/>
        <v>0.7664899460306851</v>
      </c>
      <c r="CF75" s="1">
        <f t="shared" ca="1" si="104"/>
        <v>0.50161145724469947</v>
      </c>
      <c r="CH75" s="3">
        <f t="shared" ca="1" si="105"/>
        <v>0.27674007453716831</v>
      </c>
      <c r="CI75" s="3">
        <f t="shared" ca="1" si="106"/>
        <v>0.70790639780040643</v>
      </c>
      <c r="CJ75" s="3">
        <f t="shared" ca="1" si="107"/>
        <v>1278</v>
      </c>
      <c r="CK75" s="3">
        <f t="shared" ca="1" si="108"/>
        <v>1.2169302835664927E-4</v>
      </c>
      <c r="CL75" s="3">
        <f t="shared" ca="1" si="109"/>
        <v>0</v>
      </c>
      <c r="CM75" s="3"/>
      <c r="CN75" s="1">
        <f t="shared" ca="1" si="110"/>
        <v>13.214414280110113</v>
      </c>
      <c r="CO75" s="1">
        <f t="shared" ca="1" si="111"/>
        <v>0.42647629311001611</v>
      </c>
      <c r="CP75" s="1">
        <f t="shared" ca="1" si="112"/>
        <v>3</v>
      </c>
    </row>
    <row r="76" spans="2:94" x14ac:dyDescent="0.25">
      <c r="B76">
        <f t="shared" ca="1" si="57"/>
        <v>944</v>
      </c>
      <c r="C76">
        <f t="shared" ca="1" si="58"/>
        <v>41</v>
      </c>
      <c r="D76">
        <f t="shared" ca="1" si="59"/>
        <v>0.19746938098629091</v>
      </c>
      <c r="F76" s="1">
        <f t="shared" ca="1" si="60"/>
        <v>18</v>
      </c>
      <c r="G76" s="1">
        <f t="shared" ca="1" si="61"/>
        <v>2</v>
      </c>
      <c r="H76" s="1">
        <f t="shared" ca="1" si="62"/>
        <v>2</v>
      </c>
      <c r="I76" s="1"/>
      <c r="J76" s="1">
        <f t="shared" ca="1" si="63"/>
        <v>36</v>
      </c>
      <c r="K76" s="1">
        <f t="shared" ca="1" si="64"/>
        <v>1.4673363025284119</v>
      </c>
      <c r="L76" s="1">
        <f t="shared" ca="1" si="65"/>
        <v>27</v>
      </c>
      <c r="M76" s="1"/>
      <c r="N76" s="1">
        <f t="shared" ca="1" si="66"/>
        <v>976</v>
      </c>
      <c r="O76" s="1">
        <f t="shared" ca="1" si="67"/>
        <v>10</v>
      </c>
      <c r="P76" s="1"/>
      <c r="Q76" s="1">
        <f t="shared" ca="1" si="68"/>
        <v>1.0255247326112591</v>
      </c>
      <c r="R76" s="1">
        <f t="shared" ca="1" si="69"/>
        <v>508</v>
      </c>
      <c r="S76" s="1"/>
      <c r="T76" s="1">
        <f t="shared" ca="1" si="70"/>
        <v>3.4483201539965404E-2</v>
      </c>
      <c r="U76" s="1">
        <f t="shared" ca="1" si="71"/>
        <v>431</v>
      </c>
      <c r="V76" s="1">
        <f t="shared" ca="1" si="72"/>
        <v>25</v>
      </c>
      <c r="W76" s="1"/>
      <c r="X76" s="1">
        <f t="shared" ca="1" si="73"/>
        <v>5.0078703294479334</v>
      </c>
      <c r="Y76" s="1">
        <f t="shared" ca="1" si="74"/>
        <v>0.92723790459487632</v>
      </c>
      <c r="Z76" s="1">
        <f t="shared" ca="1" si="75"/>
        <v>1446</v>
      </c>
      <c r="AB76" s="1">
        <f t="shared" ca="1" si="76"/>
        <v>0.88284103316642371</v>
      </c>
      <c r="AC76" s="1">
        <f t="shared" ca="1" si="77"/>
        <v>638</v>
      </c>
      <c r="AD76" s="1">
        <f t="shared" ca="1" si="78"/>
        <v>3.2182936058411278E-3</v>
      </c>
      <c r="AE76" s="1"/>
      <c r="AF76" s="1">
        <f t="shared" ca="1" si="79"/>
        <v>0.61232269185352328</v>
      </c>
      <c r="AG76" s="1">
        <f t="shared" ca="1" si="80"/>
        <v>481</v>
      </c>
      <c r="AH76" s="1">
        <f t="shared" ca="1" si="81"/>
        <v>2.2633747691828744E-3</v>
      </c>
      <c r="AJ76" s="1">
        <f t="shared" ca="1" si="82"/>
        <v>1.7302955121588748E-2</v>
      </c>
      <c r="AK76" s="1">
        <f t="shared" ca="1" si="83"/>
        <v>1.6064260981084341E-3</v>
      </c>
      <c r="AL76" s="1"/>
      <c r="AM76" s="1">
        <f t="shared" ca="1" si="84"/>
        <v>3.0593683859123137E-2</v>
      </c>
      <c r="AN76" s="1">
        <f t="shared" ca="1" si="85"/>
        <v>42</v>
      </c>
      <c r="AO76" s="1">
        <f t="shared" ca="1" si="86"/>
        <v>3</v>
      </c>
      <c r="AQ76" s="1">
        <f t="shared" ca="1" si="87"/>
        <v>146</v>
      </c>
      <c r="AR76" s="1">
        <f t="shared" ca="1" si="88"/>
        <v>0</v>
      </c>
      <c r="AS76" s="1">
        <f t="shared" ca="1" si="89"/>
        <v>77</v>
      </c>
      <c r="AU76" s="1">
        <f t="shared" ca="1" si="90"/>
        <v>364</v>
      </c>
      <c r="AV76" s="1">
        <f t="shared" ca="1" si="91"/>
        <v>10</v>
      </c>
      <c r="AW76" s="1">
        <f t="shared" ca="1" si="92"/>
        <v>0.11374800442692536</v>
      </c>
      <c r="AY76" s="1">
        <f t="shared" ca="1" si="93"/>
        <v>1.7662876389508524</v>
      </c>
      <c r="AZ76" s="1">
        <f t="shared" ca="1" si="94"/>
        <v>119</v>
      </c>
      <c r="BA76" s="1">
        <f t="shared" ca="1" si="95"/>
        <v>1.9943937014079869E-3</v>
      </c>
      <c r="BV76" s="1">
        <f t="shared" ca="1" si="96"/>
        <v>0.38795732883430384</v>
      </c>
      <c r="BW76" s="1">
        <f t="shared" ca="1" si="97"/>
        <v>629</v>
      </c>
      <c r="BX76" s="1">
        <f t="shared" ca="1" si="98"/>
        <v>2.3405370941991855E-3</v>
      </c>
      <c r="BY76" s="1">
        <f t="shared" ca="1" si="99"/>
        <v>1.7712284732995631E-2</v>
      </c>
      <c r="BZ76" s="1">
        <f t="shared" ca="1" si="100"/>
        <v>0.67178413333526843</v>
      </c>
      <c r="CB76" s="1">
        <f t="shared" ca="1" si="101"/>
        <v>497</v>
      </c>
      <c r="CC76" s="1">
        <f t="shared" ca="1" si="102"/>
        <v>10</v>
      </c>
      <c r="CD76" s="1">
        <f t="shared" ca="1" si="103"/>
        <v>3.2330868302019124E-2</v>
      </c>
      <c r="CE76" s="1">
        <f t="shared" ca="1" si="104"/>
        <v>0.97965897380441558</v>
      </c>
      <c r="CF76" s="1">
        <f t="shared" ca="1" si="104"/>
        <v>0.99654652109825403</v>
      </c>
      <c r="CH76" s="3">
        <f t="shared" ca="1" si="105"/>
        <v>0.17763479883898198</v>
      </c>
      <c r="CI76" s="3">
        <f t="shared" ca="1" si="106"/>
        <v>0.49218062950513869</v>
      </c>
      <c r="CJ76" s="3">
        <f t="shared" ca="1" si="107"/>
        <v>729</v>
      </c>
      <c r="CK76" s="3">
        <f t="shared" ca="1" si="108"/>
        <v>6.5448296216542761E-3</v>
      </c>
      <c r="CL76" s="3">
        <f t="shared" ca="1" si="109"/>
        <v>1</v>
      </c>
      <c r="CM76" s="3"/>
      <c r="CN76" s="1">
        <f t="shared" ca="1" si="110"/>
        <v>14.588051781392364</v>
      </c>
      <c r="CO76" s="1">
        <f t="shared" ca="1" si="111"/>
        <v>0.36927042063864696</v>
      </c>
      <c r="CP76" s="1">
        <f t="shared" ca="1" si="112"/>
        <v>2</v>
      </c>
    </row>
    <row r="77" spans="2:94" x14ac:dyDescent="0.25">
      <c r="B77">
        <f t="shared" ca="1" si="57"/>
        <v>433</v>
      </c>
      <c r="C77">
        <f t="shared" ca="1" si="58"/>
        <v>44</v>
      </c>
      <c r="D77">
        <f t="shared" ca="1" si="59"/>
        <v>2.062082520475941E-2</v>
      </c>
      <c r="F77" s="1">
        <f t="shared" ca="1" si="60"/>
        <v>3</v>
      </c>
      <c r="G77" s="1">
        <f t="shared" ca="1" si="61"/>
        <v>27</v>
      </c>
      <c r="H77" s="1">
        <f t="shared" ca="1" si="62"/>
        <v>8</v>
      </c>
      <c r="I77" s="1"/>
      <c r="J77" s="1">
        <f t="shared" ca="1" si="63"/>
        <v>30</v>
      </c>
      <c r="K77" s="1">
        <f t="shared" ca="1" si="64"/>
        <v>2.5543572183505772</v>
      </c>
      <c r="L77" s="1">
        <f t="shared" ca="1" si="65"/>
        <v>10</v>
      </c>
      <c r="M77" s="1"/>
      <c r="N77" s="1">
        <f t="shared" ca="1" si="66"/>
        <v>176</v>
      </c>
      <c r="O77" s="1">
        <f t="shared" ca="1" si="67"/>
        <v>14</v>
      </c>
      <c r="P77" s="1"/>
      <c r="Q77" s="1">
        <f t="shared" ca="1" si="68"/>
        <v>1.0815722165380708</v>
      </c>
      <c r="R77" s="1">
        <f t="shared" ca="1" si="69"/>
        <v>806</v>
      </c>
      <c r="S77" s="1"/>
      <c r="T77" s="1">
        <f t="shared" ca="1" si="70"/>
        <v>0.18282405614754557</v>
      </c>
      <c r="U77" s="1">
        <f t="shared" ca="1" si="71"/>
        <v>399</v>
      </c>
      <c r="V77" s="1">
        <f t="shared" ca="1" si="72"/>
        <v>23</v>
      </c>
      <c r="W77" s="1"/>
      <c r="X77" s="1">
        <f t="shared" ca="1" si="73"/>
        <v>9.9788438720218426</v>
      </c>
      <c r="Y77" s="1">
        <f t="shared" ca="1" si="74"/>
        <v>0.28030582177011121</v>
      </c>
      <c r="Z77" s="1">
        <f t="shared" ca="1" si="75"/>
        <v>1993</v>
      </c>
      <c r="AB77" s="1">
        <f t="shared" ca="1" si="76"/>
        <v>0.76502955328701383</v>
      </c>
      <c r="AC77" s="1">
        <f t="shared" ca="1" si="77"/>
        <v>901</v>
      </c>
      <c r="AD77" s="1">
        <f t="shared" ca="1" si="78"/>
        <v>8.3599380546944442E-3</v>
      </c>
      <c r="AE77" s="1"/>
      <c r="AF77" s="1">
        <f t="shared" ca="1" si="79"/>
        <v>0.5635801004398554</v>
      </c>
      <c r="AG77" s="1">
        <f t="shared" ca="1" si="80"/>
        <v>175</v>
      </c>
      <c r="AH77" s="1">
        <f t="shared" ca="1" si="81"/>
        <v>4.2684510794033749E-3</v>
      </c>
      <c r="AJ77" s="1">
        <f t="shared" ca="1" si="82"/>
        <v>0.67105845823567922</v>
      </c>
      <c r="AK77" s="1">
        <f t="shared" ca="1" si="83"/>
        <v>9.4408012367836504E-3</v>
      </c>
      <c r="AL77" s="1"/>
      <c r="AM77" s="1">
        <f t="shared" ca="1" si="84"/>
        <v>0.10846297638204172</v>
      </c>
      <c r="AN77" s="1">
        <f t="shared" ca="1" si="85"/>
        <v>62</v>
      </c>
      <c r="AO77" s="1">
        <f t="shared" ca="1" si="86"/>
        <v>19</v>
      </c>
      <c r="AQ77" s="1">
        <f t="shared" ca="1" si="87"/>
        <v>19</v>
      </c>
      <c r="AR77" s="1">
        <f t="shared" ca="1" si="88"/>
        <v>2</v>
      </c>
      <c r="AS77" s="1">
        <f t="shared" ca="1" si="89"/>
        <v>20</v>
      </c>
      <c r="AU77" s="1">
        <f t="shared" ca="1" si="90"/>
        <v>306</v>
      </c>
      <c r="AV77" s="1">
        <f t="shared" ca="1" si="91"/>
        <v>8</v>
      </c>
      <c r="AW77" s="1">
        <f t="shared" ca="1" si="92"/>
        <v>0.12421446017763013</v>
      </c>
      <c r="AY77" s="1">
        <f t="shared" ca="1" si="93"/>
        <v>1.2693062915759652</v>
      </c>
      <c r="AZ77" s="1">
        <f t="shared" ca="1" si="94"/>
        <v>492</v>
      </c>
      <c r="BA77" s="1">
        <f t="shared" ca="1" si="95"/>
        <v>1.9981598537765254E-3</v>
      </c>
      <c r="BV77" s="1">
        <f t="shared" ca="1" si="96"/>
        <v>0.59892306161808817</v>
      </c>
      <c r="BW77" s="1">
        <f t="shared" ca="1" si="97"/>
        <v>356</v>
      </c>
      <c r="BX77" s="1">
        <f t="shared" ca="1" si="98"/>
        <v>9.5449935738924161E-4</v>
      </c>
      <c r="BY77" s="1">
        <f t="shared" ca="1" si="99"/>
        <v>9.5634135171695625E-2</v>
      </c>
      <c r="BZ77" s="1">
        <f t="shared" ca="1" si="100"/>
        <v>0.61824605530705057</v>
      </c>
      <c r="CB77" s="1">
        <f t="shared" ca="1" si="101"/>
        <v>426</v>
      </c>
      <c r="CC77" s="1">
        <f t="shared" ca="1" si="102"/>
        <v>7</v>
      </c>
      <c r="CD77" s="1">
        <f t="shared" ca="1" si="103"/>
        <v>0.27625320841874934</v>
      </c>
      <c r="CE77" s="1">
        <f t="shared" ca="1" si="104"/>
        <v>0.66884839306763433</v>
      </c>
      <c r="CF77" s="1">
        <f t="shared" ca="1" si="104"/>
        <v>0.89454138859579957</v>
      </c>
      <c r="CH77" s="3">
        <f t="shared" ca="1" si="105"/>
        <v>0.12410839672910264</v>
      </c>
      <c r="CI77" s="3">
        <f t="shared" ca="1" si="106"/>
        <v>0.25488261050836841</v>
      </c>
      <c r="CJ77" s="3">
        <f t="shared" ca="1" si="107"/>
        <v>1553</v>
      </c>
      <c r="CK77" s="3">
        <f t="shared" ca="1" si="108"/>
        <v>6.9641246732526116E-4</v>
      </c>
      <c r="CL77" s="3">
        <f t="shared" ca="1" si="109"/>
        <v>1</v>
      </c>
      <c r="CM77" s="3"/>
      <c r="CN77" s="1">
        <f t="shared" ca="1" si="110"/>
        <v>4.4059344027469525</v>
      </c>
      <c r="CO77" s="1">
        <f t="shared" ca="1" si="111"/>
        <v>0.10169022079332755</v>
      </c>
      <c r="CP77" s="1">
        <f t="shared" ca="1" si="112"/>
        <v>3</v>
      </c>
    </row>
    <row r="78" spans="2:94" x14ac:dyDescent="0.25">
      <c r="B78">
        <f t="shared" ca="1" si="57"/>
        <v>251</v>
      </c>
      <c r="C78">
        <f t="shared" ca="1" si="58"/>
        <v>40</v>
      </c>
      <c r="D78">
        <f t="shared" ca="1" si="59"/>
        <v>7.3343769150317178E-2</v>
      </c>
      <c r="F78" s="1">
        <f t="shared" ca="1" si="60"/>
        <v>20</v>
      </c>
      <c r="G78" s="1">
        <f t="shared" ca="1" si="61"/>
        <v>24</v>
      </c>
      <c r="H78" s="1">
        <f t="shared" ca="1" si="62"/>
        <v>4</v>
      </c>
      <c r="I78" s="1"/>
      <c r="J78" s="1">
        <f t="shared" ca="1" si="63"/>
        <v>30</v>
      </c>
      <c r="K78" s="1">
        <f t="shared" ca="1" si="64"/>
        <v>2.8729907414369875</v>
      </c>
      <c r="L78" s="1">
        <f t="shared" ca="1" si="65"/>
        <v>32</v>
      </c>
      <c r="M78" s="1"/>
      <c r="N78" s="1">
        <f t="shared" ca="1" si="66"/>
        <v>515</v>
      </c>
      <c r="O78" s="1">
        <f t="shared" ca="1" si="67"/>
        <v>40</v>
      </c>
      <c r="P78" s="1"/>
      <c r="Q78" s="1">
        <f t="shared" ca="1" si="68"/>
        <v>4.7936264071251777</v>
      </c>
      <c r="R78" s="1">
        <f t="shared" ca="1" si="69"/>
        <v>1170</v>
      </c>
      <c r="S78" s="1"/>
      <c r="T78" s="1">
        <f t="shared" ca="1" si="70"/>
        <v>0.13028752278554059</v>
      </c>
      <c r="U78" s="1">
        <f t="shared" ca="1" si="71"/>
        <v>153</v>
      </c>
      <c r="V78" s="1">
        <f t="shared" ca="1" si="72"/>
        <v>6</v>
      </c>
      <c r="W78" s="1"/>
      <c r="X78" s="1">
        <f t="shared" ca="1" si="73"/>
        <v>8.7804252894754189</v>
      </c>
      <c r="Y78" s="1">
        <f t="shared" ca="1" si="74"/>
        <v>0.57489784346101169</v>
      </c>
      <c r="Z78" s="1">
        <f t="shared" ca="1" si="75"/>
        <v>348</v>
      </c>
      <c r="AB78" s="1">
        <f t="shared" ca="1" si="76"/>
        <v>0.68892230072120042</v>
      </c>
      <c r="AC78" s="1">
        <f t="shared" ca="1" si="77"/>
        <v>643</v>
      </c>
      <c r="AD78" s="1">
        <f t="shared" ca="1" si="78"/>
        <v>6.5340454351355817E-4</v>
      </c>
      <c r="AE78" s="1"/>
      <c r="AF78" s="1">
        <f t="shared" ca="1" si="79"/>
        <v>0.73784822119668048</v>
      </c>
      <c r="AG78" s="1">
        <f t="shared" ca="1" si="80"/>
        <v>902</v>
      </c>
      <c r="AH78" s="1">
        <f t="shared" ca="1" si="81"/>
        <v>8.5457883827332621E-3</v>
      </c>
      <c r="AJ78" s="1">
        <f t="shared" ca="1" si="82"/>
        <v>9.633036982953691E-2</v>
      </c>
      <c r="AK78" s="1">
        <f t="shared" ca="1" si="83"/>
        <v>1.6813536736407172E-3</v>
      </c>
      <c r="AL78" s="1"/>
      <c r="AM78" s="1">
        <f t="shared" ca="1" si="84"/>
        <v>0.10635414471063846</v>
      </c>
      <c r="AN78" s="1">
        <f t="shared" ca="1" si="85"/>
        <v>58</v>
      </c>
      <c r="AO78" s="1">
        <f t="shared" ca="1" si="86"/>
        <v>4</v>
      </c>
      <c r="AQ78" s="1">
        <f t="shared" ca="1" si="87"/>
        <v>178</v>
      </c>
      <c r="AR78" s="1">
        <f t="shared" ca="1" si="88"/>
        <v>3</v>
      </c>
      <c r="AS78" s="1">
        <f t="shared" ca="1" si="89"/>
        <v>39</v>
      </c>
      <c r="AU78" s="1">
        <f t="shared" ca="1" si="90"/>
        <v>109</v>
      </c>
      <c r="AV78" s="1">
        <f t="shared" ca="1" si="91"/>
        <v>7</v>
      </c>
      <c r="AW78" s="1">
        <f t="shared" ca="1" si="92"/>
        <v>0.17090384686352364</v>
      </c>
      <c r="AY78" s="1">
        <f t="shared" ca="1" si="93"/>
        <v>1.8846320395805298</v>
      </c>
      <c r="AZ78" s="1">
        <f t="shared" ca="1" si="94"/>
        <v>374</v>
      </c>
      <c r="BA78" s="1">
        <f t="shared" ca="1" si="95"/>
        <v>5.373209634945913E-3</v>
      </c>
      <c r="BV78" s="1">
        <f t="shared" ca="1" si="96"/>
        <v>6.1061765073954125E-2</v>
      </c>
      <c r="BW78" s="1">
        <f t="shared" ca="1" si="97"/>
        <v>755</v>
      </c>
      <c r="BX78" s="1">
        <f t="shared" ca="1" si="98"/>
        <v>8.1023074104726329E-3</v>
      </c>
      <c r="BY78" s="1">
        <f t="shared" ca="1" si="99"/>
        <v>1.1855087790569582E-2</v>
      </c>
      <c r="BZ78" s="1">
        <f t="shared" ca="1" si="100"/>
        <v>0.44394200501498626</v>
      </c>
      <c r="CB78" s="1">
        <f t="shared" ca="1" si="101"/>
        <v>494</v>
      </c>
      <c r="CC78" s="1">
        <f t="shared" ca="1" si="102"/>
        <v>7</v>
      </c>
      <c r="CD78" s="1">
        <f t="shared" ca="1" si="103"/>
        <v>0.11630611613975836</v>
      </c>
      <c r="CE78" s="1">
        <f t="shared" ca="1" si="104"/>
        <v>0.79080217273431197</v>
      </c>
      <c r="CF78" s="1">
        <f t="shared" ca="1" si="104"/>
        <v>0.61796556853616802</v>
      </c>
      <c r="CH78" s="3">
        <f t="shared" ca="1" si="105"/>
        <v>0.34944171957320419</v>
      </c>
      <c r="CI78" s="3">
        <f t="shared" ca="1" si="106"/>
        <v>0.64610559371049059</v>
      </c>
      <c r="CJ78" s="3">
        <f t="shared" ca="1" si="107"/>
        <v>1377</v>
      </c>
      <c r="CK78" s="3">
        <f t="shared" ca="1" si="108"/>
        <v>1.9726297269252132E-3</v>
      </c>
      <c r="CL78" s="3">
        <f t="shared" ca="1" si="109"/>
        <v>1</v>
      </c>
      <c r="CM78" s="3"/>
      <c r="CN78" s="1">
        <f t="shared" ca="1" si="110"/>
        <v>5.6910883624110804</v>
      </c>
      <c r="CO78" s="1">
        <f t="shared" ca="1" si="111"/>
        <v>0.4514901753770833</v>
      </c>
      <c r="CP78" s="1">
        <f t="shared" ca="1" si="112"/>
        <v>3</v>
      </c>
    </row>
    <row r="79" spans="2:94" x14ac:dyDescent="0.25">
      <c r="B79">
        <f t="shared" ca="1" si="57"/>
        <v>507</v>
      </c>
      <c r="C79">
        <f t="shared" ca="1" si="58"/>
        <v>2</v>
      </c>
      <c r="D79">
        <f t="shared" ca="1" si="59"/>
        <v>0.14059812599162583</v>
      </c>
      <c r="F79" s="1">
        <f t="shared" ca="1" si="60"/>
        <v>33</v>
      </c>
      <c r="G79" s="1">
        <f t="shared" ca="1" si="61"/>
        <v>12</v>
      </c>
      <c r="H79" s="1">
        <f t="shared" ca="1" si="62"/>
        <v>1</v>
      </c>
      <c r="I79" s="1"/>
      <c r="J79" s="1">
        <f t="shared" ca="1" si="63"/>
        <v>28</v>
      </c>
      <c r="K79" s="1">
        <f t="shared" ca="1" si="64"/>
        <v>2.8102335142423955</v>
      </c>
      <c r="L79" s="1">
        <f t="shared" ca="1" si="65"/>
        <v>18</v>
      </c>
      <c r="M79" s="1"/>
      <c r="N79" s="1">
        <f t="shared" ca="1" si="66"/>
        <v>331</v>
      </c>
      <c r="O79" s="1">
        <f t="shared" ca="1" si="67"/>
        <v>5</v>
      </c>
      <c r="P79" s="1"/>
      <c r="Q79" s="1">
        <f t="shared" ca="1" si="68"/>
        <v>4.3291058462944632</v>
      </c>
      <c r="R79" s="1">
        <f t="shared" ca="1" si="69"/>
        <v>1007</v>
      </c>
      <c r="S79" s="1"/>
      <c r="T79" s="1">
        <f t="shared" ca="1" si="70"/>
        <v>0.10750870186992112</v>
      </c>
      <c r="U79" s="1">
        <f t="shared" ca="1" si="71"/>
        <v>398</v>
      </c>
      <c r="V79" s="1">
        <f t="shared" ca="1" si="72"/>
        <v>31</v>
      </c>
      <c r="W79" s="1"/>
      <c r="X79" s="1">
        <f t="shared" ca="1" si="73"/>
        <v>3.4606610954198898</v>
      </c>
      <c r="Y79" s="1">
        <f t="shared" ca="1" si="74"/>
        <v>0.40684005546351137</v>
      </c>
      <c r="Z79" s="1">
        <f t="shared" ca="1" si="75"/>
        <v>264</v>
      </c>
      <c r="AB79" s="1">
        <f t="shared" ca="1" si="76"/>
        <v>0.55321977202773731</v>
      </c>
      <c r="AC79" s="1">
        <f t="shared" ca="1" si="77"/>
        <v>995</v>
      </c>
      <c r="AD79" s="1">
        <f t="shared" ca="1" si="78"/>
        <v>7.5367334013890716E-3</v>
      </c>
      <c r="AE79" s="1"/>
      <c r="AF79" s="1">
        <f t="shared" ca="1" si="79"/>
        <v>0.42495664849493353</v>
      </c>
      <c r="AG79" s="1">
        <f t="shared" ca="1" si="80"/>
        <v>714</v>
      </c>
      <c r="AH79" s="1">
        <f t="shared" ca="1" si="81"/>
        <v>1.8131380566141597E-3</v>
      </c>
      <c r="AJ79" s="1">
        <f t="shared" ca="1" si="82"/>
        <v>0.97088861584710184</v>
      </c>
      <c r="AK79" s="1">
        <f t="shared" ca="1" si="83"/>
        <v>2.9091367773588926E-3</v>
      </c>
      <c r="AL79" s="1"/>
      <c r="AM79" s="1">
        <f t="shared" ca="1" si="84"/>
        <v>0.19995161299399447</v>
      </c>
      <c r="AN79" s="1">
        <f t="shared" ca="1" si="85"/>
        <v>63</v>
      </c>
      <c r="AO79" s="1">
        <f t="shared" ca="1" si="86"/>
        <v>11</v>
      </c>
      <c r="AQ79" s="1">
        <f t="shared" ca="1" si="87"/>
        <v>158</v>
      </c>
      <c r="AR79" s="1">
        <f t="shared" ca="1" si="88"/>
        <v>10</v>
      </c>
      <c r="AS79" s="1">
        <f t="shared" ca="1" si="89"/>
        <v>65</v>
      </c>
      <c r="AU79" s="1">
        <f t="shared" ca="1" si="90"/>
        <v>95</v>
      </c>
      <c r="AV79" s="1">
        <f t="shared" ca="1" si="91"/>
        <v>9</v>
      </c>
      <c r="AW79" s="1">
        <f t="shared" ca="1" si="92"/>
        <v>0.12760888478864418</v>
      </c>
      <c r="AY79" s="1">
        <f t="shared" ca="1" si="93"/>
        <v>1.4298907850717726</v>
      </c>
      <c r="AZ79" s="1">
        <f t="shared" ca="1" si="94"/>
        <v>243</v>
      </c>
      <c r="BA79" s="1">
        <f t="shared" ca="1" si="95"/>
        <v>8.8310228807717012E-3</v>
      </c>
      <c r="BV79" s="1">
        <f t="shared" ca="1" si="96"/>
        <v>0.52978035884652053</v>
      </c>
      <c r="BW79" s="1">
        <f t="shared" ca="1" si="97"/>
        <v>266</v>
      </c>
      <c r="BX79" s="1">
        <f t="shared" ca="1" si="98"/>
        <v>9.4290130240121169E-3</v>
      </c>
      <c r="BY79" s="1">
        <f t="shared" ca="1" si="99"/>
        <v>3.8372530178675451E-2</v>
      </c>
      <c r="BZ79" s="1">
        <f t="shared" ca="1" si="100"/>
        <v>0.72819559299743863</v>
      </c>
      <c r="CB79" s="1">
        <f t="shared" ca="1" si="101"/>
        <v>125</v>
      </c>
      <c r="CC79" s="1">
        <f t="shared" ca="1" si="102"/>
        <v>4</v>
      </c>
      <c r="CD79" s="1">
        <f t="shared" ca="1" si="103"/>
        <v>0.28909965374277558</v>
      </c>
      <c r="CE79" s="1">
        <f t="shared" ca="1" si="104"/>
        <v>0.61349671443381837</v>
      </c>
      <c r="CF79" s="1">
        <f t="shared" ca="1" si="104"/>
        <v>0.51914214573169915</v>
      </c>
      <c r="CH79" s="3">
        <f t="shared" ca="1" si="105"/>
        <v>0.49103932550403884</v>
      </c>
      <c r="CI79" s="3">
        <f t="shared" ca="1" si="106"/>
        <v>0.4414058071435899</v>
      </c>
      <c r="CJ79" s="3">
        <f t="shared" ca="1" si="107"/>
        <v>284</v>
      </c>
      <c r="CK79" s="3">
        <f t="shared" ca="1" si="108"/>
        <v>1.2402583680316793E-3</v>
      </c>
      <c r="CL79" s="3">
        <f t="shared" ca="1" si="109"/>
        <v>0</v>
      </c>
      <c r="CM79" s="3"/>
      <c r="CN79" s="1">
        <f t="shared" ca="1" si="110"/>
        <v>2.6070339839271885</v>
      </c>
      <c r="CO79" s="1">
        <f t="shared" ca="1" si="111"/>
        <v>0.38014922521959449</v>
      </c>
      <c r="CP79" s="1">
        <f t="shared" ca="1" si="112"/>
        <v>1</v>
      </c>
    </row>
    <row r="80" spans="2:94" x14ac:dyDescent="0.25">
      <c r="B80">
        <f t="shared" ca="1" si="57"/>
        <v>50</v>
      </c>
      <c r="C80">
        <f t="shared" ca="1" si="58"/>
        <v>39</v>
      </c>
      <c r="D80">
        <f t="shared" ca="1" si="59"/>
        <v>0.10325652767273327</v>
      </c>
      <c r="F80" s="1">
        <f t="shared" ca="1" si="60"/>
        <v>3</v>
      </c>
      <c r="G80" s="1">
        <f t="shared" ca="1" si="61"/>
        <v>17</v>
      </c>
      <c r="H80" s="1">
        <f t="shared" ca="1" si="62"/>
        <v>11</v>
      </c>
      <c r="I80" s="1"/>
      <c r="J80" s="1">
        <f t="shared" ca="1" si="63"/>
        <v>15</v>
      </c>
      <c r="K80" s="1">
        <f t="shared" ca="1" si="64"/>
        <v>1.794704413205763</v>
      </c>
      <c r="L80" s="1">
        <f t="shared" ca="1" si="65"/>
        <v>30</v>
      </c>
      <c r="M80" s="1"/>
      <c r="N80" s="1">
        <f t="shared" ca="1" si="66"/>
        <v>814</v>
      </c>
      <c r="O80" s="1">
        <f t="shared" ca="1" si="67"/>
        <v>20</v>
      </c>
      <c r="P80" s="1"/>
      <c r="Q80" s="1">
        <f t="shared" ca="1" si="68"/>
        <v>1.1287936165912225</v>
      </c>
      <c r="R80" s="1">
        <f t="shared" ca="1" si="69"/>
        <v>382</v>
      </c>
      <c r="S80" s="1"/>
      <c r="T80" s="1">
        <f t="shared" ca="1" si="70"/>
        <v>0.19705707832795297</v>
      </c>
      <c r="U80" s="1">
        <f t="shared" ca="1" si="71"/>
        <v>92</v>
      </c>
      <c r="V80" s="1">
        <f t="shared" ca="1" si="72"/>
        <v>45</v>
      </c>
      <c r="W80" s="1"/>
      <c r="X80" s="1">
        <f t="shared" ca="1" si="73"/>
        <v>5.509474018614914</v>
      </c>
      <c r="Y80" s="1">
        <f t="shared" ca="1" si="74"/>
        <v>0.79734808508143196</v>
      </c>
      <c r="Z80" s="1">
        <f t="shared" ca="1" si="75"/>
        <v>1021</v>
      </c>
      <c r="AB80" s="1">
        <f t="shared" ca="1" si="76"/>
        <v>0.39068037087335011</v>
      </c>
      <c r="AC80" s="1">
        <f t="shared" ca="1" si="77"/>
        <v>453</v>
      </c>
      <c r="AD80" s="1">
        <f t="shared" ca="1" si="78"/>
        <v>3.039211535383514E-3</v>
      </c>
      <c r="AE80" s="1"/>
      <c r="AF80" s="1">
        <f t="shared" ca="1" si="79"/>
        <v>0.84272725619372313</v>
      </c>
      <c r="AG80" s="1">
        <f t="shared" ca="1" si="80"/>
        <v>998</v>
      </c>
      <c r="AH80" s="1">
        <f t="shared" ca="1" si="81"/>
        <v>1.3449474780049423E-3</v>
      </c>
      <c r="AJ80" s="1">
        <f t="shared" ca="1" si="82"/>
        <v>0.8965783042931762</v>
      </c>
      <c r="AK80" s="1">
        <f t="shared" ca="1" si="83"/>
        <v>9.4386949658267234E-3</v>
      </c>
      <c r="AL80" s="1"/>
      <c r="AM80" s="1">
        <f t="shared" ca="1" si="84"/>
        <v>1.086115158343931E-2</v>
      </c>
      <c r="AN80" s="1">
        <f t="shared" ca="1" si="85"/>
        <v>30</v>
      </c>
      <c r="AO80" s="1">
        <f t="shared" ca="1" si="86"/>
        <v>20</v>
      </c>
      <c r="AQ80" s="1">
        <f t="shared" ca="1" si="87"/>
        <v>172</v>
      </c>
      <c r="AR80" s="1">
        <f t="shared" ca="1" si="88"/>
        <v>4</v>
      </c>
      <c r="AS80" s="1">
        <f t="shared" ca="1" si="89"/>
        <v>28</v>
      </c>
      <c r="AU80" s="1">
        <f t="shared" ca="1" si="90"/>
        <v>122</v>
      </c>
      <c r="AV80" s="1">
        <f t="shared" ca="1" si="91"/>
        <v>8</v>
      </c>
      <c r="AW80" s="1">
        <f t="shared" ca="1" si="92"/>
        <v>8.0630551168052386E-2</v>
      </c>
      <c r="AY80" s="1">
        <f t="shared" ca="1" si="93"/>
        <v>1.2581795806114651</v>
      </c>
      <c r="AZ80" s="1">
        <f t="shared" ca="1" si="94"/>
        <v>52</v>
      </c>
      <c r="BA80" s="1">
        <f t="shared" ca="1" si="95"/>
        <v>7.8700201162181585E-3</v>
      </c>
      <c r="BV80" s="1">
        <f t="shared" ca="1" si="96"/>
        <v>0.86185907782296467</v>
      </c>
      <c r="BW80" s="1">
        <f t="shared" ca="1" si="97"/>
        <v>924</v>
      </c>
      <c r="BX80" s="1">
        <f t="shared" ca="1" si="98"/>
        <v>5.7490539109827342E-3</v>
      </c>
      <c r="BY80" s="1">
        <f t="shared" ca="1" si="99"/>
        <v>9.6650164918965862E-3</v>
      </c>
      <c r="BZ80" s="1">
        <f t="shared" ca="1" si="100"/>
        <v>0.95848234416136946</v>
      </c>
      <c r="CB80" s="1">
        <f t="shared" ca="1" si="101"/>
        <v>167</v>
      </c>
      <c r="CC80" s="1">
        <f t="shared" ca="1" si="102"/>
        <v>4</v>
      </c>
      <c r="CD80" s="1">
        <f t="shared" ca="1" si="103"/>
        <v>0.22074241297329955</v>
      </c>
      <c r="CE80" s="1">
        <f t="shared" ca="1" si="104"/>
        <v>0.70950478033430309</v>
      </c>
      <c r="CF80" s="1">
        <f t="shared" ca="1" si="104"/>
        <v>0.57435322694338709</v>
      </c>
      <c r="CH80" s="3">
        <f t="shared" ca="1" si="105"/>
        <v>0.58531604530776848</v>
      </c>
      <c r="CI80" s="3">
        <f t="shared" ca="1" si="106"/>
        <v>8.944682153046464E-2</v>
      </c>
      <c r="CJ80" s="3">
        <f t="shared" ca="1" si="107"/>
        <v>1505</v>
      </c>
      <c r="CK80" s="3">
        <f t="shared" ca="1" si="108"/>
        <v>3.3802972506018071E-3</v>
      </c>
      <c r="CL80" s="3">
        <f t="shared" ca="1" si="109"/>
        <v>1</v>
      </c>
      <c r="CM80" s="3"/>
      <c r="CN80" s="1">
        <f t="shared" ca="1" si="110"/>
        <v>7.8657698839194419</v>
      </c>
      <c r="CO80" s="1">
        <f t="shared" ca="1" si="111"/>
        <v>0.42782737580704422</v>
      </c>
      <c r="CP80" s="1">
        <f t="shared" ca="1" si="112"/>
        <v>3</v>
      </c>
    </row>
    <row r="81" spans="2:94" x14ac:dyDescent="0.25">
      <c r="B81">
        <f t="shared" ca="1" si="57"/>
        <v>769</v>
      </c>
      <c r="C81">
        <f t="shared" ca="1" si="58"/>
        <v>44</v>
      </c>
      <c r="D81">
        <f t="shared" ca="1" si="59"/>
        <v>0.1104344406877218</v>
      </c>
      <c r="F81" s="1">
        <f t="shared" ca="1" si="60"/>
        <v>39</v>
      </c>
      <c r="G81" s="1">
        <f t="shared" ca="1" si="61"/>
        <v>17</v>
      </c>
      <c r="H81" s="1">
        <f t="shared" ca="1" si="62"/>
        <v>13</v>
      </c>
      <c r="I81" s="1"/>
      <c r="J81" s="1">
        <f t="shared" ca="1" si="63"/>
        <v>19</v>
      </c>
      <c r="K81" s="1">
        <f t="shared" ca="1" si="64"/>
        <v>1.7840724467257987</v>
      </c>
      <c r="L81" s="1">
        <f t="shared" ca="1" si="65"/>
        <v>20</v>
      </c>
      <c r="M81" s="1"/>
      <c r="N81" s="1">
        <f t="shared" ca="1" si="66"/>
        <v>909</v>
      </c>
      <c r="O81" s="1">
        <f t="shared" ca="1" si="67"/>
        <v>23</v>
      </c>
      <c r="P81" s="1"/>
      <c r="Q81" s="1">
        <f t="shared" ca="1" si="68"/>
        <v>2.6735639275753846</v>
      </c>
      <c r="R81" s="1">
        <f t="shared" ca="1" si="69"/>
        <v>742</v>
      </c>
      <c r="S81" s="1"/>
      <c r="T81" s="1">
        <f t="shared" ca="1" si="70"/>
        <v>7.4802191128353721E-2</v>
      </c>
      <c r="U81" s="1">
        <f t="shared" ca="1" si="71"/>
        <v>336</v>
      </c>
      <c r="V81" s="1">
        <f t="shared" ca="1" si="72"/>
        <v>40</v>
      </c>
      <c r="W81" s="1"/>
      <c r="X81" s="1">
        <f t="shared" ca="1" si="73"/>
        <v>6.1769756764671415</v>
      </c>
      <c r="Y81" s="1">
        <f t="shared" ca="1" si="74"/>
        <v>0.56010759545421429</v>
      </c>
      <c r="Z81" s="1">
        <f t="shared" ca="1" si="75"/>
        <v>374</v>
      </c>
      <c r="AB81" s="1">
        <f t="shared" ca="1" si="76"/>
        <v>0.57594952922232012</v>
      </c>
      <c r="AC81" s="1">
        <f t="shared" ca="1" si="77"/>
        <v>345</v>
      </c>
      <c r="AD81" s="1">
        <f t="shared" ca="1" si="78"/>
        <v>5.4604266362748028E-3</v>
      </c>
      <c r="AE81" s="1"/>
      <c r="AF81" s="1">
        <f t="shared" ca="1" si="79"/>
        <v>0.33794177263500369</v>
      </c>
      <c r="AG81" s="1">
        <f t="shared" ca="1" si="80"/>
        <v>316</v>
      </c>
      <c r="AH81" s="1">
        <f t="shared" ca="1" si="81"/>
        <v>3.7570162109504723E-4</v>
      </c>
      <c r="AJ81" s="1">
        <f t="shared" ca="1" si="82"/>
        <v>0.97705984741264296</v>
      </c>
      <c r="AK81" s="1">
        <f t="shared" ca="1" si="83"/>
        <v>8.939961010827252E-3</v>
      </c>
      <c r="AL81" s="1"/>
      <c r="AM81" s="1">
        <f t="shared" ca="1" si="84"/>
        <v>5.4742508973622046E-2</v>
      </c>
      <c r="AN81" s="1">
        <f t="shared" ca="1" si="85"/>
        <v>79</v>
      </c>
      <c r="AO81" s="1">
        <f t="shared" ca="1" si="86"/>
        <v>11</v>
      </c>
      <c r="AQ81" s="1">
        <f t="shared" ca="1" si="87"/>
        <v>185</v>
      </c>
      <c r="AR81" s="1">
        <f t="shared" ca="1" si="88"/>
        <v>7</v>
      </c>
      <c r="AS81" s="1">
        <f t="shared" ca="1" si="89"/>
        <v>88</v>
      </c>
      <c r="AU81" s="1">
        <f t="shared" ca="1" si="90"/>
        <v>91</v>
      </c>
      <c r="AV81" s="1">
        <f t="shared" ca="1" si="91"/>
        <v>9</v>
      </c>
      <c r="AW81" s="1">
        <f t="shared" ca="1" si="92"/>
        <v>2.9632412859091829E-2</v>
      </c>
      <c r="AY81" s="1">
        <f t="shared" ca="1" si="93"/>
        <v>1.125707597423913</v>
      </c>
      <c r="AZ81" s="1">
        <f t="shared" ca="1" si="94"/>
        <v>455</v>
      </c>
      <c r="BA81" s="1">
        <f t="shared" ca="1" si="95"/>
        <v>1.3162041819202593E-3</v>
      </c>
      <c r="BV81" s="1">
        <f t="shared" ca="1" si="96"/>
        <v>0.48334901576489731</v>
      </c>
      <c r="BW81" s="1">
        <f t="shared" ca="1" si="97"/>
        <v>965</v>
      </c>
      <c r="BX81" s="1">
        <f t="shared" ca="1" si="98"/>
        <v>6.898655588351948E-3</v>
      </c>
      <c r="BY81" s="1">
        <f t="shared" ca="1" si="99"/>
        <v>8.4385556298847766E-2</v>
      </c>
      <c r="BZ81" s="1">
        <f t="shared" ca="1" si="100"/>
        <v>0.74293356719579651</v>
      </c>
      <c r="CB81" s="1">
        <f t="shared" ca="1" si="101"/>
        <v>275</v>
      </c>
      <c r="CC81" s="1">
        <f t="shared" ca="1" si="102"/>
        <v>3</v>
      </c>
      <c r="CD81" s="1">
        <f t="shared" ca="1" si="103"/>
        <v>0.13559546936116212</v>
      </c>
      <c r="CE81" s="1">
        <f t="shared" ca="1" si="104"/>
        <v>0.58762048625007424</v>
      </c>
      <c r="CF81" s="1">
        <f t="shared" ca="1" si="104"/>
        <v>0.74367503055433604</v>
      </c>
      <c r="CH81" s="3">
        <f t="shared" ca="1" si="105"/>
        <v>0.38938013057078469</v>
      </c>
      <c r="CI81" s="3">
        <f t="shared" ca="1" si="106"/>
        <v>0.58717880366386788</v>
      </c>
      <c r="CJ81" s="3">
        <f t="shared" ca="1" si="107"/>
        <v>1505</v>
      </c>
      <c r="CK81" s="3">
        <f t="shared" ca="1" si="108"/>
        <v>8.4190710626079936E-3</v>
      </c>
      <c r="CL81" s="3">
        <f t="shared" ca="1" si="109"/>
        <v>1</v>
      </c>
      <c r="CM81" s="3"/>
      <c r="CN81" s="1">
        <f t="shared" ca="1" si="110"/>
        <v>19.689555621078014</v>
      </c>
      <c r="CO81" s="1">
        <f t="shared" ca="1" si="111"/>
        <v>0.40368012714035473</v>
      </c>
      <c r="CP81" s="1">
        <f t="shared" ca="1" si="112"/>
        <v>2</v>
      </c>
    </row>
    <row r="82" spans="2:94" x14ac:dyDescent="0.25">
      <c r="B82">
        <f t="shared" ca="1" si="57"/>
        <v>304</v>
      </c>
      <c r="C82">
        <f t="shared" ca="1" si="58"/>
        <v>28</v>
      </c>
      <c r="D82">
        <f t="shared" ca="1" si="59"/>
        <v>9.5610827995341083E-2</v>
      </c>
      <c r="F82" s="1">
        <f t="shared" ca="1" si="60"/>
        <v>50</v>
      </c>
      <c r="G82" s="1">
        <f t="shared" ca="1" si="61"/>
        <v>2</v>
      </c>
      <c r="H82" s="1">
        <f t="shared" ca="1" si="62"/>
        <v>12</v>
      </c>
      <c r="I82" s="1"/>
      <c r="J82" s="1">
        <f t="shared" ca="1" si="63"/>
        <v>11</v>
      </c>
      <c r="K82" s="1">
        <f t="shared" ca="1" si="64"/>
        <v>2.6664379568253813</v>
      </c>
      <c r="L82" s="1">
        <f t="shared" ca="1" si="65"/>
        <v>12</v>
      </c>
      <c r="M82" s="1"/>
      <c r="N82" s="1">
        <f t="shared" ca="1" si="66"/>
        <v>961</v>
      </c>
      <c r="O82" s="1">
        <f t="shared" ca="1" si="67"/>
        <v>44</v>
      </c>
      <c r="P82" s="1"/>
      <c r="Q82" s="1">
        <f t="shared" ca="1" si="68"/>
        <v>2.8262833381711814</v>
      </c>
      <c r="R82" s="1">
        <f t="shared" ca="1" si="69"/>
        <v>202</v>
      </c>
      <c r="S82" s="1"/>
      <c r="T82" s="1">
        <f t="shared" ca="1" si="70"/>
        <v>0.13195231562336335</v>
      </c>
      <c r="U82" s="1">
        <f t="shared" ca="1" si="71"/>
        <v>54</v>
      </c>
      <c r="V82" s="1">
        <f t="shared" ca="1" si="72"/>
        <v>47</v>
      </c>
      <c r="W82" s="1"/>
      <c r="X82" s="1">
        <f t="shared" ca="1" si="73"/>
        <v>4.8623462884777879</v>
      </c>
      <c r="Y82" s="1">
        <f t="shared" ca="1" si="74"/>
        <v>0.18331194572950685</v>
      </c>
      <c r="Z82" s="1">
        <f t="shared" ca="1" si="75"/>
        <v>913</v>
      </c>
      <c r="AB82" s="1">
        <f t="shared" ca="1" si="76"/>
        <v>0.39059962336843568</v>
      </c>
      <c r="AC82" s="1">
        <f t="shared" ca="1" si="77"/>
        <v>696</v>
      </c>
      <c r="AD82" s="1">
        <f t="shared" ca="1" si="78"/>
        <v>3.9215420612568096E-3</v>
      </c>
      <c r="AE82" s="1"/>
      <c r="AF82" s="1">
        <f t="shared" ca="1" si="79"/>
        <v>0.1864972187088485</v>
      </c>
      <c r="AG82" s="1">
        <f t="shared" ca="1" si="80"/>
        <v>520</v>
      </c>
      <c r="AH82" s="1">
        <f t="shared" ca="1" si="81"/>
        <v>8.0338946657073033E-3</v>
      </c>
      <c r="AJ82" s="1">
        <f t="shared" ca="1" si="82"/>
        <v>0.66682702630710311</v>
      </c>
      <c r="AK82" s="1">
        <f t="shared" ca="1" si="83"/>
        <v>6.2388282937159284E-3</v>
      </c>
      <c r="AL82" s="1"/>
      <c r="AM82" s="1">
        <f t="shared" ca="1" si="84"/>
        <v>8.5962684631574734E-2</v>
      </c>
      <c r="AN82" s="1">
        <f t="shared" ca="1" si="85"/>
        <v>45</v>
      </c>
      <c r="AO82" s="1">
        <f t="shared" ca="1" si="86"/>
        <v>20</v>
      </c>
      <c r="AQ82" s="1">
        <f t="shared" ca="1" si="87"/>
        <v>87</v>
      </c>
      <c r="AR82" s="1">
        <f t="shared" ca="1" si="88"/>
        <v>2</v>
      </c>
      <c r="AS82" s="1">
        <f t="shared" ca="1" si="89"/>
        <v>80</v>
      </c>
      <c r="AU82" s="1">
        <f t="shared" ca="1" si="90"/>
        <v>177</v>
      </c>
      <c r="AV82" s="1">
        <f t="shared" ca="1" si="91"/>
        <v>7</v>
      </c>
      <c r="AW82" s="1">
        <f t="shared" ca="1" si="92"/>
        <v>0.16318274149224871</v>
      </c>
      <c r="AY82" s="1">
        <f t="shared" ca="1" si="93"/>
        <v>1.1174537189573146</v>
      </c>
      <c r="AZ82" s="1">
        <f t="shared" ca="1" si="94"/>
        <v>356</v>
      </c>
      <c r="BA82" s="1">
        <f t="shared" ca="1" si="95"/>
        <v>3.9906926206664736E-3</v>
      </c>
      <c r="BV82" s="1">
        <f t="shared" ca="1" si="96"/>
        <v>0.80753668277924129</v>
      </c>
      <c r="BW82" s="1">
        <f t="shared" ca="1" si="97"/>
        <v>971</v>
      </c>
      <c r="BX82" s="1">
        <f t="shared" ca="1" si="98"/>
        <v>4.9776850671792196E-3</v>
      </c>
      <c r="BY82" s="1">
        <f t="shared" ca="1" si="99"/>
        <v>7.2943196585255166E-2</v>
      </c>
      <c r="BZ82" s="1">
        <f t="shared" ca="1" si="100"/>
        <v>0.78302971898653084</v>
      </c>
      <c r="CB82" s="1">
        <f t="shared" ca="1" si="101"/>
        <v>255</v>
      </c>
      <c r="CC82" s="1">
        <f t="shared" ca="1" si="102"/>
        <v>13</v>
      </c>
      <c r="CD82" s="1">
        <f t="shared" ca="1" si="103"/>
        <v>0.18314879228022649</v>
      </c>
      <c r="CE82" s="1">
        <f t="shared" ca="1" si="104"/>
        <v>0.586244400407129</v>
      </c>
      <c r="CF82" s="1">
        <f t="shared" ca="1" si="104"/>
        <v>0.89852229831248098</v>
      </c>
      <c r="CH82" s="3">
        <f t="shared" ca="1" si="105"/>
        <v>0.46742691540070092</v>
      </c>
      <c r="CI82" s="3">
        <f t="shared" ca="1" si="106"/>
        <v>2.6402899067077663E-2</v>
      </c>
      <c r="CJ82" s="3">
        <f t="shared" ca="1" si="107"/>
        <v>1793</v>
      </c>
      <c r="CK82" s="3">
        <f t="shared" ca="1" si="108"/>
        <v>9.3612902709279931E-4</v>
      </c>
      <c r="CL82" s="3">
        <f t="shared" ca="1" si="109"/>
        <v>1</v>
      </c>
      <c r="CM82" s="3"/>
      <c r="CN82" s="1">
        <f t="shared" ca="1" si="110"/>
        <v>17.925743126353403</v>
      </c>
      <c r="CO82" s="1">
        <f t="shared" ca="1" si="111"/>
        <v>9.4331230520855375E-2</v>
      </c>
      <c r="CP82" s="1">
        <f t="shared" ca="1" si="112"/>
        <v>5</v>
      </c>
    </row>
    <row r="83" spans="2:94" x14ac:dyDescent="0.25">
      <c r="B83">
        <f t="shared" ca="1" si="57"/>
        <v>214</v>
      </c>
      <c r="C83">
        <f t="shared" ca="1" si="58"/>
        <v>12</v>
      </c>
      <c r="D83">
        <f t="shared" ca="1" si="59"/>
        <v>6.1369241613393126E-2</v>
      </c>
      <c r="F83" s="1">
        <f t="shared" ca="1" si="60"/>
        <v>41</v>
      </c>
      <c r="G83" s="1">
        <f t="shared" ca="1" si="61"/>
        <v>7</v>
      </c>
      <c r="H83" s="1">
        <f t="shared" ca="1" si="62"/>
        <v>3</v>
      </c>
      <c r="I83" s="1"/>
      <c r="J83" s="1">
        <f t="shared" ca="1" si="63"/>
        <v>34</v>
      </c>
      <c r="K83" s="1">
        <f t="shared" ca="1" si="64"/>
        <v>1.3964372455311322</v>
      </c>
      <c r="L83" s="1">
        <f t="shared" ca="1" si="65"/>
        <v>24</v>
      </c>
      <c r="M83" s="1"/>
      <c r="N83" s="1">
        <f t="shared" ca="1" si="66"/>
        <v>799</v>
      </c>
      <c r="O83" s="1">
        <f t="shared" ca="1" si="67"/>
        <v>50</v>
      </c>
      <c r="P83" s="1"/>
      <c r="Q83" s="1">
        <f t="shared" ca="1" si="68"/>
        <v>2.9500286837481449</v>
      </c>
      <c r="R83" s="1">
        <f t="shared" ca="1" si="69"/>
        <v>447</v>
      </c>
      <c r="S83" s="1"/>
      <c r="T83" s="1">
        <f t="shared" ca="1" si="70"/>
        <v>8.2956823640896543E-2</v>
      </c>
      <c r="U83" s="1">
        <f t="shared" ca="1" si="71"/>
        <v>141</v>
      </c>
      <c r="V83" s="1">
        <f t="shared" ca="1" si="72"/>
        <v>45</v>
      </c>
      <c r="W83" s="1"/>
      <c r="X83" s="1">
        <f t="shared" ca="1" si="73"/>
        <v>2.4666891680344101</v>
      </c>
      <c r="Y83" s="1">
        <f t="shared" ca="1" si="74"/>
        <v>8.5932796583551352E-2</v>
      </c>
      <c r="Z83" s="1">
        <f t="shared" ca="1" si="75"/>
        <v>275</v>
      </c>
      <c r="AB83" s="1">
        <f t="shared" ca="1" si="76"/>
        <v>0.88349379879966938</v>
      </c>
      <c r="AC83" s="1">
        <f t="shared" ca="1" si="77"/>
        <v>599</v>
      </c>
      <c r="AD83" s="1">
        <f t="shared" ca="1" si="78"/>
        <v>9.6311539482220408E-3</v>
      </c>
      <c r="AE83" s="1"/>
      <c r="AF83" s="1">
        <f t="shared" ca="1" si="79"/>
        <v>0.32686640580728377</v>
      </c>
      <c r="AG83" s="1">
        <f t="shared" ca="1" si="80"/>
        <v>533</v>
      </c>
      <c r="AH83" s="1">
        <f t="shared" ca="1" si="81"/>
        <v>3.9949023232806382E-3</v>
      </c>
      <c r="AJ83" s="1">
        <f t="shared" ca="1" si="82"/>
        <v>0.27678476787614326</v>
      </c>
      <c r="AK83" s="1">
        <f t="shared" ca="1" si="83"/>
        <v>1.5684103040593384E-3</v>
      </c>
      <c r="AL83" s="1"/>
      <c r="AM83" s="1">
        <f t="shared" ca="1" si="84"/>
        <v>4.2717622432055818E-2</v>
      </c>
      <c r="AN83" s="1">
        <f t="shared" ca="1" si="85"/>
        <v>60</v>
      </c>
      <c r="AO83" s="1">
        <f t="shared" ca="1" si="86"/>
        <v>11</v>
      </c>
      <c r="AQ83" s="1">
        <f t="shared" ca="1" si="87"/>
        <v>149</v>
      </c>
      <c r="AR83" s="1">
        <f t="shared" ca="1" si="88"/>
        <v>8</v>
      </c>
      <c r="AS83" s="1">
        <f t="shared" ca="1" si="89"/>
        <v>6</v>
      </c>
      <c r="AU83" s="1">
        <f t="shared" ca="1" si="90"/>
        <v>229</v>
      </c>
      <c r="AV83" s="1">
        <f t="shared" ca="1" si="91"/>
        <v>9</v>
      </c>
      <c r="AW83" s="1">
        <f t="shared" ca="1" si="92"/>
        <v>6.6377377026748563E-2</v>
      </c>
      <c r="AY83" s="1">
        <f t="shared" ca="1" si="93"/>
        <v>1.1892027716112483</v>
      </c>
      <c r="AZ83" s="1">
        <f t="shared" ca="1" si="94"/>
        <v>115</v>
      </c>
      <c r="BA83" s="1">
        <f t="shared" ca="1" si="95"/>
        <v>1.0295232482596974E-3</v>
      </c>
      <c r="BV83" s="1">
        <f t="shared" ca="1" si="96"/>
        <v>0.21516115729221855</v>
      </c>
      <c r="BW83" s="1">
        <f t="shared" ca="1" si="97"/>
        <v>595</v>
      </c>
      <c r="BX83" s="1">
        <f t="shared" ca="1" si="98"/>
        <v>4.3585617981070369E-4</v>
      </c>
      <c r="BY83" s="1">
        <f t="shared" ca="1" si="99"/>
        <v>9.9775454596368773E-2</v>
      </c>
      <c r="BZ83" s="1">
        <f t="shared" ca="1" si="100"/>
        <v>0.22657913210592362</v>
      </c>
      <c r="CB83" s="1">
        <f t="shared" ca="1" si="101"/>
        <v>360</v>
      </c>
      <c r="CC83" s="1">
        <f t="shared" ca="1" si="102"/>
        <v>3</v>
      </c>
      <c r="CD83" s="1">
        <f t="shared" ca="1" si="103"/>
        <v>0.22686792840564393</v>
      </c>
      <c r="CE83" s="1">
        <f t="shared" ca="1" si="104"/>
        <v>0.50517821796317275</v>
      </c>
      <c r="CF83" s="1">
        <f t="shared" ca="1" si="104"/>
        <v>0.5943416123324945</v>
      </c>
      <c r="CH83" s="3">
        <f t="shared" ca="1" si="105"/>
        <v>0.9973092328202906</v>
      </c>
      <c r="CI83" s="3">
        <f t="shared" ca="1" si="106"/>
        <v>7.3165034661590272E-2</v>
      </c>
      <c r="CJ83" s="3">
        <f t="shared" ca="1" si="107"/>
        <v>1534</v>
      </c>
      <c r="CK83" s="3">
        <f t="shared" ca="1" si="108"/>
        <v>9.9938149942665356E-3</v>
      </c>
      <c r="CL83" s="3">
        <f t="shared" ca="1" si="109"/>
        <v>1</v>
      </c>
      <c r="CM83" s="3"/>
      <c r="CN83" s="1">
        <f t="shared" ca="1" si="110"/>
        <v>0.97335515866354683</v>
      </c>
      <c r="CO83" s="1">
        <f t="shared" ca="1" si="111"/>
        <v>0.44699773661854303</v>
      </c>
      <c r="CP83" s="1">
        <f t="shared" ca="1" si="112"/>
        <v>1</v>
      </c>
    </row>
    <row r="84" spans="2:94" x14ac:dyDescent="0.25">
      <c r="B84">
        <f t="shared" ca="1" si="57"/>
        <v>39</v>
      </c>
      <c r="C84">
        <f t="shared" ca="1" si="58"/>
        <v>35</v>
      </c>
      <c r="D84">
        <f t="shared" ca="1" si="59"/>
        <v>0.22125136086596578</v>
      </c>
      <c r="F84" s="1">
        <f t="shared" ca="1" si="60"/>
        <v>3</v>
      </c>
      <c r="G84" s="1">
        <f t="shared" ca="1" si="61"/>
        <v>5</v>
      </c>
      <c r="H84" s="1">
        <f t="shared" ca="1" si="62"/>
        <v>9</v>
      </c>
      <c r="I84" s="1"/>
      <c r="J84" s="1">
        <f t="shared" ca="1" si="63"/>
        <v>13</v>
      </c>
      <c r="K84" s="1">
        <f t="shared" ca="1" si="64"/>
        <v>1.8725130956947651</v>
      </c>
      <c r="L84" s="1">
        <f t="shared" ca="1" si="65"/>
        <v>24</v>
      </c>
      <c r="M84" s="1"/>
      <c r="N84" s="1">
        <f t="shared" ca="1" si="66"/>
        <v>151</v>
      </c>
      <c r="O84" s="1">
        <f t="shared" ca="1" si="67"/>
        <v>42</v>
      </c>
      <c r="P84" s="1"/>
      <c r="Q84" s="1">
        <f t="shared" ca="1" si="68"/>
        <v>3.1316028752245511</v>
      </c>
      <c r="R84" s="1">
        <f t="shared" ca="1" si="69"/>
        <v>235</v>
      </c>
      <c r="S84" s="1"/>
      <c r="T84" s="1">
        <f t="shared" ca="1" si="70"/>
        <v>9.5825081852169314E-2</v>
      </c>
      <c r="U84" s="1">
        <f t="shared" ca="1" si="71"/>
        <v>333</v>
      </c>
      <c r="V84" s="1">
        <f t="shared" ca="1" si="72"/>
        <v>9</v>
      </c>
      <c r="W84" s="1"/>
      <c r="X84" s="1">
        <f t="shared" ca="1" si="73"/>
        <v>6.3836548575111021</v>
      </c>
      <c r="Y84" s="1">
        <f t="shared" ca="1" si="74"/>
        <v>0.72816475445214957</v>
      </c>
      <c r="Z84" s="1">
        <f t="shared" ca="1" si="75"/>
        <v>1282</v>
      </c>
      <c r="AB84" s="1">
        <f t="shared" ca="1" si="76"/>
        <v>0.73050354011871488</v>
      </c>
      <c r="AC84" s="1">
        <f t="shared" ca="1" si="77"/>
        <v>692</v>
      </c>
      <c r="AD84" s="1">
        <f t="shared" ca="1" si="78"/>
        <v>8.806327058133296E-3</v>
      </c>
      <c r="AE84" s="1"/>
      <c r="AF84" s="1">
        <f t="shared" ca="1" si="79"/>
        <v>0.30714888402596802</v>
      </c>
      <c r="AG84" s="1">
        <f t="shared" ca="1" si="80"/>
        <v>470</v>
      </c>
      <c r="AH84" s="1">
        <f t="shared" ca="1" si="81"/>
        <v>9.0880142842820165E-3</v>
      </c>
      <c r="AJ84" s="1">
        <f t="shared" ca="1" si="82"/>
        <v>0.81078044292999363</v>
      </c>
      <c r="AK84" s="1">
        <f t="shared" ca="1" si="83"/>
        <v>9.5130173650593056E-4</v>
      </c>
      <c r="AL84" s="1"/>
      <c r="AM84" s="1">
        <f t="shared" ca="1" si="84"/>
        <v>3.3655200496283913E-2</v>
      </c>
      <c r="AN84" s="1">
        <f t="shared" ca="1" si="85"/>
        <v>70</v>
      </c>
      <c r="AO84" s="1">
        <f t="shared" ca="1" si="86"/>
        <v>7</v>
      </c>
      <c r="AQ84" s="1">
        <f t="shared" ca="1" si="87"/>
        <v>34</v>
      </c>
      <c r="AR84" s="1">
        <f t="shared" ca="1" si="88"/>
        <v>5</v>
      </c>
      <c r="AS84" s="1">
        <f t="shared" ca="1" si="89"/>
        <v>99</v>
      </c>
      <c r="AU84" s="1">
        <f t="shared" ca="1" si="90"/>
        <v>264</v>
      </c>
      <c r="AV84" s="1">
        <f t="shared" ca="1" si="91"/>
        <v>6</v>
      </c>
      <c r="AW84" s="1">
        <f t="shared" ca="1" si="92"/>
        <v>3.8190187938097996E-2</v>
      </c>
      <c r="AY84" s="1">
        <f t="shared" ca="1" si="93"/>
        <v>1.6627723887572126</v>
      </c>
      <c r="AZ84" s="1">
        <f t="shared" ca="1" si="94"/>
        <v>439</v>
      </c>
      <c r="BA84" s="1">
        <f t="shared" ca="1" si="95"/>
        <v>8.8372444964558965E-3</v>
      </c>
      <c r="BV84" s="1">
        <f t="shared" ca="1" si="96"/>
        <v>0.28843780985382278</v>
      </c>
      <c r="BW84" s="1">
        <f t="shared" ca="1" si="97"/>
        <v>773</v>
      </c>
      <c r="BX84" s="1">
        <f t="shared" ca="1" si="98"/>
        <v>8.7103681916374971E-3</v>
      </c>
      <c r="BY84" s="1">
        <f t="shared" ca="1" si="99"/>
        <v>9.0275261217563491E-2</v>
      </c>
      <c r="BZ84" s="1">
        <f t="shared" ca="1" si="100"/>
        <v>0.74797850576418023</v>
      </c>
      <c r="CB84" s="1">
        <f t="shared" ca="1" si="101"/>
        <v>470</v>
      </c>
      <c r="CC84" s="1">
        <f t="shared" ca="1" si="102"/>
        <v>13</v>
      </c>
      <c r="CD84" s="1">
        <f t="shared" ca="1" si="103"/>
        <v>4.5393688589375279E-2</v>
      </c>
      <c r="CE84" s="1">
        <f t="shared" ca="1" si="104"/>
        <v>0.9291138844368505</v>
      </c>
      <c r="CF84" s="1">
        <f t="shared" ca="1" si="104"/>
        <v>0.62152992676294327</v>
      </c>
      <c r="CH84" s="3">
        <f t="shared" ca="1" si="105"/>
        <v>0.91631132792979308</v>
      </c>
      <c r="CI84" s="3">
        <f t="shared" ca="1" si="106"/>
        <v>0.79301771230554563</v>
      </c>
      <c r="CJ84" s="3">
        <f t="shared" ca="1" si="107"/>
        <v>418</v>
      </c>
      <c r="CK84" s="3">
        <f t="shared" ca="1" si="108"/>
        <v>7.7843971858781126E-3</v>
      </c>
      <c r="CL84" s="3">
        <f t="shared" ca="1" si="109"/>
        <v>1</v>
      </c>
      <c r="CM84" s="3"/>
      <c r="CN84" s="1">
        <f t="shared" ca="1" si="110"/>
        <v>17.731676974299319</v>
      </c>
      <c r="CO84" s="1">
        <f t="shared" ca="1" si="111"/>
        <v>0.30272202683859156</v>
      </c>
      <c r="CP84" s="1">
        <f t="shared" ca="1" si="112"/>
        <v>2</v>
      </c>
    </row>
    <row r="85" spans="2:94" x14ac:dyDescent="0.25">
      <c r="B85">
        <f t="shared" ca="1" si="57"/>
        <v>608</v>
      </c>
      <c r="C85">
        <f t="shared" ca="1" si="58"/>
        <v>30</v>
      </c>
      <c r="D85">
        <f t="shared" ca="1" si="59"/>
        <v>0.22661397095394092</v>
      </c>
      <c r="F85" s="1">
        <f t="shared" ca="1" si="60"/>
        <v>45</v>
      </c>
      <c r="G85" s="1">
        <f t="shared" ca="1" si="61"/>
        <v>4</v>
      </c>
      <c r="H85" s="1">
        <f t="shared" ca="1" si="62"/>
        <v>6</v>
      </c>
      <c r="I85" s="1"/>
      <c r="J85" s="1">
        <f t="shared" ca="1" si="63"/>
        <v>28</v>
      </c>
      <c r="K85" s="1">
        <f t="shared" ca="1" si="64"/>
        <v>1.7860530477284606</v>
      </c>
      <c r="L85" s="1">
        <f t="shared" ca="1" si="65"/>
        <v>7</v>
      </c>
      <c r="M85" s="1"/>
      <c r="N85" s="1">
        <f t="shared" ca="1" si="66"/>
        <v>779</v>
      </c>
      <c r="O85" s="1">
        <f t="shared" ca="1" si="67"/>
        <v>16</v>
      </c>
      <c r="P85" s="1"/>
      <c r="Q85" s="1">
        <f t="shared" ca="1" si="68"/>
        <v>3.7678303933309936</v>
      </c>
      <c r="R85" s="1">
        <f t="shared" ca="1" si="69"/>
        <v>664</v>
      </c>
      <c r="S85" s="1"/>
      <c r="T85" s="1">
        <f t="shared" ca="1" si="70"/>
        <v>5.0532192365481898E-2</v>
      </c>
      <c r="U85" s="1">
        <f t="shared" ca="1" si="71"/>
        <v>148</v>
      </c>
      <c r="V85" s="1">
        <f t="shared" ca="1" si="72"/>
        <v>18</v>
      </c>
      <c r="W85" s="1"/>
      <c r="X85" s="1">
        <f t="shared" ca="1" si="73"/>
        <v>5.5695570218086754</v>
      </c>
      <c r="Y85" s="1">
        <f t="shared" ca="1" si="74"/>
        <v>0.770212887747311</v>
      </c>
      <c r="Z85" s="1">
        <f t="shared" ca="1" si="75"/>
        <v>1394</v>
      </c>
      <c r="AB85" s="1">
        <f t="shared" ca="1" si="76"/>
        <v>0.73062977006861707</v>
      </c>
      <c r="AC85" s="1">
        <f t="shared" ca="1" si="77"/>
        <v>526</v>
      </c>
      <c r="AD85" s="1">
        <f t="shared" ca="1" si="78"/>
        <v>6.6590456187880015E-3</v>
      </c>
      <c r="AE85" s="1"/>
      <c r="AF85" s="1">
        <f t="shared" ca="1" si="79"/>
        <v>0.82479197237021828</v>
      </c>
      <c r="AG85" s="1">
        <f t="shared" ca="1" si="80"/>
        <v>823</v>
      </c>
      <c r="AH85" s="1">
        <f t="shared" ca="1" si="81"/>
        <v>1.4323381125513983E-3</v>
      </c>
      <c r="AJ85" s="1">
        <f t="shared" ca="1" si="82"/>
        <v>7.3817128380240238E-3</v>
      </c>
      <c r="AK85" s="1">
        <f t="shared" ca="1" si="83"/>
        <v>6.0381681124934286E-3</v>
      </c>
      <c r="AL85" s="1"/>
      <c r="AM85" s="1">
        <f t="shared" ca="1" si="84"/>
        <v>0.11659128691942104</v>
      </c>
      <c r="AN85" s="1">
        <f t="shared" ca="1" si="85"/>
        <v>24</v>
      </c>
      <c r="AO85" s="1">
        <f t="shared" ca="1" si="86"/>
        <v>19</v>
      </c>
      <c r="AQ85" s="1">
        <f t="shared" ca="1" si="87"/>
        <v>161</v>
      </c>
      <c r="AR85" s="1">
        <f t="shared" ca="1" si="88"/>
        <v>10</v>
      </c>
      <c r="AS85" s="1">
        <f t="shared" ca="1" si="89"/>
        <v>50</v>
      </c>
      <c r="AU85" s="1">
        <f t="shared" ca="1" si="90"/>
        <v>277</v>
      </c>
      <c r="AV85" s="1">
        <f t="shared" ca="1" si="91"/>
        <v>10</v>
      </c>
      <c r="AW85" s="1">
        <f t="shared" ca="1" si="92"/>
        <v>4.7508930811682587E-2</v>
      </c>
      <c r="AY85" s="1">
        <f t="shared" ca="1" si="93"/>
        <v>1.6154853425928568</v>
      </c>
      <c r="AZ85" s="1">
        <f t="shared" ca="1" si="94"/>
        <v>357</v>
      </c>
      <c r="BA85" s="1">
        <f t="shared" ca="1" si="95"/>
        <v>8.2389662701942718E-3</v>
      </c>
      <c r="BV85" s="1">
        <f t="shared" ca="1" si="96"/>
        <v>0.125461331016576</v>
      </c>
      <c r="BW85" s="1">
        <f t="shared" ca="1" si="97"/>
        <v>279</v>
      </c>
      <c r="BX85" s="1">
        <f t="shared" ca="1" si="98"/>
        <v>6.7627766642964536E-3</v>
      </c>
      <c r="BY85" s="1">
        <f t="shared" ca="1" si="99"/>
        <v>9.198729170131514E-3</v>
      </c>
      <c r="BZ85" s="1">
        <f t="shared" ca="1" si="100"/>
        <v>4.8868170676663825E-2</v>
      </c>
      <c r="CB85" s="1">
        <f t="shared" ca="1" si="101"/>
        <v>270</v>
      </c>
      <c r="CC85" s="1">
        <f t="shared" ca="1" si="102"/>
        <v>7</v>
      </c>
      <c r="CD85" s="1">
        <f t="shared" ca="1" si="103"/>
        <v>3.0619005894629743E-2</v>
      </c>
      <c r="CE85" s="1">
        <f t="shared" ca="1" si="104"/>
        <v>0.9599812215302963</v>
      </c>
      <c r="CF85" s="1">
        <f t="shared" ca="1" si="104"/>
        <v>0.57433911459271081</v>
      </c>
      <c r="CH85" s="3">
        <f t="shared" ca="1" si="105"/>
        <v>0.23930405176941724</v>
      </c>
      <c r="CI85" s="3">
        <f t="shared" ca="1" si="106"/>
        <v>0.19882228319708622</v>
      </c>
      <c r="CJ85" s="3">
        <f t="shared" ca="1" si="107"/>
        <v>598</v>
      </c>
      <c r="CK85" s="3">
        <f t="shared" ca="1" si="108"/>
        <v>7.6275697798961406E-3</v>
      </c>
      <c r="CL85" s="3">
        <f t="shared" ca="1" si="109"/>
        <v>0</v>
      </c>
      <c r="CM85" s="3"/>
      <c r="CN85" s="1">
        <f t="shared" ca="1" si="110"/>
        <v>10.723311916035129</v>
      </c>
      <c r="CO85" s="1">
        <f t="shared" ca="1" si="111"/>
        <v>0.26382623952046619</v>
      </c>
      <c r="CP85" s="1">
        <f t="shared" ca="1" si="112"/>
        <v>3</v>
      </c>
    </row>
    <row r="86" spans="2:94" x14ac:dyDescent="0.25">
      <c r="B86">
        <f t="shared" ca="1" si="57"/>
        <v>431</v>
      </c>
      <c r="C86">
        <f t="shared" ca="1" si="58"/>
        <v>48</v>
      </c>
      <c r="D86">
        <f t="shared" ca="1" si="59"/>
        <v>0.24052955573150478</v>
      </c>
      <c r="F86" s="1">
        <f t="shared" ca="1" si="60"/>
        <v>25</v>
      </c>
      <c r="G86" s="1">
        <f t="shared" ca="1" si="61"/>
        <v>4</v>
      </c>
      <c r="H86" s="1">
        <f t="shared" ca="1" si="62"/>
        <v>6</v>
      </c>
      <c r="I86" s="1"/>
      <c r="J86" s="1">
        <f t="shared" ca="1" si="63"/>
        <v>12</v>
      </c>
      <c r="K86" s="1">
        <f t="shared" ca="1" si="64"/>
        <v>1.0580124919983076</v>
      </c>
      <c r="L86" s="1">
        <f t="shared" ca="1" si="65"/>
        <v>16</v>
      </c>
      <c r="M86" s="1"/>
      <c r="N86" s="1">
        <f t="shared" ca="1" si="66"/>
        <v>389</v>
      </c>
      <c r="O86" s="1">
        <f t="shared" ca="1" si="67"/>
        <v>15</v>
      </c>
      <c r="P86" s="1"/>
      <c r="Q86" s="1">
        <f t="shared" ca="1" si="68"/>
        <v>2.2247228542063038</v>
      </c>
      <c r="R86" s="1">
        <f t="shared" ca="1" si="69"/>
        <v>528</v>
      </c>
      <c r="S86" s="1"/>
      <c r="T86" s="1">
        <f t="shared" ca="1" si="70"/>
        <v>0.14941947829297617</v>
      </c>
      <c r="U86" s="1">
        <f t="shared" ca="1" si="71"/>
        <v>222</v>
      </c>
      <c r="V86" s="1">
        <f t="shared" ca="1" si="72"/>
        <v>40</v>
      </c>
      <c r="W86" s="1"/>
      <c r="X86" s="1">
        <f t="shared" ca="1" si="73"/>
        <v>2.3121211476550774</v>
      </c>
      <c r="Y86" s="1">
        <f t="shared" ca="1" si="74"/>
        <v>1.8520567975181434E-2</v>
      </c>
      <c r="Z86" s="1">
        <f t="shared" ca="1" si="75"/>
        <v>1650</v>
      </c>
      <c r="AB86" s="1">
        <f t="shared" ca="1" si="76"/>
        <v>0.79582270496183527</v>
      </c>
      <c r="AC86" s="1">
        <f t="shared" ca="1" si="77"/>
        <v>493</v>
      </c>
      <c r="AD86" s="1">
        <f t="shared" ca="1" si="78"/>
        <v>7.985842789226193E-3</v>
      </c>
      <c r="AE86" s="1"/>
      <c r="AF86" s="1">
        <f t="shared" ca="1" si="79"/>
        <v>0.76324920444861155</v>
      </c>
      <c r="AG86" s="1">
        <f t="shared" ca="1" si="80"/>
        <v>617</v>
      </c>
      <c r="AH86" s="1">
        <f t="shared" ca="1" si="81"/>
        <v>4.7993255133355998E-3</v>
      </c>
      <c r="AJ86" s="1">
        <f t="shared" ca="1" si="82"/>
        <v>0.31219772376206412</v>
      </c>
      <c r="AK86" s="1">
        <f t="shared" ca="1" si="83"/>
        <v>9.415365170193318E-3</v>
      </c>
      <c r="AL86" s="1"/>
      <c r="AM86" s="1">
        <f t="shared" ca="1" si="84"/>
        <v>0.13804490745541076</v>
      </c>
      <c r="AN86" s="1">
        <f t="shared" ca="1" si="85"/>
        <v>79</v>
      </c>
      <c r="AO86" s="1">
        <f t="shared" ca="1" si="86"/>
        <v>18</v>
      </c>
      <c r="AQ86" s="1">
        <f t="shared" ca="1" si="87"/>
        <v>52</v>
      </c>
      <c r="AR86" s="1">
        <f t="shared" ca="1" si="88"/>
        <v>4</v>
      </c>
      <c r="AS86" s="1">
        <f t="shared" ca="1" si="89"/>
        <v>75</v>
      </c>
      <c r="AU86" s="1">
        <f t="shared" ca="1" si="90"/>
        <v>283</v>
      </c>
      <c r="AV86" s="1">
        <f t="shared" ca="1" si="91"/>
        <v>2</v>
      </c>
      <c r="AW86" s="1">
        <f t="shared" ca="1" si="92"/>
        <v>0.19491975230116396</v>
      </c>
      <c r="AY86" s="1">
        <f t="shared" ca="1" si="93"/>
        <v>1.5372693006346714</v>
      </c>
      <c r="AZ86" s="1">
        <f t="shared" ca="1" si="94"/>
        <v>420</v>
      </c>
      <c r="BA86" s="1">
        <f t="shared" ca="1" si="95"/>
        <v>9.2023707396353387E-3</v>
      </c>
      <c r="BV86" s="1">
        <f t="shared" ca="1" si="96"/>
        <v>0.27976501511955681</v>
      </c>
      <c r="BW86" s="1">
        <f t="shared" ca="1" si="97"/>
        <v>894</v>
      </c>
      <c r="BX86" s="1">
        <f t="shared" ca="1" si="98"/>
        <v>6.79577872450379E-3</v>
      </c>
      <c r="BY86" s="1">
        <f t="shared" ca="1" si="99"/>
        <v>2.4720257620881172E-2</v>
      </c>
      <c r="BZ86" s="1">
        <f t="shared" ca="1" si="100"/>
        <v>0.22570889066358946</v>
      </c>
      <c r="CB86" s="1">
        <f t="shared" ca="1" si="101"/>
        <v>125</v>
      </c>
      <c r="CC86" s="1">
        <f t="shared" ca="1" si="102"/>
        <v>12</v>
      </c>
      <c r="CD86" s="1">
        <f t="shared" ca="1" si="103"/>
        <v>0.23937852727155762</v>
      </c>
      <c r="CE86" s="1">
        <f t="shared" ca="1" si="104"/>
        <v>0.7833545986382966</v>
      </c>
      <c r="CF86" s="1">
        <f t="shared" ca="1" si="104"/>
        <v>0.58283005784772746</v>
      </c>
      <c r="CH86" s="3">
        <f t="shared" ca="1" si="105"/>
        <v>0.25152931656120431</v>
      </c>
      <c r="CI86" s="3">
        <f t="shared" ca="1" si="106"/>
        <v>0.70710674286658637</v>
      </c>
      <c r="CJ86" s="3">
        <f t="shared" ca="1" si="107"/>
        <v>956</v>
      </c>
      <c r="CK86" s="3">
        <f t="shared" ca="1" si="108"/>
        <v>9.668966564863532E-3</v>
      </c>
      <c r="CL86" s="3">
        <f t="shared" ca="1" si="109"/>
        <v>0</v>
      </c>
      <c r="CM86" s="3"/>
      <c r="CN86" s="1">
        <f t="shared" ca="1" si="110"/>
        <v>9.3460770809411287</v>
      </c>
      <c r="CO86" s="1">
        <f t="shared" ca="1" si="111"/>
        <v>0.13426484579462294</v>
      </c>
      <c r="CP86" s="1">
        <f t="shared" ca="1" si="112"/>
        <v>4</v>
      </c>
    </row>
    <row r="87" spans="2:94" x14ac:dyDescent="0.25">
      <c r="B87">
        <f t="shared" ca="1" si="57"/>
        <v>444</v>
      </c>
      <c r="C87">
        <f t="shared" ca="1" si="58"/>
        <v>45</v>
      </c>
      <c r="D87">
        <f t="shared" ca="1" si="59"/>
        <v>0.11136020446420229</v>
      </c>
      <c r="F87" s="1">
        <f t="shared" ca="1" si="60"/>
        <v>43</v>
      </c>
      <c r="G87" s="1">
        <f t="shared" ca="1" si="61"/>
        <v>26</v>
      </c>
      <c r="H87" s="1">
        <f t="shared" ca="1" si="62"/>
        <v>8</v>
      </c>
      <c r="I87" s="1"/>
      <c r="J87" s="1">
        <f t="shared" ca="1" si="63"/>
        <v>23</v>
      </c>
      <c r="K87" s="1">
        <f t="shared" ca="1" si="64"/>
        <v>1.8593482739340612</v>
      </c>
      <c r="L87" s="1">
        <f t="shared" ca="1" si="65"/>
        <v>15</v>
      </c>
      <c r="M87" s="1"/>
      <c r="N87" s="1">
        <f t="shared" ca="1" si="66"/>
        <v>273</v>
      </c>
      <c r="O87" s="1">
        <f t="shared" ca="1" si="67"/>
        <v>20</v>
      </c>
      <c r="P87" s="1"/>
      <c r="Q87" s="1">
        <f t="shared" ca="1" si="68"/>
        <v>2.1993234350688025</v>
      </c>
      <c r="R87" s="1">
        <f t="shared" ca="1" si="69"/>
        <v>282</v>
      </c>
      <c r="S87" s="1"/>
      <c r="T87" s="1">
        <f t="shared" ca="1" si="70"/>
        <v>5.1589953578553796E-2</v>
      </c>
      <c r="U87" s="1">
        <f t="shared" ca="1" si="71"/>
        <v>355</v>
      </c>
      <c r="V87" s="1">
        <f t="shared" ca="1" si="72"/>
        <v>44</v>
      </c>
      <c r="W87" s="1"/>
      <c r="X87" s="1">
        <f t="shared" ca="1" si="73"/>
        <v>2.9834955483508554</v>
      </c>
      <c r="Y87" s="1">
        <f t="shared" ca="1" si="74"/>
        <v>0.47359488485220341</v>
      </c>
      <c r="Z87" s="1">
        <f t="shared" ca="1" si="75"/>
        <v>1977</v>
      </c>
      <c r="AB87" s="1">
        <f t="shared" ca="1" si="76"/>
        <v>0.72099633757712944</v>
      </c>
      <c r="AC87" s="1">
        <f t="shared" ca="1" si="77"/>
        <v>955</v>
      </c>
      <c r="AD87" s="1">
        <f t="shared" ca="1" si="78"/>
        <v>8.9597610304189435E-3</v>
      </c>
      <c r="AE87" s="1"/>
      <c r="AF87" s="1">
        <f t="shared" ca="1" si="79"/>
        <v>0.4806131619173486</v>
      </c>
      <c r="AG87" s="1">
        <f t="shared" ca="1" si="80"/>
        <v>680</v>
      </c>
      <c r="AH87" s="1">
        <f t="shared" ca="1" si="81"/>
        <v>5.8041522523366177E-3</v>
      </c>
      <c r="AJ87" s="1">
        <f t="shared" ca="1" si="82"/>
        <v>0.25681607570156462</v>
      </c>
      <c r="AK87" s="1">
        <f t="shared" ca="1" si="83"/>
        <v>6.1261625794654011E-3</v>
      </c>
      <c r="AL87" s="1"/>
      <c r="AM87" s="1">
        <f t="shared" ca="1" si="84"/>
        <v>0.1637887512622766</v>
      </c>
      <c r="AN87" s="1">
        <f t="shared" ca="1" si="85"/>
        <v>44</v>
      </c>
      <c r="AO87" s="1">
        <f t="shared" ca="1" si="86"/>
        <v>7</v>
      </c>
      <c r="AQ87" s="1">
        <f t="shared" ca="1" si="87"/>
        <v>161</v>
      </c>
      <c r="AR87" s="1">
        <f t="shared" ca="1" si="88"/>
        <v>6</v>
      </c>
      <c r="AS87" s="1">
        <f t="shared" ca="1" si="89"/>
        <v>21</v>
      </c>
      <c r="AU87" s="1">
        <f t="shared" ca="1" si="90"/>
        <v>387</v>
      </c>
      <c r="AV87" s="1">
        <f t="shared" ca="1" si="91"/>
        <v>4</v>
      </c>
      <c r="AW87" s="1">
        <f t="shared" ca="1" si="92"/>
        <v>4.2426592422363879E-2</v>
      </c>
      <c r="AY87" s="1">
        <f t="shared" ca="1" si="93"/>
        <v>1.1897816470367302</v>
      </c>
      <c r="AZ87" s="1">
        <f t="shared" ca="1" si="94"/>
        <v>376</v>
      </c>
      <c r="BA87" s="1">
        <f t="shared" ca="1" si="95"/>
        <v>4.6600475315085833E-3</v>
      </c>
      <c r="BV87" s="1">
        <f t="shared" ca="1" si="96"/>
        <v>7.4978358143558436E-3</v>
      </c>
      <c r="BW87" s="1">
        <f t="shared" ca="1" si="97"/>
        <v>801</v>
      </c>
      <c r="BX87" s="1">
        <f t="shared" ca="1" si="98"/>
        <v>5.9517066360193121E-3</v>
      </c>
      <c r="BY87" s="1">
        <f t="shared" ca="1" si="99"/>
        <v>3.7224119246826962E-2</v>
      </c>
      <c r="BZ87" s="1">
        <f t="shared" ca="1" si="100"/>
        <v>1.4021479536641568E-2</v>
      </c>
      <c r="CB87" s="1">
        <f t="shared" ca="1" si="101"/>
        <v>367</v>
      </c>
      <c r="CC87" s="1">
        <f t="shared" ca="1" si="102"/>
        <v>9</v>
      </c>
      <c r="CD87" s="1">
        <f t="shared" ca="1" si="103"/>
        <v>0.15722364714746567</v>
      </c>
      <c r="CE87" s="1">
        <f t="shared" ca="1" si="104"/>
        <v>0.51944660707898438</v>
      </c>
      <c r="CF87" s="1">
        <f t="shared" ca="1" si="104"/>
        <v>0.99087722741248174</v>
      </c>
      <c r="CH87" s="3">
        <f t="shared" ca="1" si="105"/>
        <v>0.23540929124560778</v>
      </c>
      <c r="CI87" s="3">
        <f t="shared" ca="1" si="106"/>
        <v>0.20631150427558825</v>
      </c>
      <c r="CJ87" s="3">
        <f t="shared" ca="1" si="107"/>
        <v>496</v>
      </c>
      <c r="CK87" s="3">
        <f t="shared" ca="1" si="108"/>
        <v>6.8104517139853772E-3</v>
      </c>
      <c r="CL87" s="3">
        <f t="shared" ca="1" si="109"/>
        <v>0</v>
      </c>
      <c r="CM87" s="3"/>
      <c r="CN87" s="1">
        <f t="shared" ca="1" si="110"/>
        <v>9.7755977541610442</v>
      </c>
      <c r="CO87" s="1">
        <f t="shared" ca="1" si="111"/>
        <v>0.32223420313978102</v>
      </c>
      <c r="CP87" s="1">
        <f t="shared" ca="1" si="112"/>
        <v>5</v>
      </c>
    </row>
    <row r="88" spans="2:94" x14ac:dyDescent="0.25">
      <c r="B88">
        <f t="shared" ca="1" si="57"/>
        <v>821</v>
      </c>
      <c r="C88">
        <f t="shared" ca="1" si="58"/>
        <v>21</v>
      </c>
      <c r="D88">
        <f t="shared" ca="1" si="59"/>
        <v>0.10576109319409116</v>
      </c>
      <c r="F88" s="1">
        <f t="shared" ca="1" si="60"/>
        <v>39</v>
      </c>
      <c r="G88" s="1">
        <f t="shared" ca="1" si="61"/>
        <v>29</v>
      </c>
      <c r="H88" s="1">
        <f t="shared" ca="1" si="62"/>
        <v>3</v>
      </c>
      <c r="I88" s="1"/>
      <c r="J88" s="1">
        <f t="shared" ca="1" si="63"/>
        <v>16</v>
      </c>
      <c r="K88" s="1">
        <f t="shared" ca="1" si="64"/>
        <v>2.7870070530947233</v>
      </c>
      <c r="L88" s="1">
        <f t="shared" ca="1" si="65"/>
        <v>31</v>
      </c>
      <c r="M88" s="1"/>
      <c r="N88" s="1">
        <f t="shared" ca="1" si="66"/>
        <v>623</v>
      </c>
      <c r="O88" s="1">
        <f t="shared" ca="1" si="67"/>
        <v>42</v>
      </c>
      <c r="P88" s="1"/>
      <c r="Q88" s="1">
        <f t="shared" ca="1" si="68"/>
        <v>0.12362294542274249</v>
      </c>
      <c r="R88" s="1">
        <f t="shared" ca="1" si="69"/>
        <v>355</v>
      </c>
      <c r="S88" s="1"/>
      <c r="T88" s="1">
        <f t="shared" ca="1" si="70"/>
        <v>1.8957861085986214E-2</v>
      </c>
      <c r="U88" s="1">
        <f t="shared" ca="1" si="71"/>
        <v>154</v>
      </c>
      <c r="V88" s="1">
        <f t="shared" ca="1" si="72"/>
        <v>27</v>
      </c>
      <c r="W88" s="1"/>
      <c r="X88" s="1">
        <f t="shared" ca="1" si="73"/>
        <v>0.19317095532056022</v>
      </c>
      <c r="Y88" s="1">
        <f t="shared" ca="1" si="74"/>
        <v>0.31740574925930248</v>
      </c>
      <c r="Z88" s="1">
        <f t="shared" ca="1" si="75"/>
        <v>1829</v>
      </c>
      <c r="AB88" s="1">
        <f t="shared" ca="1" si="76"/>
        <v>0.3942115890656579</v>
      </c>
      <c r="AC88" s="1">
        <f t="shared" ca="1" si="77"/>
        <v>758</v>
      </c>
      <c r="AD88" s="1">
        <f t="shared" ca="1" si="78"/>
        <v>4.3787040571190584E-3</v>
      </c>
      <c r="AE88" s="1"/>
      <c r="AF88" s="1">
        <f t="shared" ca="1" si="79"/>
        <v>0.89509537964339181</v>
      </c>
      <c r="AG88" s="1">
        <f t="shared" ca="1" si="80"/>
        <v>581</v>
      </c>
      <c r="AH88" s="1">
        <f t="shared" ca="1" si="81"/>
        <v>6.4993657095110515E-3</v>
      </c>
      <c r="AJ88" s="1">
        <f t="shared" ca="1" si="82"/>
        <v>0.99815327076237492</v>
      </c>
      <c r="AK88" s="1">
        <f t="shared" ca="1" si="83"/>
        <v>7.4031082536731635E-3</v>
      </c>
      <c r="AL88" s="1"/>
      <c r="AM88" s="1">
        <f t="shared" ca="1" si="84"/>
        <v>2.3344395576330855E-2</v>
      </c>
      <c r="AN88" s="1">
        <f t="shared" ca="1" si="85"/>
        <v>70</v>
      </c>
      <c r="AO88" s="1">
        <f t="shared" ca="1" si="86"/>
        <v>7</v>
      </c>
      <c r="AQ88" s="1">
        <f t="shared" ca="1" si="87"/>
        <v>129</v>
      </c>
      <c r="AR88" s="1">
        <f t="shared" ca="1" si="88"/>
        <v>0</v>
      </c>
      <c r="AS88" s="1">
        <f t="shared" ca="1" si="89"/>
        <v>62</v>
      </c>
      <c r="AU88" s="1">
        <f t="shared" ca="1" si="90"/>
        <v>324</v>
      </c>
      <c r="AV88" s="1">
        <f t="shared" ca="1" si="91"/>
        <v>10</v>
      </c>
      <c r="AW88" s="1">
        <f t="shared" ca="1" si="92"/>
        <v>0.1735680178910998</v>
      </c>
      <c r="AY88" s="1">
        <f t="shared" ca="1" si="93"/>
        <v>1.2343040594515671</v>
      </c>
      <c r="AZ88" s="1">
        <f t="shared" ca="1" si="94"/>
        <v>63</v>
      </c>
      <c r="BA88" s="1">
        <f t="shared" ca="1" si="95"/>
        <v>6.174778530545111E-3</v>
      </c>
      <c r="BV88" s="1">
        <f t="shared" ca="1" si="96"/>
        <v>0.338182642917423</v>
      </c>
      <c r="BW88" s="1">
        <f t="shared" ca="1" si="97"/>
        <v>831</v>
      </c>
      <c r="BX88" s="1">
        <f t="shared" ca="1" si="98"/>
        <v>4.1193231080702223E-3</v>
      </c>
      <c r="BY88" s="1">
        <f t="shared" ca="1" si="99"/>
        <v>3.8434852982468959E-2</v>
      </c>
      <c r="BZ88" s="1">
        <f t="shared" ca="1" si="100"/>
        <v>0.90284095111536899</v>
      </c>
      <c r="CB88" s="1">
        <f t="shared" ca="1" si="101"/>
        <v>111</v>
      </c>
      <c r="CC88" s="1">
        <f t="shared" ca="1" si="102"/>
        <v>6</v>
      </c>
      <c r="CD88" s="1">
        <f t="shared" ca="1" si="103"/>
        <v>0.23043756328525036</v>
      </c>
      <c r="CE88" s="1">
        <f t="shared" ca="1" si="104"/>
        <v>0.77722500379857162</v>
      </c>
      <c r="CF88" s="1">
        <f t="shared" ca="1" si="104"/>
        <v>0.7776458730471687</v>
      </c>
      <c r="CH88" s="3">
        <f t="shared" ca="1" si="105"/>
        <v>0.67695701123332341</v>
      </c>
      <c r="CI88" s="3">
        <f t="shared" ca="1" si="106"/>
        <v>0.70415523866413321</v>
      </c>
      <c r="CJ88" s="3">
        <f t="shared" ca="1" si="107"/>
        <v>1625</v>
      </c>
      <c r="CK88" s="3">
        <f t="shared" ca="1" si="108"/>
        <v>7.3167802291370801E-3</v>
      </c>
      <c r="CL88" s="3">
        <f t="shared" ca="1" si="109"/>
        <v>0</v>
      </c>
      <c r="CM88" s="3"/>
      <c r="CN88" s="1">
        <f t="shared" ca="1" si="110"/>
        <v>14.848884905343128</v>
      </c>
      <c r="CO88" s="1">
        <f t="shared" ca="1" si="111"/>
        <v>0.46984755860756783</v>
      </c>
      <c r="CP88" s="1">
        <f t="shared" ca="1" si="112"/>
        <v>5</v>
      </c>
    </row>
    <row r="89" spans="2:94" x14ac:dyDescent="0.25">
      <c r="B89">
        <f t="shared" ca="1" si="57"/>
        <v>742</v>
      </c>
      <c r="C89">
        <f t="shared" ca="1" si="58"/>
        <v>5</v>
      </c>
      <c r="D89">
        <f t="shared" ca="1" si="59"/>
        <v>0.19308007931226165</v>
      </c>
      <c r="F89" s="1">
        <f t="shared" ca="1" si="60"/>
        <v>13</v>
      </c>
      <c r="G89" s="1">
        <f t="shared" ca="1" si="61"/>
        <v>20</v>
      </c>
      <c r="H89" s="1">
        <f t="shared" ca="1" si="62"/>
        <v>10</v>
      </c>
      <c r="I89" s="1"/>
      <c r="J89" s="1">
        <f t="shared" ca="1" si="63"/>
        <v>10</v>
      </c>
      <c r="K89" s="1">
        <f t="shared" ca="1" si="64"/>
        <v>1.7426109804539223</v>
      </c>
      <c r="L89" s="1">
        <f t="shared" ca="1" si="65"/>
        <v>18</v>
      </c>
      <c r="M89" s="1"/>
      <c r="N89" s="1">
        <f t="shared" ca="1" si="66"/>
        <v>961</v>
      </c>
      <c r="O89" s="1">
        <f t="shared" ca="1" si="67"/>
        <v>22</v>
      </c>
      <c r="P89" s="1"/>
      <c r="Q89" s="1">
        <f t="shared" ca="1" si="68"/>
        <v>2.9185034668490197</v>
      </c>
      <c r="R89" s="1">
        <f t="shared" ca="1" si="69"/>
        <v>1120</v>
      </c>
      <c r="S89" s="1"/>
      <c r="T89" s="1">
        <f t="shared" ca="1" si="70"/>
        <v>7.83215161073407E-2</v>
      </c>
      <c r="U89" s="1">
        <f t="shared" ca="1" si="71"/>
        <v>201</v>
      </c>
      <c r="V89" s="1">
        <f t="shared" ca="1" si="72"/>
        <v>26</v>
      </c>
      <c r="W89" s="1"/>
      <c r="X89" s="1">
        <f t="shared" ca="1" si="73"/>
        <v>4.3279520098707787</v>
      </c>
      <c r="Y89" s="1">
        <f t="shared" ca="1" si="74"/>
        <v>0.45185266055995776</v>
      </c>
      <c r="Z89" s="1">
        <f t="shared" ca="1" si="75"/>
        <v>1015</v>
      </c>
      <c r="AB89" s="1">
        <f t="shared" ca="1" si="76"/>
        <v>0.14364980443160685</v>
      </c>
      <c r="AC89" s="1">
        <f t="shared" ca="1" si="77"/>
        <v>400</v>
      </c>
      <c r="AD89" s="1">
        <f t="shared" ca="1" si="78"/>
        <v>1.6949173870954692E-4</v>
      </c>
      <c r="AE89" s="1"/>
      <c r="AF89" s="1">
        <f t="shared" ca="1" si="79"/>
        <v>0.77453105254591847</v>
      </c>
      <c r="AG89" s="1">
        <f t="shared" ca="1" si="80"/>
        <v>795</v>
      </c>
      <c r="AH89" s="1">
        <f t="shared" ca="1" si="81"/>
        <v>4.0075597894728238E-4</v>
      </c>
      <c r="AJ89" s="1">
        <f t="shared" ca="1" si="82"/>
        <v>0.76279627049049181</v>
      </c>
      <c r="AK89" s="1">
        <f t="shared" ca="1" si="83"/>
        <v>7.3281038411714683E-3</v>
      </c>
      <c r="AL89" s="1"/>
      <c r="AM89" s="1">
        <f t="shared" ca="1" si="84"/>
        <v>0.19015183235039496</v>
      </c>
      <c r="AN89" s="1">
        <f t="shared" ca="1" si="85"/>
        <v>27</v>
      </c>
      <c r="AO89" s="1">
        <f t="shared" ca="1" si="86"/>
        <v>6</v>
      </c>
      <c r="AQ89" s="1">
        <f t="shared" ca="1" si="87"/>
        <v>54</v>
      </c>
      <c r="AR89" s="1">
        <f t="shared" ca="1" si="88"/>
        <v>4</v>
      </c>
      <c r="AS89" s="1">
        <f t="shared" ca="1" si="89"/>
        <v>16</v>
      </c>
      <c r="AU89" s="1">
        <f t="shared" ca="1" si="90"/>
        <v>199</v>
      </c>
      <c r="AV89" s="1">
        <f t="shared" ca="1" si="91"/>
        <v>4</v>
      </c>
      <c r="AW89" s="1">
        <f t="shared" ca="1" si="92"/>
        <v>0.13280466954368519</v>
      </c>
      <c r="AY89" s="1">
        <f t="shared" ca="1" si="93"/>
        <v>1.3965354639030898</v>
      </c>
      <c r="AZ89" s="1">
        <f t="shared" ca="1" si="94"/>
        <v>339</v>
      </c>
      <c r="BA89" s="1">
        <f t="shared" ca="1" si="95"/>
        <v>2.0680941023930128E-3</v>
      </c>
      <c r="BV89" s="1">
        <f t="shared" ca="1" si="96"/>
        <v>0.78658753882916554</v>
      </c>
      <c r="BW89" s="1">
        <f t="shared" ca="1" si="97"/>
        <v>526</v>
      </c>
      <c r="BX89" s="1">
        <f t="shared" ca="1" si="98"/>
        <v>8.814977612401893E-3</v>
      </c>
      <c r="BY89" s="1">
        <f t="shared" ca="1" si="99"/>
        <v>6.3735155005444563E-2</v>
      </c>
      <c r="BZ89" s="1">
        <f t="shared" ca="1" si="100"/>
        <v>0.40482763619834383</v>
      </c>
      <c r="CB89" s="1">
        <f t="shared" ca="1" si="101"/>
        <v>382</v>
      </c>
      <c r="CC89" s="1">
        <f t="shared" ca="1" si="102"/>
        <v>13</v>
      </c>
      <c r="CD89" s="1">
        <f t="shared" ca="1" si="103"/>
        <v>0.22210712377478148</v>
      </c>
      <c r="CE89" s="1">
        <f t="shared" ca="1" si="104"/>
        <v>0.78428589618883959</v>
      </c>
      <c r="CF89" s="1">
        <f t="shared" ca="1" si="104"/>
        <v>0.76173153855619113</v>
      </c>
      <c r="CH89" s="3">
        <f t="shared" ca="1" si="105"/>
        <v>0.57921016170124684</v>
      </c>
      <c r="CI89" s="3">
        <f t="shared" ca="1" si="106"/>
        <v>0.33620985867011488</v>
      </c>
      <c r="CJ89" s="3">
        <f t="shared" ca="1" si="107"/>
        <v>1432</v>
      </c>
      <c r="CK89" s="3">
        <f t="shared" ca="1" si="108"/>
        <v>9.6958758231355489E-3</v>
      </c>
      <c r="CL89" s="3">
        <f t="shared" ca="1" si="109"/>
        <v>1</v>
      </c>
      <c r="CM89" s="3"/>
      <c r="CN89" s="1">
        <f t="shared" ca="1" si="110"/>
        <v>11.709155100850898</v>
      </c>
      <c r="CO89" s="1">
        <f t="shared" ca="1" si="111"/>
        <v>0.2368881024720684</v>
      </c>
      <c r="CP89" s="1">
        <f t="shared" ca="1" si="112"/>
        <v>5</v>
      </c>
    </row>
    <row r="90" spans="2:94" x14ac:dyDescent="0.25">
      <c r="B90">
        <f t="shared" ca="1" si="57"/>
        <v>357</v>
      </c>
      <c r="C90">
        <f t="shared" ca="1" si="58"/>
        <v>52</v>
      </c>
      <c r="D90">
        <f t="shared" ca="1" si="59"/>
        <v>0.12641805600570552</v>
      </c>
      <c r="F90" s="1">
        <f t="shared" ca="1" si="60"/>
        <v>26</v>
      </c>
      <c r="G90" s="1">
        <f t="shared" ca="1" si="61"/>
        <v>15</v>
      </c>
      <c r="H90" s="1">
        <f t="shared" ca="1" si="62"/>
        <v>5</v>
      </c>
      <c r="I90" s="1"/>
      <c r="J90" s="1">
        <f t="shared" ca="1" si="63"/>
        <v>7</v>
      </c>
      <c r="K90" s="1">
        <f t="shared" ca="1" si="64"/>
        <v>2.9187281822880822</v>
      </c>
      <c r="L90" s="1">
        <f t="shared" ca="1" si="65"/>
        <v>22</v>
      </c>
      <c r="M90" s="1"/>
      <c r="N90" s="1">
        <f t="shared" ca="1" si="66"/>
        <v>432</v>
      </c>
      <c r="O90" s="1">
        <f t="shared" ca="1" si="67"/>
        <v>40</v>
      </c>
      <c r="P90" s="1"/>
      <c r="Q90" s="1">
        <f t="shared" ca="1" si="68"/>
        <v>1.3215346333451161</v>
      </c>
      <c r="R90" s="1">
        <f t="shared" ca="1" si="69"/>
        <v>1161</v>
      </c>
      <c r="S90" s="1"/>
      <c r="T90" s="1">
        <f t="shared" ca="1" si="70"/>
        <v>0.17106997554911696</v>
      </c>
      <c r="U90" s="1">
        <f t="shared" ca="1" si="71"/>
        <v>188</v>
      </c>
      <c r="V90" s="1">
        <f t="shared" ca="1" si="72"/>
        <v>13</v>
      </c>
      <c r="W90" s="1"/>
      <c r="X90" s="1">
        <f t="shared" ca="1" si="73"/>
        <v>1.28166016760791</v>
      </c>
      <c r="Y90" s="1">
        <f t="shared" ca="1" si="74"/>
        <v>0.14874075345949186</v>
      </c>
      <c r="Z90" s="1">
        <f t="shared" ca="1" si="75"/>
        <v>1570</v>
      </c>
      <c r="AB90" s="1">
        <f t="shared" ca="1" si="76"/>
        <v>0.24296655376222709</v>
      </c>
      <c r="AC90" s="1">
        <f t="shared" ca="1" si="77"/>
        <v>592</v>
      </c>
      <c r="AD90" s="1">
        <f t="shared" ca="1" si="78"/>
        <v>7.5698462848146752E-3</v>
      </c>
      <c r="AE90" s="1"/>
      <c r="AF90" s="1">
        <f t="shared" ca="1" si="79"/>
        <v>0.70140017697233925</v>
      </c>
      <c r="AG90" s="1">
        <f t="shared" ca="1" si="80"/>
        <v>344</v>
      </c>
      <c r="AH90" s="1">
        <f t="shared" ca="1" si="81"/>
        <v>7.8271996536512616E-3</v>
      </c>
      <c r="AJ90" s="1">
        <f t="shared" ca="1" si="82"/>
        <v>0.34996932633043021</v>
      </c>
      <c r="AK90" s="1">
        <f t="shared" ca="1" si="83"/>
        <v>9.4557885520322217E-3</v>
      </c>
      <c r="AL90" s="1"/>
      <c r="AM90" s="1">
        <f t="shared" ca="1" si="84"/>
        <v>0.14293105830465486</v>
      </c>
      <c r="AN90" s="1">
        <f t="shared" ca="1" si="85"/>
        <v>18</v>
      </c>
      <c r="AO90" s="1">
        <f t="shared" ca="1" si="86"/>
        <v>10</v>
      </c>
      <c r="AQ90" s="1">
        <f t="shared" ca="1" si="87"/>
        <v>86</v>
      </c>
      <c r="AR90" s="1">
        <f t="shared" ca="1" si="88"/>
        <v>5</v>
      </c>
      <c r="AS90" s="1">
        <f t="shared" ca="1" si="89"/>
        <v>79</v>
      </c>
      <c r="AU90" s="1">
        <f t="shared" ca="1" si="90"/>
        <v>265</v>
      </c>
      <c r="AV90" s="1">
        <f t="shared" ca="1" si="91"/>
        <v>4</v>
      </c>
      <c r="AW90" s="1">
        <f t="shared" ca="1" si="92"/>
        <v>4.447309772096842E-2</v>
      </c>
      <c r="AY90" s="1">
        <f t="shared" ca="1" si="93"/>
        <v>1.6885929158795427</v>
      </c>
      <c r="AZ90" s="1">
        <f t="shared" ca="1" si="94"/>
        <v>230</v>
      </c>
      <c r="BA90" s="1">
        <f t="shared" ca="1" si="95"/>
        <v>2.7458641924871046E-3</v>
      </c>
      <c r="BV90" s="1">
        <f t="shared" ca="1" si="96"/>
        <v>0.79386795949778521</v>
      </c>
      <c r="BW90" s="1">
        <f t="shared" ca="1" si="97"/>
        <v>779</v>
      </c>
      <c r="BX90" s="1">
        <f t="shared" ca="1" si="98"/>
        <v>2.9310236667079931E-3</v>
      </c>
      <c r="BY90" s="1">
        <f t="shared" ca="1" si="99"/>
        <v>6.4089823899434739E-2</v>
      </c>
      <c r="BZ90" s="1">
        <f t="shared" ca="1" si="100"/>
        <v>0.85886453365770599</v>
      </c>
      <c r="CB90" s="1">
        <f t="shared" ca="1" si="101"/>
        <v>178</v>
      </c>
      <c r="CC90" s="1">
        <f t="shared" ca="1" si="102"/>
        <v>5</v>
      </c>
      <c r="CD90" s="1">
        <f t="shared" ca="1" si="103"/>
        <v>0.1668520174956771</v>
      </c>
      <c r="CE90" s="1">
        <f t="shared" ca="1" si="104"/>
        <v>0.94123945749158944</v>
      </c>
      <c r="CF90" s="1">
        <f t="shared" ca="1" si="104"/>
        <v>0.98603830375494406</v>
      </c>
      <c r="CH90" s="3">
        <f t="shared" ca="1" si="105"/>
        <v>0.14024113294374879</v>
      </c>
      <c r="CI90" s="3">
        <f t="shared" ca="1" si="106"/>
        <v>0.41621561614415936</v>
      </c>
      <c r="CJ90" s="3">
        <f t="shared" ca="1" si="107"/>
        <v>1769</v>
      </c>
      <c r="CK90" s="3">
        <f t="shared" ca="1" si="108"/>
        <v>9.0315653898054484E-3</v>
      </c>
      <c r="CL90" s="3">
        <f t="shared" ca="1" si="109"/>
        <v>0</v>
      </c>
      <c r="CM90" s="3"/>
      <c r="CN90" s="1">
        <f t="shared" ca="1" si="110"/>
        <v>18.999994076080508</v>
      </c>
      <c r="CO90" s="1">
        <f t="shared" ca="1" si="111"/>
        <v>2.1524329704024042E-2</v>
      </c>
      <c r="CP90" s="1">
        <f t="shared" ca="1" si="112"/>
        <v>2</v>
      </c>
    </row>
    <row r="91" spans="2:94" x14ac:dyDescent="0.25">
      <c r="B91">
        <f t="shared" ca="1" si="57"/>
        <v>304</v>
      </c>
      <c r="C91">
        <f t="shared" ca="1" si="58"/>
        <v>9</v>
      </c>
      <c r="D91">
        <f t="shared" ca="1" si="59"/>
        <v>5.1761355001717135E-2</v>
      </c>
      <c r="F91" s="1">
        <f t="shared" ca="1" si="60"/>
        <v>10</v>
      </c>
      <c r="G91" s="1">
        <f t="shared" ca="1" si="61"/>
        <v>21</v>
      </c>
      <c r="H91" s="1">
        <f t="shared" ca="1" si="62"/>
        <v>10</v>
      </c>
      <c r="I91" s="1"/>
      <c r="J91" s="1">
        <f t="shared" ca="1" si="63"/>
        <v>10</v>
      </c>
      <c r="K91" s="1">
        <f t="shared" ca="1" si="64"/>
        <v>1.0383741437521488</v>
      </c>
      <c r="L91" s="1">
        <f t="shared" ca="1" si="65"/>
        <v>11</v>
      </c>
      <c r="M91" s="1"/>
      <c r="N91" s="1">
        <f t="shared" ca="1" si="66"/>
        <v>333</v>
      </c>
      <c r="O91" s="1">
        <f t="shared" ca="1" si="67"/>
        <v>3</v>
      </c>
      <c r="P91" s="1"/>
      <c r="Q91" s="1">
        <f t="shared" ca="1" si="68"/>
        <v>1.1033494900066192</v>
      </c>
      <c r="R91" s="1">
        <f t="shared" ca="1" si="69"/>
        <v>614</v>
      </c>
      <c r="S91" s="1"/>
      <c r="T91" s="1">
        <f t="shared" ca="1" si="70"/>
        <v>1.0115610723558575E-2</v>
      </c>
      <c r="U91" s="1">
        <f t="shared" ca="1" si="71"/>
        <v>331</v>
      </c>
      <c r="V91" s="1">
        <f t="shared" ca="1" si="72"/>
        <v>48</v>
      </c>
      <c r="W91" s="1"/>
      <c r="X91" s="1">
        <f t="shared" ca="1" si="73"/>
        <v>0.97314114067466284</v>
      </c>
      <c r="Y91" s="1">
        <f t="shared" ca="1" si="74"/>
        <v>0.54058885469035611</v>
      </c>
      <c r="Z91" s="1">
        <f t="shared" ca="1" si="75"/>
        <v>1545</v>
      </c>
      <c r="AB91" s="1">
        <f t="shared" ca="1" si="76"/>
        <v>4.5758658793734364E-2</v>
      </c>
      <c r="AC91" s="1">
        <f t="shared" ca="1" si="77"/>
        <v>632</v>
      </c>
      <c r="AD91" s="1">
        <f t="shared" ca="1" si="78"/>
        <v>6.4433048883227161E-3</v>
      </c>
      <c r="AE91" s="1"/>
      <c r="AF91" s="1">
        <f t="shared" ca="1" si="79"/>
        <v>0.62008378789564111</v>
      </c>
      <c r="AG91" s="1">
        <f t="shared" ca="1" si="80"/>
        <v>475</v>
      </c>
      <c r="AH91" s="1">
        <f t="shared" ca="1" si="81"/>
        <v>8.3191667907229101E-3</v>
      </c>
      <c r="AJ91" s="1">
        <f t="shared" ca="1" si="82"/>
        <v>0.84735632756816659</v>
      </c>
      <c r="AK91" s="1">
        <f t="shared" ca="1" si="83"/>
        <v>6.64043206603041E-4</v>
      </c>
      <c r="AL91" s="1"/>
      <c r="AM91" s="1">
        <f t="shared" ca="1" si="84"/>
        <v>0.19136991174694762</v>
      </c>
      <c r="AN91" s="1">
        <f t="shared" ca="1" si="85"/>
        <v>55</v>
      </c>
      <c r="AO91" s="1">
        <f t="shared" ca="1" si="86"/>
        <v>1</v>
      </c>
      <c r="AQ91" s="1">
        <f t="shared" ca="1" si="87"/>
        <v>93</v>
      </c>
      <c r="AR91" s="1">
        <f t="shared" ca="1" si="88"/>
        <v>3</v>
      </c>
      <c r="AS91" s="1">
        <f t="shared" ca="1" si="89"/>
        <v>39</v>
      </c>
      <c r="AU91" s="1">
        <f t="shared" ca="1" si="90"/>
        <v>140</v>
      </c>
      <c r="AV91" s="1">
        <f t="shared" ca="1" si="91"/>
        <v>3</v>
      </c>
      <c r="AW91" s="1">
        <f t="shared" ca="1" si="92"/>
        <v>6.5584246114495343E-2</v>
      </c>
      <c r="AY91" s="1">
        <f t="shared" ca="1" si="93"/>
        <v>1.144232476826508</v>
      </c>
      <c r="AZ91" s="1">
        <f t="shared" ca="1" si="94"/>
        <v>118</v>
      </c>
      <c r="BA91" s="1">
        <f t="shared" ca="1" si="95"/>
        <v>5.6546752440579653E-3</v>
      </c>
      <c r="BV91" s="1">
        <f t="shared" ca="1" si="96"/>
        <v>0.13753147457271978</v>
      </c>
      <c r="BW91" s="1">
        <f t="shared" ca="1" si="97"/>
        <v>338</v>
      </c>
      <c r="BX91" s="1">
        <f t="shared" ca="1" si="98"/>
        <v>4.4496554763014656E-3</v>
      </c>
      <c r="BY91" s="1">
        <f t="shared" ca="1" si="99"/>
        <v>8.0132303370345923E-2</v>
      </c>
      <c r="BZ91" s="1">
        <f t="shared" ca="1" si="100"/>
        <v>0.7834969087651803</v>
      </c>
      <c r="CB91" s="1">
        <f t="shared" ca="1" si="101"/>
        <v>370</v>
      </c>
      <c r="CC91" s="1">
        <f t="shared" ca="1" si="102"/>
        <v>8</v>
      </c>
      <c r="CD91" s="1">
        <f t="shared" ca="1" si="103"/>
        <v>6.0275257413693037E-2</v>
      </c>
      <c r="CE91" s="1">
        <f t="shared" ca="1" si="104"/>
        <v>0.58231052623880841</v>
      </c>
      <c r="CF91" s="1">
        <f t="shared" ca="1" si="104"/>
        <v>0.97332353047450071</v>
      </c>
      <c r="CH91" s="3">
        <f t="shared" ca="1" si="105"/>
        <v>0.38171666174053015</v>
      </c>
      <c r="CI91" s="3">
        <f t="shared" ca="1" si="106"/>
        <v>0.31526708643595502</v>
      </c>
      <c r="CJ91" s="3">
        <f t="shared" ca="1" si="107"/>
        <v>1650</v>
      </c>
      <c r="CK91" s="3">
        <f t="shared" ca="1" si="108"/>
        <v>5.2938200766024547E-3</v>
      </c>
      <c r="CL91" s="3">
        <f t="shared" ca="1" si="109"/>
        <v>0</v>
      </c>
      <c r="CM91" s="3"/>
      <c r="CN91" s="1">
        <f t="shared" ca="1" si="110"/>
        <v>15.011039926689635</v>
      </c>
      <c r="CO91" s="1">
        <f t="shared" ca="1" si="111"/>
        <v>0.28478282873846417</v>
      </c>
      <c r="CP91" s="1">
        <f t="shared" ca="1" si="112"/>
        <v>2</v>
      </c>
    </row>
    <row r="92" spans="2:94" x14ac:dyDescent="0.25">
      <c r="B92">
        <f t="shared" ca="1" si="57"/>
        <v>385</v>
      </c>
      <c r="C92">
        <f t="shared" ca="1" si="58"/>
        <v>23</v>
      </c>
      <c r="D92">
        <f t="shared" ca="1" si="59"/>
        <v>0.14893412756605456</v>
      </c>
      <c r="F92" s="1">
        <f t="shared" ca="1" si="60"/>
        <v>35</v>
      </c>
      <c r="G92" s="1">
        <f t="shared" ca="1" si="61"/>
        <v>14</v>
      </c>
      <c r="H92" s="1">
        <f t="shared" ca="1" si="62"/>
        <v>7</v>
      </c>
      <c r="I92" s="1"/>
      <c r="J92" s="1">
        <f t="shared" ca="1" si="63"/>
        <v>22</v>
      </c>
      <c r="K92" s="1">
        <f t="shared" ca="1" si="64"/>
        <v>2.5051775809655688</v>
      </c>
      <c r="L92" s="1">
        <f t="shared" ca="1" si="65"/>
        <v>21</v>
      </c>
      <c r="M92" s="1"/>
      <c r="N92" s="1">
        <f t="shared" ca="1" si="66"/>
        <v>712</v>
      </c>
      <c r="O92" s="1">
        <f t="shared" ca="1" si="67"/>
        <v>40</v>
      </c>
      <c r="P92" s="1"/>
      <c r="Q92" s="1">
        <f t="shared" ca="1" si="68"/>
        <v>0.60035481012810732</v>
      </c>
      <c r="R92" s="1">
        <f t="shared" ca="1" si="69"/>
        <v>204</v>
      </c>
      <c r="S92" s="1"/>
      <c r="T92" s="1">
        <f t="shared" ca="1" si="70"/>
        <v>1.1255648865332736E-2</v>
      </c>
      <c r="U92" s="1">
        <f t="shared" ca="1" si="71"/>
        <v>193</v>
      </c>
      <c r="V92" s="1">
        <f t="shared" ca="1" si="72"/>
        <v>48</v>
      </c>
      <c r="W92" s="1"/>
      <c r="X92" s="1">
        <f t="shared" ca="1" si="73"/>
        <v>0.15051670096344011</v>
      </c>
      <c r="Y92" s="1">
        <f t="shared" ca="1" si="74"/>
        <v>0.38746679300642739</v>
      </c>
      <c r="Z92" s="1">
        <f t="shared" ca="1" si="75"/>
        <v>1963</v>
      </c>
      <c r="AB92" s="1">
        <f t="shared" ca="1" si="76"/>
        <v>0.27821356915125617</v>
      </c>
      <c r="AC92" s="1">
        <f t="shared" ca="1" si="77"/>
        <v>253</v>
      </c>
      <c r="AD92" s="1">
        <f t="shared" ca="1" si="78"/>
        <v>3.3480120930011272E-3</v>
      </c>
      <c r="AE92" s="1"/>
      <c r="AF92" s="1">
        <f t="shared" ca="1" si="79"/>
        <v>0.79154951166729937</v>
      </c>
      <c r="AG92" s="1">
        <f t="shared" ca="1" si="80"/>
        <v>957</v>
      </c>
      <c r="AH92" s="1">
        <f t="shared" ca="1" si="81"/>
        <v>3.3607586373918361E-3</v>
      </c>
      <c r="AJ92" s="1">
        <f t="shared" ca="1" si="82"/>
        <v>0.51498219911937415</v>
      </c>
      <c r="AK92" s="1">
        <f t="shared" ca="1" si="83"/>
        <v>9.9653441402931375E-3</v>
      </c>
      <c r="AL92" s="1"/>
      <c r="AM92" s="1">
        <f t="shared" ca="1" si="84"/>
        <v>0.12518567881851059</v>
      </c>
      <c r="AN92" s="1">
        <f t="shared" ca="1" si="85"/>
        <v>21</v>
      </c>
      <c r="AO92" s="1">
        <f t="shared" ca="1" si="86"/>
        <v>-1</v>
      </c>
      <c r="AQ92" s="1">
        <f t="shared" ca="1" si="87"/>
        <v>50</v>
      </c>
      <c r="AR92" s="1">
        <f t="shared" ca="1" si="88"/>
        <v>2</v>
      </c>
      <c r="AS92" s="1">
        <f t="shared" ca="1" si="89"/>
        <v>71</v>
      </c>
      <c r="AU92" s="1">
        <f t="shared" ca="1" si="90"/>
        <v>202</v>
      </c>
      <c r="AV92" s="1">
        <f t="shared" ca="1" si="91"/>
        <v>5</v>
      </c>
      <c r="AW92" s="1">
        <f t="shared" ca="1" si="92"/>
        <v>8.7437850387513338E-2</v>
      </c>
      <c r="AY92" s="1">
        <f t="shared" ca="1" si="93"/>
        <v>1.764044770610862</v>
      </c>
      <c r="AZ92" s="1">
        <f t="shared" ca="1" si="94"/>
        <v>221</v>
      </c>
      <c r="BA92" s="1">
        <f t="shared" ca="1" si="95"/>
        <v>4.2438162358784236E-3</v>
      </c>
      <c r="BV92" s="1">
        <f t="shared" ca="1" si="96"/>
        <v>0.3140796962845358</v>
      </c>
      <c r="BW92" s="1">
        <f t="shared" ca="1" si="97"/>
        <v>824</v>
      </c>
      <c r="BX92" s="1">
        <f t="shared" ca="1" si="98"/>
        <v>6.3467757771529304E-3</v>
      </c>
      <c r="BY92" s="1">
        <f t="shared" ca="1" si="99"/>
        <v>8.08227383765074E-2</v>
      </c>
      <c r="BZ92" s="1">
        <f t="shared" ca="1" si="100"/>
        <v>0.55365736927846265</v>
      </c>
      <c r="CB92" s="1">
        <f t="shared" ca="1" si="101"/>
        <v>354</v>
      </c>
      <c r="CC92" s="1">
        <f t="shared" ca="1" si="102"/>
        <v>13</v>
      </c>
      <c r="CD92" s="1">
        <f t="shared" ca="1" si="103"/>
        <v>0.20483428307944457</v>
      </c>
      <c r="CE92" s="1">
        <f t="shared" ca="1" si="104"/>
        <v>0.93581507089383908</v>
      </c>
      <c r="CF92" s="1">
        <f t="shared" ca="1" si="104"/>
        <v>0.94781046600136742</v>
      </c>
      <c r="CH92" s="3">
        <f t="shared" ca="1" si="105"/>
        <v>5.4639815011827485E-2</v>
      </c>
      <c r="CI92" s="3">
        <f t="shared" ca="1" si="106"/>
        <v>0.34513099959571047</v>
      </c>
      <c r="CJ92" s="3">
        <f t="shared" ca="1" si="107"/>
        <v>645</v>
      </c>
      <c r="CK92" s="3">
        <f t="shared" ca="1" si="108"/>
        <v>5.020004074827362E-3</v>
      </c>
      <c r="CL92" s="3">
        <f t="shared" ca="1" si="109"/>
        <v>0</v>
      </c>
      <c r="CM92" s="3"/>
      <c r="CN92" s="1">
        <f t="shared" ca="1" si="110"/>
        <v>5.5558988742804791</v>
      </c>
      <c r="CO92" s="1">
        <f t="shared" ca="1" si="111"/>
        <v>7.0580533459812966E-2</v>
      </c>
      <c r="CP92" s="1">
        <f t="shared" ca="1" si="112"/>
        <v>1</v>
      </c>
    </row>
    <row r="93" spans="2:94" x14ac:dyDescent="0.25">
      <c r="B93">
        <f t="shared" ca="1" si="57"/>
        <v>542</v>
      </c>
      <c r="C93">
        <f t="shared" ca="1" si="58"/>
        <v>47</v>
      </c>
      <c r="D93">
        <f t="shared" ca="1" si="59"/>
        <v>3.9457128526972363E-2</v>
      </c>
      <c r="F93" s="1">
        <f t="shared" ca="1" si="60"/>
        <v>43</v>
      </c>
      <c r="G93" s="1">
        <f t="shared" ca="1" si="61"/>
        <v>20</v>
      </c>
      <c r="H93" s="1">
        <f t="shared" ca="1" si="62"/>
        <v>2</v>
      </c>
      <c r="I93" s="1"/>
      <c r="J93" s="1">
        <f t="shared" ca="1" si="63"/>
        <v>12</v>
      </c>
      <c r="K93" s="1">
        <f t="shared" ca="1" si="64"/>
        <v>2.1229155012120371</v>
      </c>
      <c r="L93" s="1">
        <f t="shared" ca="1" si="65"/>
        <v>4</v>
      </c>
      <c r="M93" s="1"/>
      <c r="N93" s="1">
        <f t="shared" ca="1" si="66"/>
        <v>604</v>
      </c>
      <c r="O93" s="1">
        <f t="shared" ca="1" si="67"/>
        <v>51</v>
      </c>
      <c r="P93" s="1"/>
      <c r="Q93" s="1">
        <f t="shared" ca="1" si="68"/>
        <v>4.2747882405321187</v>
      </c>
      <c r="R93" s="1">
        <f t="shared" ca="1" si="69"/>
        <v>1092</v>
      </c>
      <c r="S93" s="1"/>
      <c r="T93" s="1">
        <f t="shared" ca="1" si="70"/>
        <v>1.3055167940039896E-2</v>
      </c>
      <c r="U93" s="1">
        <f t="shared" ca="1" si="71"/>
        <v>448</v>
      </c>
      <c r="V93" s="1">
        <f t="shared" ca="1" si="72"/>
        <v>26</v>
      </c>
      <c r="W93" s="1"/>
      <c r="X93" s="1">
        <f t="shared" ca="1" si="73"/>
        <v>7.3775756742686545</v>
      </c>
      <c r="Y93" s="1">
        <f t="shared" ca="1" si="74"/>
        <v>0.69529373938415384</v>
      </c>
      <c r="Z93" s="1">
        <f t="shared" ca="1" si="75"/>
        <v>160</v>
      </c>
      <c r="AB93" s="1">
        <f t="shared" ca="1" si="76"/>
        <v>0.50474326915634427</v>
      </c>
      <c r="AC93" s="1">
        <f t="shared" ca="1" si="77"/>
        <v>836</v>
      </c>
      <c r="AD93" s="1">
        <f t="shared" ca="1" si="78"/>
        <v>3.7134073991520601E-3</v>
      </c>
      <c r="AE93" s="1"/>
      <c r="AF93" s="1">
        <f t="shared" ca="1" si="79"/>
        <v>0.24609912555803728</v>
      </c>
      <c r="AG93" s="1">
        <f t="shared" ca="1" si="80"/>
        <v>541</v>
      </c>
      <c r="AH93" s="1">
        <f t="shared" ca="1" si="81"/>
        <v>7.2388062196665917E-3</v>
      </c>
      <c r="AJ93" s="1">
        <f t="shared" ca="1" si="82"/>
        <v>0.82147646162136156</v>
      </c>
      <c r="AK93" s="1">
        <f t="shared" ca="1" si="83"/>
        <v>8.0843024290428601E-3</v>
      </c>
      <c r="AL93" s="1"/>
      <c r="AM93" s="1">
        <f t="shared" ca="1" si="84"/>
        <v>0.18196685601482826</v>
      </c>
      <c r="AN93" s="1">
        <f t="shared" ca="1" si="85"/>
        <v>54</v>
      </c>
      <c r="AO93" s="1">
        <f t="shared" ca="1" si="86"/>
        <v>9</v>
      </c>
      <c r="AQ93" s="1">
        <f t="shared" ca="1" si="87"/>
        <v>52</v>
      </c>
      <c r="AR93" s="1">
        <f t="shared" ca="1" si="88"/>
        <v>3</v>
      </c>
      <c r="AS93" s="1">
        <f t="shared" ca="1" si="89"/>
        <v>27</v>
      </c>
      <c r="AU93" s="1">
        <f t="shared" ca="1" si="90"/>
        <v>134</v>
      </c>
      <c r="AV93" s="1">
        <f t="shared" ca="1" si="91"/>
        <v>7</v>
      </c>
      <c r="AW93" s="1">
        <f t="shared" ca="1" si="92"/>
        <v>2.7123227730634303E-2</v>
      </c>
      <c r="AY93" s="1">
        <f t="shared" ca="1" si="93"/>
        <v>1.3600209877598501</v>
      </c>
      <c r="AZ93" s="1">
        <f t="shared" ca="1" si="94"/>
        <v>367</v>
      </c>
      <c r="BA93" s="1">
        <f t="shared" ca="1" si="95"/>
        <v>6.2263014814351375E-3</v>
      </c>
      <c r="BV93" s="1">
        <f t="shared" ca="1" si="96"/>
        <v>0.98476890825636276</v>
      </c>
      <c r="BW93" s="1">
        <f t="shared" ca="1" si="97"/>
        <v>411</v>
      </c>
      <c r="BX93" s="1">
        <f t="shared" ca="1" si="98"/>
        <v>3.3996091527833369E-4</v>
      </c>
      <c r="BY93" s="1">
        <f t="shared" ca="1" si="99"/>
        <v>2.4214891153223589E-2</v>
      </c>
      <c r="BZ93" s="1">
        <f t="shared" ca="1" si="100"/>
        <v>0.39115588947678215</v>
      </c>
      <c r="CB93" s="1">
        <f t="shared" ca="1" si="101"/>
        <v>401</v>
      </c>
      <c r="CC93" s="1">
        <f t="shared" ca="1" si="102"/>
        <v>4</v>
      </c>
      <c r="CD93" s="1">
        <f t="shared" ca="1" si="103"/>
        <v>0.13350315629592141</v>
      </c>
      <c r="CE93" s="1">
        <f t="shared" ca="1" si="104"/>
        <v>0.63783082399033697</v>
      </c>
      <c r="CF93" s="1">
        <f t="shared" ca="1" si="104"/>
        <v>0.55209992325279922</v>
      </c>
      <c r="CH93" s="3">
        <f t="shared" ca="1" si="105"/>
        <v>0.2366143815601372</v>
      </c>
      <c r="CI93" s="3">
        <f t="shared" ca="1" si="106"/>
        <v>0.5168915613230477</v>
      </c>
      <c r="CJ93" s="3">
        <f t="shared" ca="1" si="107"/>
        <v>485</v>
      </c>
      <c r="CK93" s="3">
        <f t="shared" ca="1" si="108"/>
        <v>2.8682696712109229E-3</v>
      </c>
      <c r="CL93" s="3">
        <f t="shared" ca="1" si="109"/>
        <v>1</v>
      </c>
      <c r="CM93" s="3"/>
      <c r="CN93" s="1">
        <f t="shared" ca="1" si="110"/>
        <v>1.9147907091414302</v>
      </c>
      <c r="CO93" s="1">
        <f t="shared" ca="1" si="111"/>
        <v>0.26592920963661532</v>
      </c>
      <c r="CP93" s="1">
        <f t="shared" ca="1" si="112"/>
        <v>2</v>
      </c>
    </row>
    <row r="94" spans="2:94" x14ac:dyDescent="0.25">
      <c r="B94">
        <f t="shared" ca="1" si="57"/>
        <v>561</v>
      </c>
      <c r="C94">
        <f t="shared" ca="1" si="58"/>
        <v>47</v>
      </c>
      <c r="D94">
        <f t="shared" ca="1" si="59"/>
        <v>0.18159348368684861</v>
      </c>
      <c r="F94" s="1">
        <f t="shared" ca="1" si="60"/>
        <v>8</v>
      </c>
      <c r="G94" s="1">
        <f t="shared" ca="1" si="61"/>
        <v>13</v>
      </c>
      <c r="H94" s="1">
        <f t="shared" ca="1" si="62"/>
        <v>2</v>
      </c>
      <c r="I94" s="1"/>
      <c r="J94" s="1">
        <f t="shared" ca="1" si="63"/>
        <v>6</v>
      </c>
      <c r="K94" s="1">
        <f t="shared" ca="1" si="64"/>
        <v>1.2424824048797045</v>
      </c>
      <c r="L94" s="1">
        <f t="shared" ca="1" si="65"/>
        <v>23</v>
      </c>
      <c r="M94" s="1"/>
      <c r="N94" s="1">
        <f t="shared" ca="1" si="66"/>
        <v>504</v>
      </c>
      <c r="O94" s="1">
        <f t="shared" ca="1" si="67"/>
        <v>45</v>
      </c>
      <c r="P94" s="1"/>
      <c r="Q94" s="1">
        <f t="shared" ca="1" si="68"/>
        <v>3.9484996001977835</v>
      </c>
      <c r="R94" s="1">
        <f t="shared" ca="1" si="69"/>
        <v>206</v>
      </c>
      <c r="S94" s="1"/>
      <c r="T94" s="1">
        <f t="shared" ca="1" si="70"/>
        <v>0.1830257677703015</v>
      </c>
      <c r="U94" s="1">
        <f t="shared" ca="1" si="71"/>
        <v>283</v>
      </c>
      <c r="V94" s="1">
        <f t="shared" ca="1" si="72"/>
        <v>35</v>
      </c>
      <c r="W94" s="1"/>
      <c r="X94" s="1">
        <f t="shared" ca="1" si="73"/>
        <v>9.2088766548920145</v>
      </c>
      <c r="Y94" s="1">
        <f t="shared" ca="1" si="74"/>
        <v>0.36381456039500609</v>
      </c>
      <c r="Z94" s="1">
        <f t="shared" ca="1" si="75"/>
        <v>234</v>
      </c>
      <c r="AB94" s="1">
        <f t="shared" ca="1" si="76"/>
        <v>0.98838866077460308</v>
      </c>
      <c r="AC94" s="1">
        <f t="shared" ca="1" si="77"/>
        <v>561</v>
      </c>
      <c r="AD94" s="1">
        <f t="shared" ca="1" si="78"/>
        <v>9.7847280889353776E-3</v>
      </c>
      <c r="AE94" s="1"/>
      <c r="AF94" s="1">
        <f t="shared" ca="1" si="79"/>
        <v>0.69181742650617717</v>
      </c>
      <c r="AG94" s="1">
        <f t="shared" ca="1" si="80"/>
        <v>580</v>
      </c>
      <c r="AH94" s="1">
        <f t="shared" ca="1" si="81"/>
        <v>3.6642438003562858E-3</v>
      </c>
      <c r="AJ94" s="1">
        <f t="shared" ca="1" si="82"/>
        <v>0.39067925757938593</v>
      </c>
      <c r="AK94" s="1">
        <f t="shared" ca="1" si="83"/>
        <v>8.0474320976260064E-3</v>
      </c>
      <c r="AL94" s="1"/>
      <c r="AM94" s="1">
        <f t="shared" ca="1" si="84"/>
        <v>0.1236770357547267</v>
      </c>
      <c r="AN94" s="1">
        <f t="shared" ca="1" si="85"/>
        <v>53</v>
      </c>
      <c r="AO94" s="1">
        <f t="shared" ca="1" si="86"/>
        <v>18</v>
      </c>
      <c r="AQ94" s="1">
        <f t="shared" ca="1" si="87"/>
        <v>55</v>
      </c>
      <c r="AR94" s="1">
        <f t="shared" ca="1" si="88"/>
        <v>8</v>
      </c>
      <c r="AS94" s="1">
        <f t="shared" ca="1" si="89"/>
        <v>100</v>
      </c>
      <c r="AU94" s="1">
        <f t="shared" ca="1" si="90"/>
        <v>54</v>
      </c>
      <c r="AV94" s="1">
        <f t="shared" ca="1" si="91"/>
        <v>7</v>
      </c>
      <c r="AW94" s="1">
        <f t="shared" ca="1" si="92"/>
        <v>0.13478379073905439</v>
      </c>
      <c r="AY94" s="1">
        <f t="shared" ca="1" si="93"/>
        <v>1.8161070669662034</v>
      </c>
      <c r="AZ94" s="1">
        <f t="shared" ca="1" si="94"/>
        <v>457</v>
      </c>
      <c r="BA94" s="1">
        <f t="shared" ca="1" si="95"/>
        <v>8.492029941478586E-3</v>
      </c>
      <c r="BV94" s="1">
        <f t="shared" ca="1" si="96"/>
        <v>0.17182811878069718</v>
      </c>
      <c r="BW94" s="1">
        <f t="shared" ca="1" si="97"/>
        <v>770</v>
      </c>
      <c r="BX94" s="1">
        <f t="shared" ca="1" si="98"/>
        <v>6.2600806475466547E-3</v>
      </c>
      <c r="BY94" s="1">
        <f t="shared" ca="1" si="99"/>
        <v>3.6124829885798335E-2</v>
      </c>
      <c r="BZ94" s="1">
        <f t="shared" ca="1" si="100"/>
        <v>0.97089990982911101</v>
      </c>
      <c r="CB94" s="1">
        <f t="shared" ca="1" si="101"/>
        <v>333</v>
      </c>
      <c r="CC94" s="1">
        <f t="shared" ca="1" si="102"/>
        <v>4</v>
      </c>
      <c r="CD94" s="1">
        <f t="shared" ca="1" si="103"/>
        <v>0.16303870908134066</v>
      </c>
      <c r="CE94" s="1">
        <f t="shared" ca="1" si="104"/>
        <v>0.6336579130780442</v>
      </c>
      <c r="CF94" s="1">
        <f t="shared" ca="1" si="104"/>
        <v>0.69912720491016977</v>
      </c>
      <c r="CH94" s="3">
        <f t="shared" ca="1" si="105"/>
        <v>0.62942789380488706</v>
      </c>
      <c r="CI94" s="3">
        <f t="shared" ca="1" si="106"/>
        <v>0.6957995174494479</v>
      </c>
      <c r="CJ94" s="3">
        <f t="shared" ca="1" si="107"/>
        <v>462</v>
      </c>
      <c r="CK94" s="3">
        <f t="shared" ca="1" si="108"/>
        <v>3.6735542640398775E-3</v>
      </c>
      <c r="CL94" s="3">
        <f t="shared" ca="1" si="109"/>
        <v>0</v>
      </c>
      <c r="CM94" s="3"/>
      <c r="CN94" s="1">
        <f t="shared" ca="1" si="110"/>
        <v>11.343008799136609</v>
      </c>
      <c r="CO94" s="1">
        <f t="shared" ca="1" si="111"/>
        <v>0.3515003305793204</v>
      </c>
      <c r="CP94" s="1">
        <f t="shared" ca="1" si="112"/>
        <v>4</v>
      </c>
    </row>
    <row r="95" spans="2:94" x14ac:dyDescent="0.25">
      <c r="B95">
        <f t="shared" ca="1" si="57"/>
        <v>549</v>
      </c>
      <c r="C95">
        <f t="shared" ca="1" si="58"/>
        <v>23</v>
      </c>
      <c r="D95">
        <f t="shared" ca="1" si="59"/>
        <v>3.2711597607841869E-2</v>
      </c>
      <c r="F95" s="1">
        <f t="shared" ca="1" si="60"/>
        <v>3</v>
      </c>
      <c r="G95" s="1">
        <f t="shared" ca="1" si="61"/>
        <v>23</v>
      </c>
      <c r="H95" s="1">
        <f t="shared" ca="1" si="62"/>
        <v>1</v>
      </c>
      <c r="I95" s="1"/>
      <c r="J95" s="1">
        <f t="shared" ca="1" si="63"/>
        <v>9</v>
      </c>
      <c r="K95" s="1">
        <f t="shared" ca="1" si="64"/>
        <v>1.4818970506688871</v>
      </c>
      <c r="L95" s="1">
        <f t="shared" ca="1" si="65"/>
        <v>21</v>
      </c>
      <c r="M95" s="1"/>
      <c r="N95" s="1">
        <f t="shared" ca="1" si="66"/>
        <v>442</v>
      </c>
      <c r="O95" s="1">
        <f t="shared" ca="1" si="67"/>
        <v>49</v>
      </c>
      <c r="P95" s="1"/>
      <c r="Q95" s="1">
        <f t="shared" ca="1" si="68"/>
        <v>1.7595700168133535</v>
      </c>
      <c r="R95" s="1">
        <f t="shared" ca="1" si="69"/>
        <v>533</v>
      </c>
      <c r="S95" s="1"/>
      <c r="T95" s="1">
        <f t="shared" ca="1" si="70"/>
        <v>0.18370321574606452</v>
      </c>
      <c r="U95" s="1">
        <f t="shared" ca="1" si="71"/>
        <v>349</v>
      </c>
      <c r="V95" s="1">
        <f t="shared" ca="1" si="72"/>
        <v>17</v>
      </c>
      <c r="W95" s="1"/>
      <c r="X95" s="1">
        <f t="shared" ca="1" si="73"/>
        <v>2.5472355832551079</v>
      </c>
      <c r="Y95" s="1">
        <f t="shared" ca="1" si="74"/>
        <v>0.34864762385158204</v>
      </c>
      <c r="Z95" s="1">
        <f t="shared" ca="1" si="75"/>
        <v>331</v>
      </c>
      <c r="AB95" s="1">
        <f t="shared" ca="1" si="76"/>
        <v>0.35497723697131767</v>
      </c>
      <c r="AC95" s="1">
        <f t="shared" ca="1" si="77"/>
        <v>594</v>
      </c>
      <c r="AD95" s="1">
        <f t="shared" ca="1" si="78"/>
        <v>6.5901220639034558E-3</v>
      </c>
      <c r="AE95" s="1"/>
      <c r="AF95" s="1">
        <f t="shared" ca="1" si="79"/>
        <v>0.12295400983353054</v>
      </c>
      <c r="AG95" s="1">
        <f t="shared" ca="1" si="80"/>
        <v>863</v>
      </c>
      <c r="AH95" s="1">
        <f t="shared" ca="1" si="81"/>
        <v>5.8243846681895551E-3</v>
      </c>
      <c r="AJ95" s="1">
        <f t="shared" ca="1" si="82"/>
        <v>0.86720099874787748</v>
      </c>
      <c r="AK95" s="1">
        <f t="shared" ca="1" si="83"/>
        <v>6.5731782640836402E-3</v>
      </c>
      <c r="AL95" s="1"/>
      <c r="AM95" s="1">
        <f t="shared" ca="1" si="84"/>
        <v>0.15640012970385248</v>
      </c>
      <c r="AN95" s="1">
        <f t="shared" ca="1" si="85"/>
        <v>50</v>
      </c>
      <c r="AO95" s="1">
        <f t="shared" ca="1" si="86"/>
        <v>8</v>
      </c>
      <c r="AQ95" s="1">
        <f t="shared" ca="1" si="87"/>
        <v>59</v>
      </c>
      <c r="AR95" s="1">
        <f t="shared" ca="1" si="88"/>
        <v>1</v>
      </c>
      <c r="AS95" s="1">
        <f t="shared" ca="1" si="89"/>
        <v>73</v>
      </c>
      <c r="AU95" s="1">
        <f t="shared" ca="1" si="90"/>
        <v>160</v>
      </c>
      <c r="AV95" s="1">
        <f t="shared" ca="1" si="91"/>
        <v>3</v>
      </c>
      <c r="AW95" s="1">
        <f t="shared" ca="1" si="92"/>
        <v>9.2826809584689501E-2</v>
      </c>
      <c r="AY95" s="1">
        <f t="shared" ca="1" si="93"/>
        <v>1.6179265212331839</v>
      </c>
      <c r="AZ95" s="1">
        <f t="shared" ca="1" si="94"/>
        <v>497</v>
      </c>
      <c r="BA95" s="1">
        <f t="shared" ca="1" si="95"/>
        <v>5.828426381627316E-3</v>
      </c>
      <c r="BV95" s="1">
        <f t="shared" ca="1" si="96"/>
        <v>0.28035658711362493</v>
      </c>
      <c r="BW95" s="1">
        <f t="shared" ca="1" si="97"/>
        <v>233</v>
      </c>
      <c r="BX95" s="1">
        <f t="shared" ca="1" si="98"/>
        <v>2.377326877660737E-3</v>
      </c>
      <c r="BY95" s="1">
        <f t="shared" ca="1" si="99"/>
        <v>6.6544569898401004E-2</v>
      </c>
      <c r="BZ95" s="1">
        <f t="shared" ca="1" si="100"/>
        <v>0.62407244086142233</v>
      </c>
      <c r="CB95" s="1">
        <f t="shared" ca="1" si="101"/>
        <v>52</v>
      </c>
      <c r="CC95" s="1">
        <f t="shared" ca="1" si="102"/>
        <v>14</v>
      </c>
      <c r="CD95" s="1">
        <f t="shared" ca="1" si="103"/>
        <v>8.8745157020844054E-2</v>
      </c>
      <c r="CE95" s="1">
        <f t="shared" ca="1" si="104"/>
        <v>0.50233968351531688</v>
      </c>
      <c r="CF95" s="1">
        <f t="shared" ca="1" si="104"/>
        <v>0.55083311492259623</v>
      </c>
      <c r="CH95" s="3">
        <f t="shared" ca="1" si="105"/>
        <v>0.90211775676652128</v>
      </c>
      <c r="CI95" s="3">
        <f t="shared" ca="1" si="106"/>
        <v>0.28717439091224906</v>
      </c>
      <c r="CJ95" s="3">
        <f t="shared" ca="1" si="107"/>
        <v>148</v>
      </c>
      <c r="CK95" s="3">
        <f t="shared" ca="1" si="108"/>
        <v>4.0786848647632427E-3</v>
      </c>
      <c r="CL95" s="3">
        <f t="shared" ca="1" si="109"/>
        <v>1</v>
      </c>
      <c r="CM95" s="3"/>
      <c r="CN95" s="1">
        <f t="shared" ca="1" si="110"/>
        <v>8.4862082134286627</v>
      </c>
      <c r="CO95" s="1">
        <f t="shared" ca="1" si="111"/>
        <v>0.12070296300723504</v>
      </c>
      <c r="CP95" s="1">
        <f t="shared" ca="1" si="112"/>
        <v>1</v>
      </c>
    </row>
    <row r="96" spans="2:94" x14ac:dyDescent="0.25">
      <c r="B96">
        <f t="shared" ca="1" si="57"/>
        <v>176</v>
      </c>
      <c r="C96">
        <f t="shared" ca="1" si="58"/>
        <v>12</v>
      </c>
      <c r="D96">
        <f t="shared" ca="1" si="59"/>
        <v>0.15473108292092233</v>
      </c>
      <c r="F96" s="1">
        <f t="shared" ca="1" si="60"/>
        <v>34</v>
      </c>
      <c r="G96" s="1">
        <f t="shared" ca="1" si="61"/>
        <v>4</v>
      </c>
      <c r="H96" s="1">
        <f t="shared" ca="1" si="62"/>
        <v>10</v>
      </c>
      <c r="I96" s="1"/>
      <c r="J96" s="1">
        <f t="shared" ca="1" si="63"/>
        <v>10</v>
      </c>
      <c r="K96" s="1">
        <f t="shared" ca="1" si="64"/>
        <v>2.0349436590044383</v>
      </c>
      <c r="L96" s="1">
        <f t="shared" ca="1" si="65"/>
        <v>15</v>
      </c>
      <c r="M96" s="1"/>
      <c r="N96" s="1">
        <f t="shared" ca="1" si="66"/>
        <v>642</v>
      </c>
      <c r="O96" s="1">
        <f t="shared" ca="1" si="67"/>
        <v>35</v>
      </c>
      <c r="P96" s="1"/>
      <c r="Q96" s="1">
        <f t="shared" ca="1" si="68"/>
        <v>1.414108294264613</v>
      </c>
      <c r="R96" s="1">
        <f t="shared" ca="1" si="69"/>
        <v>815</v>
      </c>
      <c r="S96" s="1"/>
      <c r="T96" s="1">
        <f t="shared" ca="1" si="70"/>
        <v>6.4775751644693985E-2</v>
      </c>
      <c r="U96" s="1">
        <f t="shared" ca="1" si="71"/>
        <v>434</v>
      </c>
      <c r="V96" s="1">
        <f t="shared" ca="1" si="72"/>
        <v>27</v>
      </c>
      <c r="W96" s="1"/>
      <c r="X96" s="1">
        <f t="shared" ca="1" si="73"/>
        <v>3.342409338237851</v>
      </c>
      <c r="Y96" s="1">
        <f t="shared" ca="1" si="74"/>
        <v>0.91194811881545068</v>
      </c>
      <c r="Z96" s="1">
        <f t="shared" ca="1" si="75"/>
        <v>1093</v>
      </c>
      <c r="AB96" s="1">
        <f t="shared" ca="1" si="76"/>
        <v>0.5288148419972093</v>
      </c>
      <c r="AC96" s="1">
        <f t="shared" ca="1" si="77"/>
        <v>402</v>
      </c>
      <c r="AD96" s="1">
        <f t="shared" ca="1" si="78"/>
        <v>9.3460588109308962E-3</v>
      </c>
      <c r="AE96" s="1"/>
      <c r="AF96" s="1">
        <f t="shared" ca="1" si="79"/>
        <v>0.77163828617718466</v>
      </c>
      <c r="AG96" s="1">
        <f t="shared" ca="1" si="80"/>
        <v>519</v>
      </c>
      <c r="AH96" s="1">
        <f t="shared" ca="1" si="81"/>
        <v>6.9607227631795048E-3</v>
      </c>
      <c r="AJ96" s="1">
        <f t="shared" ca="1" si="82"/>
        <v>0.78497889642577179</v>
      </c>
      <c r="AK96" s="1">
        <f t="shared" ca="1" si="83"/>
        <v>7.8296240848903E-3</v>
      </c>
      <c r="AL96" s="1"/>
      <c r="AM96" s="1">
        <f t="shared" ca="1" si="84"/>
        <v>6.5860078670934075E-2</v>
      </c>
      <c r="AN96" s="1">
        <f t="shared" ca="1" si="85"/>
        <v>80</v>
      </c>
      <c r="AO96" s="1">
        <f t="shared" ca="1" si="86"/>
        <v>15</v>
      </c>
      <c r="AQ96" s="1">
        <f t="shared" ca="1" si="87"/>
        <v>109</v>
      </c>
      <c r="AR96" s="1">
        <f t="shared" ca="1" si="88"/>
        <v>3</v>
      </c>
      <c r="AS96" s="1">
        <f t="shared" ca="1" si="89"/>
        <v>62</v>
      </c>
      <c r="AU96" s="1">
        <f t="shared" ca="1" si="90"/>
        <v>70</v>
      </c>
      <c r="AV96" s="1">
        <f t="shared" ca="1" si="91"/>
        <v>5</v>
      </c>
      <c r="AW96" s="1">
        <f t="shared" ca="1" si="92"/>
        <v>0.17436230300910885</v>
      </c>
      <c r="AY96" s="1">
        <f t="shared" ca="1" si="93"/>
        <v>1.3120283294040094</v>
      </c>
      <c r="AZ96" s="1">
        <f t="shared" ca="1" si="94"/>
        <v>119</v>
      </c>
      <c r="BA96" s="1">
        <f t="shared" ca="1" si="95"/>
        <v>3.2798371984431593E-3</v>
      </c>
      <c r="BV96" s="1">
        <f t="shared" ca="1" si="96"/>
        <v>0.4499186432032975</v>
      </c>
      <c r="BW96" s="1">
        <f t="shared" ca="1" si="97"/>
        <v>568</v>
      </c>
      <c r="BX96" s="1">
        <f t="shared" ca="1" si="98"/>
        <v>3.9918595963996367E-3</v>
      </c>
      <c r="BY96" s="1">
        <f t="shared" ca="1" si="99"/>
        <v>1.0896822350678036E-2</v>
      </c>
      <c r="BZ96" s="1">
        <f t="shared" ca="1" si="100"/>
        <v>2.1665511125439796E-2</v>
      </c>
      <c r="CB96" s="1">
        <f t="shared" ca="1" si="101"/>
        <v>347</v>
      </c>
      <c r="CC96" s="1">
        <f t="shared" ca="1" si="102"/>
        <v>3</v>
      </c>
      <c r="CD96" s="1">
        <f t="shared" ca="1" si="103"/>
        <v>1.846630922541747E-2</v>
      </c>
      <c r="CE96" s="1">
        <f t="shared" ca="1" si="104"/>
        <v>0.69162766915366425</v>
      </c>
      <c r="CF96" s="1">
        <f t="shared" ca="1" si="104"/>
        <v>0.81223373103766994</v>
      </c>
      <c r="CH96" s="3">
        <f t="shared" ca="1" si="105"/>
        <v>0.72095613819050686</v>
      </c>
      <c r="CI96" s="3">
        <f t="shared" ca="1" si="106"/>
        <v>0.81148877327480939</v>
      </c>
      <c r="CJ96" s="3">
        <f t="shared" ca="1" si="107"/>
        <v>713</v>
      </c>
      <c r="CK96" s="3">
        <f t="shared" ca="1" si="108"/>
        <v>2.6171510165405415E-5</v>
      </c>
      <c r="CL96" s="3">
        <f t="shared" ca="1" si="109"/>
        <v>0</v>
      </c>
      <c r="CM96" s="3"/>
      <c r="CN96" s="1">
        <f t="shared" ca="1" si="110"/>
        <v>6.4781924142864797</v>
      </c>
      <c r="CO96" s="1">
        <f t="shared" ca="1" si="111"/>
        <v>0.25625347270380405</v>
      </c>
      <c r="CP96" s="1">
        <f t="shared" ca="1" si="112"/>
        <v>3</v>
      </c>
    </row>
    <row r="97" spans="2:94" x14ac:dyDescent="0.25">
      <c r="B97">
        <f t="shared" ca="1" si="57"/>
        <v>204</v>
      </c>
      <c r="C97">
        <f t="shared" ca="1" si="58"/>
        <v>27</v>
      </c>
      <c r="D97">
        <f t="shared" ca="1" si="59"/>
        <v>0.25572606556677707</v>
      </c>
      <c r="F97" s="1">
        <f t="shared" ca="1" si="60"/>
        <v>7</v>
      </c>
      <c r="G97" s="1">
        <f t="shared" ca="1" si="61"/>
        <v>28</v>
      </c>
      <c r="H97" s="1">
        <f t="shared" ca="1" si="62"/>
        <v>10</v>
      </c>
      <c r="I97" s="1"/>
      <c r="J97" s="1">
        <f t="shared" ca="1" si="63"/>
        <v>36</v>
      </c>
      <c r="K97" s="1">
        <f t="shared" ca="1" si="64"/>
        <v>2.7122625467452339</v>
      </c>
      <c r="L97" s="1">
        <f t="shared" ca="1" si="65"/>
        <v>8</v>
      </c>
      <c r="M97" s="1"/>
      <c r="N97" s="1">
        <f t="shared" ca="1" si="66"/>
        <v>131</v>
      </c>
      <c r="O97" s="1">
        <f t="shared" ca="1" si="67"/>
        <v>18</v>
      </c>
      <c r="P97" s="1"/>
      <c r="Q97" s="1">
        <f t="shared" ca="1" si="68"/>
        <v>1.6034836950316185</v>
      </c>
      <c r="R97" s="1">
        <f t="shared" ca="1" si="69"/>
        <v>606</v>
      </c>
      <c r="S97" s="1"/>
      <c r="T97" s="1">
        <f t="shared" ca="1" si="70"/>
        <v>0.17261245290877988</v>
      </c>
      <c r="U97" s="1">
        <f t="shared" ca="1" si="71"/>
        <v>207</v>
      </c>
      <c r="V97" s="1">
        <f t="shared" ca="1" si="72"/>
        <v>6</v>
      </c>
      <c r="W97" s="1"/>
      <c r="X97" s="1">
        <f t="shared" ca="1" si="73"/>
        <v>1.1089888933897651E-2</v>
      </c>
      <c r="Y97" s="1">
        <f t="shared" ca="1" si="74"/>
        <v>0.28226228301722905</v>
      </c>
      <c r="Z97" s="1">
        <f t="shared" ca="1" si="75"/>
        <v>175</v>
      </c>
      <c r="AB97" s="1">
        <f t="shared" ca="1" si="76"/>
        <v>0.63685793078346131</v>
      </c>
      <c r="AC97" s="1">
        <f t="shared" ca="1" si="77"/>
        <v>960</v>
      </c>
      <c r="AD97" s="1">
        <f t="shared" ca="1" si="78"/>
        <v>1.6087180591500979E-3</v>
      </c>
      <c r="AE97" s="1"/>
      <c r="AF97" s="1">
        <f t="shared" ca="1" si="79"/>
        <v>0.59638669432433111</v>
      </c>
      <c r="AG97" s="1">
        <f t="shared" ca="1" si="80"/>
        <v>120</v>
      </c>
      <c r="AH97" s="1">
        <f t="shared" ca="1" si="81"/>
        <v>3.6695542456804818E-3</v>
      </c>
      <c r="AJ97" s="1">
        <f t="shared" ca="1" si="82"/>
        <v>0.55049641404482452</v>
      </c>
      <c r="AK97" s="1">
        <f t="shared" ca="1" si="83"/>
        <v>1.5837177039866935E-3</v>
      </c>
      <c r="AL97" s="1"/>
      <c r="AM97" s="1">
        <f t="shared" ca="1" si="84"/>
        <v>0.18467341889334926</v>
      </c>
      <c r="AN97" s="1">
        <f t="shared" ca="1" si="85"/>
        <v>33</v>
      </c>
      <c r="AO97" s="1">
        <f t="shared" ca="1" si="86"/>
        <v>15</v>
      </c>
      <c r="AQ97" s="1">
        <f t="shared" ca="1" si="87"/>
        <v>53</v>
      </c>
      <c r="AR97" s="1">
        <f t="shared" ca="1" si="88"/>
        <v>7</v>
      </c>
      <c r="AS97" s="1">
        <f t="shared" ca="1" si="89"/>
        <v>4</v>
      </c>
      <c r="AU97" s="1">
        <f t="shared" ca="1" si="90"/>
        <v>63</v>
      </c>
      <c r="AV97" s="1">
        <f t="shared" ca="1" si="91"/>
        <v>3</v>
      </c>
      <c r="AW97" s="1">
        <f t="shared" ca="1" si="92"/>
        <v>0.10206413058962469</v>
      </c>
      <c r="AY97" s="1">
        <f t="shared" ca="1" si="93"/>
        <v>1.8945778814012386</v>
      </c>
      <c r="AZ97" s="1">
        <f t="shared" ca="1" si="94"/>
        <v>411</v>
      </c>
      <c r="BA97" s="1">
        <f t="shared" ca="1" si="95"/>
        <v>3.4308104696629789E-3</v>
      </c>
      <c r="BV97" s="1">
        <f t="shared" ca="1" si="96"/>
        <v>0.64715408821857723</v>
      </c>
      <c r="BW97" s="1">
        <f t="shared" ca="1" si="97"/>
        <v>700</v>
      </c>
      <c r="BX97" s="1">
        <f t="shared" ca="1" si="98"/>
        <v>3.3511901708127246E-3</v>
      </c>
      <c r="BY97" s="1">
        <f t="shared" ca="1" si="99"/>
        <v>3.9142515000716707E-2</v>
      </c>
      <c r="BZ97" s="1">
        <f t="shared" ca="1" si="100"/>
        <v>0.97414207639297923</v>
      </c>
      <c r="CB97" s="1">
        <f t="shared" ca="1" si="101"/>
        <v>431</v>
      </c>
      <c r="CC97" s="1">
        <f t="shared" ca="1" si="102"/>
        <v>4</v>
      </c>
      <c r="CD97" s="1">
        <f t="shared" ca="1" si="103"/>
        <v>0.24039181256237926</v>
      </c>
      <c r="CE97" s="1">
        <f t="shared" ca="1" si="104"/>
        <v>0.95502549680141047</v>
      </c>
      <c r="CF97" s="1">
        <f t="shared" ca="1" si="104"/>
        <v>0.99960030347235995</v>
      </c>
      <c r="CH97" s="3">
        <f t="shared" ca="1" si="105"/>
        <v>9.7106759807522022E-2</v>
      </c>
      <c r="CI97" s="3">
        <f t="shared" ca="1" si="106"/>
        <v>0.53477204416720303</v>
      </c>
      <c r="CJ97" s="3">
        <f t="shared" ca="1" si="107"/>
        <v>730</v>
      </c>
      <c r="CK97" s="3">
        <f t="shared" ca="1" si="108"/>
        <v>3.7794094934563371E-3</v>
      </c>
      <c r="CL97" s="3">
        <f t="shared" ca="1" si="109"/>
        <v>0</v>
      </c>
      <c r="CM97" s="3"/>
      <c r="CN97" s="1">
        <f t="shared" ca="1" si="110"/>
        <v>14.077006231698421</v>
      </c>
      <c r="CO97" s="1">
        <f t="shared" ca="1" si="111"/>
        <v>0.37807286536341456</v>
      </c>
      <c r="CP97" s="1">
        <f t="shared" ca="1" si="112"/>
        <v>5</v>
      </c>
    </row>
    <row r="98" spans="2:94" x14ac:dyDescent="0.25">
      <c r="B98">
        <f t="shared" ca="1" si="57"/>
        <v>405</v>
      </c>
      <c r="C98">
        <f t="shared" ca="1" si="58"/>
        <v>24</v>
      </c>
      <c r="D98">
        <f t="shared" ca="1" si="59"/>
        <v>0.26351708440035809</v>
      </c>
      <c r="F98" s="1">
        <f t="shared" ca="1" si="60"/>
        <v>49</v>
      </c>
      <c r="G98" s="1">
        <f t="shared" ca="1" si="61"/>
        <v>11</v>
      </c>
      <c r="H98" s="1">
        <f t="shared" ca="1" si="62"/>
        <v>10</v>
      </c>
      <c r="I98" s="1"/>
      <c r="J98" s="1">
        <f t="shared" ca="1" si="63"/>
        <v>23</v>
      </c>
      <c r="K98" s="1">
        <f t="shared" ca="1" si="64"/>
        <v>1.8838058854219422</v>
      </c>
      <c r="L98" s="1">
        <f t="shared" ca="1" si="65"/>
        <v>8</v>
      </c>
      <c r="M98" s="1"/>
      <c r="N98" s="1">
        <f t="shared" ca="1" si="66"/>
        <v>727</v>
      </c>
      <c r="O98" s="1">
        <f t="shared" ca="1" si="67"/>
        <v>10</v>
      </c>
      <c r="P98" s="1"/>
      <c r="Q98" s="1">
        <f t="shared" ca="1" si="68"/>
        <v>5.4716517329645373E-2</v>
      </c>
      <c r="R98" s="1">
        <f t="shared" ca="1" si="69"/>
        <v>756</v>
      </c>
      <c r="S98" s="1"/>
      <c r="T98" s="1">
        <f t="shared" ca="1" si="70"/>
        <v>0.16404109507590517</v>
      </c>
      <c r="U98" s="1">
        <f t="shared" ca="1" si="71"/>
        <v>257</v>
      </c>
      <c r="V98" s="1">
        <f t="shared" ca="1" si="72"/>
        <v>33</v>
      </c>
      <c r="W98" s="1"/>
      <c r="X98" s="1">
        <f t="shared" ca="1" si="73"/>
        <v>4.2091727250881661</v>
      </c>
      <c r="Y98" s="1">
        <f t="shared" ca="1" si="74"/>
        <v>0.5371681446360288</v>
      </c>
      <c r="Z98" s="1">
        <f t="shared" ca="1" si="75"/>
        <v>1551</v>
      </c>
      <c r="AB98" s="1">
        <f t="shared" ca="1" si="76"/>
        <v>0.53854240872395287</v>
      </c>
      <c r="AC98" s="1">
        <f t="shared" ca="1" si="77"/>
        <v>220</v>
      </c>
      <c r="AD98" s="1">
        <f t="shared" ca="1" si="78"/>
        <v>7.2190026743856163E-3</v>
      </c>
      <c r="AE98" s="1"/>
      <c r="AF98" s="1">
        <f t="shared" ca="1" si="79"/>
        <v>0.43517395490110589</v>
      </c>
      <c r="AG98" s="1">
        <f t="shared" ca="1" si="80"/>
        <v>389</v>
      </c>
      <c r="AH98" s="1">
        <f t="shared" ca="1" si="81"/>
        <v>8.4329874209347223E-3</v>
      </c>
      <c r="AJ98" s="1">
        <f t="shared" ca="1" si="82"/>
        <v>0.11191946367187966</v>
      </c>
      <c r="AK98" s="1">
        <f t="shared" ca="1" si="83"/>
        <v>6.4633811980680097E-3</v>
      </c>
      <c r="AL98" s="1"/>
      <c r="AM98" s="1">
        <f t="shared" ca="1" si="84"/>
        <v>0.11859895610032292</v>
      </c>
      <c r="AN98" s="1">
        <f t="shared" ca="1" si="85"/>
        <v>21</v>
      </c>
      <c r="AO98" s="1">
        <f t="shared" ca="1" si="86"/>
        <v>18</v>
      </c>
      <c r="AQ98" s="1">
        <f t="shared" ca="1" si="87"/>
        <v>104</v>
      </c>
      <c r="AR98" s="1">
        <f t="shared" ca="1" si="88"/>
        <v>9</v>
      </c>
      <c r="AS98" s="1">
        <f t="shared" ca="1" si="89"/>
        <v>42</v>
      </c>
      <c r="AU98" s="1">
        <f t="shared" ca="1" si="90"/>
        <v>384</v>
      </c>
      <c r="AV98" s="1">
        <f t="shared" ca="1" si="91"/>
        <v>7</v>
      </c>
      <c r="AW98" s="1">
        <f t="shared" ca="1" si="92"/>
        <v>1.6909752420979474E-2</v>
      </c>
      <c r="AY98" s="1">
        <f t="shared" ca="1" si="93"/>
        <v>1.3645977766622992</v>
      </c>
      <c r="AZ98" s="1">
        <f t="shared" ca="1" si="94"/>
        <v>101</v>
      </c>
      <c r="BA98" s="1">
        <f t="shared" ca="1" si="95"/>
        <v>4.538467226781662E-3</v>
      </c>
      <c r="BV98" s="1">
        <f t="shared" ca="1" si="96"/>
        <v>0.60990459010809428</v>
      </c>
      <c r="BW98" s="1">
        <f t="shared" ca="1" si="97"/>
        <v>632</v>
      </c>
      <c r="BX98" s="1">
        <f t="shared" ca="1" si="98"/>
        <v>4.4016390863488202E-3</v>
      </c>
      <c r="BY98" s="1">
        <f t="shared" ca="1" si="99"/>
        <v>6.6945246989048995E-2</v>
      </c>
      <c r="BZ98" s="1">
        <f t="shared" ca="1" si="100"/>
        <v>0.23269945449845542</v>
      </c>
      <c r="CB98" s="1">
        <f t="shared" ca="1" si="101"/>
        <v>466</v>
      </c>
      <c r="CC98" s="1">
        <f t="shared" ca="1" si="102"/>
        <v>3</v>
      </c>
      <c r="CD98" s="1">
        <f t="shared" ca="1" si="103"/>
        <v>0.25961622125260458</v>
      </c>
      <c r="CE98" s="1">
        <f t="shared" ca="1" si="104"/>
        <v>0.89591311618892533</v>
      </c>
      <c r="CF98" s="1">
        <f t="shared" ca="1" si="104"/>
        <v>0.99093772059801388</v>
      </c>
      <c r="CH98" s="3">
        <f t="shared" ca="1" si="105"/>
        <v>0.38146297618530861</v>
      </c>
      <c r="CI98" s="3">
        <f t="shared" ca="1" si="106"/>
        <v>0.84879156232816655</v>
      </c>
      <c r="CJ98" s="3">
        <f t="shared" ca="1" si="107"/>
        <v>1821</v>
      </c>
      <c r="CK98" s="3">
        <f t="shared" ca="1" si="108"/>
        <v>5.1800631149735285E-3</v>
      </c>
      <c r="CL98" s="3">
        <f t="shared" ca="1" si="109"/>
        <v>0</v>
      </c>
      <c r="CM98" s="3"/>
      <c r="CN98" s="1">
        <f t="shared" ca="1" si="110"/>
        <v>14.470613898183622</v>
      </c>
      <c r="CO98" s="1">
        <f t="shared" ca="1" si="111"/>
        <v>0.42025465057694972</v>
      </c>
      <c r="CP98" s="1">
        <f t="shared" ca="1" si="112"/>
        <v>3</v>
      </c>
    </row>
    <row r="99" spans="2:94" x14ac:dyDescent="0.25">
      <c r="B99">
        <f t="shared" ca="1" si="57"/>
        <v>257</v>
      </c>
      <c r="C99">
        <f t="shared" ca="1" si="58"/>
        <v>12</v>
      </c>
      <c r="D99">
        <f t="shared" ca="1" si="59"/>
        <v>0.14056904540892293</v>
      </c>
      <c r="F99" s="1">
        <f t="shared" ca="1" si="60"/>
        <v>3</v>
      </c>
      <c r="G99" s="1">
        <f t="shared" ca="1" si="61"/>
        <v>20</v>
      </c>
      <c r="H99" s="1">
        <f t="shared" ca="1" si="62"/>
        <v>6</v>
      </c>
      <c r="I99" s="1"/>
      <c r="J99" s="1">
        <f t="shared" ca="1" si="63"/>
        <v>8</v>
      </c>
      <c r="K99" s="1">
        <f t="shared" ca="1" si="64"/>
        <v>1.3540430103485055</v>
      </c>
      <c r="L99" s="1">
        <f t="shared" ca="1" si="65"/>
        <v>15</v>
      </c>
      <c r="M99" s="1"/>
      <c r="N99" s="1">
        <f t="shared" ca="1" si="66"/>
        <v>621</v>
      </c>
      <c r="O99" s="1">
        <f t="shared" ca="1" si="67"/>
        <v>13</v>
      </c>
      <c r="P99" s="1"/>
      <c r="Q99" s="1">
        <f t="shared" ca="1" si="68"/>
        <v>3.2463296597322535</v>
      </c>
      <c r="R99" s="1">
        <f t="shared" ca="1" si="69"/>
        <v>1089</v>
      </c>
      <c r="S99" s="1"/>
      <c r="T99" s="1">
        <f t="shared" ca="1" si="70"/>
        <v>0.16214740456253451</v>
      </c>
      <c r="U99" s="1">
        <f t="shared" ca="1" si="71"/>
        <v>54</v>
      </c>
      <c r="V99" s="1">
        <f t="shared" ca="1" si="72"/>
        <v>17</v>
      </c>
      <c r="W99" s="1"/>
      <c r="X99" s="1">
        <f t="shared" ca="1" si="73"/>
        <v>7.093519285371924</v>
      </c>
      <c r="Y99" s="1">
        <f t="shared" ca="1" si="74"/>
        <v>8.9706772722532663E-2</v>
      </c>
      <c r="Z99" s="1">
        <f t="shared" ca="1" si="75"/>
        <v>466</v>
      </c>
      <c r="AB99" s="1">
        <f t="shared" ca="1" si="76"/>
        <v>9.708910490778612E-2</v>
      </c>
      <c r="AC99" s="1">
        <f t="shared" ca="1" si="77"/>
        <v>208</v>
      </c>
      <c r="AD99" s="1">
        <f t="shared" ca="1" si="78"/>
        <v>8.3869123850804465E-3</v>
      </c>
      <c r="AE99" s="1"/>
      <c r="AF99" s="1">
        <f t="shared" ca="1" si="79"/>
        <v>0.11359830533702847</v>
      </c>
      <c r="AG99" s="1">
        <f t="shared" ca="1" si="80"/>
        <v>232</v>
      </c>
      <c r="AH99" s="1">
        <f t="shared" ca="1" si="81"/>
        <v>1.5827349075876139E-3</v>
      </c>
      <c r="AJ99" s="1">
        <f t="shared" ca="1" si="82"/>
        <v>0.38602683955219519</v>
      </c>
      <c r="AK99" s="1">
        <f t="shared" ca="1" si="83"/>
        <v>1.8365358805373072E-3</v>
      </c>
      <c r="AL99" s="1"/>
      <c r="AM99" s="1">
        <f t="shared" ca="1" si="84"/>
        <v>0.16168623542177096</v>
      </c>
      <c r="AN99" s="1">
        <f t="shared" ca="1" si="85"/>
        <v>52</v>
      </c>
      <c r="AO99" s="1">
        <f t="shared" ca="1" si="86"/>
        <v>17</v>
      </c>
      <c r="AQ99" s="1">
        <f t="shared" ca="1" si="87"/>
        <v>153</v>
      </c>
      <c r="AR99" s="1">
        <f t="shared" ca="1" si="88"/>
        <v>5</v>
      </c>
      <c r="AS99" s="1">
        <f t="shared" ca="1" si="89"/>
        <v>12</v>
      </c>
      <c r="AU99" s="1">
        <f t="shared" ca="1" si="90"/>
        <v>140</v>
      </c>
      <c r="AV99" s="1">
        <f t="shared" ca="1" si="91"/>
        <v>4</v>
      </c>
      <c r="AW99" s="1">
        <f t="shared" ca="1" si="92"/>
        <v>0.19261099749211835</v>
      </c>
      <c r="AY99" s="1">
        <f t="shared" ca="1" si="93"/>
        <v>1.563018099815954</v>
      </c>
      <c r="AZ99" s="1">
        <f t="shared" ca="1" si="94"/>
        <v>112</v>
      </c>
      <c r="BA99" s="1">
        <f t="shared" ca="1" si="95"/>
        <v>8.9422663272891896E-3</v>
      </c>
      <c r="BV99" s="1">
        <f t="shared" ca="1" si="96"/>
        <v>0.47010563105326175</v>
      </c>
      <c r="BW99" s="1">
        <f t="shared" ca="1" si="97"/>
        <v>305</v>
      </c>
      <c r="BX99" s="1">
        <f t="shared" ca="1" si="98"/>
        <v>5.4753112282197505E-3</v>
      </c>
      <c r="BY99" s="1">
        <f t="shared" ca="1" si="99"/>
        <v>5.4889128466983156E-2</v>
      </c>
      <c r="BZ99" s="1">
        <f t="shared" ca="1" si="100"/>
        <v>7.2369853451087041E-2</v>
      </c>
      <c r="CB99" s="1">
        <f t="shared" ca="1" si="101"/>
        <v>284</v>
      </c>
      <c r="CC99" s="1">
        <f t="shared" ca="1" si="102"/>
        <v>13</v>
      </c>
      <c r="CD99" s="1">
        <f t="shared" ca="1" si="103"/>
        <v>0.14460461449949039</v>
      </c>
      <c r="CE99" s="1">
        <f t="shared" ca="1" si="104"/>
        <v>0.87212531460975207</v>
      </c>
      <c r="CF99" s="1">
        <f t="shared" ca="1" si="104"/>
        <v>0.84987299774994518</v>
      </c>
      <c r="CH99" s="3">
        <f t="shared" ca="1" si="105"/>
        <v>0.12527529064806806</v>
      </c>
      <c r="CI99" s="3">
        <f t="shared" ca="1" si="106"/>
        <v>0.29909975084426721</v>
      </c>
      <c r="CJ99" s="3">
        <f t="shared" ca="1" si="107"/>
        <v>878</v>
      </c>
      <c r="CK99" s="3">
        <f t="shared" ca="1" si="108"/>
        <v>4.6450144523085286E-3</v>
      </c>
      <c r="CL99" s="3">
        <f t="shared" ca="1" si="109"/>
        <v>1</v>
      </c>
      <c r="CM99" s="3"/>
      <c r="CN99" s="1">
        <f t="shared" ca="1" si="110"/>
        <v>8.6892909474309281</v>
      </c>
      <c r="CO99" s="1">
        <f t="shared" ca="1" si="111"/>
        <v>0.1206030985452507</v>
      </c>
      <c r="CP99" s="1">
        <f t="shared" ca="1" si="112"/>
        <v>4</v>
      </c>
    </row>
    <row r="100" spans="2:94" x14ac:dyDescent="0.25">
      <c r="B100">
        <f t="shared" ca="1" si="57"/>
        <v>589</v>
      </c>
      <c r="C100">
        <f t="shared" ca="1" si="58"/>
        <v>9</v>
      </c>
      <c r="D100">
        <f t="shared" ca="1" si="59"/>
        <v>0.184179171162379</v>
      </c>
      <c r="F100" s="1">
        <f t="shared" ca="1" si="60"/>
        <v>9</v>
      </c>
      <c r="G100" s="1">
        <f t="shared" ca="1" si="61"/>
        <v>4</v>
      </c>
      <c r="H100" s="1">
        <f t="shared" ca="1" si="62"/>
        <v>5</v>
      </c>
      <c r="I100" s="1"/>
      <c r="J100" s="1">
        <f t="shared" ca="1" si="63"/>
        <v>8</v>
      </c>
      <c r="K100" s="1">
        <f t="shared" ca="1" si="64"/>
        <v>2.3716363626875805</v>
      </c>
      <c r="L100" s="1">
        <f t="shared" ca="1" si="65"/>
        <v>5</v>
      </c>
      <c r="M100" s="1"/>
      <c r="N100" s="1">
        <f t="shared" ca="1" si="66"/>
        <v>545</v>
      </c>
      <c r="O100" s="1">
        <f t="shared" ca="1" si="67"/>
        <v>48</v>
      </c>
      <c r="P100" s="1"/>
      <c r="Q100" s="1">
        <f t="shared" ca="1" si="68"/>
        <v>3.4169584332279062</v>
      </c>
      <c r="R100" s="1">
        <f t="shared" ca="1" si="69"/>
        <v>1139</v>
      </c>
      <c r="S100" s="1"/>
      <c r="T100" s="1">
        <f t="shared" ca="1" si="70"/>
        <v>9.5270452130452959E-2</v>
      </c>
      <c r="U100" s="1">
        <f t="shared" ca="1" si="71"/>
        <v>317</v>
      </c>
      <c r="V100" s="1">
        <f t="shared" ca="1" si="72"/>
        <v>14</v>
      </c>
      <c r="W100" s="1"/>
      <c r="X100" s="1">
        <f t="shared" ca="1" si="73"/>
        <v>9.7713132710125752</v>
      </c>
      <c r="Y100" s="1">
        <f t="shared" ca="1" si="74"/>
        <v>0.22368723567286075</v>
      </c>
      <c r="Z100" s="1">
        <f t="shared" ca="1" si="75"/>
        <v>1814</v>
      </c>
      <c r="AB100" s="1">
        <f t="shared" ca="1" si="76"/>
        <v>0.45776462996595901</v>
      </c>
      <c r="AC100" s="1">
        <f t="shared" ca="1" si="77"/>
        <v>922</v>
      </c>
      <c r="AD100" s="1">
        <f t="shared" ca="1" si="78"/>
        <v>5.7588090836144506E-3</v>
      </c>
      <c r="AE100" s="1"/>
      <c r="AF100" s="1">
        <f t="shared" ca="1" si="79"/>
        <v>0.77641191345432281</v>
      </c>
      <c r="AG100" s="1">
        <f t="shared" ca="1" si="80"/>
        <v>683</v>
      </c>
      <c r="AH100" s="1">
        <f t="shared" ca="1" si="81"/>
        <v>9.9672033753115136E-3</v>
      </c>
      <c r="AJ100" s="1">
        <f t="shared" ca="1" si="82"/>
        <v>0.54260931025402137</v>
      </c>
      <c r="AK100" s="1">
        <f t="shared" ca="1" si="83"/>
        <v>5.8936237039844703E-3</v>
      </c>
      <c r="AL100" s="1"/>
      <c r="AM100" s="1">
        <f t="shared" ca="1" si="84"/>
        <v>0.15110607154183328</v>
      </c>
      <c r="AN100" s="1">
        <f t="shared" ca="1" si="85"/>
        <v>20</v>
      </c>
      <c r="AO100" s="1">
        <f t="shared" ca="1" si="86"/>
        <v>20</v>
      </c>
      <c r="AQ100" s="1">
        <f t="shared" ca="1" si="87"/>
        <v>125</v>
      </c>
      <c r="AR100" s="1">
        <f t="shared" ca="1" si="88"/>
        <v>10</v>
      </c>
      <c r="AS100" s="1">
        <f t="shared" ca="1" si="89"/>
        <v>61</v>
      </c>
      <c r="AU100" s="1">
        <f t="shared" ca="1" si="90"/>
        <v>134</v>
      </c>
      <c r="AV100" s="1">
        <f t="shared" ca="1" si="91"/>
        <v>4</v>
      </c>
      <c r="AW100" s="1">
        <f t="shared" ca="1" si="92"/>
        <v>8.5904690456938354E-2</v>
      </c>
      <c r="AY100" s="1">
        <f t="shared" ca="1" si="93"/>
        <v>1.3649106729048461</v>
      </c>
      <c r="AZ100" s="1">
        <f t="shared" ca="1" si="94"/>
        <v>105</v>
      </c>
      <c r="BA100" s="1">
        <f t="shared" ca="1" si="95"/>
        <v>8.0018708462200414E-3</v>
      </c>
      <c r="BV100" s="1">
        <f t="shared" ca="1" si="96"/>
        <v>0.72925785074859761</v>
      </c>
      <c r="BW100" s="1">
        <f t="shared" ca="1" si="97"/>
        <v>898</v>
      </c>
      <c r="BX100" s="1">
        <f t="shared" ca="1" si="98"/>
        <v>5.8749984929704737E-3</v>
      </c>
      <c r="BY100" s="1">
        <f t="shared" ca="1" si="99"/>
        <v>5.6534617987194731E-2</v>
      </c>
      <c r="BZ100" s="1">
        <f t="shared" ca="1" si="100"/>
        <v>0.54391430579408562</v>
      </c>
      <c r="CB100" s="1">
        <f t="shared" ca="1" si="101"/>
        <v>461</v>
      </c>
      <c r="CC100" s="1">
        <f t="shared" ca="1" si="102"/>
        <v>9</v>
      </c>
      <c r="CD100" s="1">
        <f t="shared" ca="1" si="103"/>
        <v>5.9629688413683477E-2</v>
      </c>
      <c r="CE100" s="1">
        <f t="shared" ref="CE100:CF131" ca="1" si="113">RAND()*(1-0.5)+0.5</f>
        <v>0.87359398703698443</v>
      </c>
      <c r="CF100" s="1">
        <f t="shared" ca="1" si="113"/>
        <v>0.65817863913189734</v>
      </c>
      <c r="CH100" s="3">
        <f t="shared" ca="1" si="105"/>
        <v>0.35541834140238771</v>
      </c>
      <c r="CI100" s="3">
        <f t="shared" ca="1" si="106"/>
        <v>9.7088278021636595E-2</v>
      </c>
      <c r="CJ100" s="3">
        <f t="shared" ca="1" si="107"/>
        <v>367</v>
      </c>
      <c r="CK100" s="3">
        <f t="shared" ca="1" si="108"/>
        <v>1.5732599267147681E-3</v>
      </c>
      <c r="CL100" s="3">
        <f t="shared" ca="1" si="109"/>
        <v>1</v>
      </c>
      <c r="CM100" s="3"/>
      <c r="CN100" s="1">
        <f t="shared" ca="1" si="110"/>
        <v>4.9394132095784595</v>
      </c>
      <c r="CO100" s="1">
        <f t="shared" ca="1" si="111"/>
        <v>0.23129047366708363</v>
      </c>
      <c r="CP100" s="1">
        <f t="shared" ca="1" si="112"/>
        <v>5</v>
      </c>
    </row>
    <row r="101" spans="2:94" x14ac:dyDescent="0.25">
      <c r="B101">
        <f t="shared" ca="1" si="57"/>
        <v>739</v>
      </c>
      <c r="C101">
        <f t="shared" ca="1" si="58"/>
        <v>45</v>
      </c>
      <c r="D101">
        <f t="shared" ca="1" si="59"/>
        <v>0.24687761051521895</v>
      </c>
      <c r="F101" s="1">
        <f t="shared" ca="1" si="60"/>
        <v>38</v>
      </c>
      <c r="G101" s="1">
        <f t="shared" ca="1" si="61"/>
        <v>20</v>
      </c>
      <c r="H101" s="1">
        <f t="shared" ca="1" si="62"/>
        <v>10</v>
      </c>
      <c r="I101" s="1"/>
      <c r="J101" s="1">
        <f t="shared" ca="1" si="63"/>
        <v>25</v>
      </c>
      <c r="K101" s="1">
        <f t="shared" ca="1" si="64"/>
        <v>1.0919269783647123</v>
      </c>
      <c r="L101" s="1">
        <f t="shared" ca="1" si="65"/>
        <v>31</v>
      </c>
      <c r="M101" s="1"/>
      <c r="N101" s="1">
        <f t="shared" ca="1" si="66"/>
        <v>150</v>
      </c>
      <c r="O101" s="1">
        <f t="shared" ca="1" si="67"/>
        <v>6</v>
      </c>
      <c r="P101" s="1"/>
      <c r="Q101" s="1">
        <f t="shared" ca="1" si="68"/>
        <v>2.4408649888017466</v>
      </c>
      <c r="R101" s="1">
        <f t="shared" ca="1" si="69"/>
        <v>282</v>
      </c>
      <c r="S101" s="1"/>
      <c r="T101" s="1">
        <f t="shared" ca="1" si="70"/>
        <v>1.3593090067749758E-2</v>
      </c>
      <c r="U101" s="1">
        <f t="shared" ca="1" si="71"/>
        <v>369</v>
      </c>
      <c r="V101" s="1">
        <f t="shared" ca="1" si="72"/>
        <v>5</v>
      </c>
      <c r="W101" s="1"/>
      <c r="X101" s="1">
        <f t="shared" ca="1" si="73"/>
        <v>2.6504233342522538</v>
      </c>
      <c r="Y101" s="1">
        <f t="shared" ca="1" si="74"/>
        <v>0.856624206175291</v>
      </c>
      <c r="Z101" s="1">
        <f t="shared" ca="1" si="75"/>
        <v>562</v>
      </c>
      <c r="AB101" s="1">
        <f t="shared" ca="1" si="76"/>
        <v>0.23217868645241793</v>
      </c>
      <c r="AC101" s="1">
        <f t="shared" ca="1" si="77"/>
        <v>775</v>
      </c>
      <c r="AD101" s="1">
        <f t="shared" ca="1" si="78"/>
        <v>1.2526957420807079E-3</v>
      </c>
      <c r="AE101" s="1"/>
      <c r="AF101" s="1">
        <f t="shared" ca="1" si="79"/>
        <v>0.75596914243712743</v>
      </c>
      <c r="AG101" s="1">
        <f t="shared" ca="1" si="80"/>
        <v>864</v>
      </c>
      <c r="AH101" s="1">
        <f t="shared" ca="1" si="81"/>
        <v>2.6661696117617605E-3</v>
      </c>
      <c r="AJ101" s="1">
        <f t="shared" ca="1" si="82"/>
        <v>0.60118044869835752</v>
      </c>
      <c r="AK101" s="1">
        <f t="shared" ca="1" si="83"/>
        <v>2.7794747157292125E-3</v>
      </c>
      <c r="AL101" s="1"/>
      <c r="AM101" s="1">
        <f t="shared" ca="1" si="84"/>
        <v>0.19599297074498656</v>
      </c>
      <c r="AN101" s="1">
        <f t="shared" ca="1" si="85"/>
        <v>68</v>
      </c>
      <c r="AO101" s="1">
        <f t="shared" ca="1" si="86"/>
        <v>12</v>
      </c>
      <c r="AQ101" s="1">
        <f t="shared" ca="1" si="87"/>
        <v>116</v>
      </c>
      <c r="AR101" s="1">
        <f t="shared" ca="1" si="88"/>
        <v>5</v>
      </c>
      <c r="AS101" s="1">
        <f t="shared" ca="1" si="89"/>
        <v>32</v>
      </c>
      <c r="AU101" s="1">
        <f t="shared" ca="1" si="90"/>
        <v>84</v>
      </c>
      <c r="AV101" s="1">
        <f t="shared" ca="1" si="91"/>
        <v>9</v>
      </c>
      <c r="AW101" s="1">
        <f t="shared" ca="1" si="92"/>
        <v>0.16666292738247229</v>
      </c>
      <c r="AY101" s="1">
        <f t="shared" ca="1" si="93"/>
        <v>1.5805287099657517</v>
      </c>
      <c r="AZ101" s="1">
        <f t="shared" ca="1" si="94"/>
        <v>313</v>
      </c>
      <c r="BA101" s="1">
        <f t="shared" ca="1" si="95"/>
        <v>1.889228767055595E-3</v>
      </c>
      <c r="BV101" s="1">
        <f t="shared" ca="1" si="96"/>
        <v>0.20081050978023599</v>
      </c>
      <c r="BW101" s="1">
        <f t="shared" ca="1" si="97"/>
        <v>953</v>
      </c>
      <c r="BX101" s="1">
        <f t="shared" ca="1" si="98"/>
        <v>2.1840693139827646E-3</v>
      </c>
      <c r="BY101" s="1">
        <f t="shared" ca="1" si="99"/>
        <v>2.6393215946980943E-2</v>
      </c>
      <c r="BZ101" s="1">
        <f t="shared" ca="1" si="100"/>
        <v>0.20838727832101156</v>
      </c>
      <c r="CB101" s="1">
        <f t="shared" ca="1" si="101"/>
        <v>89</v>
      </c>
      <c r="CC101" s="1">
        <f t="shared" ca="1" si="102"/>
        <v>14</v>
      </c>
      <c r="CD101" s="1">
        <f t="shared" ca="1" si="103"/>
        <v>0.15859313854371068</v>
      </c>
      <c r="CE101" s="1">
        <f t="shared" ca="1" si="113"/>
        <v>0.52161959345232067</v>
      </c>
      <c r="CF101" s="1">
        <f t="shared" ca="1" si="113"/>
        <v>0.58784299018968456</v>
      </c>
      <c r="CH101" s="3">
        <f t="shared" ca="1" si="105"/>
        <v>0.29115902025375301</v>
      </c>
      <c r="CI101" s="3">
        <f t="shared" ca="1" si="106"/>
        <v>0.35079438547999531</v>
      </c>
      <c r="CJ101" s="3">
        <f t="shared" ca="1" si="107"/>
        <v>300</v>
      </c>
      <c r="CK101" s="3">
        <f t="shared" ca="1" si="108"/>
        <v>7.0087656346469827E-3</v>
      </c>
      <c r="CL101" s="3">
        <f t="shared" ca="1" si="109"/>
        <v>1</v>
      </c>
      <c r="CM101" s="3"/>
      <c r="CN101" s="1">
        <f t="shared" ca="1" si="110"/>
        <v>16.04394988543903</v>
      </c>
      <c r="CO101" s="1">
        <f t="shared" ca="1" si="111"/>
        <v>0.1050658184274923</v>
      </c>
      <c r="CP101" s="1">
        <f t="shared" ca="1" si="112"/>
        <v>3</v>
      </c>
    </row>
    <row r="102" spans="2:94" x14ac:dyDescent="0.25">
      <c r="B102">
        <f t="shared" ca="1" si="57"/>
        <v>598</v>
      </c>
      <c r="C102">
        <f t="shared" ca="1" si="58"/>
        <v>17</v>
      </c>
      <c r="D102">
        <f t="shared" ca="1" si="59"/>
        <v>3.0921013301622557E-2</v>
      </c>
      <c r="F102" s="1">
        <f t="shared" ca="1" si="60"/>
        <v>13</v>
      </c>
      <c r="G102" s="1">
        <f t="shared" ca="1" si="61"/>
        <v>24</v>
      </c>
      <c r="H102" s="1">
        <f t="shared" ca="1" si="62"/>
        <v>7</v>
      </c>
      <c r="I102" s="1"/>
      <c r="J102" s="1">
        <f t="shared" ca="1" si="63"/>
        <v>34</v>
      </c>
      <c r="K102" s="1">
        <f t="shared" ca="1" si="64"/>
        <v>1.5367378005340668</v>
      </c>
      <c r="L102" s="1">
        <f t="shared" ca="1" si="65"/>
        <v>26</v>
      </c>
      <c r="M102" s="1"/>
      <c r="N102" s="1">
        <f t="shared" ca="1" si="66"/>
        <v>552</v>
      </c>
      <c r="O102" s="1">
        <f t="shared" ca="1" si="67"/>
        <v>3</v>
      </c>
      <c r="P102" s="1"/>
      <c r="Q102" s="1">
        <f t="shared" ca="1" si="68"/>
        <v>1.5853473870734294</v>
      </c>
      <c r="R102" s="1">
        <f t="shared" ca="1" si="69"/>
        <v>207</v>
      </c>
      <c r="S102" s="1"/>
      <c r="T102" s="1">
        <f t="shared" ca="1" si="70"/>
        <v>0.15892802616377802</v>
      </c>
      <c r="U102" s="1">
        <f t="shared" ca="1" si="71"/>
        <v>183</v>
      </c>
      <c r="V102" s="1">
        <f t="shared" ca="1" si="72"/>
        <v>15</v>
      </c>
      <c r="W102" s="1"/>
      <c r="X102" s="1">
        <f t="shared" ca="1" si="73"/>
        <v>5.7686654950622422</v>
      </c>
      <c r="Y102" s="1">
        <f t="shared" ca="1" si="74"/>
        <v>0.47029678008946157</v>
      </c>
      <c r="Z102" s="1">
        <f t="shared" ca="1" si="75"/>
        <v>258</v>
      </c>
      <c r="AB102" s="1">
        <f t="shared" ca="1" si="76"/>
        <v>0.78936070205446418</v>
      </c>
      <c r="AC102" s="1">
        <f t="shared" ca="1" si="77"/>
        <v>478</v>
      </c>
      <c r="AD102" s="1">
        <f t="shared" ca="1" si="78"/>
        <v>3.1245699408104723E-3</v>
      </c>
      <c r="AE102" s="1"/>
      <c r="AF102" s="1">
        <f t="shared" ca="1" si="79"/>
        <v>0.49825546602997028</v>
      </c>
      <c r="AG102" s="1">
        <f t="shared" ca="1" si="80"/>
        <v>411</v>
      </c>
      <c r="AH102" s="1">
        <f t="shared" ca="1" si="81"/>
        <v>9.5971304374613316E-3</v>
      </c>
      <c r="AJ102" s="1">
        <f t="shared" ca="1" si="82"/>
        <v>0.38886602069536436</v>
      </c>
      <c r="AK102" s="1">
        <f t="shared" ca="1" si="83"/>
        <v>7.7861961070080426E-3</v>
      </c>
      <c r="AL102" s="1"/>
      <c r="AM102" s="1">
        <f t="shared" ca="1" si="84"/>
        <v>5.2644925343283536E-2</v>
      </c>
      <c r="AN102" s="1">
        <f t="shared" ca="1" si="85"/>
        <v>33</v>
      </c>
      <c r="AO102" s="1">
        <f t="shared" ca="1" si="86"/>
        <v>0</v>
      </c>
      <c r="AQ102" s="1">
        <f t="shared" ca="1" si="87"/>
        <v>196</v>
      </c>
      <c r="AR102" s="1">
        <f t="shared" ca="1" si="88"/>
        <v>1</v>
      </c>
      <c r="AS102" s="1">
        <f t="shared" ca="1" si="89"/>
        <v>27</v>
      </c>
      <c r="AU102" s="1">
        <f t="shared" ca="1" si="90"/>
        <v>306</v>
      </c>
      <c r="AV102" s="1">
        <f t="shared" ca="1" si="91"/>
        <v>2</v>
      </c>
      <c r="AW102" s="1">
        <f t="shared" ca="1" si="92"/>
        <v>9.0202670449712682E-2</v>
      </c>
      <c r="AY102" s="1">
        <f t="shared" ca="1" si="93"/>
        <v>1.2280519974456938</v>
      </c>
      <c r="AZ102" s="1">
        <f t="shared" ca="1" si="94"/>
        <v>345</v>
      </c>
      <c r="BA102" s="1">
        <f t="shared" ca="1" si="95"/>
        <v>9.5325950807054246E-3</v>
      </c>
      <c r="BV102" s="1">
        <f t="shared" ca="1" si="96"/>
        <v>0.56389455036022595</v>
      </c>
      <c r="BW102" s="1">
        <f t="shared" ca="1" si="97"/>
        <v>534</v>
      </c>
      <c r="BX102" s="1">
        <f t="shared" ca="1" si="98"/>
        <v>4.2074278537169761E-3</v>
      </c>
      <c r="BY102" s="1">
        <f t="shared" ca="1" si="99"/>
        <v>8.2604812028721816E-2</v>
      </c>
      <c r="BZ102" s="1">
        <f t="shared" ca="1" si="100"/>
        <v>0.24890804071604211</v>
      </c>
      <c r="CB102" s="1">
        <f t="shared" ca="1" si="101"/>
        <v>315</v>
      </c>
      <c r="CC102" s="1">
        <f t="shared" ca="1" si="102"/>
        <v>11</v>
      </c>
      <c r="CD102" s="1">
        <f t="shared" ca="1" si="103"/>
        <v>2.3414972726784819E-2</v>
      </c>
      <c r="CE102" s="1">
        <f t="shared" ca="1" si="113"/>
        <v>0.92490795523201086</v>
      </c>
      <c r="CF102" s="1">
        <f t="shared" ca="1" si="113"/>
        <v>0.65968966630763815</v>
      </c>
      <c r="CH102" s="3">
        <f t="shared" ca="1" si="105"/>
        <v>0.21630281655237898</v>
      </c>
      <c r="CI102" s="3">
        <f t="shared" ca="1" si="106"/>
        <v>0.59841502115400591</v>
      </c>
      <c r="CJ102" s="3">
        <f t="shared" ca="1" si="107"/>
        <v>997</v>
      </c>
      <c r="CK102" s="3">
        <f t="shared" ca="1" si="108"/>
        <v>3.4715441815720473E-3</v>
      </c>
      <c r="CL102" s="3">
        <f t="shared" ca="1" si="109"/>
        <v>1</v>
      </c>
      <c r="CM102" s="3"/>
      <c r="CN102" s="1">
        <f t="shared" ca="1" si="110"/>
        <v>18.735525673234054</v>
      </c>
      <c r="CO102" s="1">
        <f t="shared" ca="1" si="111"/>
        <v>6.196933742876061E-2</v>
      </c>
      <c r="CP102" s="1">
        <f t="shared" ca="1" si="112"/>
        <v>3</v>
      </c>
    </row>
    <row r="103" spans="2:94" x14ac:dyDescent="0.25">
      <c r="B103">
        <f t="shared" ca="1" si="57"/>
        <v>275</v>
      </c>
      <c r="C103">
        <f t="shared" ca="1" si="58"/>
        <v>39</v>
      </c>
      <c r="D103">
        <f t="shared" ca="1" si="59"/>
        <v>0.12070791751720296</v>
      </c>
      <c r="F103" s="1">
        <f t="shared" ca="1" si="60"/>
        <v>2</v>
      </c>
      <c r="G103" s="1">
        <f t="shared" ca="1" si="61"/>
        <v>12</v>
      </c>
      <c r="H103" s="1">
        <f t="shared" ca="1" si="62"/>
        <v>10</v>
      </c>
      <c r="I103" s="1"/>
      <c r="J103" s="1">
        <f t="shared" ca="1" si="63"/>
        <v>10</v>
      </c>
      <c r="K103" s="1">
        <f t="shared" ca="1" si="64"/>
        <v>2.1071849868273702</v>
      </c>
      <c r="L103" s="1">
        <f t="shared" ca="1" si="65"/>
        <v>25</v>
      </c>
      <c r="M103" s="1"/>
      <c r="N103" s="1">
        <f t="shared" ca="1" si="66"/>
        <v>950</v>
      </c>
      <c r="O103" s="1">
        <f t="shared" ca="1" si="67"/>
        <v>38</v>
      </c>
      <c r="P103" s="1"/>
      <c r="Q103" s="1">
        <f t="shared" ca="1" si="68"/>
        <v>2.7889467047117171</v>
      </c>
      <c r="R103" s="1">
        <f t="shared" ca="1" si="69"/>
        <v>295</v>
      </c>
      <c r="S103" s="1"/>
      <c r="T103" s="1">
        <f t="shared" ca="1" si="70"/>
        <v>0.13429766456121703</v>
      </c>
      <c r="U103" s="1">
        <f t="shared" ca="1" si="71"/>
        <v>306</v>
      </c>
      <c r="V103" s="1">
        <f t="shared" ca="1" si="72"/>
        <v>9</v>
      </c>
      <c r="W103" s="1"/>
      <c r="X103" s="1">
        <f t="shared" ca="1" si="73"/>
        <v>1.1703848002746104</v>
      </c>
      <c r="Y103" s="1">
        <f t="shared" ca="1" si="74"/>
        <v>0.554582942586199</v>
      </c>
      <c r="Z103" s="1">
        <f t="shared" ca="1" si="75"/>
        <v>1196</v>
      </c>
      <c r="AB103" s="1">
        <f t="shared" ca="1" si="76"/>
        <v>0.99120709234455429</v>
      </c>
      <c r="AC103" s="1">
        <f t="shared" ca="1" si="77"/>
        <v>914</v>
      </c>
      <c r="AD103" s="1">
        <f t="shared" ca="1" si="78"/>
        <v>8.3322577349906977E-3</v>
      </c>
      <c r="AE103" s="1"/>
      <c r="AF103" s="1">
        <f t="shared" ca="1" si="79"/>
        <v>0.33486047799386198</v>
      </c>
      <c r="AG103" s="1">
        <f t="shared" ca="1" si="80"/>
        <v>774</v>
      </c>
      <c r="AH103" s="1">
        <f t="shared" ca="1" si="81"/>
        <v>9.6511849197265659E-3</v>
      </c>
      <c r="AJ103" s="1">
        <f t="shared" ca="1" si="82"/>
        <v>0.12928258490619393</v>
      </c>
      <c r="AK103" s="1">
        <f t="shared" ca="1" si="83"/>
        <v>1.7837171259367536E-3</v>
      </c>
      <c r="AL103" s="1"/>
      <c r="AM103" s="1">
        <f t="shared" ca="1" si="84"/>
        <v>0.18338177659226765</v>
      </c>
      <c r="AN103" s="1">
        <f t="shared" ca="1" si="85"/>
        <v>72</v>
      </c>
      <c r="AO103" s="1">
        <f t="shared" ca="1" si="86"/>
        <v>17</v>
      </c>
      <c r="AQ103" s="1">
        <f t="shared" ca="1" si="87"/>
        <v>85</v>
      </c>
      <c r="AR103" s="1">
        <f t="shared" ca="1" si="88"/>
        <v>9</v>
      </c>
      <c r="AS103" s="1">
        <f t="shared" ca="1" si="89"/>
        <v>36</v>
      </c>
      <c r="AU103" s="1">
        <f t="shared" ca="1" si="90"/>
        <v>301</v>
      </c>
      <c r="AV103" s="1">
        <f t="shared" ca="1" si="91"/>
        <v>4</v>
      </c>
      <c r="AW103" s="1">
        <f t="shared" ca="1" si="92"/>
        <v>0.12855014678482041</v>
      </c>
      <c r="AY103" s="1">
        <f t="shared" ca="1" si="93"/>
        <v>1.5045023893352711</v>
      </c>
      <c r="AZ103" s="1">
        <f t="shared" ca="1" si="94"/>
        <v>247</v>
      </c>
      <c r="BA103" s="1">
        <f t="shared" ca="1" si="95"/>
        <v>9.6917882731220161E-3</v>
      </c>
      <c r="BV103" s="1">
        <f t="shared" ca="1" si="96"/>
        <v>0.95268050766799739</v>
      </c>
      <c r="BW103" s="1">
        <f t="shared" ca="1" si="97"/>
        <v>489</v>
      </c>
      <c r="BX103" s="1">
        <f t="shared" ca="1" si="98"/>
        <v>5.3285254395808697E-3</v>
      </c>
      <c r="BY103" s="1">
        <f t="shared" ca="1" si="99"/>
        <v>8.0726819588654124E-4</v>
      </c>
      <c r="BZ103" s="1">
        <f t="shared" ca="1" si="100"/>
        <v>0.40097283655438554</v>
      </c>
      <c r="CB103" s="1">
        <f t="shared" ca="1" si="101"/>
        <v>55</v>
      </c>
      <c r="CC103" s="1">
        <f t="shared" ca="1" si="102"/>
        <v>8</v>
      </c>
      <c r="CD103" s="1">
        <f t="shared" ca="1" si="103"/>
        <v>5.8075381582389028E-2</v>
      </c>
      <c r="CE103" s="1">
        <f t="shared" ca="1" si="113"/>
        <v>0.64294598416059201</v>
      </c>
      <c r="CF103" s="1">
        <f t="shared" ca="1" si="113"/>
        <v>0.6406507813215474</v>
      </c>
      <c r="CH103" s="3">
        <f t="shared" ca="1" si="105"/>
        <v>0.75799009556795882</v>
      </c>
      <c r="CI103" s="3">
        <f t="shared" ca="1" si="106"/>
        <v>0.38611835696751529</v>
      </c>
      <c r="CJ103" s="3">
        <f t="shared" ca="1" si="107"/>
        <v>349</v>
      </c>
      <c r="CK103" s="3">
        <f t="shared" ca="1" si="108"/>
        <v>5.9289760743968063E-3</v>
      </c>
      <c r="CL103" s="3">
        <f t="shared" ca="1" si="109"/>
        <v>0</v>
      </c>
      <c r="CM103" s="3"/>
      <c r="CN103" s="1">
        <f t="shared" ca="1" si="110"/>
        <v>15.736698749718226</v>
      </c>
      <c r="CO103" s="1">
        <f t="shared" ca="1" si="111"/>
        <v>0.11677898296444647</v>
      </c>
      <c r="CP103" s="1">
        <f t="shared" ca="1" si="112"/>
        <v>4</v>
      </c>
    </row>
    <row r="104" spans="2:94" x14ac:dyDescent="0.25">
      <c r="B104">
        <f t="shared" ca="1" si="57"/>
        <v>502</v>
      </c>
      <c r="C104">
        <f t="shared" ca="1" si="58"/>
        <v>47</v>
      </c>
      <c r="D104">
        <f t="shared" ca="1" si="59"/>
        <v>0.19165370723830352</v>
      </c>
      <c r="F104" s="1">
        <f t="shared" ca="1" si="60"/>
        <v>39</v>
      </c>
      <c r="G104" s="1">
        <f t="shared" ca="1" si="61"/>
        <v>7</v>
      </c>
      <c r="H104" s="1">
        <f t="shared" ca="1" si="62"/>
        <v>12</v>
      </c>
      <c r="I104" s="1"/>
      <c r="J104" s="1">
        <f t="shared" ca="1" si="63"/>
        <v>1</v>
      </c>
      <c r="K104" s="1">
        <f t="shared" ca="1" si="64"/>
        <v>1.4118145717547554</v>
      </c>
      <c r="L104" s="1">
        <f t="shared" ca="1" si="65"/>
        <v>17</v>
      </c>
      <c r="M104" s="1"/>
      <c r="N104" s="1">
        <f t="shared" ca="1" si="66"/>
        <v>911</v>
      </c>
      <c r="O104" s="1">
        <f t="shared" ca="1" si="67"/>
        <v>39</v>
      </c>
      <c r="P104" s="1"/>
      <c r="Q104" s="1">
        <f t="shared" ca="1" si="68"/>
        <v>4.4674150850428909</v>
      </c>
      <c r="R104" s="1">
        <f t="shared" ca="1" si="69"/>
        <v>305</v>
      </c>
      <c r="S104" s="1"/>
      <c r="T104" s="1">
        <f t="shared" ca="1" si="70"/>
        <v>2.7176906143579503E-2</v>
      </c>
      <c r="U104" s="1">
        <f t="shared" ca="1" si="71"/>
        <v>340</v>
      </c>
      <c r="V104" s="1">
        <f t="shared" ca="1" si="72"/>
        <v>15</v>
      </c>
      <c r="W104" s="1"/>
      <c r="X104" s="1">
        <f t="shared" ca="1" si="73"/>
        <v>1.3415576910745879</v>
      </c>
      <c r="Y104" s="1">
        <f t="shared" ca="1" si="74"/>
        <v>0.45020860345075364</v>
      </c>
      <c r="Z104" s="1">
        <f t="shared" ca="1" si="75"/>
        <v>1171</v>
      </c>
      <c r="AB104" s="1">
        <f t="shared" ca="1" si="76"/>
        <v>0.48046885223253288</v>
      </c>
      <c r="AC104" s="1">
        <f t="shared" ca="1" si="77"/>
        <v>760</v>
      </c>
      <c r="AD104" s="1">
        <f t="shared" ca="1" si="78"/>
        <v>4.9633391066084788E-3</v>
      </c>
      <c r="AE104" s="1"/>
      <c r="AF104" s="1">
        <f t="shared" ca="1" si="79"/>
        <v>0.48054311556456797</v>
      </c>
      <c r="AG104" s="1">
        <f t="shared" ca="1" si="80"/>
        <v>318</v>
      </c>
      <c r="AH104" s="1">
        <f t="shared" ca="1" si="81"/>
        <v>6.767249116377827E-3</v>
      </c>
      <c r="AJ104" s="1">
        <f t="shared" ca="1" si="82"/>
        <v>0.34164417064287222</v>
      </c>
      <c r="AK104" s="1">
        <f t="shared" ca="1" si="83"/>
        <v>8.4784154753240158E-3</v>
      </c>
      <c r="AL104" s="1"/>
      <c r="AM104" s="1">
        <f t="shared" ca="1" si="84"/>
        <v>0.10127441634219096</v>
      </c>
      <c r="AN104" s="1">
        <f t="shared" ca="1" si="85"/>
        <v>44</v>
      </c>
      <c r="AO104" s="1">
        <f t="shared" ca="1" si="86"/>
        <v>4</v>
      </c>
      <c r="AQ104" s="1">
        <f t="shared" ca="1" si="87"/>
        <v>175</v>
      </c>
      <c r="AR104" s="1">
        <f t="shared" ca="1" si="88"/>
        <v>1</v>
      </c>
      <c r="AS104" s="1">
        <f t="shared" ca="1" si="89"/>
        <v>31</v>
      </c>
      <c r="AU104" s="1">
        <f t="shared" ca="1" si="90"/>
        <v>81</v>
      </c>
      <c r="AV104" s="1">
        <f t="shared" ca="1" si="91"/>
        <v>6</v>
      </c>
      <c r="AW104" s="1">
        <f t="shared" ca="1" si="92"/>
        <v>0.19899259332776814</v>
      </c>
      <c r="AY104" s="1">
        <f t="shared" ca="1" si="93"/>
        <v>1.7169476218930915</v>
      </c>
      <c r="AZ104" s="1">
        <f t="shared" ca="1" si="94"/>
        <v>133</v>
      </c>
      <c r="BA104" s="1">
        <f t="shared" ca="1" si="95"/>
        <v>6.646638697806853E-3</v>
      </c>
      <c r="BV104" s="1">
        <f t="shared" ca="1" si="96"/>
        <v>0.9017967520976754</v>
      </c>
      <c r="BW104" s="1">
        <f t="shared" ca="1" si="97"/>
        <v>176</v>
      </c>
      <c r="BX104" s="1">
        <f t="shared" ca="1" si="98"/>
        <v>1.3835546027733342E-3</v>
      </c>
      <c r="BY104" s="1">
        <f t="shared" ca="1" si="99"/>
        <v>4.2882700671592736E-2</v>
      </c>
      <c r="BZ104" s="1">
        <f t="shared" ca="1" si="100"/>
        <v>0.63809754048840384</v>
      </c>
      <c r="CB104" s="1">
        <f t="shared" ca="1" si="101"/>
        <v>467</v>
      </c>
      <c r="CC104" s="1">
        <f t="shared" ca="1" si="102"/>
        <v>10</v>
      </c>
      <c r="CD104" s="1">
        <f t="shared" ca="1" si="103"/>
        <v>0.15292681368630143</v>
      </c>
      <c r="CE104" s="1">
        <f t="shared" ca="1" si="113"/>
        <v>0.71205366387197844</v>
      </c>
      <c r="CF104" s="1">
        <f t="shared" ca="1" si="113"/>
        <v>0.50529199754604304</v>
      </c>
      <c r="CH104" s="3">
        <f t="shared" ca="1" si="105"/>
        <v>4.7576569226964087E-3</v>
      </c>
      <c r="CI104" s="3">
        <f t="shared" ca="1" si="106"/>
        <v>0.39268333978332731</v>
      </c>
      <c r="CJ104" s="3">
        <f t="shared" ca="1" si="107"/>
        <v>718</v>
      </c>
      <c r="CK104" s="3">
        <f t="shared" ca="1" si="108"/>
        <v>8.4226507499137356E-3</v>
      </c>
      <c r="CL104" s="3">
        <f t="shared" ca="1" si="109"/>
        <v>0</v>
      </c>
      <c r="CM104" s="3"/>
      <c r="CN104" s="1">
        <f t="shared" ca="1" si="110"/>
        <v>7.5632940983544019</v>
      </c>
      <c r="CO104" s="1">
        <f t="shared" ca="1" si="111"/>
        <v>0.12820623739517406</v>
      </c>
      <c r="CP104" s="1">
        <f t="shared" ca="1" si="112"/>
        <v>1</v>
      </c>
    </row>
    <row r="105" spans="2:94" x14ac:dyDescent="0.25">
      <c r="B105">
        <f t="shared" ca="1" si="57"/>
        <v>55</v>
      </c>
      <c r="C105">
        <f t="shared" ca="1" si="58"/>
        <v>38</v>
      </c>
      <c r="D105">
        <f t="shared" ca="1" si="59"/>
        <v>0.20562837502762843</v>
      </c>
      <c r="F105" s="1">
        <f t="shared" ca="1" si="60"/>
        <v>37</v>
      </c>
      <c r="G105" s="1">
        <f t="shared" ca="1" si="61"/>
        <v>15</v>
      </c>
      <c r="H105" s="1">
        <f t="shared" ca="1" si="62"/>
        <v>3</v>
      </c>
      <c r="I105" s="1"/>
      <c r="J105" s="1">
        <f t="shared" ca="1" si="63"/>
        <v>23</v>
      </c>
      <c r="K105" s="1">
        <f t="shared" ca="1" si="64"/>
        <v>1.8421287979624517</v>
      </c>
      <c r="L105" s="1">
        <f t="shared" ca="1" si="65"/>
        <v>28</v>
      </c>
      <c r="M105" s="1"/>
      <c r="N105" s="1">
        <f t="shared" ca="1" si="66"/>
        <v>665</v>
      </c>
      <c r="O105" s="1">
        <f t="shared" ca="1" si="67"/>
        <v>9</v>
      </c>
      <c r="P105" s="1"/>
      <c r="Q105" s="1">
        <f t="shared" ca="1" si="68"/>
        <v>3.1999470723104362</v>
      </c>
      <c r="R105" s="1">
        <f t="shared" ca="1" si="69"/>
        <v>861</v>
      </c>
      <c r="S105" s="1"/>
      <c r="T105" s="1">
        <f t="shared" ca="1" si="70"/>
        <v>7.9364631416362671E-2</v>
      </c>
      <c r="U105" s="1">
        <f t="shared" ca="1" si="71"/>
        <v>89</v>
      </c>
      <c r="V105" s="1">
        <f t="shared" ca="1" si="72"/>
        <v>7</v>
      </c>
      <c r="W105" s="1"/>
      <c r="X105" s="1">
        <f t="shared" ca="1" si="73"/>
        <v>2.1978763581273286</v>
      </c>
      <c r="Y105" s="1">
        <f t="shared" ca="1" si="74"/>
        <v>0.56249091315606048</v>
      </c>
      <c r="Z105" s="1">
        <f t="shared" ca="1" si="75"/>
        <v>360</v>
      </c>
      <c r="AB105" s="1">
        <f t="shared" ca="1" si="76"/>
        <v>0.94846409887688776</v>
      </c>
      <c r="AC105" s="1">
        <f t="shared" ca="1" si="77"/>
        <v>682</v>
      </c>
      <c r="AD105" s="1">
        <f t="shared" ca="1" si="78"/>
        <v>7.4311187924026292E-3</v>
      </c>
      <c r="AE105" s="1"/>
      <c r="AF105" s="1">
        <f t="shared" ca="1" si="79"/>
        <v>0.44761223989393961</v>
      </c>
      <c r="AG105" s="1">
        <f t="shared" ca="1" si="80"/>
        <v>786</v>
      </c>
      <c r="AH105" s="1">
        <f t="shared" ca="1" si="81"/>
        <v>5.928383989574966E-3</v>
      </c>
      <c r="AJ105" s="1">
        <f t="shared" ca="1" si="82"/>
        <v>0.25231499930795154</v>
      </c>
      <c r="AK105" s="1">
        <f t="shared" ca="1" si="83"/>
        <v>8.3761314683468632E-3</v>
      </c>
      <c r="AL105" s="1"/>
      <c r="AM105" s="1">
        <f t="shared" ca="1" si="84"/>
        <v>0.16609957079436713</v>
      </c>
      <c r="AN105" s="1">
        <f t="shared" ca="1" si="85"/>
        <v>38</v>
      </c>
      <c r="AO105" s="1">
        <f t="shared" ca="1" si="86"/>
        <v>5</v>
      </c>
      <c r="AQ105" s="1">
        <f t="shared" ca="1" si="87"/>
        <v>133</v>
      </c>
      <c r="AR105" s="1">
        <f t="shared" ca="1" si="88"/>
        <v>5</v>
      </c>
      <c r="AS105" s="1">
        <f t="shared" ca="1" si="89"/>
        <v>53</v>
      </c>
      <c r="AU105" s="1">
        <f t="shared" ca="1" si="90"/>
        <v>101</v>
      </c>
      <c r="AV105" s="1">
        <f t="shared" ca="1" si="91"/>
        <v>5</v>
      </c>
      <c r="AW105" s="1">
        <f t="shared" ca="1" si="92"/>
        <v>5.57806957756279E-2</v>
      </c>
      <c r="AY105" s="1">
        <f t="shared" ca="1" si="93"/>
        <v>1.9040630725733458</v>
      </c>
      <c r="AZ105" s="1">
        <f t="shared" ca="1" si="94"/>
        <v>306</v>
      </c>
      <c r="BA105" s="1">
        <f t="shared" ca="1" si="95"/>
        <v>6.3543150058254427E-3</v>
      </c>
      <c r="BV105" s="1">
        <f t="shared" ca="1" si="96"/>
        <v>0.96047742245118173</v>
      </c>
      <c r="BW105" s="1">
        <f t="shared" ca="1" si="97"/>
        <v>306</v>
      </c>
      <c r="BX105" s="1">
        <f t="shared" ca="1" si="98"/>
        <v>9.6874449018416429E-3</v>
      </c>
      <c r="BY105" s="1">
        <f t="shared" ca="1" si="99"/>
        <v>5.7744866619439617E-2</v>
      </c>
      <c r="BZ105" s="1">
        <f t="shared" ca="1" si="100"/>
        <v>0.44066102576837707</v>
      </c>
      <c r="CB105" s="1">
        <f t="shared" ca="1" si="101"/>
        <v>54</v>
      </c>
      <c r="CC105" s="1">
        <f t="shared" ca="1" si="102"/>
        <v>5</v>
      </c>
      <c r="CD105" s="1">
        <f t="shared" ca="1" si="103"/>
        <v>0.12408032674244064</v>
      </c>
      <c r="CE105" s="1">
        <f t="shared" ca="1" si="113"/>
        <v>0.61155435449746109</v>
      </c>
      <c r="CF105" s="1">
        <f t="shared" ca="1" si="113"/>
        <v>0.83100140365653297</v>
      </c>
      <c r="CH105" s="3">
        <f t="shared" ca="1" si="105"/>
        <v>0.10023202516512505</v>
      </c>
      <c r="CI105" s="3">
        <f t="shared" ca="1" si="106"/>
        <v>0.39314888426404215</v>
      </c>
      <c r="CJ105" s="3">
        <f t="shared" ca="1" si="107"/>
        <v>1369</v>
      </c>
      <c r="CK105" s="3">
        <f t="shared" ca="1" si="108"/>
        <v>1.9953294897384856E-3</v>
      </c>
      <c r="CL105" s="3">
        <f t="shared" ca="1" si="109"/>
        <v>1</v>
      </c>
      <c r="CM105" s="3"/>
      <c r="CN105" s="1">
        <f t="shared" ca="1" si="110"/>
        <v>17.082514518204</v>
      </c>
      <c r="CO105" s="1">
        <f t="shared" ca="1" si="111"/>
        <v>0.16178162855354047</v>
      </c>
      <c r="CP105" s="1">
        <f t="shared" ca="1" si="112"/>
        <v>1</v>
      </c>
    </row>
    <row r="106" spans="2:94" x14ac:dyDescent="0.25">
      <c r="B106">
        <f t="shared" ca="1" si="57"/>
        <v>79</v>
      </c>
      <c r="C106">
        <f t="shared" ca="1" si="58"/>
        <v>15</v>
      </c>
      <c r="D106">
        <f t="shared" ca="1" si="59"/>
        <v>0.24115339703529445</v>
      </c>
      <c r="F106" s="1">
        <f t="shared" ca="1" si="60"/>
        <v>42</v>
      </c>
      <c r="G106" s="1">
        <f t="shared" ca="1" si="61"/>
        <v>10</v>
      </c>
      <c r="H106" s="1">
        <f t="shared" ca="1" si="62"/>
        <v>10</v>
      </c>
      <c r="I106" s="1"/>
      <c r="J106" s="1">
        <f t="shared" ca="1" si="63"/>
        <v>27</v>
      </c>
      <c r="K106" s="1">
        <f t="shared" ca="1" si="64"/>
        <v>2.2365046729603635</v>
      </c>
      <c r="L106" s="1">
        <f t="shared" ca="1" si="65"/>
        <v>10</v>
      </c>
      <c r="M106" s="1"/>
      <c r="N106" s="1">
        <f t="shared" ca="1" si="66"/>
        <v>43</v>
      </c>
      <c r="O106" s="1">
        <f t="shared" ca="1" si="67"/>
        <v>43</v>
      </c>
      <c r="P106" s="1"/>
      <c r="Q106" s="1">
        <f t="shared" ca="1" si="68"/>
        <v>4.7398308538537179</v>
      </c>
      <c r="R106" s="1">
        <f t="shared" ca="1" si="69"/>
        <v>889</v>
      </c>
      <c r="S106" s="1"/>
      <c r="T106" s="1">
        <f t="shared" ca="1" si="70"/>
        <v>8.94750166733638E-2</v>
      </c>
      <c r="U106" s="1">
        <f t="shared" ca="1" si="71"/>
        <v>128</v>
      </c>
      <c r="V106" s="1">
        <f t="shared" ca="1" si="72"/>
        <v>18</v>
      </c>
      <c r="W106" s="1"/>
      <c r="X106" s="1">
        <f t="shared" ca="1" si="73"/>
        <v>2.519490280539586</v>
      </c>
      <c r="Y106" s="1">
        <f t="shared" ca="1" si="74"/>
        <v>0.28389703709836056</v>
      </c>
      <c r="Z106" s="1">
        <f t="shared" ca="1" si="75"/>
        <v>816</v>
      </c>
      <c r="AB106" s="1">
        <f t="shared" ca="1" si="76"/>
        <v>0.87657503019260452</v>
      </c>
      <c r="AC106" s="1">
        <f t="shared" ca="1" si="77"/>
        <v>398</v>
      </c>
      <c r="AD106" s="1">
        <f t="shared" ca="1" si="78"/>
        <v>8.2597847487195231E-3</v>
      </c>
      <c r="AE106" s="1"/>
      <c r="AF106" s="1">
        <f t="shared" ca="1" si="79"/>
        <v>0.89362088277444574</v>
      </c>
      <c r="AG106" s="1">
        <f t="shared" ca="1" si="80"/>
        <v>271</v>
      </c>
      <c r="AH106" s="1">
        <f t="shared" ca="1" si="81"/>
        <v>7.6205593184313272E-3</v>
      </c>
      <c r="AJ106" s="1">
        <f t="shared" ca="1" si="82"/>
        <v>0.37508579127901531</v>
      </c>
      <c r="AK106" s="1">
        <f t="shared" ca="1" si="83"/>
        <v>1.7072978746839782E-3</v>
      </c>
      <c r="AL106" s="1"/>
      <c r="AM106" s="1">
        <f t="shared" ca="1" si="84"/>
        <v>6.8063239249042604E-2</v>
      </c>
      <c r="AN106" s="1">
        <f t="shared" ca="1" si="85"/>
        <v>67</v>
      </c>
      <c r="AO106" s="1">
        <f t="shared" ca="1" si="86"/>
        <v>-1</v>
      </c>
      <c r="AQ106" s="1">
        <f t="shared" ca="1" si="87"/>
        <v>11</v>
      </c>
      <c r="AR106" s="1">
        <f t="shared" ca="1" si="88"/>
        <v>8</v>
      </c>
      <c r="AS106" s="1">
        <f t="shared" ca="1" si="89"/>
        <v>33</v>
      </c>
      <c r="AU106" s="1">
        <f t="shared" ca="1" si="90"/>
        <v>279</v>
      </c>
      <c r="AV106" s="1">
        <f t="shared" ca="1" si="91"/>
        <v>4</v>
      </c>
      <c r="AW106" s="1">
        <f t="shared" ca="1" si="92"/>
        <v>2.8371004731856907E-2</v>
      </c>
      <c r="AY106" s="1">
        <f t="shared" ca="1" si="93"/>
        <v>1.3607061822153141</v>
      </c>
      <c r="AZ106" s="1">
        <f t="shared" ca="1" si="94"/>
        <v>164</v>
      </c>
      <c r="BA106" s="1">
        <f t="shared" ca="1" si="95"/>
        <v>9.251326056713912E-3</v>
      </c>
      <c r="BV106" s="1">
        <f t="shared" ca="1" si="96"/>
        <v>0.14998425919550548</v>
      </c>
      <c r="BW106" s="1">
        <f t="shared" ca="1" si="97"/>
        <v>327</v>
      </c>
      <c r="BX106" s="1">
        <f t="shared" ca="1" si="98"/>
        <v>4.4076138592743664E-3</v>
      </c>
      <c r="BY106" s="1">
        <f t="shared" ca="1" si="99"/>
        <v>5.8429858389499835E-3</v>
      </c>
      <c r="BZ106" s="1">
        <f t="shared" ca="1" si="100"/>
        <v>0.75357465227240206</v>
      </c>
      <c r="CB106" s="1">
        <f t="shared" ca="1" si="101"/>
        <v>140</v>
      </c>
      <c r="CC106" s="1">
        <f t="shared" ca="1" si="102"/>
        <v>4</v>
      </c>
      <c r="CD106" s="1">
        <f t="shared" ca="1" si="103"/>
        <v>0.24114799780219345</v>
      </c>
      <c r="CE106" s="1">
        <f t="shared" ca="1" si="113"/>
        <v>0.58070947037860643</v>
      </c>
      <c r="CF106" s="1">
        <f t="shared" ca="1" si="113"/>
        <v>0.64598647500478201</v>
      </c>
      <c r="CH106" s="3">
        <f t="shared" ca="1" si="105"/>
        <v>0.70810608299073086</v>
      </c>
      <c r="CI106" s="3">
        <f t="shared" ca="1" si="106"/>
        <v>0.93197431002090303</v>
      </c>
      <c r="CJ106" s="3">
        <f t="shared" ca="1" si="107"/>
        <v>1883</v>
      </c>
      <c r="CK106" s="3">
        <f t="shared" ca="1" si="108"/>
        <v>2.6523058167326114E-3</v>
      </c>
      <c r="CL106" s="3">
        <f t="shared" ca="1" si="109"/>
        <v>1</v>
      </c>
      <c r="CM106" s="3"/>
      <c r="CN106" s="1">
        <f t="shared" ca="1" si="110"/>
        <v>2.8187966056629556</v>
      </c>
      <c r="CO106" s="1">
        <f t="shared" ca="1" si="111"/>
        <v>0.3862506462433245</v>
      </c>
      <c r="CP106" s="1">
        <f t="shared" ca="1" si="112"/>
        <v>1</v>
      </c>
    </row>
    <row r="107" spans="2:94" x14ac:dyDescent="0.25">
      <c r="B107">
        <f t="shared" ca="1" si="57"/>
        <v>925</v>
      </c>
      <c r="C107">
        <f t="shared" ca="1" si="58"/>
        <v>29</v>
      </c>
      <c r="D107">
        <f t="shared" ca="1" si="59"/>
        <v>0.26681018900065173</v>
      </c>
      <c r="F107" s="1">
        <f t="shared" ca="1" si="60"/>
        <v>16</v>
      </c>
      <c r="G107" s="1">
        <f t="shared" ca="1" si="61"/>
        <v>10</v>
      </c>
      <c r="H107" s="1">
        <f t="shared" ca="1" si="62"/>
        <v>7</v>
      </c>
      <c r="I107" s="1"/>
      <c r="J107" s="1">
        <f t="shared" ca="1" si="63"/>
        <v>6</v>
      </c>
      <c r="K107" s="1">
        <f t="shared" ca="1" si="64"/>
        <v>1.7464237028980962</v>
      </c>
      <c r="L107" s="1">
        <f t="shared" ca="1" si="65"/>
        <v>10</v>
      </c>
      <c r="M107" s="1"/>
      <c r="N107" s="1">
        <f t="shared" ca="1" si="66"/>
        <v>944</v>
      </c>
      <c r="O107" s="1">
        <f t="shared" ca="1" si="67"/>
        <v>39</v>
      </c>
      <c r="P107" s="1"/>
      <c r="Q107" s="1">
        <f t="shared" ca="1" si="68"/>
        <v>0.40157801374615121</v>
      </c>
      <c r="R107" s="1">
        <f t="shared" ca="1" si="69"/>
        <v>1106</v>
      </c>
      <c r="S107" s="1"/>
      <c r="T107" s="1">
        <f t="shared" ca="1" si="70"/>
        <v>0.19222408784157033</v>
      </c>
      <c r="U107" s="1">
        <f t="shared" ca="1" si="71"/>
        <v>448</v>
      </c>
      <c r="V107" s="1">
        <f t="shared" ca="1" si="72"/>
        <v>50</v>
      </c>
      <c r="W107" s="1"/>
      <c r="X107" s="1">
        <f t="shared" ca="1" si="73"/>
        <v>4.3759340765533228</v>
      </c>
      <c r="Y107" s="1">
        <f t="shared" ca="1" si="74"/>
        <v>0.8848859646249787</v>
      </c>
      <c r="Z107" s="1">
        <f t="shared" ca="1" si="75"/>
        <v>1358</v>
      </c>
      <c r="AB107" s="1">
        <f t="shared" ca="1" si="76"/>
        <v>5.1262842796264425E-2</v>
      </c>
      <c r="AC107" s="1">
        <f t="shared" ca="1" si="77"/>
        <v>381</v>
      </c>
      <c r="AD107" s="1">
        <f t="shared" ca="1" si="78"/>
        <v>8.505218805135167E-3</v>
      </c>
      <c r="AE107" s="1"/>
      <c r="AF107" s="1">
        <f t="shared" ca="1" si="79"/>
        <v>0.72811266011144771</v>
      </c>
      <c r="AG107" s="1">
        <f t="shared" ca="1" si="80"/>
        <v>175</v>
      </c>
      <c r="AH107" s="1">
        <f t="shared" ca="1" si="81"/>
        <v>6.8582229248786604E-3</v>
      </c>
      <c r="AJ107" s="1">
        <f t="shared" ca="1" si="82"/>
        <v>0.94015801168764435</v>
      </c>
      <c r="AK107" s="1">
        <f t="shared" ca="1" si="83"/>
        <v>2.1942117448963371E-3</v>
      </c>
      <c r="AL107" s="1"/>
      <c r="AM107" s="1">
        <f t="shared" ca="1" si="84"/>
        <v>7.582689780830508E-2</v>
      </c>
      <c r="AN107" s="1">
        <f t="shared" ca="1" si="85"/>
        <v>64</v>
      </c>
      <c r="AO107" s="1">
        <f t="shared" ca="1" si="86"/>
        <v>10</v>
      </c>
      <c r="AQ107" s="1">
        <f t="shared" ca="1" si="87"/>
        <v>120</v>
      </c>
      <c r="AR107" s="1">
        <f t="shared" ca="1" si="88"/>
        <v>1</v>
      </c>
      <c r="AS107" s="1">
        <f t="shared" ca="1" si="89"/>
        <v>63</v>
      </c>
      <c r="AU107" s="1">
        <f t="shared" ca="1" si="90"/>
        <v>236</v>
      </c>
      <c r="AV107" s="1">
        <f t="shared" ca="1" si="91"/>
        <v>5</v>
      </c>
      <c r="AW107" s="1">
        <f t="shared" ca="1" si="92"/>
        <v>0.10801862718950936</v>
      </c>
      <c r="AY107" s="1">
        <f t="shared" ca="1" si="93"/>
        <v>1.2703005278532999</v>
      </c>
      <c r="AZ107" s="1">
        <f t="shared" ca="1" si="94"/>
        <v>179</v>
      </c>
      <c r="BA107" s="1">
        <f t="shared" ca="1" si="95"/>
        <v>2.1829545564787459E-3</v>
      </c>
      <c r="BV107" s="1">
        <f t="shared" ca="1" si="96"/>
        <v>0.39082547848758253</v>
      </c>
      <c r="BW107" s="1">
        <f t="shared" ca="1" si="97"/>
        <v>512</v>
      </c>
      <c r="BX107" s="1">
        <f t="shared" ca="1" si="98"/>
        <v>5.1731326139486311E-3</v>
      </c>
      <c r="BY107" s="1">
        <f t="shared" ca="1" si="99"/>
        <v>9.657470567040205E-2</v>
      </c>
      <c r="BZ107" s="1">
        <f t="shared" ca="1" si="100"/>
        <v>0.33929403903647304</v>
      </c>
      <c r="CB107" s="1">
        <f t="shared" ca="1" si="101"/>
        <v>250</v>
      </c>
      <c r="CC107" s="1">
        <f t="shared" ca="1" si="102"/>
        <v>7</v>
      </c>
      <c r="CD107" s="1">
        <f t="shared" ca="1" si="103"/>
        <v>0.17708221463391871</v>
      </c>
      <c r="CE107" s="1">
        <f t="shared" ca="1" si="113"/>
        <v>0.74532193459617058</v>
      </c>
      <c r="CF107" s="1">
        <f t="shared" ca="1" si="113"/>
        <v>0.97293113873676063</v>
      </c>
      <c r="CH107" s="3">
        <f t="shared" ca="1" si="105"/>
        <v>0.75811676103366898</v>
      </c>
      <c r="CI107" s="3">
        <f t="shared" ca="1" si="106"/>
        <v>0.2492022642941667</v>
      </c>
      <c r="CJ107" s="3">
        <f t="shared" ca="1" si="107"/>
        <v>295</v>
      </c>
      <c r="CK107" s="3">
        <f t="shared" ca="1" si="108"/>
        <v>6.8075816549572508E-3</v>
      </c>
      <c r="CL107" s="3">
        <f t="shared" ca="1" si="109"/>
        <v>1</v>
      </c>
      <c r="CM107" s="3"/>
      <c r="CN107" s="1">
        <f t="shared" ca="1" si="110"/>
        <v>10.37700746875622</v>
      </c>
      <c r="CO107" s="1">
        <f t="shared" ca="1" si="111"/>
        <v>0.12703577730417362</v>
      </c>
      <c r="CP107" s="1">
        <f t="shared" ca="1" si="112"/>
        <v>3</v>
      </c>
    </row>
    <row r="108" spans="2:94" x14ac:dyDescent="0.25">
      <c r="B108">
        <f t="shared" ca="1" si="57"/>
        <v>974</v>
      </c>
      <c r="C108">
        <f t="shared" ca="1" si="58"/>
        <v>39</v>
      </c>
      <c r="D108">
        <f t="shared" ca="1" si="59"/>
        <v>0.27772017685520173</v>
      </c>
      <c r="F108" s="1">
        <f t="shared" ca="1" si="60"/>
        <v>17</v>
      </c>
      <c r="G108" s="1">
        <f t="shared" ca="1" si="61"/>
        <v>18</v>
      </c>
      <c r="H108" s="1">
        <f t="shared" ca="1" si="62"/>
        <v>10</v>
      </c>
      <c r="I108" s="1"/>
      <c r="J108" s="1">
        <f t="shared" ca="1" si="63"/>
        <v>21</v>
      </c>
      <c r="K108" s="1">
        <f t="shared" ca="1" si="64"/>
        <v>1.2703739648279857</v>
      </c>
      <c r="L108" s="1">
        <f t="shared" ca="1" si="65"/>
        <v>10</v>
      </c>
      <c r="M108" s="1"/>
      <c r="N108" s="1">
        <f t="shared" ca="1" si="66"/>
        <v>88</v>
      </c>
      <c r="O108" s="1">
        <f t="shared" ca="1" si="67"/>
        <v>37</v>
      </c>
      <c r="P108" s="1"/>
      <c r="Q108" s="1">
        <f t="shared" ca="1" si="68"/>
        <v>3.682667718291988</v>
      </c>
      <c r="R108" s="1">
        <f t="shared" ca="1" si="69"/>
        <v>669</v>
      </c>
      <c r="S108" s="1"/>
      <c r="T108" s="1">
        <f t="shared" ca="1" si="70"/>
        <v>2.5552997869915887E-2</v>
      </c>
      <c r="U108" s="1">
        <f t="shared" ca="1" si="71"/>
        <v>214</v>
      </c>
      <c r="V108" s="1">
        <f t="shared" ca="1" si="72"/>
        <v>52</v>
      </c>
      <c r="W108" s="1"/>
      <c r="X108" s="1">
        <f t="shared" ca="1" si="73"/>
        <v>3.3607365333101384</v>
      </c>
      <c r="Y108" s="1">
        <f t="shared" ca="1" si="74"/>
        <v>0.95977849189358688</v>
      </c>
      <c r="Z108" s="1">
        <f t="shared" ca="1" si="75"/>
        <v>1977</v>
      </c>
      <c r="AB108" s="1">
        <f t="shared" ca="1" si="76"/>
        <v>0.7595981253270635</v>
      </c>
      <c r="AC108" s="1">
        <f t="shared" ca="1" si="77"/>
        <v>425</v>
      </c>
      <c r="AD108" s="1">
        <f t="shared" ca="1" si="78"/>
        <v>3.0433487440342561E-3</v>
      </c>
      <c r="AE108" s="1"/>
      <c r="AF108" s="1">
        <f t="shared" ca="1" si="79"/>
        <v>0.76534377341101822</v>
      </c>
      <c r="AG108" s="1">
        <f t="shared" ca="1" si="80"/>
        <v>545</v>
      </c>
      <c r="AH108" s="1">
        <f t="shared" ca="1" si="81"/>
        <v>7.7645556168210042E-3</v>
      </c>
      <c r="AJ108" s="1">
        <f t="shared" ca="1" si="82"/>
        <v>0.15446874809719691</v>
      </c>
      <c r="AK108" s="1">
        <f t="shared" ca="1" si="83"/>
        <v>2.8362184399470351E-3</v>
      </c>
      <c r="AL108" s="1"/>
      <c r="AM108" s="1">
        <f t="shared" ca="1" si="84"/>
        <v>3.9264792757901242E-2</v>
      </c>
      <c r="AN108" s="1">
        <f t="shared" ca="1" si="85"/>
        <v>22</v>
      </c>
      <c r="AO108" s="1">
        <f t="shared" ca="1" si="86"/>
        <v>19</v>
      </c>
      <c r="AQ108" s="1">
        <f t="shared" ca="1" si="87"/>
        <v>100</v>
      </c>
      <c r="AR108" s="1">
        <f t="shared" ca="1" si="88"/>
        <v>8</v>
      </c>
      <c r="AS108" s="1">
        <f t="shared" ca="1" si="89"/>
        <v>95</v>
      </c>
      <c r="AU108" s="1">
        <f t="shared" ca="1" si="90"/>
        <v>206</v>
      </c>
      <c r="AV108" s="1">
        <f t="shared" ca="1" si="91"/>
        <v>5</v>
      </c>
      <c r="AW108" s="1">
        <f t="shared" ca="1" si="92"/>
        <v>0.10770880293005941</v>
      </c>
      <c r="AY108" s="1">
        <f t="shared" ca="1" si="93"/>
        <v>1.4188649697175397</v>
      </c>
      <c r="AZ108" s="1">
        <f t="shared" ca="1" si="94"/>
        <v>210</v>
      </c>
      <c r="BA108" s="1">
        <f t="shared" ca="1" si="95"/>
        <v>4.5499439470192277E-3</v>
      </c>
      <c r="BV108" s="1">
        <f t="shared" ca="1" si="96"/>
        <v>0.62502031116627033</v>
      </c>
      <c r="BW108" s="1">
        <f t="shared" ca="1" si="97"/>
        <v>837</v>
      </c>
      <c r="BX108" s="1">
        <f t="shared" ca="1" si="98"/>
        <v>7.7245394134245879E-3</v>
      </c>
      <c r="BY108" s="1">
        <f t="shared" ca="1" si="99"/>
        <v>6.5725066180671908E-3</v>
      </c>
      <c r="BZ108" s="1">
        <f t="shared" ca="1" si="100"/>
        <v>0.26566795070763582</v>
      </c>
      <c r="CB108" s="1">
        <f t="shared" ca="1" si="101"/>
        <v>81</v>
      </c>
      <c r="CC108" s="1">
        <f t="shared" ca="1" si="102"/>
        <v>9</v>
      </c>
      <c r="CD108" s="1">
        <f t="shared" ca="1" si="103"/>
        <v>0.24233559226234003</v>
      </c>
      <c r="CE108" s="1">
        <f t="shared" ca="1" si="113"/>
        <v>0.51441067307376687</v>
      </c>
      <c r="CF108" s="1">
        <f t="shared" ca="1" si="113"/>
        <v>0.90684152047381739</v>
      </c>
      <c r="CH108" s="3">
        <f t="shared" ca="1" si="105"/>
        <v>0.53121639517722286</v>
      </c>
      <c r="CI108" s="3">
        <f t="shared" ca="1" si="106"/>
        <v>0.18025045268014089</v>
      </c>
      <c r="CJ108" s="3">
        <f t="shared" ca="1" si="107"/>
        <v>1794</v>
      </c>
      <c r="CK108" s="3">
        <f t="shared" ca="1" si="108"/>
        <v>6.9354135257934015E-3</v>
      </c>
      <c r="CL108" s="3">
        <f t="shared" ca="1" si="109"/>
        <v>0</v>
      </c>
      <c r="CM108" s="3"/>
      <c r="CN108" s="1">
        <f t="shared" ca="1" si="110"/>
        <v>5.5501099568002958</v>
      </c>
      <c r="CO108" s="1">
        <f t="shared" ca="1" si="111"/>
        <v>0.37047337047858958</v>
      </c>
      <c r="CP108" s="1">
        <f t="shared" ca="1" si="112"/>
        <v>3</v>
      </c>
    </row>
    <row r="109" spans="2:94" x14ac:dyDescent="0.25">
      <c r="B109">
        <f t="shared" ca="1" si="57"/>
        <v>454</v>
      </c>
      <c r="C109">
        <f t="shared" ca="1" si="58"/>
        <v>6</v>
      </c>
      <c r="D109">
        <f t="shared" ca="1" si="59"/>
        <v>9.6104511078977106E-2</v>
      </c>
      <c r="F109" s="1">
        <f t="shared" ca="1" si="60"/>
        <v>37</v>
      </c>
      <c r="G109" s="1">
        <f t="shared" ca="1" si="61"/>
        <v>23</v>
      </c>
      <c r="H109" s="1">
        <f t="shared" ca="1" si="62"/>
        <v>1</v>
      </c>
      <c r="I109" s="1"/>
      <c r="J109" s="1">
        <f t="shared" ca="1" si="63"/>
        <v>3</v>
      </c>
      <c r="K109" s="1">
        <f t="shared" ca="1" si="64"/>
        <v>2.2258385306474611</v>
      </c>
      <c r="L109" s="1">
        <f t="shared" ca="1" si="65"/>
        <v>5</v>
      </c>
      <c r="M109" s="1"/>
      <c r="N109" s="1">
        <f t="shared" ca="1" si="66"/>
        <v>231</v>
      </c>
      <c r="O109" s="1">
        <f t="shared" ca="1" si="67"/>
        <v>7</v>
      </c>
      <c r="P109" s="1"/>
      <c r="Q109" s="1">
        <f t="shared" ca="1" si="68"/>
        <v>4.7021879692871327</v>
      </c>
      <c r="R109" s="1">
        <f t="shared" ca="1" si="69"/>
        <v>915</v>
      </c>
      <c r="S109" s="1"/>
      <c r="T109" s="1">
        <f t="shared" ca="1" si="70"/>
        <v>9.6872154095788116E-2</v>
      </c>
      <c r="U109" s="1">
        <f t="shared" ca="1" si="71"/>
        <v>189</v>
      </c>
      <c r="V109" s="1">
        <f t="shared" ca="1" si="72"/>
        <v>29</v>
      </c>
      <c r="W109" s="1"/>
      <c r="X109" s="1">
        <f t="shared" ca="1" si="73"/>
        <v>4.4673375765287302</v>
      </c>
      <c r="Y109" s="1">
        <f t="shared" ca="1" si="74"/>
        <v>5.1230876491224042E-2</v>
      </c>
      <c r="Z109" s="1">
        <f t="shared" ca="1" si="75"/>
        <v>1720</v>
      </c>
      <c r="AB109" s="1">
        <f t="shared" ca="1" si="76"/>
        <v>0.57250238409185616</v>
      </c>
      <c r="AC109" s="1">
        <f t="shared" ca="1" si="77"/>
        <v>625</v>
      </c>
      <c r="AD109" s="1">
        <f t="shared" ca="1" si="78"/>
        <v>3.941434522371476E-5</v>
      </c>
      <c r="AE109" s="1"/>
      <c r="AF109" s="1">
        <f t="shared" ca="1" si="79"/>
        <v>0.47020329132424044</v>
      </c>
      <c r="AG109" s="1">
        <f t="shared" ca="1" si="80"/>
        <v>368</v>
      </c>
      <c r="AH109" s="1">
        <f t="shared" ca="1" si="81"/>
        <v>5.733521263796372E-3</v>
      </c>
      <c r="AJ109" s="1">
        <f t="shared" ca="1" si="82"/>
        <v>0.76477876027587355</v>
      </c>
      <c r="AK109" s="1">
        <f t="shared" ca="1" si="83"/>
        <v>7.6361408791911856E-3</v>
      </c>
      <c r="AL109" s="1"/>
      <c r="AM109" s="1">
        <f t="shared" ca="1" si="84"/>
        <v>7.4282615663453372E-2</v>
      </c>
      <c r="AN109" s="1">
        <f t="shared" ca="1" si="85"/>
        <v>11</v>
      </c>
      <c r="AO109" s="1">
        <f t="shared" ca="1" si="86"/>
        <v>19</v>
      </c>
      <c r="AQ109" s="1">
        <f t="shared" ca="1" si="87"/>
        <v>17</v>
      </c>
      <c r="AR109" s="1">
        <f t="shared" ca="1" si="88"/>
        <v>1</v>
      </c>
      <c r="AS109" s="1">
        <f t="shared" ca="1" si="89"/>
        <v>98</v>
      </c>
      <c r="AU109" s="1">
        <f t="shared" ca="1" si="90"/>
        <v>223</v>
      </c>
      <c r="AV109" s="1">
        <f t="shared" ca="1" si="91"/>
        <v>9</v>
      </c>
      <c r="AW109" s="1">
        <f t="shared" ca="1" si="92"/>
        <v>4.0093905855690115E-2</v>
      </c>
      <c r="AY109" s="1">
        <f t="shared" ca="1" si="93"/>
        <v>1.2584335819306296</v>
      </c>
      <c r="AZ109" s="1">
        <f t="shared" ca="1" si="94"/>
        <v>72</v>
      </c>
      <c r="BA109" s="1">
        <f t="shared" ca="1" si="95"/>
        <v>9.2795532751216766E-3</v>
      </c>
      <c r="BV109" s="1">
        <f t="shared" ca="1" si="96"/>
        <v>0.29030528707541631</v>
      </c>
      <c r="BW109" s="1">
        <f t="shared" ca="1" si="97"/>
        <v>398</v>
      </c>
      <c r="BX109" s="1">
        <f t="shared" ca="1" si="98"/>
        <v>7.8548629420942852E-3</v>
      </c>
      <c r="BY109" s="1">
        <f t="shared" ca="1" si="99"/>
        <v>5.7123253916493484E-2</v>
      </c>
      <c r="BZ109" s="1">
        <f t="shared" ca="1" si="100"/>
        <v>0.87677569380571085</v>
      </c>
      <c r="CB109" s="1">
        <f t="shared" ca="1" si="101"/>
        <v>446</v>
      </c>
      <c r="CC109" s="1">
        <f t="shared" ca="1" si="102"/>
        <v>7</v>
      </c>
      <c r="CD109" s="1">
        <f t="shared" ca="1" si="103"/>
        <v>2.8311619898747496E-2</v>
      </c>
      <c r="CE109" s="1">
        <f t="shared" ca="1" si="113"/>
        <v>0.57775206905684051</v>
      </c>
      <c r="CF109" s="1">
        <f t="shared" ca="1" si="113"/>
        <v>0.75279094862826468</v>
      </c>
      <c r="CH109" s="3">
        <f t="shared" ca="1" si="105"/>
        <v>0.89293680501602868</v>
      </c>
      <c r="CI109" s="3">
        <f t="shared" ca="1" si="106"/>
        <v>0.57536262306979624</v>
      </c>
      <c r="CJ109" s="3">
        <f t="shared" ca="1" si="107"/>
        <v>329</v>
      </c>
      <c r="CK109" s="3">
        <f t="shared" ca="1" si="108"/>
        <v>5.9373862571427873E-3</v>
      </c>
      <c r="CL109" s="3">
        <f t="shared" ca="1" si="109"/>
        <v>1</v>
      </c>
      <c r="CM109" s="3"/>
      <c r="CN109" s="1">
        <f t="shared" ca="1" si="110"/>
        <v>18.227089380447282</v>
      </c>
      <c r="CO109" s="1">
        <f t="shared" ca="1" si="111"/>
        <v>5.4144437612141889E-2</v>
      </c>
      <c r="CP109" s="1">
        <f t="shared" ca="1" si="112"/>
        <v>1</v>
      </c>
    </row>
    <row r="110" spans="2:94" x14ac:dyDescent="0.25">
      <c r="B110">
        <f t="shared" ca="1" si="57"/>
        <v>415</v>
      </c>
      <c r="C110">
        <f t="shared" ca="1" si="58"/>
        <v>28</v>
      </c>
      <c r="D110">
        <f t="shared" ca="1" si="59"/>
        <v>0.12826554821682254</v>
      </c>
      <c r="F110" s="1">
        <f t="shared" ca="1" si="60"/>
        <v>40</v>
      </c>
      <c r="G110" s="1">
        <f t="shared" ca="1" si="61"/>
        <v>28</v>
      </c>
      <c r="H110" s="1">
        <f t="shared" ca="1" si="62"/>
        <v>10</v>
      </c>
      <c r="I110" s="1"/>
      <c r="J110" s="1">
        <f t="shared" ca="1" si="63"/>
        <v>14</v>
      </c>
      <c r="K110" s="1">
        <f t="shared" ca="1" si="64"/>
        <v>2.6772466727524904</v>
      </c>
      <c r="L110" s="1">
        <f t="shared" ca="1" si="65"/>
        <v>29</v>
      </c>
      <c r="M110" s="1"/>
      <c r="N110" s="1">
        <f t="shared" ca="1" si="66"/>
        <v>304</v>
      </c>
      <c r="O110" s="1">
        <f t="shared" ca="1" si="67"/>
        <v>15</v>
      </c>
      <c r="P110" s="1"/>
      <c r="Q110" s="1">
        <f t="shared" ca="1" si="68"/>
        <v>0.3111810378473121</v>
      </c>
      <c r="R110" s="1">
        <f t="shared" ca="1" si="69"/>
        <v>1083</v>
      </c>
      <c r="S110" s="1"/>
      <c r="T110" s="1">
        <f t="shared" ca="1" si="70"/>
        <v>2.5868026586171239E-2</v>
      </c>
      <c r="U110" s="1">
        <f t="shared" ca="1" si="71"/>
        <v>63</v>
      </c>
      <c r="V110" s="1">
        <f t="shared" ca="1" si="72"/>
        <v>6</v>
      </c>
      <c r="W110" s="1"/>
      <c r="X110" s="1">
        <f t="shared" ca="1" si="73"/>
        <v>1.24176216451066</v>
      </c>
      <c r="Y110" s="1">
        <f t="shared" ca="1" si="74"/>
        <v>0.23420840497156778</v>
      </c>
      <c r="Z110" s="1">
        <f t="shared" ca="1" si="75"/>
        <v>299</v>
      </c>
      <c r="AB110" s="1">
        <f t="shared" ca="1" si="76"/>
        <v>1.4786074724677441E-2</v>
      </c>
      <c r="AC110" s="1">
        <f t="shared" ca="1" si="77"/>
        <v>797</v>
      </c>
      <c r="AD110" s="1">
        <f t="shared" ca="1" si="78"/>
        <v>5.644047582620982E-3</v>
      </c>
      <c r="AE110" s="1"/>
      <c r="AF110" s="1">
        <f t="shared" ca="1" si="79"/>
        <v>0.69488417272924274</v>
      </c>
      <c r="AG110" s="1">
        <f t="shared" ca="1" si="80"/>
        <v>758</v>
      </c>
      <c r="AH110" s="1">
        <f t="shared" ca="1" si="81"/>
        <v>1.3463864129671561E-3</v>
      </c>
      <c r="AJ110" s="1">
        <f t="shared" ca="1" si="82"/>
        <v>0.37943943381749157</v>
      </c>
      <c r="AK110" s="1">
        <f t="shared" ca="1" si="83"/>
        <v>3.1486498300733745E-3</v>
      </c>
      <c r="AL110" s="1"/>
      <c r="AM110" s="1">
        <f t="shared" ca="1" si="84"/>
        <v>8.1672521283379998E-3</v>
      </c>
      <c r="AN110" s="1">
        <f t="shared" ca="1" si="85"/>
        <v>36</v>
      </c>
      <c r="AO110" s="1">
        <f t="shared" ca="1" si="86"/>
        <v>5</v>
      </c>
      <c r="AQ110" s="1">
        <f t="shared" ca="1" si="87"/>
        <v>161</v>
      </c>
      <c r="AR110" s="1">
        <f t="shared" ca="1" si="88"/>
        <v>5</v>
      </c>
      <c r="AS110" s="1">
        <f t="shared" ca="1" si="89"/>
        <v>30</v>
      </c>
      <c r="AU110" s="1">
        <f t="shared" ca="1" si="90"/>
        <v>342</v>
      </c>
      <c r="AV110" s="1">
        <f t="shared" ca="1" si="91"/>
        <v>2</v>
      </c>
      <c r="AW110" s="1">
        <f t="shared" ca="1" si="92"/>
        <v>0.1193475776989637</v>
      </c>
      <c r="AY110" s="1">
        <f t="shared" ca="1" si="93"/>
        <v>1.3823267673488915</v>
      </c>
      <c r="AZ110" s="1">
        <f t="shared" ca="1" si="94"/>
        <v>316</v>
      </c>
      <c r="BA110" s="1">
        <f t="shared" ca="1" si="95"/>
        <v>7.4432704357224981E-3</v>
      </c>
      <c r="BV110" s="1">
        <f t="shared" ca="1" si="96"/>
        <v>0.70616753938525112</v>
      </c>
      <c r="BW110" s="1">
        <f t="shared" ca="1" si="97"/>
        <v>261</v>
      </c>
      <c r="BX110" s="1">
        <f t="shared" ca="1" si="98"/>
        <v>1.9263084090254358E-3</v>
      </c>
      <c r="BY110" s="1">
        <f t="shared" ca="1" si="99"/>
        <v>1.8230179776707118E-2</v>
      </c>
      <c r="BZ110" s="1">
        <f t="shared" ca="1" si="100"/>
        <v>0.14696115902734375</v>
      </c>
      <c r="CB110" s="1">
        <f t="shared" ca="1" si="101"/>
        <v>282</v>
      </c>
      <c r="CC110" s="1">
        <f t="shared" ca="1" si="102"/>
        <v>12</v>
      </c>
      <c r="CD110" s="1">
        <f t="shared" ca="1" si="103"/>
        <v>8.2261513070909176E-2</v>
      </c>
      <c r="CE110" s="1">
        <f t="shared" ca="1" si="113"/>
        <v>0.72588481286982076</v>
      </c>
      <c r="CF110" s="1">
        <f t="shared" ca="1" si="113"/>
        <v>0.68298384313182314</v>
      </c>
      <c r="CH110" s="3">
        <f t="shared" ca="1" si="105"/>
        <v>0.62987724016294733</v>
      </c>
      <c r="CI110" s="3">
        <f t="shared" ca="1" si="106"/>
        <v>0.56997529093816146</v>
      </c>
      <c r="CJ110" s="3">
        <f t="shared" ca="1" si="107"/>
        <v>620</v>
      </c>
      <c r="CK110" s="3">
        <f t="shared" ca="1" si="108"/>
        <v>8.2224108611481008E-4</v>
      </c>
      <c r="CL110" s="3">
        <f t="shared" ca="1" si="109"/>
        <v>1</v>
      </c>
      <c r="CM110" s="3"/>
      <c r="CN110" s="1">
        <f t="shared" ca="1" si="110"/>
        <v>8.2008028300421127</v>
      </c>
      <c r="CO110" s="1">
        <f t="shared" ca="1" si="111"/>
        <v>0.38987121844669909</v>
      </c>
      <c r="CP110" s="1">
        <f t="shared" ca="1" si="112"/>
        <v>3</v>
      </c>
    </row>
    <row r="111" spans="2:94" x14ac:dyDescent="0.25">
      <c r="B111">
        <f t="shared" ca="1" si="57"/>
        <v>755</v>
      </c>
      <c r="C111">
        <f t="shared" ca="1" si="58"/>
        <v>42</v>
      </c>
      <c r="D111">
        <f t="shared" ca="1" si="59"/>
        <v>1.6937783393378172E-2</v>
      </c>
      <c r="F111" s="1">
        <f t="shared" ca="1" si="60"/>
        <v>5</v>
      </c>
      <c r="G111" s="1">
        <f t="shared" ca="1" si="61"/>
        <v>19</v>
      </c>
      <c r="H111" s="1">
        <f t="shared" ca="1" si="62"/>
        <v>8</v>
      </c>
      <c r="I111" s="1"/>
      <c r="J111" s="1">
        <f t="shared" ca="1" si="63"/>
        <v>19</v>
      </c>
      <c r="K111" s="1">
        <f t="shared" ca="1" si="64"/>
        <v>2.7366464426149353</v>
      </c>
      <c r="L111" s="1">
        <f t="shared" ca="1" si="65"/>
        <v>7</v>
      </c>
      <c r="M111" s="1"/>
      <c r="N111" s="1">
        <f t="shared" ca="1" si="66"/>
        <v>776</v>
      </c>
      <c r="O111" s="1">
        <f t="shared" ca="1" si="67"/>
        <v>29</v>
      </c>
      <c r="P111" s="1"/>
      <c r="Q111" s="1">
        <f t="shared" ca="1" si="68"/>
        <v>4.6013660976420541</v>
      </c>
      <c r="R111" s="1">
        <f t="shared" ca="1" si="69"/>
        <v>897</v>
      </c>
      <c r="S111" s="1"/>
      <c r="T111" s="1">
        <f t="shared" ca="1" si="70"/>
        <v>0.11913925024138311</v>
      </c>
      <c r="U111" s="1">
        <f t="shared" ca="1" si="71"/>
        <v>411</v>
      </c>
      <c r="V111" s="1">
        <f t="shared" ca="1" si="72"/>
        <v>7</v>
      </c>
      <c r="W111" s="1"/>
      <c r="X111" s="1">
        <f t="shared" ca="1" si="73"/>
        <v>1.9048718708223749</v>
      </c>
      <c r="Y111" s="1">
        <f t="shared" ca="1" si="74"/>
        <v>0.83310380383777938</v>
      </c>
      <c r="Z111" s="1">
        <f t="shared" ca="1" si="75"/>
        <v>1972</v>
      </c>
      <c r="AB111" s="1">
        <f t="shared" ca="1" si="76"/>
        <v>0.2502386528591099</v>
      </c>
      <c r="AC111" s="1">
        <f t="shared" ca="1" si="77"/>
        <v>335</v>
      </c>
      <c r="AD111" s="1">
        <f t="shared" ca="1" si="78"/>
        <v>5.2398386053270586E-4</v>
      </c>
      <c r="AE111" s="1"/>
      <c r="AF111" s="1">
        <f t="shared" ca="1" si="79"/>
        <v>0.73876881271770201</v>
      </c>
      <c r="AG111" s="1">
        <f t="shared" ca="1" si="80"/>
        <v>730</v>
      </c>
      <c r="AH111" s="1">
        <f t="shared" ca="1" si="81"/>
        <v>7.2599280937651715E-3</v>
      </c>
      <c r="AJ111" s="1">
        <f t="shared" ca="1" si="82"/>
        <v>0.85574155328933721</v>
      </c>
      <c r="AK111" s="1">
        <f t="shared" ca="1" si="83"/>
        <v>3.3301568213415095E-3</v>
      </c>
      <c r="AL111" s="1"/>
      <c r="AM111" s="1">
        <f t="shared" ca="1" si="84"/>
        <v>3.5314738963339198E-2</v>
      </c>
      <c r="AN111" s="1">
        <f t="shared" ca="1" si="85"/>
        <v>21</v>
      </c>
      <c r="AO111" s="1">
        <f t="shared" ca="1" si="86"/>
        <v>6</v>
      </c>
      <c r="AQ111" s="1">
        <f t="shared" ca="1" si="87"/>
        <v>27</v>
      </c>
      <c r="AR111" s="1">
        <f t="shared" ca="1" si="88"/>
        <v>10</v>
      </c>
      <c r="AS111" s="1">
        <f t="shared" ca="1" si="89"/>
        <v>85</v>
      </c>
      <c r="AU111" s="1">
        <f t="shared" ca="1" si="90"/>
        <v>265</v>
      </c>
      <c r="AV111" s="1">
        <f t="shared" ca="1" si="91"/>
        <v>3</v>
      </c>
      <c r="AW111" s="1">
        <f t="shared" ca="1" si="92"/>
        <v>6.3254567471688089E-2</v>
      </c>
      <c r="AY111" s="1">
        <f t="shared" ca="1" si="93"/>
        <v>1.8498444674720962</v>
      </c>
      <c r="AZ111" s="1">
        <f t="shared" ca="1" si="94"/>
        <v>54</v>
      </c>
      <c r="BA111" s="1">
        <f t="shared" ca="1" si="95"/>
        <v>1.2074758720041769E-3</v>
      </c>
      <c r="BV111" s="1">
        <f t="shared" ca="1" si="96"/>
        <v>0.70991325048412024</v>
      </c>
      <c r="BW111" s="1">
        <f t="shared" ca="1" si="97"/>
        <v>564</v>
      </c>
      <c r="BX111" s="1">
        <f t="shared" ca="1" si="98"/>
        <v>1.5954153343687234E-3</v>
      </c>
      <c r="BY111" s="1">
        <f t="shared" ca="1" si="99"/>
        <v>7.5079348293243794E-2</v>
      </c>
      <c r="BZ111" s="1">
        <f t="shared" ca="1" si="100"/>
        <v>0.23812386078759618</v>
      </c>
      <c r="CB111" s="1">
        <f t="shared" ca="1" si="101"/>
        <v>183</v>
      </c>
      <c r="CC111" s="1">
        <f t="shared" ca="1" si="102"/>
        <v>5</v>
      </c>
      <c r="CD111" s="1">
        <f t="shared" ca="1" si="103"/>
        <v>0.20545625437796677</v>
      </c>
      <c r="CE111" s="1">
        <f t="shared" ca="1" si="113"/>
        <v>0.81940853604875374</v>
      </c>
      <c r="CF111" s="1">
        <f t="shared" ca="1" si="113"/>
        <v>0.57758618991728983</v>
      </c>
      <c r="CH111" s="3">
        <f t="shared" ca="1" si="105"/>
        <v>0.45142081954487739</v>
      </c>
      <c r="CI111" s="3">
        <f t="shared" ca="1" si="106"/>
        <v>0.94125728767614636</v>
      </c>
      <c r="CJ111" s="3">
        <f t="shared" ca="1" si="107"/>
        <v>981</v>
      </c>
      <c r="CK111" s="3">
        <f t="shared" ca="1" si="108"/>
        <v>7.0622226842514686E-4</v>
      </c>
      <c r="CL111" s="3">
        <f t="shared" ca="1" si="109"/>
        <v>0</v>
      </c>
      <c r="CM111" s="3"/>
      <c r="CN111" s="1">
        <f t="shared" ca="1" si="110"/>
        <v>12.73496804873924</v>
      </c>
      <c r="CO111" s="1">
        <f t="shared" ca="1" si="111"/>
        <v>0.43283995928612401</v>
      </c>
      <c r="CP111" s="1">
        <f t="shared" ca="1" si="112"/>
        <v>5</v>
      </c>
    </row>
    <row r="112" spans="2:94" x14ac:dyDescent="0.25">
      <c r="B112">
        <f t="shared" ca="1" si="57"/>
        <v>322</v>
      </c>
      <c r="C112">
        <f t="shared" ca="1" si="58"/>
        <v>5</v>
      </c>
      <c r="D112">
        <f t="shared" ca="1" si="59"/>
        <v>7.6483309674609534E-2</v>
      </c>
      <c r="F112" s="1">
        <f t="shared" ca="1" si="60"/>
        <v>32</v>
      </c>
      <c r="G112" s="1">
        <f t="shared" ca="1" si="61"/>
        <v>17</v>
      </c>
      <c r="H112" s="1">
        <f t="shared" ca="1" si="62"/>
        <v>11</v>
      </c>
      <c r="I112" s="1"/>
      <c r="J112" s="1">
        <f t="shared" ca="1" si="63"/>
        <v>22</v>
      </c>
      <c r="K112" s="1">
        <f t="shared" ca="1" si="64"/>
        <v>1.0086965228077356</v>
      </c>
      <c r="L112" s="1">
        <f t="shared" ca="1" si="65"/>
        <v>13</v>
      </c>
      <c r="M112" s="1"/>
      <c r="N112" s="1">
        <f t="shared" ca="1" si="66"/>
        <v>607</v>
      </c>
      <c r="O112" s="1">
        <f t="shared" ca="1" si="67"/>
        <v>38</v>
      </c>
      <c r="P112" s="1"/>
      <c r="Q112" s="1">
        <f t="shared" ca="1" si="68"/>
        <v>0.49813928950874092</v>
      </c>
      <c r="R112" s="1">
        <f t="shared" ca="1" si="69"/>
        <v>345</v>
      </c>
      <c r="S112" s="1"/>
      <c r="T112" s="1">
        <f t="shared" ca="1" si="70"/>
        <v>9.1162559370830967E-2</v>
      </c>
      <c r="U112" s="1">
        <f t="shared" ca="1" si="71"/>
        <v>268</v>
      </c>
      <c r="V112" s="1">
        <f t="shared" ca="1" si="72"/>
        <v>27</v>
      </c>
      <c r="W112" s="1"/>
      <c r="X112" s="1">
        <f t="shared" ca="1" si="73"/>
        <v>8.3727532586311586</v>
      </c>
      <c r="Y112" s="1">
        <f t="shared" ca="1" si="74"/>
        <v>0.54249230265216131</v>
      </c>
      <c r="Z112" s="1">
        <f t="shared" ca="1" si="75"/>
        <v>831</v>
      </c>
      <c r="AB112" s="1">
        <f t="shared" ca="1" si="76"/>
        <v>1.2403509888024545E-2</v>
      </c>
      <c r="AC112" s="1">
        <f t="shared" ca="1" si="77"/>
        <v>234</v>
      </c>
      <c r="AD112" s="1">
        <f t="shared" ca="1" si="78"/>
        <v>5.9812498025503622E-3</v>
      </c>
      <c r="AE112" s="1"/>
      <c r="AF112" s="1">
        <f t="shared" ca="1" si="79"/>
        <v>0.84167076457586842</v>
      </c>
      <c r="AG112" s="1">
        <f t="shared" ca="1" si="80"/>
        <v>892</v>
      </c>
      <c r="AH112" s="1">
        <f t="shared" ca="1" si="81"/>
        <v>3.6367793604074996E-3</v>
      </c>
      <c r="AJ112" s="1">
        <f t="shared" ca="1" si="82"/>
        <v>0.62058794134108042</v>
      </c>
      <c r="AK112" s="1">
        <f t="shared" ca="1" si="83"/>
        <v>8.717932487080176E-3</v>
      </c>
      <c r="AL112" s="1"/>
      <c r="AM112" s="1">
        <f t="shared" ca="1" si="84"/>
        <v>0.13366385084674415</v>
      </c>
      <c r="AN112" s="1">
        <f t="shared" ca="1" si="85"/>
        <v>68</v>
      </c>
      <c r="AO112" s="1">
        <f t="shared" ca="1" si="86"/>
        <v>5</v>
      </c>
      <c r="AQ112" s="1">
        <f t="shared" ca="1" si="87"/>
        <v>50</v>
      </c>
      <c r="AR112" s="1">
        <f t="shared" ca="1" si="88"/>
        <v>3</v>
      </c>
      <c r="AS112" s="1">
        <f t="shared" ca="1" si="89"/>
        <v>82</v>
      </c>
      <c r="AU112" s="1">
        <f t="shared" ca="1" si="90"/>
        <v>226</v>
      </c>
      <c r="AV112" s="1">
        <f t="shared" ca="1" si="91"/>
        <v>5</v>
      </c>
      <c r="AW112" s="1">
        <f t="shared" ca="1" si="92"/>
        <v>0.15211837103133496</v>
      </c>
      <c r="AY112" s="1">
        <f t="shared" ca="1" si="93"/>
        <v>1.7155825126227557</v>
      </c>
      <c r="AZ112" s="1">
        <f t="shared" ca="1" si="94"/>
        <v>147</v>
      </c>
      <c r="BA112" s="1">
        <f t="shared" ca="1" si="95"/>
        <v>3.8881512942037771E-3</v>
      </c>
      <c r="BV112" s="1">
        <f t="shared" ca="1" si="96"/>
        <v>0.4174408764348469</v>
      </c>
      <c r="BW112" s="1">
        <f t="shared" ca="1" si="97"/>
        <v>721</v>
      </c>
      <c r="BX112" s="1">
        <f t="shared" ca="1" si="98"/>
        <v>9.6918580537801099E-3</v>
      </c>
      <c r="BY112" s="1">
        <f t="shared" ca="1" si="99"/>
        <v>2.038016637162442E-2</v>
      </c>
      <c r="BZ112" s="1">
        <f t="shared" ca="1" si="100"/>
        <v>0.67490034535322374</v>
      </c>
      <c r="CB112" s="1">
        <f t="shared" ca="1" si="101"/>
        <v>109</v>
      </c>
      <c r="CC112" s="1">
        <f t="shared" ca="1" si="102"/>
        <v>6</v>
      </c>
      <c r="CD112" s="1">
        <f t="shared" ca="1" si="103"/>
        <v>0.16357488158889924</v>
      </c>
      <c r="CE112" s="1">
        <f t="shared" ca="1" si="113"/>
        <v>0.53218865779449476</v>
      </c>
      <c r="CF112" s="1">
        <f t="shared" ca="1" si="113"/>
        <v>0.59340306396302145</v>
      </c>
      <c r="CH112" s="3">
        <f t="shared" ca="1" si="105"/>
        <v>0.2748747084173167</v>
      </c>
      <c r="CI112" s="3">
        <f t="shared" ca="1" si="106"/>
        <v>0.89106666870414408</v>
      </c>
      <c r="CJ112" s="3">
        <f t="shared" ca="1" si="107"/>
        <v>1068</v>
      </c>
      <c r="CK112" s="3">
        <f t="shared" ca="1" si="108"/>
        <v>6.0287129250829888E-3</v>
      </c>
      <c r="CL112" s="3">
        <f t="shared" ca="1" si="109"/>
        <v>1</v>
      </c>
      <c r="CM112" s="3"/>
      <c r="CN112" s="1">
        <f t="shared" ca="1" si="110"/>
        <v>13.086706326297659</v>
      </c>
      <c r="CO112" s="1">
        <f t="shared" ca="1" si="111"/>
        <v>0.37874572142111912</v>
      </c>
      <c r="CP112" s="1">
        <f t="shared" ca="1" si="112"/>
        <v>4</v>
      </c>
    </row>
    <row r="113" spans="2:94" x14ac:dyDescent="0.25">
      <c r="B113">
        <f t="shared" ca="1" si="57"/>
        <v>766</v>
      </c>
      <c r="C113">
        <f t="shared" ca="1" si="58"/>
        <v>30</v>
      </c>
      <c r="D113">
        <f t="shared" ca="1" si="59"/>
        <v>8.2959990697480446E-2</v>
      </c>
      <c r="F113" s="1">
        <f t="shared" ca="1" si="60"/>
        <v>15</v>
      </c>
      <c r="G113" s="1">
        <f t="shared" ca="1" si="61"/>
        <v>17</v>
      </c>
      <c r="H113" s="1">
        <f t="shared" ca="1" si="62"/>
        <v>3</v>
      </c>
      <c r="I113" s="1"/>
      <c r="J113" s="1">
        <f t="shared" ca="1" si="63"/>
        <v>4</v>
      </c>
      <c r="K113" s="1">
        <f t="shared" ca="1" si="64"/>
        <v>1.0640269330515764</v>
      </c>
      <c r="L113" s="1">
        <f t="shared" ca="1" si="65"/>
        <v>19</v>
      </c>
      <c r="M113" s="1"/>
      <c r="N113" s="1">
        <f t="shared" ca="1" si="66"/>
        <v>33</v>
      </c>
      <c r="O113" s="1">
        <f t="shared" ca="1" si="67"/>
        <v>23</v>
      </c>
      <c r="P113" s="1"/>
      <c r="Q113" s="1">
        <f t="shared" ca="1" si="68"/>
        <v>3.382465020614962</v>
      </c>
      <c r="R113" s="1">
        <f t="shared" ca="1" si="69"/>
        <v>237</v>
      </c>
      <c r="S113" s="1"/>
      <c r="T113" s="1">
        <f t="shared" ca="1" si="70"/>
        <v>0.10140958012157747</v>
      </c>
      <c r="U113" s="1">
        <f t="shared" ca="1" si="71"/>
        <v>251</v>
      </c>
      <c r="V113" s="1">
        <f t="shared" ca="1" si="72"/>
        <v>11</v>
      </c>
      <c r="W113" s="1"/>
      <c r="X113" s="1">
        <f t="shared" ca="1" si="73"/>
        <v>8.2162335375667706</v>
      </c>
      <c r="Y113" s="1">
        <f t="shared" ca="1" si="74"/>
        <v>0.124679701608263</v>
      </c>
      <c r="Z113" s="1">
        <f t="shared" ca="1" si="75"/>
        <v>1930</v>
      </c>
      <c r="AB113" s="1">
        <f t="shared" ca="1" si="76"/>
        <v>3.0651733930477529E-2</v>
      </c>
      <c r="AC113" s="1">
        <f t="shared" ca="1" si="77"/>
        <v>590</v>
      </c>
      <c r="AD113" s="1">
        <f t="shared" ca="1" si="78"/>
        <v>9.103060637755787E-3</v>
      </c>
      <c r="AE113" s="1"/>
      <c r="AF113" s="1">
        <f t="shared" ca="1" si="79"/>
        <v>0.66632384145964485</v>
      </c>
      <c r="AG113" s="1">
        <f t="shared" ca="1" si="80"/>
        <v>226</v>
      </c>
      <c r="AH113" s="1">
        <f t="shared" ca="1" si="81"/>
        <v>9.203619815983099E-5</v>
      </c>
      <c r="AJ113" s="1">
        <f t="shared" ca="1" si="82"/>
        <v>0.22776326048336626</v>
      </c>
      <c r="AK113" s="1">
        <f t="shared" ca="1" si="83"/>
        <v>3.8257861998063046E-3</v>
      </c>
      <c r="AL113" s="1"/>
      <c r="AM113" s="1">
        <f t="shared" ca="1" si="84"/>
        <v>0.15402270725440725</v>
      </c>
      <c r="AN113" s="1">
        <f t="shared" ca="1" si="85"/>
        <v>62</v>
      </c>
      <c r="AO113" s="1">
        <f t="shared" ca="1" si="86"/>
        <v>9</v>
      </c>
      <c r="AQ113" s="1">
        <f t="shared" ca="1" si="87"/>
        <v>22</v>
      </c>
      <c r="AR113" s="1">
        <f t="shared" ca="1" si="88"/>
        <v>10</v>
      </c>
      <c r="AS113" s="1">
        <f t="shared" ca="1" si="89"/>
        <v>89</v>
      </c>
      <c r="AU113" s="1">
        <f t="shared" ca="1" si="90"/>
        <v>348</v>
      </c>
      <c r="AV113" s="1">
        <f t="shared" ca="1" si="91"/>
        <v>3</v>
      </c>
      <c r="AW113" s="1">
        <f t="shared" ca="1" si="92"/>
        <v>0.16565330812735041</v>
      </c>
      <c r="AY113" s="1">
        <f t="shared" ca="1" si="93"/>
        <v>1.7476168263623135</v>
      </c>
      <c r="AZ113" s="1">
        <f t="shared" ca="1" si="94"/>
        <v>261</v>
      </c>
      <c r="BA113" s="1">
        <f t="shared" ca="1" si="95"/>
        <v>6.019605627439575E-3</v>
      </c>
      <c r="BV113" s="1">
        <f t="shared" ca="1" si="96"/>
        <v>0.30345541182693392</v>
      </c>
      <c r="BW113" s="1">
        <f t="shared" ca="1" si="97"/>
        <v>832</v>
      </c>
      <c r="BX113" s="1">
        <f t="shared" ca="1" si="98"/>
        <v>6.8925678290654895E-3</v>
      </c>
      <c r="BY113" s="1">
        <f t="shared" ca="1" si="99"/>
        <v>4.3824692470594201E-2</v>
      </c>
      <c r="BZ113" s="1">
        <f t="shared" ca="1" si="100"/>
        <v>0.95339599434005151</v>
      </c>
      <c r="CB113" s="1">
        <f t="shared" ca="1" si="101"/>
        <v>479</v>
      </c>
      <c r="CC113" s="1">
        <f t="shared" ca="1" si="102"/>
        <v>14</v>
      </c>
      <c r="CD113" s="1">
        <f t="shared" ca="1" si="103"/>
        <v>0.24280436698429256</v>
      </c>
      <c r="CE113" s="1">
        <f t="shared" ca="1" si="113"/>
        <v>0.69800836431447488</v>
      </c>
      <c r="CF113" s="1">
        <f t="shared" ca="1" si="113"/>
        <v>0.57597860939265821</v>
      </c>
      <c r="CH113" s="3">
        <f t="shared" ca="1" si="105"/>
        <v>0.59709368809121255</v>
      </c>
      <c r="CI113" s="3">
        <f t="shared" ca="1" si="106"/>
        <v>6.7271833568515862E-2</v>
      </c>
      <c r="CJ113" s="3">
        <f t="shared" ca="1" si="107"/>
        <v>893</v>
      </c>
      <c r="CK113" s="3">
        <f t="shared" ca="1" si="108"/>
        <v>1.7078236998771495E-3</v>
      </c>
      <c r="CL113" s="3">
        <f t="shared" ca="1" si="109"/>
        <v>1</v>
      </c>
      <c r="CM113" s="3"/>
      <c r="CN113" s="1">
        <f t="shared" ca="1" si="110"/>
        <v>1.7384261654306159</v>
      </c>
      <c r="CO113" s="1">
        <f t="shared" ca="1" si="111"/>
        <v>0.42921598923772902</v>
      </c>
      <c r="CP113" s="1">
        <f t="shared" ca="1" si="112"/>
        <v>2</v>
      </c>
    </row>
    <row r="114" spans="2:94" x14ac:dyDescent="0.25">
      <c r="B114">
        <f t="shared" ca="1" si="57"/>
        <v>197</v>
      </c>
      <c r="C114">
        <f t="shared" ca="1" si="58"/>
        <v>37</v>
      </c>
      <c r="D114">
        <f t="shared" ca="1" si="59"/>
        <v>0.2867944296982502</v>
      </c>
      <c r="F114" s="1">
        <f t="shared" ca="1" si="60"/>
        <v>22</v>
      </c>
      <c r="G114" s="1">
        <f t="shared" ca="1" si="61"/>
        <v>20</v>
      </c>
      <c r="H114" s="1">
        <f t="shared" ca="1" si="62"/>
        <v>13</v>
      </c>
      <c r="I114" s="1"/>
      <c r="J114" s="1">
        <f t="shared" ca="1" si="63"/>
        <v>1</v>
      </c>
      <c r="K114" s="1">
        <f t="shared" ca="1" si="64"/>
        <v>1.712512723085063</v>
      </c>
      <c r="L114" s="1">
        <f t="shared" ca="1" si="65"/>
        <v>25</v>
      </c>
      <c r="M114" s="1"/>
      <c r="N114" s="1">
        <f t="shared" ca="1" si="66"/>
        <v>709</v>
      </c>
      <c r="O114" s="1">
        <f t="shared" ca="1" si="67"/>
        <v>43</v>
      </c>
      <c r="P114" s="1"/>
      <c r="Q114" s="1">
        <f t="shared" ca="1" si="68"/>
        <v>4.1680010047281426</v>
      </c>
      <c r="R114" s="1">
        <f t="shared" ca="1" si="69"/>
        <v>664</v>
      </c>
      <c r="S114" s="1"/>
      <c r="T114" s="1">
        <f t="shared" ca="1" si="70"/>
        <v>0.14749801849047051</v>
      </c>
      <c r="U114" s="1">
        <f t="shared" ca="1" si="71"/>
        <v>125</v>
      </c>
      <c r="V114" s="1">
        <f t="shared" ca="1" si="72"/>
        <v>49</v>
      </c>
      <c r="W114" s="1"/>
      <c r="X114" s="1">
        <f t="shared" ca="1" si="73"/>
        <v>6.4296979414700983</v>
      </c>
      <c r="Y114" s="1">
        <f t="shared" ca="1" si="74"/>
        <v>0.52871357181945777</v>
      </c>
      <c r="Z114" s="1">
        <f t="shared" ca="1" si="75"/>
        <v>1066</v>
      </c>
      <c r="AB114" s="1">
        <f t="shared" ca="1" si="76"/>
        <v>0.51335736152817102</v>
      </c>
      <c r="AC114" s="1">
        <f t="shared" ca="1" si="77"/>
        <v>816</v>
      </c>
      <c r="AD114" s="1">
        <f t="shared" ca="1" si="78"/>
        <v>2.6292371334289662E-3</v>
      </c>
      <c r="AE114" s="1"/>
      <c r="AF114" s="1">
        <f t="shared" ca="1" si="79"/>
        <v>0.66899608390949949</v>
      </c>
      <c r="AG114" s="1">
        <f t="shared" ca="1" si="80"/>
        <v>958</v>
      </c>
      <c r="AH114" s="1">
        <f t="shared" ca="1" si="81"/>
        <v>9.0146859561661147E-3</v>
      </c>
      <c r="AJ114" s="1">
        <f t="shared" ca="1" si="82"/>
        <v>1.6354335444371038E-2</v>
      </c>
      <c r="AK114" s="1">
        <f t="shared" ca="1" si="83"/>
        <v>2.5002827423361031E-3</v>
      </c>
      <c r="AL114" s="1"/>
      <c r="AM114" s="1">
        <f t="shared" ca="1" si="84"/>
        <v>9.9828463845008791E-2</v>
      </c>
      <c r="AN114" s="1">
        <f t="shared" ca="1" si="85"/>
        <v>19</v>
      </c>
      <c r="AO114" s="1">
        <f t="shared" ca="1" si="86"/>
        <v>17</v>
      </c>
      <c r="AQ114" s="1">
        <f t="shared" ca="1" si="87"/>
        <v>160</v>
      </c>
      <c r="AR114" s="1">
        <f t="shared" ca="1" si="88"/>
        <v>1</v>
      </c>
      <c r="AS114" s="1">
        <f t="shared" ca="1" si="89"/>
        <v>46</v>
      </c>
      <c r="AU114" s="1">
        <f t="shared" ca="1" si="90"/>
        <v>367</v>
      </c>
      <c r="AV114" s="1">
        <f t="shared" ca="1" si="91"/>
        <v>6</v>
      </c>
      <c r="AW114" s="1">
        <f t="shared" ca="1" si="92"/>
        <v>4.4235173345402501E-2</v>
      </c>
      <c r="AY114" s="1">
        <f t="shared" ca="1" si="93"/>
        <v>1.8295171690976688</v>
      </c>
      <c r="AZ114" s="1">
        <f t="shared" ca="1" si="94"/>
        <v>210</v>
      </c>
      <c r="BA114" s="1">
        <f t="shared" ca="1" si="95"/>
        <v>2.7391162699619371E-3</v>
      </c>
      <c r="BV114" s="1">
        <f t="shared" ca="1" si="96"/>
        <v>0.2453751523487657</v>
      </c>
      <c r="BW114" s="1">
        <f t="shared" ca="1" si="97"/>
        <v>505</v>
      </c>
      <c r="BX114" s="1">
        <f t="shared" ca="1" si="98"/>
        <v>4.9971690623532503E-3</v>
      </c>
      <c r="BY114" s="1">
        <f t="shared" ca="1" si="99"/>
        <v>3.228049502735432E-2</v>
      </c>
      <c r="BZ114" s="1">
        <f t="shared" ca="1" si="100"/>
        <v>0.41866298409983982</v>
      </c>
      <c r="CB114" s="1">
        <f t="shared" ca="1" si="101"/>
        <v>424</v>
      </c>
      <c r="CC114" s="1">
        <f t="shared" ca="1" si="102"/>
        <v>3</v>
      </c>
      <c r="CD114" s="1">
        <f t="shared" ca="1" si="103"/>
        <v>0.28560721860559979</v>
      </c>
      <c r="CE114" s="1">
        <f t="shared" ca="1" si="113"/>
        <v>0.94873945630993184</v>
      </c>
      <c r="CF114" s="1">
        <f t="shared" ca="1" si="113"/>
        <v>0.59251299562613768</v>
      </c>
      <c r="CH114" s="3">
        <f t="shared" ca="1" si="105"/>
        <v>5.0768509614253436E-2</v>
      </c>
      <c r="CI114" s="3">
        <f t="shared" ca="1" si="106"/>
        <v>0.28295845207450193</v>
      </c>
      <c r="CJ114" s="3">
        <f t="shared" ca="1" si="107"/>
        <v>1150</v>
      </c>
      <c r="CK114" s="3">
        <f t="shared" ca="1" si="108"/>
        <v>4.6848815033367864E-3</v>
      </c>
      <c r="CL114" s="3">
        <f t="shared" ca="1" si="109"/>
        <v>0</v>
      </c>
      <c r="CM114" s="3"/>
      <c r="CN114" s="1">
        <f t="shared" ca="1" si="110"/>
        <v>13.015767758580171</v>
      </c>
      <c r="CO114" s="1">
        <f t="shared" ca="1" si="111"/>
        <v>4.392689497441786E-2</v>
      </c>
      <c r="CP114" s="1">
        <f t="shared" ca="1" si="112"/>
        <v>3</v>
      </c>
    </row>
    <row r="115" spans="2:94" x14ac:dyDescent="0.25">
      <c r="B115">
        <f t="shared" ca="1" si="57"/>
        <v>943</v>
      </c>
      <c r="C115">
        <f t="shared" ca="1" si="58"/>
        <v>21</v>
      </c>
      <c r="D115">
        <f t="shared" ca="1" si="59"/>
        <v>0.25111870397030112</v>
      </c>
      <c r="F115" s="1">
        <f t="shared" ca="1" si="60"/>
        <v>11</v>
      </c>
      <c r="G115" s="1">
        <f t="shared" ca="1" si="61"/>
        <v>16</v>
      </c>
      <c r="H115" s="1">
        <f t="shared" ca="1" si="62"/>
        <v>1</v>
      </c>
      <c r="I115" s="1"/>
      <c r="J115" s="1">
        <f t="shared" ca="1" si="63"/>
        <v>30</v>
      </c>
      <c r="K115" s="1">
        <f t="shared" ca="1" si="64"/>
        <v>2.217051521666991</v>
      </c>
      <c r="L115" s="1">
        <f t="shared" ca="1" si="65"/>
        <v>11</v>
      </c>
      <c r="M115" s="1"/>
      <c r="N115" s="1">
        <f t="shared" ca="1" si="66"/>
        <v>338</v>
      </c>
      <c r="O115" s="1">
        <f t="shared" ca="1" si="67"/>
        <v>30</v>
      </c>
      <c r="P115" s="1"/>
      <c r="Q115" s="1">
        <f t="shared" ca="1" si="68"/>
        <v>2.0060632212679081</v>
      </c>
      <c r="R115" s="1">
        <f t="shared" ca="1" si="69"/>
        <v>1094</v>
      </c>
      <c r="S115" s="1"/>
      <c r="T115" s="1">
        <f t="shared" ca="1" si="70"/>
        <v>0.14451089082458196</v>
      </c>
      <c r="U115" s="1">
        <f t="shared" ca="1" si="71"/>
        <v>443</v>
      </c>
      <c r="V115" s="1">
        <f t="shared" ca="1" si="72"/>
        <v>6</v>
      </c>
      <c r="W115" s="1"/>
      <c r="X115" s="1">
        <f t="shared" ca="1" si="73"/>
        <v>6.4909009047797825</v>
      </c>
      <c r="Y115" s="1">
        <f t="shared" ca="1" si="74"/>
        <v>0.99591801748281095</v>
      </c>
      <c r="Z115" s="1">
        <f t="shared" ca="1" si="75"/>
        <v>126</v>
      </c>
      <c r="AB115" s="1">
        <f t="shared" ca="1" si="76"/>
        <v>0.73902545061697</v>
      </c>
      <c r="AC115" s="1">
        <f t="shared" ca="1" si="77"/>
        <v>655</v>
      </c>
      <c r="AD115" s="1">
        <f t="shared" ca="1" si="78"/>
        <v>9.939788204287649E-3</v>
      </c>
      <c r="AE115" s="1"/>
      <c r="AF115" s="1">
        <f t="shared" ca="1" si="79"/>
        <v>0.63091687658293771</v>
      </c>
      <c r="AG115" s="1">
        <f t="shared" ca="1" si="80"/>
        <v>796</v>
      </c>
      <c r="AH115" s="1">
        <f t="shared" ca="1" si="81"/>
        <v>3.5159709506773934E-3</v>
      </c>
      <c r="AJ115" s="1">
        <f t="shared" ca="1" si="82"/>
        <v>0.1844257397792558</v>
      </c>
      <c r="AK115" s="1">
        <f t="shared" ca="1" si="83"/>
        <v>3.9566613277692321E-3</v>
      </c>
      <c r="AL115" s="1"/>
      <c r="AM115" s="1">
        <f t="shared" ca="1" si="84"/>
        <v>0.14383248500210008</v>
      </c>
      <c r="AN115" s="1">
        <f t="shared" ca="1" si="85"/>
        <v>18</v>
      </c>
      <c r="AO115" s="1">
        <f t="shared" ca="1" si="86"/>
        <v>10</v>
      </c>
      <c r="AQ115" s="1">
        <f t="shared" ca="1" si="87"/>
        <v>24</v>
      </c>
      <c r="AR115" s="1">
        <f t="shared" ca="1" si="88"/>
        <v>6</v>
      </c>
      <c r="AS115" s="1">
        <f t="shared" ca="1" si="89"/>
        <v>18</v>
      </c>
      <c r="AU115" s="1">
        <f t="shared" ca="1" si="90"/>
        <v>105</v>
      </c>
      <c r="AV115" s="1">
        <f t="shared" ca="1" si="91"/>
        <v>5</v>
      </c>
      <c r="AW115" s="1">
        <f t="shared" ca="1" si="92"/>
        <v>7.0315479581578813E-2</v>
      </c>
      <c r="AY115" s="1">
        <f t="shared" ca="1" si="93"/>
        <v>1.5705361244540939</v>
      </c>
      <c r="AZ115" s="1">
        <f t="shared" ca="1" si="94"/>
        <v>365</v>
      </c>
      <c r="BA115" s="1">
        <f t="shared" ca="1" si="95"/>
        <v>5.2175653765313959E-3</v>
      </c>
      <c r="BV115" s="1">
        <f t="shared" ca="1" si="96"/>
        <v>9.7784161195112074E-2</v>
      </c>
      <c r="BW115" s="1">
        <f t="shared" ca="1" si="97"/>
        <v>302</v>
      </c>
      <c r="BX115" s="1">
        <f t="shared" ca="1" si="98"/>
        <v>4.7469083851382167E-3</v>
      </c>
      <c r="BY115" s="1">
        <f t="shared" ca="1" si="99"/>
        <v>7.9955714781708306E-2</v>
      </c>
      <c r="BZ115" s="1">
        <f t="shared" ca="1" si="100"/>
        <v>0.55551722143633175</v>
      </c>
      <c r="CB115" s="1">
        <f t="shared" ca="1" si="101"/>
        <v>140</v>
      </c>
      <c r="CC115" s="1">
        <f t="shared" ca="1" si="102"/>
        <v>13</v>
      </c>
      <c r="CD115" s="1">
        <f t="shared" ca="1" si="103"/>
        <v>0.16325591992709129</v>
      </c>
      <c r="CE115" s="1">
        <f t="shared" ca="1" si="113"/>
        <v>0.96364111048216339</v>
      </c>
      <c r="CF115" s="1">
        <f t="shared" ca="1" si="113"/>
        <v>0.58145911643803005</v>
      </c>
      <c r="CH115" s="3">
        <f t="shared" ca="1" si="105"/>
        <v>0.89922823404343666</v>
      </c>
      <c r="CI115" s="3">
        <f t="shared" ca="1" si="106"/>
        <v>0.12500274643292042</v>
      </c>
      <c r="CJ115" s="3">
        <f t="shared" ca="1" si="107"/>
        <v>978</v>
      </c>
      <c r="CK115" s="3">
        <f t="shared" ca="1" si="108"/>
        <v>2.8682629807207445E-3</v>
      </c>
      <c r="CL115" s="3">
        <f t="shared" ca="1" si="109"/>
        <v>1</v>
      </c>
      <c r="CM115" s="3"/>
      <c r="CN115" s="1">
        <f t="shared" ca="1" si="110"/>
        <v>14.090754741285954</v>
      </c>
      <c r="CO115" s="1">
        <f t="shared" ca="1" si="111"/>
        <v>7.9272527515086622E-2</v>
      </c>
      <c r="CP115" s="1">
        <f t="shared" ca="1" si="112"/>
        <v>2</v>
      </c>
    </row>
    <row r="116" spans="2:94" x14ac:dyDescent="0.25">
      <c r="B116">
        <f t="shared" ca="1" si="57"/>
        <v>505</v>
      </c>
      <c r="C116">
        <f t="shared" ca="1" si="58"/>
        <v>42</v>
      </c>
      <c r="D116">
        <f t="shared" ca="1" si="59"/>
        <v>0.10877606351396918</v>
      </c>
      <c r="F116" s="1">
        <f t="shared" ca="1" si="60"/>
        <v>46</v>
      </c>
      <c r="G116" s="1">
        <f t="shared" ca="1" si="61"/>
        <v>22</v>
      </c>
      <c r="H116" s="1">
        <f t="shared" ca="1" si="62"/>
        <v>8</v>
      </c>
      <c r="I116" s="1"/>
      <c r="J116" s="1">
        <f t="shared" ca="1" si="63"/>
        <v>2</v>
      </c>
      <c r="K116" s="1">
        <f t="shared" ca="1" si="64"/>
        <v>2.6751514681865145</v>
      </c>
      <c r="L116" s="1">
        <f t="shared" ca="1" si="65"/>
        <v>16</v>
      </c>
      <c r="M116" s="1"/>
      <c r="N116" s="1">
        <f t="shared" ca="1" si="66"/>
        <v>690</v>
      </c>
      <c r="O116" s="1">
        <f t="shared" ca="1" si="67"/>
        <v>8</v>
      </c>
      <c r="P116" s="1"/>
      <c r="Q116" s="1">
        <f t="shared" ca="1" si="68"/>
        <v>1.5146675301783283</v>
      </c>
      <c r="R116" s="1">
        <f t="shared" ca="1" si="69"/>
        <v>538</v>
      </c>
      <c r="S116" s="1"/>
      <c r="T116" s="1">
        <f t="shared" ca="1" si="70"/>
        <v>0.17620207701060325</v>
      </c>
      <c r="U116" s="1">
        <f t="shared" ca="1" si="71"/>
        <v>248</v>
      </c>
      <c r="V116" s="1">
        <f t="shared" ca="1" si="72"/>
        <v>47</v>
      </c>
      <c r="W116" s="1"/>
      <c r="X116" s="1">
        <f t="shared" ca="1" si="73"/>
        <v>3.2454217826212717</v>
      </c>
      <c r="Y116" s="1">
        <f t="shared" ca="1" si="74"/>
        <v>0.47506181312799378</v>
      </c>
      <c r="Z116" s="1">
        <f t="shared" ca="1" si="75"/>
        <v>684</v>
      </c>
      <c r="AB116" s="1">
        <f t="shared" ca="1" si="76"/>
        <v>0.2142076856196948</v>
      </c>
      <c r="AC116" s="1">
        <f t="shared" ca="1" si="77"/>
        <v>232</v>
      </c>
      <c r="AD116" s="1">
        <f t="shared" ca="1" si="78"/>
        <v>2.323808494615933E-3</v>
      </c>
      <c r="AE116" s="1"/>
      <c r="AF116" s="1">
        <f t="shared" ca="1" si="79"/>
        <v>0.41027976023780777</v>
      </c>
      <c r="AG116" s="1">
        <f t="shared" ca="1" si="80"/>
        <v>929</v>
      </c>
      <c r="AH116" s="1">
        <f t="shared" ca="1" si="81"/>
        <v>7.9220102675249607E-3</v>
      </c>
      <c r="AJ116" s="1">
        <f t="shared" ca="1" si="82"/>
        <v>0.90253224752631034</v>
      </c>
      <c r="AK116" s="1">
        <f t="shared" ca="1" si="83"/>
        <v>4.0196637076708435E-3</v>
      </c>
      <c r="AL116" s="1"/>
      <c r="AM116" s="1">
        <f t="shared" ca="1" si="84"/>
        <v>0.12359368233324217</v>
      </c>
      <c r="AN116" s="1">
        <f t="shared" ca="1" si="85"/>
        <v>47</v>
      </c>
      <c r="AO116" s="1">
        <f t="shared" ca="1" si="86"/>
        <v>14</v>
      </c>
      <c r="AQ116" s="1">
        <f t="shared" ca="1" si="87"/>
        <v>89</v>
      </c>
      <c r="AR116" s="1">
        <f t="shared" ca="1" si="88"/>
        <v>9</v>
      </c>
      <c r="AS116" s="1">
        <f t="shared" ca="1" si="89"/>
        <v>91</v>
      </c>
      <c r="AU116" s="1">
        <f t="shared" ca="1" si="90"/>
        <v>273</v>
      </c>
      <c r="AV116" s="1">
        <f t="shared" ca="1" si="91"/>
        <v>7</v>
      </c>
      <c r="AW116" s="1">
        <f t="shared" ca="1" si="92"/>
        <v>1.3803565379107558E-2</v>
      </c>
      <c r="AY116" s="1">
        <f t="shared" ca="1" si="93"/>
        <v>1.5522879818700832</v>
      </c>
      <c r="AZ116" s="1">
        <f t="shared" ca="1" si="94"/>
        <v>293</v>
      </c>
      <c r="BA116" s="1">
        <f t="shared" ca="1" si="95"/>
        <v>7.9323211184800183E-3</v>
      </c>
      <c r="BV116" s="1">
        <f t="shared" ca="1" si="96"/>
        <v>0.12204490795874037</v>
      </c>
      <c r="BW116" s="1">
        <f t="shared" ca="1" si="97"/>
        <v>351</v>
      </c>
      <c r="BX116" s="1">
        <f t="shared" ca="1" si="98"/>
        <v>5.8869594066663653E-3</v>
      </c>
      <c r="BY116" s="1">
        <f t="shared" ca="1" si="99"/>
        <v>7.1740745144855622E-2</v>
      </c>
      <c r="BZ116" s="1">
        <f t="shared" ca="1" si="100"/>
        <v>0.6985381531954612</v>
      </c>
      <c r="CB116" s="1">
        <f t="shared" ca="1" si="101"/>
        <v>285</v>
      </c>
      <c r="CC116" s="1">
        <f t="shared" ca="1" si="102"/>
        <v>10</v>
      </c>
      <c r="CD116" s="1">
        <f t="shared" ca="1" si="103"/>
        <v>0.23695508176544261</v>
      </c>
      <c r="CE116" s="1">
        <f t="shared" ca="1" si="113"/>
        <v>0.76904347772095827</v>
      </c>
      <c r="CF116" s="1">
        <f t="shared" ca="1" si="113"/>
        <v>0.76153366304613224</v>
      </c>
      <c r="CH116" s="3">
        <f t="shared" ca="1" si="105"/>
        <v>0.14587467385889488</v>
      </c>
      <c r="CI116" s="3">
        <f t="shared" ca="1" si="106"/>
        <v>0.45065618126646756</v>
      </c>
      <c r="CJ116" s="3">
        <f t="shared" ca="1" si="107"/>
        <v>532</v>
      </c>
      <c r="CK116" s="3">
        <f t="shared" ca="1" si="108"/>
        <v>1.2127774108677538E-3</v>
      </c>
      <c r="CL116" s="3">
        <f t="shared" ca="1" si="109"/>
        <v>0</v>
      </c>
      <c r="CM116" s="3"/>
      <c r="CN116" s="1">
        <f t="shared" ca="1" si="110"/>
        <v>6.97940861296079</v>
      </c>
      <c r="CO116" s="1">
        <f t="shared" ca="1" si="111"/>
        <v>0.17920796454715182</v>
      </c>
      <c r="CP116" s="1">
        <f t="shared" ca="1" si="112"/>
        <v>2</v>
      </c>
    </row>
    <row r="117" spans="2:94" x14ac:dyDescent="0.25">
      <c r="B117">
        <f t="shared" ca="1" si="57"/>
        <v>522</v>
      </c>
      <c r="C117">
        <f t="shared" ca="1" si="58"/>
        <v>39</v>
      </c>
      <c r="D117">
        <f t="shared" ca="1" si="59"/>
        <v>0.25670399765882734</v>
      </c>
      <c r="F117" s="1">
        <f t="shared" ca="1" si="60"/>
        <v>7</v>
      </c>
      <c r="G117" s="1">
        <f t="shared" ca="1" si="61"/>
        <v>17</v>
      </c>
      <c r="H117" s="1">
        <f t="shared" ca="1" si="62"/>
        <v>8</v>
      </c>
      <c r="I117" s="1"/>
      <c r="J117" s="1">
        <f t="shared" ca="1" si="63"/>
        <v>6</v>
      </c>
      <c r="K117" s="1">
        <f t="shared" ca="1" si="64"/>
        <v>1.3068945854817029</v>
      </c>
      <c r="L117" s="1">
        <f t="shared" ca="1" si="65"/>
        <v>6</v>
      </c>
      <c r="M117" s="1"/>
      <c r="N117" s="1">
        <f t="shared" ca="1" si="66"/>
        <v>795</v>
      </c>
      <c r="O117" s="1">
        <f t="shared" ca="1" si="67"/>
        <v>5</v>
      </c>
      <c r="P117" s="1"/>
      <c r="Q117" s="1">
        <f t="shared" ca="1" si="68"/>
        <v>0.36075845793536243</v>
      </c>
      <c r="R117" s="1">
        <f t="shared" ca="1" si="69"/>
        <v>825</v>
      </c>
      <c r="S117" s="1"/>
      <c r="T117" s="1">
        <f t="shared" ca="1" si="70"/>
        <v>0.18611662884786939</v>
      </c>
      <c r="U117" s="1">
        <f t="shared" ca="1" si="71"/>
        <v>391</v>
      </c>
      <c r="V117" s="1">
        <f t="shared" ca="1" si="72"/>
        <v>22</v>
      </c>
      <c r="W117" s="1"/>
      <c r="X117" s="1">
        <f t="shared" ca="1" si="73"/>
        <v>6.2787430485350173</v>
      </c>
      <c r="Y117" s="1">
        <f t="shared" ca="1" si="74"/>
        <v>0.69656147259404388</v>
      </c>
      <c r="Z117" s="1">
        <f t="shared" ca="1" si="75"/>
        <v>265</v>
      </c>
      <c r="AB117" s="1">
        <f t="shared" ca="1" si="76"/>
        <v>0.81912135012358567</v>
      </c>
      <c r="AC117" s="1">
        <f t="shared" ca="1" si="77"/>
        <v>269</v>
      </c>
      <c r="AD117" s="1">
        <f t="shared" ca="1" si="78"/>
        <v>9.3376288906757074E-3</v>
      </c>
      <c r="AE117" s="1"/>
      <c r="AF117" s="1">
        <f t="shared" ca="1" si="79"/>
        <v>0.69965978360382886</v>
      </c>
      <c r="AG117" s="1">
        <f t="shared" ca="1" si="80"/>
        <v>559</v>
      </c>
      <c r="AH117" s="1">
        <f t="shared" ca="1" si="81"/>
        <v>6.05268736847118E-3</v>
      </c>
      <c r="AJ117" s="1">
        <f t="shared" ca="1" si="82"/>
        <v>0.99476405345433339</v>
      </c>
      <c r="AK117" s="1">
        <f t="shared" ca="1" si="83"/>
        <v>7.7930377338381995E-4</v>
      </c>
      <c r="AL117" s="1"/>
      <c r="AM117" s="1">
        <f t="shared" ca="1" si="84"/>
        <v>1.0919484666403252E-2</v>
      </c>
      <c r="AN117" s="1">
        <f t="shared" ca="1" si="85"/>
        <v>43</v>
      </c>
      <c r="AO117" s="1">
        <f t="shared" ca="1" si="86"/>
        <v>17</v>
      </c>
      <c r="AQ117" s="1">
        <f t="shared" ca="1" si="87"/>
        <v>181</v>
      </c>
      <c r="AR117" s="1">
        <f t="shared" ca="1" si="88"/>
        <v>8</v>
      </c>
      <c r="AS117" s="1">
        <f t="shared" ca="1" si="89"/>
        <v>77</v>
      </c>
      <c r="AU117" s="1">
        <f t="shared" ca="1" si="90"/>
        <v>223</v>
      </c>
      <c r="AV117" s="1">
        <f t="shared" ca="1" si="91"/>
        <v>9</v>
      </c>
      <c r="AW117" s="1">
        <f t="shared" ca="1" si="92"/>
        <v>0.18141445638990905</v>
      </c>
      <c r="AY117" s="1">
        <f t="shared" ca="1" si="93"/>
        <v>1.8820857920087517</v>
      </c>
      <c r="AZ117" s="1">
        <f t="shared" ca="1" si="94"/>
        <v>486</v>
      </c>
      <c r="BA117" s="1">
        <f t="shared" ca="1" si="95"/>
        <v>6.6053937531055842E-3</v>
      </c>
      <c r="BV117" s="1">
        <f t="shared" ca="1" si="96"/>
        <v>0.4909490752952691</v>
      </c>
      <c r="BW117" s="1">
        <f t="shared" ca="1" si="97"/>
        <v>614</v>
      </c>
      <c r="BX117" s="1">
        <f t="shared" ca="1" si="98"/>
        <v>3.6683716672129955E-3</v>
      </c>
      <c r="BY117" s="1">
        <f t="shared" ca="1" si="99"/>
        <v>1.9201347300542224E-2</v>
      </c>
      <c r="BZ117" s="1">
        <f t="shared" ca="1" si="100"/>
        <v>9.7773767722951099E-2</v>
      </c>
      <c r="CB117" s="1">
        <f t="shared" ca="1" si="101"/>
        <v>198</v>
      </c>
      <c r="CC117" s="1">
        <f t="shared" ca="1" si="102"/>
        <v>8</v>
      </c>
      <c r="CD117" s="1">
        <f t="shared" ca="1" si="103"/>
        <v>0.24457633150809621</v>
      </c>
      <c r="CE117" s="1">
        <f t="shared" ca="1" si="113"/>
        <v>0.63860023541044431</v>
      </c>
      <c r="CF117" s="1">
        <f t="shared" ca="1" si="113"/>
        <v>0.73441335898334326</v>
      </c>
      <c r="CH117" s="3">
        <f t="shared" ca="1" si="105"/>
        <v>0.32243191772401014</v>
      </c>
      <c r="CI117" s="3">
        <f t="shared" ca="1" si="106"/>
        <v>0.55568216968700812</v>
      </c>
      <c r="CJ117" s="3">
        <f t="shared" ca="1" si="107"/>
        <v>137</v>
      </c>
      <c r="CK117" s="3">
        <f t="shared" ca="1" si="108"/>
        <v>9.7035162033826394E-3</v>
      </c>
      <c r="CL117" s="3">
        <f t="shared" ca="1" si="109"/>
        <v>1</v>
      </c>
      <c r="CM117" s="3"/>
      <c r="CN117" s="1">
        <f t="shared" ca="1" si="110"/>
        <v>5.6455044144153517</v>
      </c>
      <c r="CO117" s="1">
        <f t="shared" ca="1" si="111"/>
        <v>0.42987524713546016</v>
      </c>
      <c r="CP117" s="1">
        <f t="shared" ca="1" si="112"/>
        <v>5</v>
      </c>
    </row>
    <row r="118" spans="2:94" x14ac:dyDescent="0.25">
      <c r="B118">
        <f t="shared" ca="1" si="57"/>
        <v>770</v>
      </c>
      <c r="C118">
        <f t="shared" ca="1" si="58"/>
        <v>38</v>
      </c>
      <c r="D118">
        <f t="shared" ca="1" si="59"/>
        <v>2.5220712635773312E-2</v>
      </c>
      <c r="F118" s="1">
        <f t="shared" ca="1" si="60"/>
        <v>39</v>
      </c>
      <c r="G118" s="1">
        <f t="shared" ca="1" si="61"/>
        <v>24</v>
      </c>
      <c r="H118" s="1">
        <f t="shared" ca="1" si="62"/>
        <v>15</v>
      </c>
      <c r="I118" s="1"/>
      <c r="J118" s="1">
        <f t="shared" ca="1" si="63"/>
        <v>11</v>
      </c>
      <c r="K118" s="1">
        <f t="shared" ca="1" si="64"/>
        <v>1.9021082548223698</v>
      </c>
      <c r="L118" s="1">
        <f t="shared" ca="1" si="65"/>
        <v>14</v>
      </c>
      <c r="M118" s="1"/>
      <c r="N118" s="1">
        <f t="shared" ca="1" si="66"/>
        <v>957</v>
      </c>
      <c r="O118" s="1">
        <f t="shared" ca="1" si="67"/>
        <v>28</v>
      </c>
      <c r="P118" s="1"/>
      <c r="Q118" s="1">
        <f t="shared" ca="1" si="68"/>
        <v>3.5672284994310961</v>
      </c>
      <c r="R118" s="1">
        <f t="shared" ca="1" si="69"/>
        <v>423</v>
      </c>
      <c r="S118" s="1"/>
      <c r="T118" s="1">
        <f t="shared" ca="1" si="70"/>
        <v>0.1208233714515544</v>
      </c>
      <c r="U118" s="1">
        <f t="shared" ca="1" si="71"/>
        <v>342</v>
      </c>
      <c r="V118" s="1">
        <f t="shared" ca="1" si="72"/>
        <v>10</v>
      </c>
      <c r="W118" s="1"/>
      <c r="X118" s="1">
        <f t="shared" ca="1" si="73"/>
        <v>4.3347127551683737</v>
      </c>
      <c r="Y118" s="1">
        <f t="shared" ca="1" si="74"/>
        <v>0.29090080049363803</v>
      </c>
      <c r="Z118" s="1">
        <f t="shared" ca="1" si="75"/>
        <v>1633</v>
      </c>
      <c r="AB118" s="1">
        <f t="shared" ca="1" si="76"/>
        <v>0.99469730937600864</v>
      </c>
      <c r="AC118" s="1">
        <f t="shared" ca="1" si="77"/>
        <v>299</v>
      </c>
      <c r="AD118" s="1">
        <f t="shared" ca="1" si="78"/>
        <v>9.7475858882597171E-3</v>
      </c>
      <c r="AE118" s="1"/>
      <c r="AF118" s="1">
        <f t="shared" ca="1" si="79"/>
        <v>0.84714846848961667</v>
      </c>
      <c r="AG118" s="1">
        <f t="shared" ca="1" si="80"/>
        <v>477</v>
      </c>
      <c r="AH118" s="1">
        <f t="shared" ca="1" si="81"/>
        <v>2.1032740036815985E-3</v>
      </c>
      <c r="AJ118" s="1">
        <f t="shared" ca="1" si="82"/>
        <v>0.28078764912567633</v>
      </c>
      <c r="AK118" s="1">
        <f t="shared" ca="1" si="83"/>
        <v>6.1574823129953047E-4</v>
      </c>
      <c r="AL118" s="1"/>
      <c r="AM118" s="1">
        <f t="shared" ca="1" si="84"/>
        <v>1.6469718061461296E-2</v>
      </c>
      <c r="AN118" s="1">
        <f t="shared" ca="1" si="85"/>
        <v>42</v>
      </c>
      <c r="AO118" s="1">
        <f t="shared" ca="1" si="86"/>
        <v>10</v>
      </c>
      <c r="AQ118" s="1">
        <f t="shared" ca="1" si="87"/>
        <v>80</v>
      </c>
      <c r="AR118" s="1">
        <f t="shared" ca="1" si="88"/>
        <v>7</v>
      </c>
      <c r="AS118" s="1">
        <f t="shared" ca="1" si="89"/>
        <v>2</v>
      </c>
      <c r="AU118" s="1">
        <f t="shared" ca="1" si="90"/>
        <v>110</v>
      </c>
      <c r="AV118" s="1">
        <f t="shared" ca="1" si="91"/>
        <v>10</v>
      </c>
      <c r="AW118" s="1">
        <f t="shared" ca="1" si="92"/>
        <v>8.5216678852084907E-2</v>
      </c>
      <c r="AY118" s="1">
        <f t="shared" ca="1" si="93"/>
        <v>1.7613127327648068</v>
      </c>
      <c r="AZ118" s="1">
        <f t="shared" ca="1" si="94"/>
        <v>198</v>
      </c>
      <c r="BA118" s="1">
        <f t="shared" ca="1" si="95"/>
        <v>3.4142071441831053E-4</v>
      </c>
      <c r="BV118" s="1">
        <f t="shared" ca="1" si="96"/>
        <v>0.67526608779698261</v>
      </c>
      <c r="BW118" s="1">
        <f t="shared" ca="1" si="97"/>
        <v>686</v>
      </c>
      <c r="BX118" s="1">
        <f t="shared" ca="1" si="98"/>
        <v>6.3214176775489288E-4</v>
      </c>
      <c r="BY118" s="1">
        <f t="shared" ca="1" si="99"/>
        <v>1.2968300442575867E-2</v>
      </c>
      <c r="BZ118" s="1">
        <f t="shared" ca="1" si="100"/>
        <v>0.25046819289811317</v>
      </c>
      <c r="CB118" s="1">
        <f t="shared" ca="1" si="101"/>
        <v>179</v>
      </c>
      <c r="CC118" s="1">
        <f t="shared" ca="1" si="102"/>
        <v>10</v>
      </c>
      <c r="CD118" s="1">
        <f t="shared" ca="1" si="103"/>
        <v>0.10414927920013241</v>
      </c>
      <c r="CE118" s="1">
        <f t="shared" ca="1" si="113"/>
        <v>0.82735895325720676</v>
      </c>
      <c r="CF118" s="1">
        <f t="shared" ca="1" si="113"/>
        <v>0.55287863966671458</v>
      </c>
      <c r="CH118" s="3">
        <f t="shared" ca="1" si="105"/>
        <v>0.31206991063193973</v>
      </c>
      <c r="CI118" s="3">
        <f t="shared" ca="1" si="106"/>
        <v>0.29048032108732441</v>
      </c>
      <c r="CJ118" s="3">
        <f t="shared" ca="1" si="107"/>
        <v>1196</v>
      </c>
      <c r="CK118" s="3">
        <f t="shared" ca="1" si="108"/>
        <v>5.8599856666100309E-3</v>
      </c>
      <c r="CL118" s="3">
        <f t="shared" ca="1" si="109"/>
        <v>1</v>
      </c>
      <c r="CM118" s="3"/>
      <c r="CN118" s="1">
        <f t="shared" ca="1" si="110"/>
        <v>6.5212133388904192</v>
      </c>
      <c r="CO118" s="1">
        <f t="shared" ca="1" si="111"/>
        <v>0.35437157527697083</v>
      </c>
      <c r="CP118" s="1">
        <f t="shared" ca="1" si="112"/>
        <v>3</v>
      </c>
    </row>
    <row r="119" spans="2:94" x14ac:dyDescent="0.25">
      <c r="B119">
        <f t="shared" ca="1" si="57"/>
        <v>165</v>
      </c>
      <c r="C119">
        <f t="shared" ca="1" si="58"/>
        <v>40</v>
      </c>
      <c r="D119">
        <f t="shared" ca="1" si="59"/>
        <v>0.14438366297784705</v>
      </c>
      <c r="F119" s="1">
        <f t="shared" ca="1" si="60"/>
        <v>47</v>
      </c>
      <c r="G119" s="1">
        <f t="shared" ca="1" si="61"/>
        <v>23</v>
      </c>
      <c r="H119" s="1">
        <f t="shared" ca="1" si="62"/>
        <v>7</v>
      </c>
      <c r="I119" s="1"/>
      <c r="J119" s="1">
        <f t="shared" ca="1" si="63"/>
        <v>22</v>
      </c>
      <c r="K119" s="1">
        <f t="shared" ca="1" si="64"/>
        <v>1.2460560228833757</v>
      </c>
      <c r="L119" s="1">
        <f t="shared" ca="1" si="65"/>
        <v>27</v>
      </c>
      <c r="M119" s="1"/>
      <c r="N119" s="1">
        <f t="shared" ca="1" si="66"/>
        <v>893</v>
      </c>
      <c r="O119" s="1">
        <f t="shared" ca="1" si="67"/>
        <v>40</v>
      </c>
      <c r="P119" s="1"/>
      <c r="Q119" s="1">
        <f t="shared" ca="1" si="68"/>
        <v>4.6612831053150376</v>
      </c>
      <c r="R119" s="1">
        <f t="shared" ca="1" si="69"/>
        <v>366</v>
      </c>
      <c r="S119" s="1"/>
      <c r="T119" s="1">
        <f t="shared" ca="1" si="70"/>
        <v>0.1443013296229701</v>
      </c>
      <c r="U119" s="1">
        <f t="shared" ca="1" si="71"/>
        <v>395</v>
      </c>
      <c r="V119" s="1">
        <f t="shared" ca="1" si="72"/>
        <v>12</v>
      </c>
      <c r="W119" s="1"/>
      <c r="X119" s="1">
        <f t="shared" ca="1" si="73"/>
        <v>2.9306411236017009</v>
      </c>
      <c r="Y119" s="1">
        <f t="shared" ca="1" si="74"/>
        <v>0.45538723397865322</v>
      </c>
      <c r="Z119" s="1">
        <f t="shared" ca="1" si="75"/>
        <v>1243</v>
      </c>
      <c r="AB119" s="1">
        <f t="shared" ca="1" si="76"/>
        <v>8.1078970729740879E-2</v>
      </c>
      <c r="AC119" s="1">
        <f t="shared" ca="1" si="77"/>
        <v>842</v>
      </c>
      <c r="AD119" s="1">
        <f t="shared" ca="1" si="78"/>
        <v>2.6747284265920203E-3</v>
      </c>
      <c r="AE119" s="1"/>
      <c r="AF119" s="1">
        <f t="shared" ca="1" si="79"/>
        <v>0.81333599859042049</v>
      </c>
      <c r="AG119" s="1">
        <f t="shared" ca="1" si="80"/>
        <v>782</v>
      </c>
      <c r="AH119" s="1">
        <f t="shared" ca="1" si="81"/>
        <v>4.3537678666758298E-3</v>
      </c>
      <c r="AJ119" s="1">
        <f t="shared" ca="1" si="82"/>
        <v>0.26826530136689919</v>
      </c>
      <c r="AK119" s="1">
        <f t="shared" ca="1" si="83"/>
        <v>5.7488350628594215E-3</v>
      </c>
      <c r="AL119" s="1"/>
      <c r="AM119" s="1">
        <f t="shared" ca="1" si="84"/>
        <v>0.10642065821773432</v>
      </c>
      <c r="AN119" s="1">
        <f t="shared" ca="1" si="85"/>
        <v>28</v>
      </c>
      <c r="AO119" s="1">
        <f t="shared" ca="1" si="86"/>
        <v>15</v>
      </c>
      <c r="AQ119" s="1">
        <f t="shared" ca="1" si="87"/>
        <v>32</v>
      </c>
      <c r="AR119" s="1">
        <f t="shared" ca="1" si="88"/>
        <v>0</v>
      </c>
      <c r="AS119" s="1">
        <f t="shared" ca="1" si="89"/>
        <v>74</v>
      </c>
      <c r="AU119" s="1">
        <f t="shared" ca="1" si="90"/>
        <v>99</v>
      </c>
      <c r="AV119" s="1">
        <f t="shared" ca="1" si="91"/>
        <v>10</v>
      </c>
      <c r="AW119" s="1">
        <f t="shared" ca="1" si="92"/>
        <v>0.17313395950615007</v>
      </c>
      <c r="AY119" s="1">
        <f t="shared" ca="1" si="93"/>
        <v>1.5329859517041986</v>
      </c>
      <c r="AZ119" s="1">
        <f t="shared" ca="1" si="94"/>
        <v>425</v>
      </c>
      <c r="BA119" s="1">
        <f t="shared" ca="1" si="95"/>
        <v>5.9711900291444841E-3</v>
      </c>
      <c r="BV119" s="1">
        <f t="shared" ca="1" si="96"/>
        <v>0.89265553038366707</v>
      </c>
      <c r="BW119" s="1">
        <f t="shared" ca="1" si="97"/>
        <v>865</v>
      </c>
      <c r="BX119" s="1">
        <f t="shared" ca="1" si="98"/>
        <v>7.201515613270793E-3</v>
      </c>
      <c r="BY119" s="1">
        <f t="shared" ca="1" si="99"/>
        <v>7.4338705615840023E-2</v>
      </c>
      <c r="BZ119" s="1">
        <f t="shared" ca="1" si="100"/>
        <v>0.27555969140737779</v>
      </c>
      <c r="CB119" s="1">
        <f t="shared" ca="1" si="101"/>
        <v>337</v>
      </c>
      <c r="CC119" s="1">
        <f t="shared" ca="1" si="102"/>
        <v>14</v>
      </c>
      <c r="CD119" s="1">
        <f t="shared" ca="1" si="103"/>
        <v>0.10619926753455564</v>
      </c>
      <c r="CE119" s="1">
        <f t="shared" ca="1" si="113"/>
        <v>0.69865452669102868</v>
      </c>
      <c r="CF119" s="1">
        <f t="shared" ca="1" si="113"/>
        <v>0.82513319843314714</v>
      </c>
      <c r="CH119" s="3">
        <f t="shared" ca="1" si="105"/>
        <v>0.64608726247389436</v>
      </c>
      <c r="CI119" s="3">
        <f t="shared" ca="1" si="106"/>
        <v>7.6817217091895776E-2</v>
      </c>
      <c r="CJ119" s="3">
        <f t="shared" ca="1" si="107"/>
        <v>847</v>
      </c>
      <c r="CK119" s="3">
        <f t="shared" ca="1" si="108"/>
        <v>6.0728966023207015E-3</v>
      </c>
      <c r="CL119" s="3">
        <f t="shared" ca="1" si="109"/>
        <v>1</v>
      </c>
      <c r="CM119" s="3"/>
      <c r="CN119" s="1">
        <f t="shared" ca="1" si="110"/>
        <v>9.1452711931026798</v>
      </c>
      <c r="CO119" s="1">
        <f t="shared" ca="1" si="111"/>
        <v>2.6908440435372806E-2</v>
      </c>
      <c r="CP119" s="1">
        <f t="shared" ca="1" si="112"/>
        <v>4</v>
      </c>
    </row>
    <row r="120" spans="2:94" x14ac:dyDescent="0.25">
      <c r="B120">
        <f t="shared" ca="1" si="57"/>
        <v>86</v>
      </c>
      <c r="C120">
        <f t="shared" ca="1" si="58"/>
        <v>11</v>
      </c>
      <c r="D120">
        <f t="shared" ca="1" si="59"/>
        <v>0.10134423461250452</v>
      </c>
      <c r="F120" s="1">
        <f t="shared" ca="1" si="60"/>
        <v>12</v>
      </c>
      <c r="G120" s="1">
        <f t="shared" ca="1" si="61"/>
        <v>8</v>
      </c>
      <c r="H120" s="1">
        <f t="shared" ca="1" si="62"/>
        <v>15</v>
      </c>
      <c r="I120" s="1"/>
      <c r="J120" s="1">
        <f t="shared" ca="1" si="63"/>
        <v>14</v>
      </c>
      <c r="K120" s="1">
        <f t="shared" ca="1" si="64"/>
        <v>2.3118404762776326</v>
      </c>
      <c r="L120" s="1">
        <f t="shared" ca="1" si="65"/>
        <v>10</v>
      </c>
      <c r="M120" s="1"/>
      <c r="N120" s="1">
        <f t="shared" ca="1" si="66"/>
        <v>233</v>
      </c>
      <c r="O120" s="1">
        <f t="shared" ca="1" si="67"/>
        <v>16</v>
      </c>
      <c r="P120" s="1"/>
      <c r="Q120" s="1">
        <f t="shared" ca="1" si="68"/>
        <v>0.1090516969933891</v>
      </c>
      <c r="R120" s="1">
        <f t="shared" ca="1" si="69"/>
        <v>270</v>
      </c>
      <c r="S120" s="1"/>
      <c r="T120" s="1">
        <f t="shared" ca="1" si="70"/>
        <v>0.17741746559808391</v>
      </c>
      <c r="U120" s="1">
        <f t="shared" ca="1" si="71"/>
        <v>103</v>
      </c>
      <c r="V120" s="1">
        <f t="shared" ca="1" si="72"/>
        <v>16</v>
      </c>
      <c r="W120" s="1"/>
      <c r="X120" s="1">
        <f t="shared" ca="1" si="73"/>
        <v>7.8797805035111548</v>
      </c>
      <c r="Y120" s="1">
        <f t="shared" ca="1" si="74"/>
        <v>0.49872441709984272</v>
      </c>
      <c r="Z120" s="1">
        <f t="shared" ca="1" si="75"/>
        <v>568</v>
      </c>
      <c r="AB120" s="1">
        <f t="shared" ca="1" si="76"/>
        <v>0.82233187993827828</v>
      </c>
      <c r="AC120" s="1">
        <f t="shared" ca="1" si="77"/>
        <v>139</v>
      </c>
      <c r="AD120" s="1">
        <f t="shared" ca="1" si="78"/>
        <v>7.8036439421833269E-3</v>
      </c>
      <c r="AE120" s="1"/>
      <c r="AF120" s="1">
        <f t="shared" ca="1" si="79"/>
        <v>0.71738393337205342</v>
      </c>
      <c r="AG120" s="1">
        <f t="shared" ca="1" si="80"/>
        <v>418</v>
      </c>
      <c r="AH120" s="1">
        <f t="shared" ca="1" si="81"/>
        <v>7.4702621732824683E-3</v>
      </c>
      <c r="AJ120" s="1">
        <f t="shared" ca="1" si="82"/>
        <v>0.54060268355225027</v>
      </c>
      <c r="AK120" s="1">
        <f t="shared" ca="1" si="83"/>
        <v>8.9578692261577803E-3</v>
      </c>
      <c r="AL120" s="1"/>
      <c r="AM120" s="1">
        <f t="shared" ca="1" si="84"/>
        <v>6.8622202559766476E-2</v>
      </c>
      <c r="AN120" s="1">
        <f t="shared" ca="1" si="85"/>
        <v>28</v>
      </c>
      <c r="AO120" s="1">
        <f t="shared" ca="1" si="86"/>
        <v>5</v>
      </c>
      <c r="AQ120" s="1">
        <f t="shared" ca="1" si="87"/>
        <v>130</v>
      </c>
      <c r="AR120" s="1">
        <f t="shared" ca="1" si="88"/>
        <v>9</v>
      </c>
      <c r="AS120" s="1">
        <f t="shared" ca="1" si="89"/>
        <v>34</v>
      </c>
      <c r="AU120" s="1">
        <f t="shared" ca="1" si="90"/>
        <v>339</v>
      </c>
      <c r="AV120" s="1">
        <f t="shared" ca="1" si="91"/>
        <v>7</v>
      </c>
      <c r="AW120" s="1">
        <f t="shared" ca="1" si="92"/>
        <v>5.4958920273295749E-2</v>
      </c>
      <c r="AY120" s="1">
        <f t="shared" ca="1" si="93"/>
        <v>1.1544840182767353</v>
      </c>
      <c r="AZ120" s="1">
        <f t="shared" ca="1" si="94"/>
        <v>227</v>
      </c>
      <c r="BA120" s="1">
        <f t="shared" ca="1" si="95"/>
        <v>1.642800968860968E-3</v>
      </c>
      <c r="BV120" s="1">
        <f t="shared" ca="1" si="96"/>
        <v>0.53622729918997669</v>
      </c>
      <c r="BW120" s="1">
        <f t="shared" ca="1" si="97"/>
        <v>448</v>
      </c>
      <c r="BX120" s="1">
        <f t="shared" ca="1" si="98"/>
        <v>9.9051056387545171E-3</v>
      </c>
      <c r="BY120" s="1">
        <f t="shared" ca="1" si="99"/>
        <v>3.2134618264382839E-2</v>
      </c>
      <c r="BZ120" s="1">
        <f t="shared" ca="1" si="100"/>
        <v>0.94230238211764006</v>
      </c>
      <c r="CB120" s="1">
        <f t="shared" ca="1" si="101"/>
        <v>263</v>
      </c>
      <c r="CC120" s="1">
        <f t="shared" ca="1" si="102"/>
        <v>11</v>
      </c>
      <c r="CD120" s="1">
        <f t="shared" ca="1" si="103"/>
        <v>0.19397791540248535</v>
      </c>
      <c r="CE120" s="1">
        <f t="shared" ca="1" si="113"/>
        <v>0.5453857388475668</v>
      </c>
      <c r="CF120" s="1">
        <f t="shared" ca="1" si="113"/>
        <v>0.57025700697854742</v>
      </c>
      <c r="CH120" s="3">
        <f t="shared" ca="1" si="105"/>
        <v>0.72530650020875187</v>
      </c>
      <c r="CI120" s="3">
        <f t="shared" ca="1" si="106"/>
        <v>0.5468623736332322</v>
      </c>
      <c r="CJ120" s="3">
        <f t="shared" ca="1" si="107"/>
        <v>399</v>
      </c>
      <c r="CK120" s="3">
        <f t="shared" ca="1" si="108"/>
        <v>3.6204810332069598E-3</v>
      </c>
      <c r="CL120" s="3">
        <f t="shared" ca="1" si="109"/>
        <v>0</v>
      </c>
      <c r="CM120" s="3"/>
      <c r="CN120" s="1">
        <f t="shared" ca="1" si="110"/>
        <v>1.3308985526582209</v>
      </c>
      <c r="CO120" s="1">
        <f t="shared" ca="1" si="111"/>
        <v>0.35184186373903054</v>
      </c>
      <c r="CP120" s="1">
        <f t="shared" ca="1" si="112"/>
        <v>3</v>
      </c>
    </row>
    <row r="121" spans="2:94" x14ac:dyDescent="0.25">
      <c r="B121">
        <f t="shared" ca="1" si="57"/>
        <v>82</v>
      </c>
      <c r="C121">
        <f t="shared" ca="1" si="58"/>
        <v>36</v>
      </c>
      <c r="D121">
        <f t="shared" ca="1" si="59"/>
        <v>0.21828369334872369</v>
      </c>
      <c r="F121" s="1">
        <f t="shared" ca="1" si="60"/>
        <v>11</v>
      </c>
      <c r="G121" s="1">
        <f t="shared" ca="1" si="61"/>
        <v>6</v>
      </c>
      <c r="H121" s="1">
        <f t="shared" ca="1" si="62"/>
        <v>9</v>
      </c>
      <c r="I121" s="1"/>
      <c r="J121" s="1">
        <f t="shared" ca="1" si="63"/>
        <v>38</v>
      </c>
      <c r="K121" s="1">
        <f t="shared" ca="1" si="64"/>
        <v>1.1466644606534444</v>
      </c>
      <c r="L121" s="1">
        <f t="shared" ca="1" si="65"/>
        <v>33</v>
      </c>
      <c r="M121" s="1"/>
      <c r="N121" s="1">
        <f t="shared" ca="1" si="66"/>
        <v>798</v>
      </c>
      <c r="O121" s="1">
        <f t="shared" ca="1" si="67"/>
        <v>26</v>
      </c>
      <c r="P121" s="1"/>
      <c r="Q121" s="1">
        <f t="shared" ca="1" si="68"/>
        <v>1.438295806812371</v>
      </c>
      <c r="R121" s="1">
        <f t="shared" ca="1" si="69"/>
        <v>1029</v>
      </c>
      <c r="S121" s="1"/>
      <c r="T121" s="1">
        <f t="shared" ca="1" si="70"/>
        <v>5.2516534669193218E-2</v>
      </c>
      <c r="U121" s="1">
        <f t="shared" ca="1" si="71"/>
        <v>155</v>
      </c>
      <c r="V121" s="1">
        <f t="shared" ca="1" si="72"/>
        <v>45</v>
      </c>
      <c r="W121" s="1"/>
      <c r="X121" s="1">
        <f t="shared" ca="1" si="73"/>
        <v>8.3716647542755478</v>
      </c>
      <c r="Y121" s="1">
        <f t="shared" ca="1" si="74"/>
        <v>0.40852325194860994</v>
      </c>
      <c r="Z121" s="1">
        <f t="shared" ca="1" si="75"/>
        <v>728</v>
      </c>
      <c r="AB121" s="1">
        <f t="shared" ca="1" si="76"/>
        <v>1.5034399993678626E-2</v>
      </c>
      <c r="AC121" s="1">
        <f t="shared" ca="1" si="77"/>
        <v>151</v>
      </c>
      <c r="AD121" s="1">
        <f t="shared" ca="1" si="78"/>
        <v>4.8823051649235722E-3</v>
      </c>
      <c r="AE121" s="1"/>
      <c r="AF121" s="1">
        <f t="shared" ca="1" si="79"/>
        <v>0.87249351004424092</v>
      </c>
      <c r="AG121" s="1">
        <f t="shared" ca="1" si="80"/>
        <v>718</v>
      </c>
      <c r="AH121" s="1">
        <f t="shared" ca="1" si="81"/>
        <v>4.1341858700462457E-4</v>
      </c>
      <c r="AJ121" s="1">
        <f t="shared" ca="1" si="82"/>
        <v>7.9547704209483316E-2</v>
      </c>
      <c r="AK121" s="1">
        <f t="shared" ca="1" si="83"/>
        <v>8.80825826567312E-3</v>
      </c>
      <c r="AL121" s="1"/>
      <c r="AM121" s="1">
        <f t="shared" ca="1" si="84"/>
        <v>9.4445677155644725E-2</v>
      </c>
      <c r="AN121" s="1">
        <f t="shared" ca="1" si="85"/>
        <v>63</v>
      </c>
      <c r="AO121" s="1">
        <f t="shared" ca="1" si="86"/>
        <v>16</v>
      </c>
      <c r="AQ121" s="1">
        <f t="shared" ca="1" si="87"/>
        <v>38</v>
      </c>
      <c r="AR121" s="1">
        <f t="shared" ca="1" si="88"/>
        <v>8</v>
      </c>
      <c r="AS121" s="1">
        <f t="shared" ca="1" si="89"/>
        <v>44</v>
      </c>
      <c r="AU121" s="1">
        <f t="shared" ca="1" si="90"/>
        <v>148</v>
      </c>
      <c r="AV121" s="1">
        <f t="shared" ca="1" si="91"/>
        <v>7</v>
      </c>
      <c r="AW121" s="1">
        <f t="shared" ca="1" si="92"/>
        <v>0.17940674561723455</v>
      </c>
      <c r="AY121" s="1">
        <f t="shared" ca="1" si="93"/>
        <v>1.1467812041773282</v>
      </c>
      <c r="AZ121" s="1">
        <f t="shared" ca="1" si="94"/>
        <v>360</v>
      </c>
      <c r="BA121" s="1">
        <f t="shared" ca="1" si="95"/>
        <v>4.2205543508788005E-3</v>
      </c>
      <c r="BV121" s="1">
        <f t="shared" ca="1" si="96"/>
        <v>9.5231660864892487E-2</v>
      </c>
      <c r="BW121" s="1">
        <f t="shared" ca="1" si="97"/>
        <v>790</v>
      </c>
      <c r="BX121" s="1">
        <f t="shared" ca="1" si="98"/>
        <v>1.4307892105316593E-4</v>
      </c>
      <c r="BY121" s="1">
        <f t="shared" ca="1" si="99"/>
        <v>5.277878466931981E-2</v>
      </c>
      <c r="BZ121" s="1">
        <f t="shared" ca="1" si="100"/>
        <v>0.40489004890112179</v>
      </c>
      <c r="CB121" s="1">
        <f t="shared" ca="1" si="101"/>
        <v>113</v>
      </c>
      <c r="CC121" s="1">
        <f t="shared" ca="1" si="102"/>
        <v>9</v>
      </c>
      <c r="CD121" s="1">
        <f t="shared" ca="1" si="103"/>
        <v>0.120429479887126</v>
      </c>
      <c r="CE121" s="1">
        <f t="shared" ca="1" si="113"/>
        <v>0.53088939973608218</v>
      </c>
      <c r="CF121" s="1">
        <f t="shared" ca="1" si="113"/>
        <v>0.58891213086908856</v>
      </c>
      <c r="CH121" s="3">
        <f t="shared" ca="1" si="105"/>
        <v>0.25713180927987694</v>
      </c>
      <c r="CI121" s="3">
        <f t="shared" ca="1" si="106"/>
        <v>0.79824865800241906</v>
      </c>
      <c r="CJ121" s="3">
        <f t="shared" ca="1" si="107"/>
        <v>1690</v>
      </c>
      <c r="CK121" s="3">
        <f t="shared" ca="1" si="108"/>
        <v>5.1164573854000656E-3</v>
      </c>
      <c r="CL121" s="3">
        <f t="shared" ca="1" si="109"/>
        <v>1</v>
      </c>
      <c r="CM121" s="3"/>
      <c r="CN121" s="1">
        <f t="shared" ca="1" si="110"/>
        <v>12.900830006378403</v>
      </c>
      <c r="CO121" s="1">
        <f t="shared" ca="1" si="111"/>
        <v>9.8039392456722579E-3</v>
      </c>
      <c r="CP121" s="1">
        <f t="shared" ca="1" si="112"/>
        <v>4</v>
      </c>
    </row>
    <row r="122" spans="2:94" x14ac:dyDescent="0.25">
      <c r="B122">
        <f t="shared" ca="1" si="57"/>
        <v>770</v>
      </c>
      <c r="C122">
        <f t="shared" ca="1" si="58"/>
        <v>8</v>
      </c>
      <c r="D122">
        <f t="shared" ca="1" si="59"/>
        <v>0.26916526761624249</v>
      </c>
      <c r="F122" s="1">
        <f t="shared" ca="1" si="60"/>
        <v>39</v>
      </c>
      <c r="G122" s="1">
        <f t="shared" ca="1" si="61"/>
        <v>13</v>
      </c>
      <c r="H122" s="1">
        <f t="shared" ca="1" si="62"/>
        <v>11</v>
      </c>
      <c r="I122" s="1"/>
      <c r="J122" s="1">
        <f t="shared" ca="1" si="63"/>
        <v>7</v>
      </c>
      <c r="K122" s="1">
        <f t="shared" ca="1" si="64"/>
        <v>1.92514429425897</v>
      </c>
      <c r="L122" s="1">
        <f t="shared" ca="1" si="65"/>
        <v>23</v>
      </c>
      <c r="M122" s="1"/>
      <c r="N122" s="1">
        <f t="shared" ca="1" si="66"/>
        <v>635</v>
      </c>
      <c r="O122" s="1">
        <f t="shared" ca="1" si="67"/>
        <v>20</v>
      </c>
      <c r="P122" s="1"/>
      <c r="Q122" s="1">
        <f t="shared" ca="1" si="68"/>
        <v>3.9064712078026429</v>
      </c>
      <c r="R122" s="1">
        <f t="shared" ca="1" si="69"/>
        <v>306</v>
      </c>
      <c r="S122" s="1"/>
      <c r="T122" s="1">
        <f t="shared" ca="1" si="70"/>
        <v>0.15913007371621093</v>
      </c>
      <c r="U122" s="1">
        <f t="shared" ca="1" si="71"/>
        <v>186</v>
      </c>
      <c r="V122" s="1">
        <f t="shared" ca="1" si="72"/>
        <v>4</v>
      </c>
      <c r="W122" s="1"/>
      <c r="X122" s="1">
        <f t="shared" ca="1" si="73"/>
        <v>0.91198133105806856</v>
      </c>
      <c r="Y122" s="1">
        <f t="shared" ca="1" si="74"/>
        <v>0.52649932626757634</v>
      </c>
      <c r="Z122" s="1">
        <f t="shared" ca="1" si="75"/>
        <v>1847</v>
      </c>
      <c r="AB122" s="1">
        <f t="shared" ca="1" si="76"/>
        <v>0.28401383089815985</v>
      </c>
      <c r="AC122" s="1">
        <f t="shared" ca="1" si="77"/>
        <v>671</v>
      </c>
      <c r="AD122" s="1">
        <f t="shared" ca="1" si="78"/>
        <v>9.1898206322974883E-3</v>
      </c>
      <c r="AE122" s="1"/>
      <c r="AF122" s="1">
        <f t="shared" ca="1" si="79"/>
        <v>0.31943553450845796</v>
      </c>
      <c r="AG122" s="1">
        <f t="shared" ca="1" si="80"/>
        <v>331</v>
      </c>
      <c r="AH122" s="1">
        <f t="shared" ca="1" si="81"/>
        <v>5.7599557338560798E-3</v>
      </c>
      <c r="AJ122" s="1">
        <f t="shared" ca="1" si="82"/>
        <v>0.87859426300325749</v>
      </c>
      <c r="AK122" s="1">
        <f t="shared" ca="1" si="83"/>
        <v>9.8138879183952213E-3</v>
      </c>
      <c r="AL122" s="1"/>
      <c r="AM122" s="1">
        <f t="shared" ca="1" si="84"/>
        <v>0.13839095365509682</v>
      </c>
      <c r="AN122" s="1">
        <f t="shared" ca="1" si="85"/>
        <v>79</v>
      </c>
      <c r="AO122" s="1">
        <f t="shared" ca="1" si="86"/>
        <v>8</v>
      </c>
      <c r="AQ122" s="1">
        <f t="shared" ca="1" si="87"/>
        <v>58</v>
      </c>
      <c r="AR122" s="1">
        <f t="shared" ca="1" si="88"/>
        <v>9</v>
      </c>
      <c r="AS122" s="1">
        <f t="shared" ca="1" si="89"/>
        <v>4</v>
      </c>
      <c r="AU122" s="1">
        <f t="shared" ca="1" si="90"/>
        <v>364</v>
      </c>
      <c r="AV122" s="1">
        <f t="shared" ca="1" si="91"/>
        <v>4</v>
      </c>
      <c r="AW122" s="1">
        <f t="shared" ca="1" si="92"/>
        <v>0.11432280535037441</v>
      </c>
      <c r="AY122" s="1">
        <f t="shared" ca="1" si="93"/>
        <v>1.9295990695332543</v>
      </c>
      <c r="AZ122" s="1">
        <f t="shared" ca="1" si="94"/>
        <v>236</v>
      </c>
      <c r="BA122" s="1">
        <f t="shared" ca="1" si="95"/>
        <v>6.9876991805227617E-3</v>
      </c>
      <c r="BV122" s="1">
        <f t="shared" ca="1" si="96"/>
        <v>0.11953089196665505</v>
      </c>
      <c r="BW122" s="1">
        <f t="shared" ca="1" si="97"/>
        <v>890</v>
      </c>
      <c r="BX122" s="1">
        <f t="shared" ca="1" si="98"/>
        <v>9.1995701425793362E-3</v>
      </c>
      <c r="BY122" s="1">
        <f t="shared" ca="1" si="99"/>
        <v>1.008311276090189E-2</v>
      </c>
      <c r="BZ122" s="1">
        <f t="shared" ca="1" si="100"/>
        <v>0.99322784849461343</v>
      </c>
      <c r="CB122" s="1">
        <f t="shared" ca="1" si="101"/>
        <v>109</v>
      </c>
      <c r="CC122" s="1">
        <f t="shared" ca="1" si="102"/>
        <v>6</v>
      </c>
      <c r="CD122" s="1">
        <f t="shared" ca="1" si="103"/>
        <v>0.29197409588919393</v>
      </c>
      <c r="CE122" s="1">
        <f t="shared" ca="1" si="113"/>
        <v>0.59789017763882657</v>
      </c>
      <c r="CF122" s="1">
        <f t="shared" ca="1" si="113"/>
        <v>0.55070545313476293</v>
      </c>
      <c r="CH122" s="3">
        <f t="shared" ca="1" si="105"/>
        <v>0.69025952469838414</v>
      </c>
      <c r="CI122" s="3">
        <f t="shared" ca="1" si="106"/>
        <v>0.1050301895665303</v>
      </c>
      <c r="CJ122" s="3">
        <f t="shared" ca="1" si="107"/>
        <v>1940</v>
      </c>
      <c r="CK122" s="3">
        <f t="shared" ca="1" si="108"/>
        <v>8.8471395274413377E-4</v>
      </c>
      <c r="CL122" s="3">
        <f t="shared" ca="1" si="109"/>
        <v>1</v>
      </c>
      <c r="CM122" s="3"/>
      <c r="CN122" s="1">
        <f t="shared" ca="1" si="110"/>
        <v>7.9352774904671239</v>
      </c>
      <c r="CO122" s="1">
        <f t="shared" ca="1" si="111"/>
        <v>0.10104313214238</v>
      </c>
      <c r="CP122" s="1">
        <f t="shared" ca="1" si="112"/>
        <v>3</v>
      </c>
    </row>
    <row r="123" spans="2:94" x14ac:dyDescent="0.25">
      <c r="B123">
        <f t="shared" ca="1" si="57"/>
        <v>395</v>
      </c>
      <c r="C123">
        <f t="shared" ca="1" si="58"/>
        <v>23</v>
      </c>
      <c r="D123">
        <f t="shared" ca="1" si="59"/>
        <v>9.5268982843868394E-2</v>
      </c>
      <c r="F123" s="1">
        <f t="shared" ca="1" si="60"/>
        <v>35</v>
      </c>
      <c r="G123" s="1">
        <f t="shared" ca="1" si="61"/>
        <v>8</v>
      </c>
      <c r="H123" s="1">
        <f t="shared" ca="1" si="62"/>
        <v>10</v>
      </c>
      <c r="I123" s="1"/>
      <c r="J123" s="1">
        <f t="shared" ca="1" si="63"/>
        <v>26</v>
      </c>
      <c r="K123" s="1">
        <f t="shared" ca="1" si="64"/>
        <v>1.8495862418477214</v>
      </c>
      <c r="L123" s="1">
        <f t="shared" ca="1" si="65"/>
        <v>10</v>
      </c>
      <c r="M123" s="1"/>
      <c r="N123" s="1">
        <f t="shared" ca="1" si="66"/>
        <v>543</v>
      </c>
      <c r="O123" s="1">
        <f t="shared" ca="1" si="67"/>
        <v>47</v>
      </c>
      <c r="P123" s="1"/>
      <c r="Q123" s="1">
        <f t="shared" ca="1" si="68"/>
        <v>2.1182528664788349</v>
      </c>
      <c r="R123" s="1">
        <f t="shared" ca="1" si="69"/>
        <v>553</v>
      </c>
      <c r="S123" s="1"/>
      <c r="T123" s="1">
        <f t="shared" ca="1" si="70"/>
        <v>0.19247150092736004</v>
      </c>
      <c r="U123" s="1">
        <f t="shared" ca="1" si="71"/>
        <v>280</v>
      </c>
      <c r="V123" s="1">
        <f t="shared" ca="1" si="72"/>
        <v>12</v>
      </c>
      <c r="W123" s="1"/>
      <c r="X123" s="1">
        <f t="shared" ca="1" si="73"/>
        <v>9.5669350284655312</v>
      </c>
      <c r="Y123" s="1">
        <f t="shared" ca="1" si="74"/>
        <v>0.44105773526123299</v>
      </c>
      <c r="Z123" s="1">
        <f t="shared" ca="1" si="75"/>
        <v>763</v>
      </c>
      <c r="AB123" s="1">
        <f t="shared" ca="1" si="76"/>
        <v>0.70749399324982098</v>
      </c>
      <c r="AC123" s="1">
        <f t="shared" ca="1" si="77"/>
        <v>979</v>
      </c>
      <c r="AD123" s="1">
        <f t="shared" ca="1" si="78"/>
        <v>1.7751402695018398E-3</v>
      </c>
      <c r="AE123" s="1"/>
      <c r="AF123" s="1">
        <f t="shared" ca="1" si="79"/>
        <v>0.33932804161259816</v>
      </c>
      <c r="AG123" s="1">
        <f t="shared" ca="1" si="80"/>
        <v>897</v>
      </c>
      <c r="AH123" s="1">
        <f t="shared" ca="1" si="81"/>
        <v>3.0638017001597489E-3</v>
      </c>
      <c r="AJ123" s="1">
        <f t="shared" ca="1" si="82"/>
        <v>0.87560311479190289</v>
      </c>
      <c r="AK123" s="1">
        <f t="shared" ca="1" si="83"/>
        <v>8.6458810240905744E-3</v>
      </c>
      <c r="AL123" s="1"/>
      <c r="AM123" s="1">
        <f t="shared" ca="1" si="84"/>
        <v>0.13925597190219244</v>
      </c>
      <c r="AN123" s="1">
        <f t="shared" ca="1" si="85"/>
        <v>63</v>
      </c>
      <c r="AO123" s="1">
        <f t="shared" ca="1" si="86"/>
        <v>2</v>
      </c>
      <c r="AQ123" s="1">
        <f t="shared" ca="1" si="87"/>
        <v>193</v>
      </c>
      <c r="AR123" s="1">
        <f t="shared" ca="1" si="88"/>
        <v>2</v>
      </c>
      <c r="AS123" s="1">
        <f t="shared" ca="1" si="89"/>
        <v>45</v>
      </c>
      <c r="AU123" s="1">
        <f t="shared" ca="1" si="90"/>
        <v>270</v>
      </c>
      <c r="AV123" s="1">
        <f t="shared" ca="1" si="91"/>
        <v>6</v>
      </c>
      <c r="AW123" s="1">
        <f t="shared" ca="1" si="92"/>
        <v>6.0191940468515344E-2</v>
      </c>
      <c r="AY123" s="1">
        <f t="shared" ca="1" si="93"/>
        <v>1.1768992317844535</v>
      </c>
      <c r="AZ123" s="1">
        <f t="shared" ca="1" si="94"/>
        <v>327</v>
      </c>
      <c r="BA123" s="1">
        <f t="shared" ca="1" si="95"/>
        <v>8.7526666294790445E-3</v>
      </c>
      <c r="BV123" s="1">
        <f t="shared" ca="1" si="96"/>
        <v>0.98334210865273541</v>
      </c>
      <c r="BW123" s="1">
        <f t="shared" ca="1" si="97"/>
        <v>508</v>
      </c>
      <c r="BX123" s="1">
        <f t="shared" ca="1" si="98"/>
        <v>6.127580250442119E-3</v>
      </c>
      <c r="BY123" s="1">
        <f t="shared" ca="1" si="99"/>
        <v>6.9022928679558981E-3</v>
      </c>
      <c r="BZ123" s="1">
        <f t="shared" ca="1" si="100"/>
        <v>0.51936914038720905</v>
      </c>
      <c r="CB123" s="1">
        <f t="shared" ca="1" si="101"/>
        <v>121</v>
      </c>
      <c r="CC123" s="1">
        <f t="shared" ca="1" si="102"/>
        <v>10</v>
      </c>
      <c r="CD123" s="1">
        <f t="shared" ca="1" si="103"/>
        <v>3.8273780453775587E-2</v>
      </c>
      <c r="CE123" s="1">
        <f t="shared" ca="1" si="113"/>
        <v>0.91233687762186655</v>
      </c>
      <c r="CF123" s="1">
        <f t="shared" ca="1" si="113"/>
        <v>0.9714435725942232</v>
      </c>
      <c r="CH123" s="3">
        <f t="shared" ca="1" si="105"/>
        <v>0.65630470751786829</v>
      </c>
      <c r="CI123" s="3">
        <f t="shared" ca="1" si="106"/>
        <v>0.28775481720315693</v>
      </c>
      <c r="CJ123" s="3">
        <f t="shared" ca="1" si="107"/>
        <v>1864</v>
      </c>
      <c r="CK123" s="3">
        <f t="shared" ca="1" si="108"/>
        <v>2.8599913857081309E-3</v>
      </c>
      <c r="CL123" s="3">
        <f t="shared" ca="1" si="109"/>
        <v>0</v>
      </c>
      <c r="CM123" s="3"/>
      <c r="CN123" s="1">
        <f t="shared" ca="1" si="110"/>
        <v>7.2416244336637128</v>
      </c>
      <c r="CO123" s="1">
        <f t="shared" ca="1" si="111"/>
        <v>0.30529578483917025</v>
      </c>
      <c r="CP123" s="1">
        <f t="shared" ca="1" si="112"/>
        <v>2</v>
      </c>
    </row>
    <row r="124" spans="2:94" x14ac:dyDescent="0.25">
      <c r="B124">
        <f t="shared" ca="1" si="57"/>
        <v>321</v>
      </c>
      <c r="C124">
        <f t="shared" ca="1" si="58"/>
        <v>43</v>
      </c>
      <c r="D124">
        <f t="shared" ca="1" si="59"/>
        <v>7.1113675035893359E-2</v>
      </c>
      <c r="F124" s="1">
        <f t="shared" ca="1" si="60"/>
        <v>36</v>
      </c>
      <c r="G124" s="1">
        <f t="shared" ca="1" si="61"/>
        <v>11</v>
      </c>
      <c r="H124" s="1">
        <f t="shared" ca="1" si="62"/>
        <v>14</v>
      </c>
      <c r="I124" s="1"/>
      <c r="J124" s="1">
        <f t="shared" ca="1" si="63"/>
        <v>29</v>
      </c>
      <c r="K124" s="1">
        <f t="shared" ca="1" si="64"/>
        <v>1.5745109386339211</v>
      </c>
      <c r="L124" s="1">
        <f t="shared" ca="1" si="65"/>
        <v>21</v>
      </c>
      <c r="M124" s="1"/>
      <c r="N124" s="1">
        <f t="shared" ca="1" si="66"/>
        <v>167</v>
      </c>
      <c r="O124" s="1">
        <f t="shared" ca="1" si="67"/>
        <v>7</v>
      </c>
      <c r="P124" s="1"/>
      <c r="Q124" s="1">
        <f t="shared" ca="1" si="68"/>
        <v>3.2818272308884775</v>
      </c>
      <c r="R124" s="1">
        <f t="shared" ca="1" si="69"/>
        <v>1097</v>
      </c>
      <c r="S124" s="1"/>
      <c r="T124" s="1">
        <f t="shared" ca="1" si="70"/>
        <v>6.1439692105966927E-2</v>
      </c>
      <c r="U124" s="1">
        <f t="shared" ca="1" si="71"/>
        <v>349</v>
      </c>
      <c r="V124" s="1">
        <f t="shared" ca="1" si="72"/>
        <v>40</v>
      </c>
      <c r="W124" s="1"/>
      <c r="X124" s="1">
        <f t="shared" ca="1" si="73"/>
        <v>2.6047371271095767</v>
      </c>
      <c r="Y124" s="1">
        <f t="shared" ca="1" si="74"/>
        <v>0.90991107783926573</v>
      </c>
      <c r="Z124" s="1">
        <f t="shared" ca="1" si="75"/>
        <v>1346</v>
      </c>
      <c r="AB124" s="1">
        <f t="shared" ca="1" si="76"/>
        <v>0.82265673044617882</v>
      </c>
      <c r="AC124" s="1">
        <f t="shared" ca="1" si="77"/>
        <v>349</v>
      </c>
      <c r="AD124" s="1">
        <f t="shared" ca="1" si="78"/>
        <v>9.4307334991647462E-3</v>
      </c>
      <c r="AE124" s="1"/>
      <c r="AF124" s="1">
        <f t="shared" ca="1" si="79"/>
        <v>0.81135098633797564</v>
      </c>
      <c r="AG124" s="1">
        <f t="shared" ca="1" si="80"/>
        <v>939</v>
      </c>
      <c r="AH124" s="1">
        <f t="shared" ca="1" si="81"/>
        <v>7.4967801991959781E-3</v>
      </c>
      <c r="AJ124" s="1">
        <f t="shared" ca="1" si="82"/>
        <v>0.20922170529355655</v>
      </c>
      <c r="AK124" s="1">
        <f t="shared" ca="1" si="83"/>
        <v>7.1107114934816575E-4</v>
      </c>
      <c r="AL124" s="1"/>
      <c r="AM124" s="1">
        <f t="shared" ca="1" si="84"/>
        <v>0.19998035360620062</v>
      </c>
      <c r="AN124" s="1">
        <f t="shared" ca="1" si="85"/>
        <v>74</v>
      </c>
      <c r="AO124" s="1">
        <f t="shared" ca="1" si="86"/>
        <v>4</v>
      </c>
      <c r="AQ124" s="1">
        <f t="shared" ca="1" si="87"/>
        <v>12</v>
      </c>
      <c r="AR124" s="1">
        <f t="shared" ca="1" si="88"/>
        <v>7</v>
      </c>
      <c r="AS124" s="1">
        <f t="shared" ca="1" si="89"/>
        <v>91</v>
      </c>
      <c r="AU124" s="1">
        <f t="shared" ca="1" si="90"/>
        <v>288</v>
      </c>
      <c r="AV124" s="1">
        <f t="shared" ca="1" si="91"/>
        <v>6</v>
      </c>
      <c r="AW124" s="1">
        <f t="shared" ca="1" si="92"/>
        <v>9.7428343128398778E-2</v>
      </c>
      <c r="AY124" s="1">
        <f t="shared" ca="1" si="93"/>
        <v>1.1770234973207181</v>
      </c>
      <c r="AZ124" s="1">
        <f t="shared" ca="1" si="94"/>
        <v>129</v>
      </c>
      <c r="BA124" s="1">
        <f t="shared" ca="1" si="95"/>
        <v>4.7620417542923194E-3</v>
      </c>
      <c r="BV124" s="1">
        <f t="shared" ca="1" si="96"/>
        <v>0.12374411237380169</v>
      </c>
      <c r="BW124" s="1">
        <f t="shared" ca="1" si="97"/>
        <v>982</v>
      </c>
      <c r="BX124" s="1">
        <f t="shared" ca="1" si="98"/>
        <v>4.6167966022905025E-3</v>
      </c>
      <c r="BY124" s="1">
        <f t="shared" ca="1" si="99"/>
        <v>9.8176593924858738E-2</v>
      </c>
      <c r="BZ124" s="1">
        <f t="shared" ca="1" si="100"/>
        <v>0.64556916669320796</v>
      </c>
      <c r="CB124" s="1">
        <f t="shared" ca="1" si="101"/>
        <v>118</v>
      </c>
      <c r="CC124" s="1">
        <f t="shared" ca="1" si="102"/>
        <v>11</v>
      </c>
      <c r="CD124" s="1">
        <f t="shared" ca="1" si="103"/>
        <v>0.19703739833332148</v>
      </c>
      <c r="CE124" s="1">
        <f t="shared" ca="1" si="113"/>
        <v>0.67474148922771859</v>
      </c>
      <c r="CF124" s="1">
        <f t="shared" ca="1" si="113"/>
        <v>0.96460438095998091</v>
      </c>
      <c r="CH124" s="3">
        <f t="shared" ca="1" si="105"/>
        <v>0.63312144954156135</v>
      </c>
      <c r="CI124" s="3">
        <f t="shared" ca="1" si="106"/>
        <v>0.4213079895878904</v>
      </c>
      <c r="CJ124" s="3">
        <f t="shared" ca="1" si="107"/>
        <v>1954</v>
      </c>
      <c r="CK124" s="3">
        <f t="shared" ca="1" si="108"/>
        <v>1.4240149907243376E-3</v>
      </c>
      <c r="CL124" s="3">
        <f t="shared" ca="1" si="109"/>
        <v>0</v>
      </c>
      <c r="CM124" s="3"/>
      <c r="CN124" s="1">
        <f t="shared" ca="1" si="110"/>
        <v>15.642902665139685</v>
      </c>
      <c r="CO124" s="1">
        <f t="shared" ca="1" si="111"/>
        <v>0.48995286439758973</v>
      </c>
      <c r="CP124" s="1">
        <f t="shared" ca="1" si="112"/>
        <v>1</v>
      </c>
    </row>
    <row r="125" spans="2:94" x14ac:dyDescent="0.25">
      <c r="B125">
        <f t="shared" ca="1" si="57"/>
        <v>43</v>
      </c>
      <c r="C125">
        <f t="shared" ca="1" si="58"/>
        <v>11</v>
      </c>
      <c r="D125">
        <f t="shared" ca="1" si="59"/>
        <v>9.6376490573673146E-2</v>
      </c>
      <c r="F125" s="1">
        <f t="shared" ca="1" si="60"/>
        <v>20</v>
      </c>
      <c r="G125" s="1">
        <f t="shared" ca="1" si="61"/>
        <v>25</v>
      </c>
      <c r="H125" s="1">
        <f t="shared" ca="1" si="62"/>
        <v>11</v>
      </c>
      <c r="I125" s="1"/>
      <c r="J125" s="1">
        <f t="shared" ca="1" si="63"/>
        <v>21</v>
      </c>
      <c r="K125" s="1">
        <f t="shared" ca="1" si="64"/>
        <v>1.1294217420481356</v>
      </c>
      <c r="L125" s="1">
        <f t="shared" ca="1" si="65"/>
        <v>5</v>
      </c>
      <c r="M125" s="1"/>
      <c r="N125" s="1">
        <f t="shared" ca="1" si="66"/>
        <v>33</v>
      </c>
      <c r="O125" s="1">
        <f t="shared" ca="1" si="67"/>
        <v>37</v>
      </c>
      <c r="P125" s="1"/>
      <c r="Q125" s="1">
        <f t="shared" ca="1" si="68"/>
        <v>1.9036920444022365</v>
      </c>
      <c r="R125" s="1">
        <f t="shared" ca="1" si="69"/>
        <v>579</v>
      </c>
      <c r="S125" s="1"/>
      <c r="T125" s="1">
        <f t="shared" ca="1" si="70"/>
        <v>4.7516975875773367E-2</v>
      </c>
      <c r="U125" s="1">
        <f t="shared" ca="1" si="71"/>
        <v>100</v>
      </c>
      <c r="V125" s="1">
        <f t="shared" ca="1" si="72"/>
        <v>2</v>
      </c>
      <c r="W125" s="1"/>
      <c r="X125" s="1">
        <f t="shared" ca="1" si="73"/>
        <v>2.1247508551914871</v>
      </c>
      <c r="Y125" s="1">
        <f t="shared" ca="1" si="74"/>
        <v>0.32199649717276163</v>
      </c>
      <c r="Z125" s="1">
        <f t="shared" ca="1" si="75"/>
        <v>592</v>
      </c>
      <c r="AB125" s="1">
        <f t="shared" ca="1" si="76"/>
        <v>0.45648850774885463</v>
      </c>
      <c r="AC125" s="1">
        <f t="shared" ca="1" si="77"/>
        <v>973</v>
      </c>
      <c r="AD125" s="1">
        <f t="shared" ca="1" si="78"/>
        <v>6.0279626410888344E-3</v>
      </c>
      <c r="AE125" s="1"/>
      <c r="AF125" s="1">
        <f t="shared" ca="1" si="79"/>
        <v>0.42301887850602771</v>
      </c>
      <c r="AG125" s="1">
        <f t="shared" ca="1" si="80"/>
        <v>332</v>
      </c>
      <c r="AH125" s="1">
        <f t="shared" ca="1" si="81"/>
        <v>8.7901262977670199E-3</v>
      </c>
      <c r="AJ125" s="1">
        <f t="shared" ca="1" si="82"/>
        <v>0.45393011953011131</v>
      </c>
      <c r="AK125" s="1">
        <f t="shared" ca="1" si="83"/>
        <v>3.2165731031350776E-3</v>
      </c>
      <c r="AL125" s="1"/>
      <c r="AM125" s="1">
        <f t="shared" ca="1" si="84"/>
        <v>0.15456027007281606</v>
      </c>
      <c r="AN125" s="1">
        <f t="shared" ca="1" si="85"/>
        <v>70</v>
      </c>
      <c r="AO125" s="1">
        <f t="shared" ca="1" si="86"/>
        <v>4</v>
      </c>
      <c r="AQ125" s="1">
        <f t="shared" ca="1" si="87"/>
        <v>58</v>
      </c>
      <c r="AR125" s="1">
        <f t="shared" ca="1" si="88"/>
        <v>4</v>
      </c>
      <c r="AS125" s="1">
        <f t="shared" ca="1" si="89"/>
        <v>50</v>
      </c>
      <c r="AU125" s="1">
        <f t="shared" ca="1" si="90"/>
        <v>105</v>
      </c>
      <c r="AV125" s="1">
        <f t="shared" ca="1" si="91"/>
        <v>2</v>
      </c>
      <c r="AW125" s="1">
        <f t="shared" ca="1" si="92"/>
        <v>0.16847071380337883</v>
      </c>
      <c r="AY125" s="1">
        <f t="shared" ca="1" si="93"/>
        <v>1.2695028015688465</v>
      </c>
      <c r="AZ125" s="1">
        <f t="shared" ca="1" si="94"/>
        <v>204</v>
      </c>
      <c r="BA125" s="1">
        <f t="shared" ca="1" si="95"/>
        <v>8.8774044051384976E-3</v>
      </c>
      <c r="BV125" s="1">
        <f t="shared" ca="1" si="96"/>
        <v>0.364685211862112</v>
      </c>
      <c r="BW125" s="1">
        <f t="shared" ca="1" si="97"/>
        <v>294</v>
      </c>
      <c r="BX125" s="1">
        <f t="shared" ca="1" si="98"/>
        <v>7.6726151790109587E-3</v>
      </c>
      <c r="BY125" s="1">
        <f t="shared" ca="1" si="99"/>
        <v>2.0169481253102015E-2</v>
      </c>
      <c r="BZ125" s="1">
        <f t="shared" ca="1" si="100"/>
        <v>0.52818480113005228</v>
      </c>
      <c r="CB125" s="1">
        <f t="shared" ca="1" si="101"/>
        <v>460</v>
      </c>
      <c r="CC125" s="1">
        <f t="shared" ca="1" si="102"/>
        <v>12</v>
      </c>
      <c r="CD125" s="1">
        <f t="shared" ca="1" si="103"/>
        <v>0.19911043477514498</v>
      </c>
      <c r="CE125" s="1">
        <f t="shared" ca="1" si="113"/>
        <v>0.61999269811684554</v>
      </c>
      <c r="CF125" s="1">
        <f t="shared" ca="1" si="113"/>
        <v>0.74481501209633405</v>
      </c>
      <c r="CH125" s="3">
        <f t="shared" ca="1" si="105"/>
        <v>0.49225817131460753</v>
      </c>
      <c r="CI125" s="3">
        <f t="shared" ca="1" si="106"/>
        <v>0.27038561363620373</v>
      </c>
      <c r="CJ125" s="3">
        <f t="shared" ca="1" si="107"/>
        <v>414</v>
      </c>
      <c r="CK125" s="3">
        <f t="shared" ca="1" si="108"/>
        <v>7.7450397441554972E-3</v>
      </c>
      <c r="CL125" s="3">
        <f t="shared" ca="1" si="109"/>
        <v>1</v>
      </c>
      <c r="CM125" s="3"/>
      <c r="CN125" s="1">
        <f t="shared" ca="1" si="110"/>
        <v>14.149464227572031</v>
      </c>
      <c r="CO125" s="1">
        <f t="shared" ca="1" si="111"/>
        <v>0.35891522783308871</v>
      </c>
      <c r="CP125" s="1">
        <f t="shared" ca="1" si="112"/>
        <v>3</v>
      </c>
    </row>
    <row r="126" spans="2:94" x14ac:dyDescent="0.25">
      <c r="B126">
        <f t="shared" ca="1" si="57"/>
        <v>433</v>
      </c>
      <c r="C126">
        <f t="shared" ca="1" si="58"/>
        <v>42</v>
      </c>
      <c r="D126">
        <f t="shared" ca="1" si="59"/>
        <v>0.2368450701928638</v>
      </c>
      <c r="F126" s="1">
        <f t="shared" ca="1" si="60"/>
        <v>7</v>
      </c>
      <c r="G126" s="1">
        <f t="shared" ca="1" si="61"/>
        <v>26</v>
      </c>
      <c r="H126" s="1">
        <f t="shared" ca="1" si="62"/>
        <v>9</v>
      </c>
      <c r="I126" s="1"/>
      <c r="J126" s="1">
        <f t="shared" ca="1" si="63"/>
        <v>35</v>
      </c>
      <c r="K126" s="1">
        <f t="shared" ca="1" si="64"/>
        <v>2.3389939665124597</v>
      </c>
      <c r="L126" s="1">
        <f t="shared" ca="1" si="65"/>
        <v>22</v>
      </c>
      <c r="M126" s="1"/>
      <c r="N126" s="1">
        <f t="shared" ca="1" si="66"/>
        <v>725</v>
      </c>
      <c r="O126" s="1">
        <f t="shared" ca="1" si="67"/>
        <v>7</v>
      </c>
      <c r="P126" s="1"/>
      <c r="Q126" s="1">
        <f t="shared" ca="1" si="68"/>
        <v>1.382312644712433</v>
      </c>
      <c r="R126" s="1">
        <f t="shared" ca="1" si="69"/>
        <v>262</v>
      </c>
      <c r="S126" s="1"/>
      <c r="T126" s="1">
        <f t="shared" ca="1" si="70"/>
        <v>2.1332074556239734E-2</v>
      </c>
      <c r="U126" s="1">
        <f t="shared" ca="1" si="71"/>
        <v>434</v>
      </c>
      <c r="V126" s="1">
        <f t="shared" ca="1" si="72"/>
        <v>16</v>
      </c>
      <c r="W126" s="1"/>
      <c r="X126" s="1">
        <f t="shared" ca="1" si="73"/>
        <v>7.7658117568503906</v>
      </c>
      <c r="Y126" s="1">
        <f t="shared" ca="1" si="74"/>
        <v>0.27329958858079179</v>
      </c>
      <c r="Z126" s="1">
        <f t="shared" ca="1" si="75"/>
        <v>585</v>
      </c>
      <c r="AB126" s="1">
        <f t="shared" ca="1" si="76"/>
        <v>0.44982723563996446</v>
      </c>
      <c r="AC126" s="1">
        <f t="shared" ca="1" si="77"/>
        <v>412</v>
      </c>
      <c r="AD126" s="1">
        <f t="shared" ca="1" si="78"/>
        <v>1.5361910302616342E-3</v>
      </c>
      <c r="AE126" s="1"/>
      <c r="AF126" s="1">
        <f t="shared" ca="1" si="79"/>
        <v>0.6664089245141841</v>
      </c>
      <c r="AG126" s="1">
        <f t="shared" ca="1" si="80"/>
        <v>663</v>
      </c>
      <c r="AH126" s="1">
        <f t="shared" ca="1" si="81"/>
        <v>1.0437381026852125E-3</v>
      </c>
      <c r="AJ126" s="1">
        <f t="shared" ca="1" si="82"/>
        <v>0.99120199631028394</v>
      </c>
      <c r="AK126" s="1">
        <f t="shared" ca="1" si="83"/>
        <v>3.6342536731947153E-3</v>
      </c>
      <c r="AL126" s="1"/>
      <c r="AM126" s="1">
        <f t="shared" ca="1" si="84"/>
        <v>0.18552489305874553</v>
      </c>
      <c r="AN126" s="1">
        <f t="shared" ca="1" si="85"/>
        <v>27</v>
      </c>
      <c r="AO126" s="1">
        <f t="shared" ca="1" si="86"/>
        <v>15</v>
      </c>
      <c r="AQ126" s="1">
        <f t="shared" ca="1" si="87"/>
        <v>173</v>
      </c>
      <c r="AR126" s="1">
        <f t="shared" ca="1" si="88"/>
        <v>3</v>
      </c>
      <c r="AS126" s="1">
        <f t="shared" ca="1" si="89"/>
        <v>71</v>
      </c>
      <c r="AU126" s="1">
        <f t="shared" ca="1" si="90"/>
        <v>135</v>
      </c>
      <c r="AV126" s="1">
        <f t="shared" ca="1" si="91"/>
        <v>3</v>
      </c>
      <c r="AW126" s="1">
        <f t="shared" ca="1" si="92"/>
        <v>0.18004645618485127</v>
      </c>
      <c r="AY126" s="1">
        <f t="shared" ca="1" si="93"/>
        <v>1.2543834989744633</v>
      </c>
      <c r="AZ126" s="1">
        <f t="shared" ca="1" si="94"/>
        <v>235</v>
      </c>
      <c r="BA126" s="1">
        <f t="shared" ca="1" si="95"/>
        <v>7.8775038662299267E-4</v>
      </c>
      <c r="BV126" s="1">
        <f t="shared" ca="1" si="96"/>
        <v>0.36912268690836536</v>
      </c>
      <c r="BW126" s="1">
        <f t="shared" ca="1" si="97"/>
        <v>917</v>
      </c>
      <c r="BX126" s="1">
        <f t="shared" ca="1" si="98"/>
        <v>1.4847144273982947E-3</v>
      </c>
      <c r="BY126" s="1">
        <f t="shared" ca="1" si="99"/>
        <v>2.3236274602749477E-2</v>
      </c>
      <c r="BZ126" s="1">
        <f t="shared" ca="1" si="100"/>
        <v>0.31185275865843742</v>
      </c>
      <c r="CB126" s="1">
        <f t="shared" ca="1" si="101"/>
        <v>466</v>
      </c>
      <c r="CC126" s="1">
        <f t="shared" ca="1" si="102"/>
        <v>12</v>
      </c>
      <c r="CD126" s="1">
        <f t="shared" ca="1" si="103"/>
        <v>0.21891938027537516</v>
      </c>
      <c r="CE126" s="1">
        <f t="shared" ca="1" si="113"/>
        <v>0.82658998915872128</v>
      </c>
      <c r="CF126" s="1">
        <f t="shared" ca="1" si="113"/>
        <v>0.5649243932173027</v>
      </c>
      <c r="CH126" s="3">
        <f t="shared" ca="1" si="105"/>
        <v>0.5852006044614031</v>
      </c>
      <c r="CI126" s="3">
        <f t="shared" ca="1" si="106"/>
        <v>0.55304541897350046</v>
      </c>
      <c r="CJ126" s="3">
        <f t="shared" ca="1" si="107"/>
        <v>257</v>
      </c>
      <c r="CK126" s="3">
        <f t="shared" ca="1" si="108"/>
        <v>6.4677213847012111E-3</v>
      </c>
      <c r="CL126" s="3">
        <f t="shared" ca="1" si="109"/>
        <v>1</v>
      </c>
      <c r="CM126" s="3"/>
      <c r="CN126" s="1">
        <f t="shared" ca="1" si="110"/>
        <v>9.3314201436688577</v>
      </c>
      <c r="CO126" s="1">
        <f t="shared" ca="1" si="111"/>
        <v>0.25706390101033988</v>
      </c>
      <c r="CP126" s="1">
        <f t="shared" ca="1" si="112"/>
        <v>3</v>
      </c>
    </row>
    <row r="127" spans="2:94" x14ac:dyDescent="0.25">
      <c r="B127">
        <f t="shared" ca="1" si="57"/>
        <v>402</v>
      </c>
      <c r="C127">
        <f t="shared" ca="1" si="58"/>
        <v>47</v>
      </c>
      <c r="D127">
        <f t="shared" ca="1" si="59"/>
        <v>0.10487006376633957</v>
      </c>
      <c r="F127" s="1">
        <f t="shared" ca="1" si="60"/>
        <v>21</v>
      </c>
      <c r="G127" s="1">
        <f t="shared" ca="1" si="61"/>
        <v>19</v>
      </c>
      <c r="H127" s="1">
        <f t="shared" ca="1" si="62"/>
        <v>6</v>
      </c>
      <c r="I127" s="1"/>
      <c r="J127" s="1">
        <f t="shared" ca="1" si="63"/>
        <v>39</v>
      </c>
      <c r="K127" s="1">
        <f t="shared" ca="1" si="64"/>
        <v>2.6476772781070084</v>
      </c>
      <c r="L127" s="1">
        <f t="shared" ca="1" si="65"/>
        <v>19</v>
      </c>
      <c r="M127" s="1"/>
      <c r="N127" s="1">
        <f t="shared" ca="1" si="66"/>
        <v>779</v>
      </c>
      <c r="O127" s="1">
        <f t="shared" ca="1" si="67"/>
        <v>43</v>
      </c>
      <c r="P127" s="1"/>
      <c r="Q127" s="1">
        <f t="shared" ca="1" si="68"/>
        <v>1.1672677672226297</v>
      </c>
      <c r="R127" s="1">
        <f t="shared" ca="1" si="69"/>
        <v>1039</v>
      </c>
      <c r="S127" s="1"/>
      <c r="T127" s="1">
        <f t="shared" ca="1" si="70"/>
        <v>0.18514402939944177</v>
      </c>
      <c r="U127" s="1">
        <f t="shared" ca="1" si="71"/>
        <v>62</v>
      </c>
      <c r="V127" s="1">
        <f t="shared" ca="1" si="72"/>
        <v>45</v>
      </c>
      <c r="W127" s="1"/>
      <c r="X127" s="1">
        <f t="shared" ca="1" si="73"/>
        <v>6.8779721062727157</v>
      </c>
      <c r="Y127" s="1">
        <f t="shared" ca="1" si="74"/>
        <v>0.73146982356385926</v>
      </c>
      <c r="Z127" s="1">
        <f t="shared" ca="1" si="75"/>
        <v>783</v>
      </c>
      <c r="AB127" s="1">
        <f t="shared" ca="1" si="76"/>
        <v>0.5838898272009353</v>
      </c>
      <c r="AC127" s="1">
        <f t="shared" ca="1" si="77"/>
        <v>753</v>
      </c>
      <c r="AD127" s="1">
        <f t="shared" ca="1" si="78"/>
        <v>7.3671268719211558E-3</v>
      </c>
      <c r="AE127" s="1"/>
      <c r="AF127" s="1">
        <f t="shared" ca="1" si="79"/>
        <v>0.3486700500864548</v>
      </c>
      <c r="AG127" s="1">
        <f t="shared" ca="1" si="80"/>
        <v>767</v>
      </c>
      <c r="AH127" s="1">
        <f t="shared" ca="1" si="81"/>
        <v>9.2033734912156748E-3</v>
      </c>
      <c r="AJ127" s="1">
        <f t="shared" ca="1" si="82"/>
        <v>0.74631646772411653</v>
      </c>
      <c r="AK127" s="1">
        <f t="shared" ca="1" si="83"/>
        <v>4.6913367805667752E-3</v>
      </c>
      <c r="AL127" s="1"/>
      <c r="AM127" s="1">
        <f t="shared" ca="1" si="84"/>
        <v>0.10961039779613888</v>
      </c>
      <c r="AN127" s="1">
        <f t="shared" ca="1" si="85"/>
        <v>66</v>
      </c>
      <c r="AO127" s="1">
        <f t="shared" ca="1" si="86"/>
        <v>17</v>
      </c>
      <c r="AQ127" s="1">
        <f t="shared" ca="1" si="87"/>
        <v>53</v>
      </c>
      <c r="AR127" s="1">
        <f t="shared" ca="1" si="88"/>
        <v>10</v>
      </c>
      <c r="AS127" s="1">
        <f t="shared" ca="1" si="89"/>
        <v>71</v>
      </c>
      <c r="AU127" s="1">
        <f t="shared" ca="1" si="90"/>
        <v>382</v>
      </c>
      <c r="AV127" s="1">
        <f t="shared" ca="1" si="91"/>
        <v>5</v>
      </c>
      <c r="AW127" s="1">
        <f t="shared" ca="1" si="92"/>
        <v>0.13716846366353938</v>
      </c>
      <c r="AY127" s="1">
        <f t="shared" ca="1" si="93"/>
        <v>1.615422457201747</v>
      </c>
      <c r="AZ127" s="1">
        <f t="shared" ca="1" si="94"/>
        <v>410</v>
      </c>
      <c r="BA127" s="1">
        <f t="shared" ca="1" si="95"/>
        <v>3.3995680217068056E-3</v>
      </c>
      <c r="BV127" s="1">
        <f t="shared" ca="1" si="96"/>
        <v>3.9396439300724351E-4</v>
      </c>
      <c r="BW127" s="1">
        <f t="shared" ca="1" si="97"/>
        <v>726</v>
      </c>
      <c r="BX127" s="1">
        <f t="shared" ca="1" si="98"/>
        <v>6.5672854595136693E-3</v>
      </c>
      <c r="BY127" s="1">
        <f t="shared" ca="1" si="99"/>
        <v>2.9700958571958206E-2</v>
      </c>
      <c r="BZ127" s="1">
        <f t="shared" ca="1" si="100"/>
        <v>0.65840421788418779</v>
      </c>
      <c r="CB127" s="1">
        <f t="shared" ca="1" si="101"/>
        <v>450</v>
      </c>
      <c r="CC127" s="1">
        <f t="shared" ca="1" si="102"/>
        <v>7</v>
      </c>
      <c r="CD127" s="1">
        <f t="shared" ca="1" si="103"/>
        <v>0.11428123518476199</v>
      </c>
      <c r="CE127" s="1">
        <f t="shared" ca="1" si="113"/>
        <v>0.62518422343757329</v>
      </c>
      <c r="CF127" s="1">
        <f t="shared" ca="1" si="113"/>
        <v>0.57116543733427705</v>
      </c>
      <c r="CH127" s="3">
        <f t="shared" ca="1" si="105"/>
        <v>4.1844706291360889E-2</v>
      </c>
      <c r="CI127" s="3">
        <f t="shared" ca="1" si="106"/>
        <v>0.67593649697564673</v>
      </c>
      <c r="CJ127" s="3">
        <f t="shared" ca="1" si="107"/>
        <v>741</v>
      </c>
      <c r="CK127" s="3">
        <f t="shared" ca="1" si="108"/>
        <v>4.36482921094462E-3</v>
      </c>
      <c r="CL127" s="3">
        <f t="shared" ca="1" si="109"/>
        <v>0</v>
      </c>
      <c r="CM127" s="3"/>
      <c r="CN127" s="1">
        <f t="shared" ca="1" si="110"/>
        <v>6.9780013637923126</v>
      </c>
      <c r="CO127" s="1">
        <f t="shared" ca="1" si="111"/>
        <v>0.40079832777822744</v>
      </c>
      <c r="CP127" s="1">
        <f t="shared" ca="1" si="112"/>
        <v>4</v>
      </c>
    </row>
    <row r="128" spans="2:94" x14ac:dyDescent="0.25">
      <c r="B128">
        <f t="shared" ca="1" si="57"/>
        <v>514</v>
      </c>
      <c r="C128">
        <f t="shared" ca="1" si="58"/>
        <v>30</v>
      </c>
      <c r="D128">
        <f t="shared" ca="1" si="59"/>
        <v>4.2158100264257675E-2</v>
      </c>
      <c r="F128" s="1">
        <f t="shared" ca="1" si="60"/>
        <v>36</v>
      </c>
      <c r="G128" s="1">
        <f t="shared" ca="1" si="61"/>
        <v>29</v>
      </c>
      <c r="H128" s="1">
        <f t="shared" ca="1" si="62"/>
        <v>2</v>
      </c>
      <c r="I128" s="1"/>
      <c r="J128" s="1">
        <f t="shared" ca="1" si="63"/>
        <v>4</v>
      </c>
      <c r="K128" s="1">
        <f t="shared" ca="1" si="64"/>
        <v>2.7152175831084011</v>
      </c>
      <c r="L128" s="1">
        <f t="shared" ca="1" si="65"/>
        <v>11</v>
      </c>
      <c r="M128" s="1"/>
      <c r="N128" s="1">
        <f t="shared" ca="1" si="66"/>
        <v>33</v>
      </c>
      <c r="O128" s="1">
        <f t="shared" ca="1" si="67"/>
        <v>25</v>
      </c>
      <c r="P128" s="1"/>
      <c r="Q128" s="1">
        <f t="shared" ca="1" si="68"/>
        <v>4.7473857000000965</v>
      </c>
      <c r="R128" s="1">
        <f t="shared" ca="1" si="69"/>
        <v>1165</v>
      </c>
      <c r="S128" s="1"/>
      <c r="T128" s="1">
        <f t="shared" ca="1" si="70"/>
        <v>0.11251045457977556</v>
      </c>
      <c r="U128" s="1">
        <f t="shared" ca="1" si="71"/>
        <v>167</v>
      </c>
      <c r="V128" s="1">
        <f t="shared" ca="1" si="72"/>
        <v>32</v>
      </c>
      <c r="W128" s="1"/>
      <c r="X128" s="1">
        <f t="shared" ca="1" si="73"/>
        <v>4.8109861475220121</v>
      </c>
      <c r="Y128" s="1">
        <f t="shared" ca="1" si="74"/>
        <v>0.65131802501089942</v>
      </c>
      <c r="Z128" s="1">
        <f t="shared" ca="1" si="75"/>
        <v>1275</v>
      </c>
      <c r="AB128" s="1">
        <f t="shared" ca="1" si="76"/>
        <v>0.28916908438730243</v>
      </c>
      <c r="AC128" s="1">
        <f t="shared" ca="1" si="77"/>
        <v>422</v>
      </c>
      <c r="AD128" s="1">
        <f t="shared" ca="1" si="78"/>
        <v>1.5671579385997476E-3</v>
      </c>
      <c r="AE128" s="1"/>
      <c r="AF128" s="1">
        <f t="shared" ca="1" si="79"/>
        <v>0.50599428221151299</v>
      </c>
      <c r="AG128" s="1">
        <f t="shared" ca="1" si="80"/>
        <v>315</v>
      </c>
      <c r="AH128" s="1">
        <f t="shared" ca="1" si="81"/>
        <v>3.8049997569362176E-3</v>
      </c>
      <c r="AJ128" s="1">
        <f t="shared" ca="1" si="82"/>
        <v>0.60856054893828015</v>
      </c>
      <c r="AK128" s="1">
        <f t="shared" ca="1" si="83"/>
        <v>5.2468754547419609E-3</v>
      </c>
      <c r="AL128" s="1"/>
      <c r="AM128" s="1">
        <f t="shared" ca="1" si="84"/>
        <v>9.7637185921029671E-2</v>
      </c>
      <c r="AN128" s="1">
        <f t="shared" ca="1" si="85"/>
        <v>46</v>
      </c>
      <c r="AO128" s="1">
        <f t="shared" ca="1" si="86"/>
        <v>15</v>
      </c>
      <c r="AQ128" s="1">
        <f t="shared" ca="1" si="87"/>
        <v>81</v>
      </c>
      <c r="AR128" s="1">
        <f t="shared" ca="1" si="88"/>
        <v>7</v>
      </c>
      <c r="AS128" s="1">
        <f t="shared" ca="1" si="89"/>
        <v>49</v>
      </c>
      <c r="AU128" s="1">
        <f t="shared" ca="1" si="90"/>
        <v>387</v>
      </c>
      <c r="AV128" s="1">
        <f t="shared" ca="1" si="91"/>
        <v>2</v>
      </c>
      <c r="AW128" s="1">
        <f t="shared" ca="1" si="92"/>
        <v>2.6630103255200016E-2</v>
      </c>
      <c r="AY128" s="1">
        <f t="shared" ca="1" si="93"/>
        <v>1.9695293948596444</v>
      </c>
      <c r="AZ128" s="1">
        <f t="shared" ca="1" si="94"/>
        <v>108</v>
      </c>
      <c r="BA128" s="1">
        <f t="shared" ca="1" si="95"/>
        <v>9.8753384279843728E-3</v>
      </c>
      <c r="BV128" s="1">
        <f t="shared" ca="1" si="96"/>
        <v>0.42586335627155886</v>
      </c>
      <c r="BW128" s="1">
        <f t="shared" ca="1" si="97"/>
        <v>806</v>
      </c>
      <c r="BX128" s="1">
        <f t="shared" ca="1" si="98"/>
        <v>4.181275665481687E-3</v>
      </c>
      <c r="BY128" s="1">
        <f t="shared" ca="1" si="99"/>
        <v>6.4934350616079328E-2</v>
      </c>
      <c r="BZ128" s="1">
        <f t="shared" ca="1" si="100"/>
        <v>0.43681775812519497</v>
      </c>
      <c r="CB128" s="1">
        <f t="shared" ca="1" si="101"/>
        <v>330</v>
      </c>
      <c r="CC128" s="1">
        <f t="shared" ca="1" si="102"/>
        <v>10</v>
      </c>
      <c r="CD128" s="1">
        <f t="shared" ca="1" si="103"/>
        <v>0.25021845427915751</v>
      </c>
      <c r="CE128" s="1">
        <f t="shared" ca="1" si="113"/>
        <v>0.51906161744814061</v>
      </c>
      <c r="CF128" s="1">
        <f t="shared" ca="1" si="113"/>
        <v>0.83726016670983117</v>
      </c>
      <c r="CH128" s="3">
        <f t="shared" ca="1" si="105"/>
        <v>0.83667845273723673</v>
      </c>
      <c r="CI128" s="3">
        <f t="shared" ca="1" si="106"/>
        <v>0.50226971791508945</v>
      </c>
      <c r="CJ128" s="3">
        <f t="shared" ca="1" si="107"/>
        <v>276</v>
      </c>
      <c r="CK128" s="3">
        <f t="shared" ca="1" si="108"/>
        <v>3.5266211079481645E-3</v>
      </c>
      <c r="CL128" s="3">
        <f t="shared" ca="1" si="109"/>
        <v>1</v>
      </c>
      <c r="CM128" s="3"/>
      <c r="CN128" s="1">
        <f t="shared" ca="1" si="110"/>
        <v>2.8548298425733281</v>
      </c>
      <c r="CO128" s="1">
        <f t="shared" ca="1" si="111"/>
        <v>2.4638889099059254E-2</v>
      </c>
      <c r="CP128" s="1">
        <f t="shared" ca="1" si="112"/>
        <v>3</v>
      </c>
    </row>
    <row r="129" spans="2:94" x14ac:dyDescent="0.25">
      <c r="B129">
        <f t="shared" ca="1" si="57"/>
        <v>611</v>
      </c>
      <c r="C129">
        <f t="shared" ca="1" si="58"/>
        <v>52</v>
      </c>
      <c r="D129">
        <f t="shared" ca="1" si="59"/>
        <v>0.26556458852173298</v>
      </c>
      <c r="F129" s="1">
        <f t="shared" ca="1" si="60"/>
        <v>39</v>
      </c>
      <c r="G129" s="1">
        <f t="shared" ca="1" si="61"/>
        <v>11</v>
      </c>
      <c r="H129" s="1">
        <f t="shared" ca="1" si="62"/>
        <v>4</v>
      </c>
      <c r="I129" s="1"/>
      <c r="J129" s="1">
        <f t="shared" ca="1" si="63"/>
        <v>39</v>
      </c>
      <c r="K129" s="1">
        <f t="shared" ca="1" si="64"/>
        <v>1.1363323219801256</v>
      </c>
      <c r="L129" s="1">
        <f t="shared" ca="1" si="65"/>
        <v>19</v>
      </c>
      <c r="M129" s="1"/>
      <c r="N129" s="1">
        <f t="shared" ca="1" si="66"/>
        <v>841</v>
      </c>
      <c r="O129" s="1">
        <f t="shared" ca="1" si="67"/>
        <v>2</v>
      </c>
      <c r="P129" s="1"/>
      <c r="Q129" s="1">
        <f t="shared" ca="1" si="68"/>
        <v>1.0563260140176771</v>
      </c>
      <c r="R129" s="1">
        <f t="shared" ca="1" si="69"/>
        <v>1080</v>
      </c>
      <c r="S129" s="1"/>
      <c r="T129" s="1">
        <f t="shared" ca="1" si="70"/>
        <v>9.5095933622290449E-2</v>
      </c>
      <c r="U129" s="1">
        <f t="shared" ca="1" si="71"/>
        <v>53</v>
      </c>
      <c r="V129" s="1">
        <f t="shared" ca="1" si="72"/>
        <v>43</v>
      </c>
      <c r="W129" s="1"/>
      <c r="X129" s="1">
        <f t="shared" ca="1" si="73"/>
        <v>5.0382614726599648</v>
      </c>
      <c r="Y129" s="1">
        <f t="shared" ca="1" si="74"/>
        <v>0.54927098888991899</v>
      </c>
      <c r="Z129" s="1">
        <f t="shared" ca="1" si="75"/>
        <v>1556</v>
      </c>
      <c r="AB129" s="1">
        <f t="shared" ca="1" si="76"/>
        <v>0.92690636919560421</v>
      </c>
      <c r="AC129" s="1">
        <f t="shared" ca="1" si="77"/>
        <v>487</v>
      </c>
      <c r="AD129" s="1">
        <f t="shared" ca="1" si="78"/>
        <v>7.1739677699041019E-4</v>
      </c>
      <c r="AE129" s="1"/>
      <c r="AF129" s="1">
        <f t="shared" ca="1" si="79"/>
        <v>0.21242662028782952</v>
      </c>
      <c r="AG129" s="1">
        <f t="shared" ca="1" si="80"/>
        <v>601</v>
      </c>
      <c r="AH129" s="1">
        <f t="shared" ca="1" si="81"/>
        <v>6.0161182985534085E-3</v>
      </c>
      <c r="AJ129" s="1">
        <f t="shared" ca="1" si="82"/>
        <v>0.33648696325579575</v>
      </c>
      <c r="AK129" s="1">
        <f t="shared" ca="1" si="83"/>
        <v>9.3722013647553736E-3</v>
      </c>
      <c r="AL129" s="1"/>
      <c r="AM129" s="1">
        <f t="shared" ca="1" si="84"/>
        <v>9.6610137421771478E-2</v>
      </c>
      <c r="AN129" s="1">
        <f t="shared" ca="1" si="85"/>
        <v>50</v>
      </c>
      <c r="AO129" s="1">
        <f t="shared" ca="1" si="86"/>
        <v>5</v>
      </c>
      <c r="AQ129" s="1">
        <f t="shared" ca="1" si="87"/>
        <v>143</v>
      </c>
      <c r="AR129" s="1">
        <f t="shared" ca="1" si="88"/>
        <v>1</v>
      </c>
      <c r="AS129" s="1">
        <f t="shared" ca="1" si="89"/>
        <v>48</v>
      </c>
      <c r="AU129" s="1">
        <f t="shared" ca="1" si="90"/>
        <v>290</v>
      </c>
      <c r="AV129" s="1">
        <f t="shared" ca="1" si="91"/>
        <v>4</v>
      </c>
      <c r="AW129" s="1">
        <f t="shared" ca="1" si="92"/>
        <v>0.13097446152865977</v>
      </c>
      <c r="AY129" s="1">
        <f t="shared" ca="1" si="93"/>
        <v>1.4723166474872906</v>
      </c>
      <c r="AZ129" s="1">
        <f t="shared" ca="1" si="94"/>
        <v>185</v>
      </c>
      <c r="BA129" s="1">
        <f t="shared" ca="1" si="95"/>
        <v>8.4154989799446137E-3</v>
      </c>
      <c r="BV129" s="1">
        <f t="shared" ca="1" si="96"/>
        <v>0.152481950501797</v>
      </c>
      <c r="BW129" s="1">
        <f t="shared" ca="1" si="97"/>
        <v>270</v>
      </c>
      <c r="BX129" s="1">
        <f t="shared" ca="1" si="98"/>
        <v>7.9038564720104818E-3</v>
      </c>
      <c r="BY129" s="1">
        <f t="shared" ca="1" si="99"/>
        <v>3.4467381231240685E-2</v>
      </c>
      <c r="BZ129" s="1">
        <f t="shared" ca="1" si="100"/>
        <v>0.34330896111505504</v>
      </c>
      <c r="CB129" s="1">
        <f t="shared" ca="1" si="101"/>
        <v>163</v>
      </c>
      <c r="CC129" s="1">
        <f t="shared" ca="1" si="102"/>
        <v>4</v>
      </c>
      <c r="CD129" s="1">
        <f t="shared" ca="1" si="103"/>
        <v>0.28514340871106902</v>
      </c>
      <c r="CE129" s="1">
        <f t="shared" ca="1" si="113"/>
        <v>0.67048370447102235</v>
      </c>
      <c r="CF129" s="1">
        <f t="shared" ca="1" si="113"/>
        <v>0.73268196280259956</v>
      </c>
      <c r="CH129" s="3">
        <f t="shared" ca="1" si="105"/>
        <v>0.18018683509765607</v>
      </c>
      <c r="CI129" s="3">
        <f t="shared" ca="1" si="106"/>
        <v>0.7204125391791707</v>
      </c>
      <c r="CJ129" s="3">
        <f t="shared" ca="1" si="107"/>
        <v>279</v>
      </c>
      <c r="CK129" s="3">
        <f t="shared" ca="1" si="108"/>
        <v>4.6520174224911988E-3</v>
      </c>
      <c r="CL129" s="3">
        <f t="shared" ca="1" si="109"/>
        <v>1</v>
      </c>
      <c r="CM129" s="3"/>
      <c r="CN129" s="1">
        <f t="shared" ca="1" si="110"/>
        <v>18.388343848609843</v>
      </c>
      <c r="CO129" s="1">
        <f t="shared" ca="1" si="111"/>
        <v>0.19519829901636623</v>
      </c>
      <c r="CP129" s="1">
        <f t="shared" ca="1" si="112"/>
        <v>1</v>
      </c>
    </row>
    <row r="130" spans="2:94" x14ac:dyDescent="0.25">
      <c r="B130">
        <f t="shared" ca="1" si="57"/>
        <v>401</v>
      </c>
      <c r="C130">
        <f t="shared" ca="1" si="58"/>
        <v>10</v>
      </c>
      <c r="D130">
        <f t="shared" ca="1" si="59"/>
        <v>0.2793055076526117</v>
      </c>
      <c r="F130" s="1">
        <f t="shared" ca="1" si="60"/>
        <v>30</v>
      </c>
      <c r="G130" s="1">
        <f t="shared" ca="1" si="61"/>
        <v>19</v>
      </c>
      <c r="H130" s="1">
        <f t="shared" ca="1" si="62"/>
        <v>14</v>
      </c>
      <c r="I130" s="1"/>
      <c r="J130" s="1">
        <f t="shared" ca="1" si="63"/>
        <v>20</v>
      </c>
      <c r="K130" s="1">
        <f t="shared" ca="1" si="64"/>
        <v>1.5782705336181753</v>
      </c>
      <c r="L130" s="1">
        <f t="shared" ca="1" si="65"/>
        <v>34</v>
      </c>
      <c r="M130" s="1"/>
      <c r="N130" s="1">
        <f t="shared" ca="1" si="66"/>
        <v>84</v>
      </c>
      <c r="O130" s="1">
        <f t="shared" ca="1" si="67"/>
        <v>10</v>
      </c>
      <c r="P130" s="1"/>
      <c r="Q130" s="1">
        <f t="shared" ca="1" si="68"/>
        <v>0.37295835155684604</v>
      </c>
      <c r="R130" s="1">
        <f t="shared" ca="1" si="69"/>
        <v>230</v>
      </c>
      <c r="S130" s="1"/>
      <c r="T130" s="1">
        <f t="shared" ca="1" si="70"/>
        <v>0.14899798547632737</v>
      </c>
      <c r="U130" s="1">
        <f t="shared" ca="1" si="71"/>
        <v>91</v>
      </c>
      <c r="V130" s="1">
        <f t="shared" ca="1" si="72"/>
        <v>3</v>
      </c>
      <c r="W130" s="1"/>
      <c r="X130" s="1">
        <f t="shared" ca="1" si="73"/>
        <v>8.3323121435825662</v>
      </c>
      <c r="Y130" s="1">
        <f t="shared" ca="1" si="74"/>
        <v>0.64102278203831486</v>
      </c>
      <c r="Z130" s="1">
        <f t="shared" ca="1" si="75"/>
        <v>712</v>
      </c>
      <c r="AB130" s="1">
        <f t="shared" ca="1" si="76"/>
        <v>0.66512021634898988</v>
      </c>
      <c r="AC130" s="1">
        <f t="shared" ca="1" si="77"/>
        <v>332</v>
      </c>
      <c r="AD130" s="1">
        <f t="shared" ca="1" si="78"/>
        <v>4.5428966658093472E-3</v>
      </c>
      <c r="AE130" s="1"/>
      <c r="AF130" s="1">
        <f t="shared" ca="1" si="79"/>
        <v>0.28267920474096614</v>
      </c>
      <c r="AG130" s="1">
        <f t="shared" ca="1" si="80"/>
        <v>765</v>
      </c>
      <c r="AH130" s="1">
        <f t="shared" ca="1" si="81"/>
        <v>2.8228843525080053E-3</v>
      </c>
      <c r="AJ130" s="1">
        <f t="shared" ca="1" si="82"/>
        <v>0.39259222743145095</v>
      </c>
      <c r="AK130" s="1">
        <f t="shared" ca="1" si="83"/>
        <v>1.080977537234015E-3</v>
      </c>
      <c r="AL130" s="1"/>
      <c r="AM130" s="1">
        <f t="shared" ca="1" si="84"/>
        <v>0.18909234215903051</v>
      </c>
      <c r="AN130" s="1">
        <f t="shared" ca="1" si="85"/>
        <v>32</v>
      </c>
      <c r="AO130" s="1">
        <f t="shared" ca="1" si="86"/>
        <v>9</v>
      </c>
      <c r="AQ130" s="1">
        <f t="shared" ca="1" si="87"/>
        <v>85</v>
      </c>
      <c r="AR130" s="1">
        <f t="shared" ca="1" si="88"/>
        <v>4</v>
      </c>
      <c r="AS130" s="1">
        <f t="shared" ca="1" si="89"/>
        <v>98</v>
      </c>
      <c r="AU130" s="1">
        <f t="shared" ca="1" si="90"/>
        <v>247</v>
      </c>
      <c r="AV130" s="1">
        <f t="shared" ca="1" si="91"/>
        <v>6</v>
      </c>
      <c r="AW130" s="1">
        <f t="shared" ca="1" si="92"/>
        <v>0.10940857670232002</v>
      </c>
      <c r="AY130" s="1">
        <f t="shared" ca="1" si="93"/>
        <v>1.3306994337639815</v>
      </c>
      <c r="AZ130" s="1">
        <f t="shared" ca="1" si="94"/>
        <v>435</v>
      </c>
      <c r="BA130" s="1">
        <f t="shared" ca="1" si="95"/>
        <v>4.3300808953789828E-3</v>
      </c>
      <c r="BV130" s="1">
        <f t="shared" ca="1" si="96"/>
        <v>0.71674661695217246</v>
      </c>
      <c r="BW130" s="1">
        <f t="shared" ca="1" si="97"/>
        <v>797</v>
      </c>
      <c r="BX130" s="1">
        <f t="shared" ca="1" si="98"/>
        <v>1.9121802908304403E-3</v>
      </c>
      <c r="BY130" s="1">
        <f t="shared" ca="1" si="99"/>
        <v>4.867184893759692E-2</v>
      </c>
      <c r="BZ130" s="1">
        <f t="shared" ca="1" si="100"/>
        <v>0.3376715752080357</v>
      </c>
      <c r="CB130" s="1">
        <f t="shared" ca="1" si="101"/>
        <v>424</v>
      </c>
      <c r="CC130" s="1">
        <f t="shared" ca="1" si="102"/>
        <v>10</v>
      </c>
      <c r="CD130" s="1">
        <f t="shared" ca="1" si="103"/>
        <v>0.15212982913639142</v>
      </c>
      <c r="CE130" s="1">
        <f t="shared" ca="1" si="113"/>
        <v>0.97563560424053564</v>
      </c>
      <c r="CF130" s="1">
        <f t="shared" ca="1" si="113"/>
        <v>0.97606714007744078</v>
      </c>
      <c r="CH130" s="3">
        <f t="shared" ca="1" si="105"/>
        <v>0.15580160436516075</v>
      </c>
      <c r="CI130" s="3">
        <f t="shared" ca="1" si="106"/>
        <v>0.88745330577192827</v>
      </c>
      <c r="CJ130" s="3">
        <f t="shared" ca="1" si="107"/>
        <v>239</v>
      </c>
      <c r="CK130" s="3">
        <f t="shared" ca="1" si="108"/>
        <v>8.9893019281810549E-4</v>
      </c>
      <c r="CL130" s="3">
        <f t="shared" ca="1" si="109"/>
        <v>0</v>
      </c>
      <c r="CM130" s="3"/>
      <c r="CN130" s="1">
        <f t="shared" ca="1" si="110"/>
        <v>6.5972314804438357</v>
      </c>
      <c r="CO130" s="1">
        <f t="shared" ca="1" si="111"/>
        <v>0.34527515527186597</v>
      </c>
      <c r="CP130" s="1">
        <f t="shared" ca="1" si="112"/>
        <v>2</v>
      </c>
    </row>
    <row r="131" spans="2:94" x14ac:dyDescent="0.25">
      <c r="B131">
        <f t="shared" ca="1" si="57"/>
        <v>992</v>
      </c>
      <c r="C131">
        <f t="shared" ca="1" si="58"/>
        <v>19</v>
      </c>
      <c r="D131">
        <f t="shared" ca="1" si="59"/>
        <v>0.28748919073142004</v>
      </c>
      <c r="F131" s="1">
        <f t="shared" ca="1" si="60"/>
        <v>15</v>
      </c>
      <c r="G131" s="1">
        <f t="shared" ca="1" si="61"/>
        <v>6</v>
      </c>
      <c r="H131" s="1">
        <f t="shared" ca="1" si="62"/>
        <v>6</v>
      </c>
      <c r="I131" s="1"/>
      <c r="J131" s="1">
        <f t="shared" ca="1" si="63"/>
        <v>19</v>
      </c>
      <c r="K131" s="1">
        <f t="shared" ca="1" si="64"/>
        <v>1.2231240844092597</v>
      </c>
      <c r="L131" s="1">
        <f t="shared" ca="1" si="65"/>
        <v>22</v>
      </c>
      <c r="M131" s="1"/>
      <c r="N131" s="1">
        <f t="shared" ca="1" si="66"/>
        <v>591</v>
      </c>
      <c r="O131" s="1">
        <f t="shared" ca="1" si="67"/>
        <v>17</v>
      </c>
      <c r="P131" s="1"/>
      <c r="Q131" s="1">
        <f t="shared" ca="1" si="68"/>
        <v>4.0201826982865194</v>
      </c>
      <c r="R131" s="1">
        <f t="shared" ca="1" si="69"/>
        <v>257</v>
      </c>
      <c r="S131" s="1"/>
      <c r="T131" s="1">
        <f t="shared" ca="1" si="70"/>
        <v>9.5111982321166549E-2</v>
      </c>
      <c r="U131" s="1">
        <f t="shared" ca="1" si="71"/>
        <v>212</v>
      </c>
      <c r="V131" s="1">
        <f t="shared" ca="1" si="72"/>
        <v>39</v>
      </c>
      <c r="W131" s="1"/>
      <c r="X131" s="1">
        <f t="shared" ca="1" si="73"/>
        <v>0.40766880736690636</v>
      </c>
      <c r="Y131" s="1">
        <f t="shared" ca="1" si="74"/>
        <v>0.96949857083372182</v>
      </c>
      <c r="Z131" s="1">
        <f t="shared" ca="1" si="75"/>
        <v>1452</v>
      </c>
      <c r="AB131" s="1">
        <f t="shared" ca="1" si="76"/>
        <v>0.84546640293733422</v>
      </c>
      <c r="AC131" s="1">
        <f t="shared" ca="1" si="77"/>
        <v>719</v>
      </c>
      <c r="AD131" s="1">
        <f t="shared" ca="1" si="78"/>
        <v>3.9234788244894604E-3</v>
      </c>
      <c r="AE131" s="1"/>
      <c r="AF131" s="1">
        <f t="shared" ca="1" si="79"/>
        <v>0.72263447864627384</v>
      </c>
      <c r="AG131" s="1">
        <f t="shared" ca="1" si="80"/>
        <v>160</v>
      </c>
      <c r="AH131" s="1">
        <f t="shared" ca="1" si="81"/>
        <v>2.610987085116204E-3</v>
      </c>
      <c r="AJ131" s="1">
        <f t="shared" ca="1" si="82"/>
        <v>0.31568269861590537</v>
      </c>
      <c r="AK131" s="1">
        <f t="shared" ca="1" si="83"/>
        <v>4.7734411823605726E-3</v>
      </c>
      <c r="AL131" s="1"/>
      <c r="AM131" s="1">
        <f t="shared" ca="1" si="84"/>
        <v>7.7493036392880937E-2</v>
      </c>
      <c r="AN131" s="1">
        <f t="shared" ca="1" si="85"/>
        <v>12</v>
      </c>
      <c r="AO131" s="1">
        <f t="shared" ca="1" si="86"/>
        <v>12</v>
      </c>
      <c r="AQ131" s="1">
        <f t="shared" ca="1" si="87"/>
        <v>155</v>
      </c>
      <c r="AR131" s="1">
        <f t="shared" ca="1" si="88"/>
        <v>0</v>
      </c>
      <c r="AS131" s="1">
        <f t="shared" ca="1" si="89"/>
        <v>9</v>
      </c>
      <c r="AU131" s="1">
        <f t="shared" ca="1" si="90"/>
        <v>169</v>
      </c>
      <c r="AV131" s="1">
        <f t="shared" ca="1" si="91"/>
        <v>9</v>
      </c>
      <c r="AW131" s="1">
        <f t="shared" ca="1" si="92"/>
        <v>1.7534573313397049E-2</v>
      </c>
      <c r="AY131" s="1">
        <f t="shared" ca="1" si="93"/>
        <v>1.563821241723637</v>
      </c>
      <c r="AZ131" s="1">
        <f t="shared" ca="1" si="94"/>
        <v>433</v>
      </c>
      <c r="BA131" s="1">
        <f t="shared" ca="1" si="95"/>
        <v>7.5933020965314102E-3</v>
      </c>
      <c r="BV131" s="1">
        <f t="shared" ca="1" si="96"/>
        <v>0.59153442741968698</v>
      </c>
      <c r="BW131" s="1">
        <f t="shared" ca="1" si="97"/>
        <v>623</v>
      </c>
      <c r="BX131" s="1">
        <f t="shared" ca="1" si="98"/>
        <v>5.2030123412620413E-4</v>
      </c>
      <c r="BY131" s="1">
        <f t="shared" ca="1" si="99"/>
        <v>9.9916325360478356E-2</v>
      </c>
      <c r="BZ131" s="1">
        <f t="shared" ca="1" si="100"/>
        <v>0.4503455509600498</v>
      </c>
      <c r="CB131" s="1">
        <f t="shared" ca="1" si="101"/>
        <v>427</v>
      </c>
      <c r="CC131" s="1">
        <f t="shared" ca="1" si="102"/>
        <v>11</v>
      </c>
      <c r="CD131" s="1">
        <f t="shared" ca="1" si="103"/>
        <v>0.26380177475372318</v>
      </c>
      <c r="CE131" s="1">
        <f t="shared" ca="1" si="113"/>
        <v>0.99555045215995397</v>
      </c>
      <c r="CF131" s="1">
        <f t="shared" ca="1" si="113"/>
        <v>0.72203823628969777</v>
      </c>
      <c r="CH131" s="3">
        <f t="shared" ca="1" si="105"/>
        <v>0.60411148479162746</v>
      </c>
      <c r="CI131" s="3">
        <f t="shared" ca="1" si="106"/>
        <v>8.4383261468086362E-2</v>
      </c>
      <c r="CJ131" s="3">
        <f t="shared" ca="1" si="107"/>
        <v>903</v>
      </c>
      <c r="CK131" s="3">
        <f t="shared" ca="1" si="108"/>
        <v>4.4167243020285822E-3</v>
      </c>
      <c r="CL131" s="3">
        <f t="shared" ca="1" si="109"/>
        <v>0</v>
      </c>
      <c r="CM131" s="3"/>
      <c r="CN131" s="1">
        <f t="shared" ca="1" si="110"/>
        <v>9.6135033729878998</v>
      </c>
      <c r="CO131" s="1">
        <f t="shared" ca="1" si="111"/>
        <v>0.16659533752355335</v>
      </c>
      <c r="CP131" s="1">
        <f t="shared" ca="1" si="112"/>
        <v>4</v>
      </c>
    </row>
    <row r="132" spans="2:94" x14ac:dyDescent="0.25">
      <c r="B132">
        <f t="shared" ref="B132:B195" ca="1" si="114">RANDBETWEEN(15,1000)</f>
        <v>136</v>
      </c>
      <c r="C132">
        <f t="shared" ref="C132:C195" ca="1" si="115">RANDBETWEEN(2,52)</f>
        <v>22</v>
      </c>
      <c r="D132">
        <f t="shared" ref="D132:D195" ca="1" si="116">RAND()*(0.3-0.01)+0.01</f>
        <v>0.16959987571094717</v>
      </c>
      <c r="F132" s="1">
        <f t="shared" ref="F132:F195" ca="1" si="117">RANDBETWEEN(2,52)</f>
        <v>46</v>
      </c>
      <c r="G132" s="1">
        <f t="shared" ref="G132:G195" ca="1" si="118">RANDBETWEEN(2,30)</f>
        <v>25</v>
      </c>
      <c r="H132" s="1">
        <f t="shared" ref="H132:H195" ca="1" si="119">RANDBETWEEN(1,15)</f>
        <v>3</v>
      </c>
      <c r="I132" s="1"/>
      <c r="J132" s="1">
        <f t="shared" ref="J132:J195" ca="1" si="120">RANDBETWEEN(1,39)</f>
        <v>16</v>
      </c>
      <c r="K132" s="1">
        <f t="shared" ref="K132:K195" ca="1" si="121">RAND()*(3-1)+1</f>
        <v>2.0517622898344801</v>
      </c>
      <c r="L132" s="1">
        <f t="shared" ref="L132:L195" ca="1" si="122">RANDBETWEEN(2,35)</f>
        <v>3</v>
      </c>
      <c r="M132" s="1"/>
      <c r="N132" s="1">
        <f t="shared" ref="N132:N195" ca="1" si="123">RANDBETWEEN(15,1000)</f>
        <v>209</v>
      </c>
      <c r="O132" s="1">
        <f t="shared" ref="O132:O195" ca="1" si="124">RANDBETWEEN(2,52)</f>
        <v>31</v>
      </c>
      <c r="P132" s="1"/>
      <c r="Q132" s="1">
        <f t="shared" ref="Q132:Q195" ca="1" si="125">RAND()*(5-0.01)+0.01</f>
        <v>3.8838228750895247</v>
      </c>
      <c r="R132" s="1">
        <f t="shared" ref="R132:R195" ca="1" si="126">RANDBETWEEN(200,1200)</f>
        <v>473</v>
      </c>
      <c r="S132" s="1"/>
      <c r="T132" s="1">
        <f t="shared" ref="T132:T195" ca="1" si="127">RAND()*(0.2-0.01)+0.01</f>
        <v>0.17497493462366445</v>
      </c>
      <c r="U132" s="1">
        <f t="shared" ref="U132:U195" ca="1" si="128">RANDBETWEEN(50,450)</f>
        <v>236</v>
      </c>
      <c r="V132" s="1">
        <f t="shared" ref="V132:V195" ca="1" si="129">RANDBETWEEN(2,52)</f>
        <v>26</v>
      </c>
      <c r="W132" s="1"/>
      <c r="X132" s="1">
        <f t="shared" ref="X132:X195" ca="1" si="130">RAND()*(10-0.01)+0.01</f>
        <v>0.63999184207720849</v>
      </c>
      <c r="Y132" s="1">
        <f t="shared" ref="Y132:Y195" ca="1" si="131">RAND()*(1-0.0001)+0.0001</f>
        <v>0.32951157598629288</v>
      </c>
      <c r="Z132" s="1">
        <f t="shared" ref="Z132:Z195" ca="1" si="132">RANDBETWEEN(100,2000)</f>
        <v>1008</v>
      </c>
      <c r="AB132" s="1">
        <f t="shared" ref="AB132:AB195" ca="1" si="133">RAND()*(1-0.0001)+0.0001</f>
        <v>0.34958432226540564</v>
      </c>
      <c r="AC132" s="1">
        <f t="shared" ref="AC132:AC195" ca="1" si="134">RANDBETWEEN(100,1000)</f>
        <v>101</v>
      </c>
      <c r="AD132" s="1">
        <f t="shared" ref="AD132:AD195" ca="1" si="135">RAND()*(0.01-0.00001)+0.00001</f>
        <v>6.7320926392472457E-3</v>
      </c>
      <c r="AE132" s="1"/>
      <c r="AF132" s="1">
        <f t="shared" ref="AF132:AF195" ca="1" si="136">RAND()*(0.9-0.1)+0.1</f>
        <v>0.17616267033063321</v>
      </c>
      <c r="AG132" s="1">
        <f t="shared" ref="AG132:AG195" ca="1" si="137">RANDBETWEEN(100,1000)</f>
        <v>461</v>
      </c>
      <c r="AH132" s="1">
        <f t="shared" ref="AH132:AH195" ca="1" si="138">RAND()*(0.01-0.00001)+0.00001</f>
        <v>2.4921992254657035E-3</v>
      </c>
      <c r="AJ132" s="1">
        <f t="shared" ref="AJ132:AJ195" ca="1" si="139">RAND()*(1-0)+0</f>
        <v>0.35020144947007448</v>
      </c>
      <c r="AK132" s="1">
        <f t="shared" ref="AK132:AK195" ca="1" si="140">RAND()*(0.01-0.00001)+0.00001</f>
        <v>8.3496669356668794E-3</v>
      </c>
      <c r="AL132" s="1"/>
      <c r="AM132" s="1">
        <f t="shared" ref="AM132:AM195" ca="1" si="141">RAND()*(0.2-0.005)+0.005</f>
        <v>5.539669319018143E-2</v>
      </c>
      <c r="AN132" s="1">
        <f t="shared" ref="AN132:AN195" ca="1" si="142">RANDBETWEEN(10,80)</f>
        <v>76</v>
      </c>
      <c r="AO132" s="1">
        <f t="shared" ref="AO132:AO195" ca="1" si="143">RANDBETWEEN(-1,20)</f>
        <v>7</v>
      </c>
      <c r="AQ132" s="1">
        <f t="shared" ref="AQ132:AQ195" ca="1" si="144">RANDBETWEEN(10,200)</f>
        <v>93</v>
      </c>
      <c r="AR132" s="1">
        <f t="shared" ref="AR132:AR195" ca="1" si="145">RANDBETWEEN(0,10)</f>
        <v>7</v>
      </c>
      <c r="AS132" s="1">
        <f t="shared" ref="AS132:AS195" ca="1" si="146">RANDBETWEEN(1,100)</f>
        <v>41</v>
      </c>
      <c r="AU132" s="1">
        <f t="shared" ref="AU132:AU195" ca="1" si="147">RANDBETWEEN(50,400)</f>
        <v>376</v>
      </c>
      <c r="AV132" s="1">
        <f t="shared" ref="AV132:AV195" ca="1" si="148">RANDBETWEEN(2,10)</f>
        <v>8</v>
      </c>
      <c r="AW132" s="1">
        <f t="shared" ref="AW132:AW195" ca="1" si="149">RAND()*(0.2-0.01)+0.01</f>
        <v>0.15593694116036957</v>
      </c>
      <c r="AY132" s="1">
        <f t="shared" ref="AY132:AY195" ca="1" si="150">RAND()*(2-1.1)+1.1</f>
        <v>1.8270807625720524</v>
      </c>
      <c r="AZ132" s="1">
        <f t="shared" ref="AZ132:AZ195" ca="1" si="151">RANDBETWEEN(50,500)</f>
        <v>143</v>
      </c>
      <c r="BA132" s="1">
        <f t="shared" ref="BA132:BA195" ca="1" si="152">RAND()*(0.01-0.00001)+0.00001</f>
        <v>3.2870656075830477E-3</v>
      </c>
      <c r="BV132" s="1">
        <f t="shared" ref="BV132:BV195" ca="1" si="153">RAND()*(1-0.0001)+0.0001</f>
        <v>0.99937659618399599</v>
      </c>
      <c r="BW132" s="1">
        <f t="shared" ref="BW132:BW195" ca="1" si="154">RANDBETWEEN(100,1000)</f>
        <v>694</v>
      </c>
      <c r="BX132" s="1">
        <f t="shared" ref="BX132:BX195" ca="1" si="155">RAND()*(0.01-0.00001)+0.00001</f>
        <v>2.5676353209668191E-3</v>
      </c>
      <c r="BY132" s="1">
        <f t="shared" ref="BY132:BY195" ca="1" si="156">RAND()*(0.1-0.0001)+0.0001</f>
        <v>7.6709795287343563E-2</v>
      </c>
      <c r="BZ132" s="1">
        <f t="shared" ref="BZ132:BZ195" ca="1" si="157">RAND()*(1-0)+0</f>
        <v>0.60849975955485736</v>
      </c>
      <c r="CB132" s="1">
        <f t="shared" ref="CB132:CB195" ca="1" si="158">RANDBETWEEN(50,500)</f>
        <v>428</v>
      </c>
      <c r="CC132" s="1">
        <f t="shared" ref="CC132:CC195" ca="1" si="159">RANDBETWEEN(3,15)</f>
        <v>11</v>
      </c>
      <c r="CD132" s="1">
        <f t="shared" ref="CD132:CD195" ca="1" si="160">RAND()*(0.3-0.01)+0.01</f>
        <v>0.14080067879223793</v>
      </c>
      <c r="CE132" s="1">
        <f t="shared" ref="CE132:CF163" ca="1" si="161">RAND()*(1-0.5)+0.5</f>
        <v>0.83519829280284874</v>
      </c>
      <c r="CF132" s="1">
        <f t="shared" ca="1" si="161"/>
        <v>0.80743057207665758</v>
      </c>
      <c r="CH132" s="3">
        <f t="shared" ref="CH132:CH195" ca="1" si="162">RAND()*(1-0.0001)+0.0001</f>
        <v>0.42108787587174146</v>
      </c>
      <c r="CI132" s="3">
        <f t="shared" ref="CI132:CI195" ca="1" si="163">RAND()*(0.99-0.01)+0.01</f>
        <v>0.26609002113840641</v>
      </c>
      <c r="CJ132" s="3">
        <f t="shared" ref="CJ132:CJ195" ca="1" si="164">RANDBETWEEN(100,2000)</f>
        <v>1086</v>
      </c>
      <c r="CK132" s="3">
        <f t="shared" ref="CK132:CK195" ca="1" si="165">RAND()*(0.01-0.000001)+0.000001</f>
        <v>7.5782571919016366E-3</v>
      </c>
      <c r="CL132" s="3">
        <f t="shared" ref="CL132:CL195" ca="1" si="166">RANDBETWEEN(0,1)</f>
        <v>1</v>
      </c>
      <c r="CM132" s="3"/>
      <c r="CN132" s="1">
        <f t="shared" ref="CN132:CN195" ca="1" si="167">RAND()*(20-0.1)+0.1</f>
        <v>8.7313880593706799</v>
      </c>
      <c r="CO132" s="1">
        <f t="shared" ref="CO132:CO195" ca="1" si="168">RAND()*(0.5-0.001)+0.001</f>
        <v>0.10040549094789634</v>
      </c>
      <c r="CP132" s="1">
        <f t="shared" ref="CP132:CP195" ca="1" si="169">RANDBETWEEN(1,5)</f>
        <v>5</v>
      </c>
    </row>
    <row r="133" spans="2:94" x14ac:dyDescent="0.25">
      <c r="B133">
        <f t="shared" ca="1" si="114"/>
        <v>673</v>
      </c>
      <c r="C133">
        <f t="shared" ca="1" si="115"/>
        <v>45</v>
      </c>
      <c r="D133">
        <f t="shared" ca="1" si="116"/>
        <v>0.1036988568576909</v>
      </c>
      <c r="F133" s="1">
        <f t="shared" ca="1" si="117"/>
        <v>48</v>
      </c>
      <c r="G133" s="1">
        <f t="shared" ca="1" si="118"/>
        <v>7</v>
      </c>
      <c r="H133" s="1">
        <f t="shared" ca="1" si="119"/>
        <v>4</v>
      </c>
      <c r="I133" s="1"/>
      <c r="J133" s="1">
        <f t="shared" ca="1" si="120"/>
        <v>21</v>
      </c>
      <c r="K133" s="1">
        <f t="shared" ca="1" si="121"/>
        <v>2.2669922494414507</v>
      </c>
      <c r="L133" s="1">
        <f t="shared" ca="1" si="122"/>
        <v>3</v>
      </c>
      <c r="M133" s="1"/>
      <c r="N133" s="1">
        <f t="shared" ca="1" si="123"/>
        <v>609</v>
      </c>
      <c r="O133" s="1">
        <f t="shared" ca="1" si="124"/>
        <v>43</v>
      </c>
      <c r="P133" s="1"/>
      <c r="Q133" s="1">
        <f t="shared" ca="1" si="125"/>
        <v>3.2662240417738206</v>
      </c>
      <c r="R133" s="1">
        <f t="shared" ca="1" si="126"/>
        <v>590</v>
      </c>
      <c r="S133" s="1"/>
      <c r="T133" s="1">
        <f t="shared" ca="1" si="127"/>
        <v>1.0744188109908211E-2</v>
      </c>
      <c r="U133" s="1">
        <f t="shared" ca="1" si="128"/>
        <v>84</v>
      </c>
      <c r="V133" s="1">
        <f t="shared" ca="1" si="129"/>
        <v>40</v>
      </c>
      <c r="W133" s="1"/>
      <c r="X133" s="1">
        <f t="shared" ca="1" si="130"/>
        <v>1.3830673654083085</v>
      </c>
      <c r="Y133" s="1">
        <f t="shared" ca="1" si="131"/>
        <v>2.9678764708956595E-2</v>
      </c>
      <c r="Z133" s="1">
        <f t="shared" ca="1" si="132"/>
        <v>365</v>
      </c>
      <c r="AB133" s="1">
        <f t="shared" ca="1" si="133"/>
        <v>0.74415650374712217</v>
      </c>
      <c r="AC133" s="1">
        <f t="shared" ca="1" si="134"/>
        <v>991</v>
      </c>
      <c r="AD133" s="1">
        <f t="shared" ca="1" si="135"/>
        <v>8.7665109231068149E-3</v>
      </c>
      <c r="AE133" s="1"/>
      <c r="AF133" s="1">
        <f t="shared" ca="1" si="136"/>
        <v>0.19202367195724365</v>
      </c>
      <c r="AG133" s="1">
        <f t="shared" ca="1" si="137"/>
        <v>286</v>
      </c>
      <c r="AH133" s="1">
        <f t="shared" ca="1" si="138"/>
        <v>4.7921526492508909E-3</v>
      </c>
      <c r="AJ133" s="1">
        <f t="shared" ca="1" si="139"/>
        <v>7.6483908369599396E-2</v>
      </c>
      <c r="AK133" s="1">
        <f t="shared" ca="1" si="140"/>
        <v>8.2812238897904625E-3</v>
      </c>
      <c r="AL133" s="1"/>
      <c r="AM133" s="1">
        <f t="shared" ca="1" si="141"/>
        <v>0.14964041798556632</v>
      </c>
      <c r="AN133" s="1">
        <f t="shared" ca="1" si="142"/>
        <v>29</v>
      </c>
      <c r="AO133" s="1">
        <f t="shared" ca="1" si="143"/>
        <v>10</v>
      </c>
      <c r="AQ133" s="1">
        <f t="shared" ca="1" si="144"/>
        <v>66</v>
      </c>
      <c r="AR133" s="1">
        <f t="shared" ca="1" si="145"/>
        <v>2</v>
      </c>
      <c r="AS133" s="1">
        <f t="shared" ca="1" si="146"/>
        <v>84</v>
      </c>
      <c r="AU133" s="1">
        <f t="shared" ca="1" si="147"/>
        <v>124</v>
      </c>
      <c r="AV133" s="1">
        <f t="shared" ca="1" si="148"/>
        <v>7</v>
      </c>
      <c r="AW133" s="1">
        <f t="shared" ca="1" si="149"/>
        <v>2.4187060693926715E-2</v>
      </c>
      <c r="AY133" s="1">
        <f t="shared" ca="1" si="150"/>
        <v>1.2200365614276514</v>
      </c>
      <c r="AZ133" s="1">
        <f t="shared" ca="1" si="151"/>
        <v>305</v>
      </c>
      <c r="BA133" s="1">
        <f t="shared" ca="1" si="152"/>
        <v>2.5848197474989884E-3</v>
      </c>
      <c r="BV133" s="1">
        <f t="shared" ca="1" si="153"/>
        <v>0.14437720235766494</v>
      </c>
      <c r="BW133" s="1">
        <f t="shared" ca="1" si="154"/>
        <v>187</v>
      </c>
      <c r="BX133" s="1">
        <f t="shared" ca="1" si="155"/>
        <v>2.6849907479969603E-3</v>
      </c>
      <c r="BY133" s="1">
        <f t="shared" ca="1" si="156"/>
        <v>9.0679879972952807E-2</v>
      </c>
      <c r="BZ133" s="1">
        <f t="shared" ca="1" si="157"/>
        <v>0.88313307833017629</v>
      </c>
      <c r="CB133" s="1">
        <f t="shared" ca="1" si="158"/>
        <v>390</v>
      </c>
      <c r="CC133" s="1">
        <f t="shared" ca="1" si="159"/>
        <v>15</v>
      </c>
      <c r="CD133" s="1">
        <f t="shared" ca="1" si="160"/>
        <v>8.3431122809456457E-2</v>
      </c>
      <c r="CE133" s="1">
        <f t="shared" ca="1" si="161"/>
        <v>0.8030806448876775</v>
      </c>
      <c r="CF133" s="1">
        <f t="shared" ca="1" si="161"/>
        <v>0.9266739032565503</v>
      </c>
      <c r="CH133" s="3">
        <f t="shared" ca="1" si="162"/>
        <v>0.17799400412355135</v>
      </c>
      <c r="CI133" s="3">
        <f t="shared" ca="1" si="163"/>
        <v>0.60021093049024099</v>
      </c>
      <c r="CJ133" s="3">
        <f t="shared" ca="1" si="164"/>
        <v>1703</v>
      </c>
      <c r="CK133" s="3">
        <f t="shared" ca="1" si="165"/>
        <v>2.0051565485952392E-3</v>
      </c>
      <c r="CL133" s="3">
        <f t="shared" ca="1" si="166"/>
        <v>0</v>
      </c>
      <c r="CM133" s="3"/>
      <c r="CN133" s="1">
        <f t="shared" ca="1" si="167"/>
        <v>12.028285844007316</v>
      </c>
      <c r="CO133" s="1">
        <f t="shared" ca="1" si="168"/>
        <v>0.25437101136489626</v>
      </c>
      <c r="CP133" s="1">
        <f t="shared" ca="1" si="169"/>
        <v>1</v>
      </c>
    </row>
    <row r="134" spans="2:94" x14ac:dyDescent="0.25">
      <c r="B134">
        <f t="shared" ca="1" si="114"/>
        <v>234</v>
      </c>
      <c r="C134">
        <f t="shared" ca="1" si="115"/>
        <v>20</v>
      </c>
      <c r="D134">
        <f t="shared" ca="1" si="116"/>
        <v>0.1006689316277545</v>
      </c>
      <c r="F134" s="1">
        <f t="shared" ca="1" si="117"/>
        <v>43</v>
      </c>
      <c r="G134" s="1">
        <f t="shared" ca="1" si="118"/>
        <v>13</v>
      </c>
      <c r="H134" s="1">
        <f t="shared" ca="1" si="119"/>
        <v>9</v>
      </c>
      <c r="I134" s="1"/>
      <c r="J134" s="1">
        <f t="shared" ca="1" si="120"/>
        <v>37</v>
      </c>
      <c r="K134" s="1">
        <f t="shared" ca="1" si="121"/>
        <v>2.9022897078860348</v>
      </c>
      <c r="L134" s="1">
        <f t="shared" ca="1" si="122"/>
        <v>11</v>
      </c>
      <c r="M134" s="1"/>
      <c r="N134" s="1">
        <f t="shared" ca="1" si="123"/>
        <v>584</v>
      </c>
      <c r="O134" s="1">
        <f t="shared" ca="1" si="124"/>
        <v>30</v>
      </c>
      <c r="P134" s="1"/>
      <c r="Q134" s="1">
        <f t="shared" ca="1" si="125"/>
        <v>4.4348599738563683</v>
      </c>
      <c r="R134" s="1">
        <f t="shared" ca="1" si="126"/>
        <v>812</v>
      </c>
      <c r="S134" s="1"/>
      <c r="T134" s="1">
        <f t="shared" ca="1" si="127"/>
        <v>8.9734407352106638E-2</v>
      </c>
      <c r="U134" s="1">
        <f t="shared" ca="1" si="128"/>
        <v>397</v>
      </c>
      <c r="V134" s="1">
        <f t="shared" ca="1" si="129"/>
        <v>18</v>
      </c>
      <c r="W134" s="1"/>
      <c r="X134" s="1">
        <f t="shared" ca="1" si="130"/>
        <v>8.8483231560463889</v>
      </c>
      <c r="Y134" s="1">
        <f t="shared" ca="1" si="131"/>
        <v>0.67007873903968507</v>
      </c>
      <c r="Z134" s="1">
        <f t="shared" ca="1" si="132"/>
        <v>1630</v>
      </c>
      <c r="AB134" s="1">
        <f t="shared" ca="1" si="133"/>
        <v>8.9721260275780632E-2</v>
      </c>
      <c r="AC134" s="1">
        <f t="shared" ca="1" si="134"/>
        <v>148</v>
      </c>
      <c r="AD134" s="1">
        <f t="shared" ca="1" si="135"/>
        <v>4.2926045224270003E-3</v>
      </c>
      <c r="AE134" s="1"/>
      <c r="AF134" s="1">
        <f t="shared" ca="1" si="136"/>
        <v>0.47733332597232569</v>
      </c>
      <c r="AG134" s="1">
        <f t="shared" ca="1" si="137"/>
        <v>596</v>
      </c>
      <c r="AH134" s="1">
        <f t="shared" ca="1" si="138"/>
        <v>2.7790257281523935E-3</v>
      </c>
      <c r="AJ134" s="1">
        <f t="shared" ca="1" si="139"/>
        <v>0.46407967389871363</v>
      </c>
      <c r="AK134" s="1">
        <f t="shared" ca="1" si="140"/>
        <v>6.7012354562005685E-3</v>
      </c>
      <c r="AL134" s="1"/>
      <c r="AM134" s="1">
        <f t="shared" ca="1" si="141"/>
        <v>0.14936684280563206</v>
      </c>
      <c r="AN134" s="1">
        <f t="shared" ca="1" si="142"/>
        <v>17</v>
      </c>
      <c r="AO134" s="1">
        <f t="shared" ca="1" si="143"/>
        <v>8</v>
      </c>
      <c r="AQ134" s="1">
        <f t="shared" ca="1" si="144"/>
        <v>48</v>
      </c>
      <c r="AR134" s="1">
        <f t="shared" ca="1" si="145"/>
        <v>9</v>
      </c>
      <c r="AS134" s="1">
        <f t="shared" ca="1" si="146"/>
        <v>18</v>
      </c>
      <c r="AU134" s="1">
        <f t="shared" ca="1" si="147"/>
        <v>271</v>
      </c>
      <c r="AV134" s="1">
        <f t="shared" ca="1" si="148"/>
        <v>7</v>
      </c>
      <c r="AW134" s="1">
        <f t="shared" ca="1" si="149"/>
        <v>5.7748622720043601E-2</v>
      </c>
      <c r="AY134" s="1">
        <f t="shared" ca="1" si="150"/>
        <v>1.4665646837957302</v>
      </c>
      <c r="AZ134" s="1">
        <f t="shared" ca="1" si="151"/>
        <v>88</v>
      </c>
      <c r="BA134" s="1">
        <f t="shared" ca="1" si="152"/>
        <v>8.5099223659290523E-3</v>
      </c>
      <c r="BV134" s="1">
        <f t="shared" ca="1" si="153"/>
        <v>0.46447228489999454</v>
      </c>
      <c r="BW134" s="1">
        <f t="shared" ca="1" si="154"/>
        <v>649</v>
      </c>
      <c r="BX134" s="1">
        <f t="shared" ca="1" si="155"/>
        <v>6.666615758052323E-3</v>
      </c>
      <c r="BY134" s="1">
        <f t="shared" ca="1" si="156"/>
        <v>8.1335123322774192E-2</v>
      </c>
      <c r="BZ134" s="1">
        <f t="shared" ca="1" si="157"/>
        <v>0.82027888856507958</v>
      </c>
      <c r="CB134" s="1">
        <f t="shared" ca="1" si="158"/>
        <v>416</v>
      </c>
      <c r="CC134" s="1">
        <f t="shared" ca="1" si="159"/>
        <v>13</v>
      </c>
      <c r="CD134" s="1">
        <f t="shared" ca="1" si="160"/>
        <v>0.29327902733377526</v>
      </c>
      <c r="CE134" s="1">
        <f t="shared" ca="1" si="161"/>
        <v>0.61716152403934488</v>
      </c>
      <c r="CF134" s="1">
        <f t="shared" ca="1" si="161"/>
        <v>0.81083544687420628</v>
      </c>
      <c r="CH134" s="3">
        <f t="shared" ca="1" si="162"/>
        <v>0.25970086476140691</v>
      </c>
      <c r="CI134" s="3">
        <f t="shared" ca="1" si="163"/>
        <v>0.72855749385462898</v>
      </c>
      <c r="CJ134" s="3">
        <f t="shared" ca="1" si="164"/>
        <v>1137</v>
      </c>
      <c r="CK134" s="3">
        <f t="shared" ca="1" si="165"/>
        <v>8.5040074118697163E-3</v>
      </c>
      <c r="CL134" s="3">
        <f t="shared" ca="1" si="166"/>
        <v>0</v>
      </c>
      <c r="CM134" s="3"/>
      <c r="CN134" s="1">
        <f t="shared" ca="1" si="167"/>
        <v>17.510372839471732</v>
      </c>
      <c r="CO134" s="1">
        <f t="shared" ca="1" si="168"/>
        <v>2.2692163831688851E-2</v>
      </c>
      <c r="CP134" s="1">
        <f t="shared" ca="1" si="169"/>
        <v>4</v>
      </c>
    </row>
    <row r="135" spans="2:94" x14ac:dyDescent="0.25">
      <c r="B135">
        <f t="shared" ca="1" si="114"/>
        <v>173</v>
      </c>
      <c r="C135">
        <f t="shared" ca="1" si="115"/>
        <v>32</v>
      </c>
      <c r="D135">
        <f t="shared" ca="1" si="116"/>
        <v>0.16089740955164894</v>
      </c>
      <c r="F135" s="1">
        <f t="shared" ca="1" si="117"/>
        <v>42</v>
      </c>
      <c r="G135" s="1">
        <f t="shared" ca="1" si="118"/>
        <v>12</v>
      </c>
      <c r="H135" s="1">
        <f t="shared" ca="1" si="119"/>
        <v>10</v>
      </c>
      <c r="I135" s="1"/>
      <c r="J135" s="1">
        <f t="shared" ca="1" si="120"/>
        <v>27</v>
      </c>
      <c r="K135" s="1">
        <f t="shared" ca="1" si="121"/>
        <v>1.241838739412747</v>
      </c>
      <c r="L135" s="1">
        <f t="shared" ca="1" si="122"/>
        <v>15</v>
      </c>
      <c r="M135" s="1"/>
      <c r="N135" s="1">
        <f t="shared" ca="1" si="123"/>
        <v>469</v>
      </c>
      <c r="O135" s="1">
        <f t="shared" ca="1" si="124"/>
        <v>4</v>
      </c>
      <c r="P135" s="1"/>
      <c r="Q135" s="1">
        <f t="shared" ca="1" si="125"/>
        <v>3.1293311074104371</v>
      </c>
      <c r="R135" s="1">
        <f t="shared" ca="1" si="126"/>
        <v>476</v>
      </c>
      <c r="S135" s="1"/>
      <c r="T135" s="1">
        <f t="shared" ca="1" si="127"/>
        <v>0.18963802788629777</v>
      </c>
      <c r="U135" s="1">
        <f t="shared" ca="1" si="128"/>
        <v>354</v>
      </c>
      <c r="V135" s="1">
        <f t="shared" ca="1" si="129"/>
        <v>17</v>
      </c>
      <c r="W135" s="1"/>
      <c r="X135" s="1">
        <f t="shared" ca="1" si="130"/>
        <v>8.3139916911869562</v>
      </c>
      <c r="Y135" s="1">
        <f t="shared" ca="1" si="131"/>
        <v>0.66315348249270001</v>
      </c>
      <c r="Z135" s="1">
        <f t="shared" ca="1" si="132"/>
        <v>538</v>
      </c>
      <c r="AB135" s="1">
        <f t="shared" ca="1" si="133"/>
        <v>0.82762814741882673</v>
      </c>
      <c r="AC135" s="1">
        <f t="shared" ca="1" si="134"/>
        <v>414</v>
      </c>
      <c r="AD135" s="1">
        <f t="shared" ca="1" si="135"/>
        <v>2.8910365918216581E-3</v>
      </c>
      <c r="AE135" s="1"/>
      <c r="AF135" s="1">
        <f t="shared" ca="1" si="136"/>
        <v>0.16047036935505687</v>
      </c>
      <c r="AG135" s="1">
        <f t="shared" ca="1" si="137"/>
        <v>508</v>
      </c>
      <c r="AH135" s="1">
        <f t="shared" ca="1" si="138"/>
        <v>9.2103040268875468E-3</v>
      </c>
      <c r="AJ135" s="1">
        <f t="shared" ca="1" si="139"/>
        <v>0.15525811754051599</v>
      </c>
      <c r="AK135" s="1">
        <f t="shared" ca="1" si="140"/>
        <v>4.8590874653714556E-3</v>
      </c>
      <c r="AL135" s="1"/>
      <c r="AM135" s="1">
        <f t="shared" ca="1" si="141"/>
        <v>7.0208661890602639E-2</v>
      </c>
      <c r="AN135" s="1">
        <f t="shared" ca="1" si="142"/>
        <v>78</v>
      </c>
      <c r="AO135" s="1">
        <f t="shared" ca="1" si="143"/>
        <v>14</v>
      </c>
      <c r="AQ135" s="1">
        <f t="shared" ca="1" si="144"/>
        <v>35</v>
      </c>
      <c r="AR135" s="1">
        <f t="shared" ca="1" si="145"/>
        <v>10</v>
      </c>
      <c r="AS135" s="1">
        <f t="shared" ca="1" si="146"/>
        <v>83</v>
      </c>
      <c r="AU135" s="1">
        <f t="shared" ca="1" si="147"/>
        <v>365</v>
      </c>
      <c r="AV135" s="1">
        <f t="shared" ca="1" si="148"/>
        <v>9</v>
      </c>
      <c r="AW135" s="1">
        <f t="shared" ca="1" si="149"/>
        <v>6.6606895805736796E-2</v>
      </c>
      <c r="AY135" s="1">
        <f t="shared" ca="1" si="150"/>
        <v>1.6364413200972145</v>
      </c>
      <c r="AZ135" s="1">
        <f t="shared" ca="1" si="151"/>
        <v>97</v>
      </c>
      <c r="BA135" s="1">
        <f t="shared" ca="1" si="152"/>
        <v>5.5035957470794521E-3</v>
      </c>
      <c r="BV135" s="1">
        <f t="shared" ca="1" si="153"/>
        <v>0.4599399724513108</v>
      </c>
      <c r="BW135" s="1">
        <f t="shared" ca="1" si="154"/>
        <v>822</v>
      </c>
      <c r="BX135" s="1">
        <f t="shared" ca="1" si="155"/>
        <v>7.5874896638220999E-3</v>
      </c>
      <c r="BY135" s="1">
        <f t="shared" ca="1" si="156"/>
        <v>2.8230195891999973E-2</v>
      </c>
      <c r="BZ135" s="1">
        <f t="shared" ca="1" si="157"/>
        <v>1.7349913554261964E-2</v>
      </c>
      <c r="CB135" s="1">
        <f t="shared" ca="1" si="158"/>
        <v>252</v>
      </c>
      <c r="CC135" s="1">
        <f t="shared" ca="1" si="159"/>
        <v>13</v>
      </c>
      <c r="CD135" s="1">
        <f t="shared" ca="1" si="160"/>
        <v>0.27993404098845542</v>
      </c>
      <c r="CE135" s="1">
        <f t="shared" ca="1" si="161"/>
        <v>0.63802238904077069</v>
      </c>
      <c r="CF135" s="1">
        <f t="shared" ca="1" si="161"/>
        <v>0.7738116815166094</v>
      </c>
      <c r="CH135" s="3">
        <f t="shared" ca="1" si="162"/>
        <v>0.35833638383975686</v>
      </c>
      <c r="CI135" s="3">
        <f t="shared" ca="1" si="163"/>
        <v>0.19991309980218577</v>
      </c>
      <c r="CJ135" s="3">
        <f t="shared" ca="1" si="164"/>
        <v>1907</v>
      </c>
      <c r="CK135" s="3">
        <f t="shared" ca="1" si="165"/>
        <v>2.6036276579415422E-3</v>
      </c>
      <c r="CL135" s="3">
        <f t="shared" ca="1" si="166"/>
        <v>0</v>
      </c>
      <c r="CM135" s="3"/>
      <c r="CN135" s="1">
        <f t="shared" ca="1" si="167"/>
        <v>8.2037187620403298</v>
      </c>
      <c r="CO135" s="1">
        <f t="shared" ca="1" si="168"/>
        <v>0.38931451403639639</v>
      </c>
      <c r="CP135" s="1">
        <f t="shared" ca="1" si="169"/>
        <v>2</v>
      </c>
    </row>
    <row r="136" spans="2:94" x14ac:dyDescent="0.25">
      <c r="B136">
        <f t="shared" ca="1" si="114"/>
        <v>717</v>
      </c>
      <c r="C136">
        <f t="shared" ca="1" si="115"/>
        <v>50</v>
      </c>
      <c r="D136">
        <f t="shared" ca="1" si="116"/>
        <v>8.6379731862792269E-2</v>
      </c>
      <c r="F136" s="1">
        <f t="shared" ca="1" si="117"/>
        <v>4</v>
      </c>
      <c r="G136" s="1">
        <f t="shared" ca="1" si="118"/>
        <v>27</v>
      </c>
      <c r="H136" s="1">
        <f t="shared" ca="1" si="119"/>
        <v>8</v>
      </c>
      <c r="I136" s="1"/>
      <c r="J136" s="1">
        <f t="shared" ca="1" si="120"/>
        <v>26</v>
      </c>
      <c r="K136" s="1">
        <f t="shared" ca="1" si="121"/>
        <v>1.5793111339593053</v>
      </c>
      <c r="L136" s="1">
        <f t="shared" ca="1" si="122"/>
        <v>25</v>
      </c>
      <c r="M136" s="1"/>
      <c r="N136" s="1">
        <f t="shared" ca="1" si="123"/>
        <v>609</v>
      </c>
      <c r="O136" s="1">
        <f t="shared" ca="1" si="124"/>
        <v>5</v>
      </c>
      <c r="P136" s="1"/>
      <c r="Q136" s="1">
        <f t="shared" ca="1" si="125"/>
        <v>3.4275995048336507</v>
      </c>
      <c r="R136" s="1">
        <f t="shared" ca="1" si="126"/>
        <v>1171</v>
      </c>
      <c r="S136" s="1"/>
      <c r="T136" s="1">
        <f t="shared" ca="1" si="127"/>
        <v>2.0137686577104748E-2</v>
      </c>
      <c r="U136" s="1">
        <f t="shared" ca="1" si="128"/>
        <v>337</v>
      </c>
      <c r="V136" s="1">
        <f t="shared" ca="1" si="129"/>
        <v>7</v>
      </c>
      <c r="W136" s="1"/>
      <c r="X136" s="1">
        <f t="shared" ca="1" si="130"/>
        <v>8.6848841170703608</v>
      </c>
      <c r="Y136" s="1">
        <f t="shared" ca="1" si="131"/>
        <v>0.11838238785085868</v>
      </c>
      <c r="Z136" s="1">
        <f t="shared" ca="1" si="132"/>
        <v>1783</v>
      </c>
      <c r="AB136" s="1">
        <f t="shared" ca="1" si="133"/>
        <v>0.40622599004619675</v>
      </c>
      <c r="AC136" s="1">
        <f t="shared" ca="1" si="134"/>
        <v>778</v>
      </c>
      <c r="AD136" s="1">
        <f t="shared" ca="1" si="135"/>
        <v>9.0475143222375019E-3</v>
      </c>
      <c r="AE136" s="1"/>
      <c r="AF136" s="1">
        <f t="shared" ca="1" si="136"/>
        <v>0.52866363207483891</v>
      </c>
      <c r="AG136" s="1">
        <f t="shared" ca="1" si="137"/>
        <v>446</v>
      </c>
      <c r="AH136" s="1">
        <f t="shared" ca="1" si="138"/>
        <v>4.558126214474967E-4</v>
      </c>
      <c r="AJ136" s="1">
        <f t="shared" ca="1" si="139"/>
        <v>0.77451834767325389</v>
      </c>
      <c r="AK136" s="1">
        <f t="shared" ca="1" si="140"/>
        <v>4.8394362735047812E-3</v>
      </c>
      <c r="AL136" s="1"/>
      <c r="AM136" s="1">
        <f t="shared" ca="1" si="141"/>
        <v>2.6772739586148998E-2</v>
      </c>
      <c r="AN136" s="1">
        <f t="shared" ca="1" si="142"/>
        <v>12</v>
      </c>
      <c r="AO136" s="1">
        <f t="shared" ca="1" si="143"/>
        <v>16</v>
      </c>
      <c r="AQ136" s="1">
        <f t="shared" ca="1" si="144"/>
        <v>88</v>
      </c>
      <c r="AR136" s="1">
        <f t="shared" ca="1" si="145"/>
        <v>9</v>
      </c>
      <c r="AS136" s="1">
        <f t="shared" ca="1" si="146"/>
        <v>32</v>
      </c>
      <c r="AU136" s="1">
        <f t="shared" ca="1" si="147"/>
        <v>155</v>
      </c>
      <c r="AV136" s="1">
        <f t="shared" ca="1" si="148"/>
        <v>3</v>
      </c>
      <c r="AW136" s="1">
        <f t="shared" ca="1" si="149"/>
        <v>0.13009000258390965</v>
      </c>
      <c r="AY136" s="1">
        <f t="shared" ca="1" si="150"/>
        <v>1.3165153363479578</v>
      </c>
      <c r="AZ136" s="1">
        <f t="shared" ca="1" si="151"/>
        <v>398</v>
      </c>
      <c r="BA136" s="1">
        <f t="shared" ca="1" si="152"/>
        <v>7.3148700606942086E-3</v>
      </c>
      <c r="BV136" s="1">
        <f t="shared" ca="1" si="153"/>
        <v>0.96855311216645923</v>
      </c>
      <c r="BW136" s="1">
        <f t="shared" ca="1" si="154"/>
        <v>219</v>
      </c>
      <c r="BX136" s="1">
        <f t="shared" ca="1" si="155"/>
        <v>1.5913506321909942E-4</v>
      </c>
      <c r="BY136" s="1">
        <f t="shared" ca="1" si="156"/>
        <v>7.8717138329712708E-2</v>
      </c>
      <c r="BZ136" s="1">
        <f t="shared" ca="1" si="157"/>
        <v>0.13824736840092111</v>
      </c>
      <c r="CB136" s="1">
        <f t="shared" ca="1" si="158"/>
        <v>395</v>
      </c>
      <c r="CC136" s="1">
        <f t="shared" ca="1" si="159"/>
        <v>13</v>
      </c>
      <c r="CD136" s="1">
        <f t="shared" ca="1" si="160"/>
        <v>0.27886229757941916</v>
      </c>
      <c r="CE136" s="1">
        <f t="shared" ca="1" si="161"/>
        <v>0.55139075992871545</v>
      </c>
      <c r="CF136" s="1">
        <f t="shared" ca="1" si="161"/>
        <v>0.63991661621708928</v>
      </c>
      <c r="CH136" s="3">
        <f t="shared" ca="1" si="162"/>
        <v>0.96693768807751646</v>
      </c>
      <c r="CI136" s="3">
        <f t="shared" ca="1" si="163"/>
        <v>3.8509935175282381E-2</v>
      </c>
      <c r="CJ136" s="3">
        <f t="shared" ca="1" si="164"/>
        <v>1600</v>
      </c>
      <c r="CK136" s="3">
        <f t="shared" ca="1" si="165"/>
        <v>5.2752767762814842E-3</v>
      </c>
      <c r="CL136" s="3">
        <f t="shared" ca="1" si="166"/>
        <v>0</v>
      </c>
      <c r="CM136" s="3"/>
      <c r="CN136" s="1">
        <f t="shared" ca="1" si="167"/>
        <v>0.58056701306890124</v>
      </c>
      <c r="CO136" s="1">
        <f t="shared" ca="1" si="168"/>
        <v>0.14856643928839877</v>
      </c>
      <c r="CP136" s="1">
        <f t="shared" ca="1" si="169"/>
        <v>3</v>
      </c>
    </row>
    <row r="137" spans="2:94" x14ac:dyDescent="0.25">
      <c r="B137">
        <f t="shared" ca="1" si="114"/>
        <v>817</v>
      </c>
      <c r="C137">
        <f t="shared" ca="1" si="115"/>
        <v>29</v>
      </c>
      <c r="D137">
        <f t="shared" ca="1" si="116"/>
        <v>0.24147732605267047</v>
      </c>
      <c r="F137" s="1">
        <f t="shared" ca="1" si="117"/>
        <v>2</v>
      </c>
      <c r="G137" s="1">
        <f t="shared" ca="1" si="118"/>
        <v>14</v>
      </c>
      <c r="H137" s="1">
        <f t="shared" ca="1" si="119"/>
        <v>11</v>
      </c>
      <c r="I137" s="1"/>
      <c r="J137" s="1">
        <f t="shared" ca="1" si="120"/>
        <v>37</v>
      </c>
      <c r="K137" s="1">
        <f t="shared" ca="1" si="121"/>
        <v>2.3412604708896279</v>
      </c>
      <c r="L137" s="1">
        <f t="shared" ca="1" si="122"/>
        <v>17</v>
      </c>
      <c r="M137" s="1"/>
      <c r="N137" s="1">
        <f t="shared" ca="1" si="123"/>
        <v>614</v>
      </c>
      <c r="O137" s="1">
        <f t="shared" ca="1" si="124"/>
        <v>3</v>
      </c>
      <c r="P137" s="1"/>
      <c r="Q137" s="1">
        <f t="shared" ca="1" si="125"/>
        <v>1.0324900720698631</v>
      </c>
      <c r="R137" s="1">
        <f t="shared" ca="1" si="126"/>
        <v>439</v>
      </c>
      <c r="S137" s="1"/>
      <c r="T137" s="1">
        <f t="shared" ca="1" si="127"/>
        <v>0.16802883546988853</v>
      </c>
      <c r="U137" s="1">
        <f t="shared" ca="1" si="128"/>
        <v>293</v>
      </c>
      <c r="V137" s="1">
        <f t="shared" ca="1" si="129"/>
        <v>14</v>
      </c>
      <c r="W137" s="1"/>
      <c r="X137" s="1">
        <f t="shared" ca="1" si="130"/>
        <v>3.9006209200348545</v>
      </c>
      <c r="Y137" s="1">
        <f t="shared" ca="1" si="131"/>
        <v>0.69650638341071081</v>
      </c>
      <c r="Z137" s="1">
        <f t="shared" ca="1" si="132"/>
        <v>594</v>
      </c>
      <c r="AB137" s="1">
        <f t="shared" ca="1" si="133"/>
        <v>0.64465005195008296</v>
      </c>
      <c r="AC137" s="1">
        <f t="shared" ca="1" si="134"/>
        <v>794</v>
      </c>
      <c r="AD137" s="1">
        <f t="shared" ca="1" si="135"/>
        <v>1.8268323104056762E-3</v>
      </c>
      <c r="AE137" s="1"/>
      <c r="AF137" s="1">
        <f t="shared" ca="1" si="136"/>
        <v>0.30262771605754768</v>
      </c>
      <c r="AG137" s="1">
        <f t="shared" ca="1" si="137"/>
        <v>616</v>
      </c>
      <c r="AH137" s="1">
        <f t="shared" ca="1" si="138"/>
        <v>2.2777378362163498E-3</v>
      </c>
      <c r="AJ137" s="1">
        <f t="shared" ca="1" si="139"/>
        <v>0.7443412955278389</v>
      </c>
      <c r="AK137" s="1">
        <f t="shared" ca="1" si="140"/>
        <v>5.2687329828370079E-3</v>
      </c>
      <c r="AL137" s="1"/>
      <c r="AM137" s="1">
        <f t="shared" ca="1" si="141"/>
        <v>0.11136844255402061</v>
      </c>
      <c r="AN137" s="1">
        <f t="shared" ca="1" si="142"/>
        <v>76</v>
      </c>
      <c r="AO137" s="1">
        <f t="shared" ca="1" si="143"/>
        <v>8</v>
      </c>
      <c r="AQ137" s="1">
        <f t="shared" ca="1" si="144"/>
        <v>137</v>
      </c>
      <c r="AR137" s="1">
        <f t="shared" ca="1" si="145"/>
        <v>2</v>
      </c>
      <c r="AS137" s="1">
        <f t="shared" ca="1" si="146"/>
        <v>30</v>
      </c>
      <c r="AU137" s="1">
        <f t="shared" ca="1" si="147"/>
        <v>393</v>
      </c>
      <c r="AV137" s="1">
        <f t="shared" ca="1" si="148"/>
        <v>8</v>
      </c>
      <c r="AW137" s="1">
        <f t="shared" ca="1" si="149"/>
        <v>0.1401123846801223</v>
      </c>
      <c r="AY137" s="1">
        <f t="shared" ca="1" si="150"/>
        <v>1.3578629178890378</v>
      </c>
      <c r="AZ137" s="1">
        <f t="shared" ca="1" si="151"/>
        <v>197</v>
      </c>
      <c r="BA137" s="1">
        <f t="shared" ca="1" si="152"/>
        <v>9.0143392130572885E-3</v>
      </c>
      <c r="BV137" s="1">
        <f t="shared" ca="1" si="153"/>
        <v>0.34254656868313099</v>
      </c>
      <c r="BW137" s="1">
        <f t="shared" ca="1" si="154"/>
        <v>535</v>
      </c>
      <c r="BX137" s="1">
        <f t="shared" ca="1" si="155"/>
        <v>4.7838679301602091E-3</v>
      </c>
      <c r="BY137" s="1">
        <f t="shared" ca="1" si="156"/>
        <v>1.3271281603605961E-2</v>
      </c>
      <c r="BZ137" s="1">
        <f t="shared" ca="1" si="157"/>
        <v>5.4195383435487021E-2</v>
      </c>
      <c r="CB137" s="1">
        <f t="shared" ca="1" si="158"/>
        <v>107</v>
      </c>
      <c r="CC137" s="1">
        <f t="shared" ca="1" si="159"/>
        <v>15</v>
      </c>
      <c r="CD137" s="1">
        <f t="shared" ca="1" si="160"/>
        <v>9.6419632979946795E-2</v>
      </c>
      <c r="CE137" s="1">
        <f t="shared" ca="1" si="161"/>
        <v>0.6323967808987192</v>
      </c>
      <c r="CF137" s="1">
        <f t="shared" ca="1" si="161"/>
        <v>0.99627498291104744</v>
      </c>
      <c r="CH137" s="3">
        <f t="shared" ca="1" si="162"/>
        <v>0.81928499408600808</v>
      </c>
      <c r="CI137" s="3">
        <f t="shared" ca="1" si="163"/>
        <v>0.2141855540959057</v>
      </c>
      <c r="CJ137" s="3">
        <f t="shared" ca="1" si="164"/>
        <v>1691</v>
      </c>
      <c r="CK137" s="3">
        <f t="shared" ca="1" si="165"/>
        <v>5.4649719626674552E-3</v>
      </c>
      <c r="CL137" s="3">
        <f t="shared" ca="1" si="166"/>
        <v>0</v>
      </c>
      <c r="CM137" s="3"/>
      <c r="CN137" s="1">
        <f t="shared" ca="1" si="167"/>
        <v>18.66733261346171</v>
      </c>
      <c r="CO137" s="1">
        <f t="shared" ca="1" si="168"/>
        <v>0.16127315908021611</v>
      </c>
      <c r="CP137" s="1">
        <f t="shared" ca="1" si="169"/>
        <v>1</v>
      </c>
    </row>
    <row r="138" spans="2:94" x14ac:dyDescent="0.25">
      <c r="B138">
        <f t="shared" ca="1" si="114"/>
        <v>120</v>
      </c>
      <c r="C138">
        <f t="shared" ca="1" si="115"/>
        <v>4</v>
      </c>
      <c r="D138">
        <f t="shared" ca="1" si="116"/>
        <v>0.16926771429085727</v>
      </c>
      <c r="F138" s="1">
        <f t="shared" ca="1" si="117"/>
        <v>49</v>
      </c>
      <c r="G138" s="1">
        <f t="shared" ca="1" si="118"/>
        <v>4</v>
      </c>
      <c r="H138" s="1">
        <f t="shared" ca="1" si="119"/>
        <v>4</v>
      </c>
      <c r="I138" s="1"/>
      <c r="J138" s="1">
        <f t="shared" ca="1" si="120"/>
        <v>34</v>
      </c>
      <c r="K138" s="1">
        <f t="shared" ca="1" si="121"/>
        <v>1.9144201365158768</v>
      </c>
      <c r="L138" s="1">
        <f t="shared" ca="1" si="122"/>
        <v>34</v>
      </c>
      <c r="M138" s="1"/>
      <c r="N138" s="1">
        <f t="shared" ca="1" si="123"/>
        <v>713</v>
      </c>
      <c r="O138" s="1">
        <f t="shared" ca="1" si="124"/>
        <v>16</v>
      </c>
      <c r="P138" s="1"/>
      <c r="Q138" s="1">
        <f t="shared" ca="1" si="125"/>
        <v>0.6056546694982714</v>
      </c>
      <c r="R138" s="1">
        <f t="shared" ca="1" si="126"/>
        <v>1197</v>
      </c>
      <c r="S138" s="1"/>
      <c r="T138" s="1">
        <f t="shared" ca="1" si="127"/>
        <v>6.1027121561530673E-2</v>
      </c>
      <c r="U138" s="1">
        <f t="shared" ca="1" si="128"/>
        <v>213</v>
      </c>
      <c r="V138" s="1">
        <f t="shared" ca="1" si="129"/>
        <v>34</v>
      </c>
      <c r="W138" s="1"/>
      <c r="X138" s="1">
        <f t="shared" ca="1" si="130"/>
        <v>3.9141671094904318</v>
      </c>
      <c r="Y138" s="1">
        <f t="shared" ca="1" si="131"/>
        <v>9.9152298137352747E-3</v>
      </c>
      <c r="Z138" s="1">
        <f t="shared" ca="1" si="132"/>
        <v>1807</v>
      </c>
      <c r="AB138" s="1">
        <f t="shared" ca="1" si="133"/>
        <v>0.78757295703182628</v>
      </c>
      <c r="AC138" s="1">
        <f t="shared" ca="1" si="134"/>
        <v>631</v>
      </c>
      <c r="AD138" s="1">
        <f t="shared" ca="1" si="135"/>
        <v>1.4936497263173957E-3</v>
      </c>
      <c r="AE138" s="1"/>
      <c r="AF138" s="1">
        <f t="shared" ca="1" si="136"/>
        <v>0.61627077077087355</v>
      </c>
      <c r="AG138" s="1">
        <f t="shared" ca="1" si="137"/>
        <v>542</v>
      </c>
      <c r="AH138" s="1">
        <f t="shared" ca="1" si="138"/>
        <v>2.9455454171611766E-3</v>
      </c>
      <c r="AJ138" s="1">
        <f t="shared" ca="1" si="139"/>
        <v>0.25396407635995377</v>
      </c>
      <c r="AK138" s="1">
        <f t="shared" ca="1" si="140"/>
        <v>2.2596760955940799E-3</v>
      </c>
      <c r="AL138" s="1"/>
      <c r="AM138" s="1">
        <f t="shared" ca="1" si="141"/>
        <v>0.11157837806933948</v>
      </c>
      <c r="AN138" s="1">
        <f t="shared" ca="1" si="142"/>
        <v>73</v>
      </c>
      <c r="AO138" s="1">
        <f t="shared" ca="1" si="143"/>
        <v>18</v>
      </c>
      <c r="AQ138" s="1">
        <f t="shared" ca="1" si="144"/>
        <v>44</v>
      </c>
      <c r="AR138" s="1">
        <f t="shared" ca="1" si="145"/>
        <v>2</v>
      </c>
      <c r="AS138" s="1">
        <f t="shared" ca="1" si="146"/>
        <v>90</v>
      </c>
      <c r="AU138" s="1">
        <f t="shared" ca="1" si="147"/>
        <v>387</v>
      </c>
      <c r="AV138" s="1">
        <f t="shared" ca="1" si="148"/>
        <v>3</v>
      </c>
      <c r="AW138" s="1">
        <f t="shared" ca="1" si="149"/>
        <v>8.6079713719670645E-2</v>
      </c>
      <c r="AY138" s="1">
        <f t="shared" ca="1" si="150"/>
        <v>1.6519885690609375</v>
      </c>
      <c r="AZ138" s="1">
        <f t="shared" ca="1" si="151"/>
        <v>361</v>
      </c>
      <c r="BA138" s="1">
        <f t="shared" ca="1" si="152"/>
        <v>3.7557572291814023E-4</v>
      </c>
      <c r="BV138" s="1">
        <f t="shared" ca="1" si="153"/>
        <v>0.30338335058396981</v>
      </c>
      <c r="BW138" s="1">
        <f t="shared" ca="1" si="154"/>
        <v>306</v>
      </c>
      <c r="BX138" s="1">
        <f t="shared" ca="1" si="155"/>
        <v>2.9684692423847399E-3</v>
      </c>
      <c r="BY138" s="1">
        <f t="shared" ca="1" si="156"/>
        <v>2.2948953572236325E-2</v>
      </c>
      <c r="BZ138" s="1">
        <f t="shared" ca="1" si="157"/>
        <v>0.68223799070518587</v>
      </c>
      <c r="CB138" s="1">
        <f t="shared" ca="1" si="158"/>
        <v>433</v>
      </c>
      <c r="CC138" s="1">
        <f t="shared" ca="1" si="159"/>
        <v>9</v>
      </c>
      <c r="CD138" s="1">
        <f t="shared" ca="1" si="160"/>
        <v>1.9678827573295157E-2</v>
      </c>
      <c r="CE138" s="1">
        <f t="shared" ca="1" si="161"/>
        <v>0.84394970664161195</v>
      </c>
      <c r="CF138" s="1">
        <f t="shared" ca="1" si="161"/>
        <v>0.8804936868557709</v>
      </c>
      <c r="CH138" s="3">
        <f t="shared" ca="1" si="162"/>
        <v>0.64033791348020641</v>
      </c>
      <c r="CI138" s="3">
        <f t="shared" ca="1" si="163"/>
        <v>0.56040392040358766</v>
      </c>
      <c r="CJ138" s="3">
        <f t="shared" ca="1" si="164"/>
        <v>856</v>
      </c>
      <c r="CK138" s="3">
        <f t="shared" ca="1" si="165"/>
        <v>2.0769841312969061E-3</v>
      </c>
      <c r="CL138" s="3">
        <f t="shared" ca="1" si="166"/>
        <v>1</v>
      </c>
      <c r="CM138" s="3"/>
      <c r="CN138" s="1">
        <f t="shared" ca="1" si="167"/>
        <v>13.055411731646476</v>
      </c>
      <c r="CO138" s="1">
        <f t="shared" ca="1" si="168"/>
        <v>0.41944529401111336</v>
      </c>
      <c r="CP138" s="1">
        <f t="shared" ca="1" si="169"/>
        <v>4</v>
      </c>
    </row>
    <row r="139" spans="2:94" x14ac:dyDescent="0.25">
      <c r="B139">
        <f t="shared" ca="1" si="114"/>
        <v>130</v>
      </c>
      <c r="C139">
        <f t="shared" ca="1" si="115"/>
        <v>27</v>
      </c>
      <c r="D139">
        <f t="shared" ca="1" si="116"/>
        <v>0.21806215864761633</v>
      </c>
      <c r="F139" s="1">
        <f t="shared" ca="1" si="117"/>
        <v>50</v>
      </c>
      <c r="G139" s="1">
        <f t="shared" ca="1" si="118"/>
        <v>25</v>
      </c>
      <c r="H139" s="1">
        <f t="shared" ca="1" si="119"/>
        <v>8</v>
      </c>
      <c r="I139" s="1"/>
      <c r="J139" s="1">
        <f t="shared" ca="1" si="120"/>
        <v>9</v>
      </c>
      <c r="K139" s="1">
        <f t="shared" ca="1" si="121"/>
        <v>2.0479835219005689</v>
      </c>
      <c r="L139" s="1">
        <f t="shared" ca="1" si="122"/>
        <v>28</v>
      </c>
      <c r="M139" s="1"/>
      <c r="N139" s="1">
        <f t="shared" ca="1" si="123"/>
        <v>713</v>
      </c>
      <c r="O139" s="1">
        <f t="shared" ca="1" si="124"/>
        <v>23</v>
      </c>
      <c r="P139" s="1"/>
      <c r="Q139" s="1">
        <f t="shared" ca="1" si="125"/>
        <v>3.0113703054935992</v>
      </c>
      <c r="R139" s="1">
        <f t="shared" ca="1" si="126"/>
        <v>364</v>
      </c>
      <c r="S139" s="1"/>
      <c r="T139" s="1">
        <f t="shared" ca="1" si="127"/>
        <v>5.7891226440468339E-2</v>
      </c>
      <c r="U139" s="1">
        <f t="shared" ca="1" si="128"/>
        <v>154</v>
      </c>
      <c r="V139" s="1">
        <f t="shared" ca="1" si="129"/>
        <v>28</v>
      </c>
      <c r="W139" s="1"/>
      <c r="X139" s="1">
        <f t="shared" ca="1" si="130"/>
        <v>6.6994269961722877</v>
      </c>
      <c r="Y139" s="1">
        <f t="shared" ca="1" si="131"/>
        <v>0.27026508571889246</v>
      </c>
      <c r="Z139" s="1">
        <f t="shared" ca="1" si="132"/>
        <v>307</v>
      </c>
      <c r="AB139" s="1">
        <f t="shared" ca="1" si="133"/>
        <v>0.43552442891339166</v>
      </c>
      <c r="AC139" s="1">
        <f t="shared" ca="1" si="134"/>
        <v>882</v>
      </c>
      <c r="AD139" s="1">
        <f t="shared" ca="1" si="135"/>
        <v>6.3405547387460478E-3</v>
      </c>
      <c r="AE139" s="1"/>
      <c r="AF139" s="1">
        <f t="shared" ca="1" si="136"/>
        <v>0.31491085607005409</v>
      </c>
      <c r="AG139" s="1">
        <f t="shared" ca="1" si="137"/>
        <v>623</v>
      </c>
      <c r="AH139" s="1">
        <f t="shared" ca="1" si="138"/>
        <v>1.4853770844559559E-3</v>
      </c>
      <c r="AJ139" s="1">
        <f t="shared" ca="1" si="139"/>
        <v>0.56946293826991912</v>
      </c>
      <c r="AK139" s="1">
        <f t="shared" ca="1" si="140"/>
        <v>1.331497344267716E-3</v>
      </c>
      <c r="AL139" s="1"/>
      <c r="AM139" s="1">
        <f t="shared" ca="1" si="141"/>
        <v>0.16648876776096039</v>
      </c>
      <c r="AN139" s="1">
        <f t="shared" ca="1" si="142"/>
        <v>37</v>
      </c>
      <c r="AO139" s="1">
        <f t="shared" ca="1" si="143"/>
        <v>4</v>
      </c>
      <c r="AQ139" s="1">
        <f t="shared" ca="1" si="144"/>
        <v>143</v>
      </c>
      <c r="AR139" s="1">
        <f t="shared" ca="1" si="145"/>
        <v>8</v>
      </c>
      <c r="AS139" s="1">
        <f t="shared" ca="1" si="146"/>
        <v>23</v>
      </c>
      <c r="AU139" s="1">
        <f t="shared" ca="1" si="147"/>
        <v>264</v>
      </c>
      <c r="AV139" s="1">
        <f t="shared" ca="1" si="148"/>
        <v>5</v>
      </c>
      <c r="AW139" s="1">
        <f t="shared" ca="1" si="149"/>
        <v>0.10230999311233317</v>
      </c>
      <c r="AY139" s="1">
        <f t="shared" ca="1" si="150"/>
        <v>1.3734625795479132</v>
      </c>
      <c r="AZ139" s="1">
        <f t="shared" ca="1" si="151"/>
        <v>99</v>
      </c>
      <c r="BA139" s="1">
        <f t="shared" ca="1" si="152"/>
        <v>8.9065897269252226E-3</v>
      </c>
      <c r="BV139" s="1">
        <f t="shared" ca="1" si="153"/>
        <v>0.91769038779505296</v>
      </c>
      <c r="BW139" s="1">
        <f t="shared" ca="1" si="154"/>
        <v>427</v>
      </c>
      <c r="BX139" s="1">
        <f t="shared" ca="1" si="155"/>
        <v>2.5258662943954914E-3</v>
      </c>
      <c r="BY139" s="1">
        <f t="shared" ca="1" si="156"/>
        <v>6.9880101200149869E-2</v>
      </c>
      <c r="BZ139" s="1">
        <f t="shared" ca="1" si="157"/>
        <v>0.87026252071496302</v>
      </c>
      <c r="CB139" s="1">
        <f t="shared" ca="1" si="158"/>
        <v>318</v>
      </c>
      <c r="CC139" s="1">
        <f t="shared" ca="1" si="159"/>
        <v>5</v>
      </c>
      <c r="CD139" s="1">
        <f t="shared" ca="1" si="160"/>
        <v>6.0119305879693698E-2</v>
      </c>
      <c r="CE139" s="1">
        <f t="shared" ca="1" si="161"/>
        <v>0.62658604006604557</v>
      </c>
      <c r="CF139" s="1">
        <f t="shared" ca="1" si="161"/>
        <v>0.74084672097509174</v>
      </c>
      <c r="CH139" s="3">
        <f t="shared" ca="1" si="162"/>
        <v>0.82849189473194951</v>
      </c>
      <c r="CI139" s="3">
        <f t="shared" ca="1" si="163"/>
        <v>0.96755445820324382</v>
      </c>
      <c r="CJ139" s="3">
        <f t="shared" ca="1" si="164"/>
        <v>990</v>
      </c>
      <c r="CK139" s="3">
        <f t="shared" ca="1" si="165"/>
        <v>5.6368312683289208E-3</v>
      </c>
      <c r="CL139" s="3">
        <f t="shared" ca="1" si="166"/>
        <v>1</v>
      </c>
      <c r="CM139" s="3"/>
      <c r="CN139" s="1">
        <f t="shared" ca="1" si="167"/>
        <v>3.2448197997962249</v>
      </c>
      <c r="CO139" s="1">
        <f t="shared" ca="1" si="168"/>
        <v>0.1321980247270885</v>
      </c>
      <c r="CP139" s="1">
        <f t="shared" ca="1" si="169"/>
        <v>1</v>
      </c>
    </row>
    <row r="140" spans="2:94" x14ac:dyDescent="0.25">
      <c r="B140">
        <f t="shared" ca="1" si="114"/>
        <v>374</v>
      </c>
      <c r="C140">
        <f t="shared" ca="1" si="115"/>
        <v>41</v>
      </c>
      <c r="D140">
        <f t="shared" ca="1" si="116"/>
        <v>0.22796902748560868</v>
      </c>
      <c r="F140" s="1">
        <f t="shared" ca="1" si="117"/>
        <v>20</v>
      </c>
      <c r="G140" s="1">
        <f t="shared" ca="1" si="118"/>
        <v>18</v>
      </c>
      <c r="H140" s="1">
        <f t="shared" ca="1" si="119"/>
        <v>10</v>
      </c>
      <c r="I140" s="1"/>
      <c r="J140" s="1">
        <f t="shared" ca="1" si="120"/>
        <v>24</v>
      </c>
      <c r="K140" s="1">
        <f t="shared" ca="1" si="121"/>
        <v>2.8641930845313928</v>
      </c>
      <c r="L140" s="1">
        <f t="shared" ca="1" si="122"/>
        <v>4</v>
      </c>
      <c r="M140" s="1"/>
      <c r="N140" s="1">
        <f t="shared" ca="1" si="123"/>
        <v>881</v>
      </c>
      <c r="O140" s="1">
        <f t="shared" ca="1" si="124"/>
        <v>29</v>
      </c>
      <c r="P140" s="1"/>
      <c r="Q140" s="1">
        <f t="shared" ca="1" si="125"/>
        <v>0.45093579599729999</v>
      </c>
      <c r="R140" s="1">
        <f t="shared" ca="1" si="126"/>
        <v>810</v>
      </c>
      <c r="S140" s="1"/>
      <c r="T140" s="1">
        <f t="shared" ca="1" si="127"/>
        <v>2.4611221360208935E-2</v>
      </c>
      <c r="U140" s="1">
        <f t="shared" ca="1" si="128"/>
        <v>224</v>
      </c>
      <c r="V140" s="1">
        <f t="shared" ca="1" si="129"/>
        <v>41</v>
      </c>
      <c r="W140" s="1"/>
      <c r="X140" s="1">
        <f t="shared" ca="1" si="130"/>
        <v>0.20694203641126663</v>
      </c>
      <c r="Y140" s="1">
        <f t="shared" ca="1" si="131"/>
        <v>5.7511108941990338E-2</v>
      </c>
      <c r="Z140" s="1">
        <f t="shared" ca="1" si="132"/>
        <v>1511</v>
      </c>
      <c r="AB140" s="1">
        <f t="shared" ca="1" si="133"/>
        <v>0.65693416053982334</v>
      </c>
      <c r="AC140" s="1">
        <f t="shared" ca="1" si="134"/>
        <v>253</v>
      </c>
      <c r="AD140" s="1">
        <f t="shared" ca="1" si="135"/>
        <v>5.394435863440801E-3</v>
      </c>
      <c r="AE140" s="1"/>
      <c r="AF140" s="1">
        <f t="shared" ca="1" si="136"/>
        <v>0.63686001078443044</v>
      </c>
      <c r="AG140" s="1">
        <f t="shared" ca="1" si="137"/>
        <v>732</v>
      </c>
      <c r="AH140" s="1">
        <f t="shared" ca="1" si="138"/>
        <v>3.4641841736824408E-3</v>
      </c>
      <c r="AJ140" s="1">
        <f t="shared" ca="1" si="139"/>
        <v>0.82929981283563747</v>
      </c>
      <c r="AK140" s="1">
        <f t="shared" ca="1" si="140"/>
        <v>8.8525141591792519E-3</v>
      </c>
      <c r="AL140" s="1"/>
      <c r="AM140" s="1">
        <f t="shared" ca="1" si="141"/>
        <v>0.19254670229160076</v>
      </c>
      <c r="AN140" s="1">
        <f t="shared" ca="1" si="142"/>
        <v>72</v>
      </c>
      <c r="AO140" s="1">
        <f t="shared" ca="1" si="143"/>
        <v>10</v>
      </c>
      <c r="AQ140" s="1">
        <f t="shared" ca="1" si="144"/>
        <v>170</v>
      </c>
      <c r="AR140" s="1">
        <f t="shared" ca="1" si="145"/>
        <v>2</v>
      </c>
      <c r="AS140" s="1">
        <f t="shared" ca="1" si="146"/>
        <v>41</v>
      </c>
      <c r="AU140" s="1">
        <f t="shared" ca="1" si="147"/>
        <v>66</v>
      </c>
      <c r="AV140" s="1">
        <f t="shared" ca="1" si="148"/>
        <v>9</v>
      </c>
      <c r="AW140" s="1">
        <f t="shared" ca="1" si="149"/>
        <v>0.18579754518075861</v>
      </c>
      <c r="AY140" s="1">
        <f t="shared" ca="1" si="150"/>
        <v>1.8226645576222555</v>
      </c>
      <c r="AZ140" s="1">
        <f t="shared" ca="1" si="151"/>
        <v>52</v>
      </c>
      <c r="BA140" s="1">
        <f t="shared" ca="1" si="152"/>
        <v>8.4275738070168922E-4</v>
      </c>
      <c r="BV140" s="1">
        <f t="shared" ca="1" si="153"/>
        <v>8.1429124799389206E-3</v>
      </c>
      <c r="BW140" s="1">
        <f t="shared" ca="1" si="154"/>
        <v>630</v>
      </c>
      <c r="BX140" s="1">
        <f t="shared" ca="1" si="155"/>
        <v>1.1603975078003435E-3</v>
      </c>
      <c r="BY140" s="1">
        <f t="shared" ca="1" si="156"/>
        <v>8.11791158593448E-3</v>
      </c>
      <c r="BZ140" s="1">
        <f t="shared" ca="1" si="157"/>
        <v>0.86026788662769582</v>
      </c>
      <c r="CB140" s="1">
        <f t="shared" ca="1" si="158"/>
        <v>372</v>
      </c>
      <c r="CC140" s="1">
        <f t="shared" ca="1" si="159"/>
        <v>8</v>
      </c>
      <c r="CD140" s="1">
        <f t="shared" ca="1" si="160"/>
        <v>0.18328679865871517</v>
      </c>
      <c r="CE140" s="1">
        <f t="shared" ca="1" si="161"/>
        <v>0.70311630101491596</v>
      </c>
      <c r="CF140" s="1">
        <f t="shared" ca="1" si="161"/>
        <v>0.90688061334726811</v>
      </c>
      <c r="CH140" s="3">
        <f t="shared" ca="1" si="162"/>
        <v>0.35970574470208122</v>
      </c>
      <c r="CI140" s="3">
        <f t="shared" ca="1" si="163"/>
        <v>0.69211253572406617</v>
      </c>
      <c r="CJ140" s="3">
        <f t="shared" ca="1" si="164"/>
        <v>465</v>
      </c>
      <c r="CK140" s="3">
        <f t="shared" ca="1" si="165"/>
        <v>7.3862597201144195E-3</v>
      </c>
      <c r="CL140" s="3">
        <f t="shared" ca="1" si="166"/>
        <v>1</v>
      </c>
      <c r="CM140" s="3"/>
      <c r="CN140" s="1">
        <f t="shared" ca="1" si="167"/>
        <v>2.6336154933498874</v>
      </c>
      <c r="CO140" s="1">
        <f t="shared" ca="1" si="168"/>
        <v>0.40915220408393682</v>
      </c>
      <c r="CP140" s="1">
        <f t="shared" ca="1" si="169"/>
        <v>4</v>
      </c>
    </row>
    <row r="141" spans="2:94" x14ac:dyDescent="0.25">
      <c r="B141">
        <f t="shared" ca="1" si="114"/>
        <v>881</v>
      </c>
      <c r="C141">
        <f t="shared" ca="1" si="115"/>
        <v>3</v>
      </c>
      <c r="D141">
        <f t="shared" ca="1" si="116"/>
        <v>0.25614441070152172</v>
      </c>
      <c r="F141" s="1">
        <f t="shared" ca="1" si="117"/>
        <v>4</v>
      </c>
      <c r="G141" s="1">
        <f t="shared" ca="1" si="118"/>
        <v>17</v>
      </c>
      <c r="H141" s="1">
        <f t="shared" ca="1" si="119"/>
        <v>11</v>
      </c>
      <c r="I141" s="1"/>
      <c r="J141" s="1">
        <f t="shared" ca="1" si="120"/>
        <v>7</v>
      </c>
      <c r="K141" s="1">
        <f t="shared" ca="1" si="121"/>
        <v>2.1769368067715869</v>
      </c>
      <c r="L141" s="1">
        <f t="shared" ca="1" si="122"/>
        <v>20</v>
      </c>
      <c r="M141" s="1"/>
      <c r="N141" s="1">
        <f t="shared" ca="1" si="123"/>
        <v>241</v>
      </c>
      <c r="O141" s="1">
        <f t="shared" ca="1" si="124"/>
        <v>28</v>
      </c>
      <c r="P141" s="1"/>
      <c r="Q141" s="1">
        <f t="shared" ca="1" si="125"/>
        <v>4.9752617279681939</v>
      </c>
      <c r="R141" s="1">
        <f t="shared" ca="1" si="126"/>
        <v>419</v>
      </c>
      <c r="S141" s="1"/>
      <c r="T141" s="1">
        <f t="shared" ca="1" si="127"/>
        <v>0.10039123416397699</v>
      </c>
      <c r="U141" s="1">
        <f t="shared" ca="1" si="128"/>
        <v>127</v>
      </c>
      <c r="V141" s="1">
        <f t="shared" ca="1" si="129"/>
        <v>30</v>
      </c>
      <c r="W141" s="1"/>
      <c r="X141" s="1">
        <f t="shared" ca="1" si="130"/>
        <v>6.571898909831571</v>
      </c>
      <c r="Y141" s="1">
        <f t="shared" ca="1" si="131"/>
        <v>0.18359832681100566</v>
      </c>
      <c r="Z141" s="1">
        <f t="shared" ca="1" si="132"/>
        <v>422</v>
      </c>
      <c r="AB141" s="1">
        <f t="shared" ca="1" si="133"/>
        <v>0.75320442389738584</v>
      </c>
      <c r="AC141" s="1">
        <f t="shared" ca="1" si="134"/>
        <v>536</v>
      </c>
      <c r="AD141" s="1">
        <f t="shared" ca="1" si="135"/>
        <v>2.3013231053312547E-3</v>
      </c>
      <c r="AE141" s="1"/>
      <c r="AF141" s="1">
        <f t="shared" ca="1" si="136"/>
        <v>0.54373659357299065</v>
      </c>
      <c r="AG141" s="1">
        <f t="shared" ca="1" si="137"/>
        <v>269</v>
      </c>
      <c r="AH141" s="1">
        <f t="shared" ca="1" si="138"/>
        <v>9.0792928360447691E-3</v>
      </c>
      <c r="AJ141" s="1">
        <f t="shared" ca="1" si="139"/>
        <v>0.13511414042247416</v>
      </c>
      <c r="AK141" s="1">
        <f t="shared" ca="1" si="140"/>
        <v>7.9794127364798736E-3</v>
      </c>
      <c r="AL141" s="1"/>
      <c r="AM141" s="1">
        <f t="shared" ca="1" si="141"/>
        <v>6.9932041782827664E-2</v>
      </c>
      <c r="AN141" s="1">
        <f t="shared" ca="1" si="142"/>
        <v>78</v>
      </c>
      <c r="AO141" s="1">
        <f t="shared" ca="1" si="143"/>
        <v>6</v>
      </c>
      <c r="AQ141" s="1">
        <f t="shared" ca="1" si="144"/>
        <v>64</v>
      </c>
      <c r="AR141" s="1">
        <f t="shared" ca="1" si="145"/>
        <v>1</v>
      </c>
      <c r="AS141" s="1">
        <f t="shared" ca="1" si="146"/>
        <v>72</v>
      </c>
      <c r="AU141" s="1">
        <f t="shared" ca="1" si="147"/>
        <v>154</v>
      </c>
      <c r="AV141" s="1">
        <f t="shared" ca="1" si="148"/>
        <v>2</v>
      </c>
      <c r="AW141" s="1">
        <f t="shared" ca="1" si="149"/>
        <v>3.2885713448309879E-2</v>
      </c>
      <c r="AY141" s="1">
        <f t="shared" ca="1" si="150"/>
        <v>1.7681537874851023</v>
      </c>
      <c r="AZ141" s="1">
        <f t="shared" ca="1" si="151"/>
        <v>252</v>
      </c>
      <c r="BA141" s="1">
        <f t="shared" ca="1" si="152"/>
        <v>7.2378218582559205E-3</v>
      </c>
      <c r="BV141" s="1">
        <f t="shared" ca="1" si="153"/>
        <v>0.63366359712755593</v>
      </c>
      <c r="BW141" s="1">
        <f t="shared" ca="1" si="154"/>
        <v>615</v>
      </c>
      <c r="BX141" s="1">
        <f t="shared" ca="1" si="155"/>
        <v>9.4148912750243209E-3</v>
      </c>
      <c r="BY141" s="1">
        <f t="shared" ca="1" si="156"/>
        <v>6.30123423631479E-2</v>
      </c>
      <c r="BZ141" s="1">
        <f t="shared" ca="1" si="157"/>
        <v>4.0394741442273396E-2</v>
      </c>
      <c r="CB141" s="1">
        <f t="shared" ca="1" si="158"/>
        <v>312</v>
      </c>
      <c r="CC141" s="1">
        <f t="shared" ca="1" si="159"/>
        <v>8</v>
      </c>
      <c r="CD141" s="1">
        <f t="shared" ca="1" si="160"/>
        <v>7.0256130761890481E-2</v>
      </c>
      <c r="CE141" s="1">
        <f t="shared" ca="1" si="161"/>
        <v>0.74753288742893587</v>
      </c>
      <c r="CF141" s="1">
        <f t="shared" ca="1" si="161"/>
        <v>0.89120701782253842</v>
      </c>
      <c r="CH141" s="3">
        <f t="shared" ca="1" si="162"/>
        <v>0.77364270186843498</v>
      </c>
      <c r="CI141" s="3">
        <f t="shared" ca="1" si="163"/>
        <v>0.1834082292112742</v>
      </c>
      <c r="CJ141" s="3">
        <f t="shared" ca="1" si="164"/>
        <v>1608</v>
      </c>
      <c r="CK141" s="3">
        <f t="shared" ca="1" si="165"/>
        <v>8.9912173669374883E-3</v>
      </c>
      <c r="CL141" s="3">
        <f t="shared" ca="1" si="166"/>
        <v>1</v>
      </c>
      <c r="CM141" s="3"/>
      <c r="CN141" s="1">
        <f t="shared" ca="1" si="167"/>
        <v>15.541337703252264</v>
      </c>
      <c r="CO141" s="1">
        <f t="shared" ca="1" si="168"/>
        <v>0.46845524874575639</v>
      </c>
      <c r="CP141" s="1">
        <f t="shared" ca="1" si="169"/>
        <v>3</v>
      </c>
    </row>
    <row r="142" spans="2:94" x14ac:dyDescent="0.25">
      <c r="B142">
        <f t="shared" ca="1" si="114"/>
        <v>48</v>
      </c>
      <c r="C142">
        <f t="shared" ca="1" si="115"/>
        <v>12</v>
      </c>
      <c r="D142">
        <f t="shared" ca="1" si="116"/>
        <v>0.25393238060439982</v>
      </c>
      <c r="F142" s="1">
        <f t="shared" ca="1" si="117"/>
        <v>3</v>
      </c>
      <c r="G142" s="1">
        <f t="shared" ca="1" si="118"/>
        <v>8</v>
      </c>
      <c r="H142" s="1">
        <f t="shared" ca="1" si="119"/>
        <v>15</v>
      </c>
      <c r="I142" s="1"/>
      <c r="J142" s="1">
        <f t="shared" ca="1" si="120"/>
        <v>39</v>
      </c>
      <c r="K142" s="1">
        <f t="shared" ca="1" si="121"/>
        <v>2.0394889246697607</v>
      </c>
      <c r="L142" s="1">
        <f t="shared" ca="1" si="122"/>
        <v>28</v>
      </c>
      <c r="M142" s="1"/>
      <c r="N142" s="1">
        <f t="shared" ca="1" si="123"/>
        <v>927</v>
      </c>
      <c r="O142" s="1">
        <f t="shared" ca="1" si="124"/>
        <v>39</v>
      </c>
      <c r="P142" s="1"/>
      <c r="Q142" s="1">
        <f t="shared" ca="1" si="125"/>
        <v>2.823328790274203</v>
      </c>
      <c r="R142" s="1">
        <f t="shared" ca="1" si="126"/>
        <v>410</v>
      </c>
      <c r="S142" s="1"/>
      <c r="T142" s="1">
        <f t="shared" ca="1" si="127"/>
        <v>0.17569634427501149</v>
      </c>
      <c r="U142" s="1">
        <f t="shared" ca="1" si="128"/>
        <v>407</v>
      </c>
      <c r="V142" s="1">
        <f t="shared" ca="1" si="129"/>
        <v>22</v>
      </c>
      <c r="W142" s="1"/>
      <c r="X142" s="1">
        <f t="shared" ca="1" si="130"/>
        <v>1.8686534846049478E-2</v>
      </c>
      <c r="Y142" s="1">
        <f t="shared" ca="1" si="131"/>
        <v>0.84126029850845097</v>
      </c>
      <c r="Z142" s="1">
        <f t="shared" ca="1" si="132"/>
        <v>241</v>
      </c>
      <c r="AB142" s="1">
        <f t="shared" ca="1" si="133"/>
        <v>0.3408159816565034</v>
      </c>
      <c r="AC142" s="1">
        <f t="shared" ca="1" si="134"/>
        <v>509</v>
      </c>
      <c r="AD142" s="1">
        <f t="shared" ca="1" si="135"/>
        <v>8.6711806897793488E-3</v>
      </c>
      <c r="AE142" s="1"/>
      <c r="AF142" s="1">
        <f t="shared" ca="1" si="136"/>
        <v>0.50967813191533995</v>
      </c>
      <c r="AG142" s="1">
        <f t="shared" ca="1" si="137"/>
        <v>739</v>
      </c>
      <c r="AH142" s="1">
        <f t="shared" ca="1" si="138"/>
        <v>7.7875936084345339E-4</v>
      </c>
      <c r="AJ142" s="1">
        <f t="shared" ca="1" si="139"/>
        <v>0.80167968708204607</v>
      </c>
      <c r="AK142" s="1">
        <f t="shared" ca="1" si="140"/>
        <v>2.1541032663354785E-3</v>
      </c>
      <c r="AL142" s="1"/>
      <c r="AM142" s="1">
        <f t="shared" ca="1" si="141"/>
        <v>1.9854074594498436E-2</v>
      </c>
      <c r="AN142" s="1">
        <f t="shared" ca="1" si="142"/>
        <v>55</v>
      </c>
      <c r="AO142" s="1">
        <f t="shared" ca="1" si="143"/>
        <v>0</v>
      </c>
      <c r="AQ142" s="1">
        <f t="shared" ca="1" si="144"/>
        <v>174</v>
      </c>
      <c r="AR142" s="1">
        <f t="shared" ca="1" si="145"/>
        <v>0</v>
      </c>
      <c r="AS142" s="1">
        <f t="shared" ca="1" si="146"/>
        <v>80</v>
      </c>
      <c r="AU142" s="1">
        <f t="shared" ca="1" si="147"/>
        <v>264</v>
      </c>
      <c r="AV142" s="1">
        <f t="shared" ca="1" si="148"/>
        <v>6</v>
      </c>
      <c r="AW142" s="1">
        <f t="shared" ca="1" si="149"/>
        <v>0.13412200795322654</v>
      </c>
      <c r="AY142" s="1">
        <f t="shared" ca="1" si="150"/>
        <v>1.8432794614991481</v>
      </c>
      <c r="AZ142" s="1">
        <f t="shared" ca="1" si="151"/>
        <v>403</v>
      </c>
      <c r="BA142" s="1">
        <f t="shared" ca="1" si="152"/>
        <v>5.4954009343387462E-3</v>
      </c>
      <c r="BV142" s="1">
        <f t="shared" ca="1" si="153"/>
        <v>0.20912763157958519</v>
      </c>
      <c r="BW142" s="1">
        <f t="shared" ca="1" si="154"/>
        <v>481</v>
      </c>
      <c r="BX142" s="1">
        <f t="shared" ca="1" si="155"/>
        <v>7.523099192452109E-3</v>
      </c>
      <c r="BY142" s="1">
        <f t="shared" ca="1" si="156"/>
        <v>4.0788659255905489E-2</v>
      </c>
      <c r="BZ142" s="1">
        <f t="shared" ca="1" si="157"/>
        <v>7.3749810326921073E-2</v>
      </c>
      <c r="CB142" s="1">
        <f t="shared" ca="1" si="158"/>
        <v>452</v>
      </c>
      <c r="CC142" s="1">
        <f t="shared" ca="1" si="159"/>
        <v>4</v>
      </c>
      <c r="CD142" s="1">
        <f t="shared" ca="1" si="160"/>
        <v>0.12293155813831777</v>
      </c>
      <c r="CE142" s="1">
        <f t="shared" ca="1" si="161"/>
        <v>0.83604370689716911</v>
      </c>
      <c r="CF142" s="1">
        <f t="shared" ca="1" si="161"/>
        <v>0.6107604662406767</v>
      </c>
      <c r="CH142" s="3">
        <f t="shared" ca="1" si="162"/>
        <v>0.96084640246392838</v>
      </c>
      <c r="CI142" s="3">
        <f t="shared" ca="1" si="163"/>
        <v>0.76153119157676619</v>
      </c>
      <c r="CJ142" s="3">
        <f t="shared" ca="1" si="164"/>
        <v>429</v>
      </c>
      <c r="CK142" s="3">
        <f t="shared" ca="1" si="165"/>
        <v>9.0751768712965166E-3</v>
      </c>
      <c r="CL142" s="3">
        <f t="shared" ca="1" si="166"/>
        <v>1</v>
      </c>
      <c r="CM142" s="3"/>
      <c r="CN142" s="1">
        <f t="shared" ca="1" si="167"/>
        <v>17.970831975524753</v>
      </c>
      <c r="CO142" s="1">
        <f t="shared" ca="1" si="168"/>
        <v>0.14032188472238705</v>
      </c>
      <c r="CP142" s="1">
        <f t="shared" ca="1" si="169"/>
        <v>3</v>
      </c>
    </row>
    <row r="143" spans="2:94" x14ac:dyDescent="0.25">
      <c r="B143">
        <f t="shared" ca="1" si="114"/>
        <v>210</v>
      </c>
      <c r="C143">
        <f t="shared" ca="1" si="115"/>
        <v>36</v>
      </c>
      <c r="D143">
        <f t="shared" ca="1" si="116"/>
        <v>0.2929365895564166</v>
      </c>
      <c r="F143" s="1">
        <f t="shared" ca="1" si="117"/>
        <v>45</v>
      </c>
      <c r="G143" s="1">
        <f t="shared" ca="1" si="118"/>
        <v>4</v>
      </c>
      <c r="H143" s="1">
        <f t="shared" ca="1" si="119"/>
        <v>8</v>
      </c>
      <c r="I143" s="1"/>
      <c r="J143" s="1">
        <f t="shared" ca="1" si="120"/>
        <v>25</v>
      </c>
      <c r="K143" s="1">
        <f t="shared" ca="1" si="121"/>
        <v>1.4321527102375577</v>
      </c>
      <c r="L143" s="1">
        <f t="shared" ca="1" si="122"/>
        <v>22</v>
      </c>
      <c r="M143" s="1"/>
      <c r="N143" s="1">
        <f t="shared" ca="1" si="123"/>
        <v>655</v>
      </c>
      <c r="O143" s="1">
        <f t="shared" ca="1" si="124"/>
        <v>26</v>
      </c>
      <c r="P143" s="1"/>
      <c r="Q143" s="1">
        <f t="shared" ca="1" si="125"/>
        <v>4.7117143352046993</v>
      </c>
      <c r="R143" s="1">
        <f t="shared" ca="1" si="126"/>
        <v>219</v>
      </c>
      <c r="S143" s="1"/>
      <c r="T143" s="1">
        <f t="shared" ca="1" si="127"/>
        <v>0.14296531824612208</v>
      </c>
      <c r="U143" s="1">
        <f t="shared" ca="1" si="128"/>
        <v>190</v>
      </c>
      <c r="V143" s="1">
        <f t="shared" ca="1" si="129"/>
        <v>29</v>
      </c>
      <c r="W143" s="1"/>
      <c r="X143" s="1">
        <f t="shared" ca="1" si="130"/>
        <v>9.4075348779224957</v>
      </c>
      <c r="Y143" s="1">
        <f t="shared" ca="1" si="131"/>
        <v>0.30441239496905376</v>
      </c>
      <c r="Z143" s="1">
        <f t="shared" ca="1" si="132"/>
        <v>844</v>
      </c>
      <c r="AB143" s="1">
        <f t="shared" ca="1" si="133"/>
        <v>0.53093482179399099</v>
      </c>
      <c r="AC143" s="1">
        <f t="shared" ca="1" si="134"/>
        <v>812</v>
      </c>
      <c r="AD143" s="1">
        <f t="shared" ca="1" si="135"/>
        <v>8.1592752989315918E-3</v>
      </c>
      <c r="AE143" s="1"/>
      <c r="AF143" s="1">
        <f t="shared" ca="1" si="136"/>
        <v>0.61569833852661249</v>
      </c>
      <c r="AG143" s="1">
        <f t="shared" ca="1" si="137"/>
        <v>242</v>
      </c>
      <c r="AH143" s="1">
        <f t="shared" ca="1" si="138"/>
        <v>6.8003779320889796E-4</v>
      </c>
      <c r="AJ143" s="1">
        <f t="shared" ca="1" si="139"/>
        <v>0.64938688095865171</v>
      </c>
      <c r="AK143" s="1">
        <f t="shared" ca="1" si="140"/>
        <v>9.5309352454636381E-3</v>
      </c>
      <c r="AL143" s="1"/>
      <c r="AM143" s="1">
        <f t="shared" ca="1" si="141"/>
        <v>6.1380401114037482E-3</v>
      </c>
      <c r="AN143" s="1">
        <f t="shared" ca="1" si="142"/>
        <v>21</v>
      </c>
      <c r="AO143" s="1">
        <f t="shared" ca="1" si="143"/>
        <v>2</v>
      </c>
      <c r="AQ143" s="1">
        <f t="shared" ca="1" si="144"/>
        <v>55</v>
      </c>
      <c r="AR143" s="1">
        <f t="shared" ca="1" si="145"/>
        <v>1</v>
      </c>
      <c r="AS143" s="1">
        <f t="shared" ca="1" si="146"/>
        <v>10</v>
      </c>
      <c r="AU143" s="1">
        <f t="shared" ca="1" si="147"/>
        <v>162</v>
      </c>
      <c r="AV143" s="1">
        <f t="shared" ca="1" si="148"/>
        <v>4</v>
      </c>
      <c r="AW143" s="1">
        <f t="shared" ca="1" si="149"/>
        <v>9.6224220526762744E-2</v>
      </c>
      <c r="AY143" s="1">
        <f t="shared" ca="1" si="150"/>
        <v>1.3890109483193545</v>
      </c>
      <c r="AZ143" s="1">
        <f t="shared" ca="1" si="151"/>
        <v>177</v>
      </c>
      <c r="BA143" s="1">
        <f t="shared" ca="1" si="152"/>
        <v>7.0078642946508375E-3</v>
      </c>
      <c r="BV143" s="1">
        <f t="shared" ca="1" si="153"/>
        <v>0.3196263043375962</v>
      </c>
      <c r="BW143" s="1">
        <f t="shared" ca="1" si="154"/>
        <v>314</v>
      </c>
      <c r="BX143" s="1">
        <f t="shared" ca="1" si="155"/>
        <v>4.241277760348783E-3</v>
      </c>
      <c r="BY143" s="1">
        <f t="shared" ca="1" si="156"/>
        <v>9.3283776034858504E-2</v>
      </c>
      <c r="BZ143" s="1">
        <f t="shared" ca="1" si="157"/>
        <v>0.25476451955933932</v>
      </c>
      <c r="CB143" s="1">
        <f t="shared" ca="1" si="158"/>
        <v>188</v>
      </c>
      <c r="CC143" s="1">
        <f t="shared" ca="1" si="159"/>
        <v>8</v>
      </c>
      <c r="CD143" s="1">
        <f t="shared" ca="1" si="160"/>
        <v>0.21723616256479397</v>
      </c>
      <c r="CE143" s="1">
        <f t="shared" ca="1" si="161"/>
        <v>0.9862838732048651</v>
      </c>
      <c r="CF143" s="1">
        <f t="shared" ca="1" si="161"/>
        <v>0.55797740033898735</v>
      </c>
      <c r="CH143" s="3">
        <f t="shared" ca="1" si="162"/>
        <v>0.18754823232537901</v>
      </c>
      <c r="CI143" s="3">
        <f t="shared" ca="1" si="163"/>
        <v>0.92026034218534236</v>
      </c>
      <c r="CJ143" s="3">
        <f t="shared" ca="1" si="164"/>
        <v>191</v>
      </c>
      <c r="CK143" s="3">
        <f t="shared" ca="1" si="165"/>
        <v>3.4824228215746299E-4</v>
      </c>
      <c r="CL143" s="3">
        <f t="shared" ca="1" si="166"/>
        <v>0</v>
      </c>
      <c r="CM143" s="3"/>
      <c r="CN143" s="1">
        <f t="shared" ca="1" si="167"/>
        <v>16.108723951288297</v>
      </c>
      <c r="CO143" s="1">
        <f t="shared" ca="1" si="168"/>
        <v>9.6973130153795523E-2</v>
      </c>
      <c r="CP143" s="1">
        <f t="shared" ca="1" si="169"/>
        <v>3</v>
      </c>
    </row>
    <row r="144" spans="2:94" x14ac:dyDescent="0.25">
      <c r="B144">
        <f t="shared" ca="1" si="114"/>
        <v>644</v>
      </c>
      <c r="C144">
        <f t="shared" ca="1" si="115"/>
        <v>29</v>
      </c>
      <c r="D144">
        <f t="shared" ca="1" si="116"/>
        <v>5.6946558054858619E-2</v>
      </c>
      <c r="F144" s="1">
        <f t="shared" ca="1" si="117"/>
        <v>52</v>
      </c>
      <c r="G144" s="1">
        <f t="shared" ca="1" si="118"/>
        <v>7</v>
      </c>
      <c r="H144" s="1">
        <f t="shared" ca="1" si="119"/>
        <v>14</v>
      </c>
      <c r="I144" s="1"/>
      <c r="J144" s="1">
        <f t="shared" ca="1" si="120"/>
        <v>2</v>
      </c>
      <c r="K144" s="1">
        <f t="shared" ca="1" si="121"/>
        <v>2.4437321378606551</v>
      </c>
      <c r="L144" s="1">
        <f t="shared" ca="1" si="122"/>
        <v>35</v>
      </c>
      <c r="M144" s="1"/>
      <c r="N144" s="1">
        <f t="shared" ca="1" si="123"/>
        <v>291</v>
      </c>
      <c r="O144" s="1">
        <f t="shared" ca="1" si="124"/>
        <v>6</v>
      </c>
      <c r="P144" s="1"/>
      <c r="Q144" s="1">
        <f t="shared" ca="1" si="125"/>
        <v>4.9071052664047183</v>
      </c>
      <c r="R144" s="1">
        <f t="shared" ca="1" si="126"/>
        <v>1187</v>
      </c>
      <c r="S144" s="1"/>
      <c r="T144" s="1">
        <f t="shared" ca="1" si="127"/>
        <v>5.2257840617985878E-2</v>
      </c>
      <c r="U144" s="1">
        <f t="shared" ca="1" si="128"/>
        <v>226</v>
      </c>
      <c r="V144" s="1">
        <f t="shared" ca="1" si="129"/>
        <v>26</v>
      </c>
      <c r="W144" s="1"/>
      <c r="X144" s="1">
        <f t="shared" ca="1" si="130"/>
        <v>1.2380285877523096</v>
      </c>
      <c r="Y144" s="1">
        <f t="shared" ca="1" si="131"/>
        <v>7.6918768964647527E-2</v>
      </c>
      <c r="Z144" s="1">
        <f t="shared" ca="1" si="132"/>
        <v>1758</v>
      </c>
      <c r="AB144" s="1">
        <f t="shared" ca="1" si="133"/>
        <v>7.0930379213956035E-2</v>
      </c>
      <c r="AC144" s="1">
        <f t="shared" ca="1" si="134"/>
        <v>811</v>
      </c>
      <c r="AD144" s="1">
        <f t="shared" ca="1" si="135"/>
        <v>1.8204147746303024E-3</v>
      </c>
      <c r="AE144" s="1"/>
      <c r="AF144" s="1">
        <f t="shared" ca="1" si="136"/>
        <v>0.63010634232256557</v>
      </c>
      <c r="AG144" s="1">
        <f t="shared" ca="1" si="137"/>
        <v>576</v>
      </c>
      <c r="AH144" s="1">
        <f t="shared" ca="1" si="138"/>
        <v>2.1289806226260114E-3</v>
      </c>
      <c r="AJ144" s="1">
        <f t="shared" ca="1" si="139"/>
        <v>0.88483916371211047</v>
      </c>
      <c r="AK144" s="1">
        <f t="shared" ca="1" si="140"/>
        <v>3.6612218883422783E-3</v>
      </c>
      <c r="AL144" s="1"/>
      <c r="AM144" s="1">
        <f t="shared" ca="1" si="141"/>
        <v>0.18433944327268412</v>
      </c>
      <c r="AN144" s="1">
        <f t="shared" ca="1" si="142"/>
        <v>34</v>
      </c>
      <c r="AO144" s="1">
        <f t="shared" ca="1" si="143"/>
        <v>11</v>
      </c>
      <c r="AQ144" s="1">
        <f t="shared" ca="1" si="144"/>
        <v>133</v>
      </c>
      <c r="AR144" s="1">
        <f t="shared" ca="1" si="145"/>
        <v>5</v>
      </c>
      <c r="AS144" s="1">
        <f t="shared" ca="1" si="146"/>
        <v>79</v>
      </c>
      <c r="AU144" s="1">
        <f t="shared" ca="1" si="147"/>
        <v>68</v>
      </c>
      <c r="AV144" s="1">
        <f t="shared" ca="1" si="148"/>
        <v>4</v>
      </c>
      <c r="AW144" s="1">
        <f t="shared" ca="1" si="149"/>
        <v>0.16257441391156999</v>
      </c>
      <c r="AY144" s="1">
        <f t="shared" ca="1" si="150"/>
        <v>1.9368797116313305</v>
      </c>
      <c r="AZ144" s="1">
        <f t="shared" ca="1" si="151"/>
        <v>255</v>
      </c>
      <c r="BA144" s="1">
        <f t="shared" ca="1" si="152"/>
        <v>7.533118259899752E-3</v>
      </c>
      <c r="BV144" s="1">
        <f t="shared" ca="1" si="153"/>
        <v>0.89426363434332179</v>
      </c>
      <c r="BW144" s="1">
        <f t="shared" ca="1" si="154"/>
        <v>138</v>
      </c>
      <c r="BX144" s="1">
        <f t="shared" ca="1" si="155"/>
        <v>4.0588339033785616E-3</v>
      </c>
      <c r="BY144" s="1">
        <f t="shared" ca="1" si="156"/>
        <v>3.8371129920588117E-2</v>
      </c>
      <c r="BZ144" s="1">
        <f t="shared" ca="1" si="157"/>
        <v>0.4740560730681741</v>
      </c>
      <c r="CB144" s="1">
        <f t="shared" ca="1" si="158"/>
        <v>293</v>
      </c>
      <c r="CC144" s="1">
        <f t="shared" ca="1" si="159"/>
        <v>12</v>
      </c>
      <c r="CD144" s="1">
        <f t="shared" ca="1" si="160"/>
        <v>0.1154329153625675</v>
      </c>
      <c r="CE144" s="1">
        <f t="shared" ca="1" si="161"/>
        <v>0.97411916796415987</v>
      </c>
      <c r="CF144" s="1">
        <f t="shared" ca="1" si="161"/>
        <v>0.68047218193660564</v>
      </c>
      <c r="CH144" s="3">
        <f t="shared" ca="1" si="162"/>
        <v>9.0410006970560765E-3</v>
      </c>
      <c r="CI144" s="3">
        <f t="shared" ca="1" si="163"/>
        <v>0.8529219612460478</v>
      </c>
      <c r="CJ144" s="3">
        <f t="shared" ca="1" si="164"/>
        <v>367</v>
      </c>
      <c r="CK144" s="3">
        <f t="shared" ca="1" si="165"/>
        <v>2.2157733514512347E-3</v>
      </c>
      <c r="CL144" s="3">
        <f t="shared" ca="1" si="166"/>
        <v>0</v>
      </c>
      <c r="CM144" s="3"/>
      <c r="CN144" s="1">
        <f t="shared" ca="1" si="167"/>
        <v>6.7898295432424494</v>
      </c>
      <c r="CO144" s="1">
        <f t="shared" ca="1" si="168"/>
        <v>8.1248824154448729E-2</v>
      </c>
      <c r="CP144" s="1">
        <f t="shared" ca="1" si="169"/>
        <v>5</v>
      </c>
    </row>
    <row r="145" spans="2:94" x14ac:dyDescent="0.25">
      <c r="B145">
        <f t="shared" ca="1" si="114"/>
        <v>470</v>
      </c>
      <c r="C145">
        <f t="shared" ca="1" si="115"/>
        <v>45</v>
      </c>
      <c r="D145">
        <f t="shared" ca="1" si="116"/>
        <v>0.2171800802587604</v>
      </c>
      <c r="F145" s="1">
        <f t="shared" ca="1" si="117"/>
        <v>52</v>
      </c>
      <c r="G145" s="1">
        <f t="shared" ca="1" si="118"/>
        <v>21</v>
      </c>
      <c r="H145" s="1">
        <f t="shared" ca="1" si="119"/>
        <v>13</v>
      </c>
      <c r="I145" s="1"/>
      <c r="J145" s="1">
        <f t="shared" ca="1" si="120"/>
        <v>17</v>
      </c>
      <c r="K145" s="1">
        <f t="shared" ca="1" si="121"/>
        <v>1.8422237828378858</v>
      </c>
      <c r="L145" s="1">
        <f t="shared" ca="1" si="122"/>
        <v>6</v>
      </c>
      <c r="M145" s="1"/>
      <c r="N145" s="1">
        <f t="shared" ca="1" si="123"/>
        <v>351</v>
      </c>
      <c r="O145" s="1">
        <f t="shared" ca="1" si="124"/>
        <v>26</v>
      </c>
      <c r="P145" s="1"/>
      <c r="Q145" s="1">
        <f t="shared" ca="1" si="125"/>
        <v>1.0187059499675928</v>
      </c>
      <c r="R145" s="1">
        <f t="shared" ca="1" si="126"/>
        <v>1167</v>
      </c>
      <c r="S145" s="1"/>
      <c r="T145" s="1">
        <f t="shared" ca="1" si="127"/>
        <v>7.7248241912531809E-2</v>
      </c>
      <c r="U145" s="1">
        <f t="shared" ca="1" si="128"/>
        <v>424</v>
      </c>
      <c r="V145" s="1">
        <f t="shared" ca="1" si="129"/>
        <v>2</v>
      </c>
      <c r="W145" s="1"/>
      <c r="X145" s="1">
        <f t="shared" ca="1" si="130"/>
        <v>3.6888553311443459</v>
      </c>
      <c r="Y145" s="1">
        <f t="shared" ca="1" si="131"/>
        <v>0.72391855744364209</v>
      </c>
      <c r="Z145" s="1">
        <f t="shared" ca="1" si="132"/>
        <v>1100</v>
      </c>
      <c r="AB145" s="1">
        <f t="shared" ca="1" si="133"/>
        <v>3.3916956128503879E-2</v>
      </c>
      <c r="AC145" s="1">
        <f t="shared" ca="1" si="134"/>
        <v>242</v>
      </c>
      <c r="AD145" s="1">
        <f t="shared" ca="1" si="135"/>
        <v>2.9444556990466295E-3</v>
      </c>
      <c r="AE145" s="1"/>
      <c r="AF145" s="1">
        <f t="shared" ca="1" si="136"/>
        <v>0.31237488125351542</v>
      </c>
      <c r="AG145" s="1">
        <f t="shared" ca="1" si="137"/>
        <v>622</v>
      </c>
      <c r="AH145" s="1">
        <f t="shared" ca="1" si="138"/>
        <v>6.6469238116271265E-3</v>
      </c>
      <c r="AJ145" s="1">
        <f t="shared" ca="1" si="139"/>
        <v>0.85178362414935971</v>
      </c>
      <c r="AK145" s="1">
        <f t="shared" ca="1" si="140"/>
        <v>6.3712654978157956E-3</v>
      </c>
      <c r="AL145" s="1"/>
      <c r="AM145" s="1">
        <f t="shared" ca="1" si="141"/>
        <v>1.5603743486454266E-2</v>
      </c>
      <c r="AN145" s="1">
        <f t="shared" ca="1" si="142"/>
        <v>68</v>
      </c>
      <c r="AO145" s="1">
        <f t="shared" ca="1" si="143"/>
        <v>4</v>
      </c>
      <c r="AQ145" s="1">
        <f t="shared" ca="1" si="144"/>
        <v>84</v>
      </c>
      <c r="AR145" s="1">
        <f t="shared" ca="1" si="145"/>
        <v>4</v>
      </c>
      <c r="AS145" s="1">
        <f t="shared" ca="1" si="146"/>
        <v>21</v>
      </c>
      <c r="AU145" s="1">
        <f t="shared" ca="1" si="147"/>
        <v>151</v>
      </c>
      <c r="AV145" s="1">
        <f t="shared" ca="1" si="148"/>
        <v>7</v>
      </c>
      <c r="AW145" s="1">
        <f t="shared" ca="1" si="149"/>
        <v>9.4412645381486179E-2</v>
      </c>
      <c r="AY145" s="1">
        <f t="shared" ca="1" si="150"/>
        <v>1.8057749037650985</v>
      </c>
      <c r="AZ145" s="1">
        <f t="shared" ca="1" si="151"/>
        <v>294</v>
      </c>
      <c r="BA145" s="1">
        <f t="shared" ca="1" si="152"/>
        <v>1.0162865887257285E-3</v>
      </c>
      <c r="BV145" s="1">
        <f t="shared" ca="1" si="153"/>
        <v>0.535775205077058</v>
      </c>
      <c r="BW145" s="1">
        <f t="shared" ca="1" si="154"/>
        <v>100</v>
      </c>
      <c r="BX145" s="1">
        <f t="shared" ca="1" si="155"/>
        <v>8.9832349151630474E-3</v>
      </c>
      <c r="BY145" s="1">
        <f t="shared" ca="1" si="156"/>
        <v>2.6196529227346384E-2</v>
      </c>
      <c r="BZ145" s="1">
        <f t="shared" ca="1" si="157"/>
        <v>0.64303855815489963</v>
      </c>
      <c r="CB145" s="1">
        <f t="shared" ca="1" si="158"/>
        <v>151</v>
      </c>
      <c r="CC145" s="1">
        <f t="shared" ca="1" si="159"/>
        <v>14</v>
      </c>
      <c r="CD145" s="1">
        <f t="shared" ca="1" si="160"/>
        <v>0.16345735704702616</v>
      </c>
      <c r="CE145" s="1">
        <f t="shared" ca="1" si="161"/>
        <v>0.99264006828954465</v>
      </c>
      <c r="CF145" s="1">
        <f t="shared" ca="1" si="161"/>
        <v>0.97909704289839472</v>
      </c>
      <c r="CH145" s="3">
        <f t="shared" ca="1" si="162"/>
        <v>0.52941349275839555</v>
      </c>
      <c r="CI145" s="3">
        <f t="shared" ca="1" si="163"/>
        <v>0.19766563774823503</v>
      </c>
      <c r="CJ145" s="3">
        <f t="shared" ca="1" si="164"/>
        <v>1605</v>
      </c>
      <c r="CK145" s="3">
        <f t="shared" ca="1" si="165"/>
        <v>9.0958205989060993E-3</v>
      </c>
      <c r="CL145" s="3">
        <f t="shared" ca="1" si="166"/>
        <v>0</v>
      </c>
      <c r="CM145" s="3"/>
      <c r="CN145" s="1">
        <f t="shared" ca="1" si="167"/>
        <v>15.644695801091597</v>
      </c>
      <c r="CO145" s="1">
        <f t="shared" ca="1" si="168"/>
        <v>0.28416952727605588</v>
      </c>
      <c r="CP145" s="1">
        <f t="shared" ca="1" si="169"/>
        <v>3</v>
      </c>
    </row>
    <row r="146" spans="2:94" x14ac:dyDescent="0.25">
      <c r="B146">
        <f t="shared" ca="1" si="114"/>
        <v>107</v>
      </c>
      <c r="C146">
        <f t="shared" ca="1" si="115"/>
        <v>19</v>
      </c>
      <c r="D146">
        <f t="shared" ca="1" si="116"/>
        <v>0.21306012386223747</v>
      </c>
      <c r="F146" s="1">
        <f t="shared" ca="1" si="117"/>
        <v>50</v>
      </c>
      <c r="G146" s="1">
        <f t="shared" ca="1" si="118"/>
        <v>27</v>
      </c>
      <c r="H146" s="1">
        <f t="shared" ca="1" si="119"/>
        <v>1</v>
      </c>
      <c r="I146" s="1"/>
      <c r="J146" s="1">
        <f t="shared" ca="1" si="120"/>
        <v>37</v>
      </c>
      <c r="K146" s="1">
        <f t="shared" ca="1" si="121"/>
        <v>2.1664079710002917</v>
      </c>
      <c r="L146" s="1">
        <f t="shared" ca="1" si="122"/>
        <v>25</v>
      </c>
      <c r="M146" s="1"/>
      <c r="N146" s="1">
        <f t="shared" ca="1" si="123"/>
        <v>811</v>
      </c>
      <c r="O146" s="1">
        <f t="shared" ca="1" si="124"/>
        <v>11</v>
      </c>
      <c r="P146" s="1"/>
      <c r="Q146" s="1">
        <f t="shared" ca="1" si="125"/>
        <v>4.3875644781210088</v>
      </c>
      <c r="R146" s="1">
        <f t="shared" ca="1" si="126"/>
        <v>777</v>
      </c>
      <c r="S146" s="1"/>
      <c r="T146" s="1">
        <f t="shared" ca="1" si="127"/>
        <v>0.16531553216002651</v>
      </c>
      <c r="U146" s="1">
        <f t="shared" ca="1" si="128"/>
        <v>261</v>
      </c>
      <c r="V146" s="1">
        <f t="shared" ca="1" si="129"/>
        <v>42</v>
      </c>
      <c r="W146" s="1"/>
      <c r="X146" s="1">
        <f t="shared" ca="1" si="130"/>
        <v>6.7828180603510253</v>
      </c>
      <c r="Y146" s="1">
        <f t="shared" ca="1" si="131"/>
        <v>0.42949656026147148</v>
      </c>
      <c r="Z146" s="1">
        <f t="shared" ca="1" si="132"/>
        <v>710</v>
      </c>
      <c r="AB146" s="1">
        <f t="shared" ca="1" si="133"/>
        <v>0.81887242695715978</v>
      </c>
      <c r="AC146" s="1">
        <f t="shared" ca="1" si="134"/>
        <v>181</v>
      </c>
      <c r="AD146" s="1">
        <f t="shared" ca="1" si="135"/>
        <v>5.2911420105198849E-3</v>
      </c>
      <c r="AE146" s="1"/>
      <c r="AF146" s="1">
        <f t="shared" ca="1" si="136"/>
        <v>0.29157613031724533</v>
      </c>
      <c r="AG146" s="1">
        <f t="shared" ca="1" si="137"/>
        <v>980</v>
      </c>
      <c r="AH146" s="1">
        <f t="shared" ca="1" si="138"/>
        <v>9.5643895635830825E-3</v>
      </c>
      <c r="AJ146" s="1">
        <f t="shared" ca="1" si="139"/>
        <v>0.69127547276084067</v>
      </c>
      <c r="AK146" s="1">
        <f t="shared" ca="1" si="140"/>
        <v>7.3429960909999524E-3</v>
      </c>
      <c r="AL146" s="1"/>
      <c r="AM146" s="1">
        <f t="shared" ca="1" si="141"/>
        <v>4.8247843612584454E-2</v>
      </c>
      <c r="AN146" s="1">
        <f t="shared" ca="1" si="142"/>
        <v>24</v>
      </c>
      <c r="AO146" s="1">
        <f t="shared" ca="1" si="143"/>
        <v>3</v>
      </c>
      <c r="AQ146" s="1">
        <f t="shared" ca="1" si="144"/>
        <v>111</v>
      </c>
      <c r="AR146" s="1">
        <f t="shared" ca="1" si="145"/>
        <v>7</v>
      </c>
      <c r="AS146" s="1">
        <f t="shared" ca="1" si="146"/>
        <v>73</v>
      </c>
      <c r="AU146" s="1">
        <f t="shared" ca="1" si="147"/>
        <v>335</v>
      </c>
      <c r="AV146" s="1">
        <f t="shared" ca="1" si="148"/>
        <v>6</v>
      </c>
      <c r="AW146" s="1">
        <f t="shared" ca="1" si="149"/>
        <v>7.0016009678305985E-2</v>
      </c>
      <c r="AY146" s="1">
        <f t="shared" ca="1" si="150"/>
        <v>1.2333507625733284</v>
      </c>
      <c r="AZ146" s="1">
        <f t="shared" ca="1" si="151"/>
        <v>185</v>
      </c>
      <c r="BA146" s="1">
        <f t="shared" ca="1" si="152"/>
        <v>5.3338178426813564E-3</v>
      </c>
      <c r="BV146" s="1">
        <f t="shared" ca="1" si="153"/>
        <v>0.95008210819698558</v>
      </c>
      <c r="BW146" s="1">
        <f t="shared" ca="1" si="154"/>
        <v>750</v>
      </c>
      <c r="BX146" s="1">
        <f t="shared" ca="1" si="155"/>
        <v>8.4616209669305612E-3</v>
      </c>
      <c r="BY146" s="1">
        <f t="shared" ca="1" si="156"/>
        <v>4.168219687491849E-2</v>
      </c>
      <c r="BZ146" s="1">
        <f t="shared" ca="1" si="157"/>
        <v>0.61963489347750389</v>
      </c>
      <c r="CB146" s="1">
        <f t="shared" ca="1" si="158"/>
        <v>420</v>
      </c>
      <c r="CC146" s="1">
        <f t="shared" ca="1" si="159"/>
        <v>6</v>
      </c>
      <c r="CD146" s="1">
        <f t="shared" ca="1" si="160"/>
        <v>8.4048500815828237E-2</v>
      </c>
      <c r="CE146" s="1">
        <f t="shared" ca="1" si="161"/>
        <v>0.96747318006094707</v>
      </c>
      <c r="CF146" s="1">
        <f t="shared" ca="1" si="161"/>
        <v>0.99708707699692711</v>
      </c>
      <c r="CH146" s="3">
        <f t="shared" ca="1" si="162"/>
        <v>0.71905952372186499</v>
      </c>
      <c r="CI146" s="3">
        <f t="shared" ca="1" si="163"/>
        <v>0.75476570477761684</v>
      </c>
      <c r="CJ146" s="3">
        <f t="shared" ca="1" si="164"/>
        <v>1315</v>
      </c>
      <c r="CK146" s="3">
        <f t="shared" ca="1" si="165"/>
        <v>8.1102727928159604E-3</v>
      </c>
      <c r="CL146" s="3">
        <f t="shared" ca="1" si="166"/>
        <v>0</v>
      </c>
      <c r="CM146" s="3"/>
      <c r="CN146" s="1">
        <f t="shared" ca="1" si="167"/>
        <v>16.286352806554561</v>
      </c>
      <c r="CO146" s="1">
        <f t="shared" ca="1" si="168"/>
        <v>0.19445774788512862</v>
      </c>
      <c r="CP146" s="1">
        <f t="shared" ca="1" si="169"/>
        <v>4</v>
      </c>
    </row>
    <row r="147" spans="2:94" x14ac:dyDescent="0.25">
      <c r="B147">
        <f t="shared" ca="1" si="114"/>
        <v>748</v>
      </c>
      <c r="C147">
        <f t="shared" ca="1" si="115"/>
        <v>12</v>
      </c>
      <c r="D147">
        <f t="shared" ca="1" si="116"/>
        <v>0.168958008794521</v>
      </c>
      <c r="F147" s="1">
        <f t="shared" ca="1" si="117"/>
        <v>24</v>
      </c>
      <c r="G147" s="1">
        <f t="shared" ca="1" si="118"/>
        <v>9</v>
      </c>
      <c r="H147" s="1">
        <f t="shared" ca="1" si="119"/>
        <v>1</v>
      </c>
      <c r="I147" s="1"/>
      <c r="J147" s="1">
        <f t="shared" ca="1" si="120"/>
        <v>35</v>
      </c>
      <c r="K147" s="1">
        <f t="shared" ca="1" si="121"/>
        <v>2.5984390933356254</v>
      </c>
      <c r="L147" s="1">
        <f t="shared" ca="1" si="122"/>
        <v>24</v>
      </c>
      <c r="M147" s="1"/>
      <c r="N147" s="1">
        <f t="shared" ca="1" si="123"/>
        <v>448</v>
      </c>
      <c r="O147" s="1">
        <f t="shared" ca="1" si="124"/>
        <v>46</v>
      </c>
      <c r="P147" s="1"/>
      <c r="Q147" s="1">
        <f t="shared" ca="1" si="125"/>
        <v>3.5753161145770882</v>
      </c>
      <c r="R147" s="1">
        <f t="shared" ca="1" si="126"/>
        <v>795</v>
      </c>
      <c r="S147" s="1"/>
      <c r="T147" s="1">
        <f t="shared" ca="1" si="127"/>
        <v>0.12622553840082459</v>
      </c>
      <c r="U147" s="1">
        <f t="shared" ca="1" si="128"/>
        <v>442</v>
      </c>
      <c r="V147" s="1">
        <f t="shared" ca="1" si="129"/>
        <v>7</v>
      </c>
      <c r="W147" s="1"/>
      <c r="X147" s="1">
        <f t="shared" ca="1" si="130"/>
        <v>7.2683967026267249</v>
      </c>
      <c r="Y147" s="1">
        <f t="shared" ca="1" si="131"/>
        <v>0.79359567230504469</v>
      </c>
      <c r="Z147" s="1">
        <f t="shared" ca="1" si="132"/>
        <v>681</v>
      </c>
      <c r="AB147" s="1">
        <f t="shared" ca="1" si="133"/>
        <v>0.50545325979163891</v>
      </c>
      <c r="AC147" s="1">
        <f t="shared" ca="1" si="134"/>
        <v>833</v>
      </c>
      <c r="AD147" s="1">
        <f t="shared" ca="1" si="135"/>
        <v>5.1440923346771691E-3</v>
      </c>
      <c r="AE147" s="1"/>
      <c r="AF147" s="1">
        <f t="shared" ca="1" si="136"/>
        <v>0.38439701453034247</v>
      </c>
      <c r="AG147" s="1">
        <f t="shared" ca="1" si="137"/>
        <v>477</v>
      </c>
      <c r="AH147" s="1">
        <f t="shared" ca="1" si="138"/>
        <v>4.102260327341802E-3</v>
      </c>
      <c r="AJ147" s="1">
        <f t="shared" ca="1" si="139"/>
        <v>5.3538285453373691E-2</v>
      </c>
      <c r="AK147" s="1">
        <f t="shared" ca="1" si="140"/>
        <v>8.7818054079132329E-3</v>
      </c>
      <c r="AL147" s="1"/>
      <c r="AM147" s="1">
        <f t="shared" ca="1" si="141"/>
        <v>6.6086961861294785E-2</v>
      </c>
      <c r="AN147" s="1">
        <f t="shared" ca="1" si="142"/>
        <v>61</v>
      </c>
      <c r="AO147" s="1">
        <f t="shared" ca="1" si="143"/>
        <v>2</v>
      </c>
      <c r="AQ147" s="1">
        <f t="shared" ca="1" si="144"/>
        <v>55</v>
      </c>
      <c r="AR147" s="1">
        <f t="shared" ca="1" si="145"/>
        <v>10</v>
      </c>
      <c r="AS147" s="1">
        <f t="shared" ca="1" si="146"/>
        <v>8</v>
      </c>
      <c r="AU147" s="1">
        <f t="shared" ca="1" si="147"/>
        <v>143</v>
      </c>
      <c r="AV147" s="1">
        <f t="shared" ca="1" si="148"/>
        <v>7</v>
      </c>
      <c r="AW147" s="1">
        <f t="shared" ca="1" si="149"/>
        <v>2.2632817476538378E-2</v>
      </c>
      <c r="AY147" s="1">
        <f t="shared" ca="1" si="150"/>
        <v>1.1618039325241498</v>
      </c>
      <c r="AZ147" s="1">
        <f t="shared" ca="1" si="151"/>
        <v>368</v>
      </c>
      <c r="BA147" s="1">
        <f t="shared" ca="1" si="152"/>
        <v>5.7046525482760107E-3</v>
      </c>
      <c r="BV147" s="1">
        <f t="shared" ca="1" si="153"/>
        <v>0.56556908497491332</v>
      </c>
      <c r="BW147" s="1">
        <f t="shared" ca="1" si="154"/>
        <v>316</v>
      </c>
      <c r="BX147" s="1">
        <f t="shared" ca="1" si="155"/>
        <v>8.8276242108039221E-3</v>
      </c>
      <c r="BY147" s="1">
        <f t="shared" ca="1" si="156"/>
        <v>2.6818283473449465E-2</v>
      </c>
      <c r="BZ147" s="1">
        <f t="shared" ca="1" si="157"/>
        <v>0.74537127890541754</v>
      </c>
      <c r="CB147" s="1">
        <f t="shared" ca="1" si="158"/>
        <v>470</v>
      </c>
      <c r="CC147" s="1">
        <f t="shared" ca="1" si="159"/>
        <v>3</v>
      </c>
      <c r="CD147" s="1">
        <f t="shared" ca="1" si="160"/>
        <v>0.27794769300640421</v>
      </c>
      <c r="CE147" s="1">
        <f t="shared" ca="1" si="161"/>
        <v>0.61894190908368607</v>
      </c>
      <c r="CF147" s="1">
        <f t="shared" ca="1" si="161"/>
        <v>0.82803685534570781</v>
      </c>
      <c r="CH147" s="3">
        <f t="shared" ca="1" si="162"/>
        <v>0.5412426652533453</v>
      </c>
      <c r="CI147" s="3">
        <f t="shared" ca="1" si="163"/>
        <v>0.8136681966940259</v>
      </c>
      <c r="CJ147" s="3">
        <f t="shared" ca="1" si="164"/>
        <v>1270</v>
      </c>
      <c r="CK147" s="3">
        <f t="shared" ca="1" si="165"/>
        <v>7.6363356809831253E-4</v>
      </c>
      <c r="CL147" s="3">
        <f t="shared" ca="1" si="166"/>
        <v>1</v>
      </c>
      <c r="CM147" s="3"/>
      <c r="CN147" s="1">
        <f t="shared" ca="1" si="167"/>
        <v>3.0803638461934151</v>
      </c>
      <c r="CO147" s="1">
        <f t="shared" ca="1" si="168"/>
        <v>0.38778622523613626</v>
      </c>
      <c r="CP147" s="1">
        <f t="shared" ca="1" si="169"/>
        <v>2</v>
      </c>
    </row>
    <row r="148" spans="2:94" x14ac:dyDescent="0.25">
      <c r="B148">
        <f t="shared" ca="1" si="114"/>
        <v>477</v>
      </c>
      <c r="C148">
        <f t="shared" ca="1" si="115"/>
        <v>10</v>
      </c>
      <c r="D148">
        <f t="shared" ca="1" si="116"/>
        <v>7.091864784839981E-2</v>
      </c>
      <c r="F148" s="1">
        <f t="shared" ca="1" si="117"/>
        <v>38</v>
      </c>
      <c r="G148" s="1">
        <f t="shared" ca="1" si="118"/>
        <v>8</v>
      </c>
      <c r="H148" s="1">
        <f t="shared" ca="1" si="119"/>
        <v>4</v>
      </c>
      <c r="I148" s="1"/>
      <c r="J148" s="1">
        <f t="shared" ca="1" si="120"/>
        <v>29</v>
      </c>
      <c r="K148" s="1">
        <f t="shared" ca="1" si="121"/>
        <v>2.6536652014358073</v>
      </c>
      <c r="L148" s="1">
        <f t="shared" ca="1" si="122"/>
        <v>30</v>
      </c>
      <c r="M148" s="1"/>
      <c r="N148" s="1">
        <f t="shared" ca="1" si="123"/>
        <v>509</v>
      </c>
      <c r="O148" s="1">
        <f t="shared" ca="1" si="124"/>
        <v>15</v>
      </c>
      <c r="P148" s="1"/>
      <c r="Q148" s="1">
        <f t="shared" ca="1" si="125"/>
        <v>1.2983996763194545</v>
      </c>
      <c r="R148" s="1">
        <f t="shared" ca="1" si="126"/>
        <v>787</v>
      </c>
      <c r="S148" s="1"/>
      <c r="T148" s="1">
        <f t="shared" ca="1" si="127"/>
        <v>2.6292648485362384E-2</v>
      </c>
      <c r="U148" s="1">
        <f t="shared" ca="1" si="128"/>
        <v>413</v>
      </c>
      <c r="V148" s="1">
        <f t="shared" ca="1" si="129"/>
        <v>38</v>
      </c>
      <c r="W148" s="1"/>
      <c r="X148" s="1">
        <f t="shared" ca="1" si="130"/>
        <v>5.2145419368254657</v>
      </c>
      <c r="Y148" s="1">
        <f t="shared" ca="1" si="131"/>
        <v>0.62967220154828252</v>
      </c>
      <c r="Z148" s="1">
        <f t="shared" ca="1" si="132"/>
        <v>1224</v>
      </c>
      <c r="AB148" s="1">
        <f t="shared" ca="1" si="133"/>
        <v>0.95698852046952432</v>
      </c>
      <c r="AC148" s="1">
        <f t="shared" ca="1" si="134"/>
        <v>598</v>
      </c>
      <c r="AD148" s="1">
        <f t="shared" ca="1" si="135"/>
        <v>6.7741676880471264E-3</v>
      </c>
      <c r="AE148" s="1"/>
      <c r="AF148" s="1">
        <f t="shared" ca="1" si="136"/>
        <v>0.35726486622391229</v>
      </c>
      <c r="AG148" s="1">
        <f t="shared" ca="1" si="137"/>
        <v>473</v>
      </c>
      <c r="AH148" s="1">
        <f t="shared" ca="1" si="138"/>
        <v>2.566261038144336E-3</v>
      </c>
      <c r="AJ148" s="1">
        <f t="shared" ca="1" si="139"/>
        <v>0.33517531485972585</v>
      </c>
      <c r="AK148" s="1">
        <f t="shared" ca="1" si="140"/>
        <v>3.1464217442670312E-3</v>
      </c>
      <c r="AL148" s="1"/>
      <c r="AM148" s="1">
        <f t="shared" ca="1" si="141"/>
        <v>2.9822663785766153E-2</v>
      </c>
      <c r="AN148" s="1">
        <f t="shared" ca="1" si="142"/>
        <v>17</v>
      </c>
      <c r="AO148" s="1">
        <f t="shared" ca="1" si="143"/>
        <v>19</v>
      </c>
      <c r="AQ148" s="1">
        <f t="shared" ca="1" si="144"/>
        <v>38</v>
      </c>
      <c r="AR148" s="1">
        <f t="shared" ca="1" si="145"/>
        <v>2</v>
      </c>
      <c r="AS148" s="1">
        <f t="shared" ca="1" si="146"/>
        <v>77</v>
      </c>
      <c r="AU148" s="1">
        <f t="shared" ca="1" si="147"/>
        <v>107</v>
      </c>
      <c r="AV148" s="1">
        <f t="shared" ca="1" si="148"/>
        <v>10</v>
      </c>
      <c r="AW148" s="1">
        <f t="shared" ca="1" si="149"/>
        <v>1.904305461687851E-2</v>
      </c>
      <c r="AY148" s="1">
        <f t="shared" ca="1" si="150"/>
        <v>1.1324767460200589</v>
      </c>
      <c r="AZ148" s="1">
        <f t="shared" ca="1" si="151"/>
        <v>454</v>
      </c>
      <c r="BA148" s="1">
        <f t="shared" ca="1" si="152"/>
        <v>6.6556534255569656E-3</v>
      </c>
      <c r="BV148" s="1">
        <f t="shared" ca="1" si="153"/>
        <v>0.57866282888788734</v>
      </c>
      <c r="BW148" s="1">
        <f t="shared" ca="1" si="154"/>
        <v>675</v>
      </c>
      <c r="BX148" s="1">
        <f t="shared" ca="1" si="155"/>
        <v>8.1181375294629068E-3</v>
      </c>
      <c r="BY148" s="1">
        <f t="shared" ca="1" si="156"/>
        <v>4.8923229715326692E-2</v>
      </c>
      <c r="BZ148" s="1">
        <f t="shared" ca="1" si="157"/>
        <v>0.79376676023377113</v>
      </c>
      <c r="CB148" s="1">
        <f t="shared" ca="1" si="158"/>
        <v>291</v>
      </c>
      <c r="CC148" s="1">
        <f t="shared" ca="1" si="159"/>
        <v>13</v>
      </c>
      <c r="CD148" s="1">
        <f t="shared" ca="1" si="160"/>
        <v>7.3944561871781375E-2</v>
      </c>
      <c r="CE148" s="1">
        <f t="shared" ca="1" si="161"/>
        <v>0.97834900956371684</v>
      </c>
      <c r="CF148" s="1">
        <f t="shared" ca="1" si="161"/>
        <v>0.75384252580608457</v>
      </c>
      <c r="CH148" s="3">
        <f t="shared" ca="1" si="162"/>
        <v>0.64998504719710226</v>
      </c>
      <c r="CI148" s="3">
        <f t="shared" ca="1" si="163"/>
        <v>0.91680053352764268</v>
      </c>
      <c r="CJ148" s="3">
        <f t="shared" ca="1" si="164"/>
        <v>1268</v>
      </c>
      <c r="CK148" s="3">
        <f t="shared" ca="1" si="165"/>
        <v>7.8966487223243072E-3</v>
      </c>
      <c r="CL148" s="3">
        <f t="shared" ca="1" si="166"/>
        <v>0</v>
      </c>
      <c r="CM148" s="3"/>
      <c r="CN148" s="1">
        <f t="shared" ca="1" si="167"/>
        <v>6.5471412429965747</v>
      </c>
      <c r="CO148" s="1">
        <f t="shared" ca="1" si="168"/>
        <v>0.22361629408084913</v>
      </c>
      <c r="CP148" s="1">
        <f t="shared" ca="1" si="169"/>
        <v>4</v>
      </c>
    </row>
    <row r="149" spans="2:94" x14ac:dyDescent="0.25">
      <c r="B149">
        <f t="shared" ca="1" si="114"/>
        <v>607</v>
      </c>
      <c r="C149">
        <f t="shared" ca="1" si="115"/>
        <v>28</v>
      </c>
      <c r="D149">
        <f t="shared" ca="1" si="116"/>
        <v>0.28988903471585442</v>
      </c>
      <c r="F149" s="1">
        <f t="shared" ca="1" si="117"/>
        <v>19</v>
      </c>
      <c r="G149" s="1">
        <f t="shared" ca="1" si="118"/>
        <v>22</v>
      </c>
      <c r="H149" s="1">
        <f t="shared" ca="1" si="119"/>
        <v>2</v>
      </c>
      <c r="I149" s="1"/>
      <c r="J149" s="1">
        <f t="shared" ca="1" si="120"/>
        <v>27</v>
      </c>
      <c r="K149" s="1">
        <f t="shared" ca="1" si="121"/>
        <v>2.0278203975044899</v>
      </c>
      <c r="L149" s="1">
        <f t="shared" ca="1" si="122"/>
        <v>8</v>
      </c>
      <c r="M149" s="1"/>
      <c r="N149" s="1">
        <f t="shared" ca="1" si="123"/>
        <v>35</v>
      </c>
      <c r="O149" s="1">
        <f t="shared" ca="1" si="124"/>
        <v>38</v>
      </c>
      <c r="P149" s="1"/>
      <c r="Q149" s="1">
        <f t="shared" ca="1" si="125"/>
        <v>3.9166828394144386</v>
      </c>
      <c r="R149" s="1">
        <f t="shared" ca="1" si="126"/>
        <v>883</v>
      </c>
      <c r="S149" s="1"/>
      <c r="T149" s="1">
        <f t="shared" ca="1" si="127"/>
        <v>0.10375949069886413</v>
      </c>
      <c r="U149" s="1">
        <f t="shared" ca="1" si="128"/>
        <v>334</v>
      </c>
      <c r="V149" s="1">
        <f t="shared" ca="1" si="129"/>
        <v>12</v>
      </c>
      <c r="W149" s="1"/>
      <c r="X149" s="1">
        <f t="shared" ca="1" si="130"/>
        <v>7.0899107940514661</v>
      </c>
      <c r="Y149" s="1">
        <f t="shared" ca="1" si="131"/>
        <v>0.55423114743451751</v>
      </c>
      <c r="Z149" s="1">
        <f t="shared" ca="1" si="132"/>
        <v>939</v>
      </c>
      <c r="AB149" s="1">
        <f t="shared" ca="1" si="133"/>
        <v>0.85374583377638613</v>
      </c>
      <c r="AC149" s="1">
        <f t="shared" ca="1" si="134"/>
        <v>885</v>
      </c>
      <c r="AD149" s="1">
        <f t="shared" ca="1" si="135"/>
        <v>1.0706207942492531E-4</v>
      </c>
      <c r="AE149" s="1"/>
      <c r="AF149" s="1">
        <f t="shared" ca="1" si="136"/>
        <v>0.42743200520804314</v>
      </c>
      <c r="AG149" s="1">
        <f t="shared" ca="1" si="137"/>
        <v>316</v>
      </c>
      <c r="AH149" s="1">
        <f t="shared" ca="1" si="138"/>
        <v>6.6660267456891851E-3</v>
      </c>
      <c r="AJ149" s="1">
        <f t="shared" ca="1" si="139"/>
        <v>0.78648797633354639</v>
      </c>
      <c r="AK149" s="1">
        <f t="shared" ca="1" si="140"/>
        <v>9.2644170177682715E-4</v>
      </c>
      <c r="AL149" s="1"/>
      <c r="AM149" s="1">
        <f t="shared" ca="1" si="141"/>
        <v>0.10303195481257288</v>
      </c>
      <c r="AN149" s="1">
        <f t="shared" ca="1" si="142"/>
        <v>64</v>
      </c>
      <c r="AO149" s="1">
        <f t="shared" ca="1" si="143"/>
        <v>11</v>
      </c>
      <c r="AQ149" s="1">
        <f t="shared" ca="1" si="144"/>
        <v>141</v>
      </c>
      <c r="AR149" s="1">
        <f t="shared" ca="1" si="145"/>
        <v>3</v>
      </c>
      <c r="AS149" s="1">
        <f t="shared" ca="1" si="146"/>
        <v>77</v>
      </c>
      <c r="AU149" s="1">
        <f t="shared" ca="1" si="147"/>
        <v>114</v>
      </c>
      <c r="AV149" s="1">
        <f t="shared" ca="1" si="148"/>
        <v>7</v>
      </c>
      <c r="AW149" s="1">
        <f t="shared" ca="1" si="149"/>
        <v>0.14214231610570066</v>
      </c>
      <c r="AY149" s="1">
        <f t="shared" ca="1" si="150"/>
        <v>1.4436304485462963</v>
      </c>
      <c r="AZ149" s="1">
        <f t="shared" ca="1" si="151"/>
        <v>93</v>
      </c>
      <c r="BA149" s="1">
        <f t="shared" ca="1" si="152"/>
        <v>6.8931643775829998E-3</v>
      </c>
      <c r="BV149" s="1">
        <f t="shared" ca="1" si="153"/>
        <v>0.59291098453371371</v>
      </c>
      <c r="BW149" s="1">
        <f t="shared" ca="1" si="154"/>
        <v>355</v>
      </c>
      <c r="BX149" s="1">
        <f t="shared" ca="1" si="155"/>
        <v>7.5181815636009815E-3</v>
      </c>
      <c r="BY149" s="1">
        <f t="shared" ca="1" si="156"/>
        <v>1.4493847584023596E-2</v>
      </c>
      <c r="BZ149" s="1">
        <f t="shared" ca="1" si="157"/>
        <v>0.87931507976690459</v>
      </c>
      <c r="CB149" s="1">
        <f t="shared" ca="1" si="158"/>
        <v>66</v>
      </c>
      <c r="CC149" s="1">
        <f t="shared" ca="1" si="159"/>
        <v>9</v>
      </c>
      <c r="CD149" s="1">
        <f t="shared" ca="1" si="160"/>
        <v>0.23321040718164446</v>
      </c>
      <c r="CE149" s="1">
        <f t="shared" ca="1" si="161"/>
        <v>0.50542078790670675</v>
      </c>
      <c r="CF149" s="1">
        <f t="shared" ca="1" si="161"/>
        <v>0.61126324584224478</v>
      </c>
      <c r="CH149" s="3">
        <f t="shared" ca="1" si="162"/>
        <v>5.5585892824110084E-2</v>
      </c>
      <c r="CI149" s="3">
        <f t="shared" ca="1" si="163"/>
        <v>0.85231743766721135</v>
      </c>
      <c r="CJ149" s="3">
        <f t="shared" ca="1" si="164"/>
        <v>1420</v>
      </c>
      <c r="CK149" s="3">
        <f t="shared" ca="1" si="165"/>
        <v>1.2319721913158155E-4</v>
      </c>
      <c r="CL149" s="3">
        <f t="shared" ca="1" si="166"/>
        <v>1</v>
      </c>
      <c r="CM149" s="3"/>
      <c r="CN149" s="1">
        <f t="shared" ca="1" si="167"/>
        <v>5.7961548889887418</v>
      </c>
      <c r="CO149" s="1">
        <f t="shared" ca="1" si="168"/>
        <v>0.14316459858813146</v>
      </c>
      <c r="CP149" s="1">
        <f t="shared" ca="1" si="169"/>
        <v>1</v>
      </c>
    </row>
    <row r="150" spans="2:94" x14ac:dyDescent="0.25">
      <c r="B150">
        <f t="shared" ca="1" si="114"/>
        <v>950</v>
      </c>
      <c r="C150">
        <f t="shared" ca="1" si="115"/>
        <v>22</v>
      </c>
      <c r="D150">
        <f t="shared" ca="1" si="116"/>
        <v>0.26035113035808366</v>
      </c>
      <c r="F150" s="1">
        <f t="shared" ca="1" si="117"/>
        <v>36</v>
      </c>
      <c r="G150" s="1">
        <f t="shared" ca="1" si="118"/>
        <v>17</v>
      </c>
      <c r="H150" s="1">
        <f t="shared" ca="1" si="119"/>
        <v>9</v>
      </c>
      <c r="I150" s="1"/>
      <c r="J150" s="1">
        <f t="shared" ca="1" si="120"/>
        <v>32</v>
      </c>
      <c r="K150" s="1">
        <f t="shared" ca="1" si="121"/>
        <v>1.5069991905721538</v>
      </c>
      <c r="L150" s="1">
        <f t="shared" ca="1" si="122"/>
        <v>13</v>
      </c>
      <c r="M150" s="1"/>
      <c r="N150" s="1">
        <f t="shared" ca="1" si="123"/>
        <v>313</v>
      </c>
      <c r="O150" s="1">
        <f t="shared" ca="1" si="124"/>
        <v>37</v>
      </c>
      <c r="P150" s="1"/>
      <c r="Q150" s="1">
        <f t="shared" ca="1" si="125"/>
        <v>0.31289268545460974</v>
      </c>
      <c r="R150" s="1">
        <f t="shared" ca="1" si="126"/>
        <v>700</v>
      </c>
      <c r="S150" s="1"/>
      <c r="T150" s="1">
        <f t="shared" ca="1" si="127"/>
        <v>0.13848453442470826</v>
      </c>
      <c r="U150" s="1">
        <f t="shared" ca="1" si="128"/>
        <v>183</v>
      </c>
      <c r="V150" s="1">
        <f t="shared" ca="1" si="129"/>
        <v>18</v>
      </c>
      <c r="W150" s="1"/>
      <c r="X150" s="1">
        <f t="shared" ca="1" si="130"/>
        <v>5.2515029352799472</v>
      </c>
      <c r="Y150" s="1">
        <f t="shared" ca="1" si="131"/>
        <v>0.42112372686943156</v>
      </c>
      <c r="Z150" s="1">
        <f t="shared" ca="1" si="132"/>
        <v>1366</v>
      </c>
      <c r="AB150" s="1">
        <f t="shared" ca="1" si="133"/>
        <v>0.57833743210783217</v>
      </c>
      <c r="AC150" s="1">
        <f t="shared" ca="1" si="134"/>
        <v>297</v>
      </c>
      <c r="AD150" s="1">
        <f t="shared" ca="1" si="135"/>
        <v>1.3982767522881985E-3</v>
      </c>
      <c r="AE150" s="1"/>
      <c r="AF150" s="1">
        <f t="shared" ca="1" si="136"/>
        <v>0.60099953612003998</v>
      </c>
      <c r="AG150" s="1">
        <f t="shared" ca="1" si="137"/>
        <v>895</v>
      </c>
      <c r="AH150" s="1">
        <f t="shared" ca="1" si="138"/>
        <v>2.4579089255740054E-3</v>
      </c>
      <c r="AJ150" s="1">
        <f t="shared" ca="1" si="139"/>
        <v>0.42713152706668311</v>
      </c>
      <c r="AK150" s="1">
        <f t="shared" ca="1" si="140"/>
        <v>1.3839356142977262E-3</v>
      </c>
      <c r="AL150" s="1"/>
      <c r="AM150" s="1">
        <f t="shared" ca="1" si="141"/>
        <v>0.11816871125133252</v>
      </c>
      <c r="AN150" s="1">
        <f t="shared" ca="1" si="142"/>
        <v>54</v>
      </c>
      <c r="AO150" s="1">
        <f t="shared" ca="1" si="143"/>
        <v>16</v>
      </c>
      <c r="AQ150" s="1">
        <f t="shared" ca="1" si="144"/>
        <v>101</v>
      </c>
      <c r="AR150" s="1">
        <f t="shared" ca="1" si="145"/>
        <v>5</v>
      </c>
      <c r="AS150" s="1">
        <f t="shared" ca="1" si="146"/>
        <v>73</v>
      </c>
      <c r="AU150" s="1">
        <f t="shared" ca="1" si="147"/>
        <v>129</v>
      </c>
      <c r="AV150" s="1">
        <f t="shared" ca="1" si="148"/>
        <v>6</v>
      </c>
      <c r="AW150" s="1">
        <f t="shared" ca="1" si="149"/>
        <v>0.15953373604907634</v>
      </c>
      <c r="AY150" s="1">
        <f t="shared" ca="1" si="150"/>
        <v>1.307985388851701</v>
      </c>
      <c r="AZ150" s="1">
        <f t="shared" ca="1" si="151"/>
        <v>301</v>
      </c>
      <c r="BA150" s="1">
        <f t="shared" ca="1" si="152"/>
        <v>4.3945021774014596E-3</v>
      </c>
      <c r="BV150" s="1">
        <f t="shared" ca="1" si="153"/>
        <v>0.96250157783959123</v>
      </c>
      <c r="BW150" s="1">
        <f t="shared" ca="1" si="154"/>
        <v>249</v>
      </c>
      <c r="BX150" s="1">
        <f t="shared" ca="1" si="155"/>
        <v>6.988882332369077E-4</v>
      </c>
      <c r="BY150" s="1">
        <f t="shared" ca="1" si="156"/>
        <v>9.9769390424786955E-2</v>
      </c>
      <c r="BZ150" s="1">
        <f t="shared" ca="1" si="157"/>
        <v>0.83303342637655187</v>
      </c>
      <c r="CB150" s="1">
        <f t="shared" ca="1" si="158"/>
        <v>260</v>
      </c>
      <c r="CC150" s="1">
        <f t="shared" ca="1" si="159"/>
        <v>6</v>
      </c>
      <c r="CD150" s="1">
        <f t="shared" ca="1" si="160"/>
        <v>0.27177284365740584</v>
      </c>
      <c r="CE150" s="1">
        <f t="shared" ca="1" si="161"/>
        <v>0.71307460225703312</v>
      </c>
      <c r="CF150" s="1">
        <f t="shared" ca="1" si="161"/>
        <v>0.54057644235886393</v>
      </c>
      <c r="CH150" s="3">
        <f t="shared" ca="1" si="162"/>
        <v>0.48426699188558792</v>
      </c>
      <c r="CI150" s="3">
        <f t="shared" ca="1" si="163"/>
        <v>0.81800910582872555</v>
      </c>
      <c r="CJ150" s="3">
        <f t="shared" ca="1" si="164"/>
        <v>438</v>
      </c>
      <c r="CK150" s="3">
        <f t="shared" ca="1" si="165"/>
        <v>8.769216915544378E-3</v>
      </c>
      <c r="CL150" s="3">
        <f t="shared" ca="1" si="166"/>
        <v>0</v>
      </c>
      <c r="CM150" s="3"/>
      <c r="CN150" s="1">
        <f t="shared" ca="1" si="167"/>
        <v>18.198690875140311</v>
      </c>
      <c r="CO150" s="1">
        <f t="shared" ca="1" si="168"/>
        <v>5.0829596937816829E-2</v>
      </c>
      <c r="CP150" s="1">
        <f t="shared" ca="1" si="169"/>
        <v>3</v>
      </c>
    </row>
    <row r="151" spans="2:94" x14ac:dyDescent="0.25">
      <c r="B151">
        <f t="shared" ca="1" si="114"/>
        <v>944</v>
      </c>
      <c r="C151">
        <f t="shared" ca="1" si="115"/>
        <v>12</v>
      </c>
      <c r="D151">
        <f t="shared" ca="1" si="116"/>
        <v>0.14883183167326514</v>
      </c>
      <c r="F151" s="1">
        <f t="shared" ca="1" si="117"/>
        <v>24</v>
      </c>
      <c r="G151" s="1">
        <f t="shared" ca="1" si="118"/>
        <v>22</v>
      </c>
      <c r="H151" s="1">
        <f t="shared" ca="1" si="119"/>
        <v>14</v>
      </c>
      <c r="I151" s="1"/>
      <c r="J151" s="1">
        <f t="shared" ca="1" si="120"/>
        <v>11</v>
      </c>
      <c r="K151" s="1">
        <f t="shared" ca="1" si="121"/>
        <v>2.3260745273178927</v>
      </c>
      <c r="L151" s="1">
        <f t="shared" ca="1" si="122"/>
        <v>3</v>
      </c>
      <c r="M151" s="1"/>
      <c r="N151" s="1">
        <f t="shared" ca="1" si="123"/>
        <v>614</v>
      </c>
      <c r="O151" s="1">
        <f t="shared" ca="1" si="124"/>
        <v>31</v>
      </c>
      <c r="P151" s="1"/>
      <c r="Q151" s="1">
        <f t="shared" ca="1" si="125"/>
        <v>1.4906413763009965</v>
      </c>
      <c r="R151" s="1">
        <f t="shared" ca="1" si="126"/>
        <v>516</v>
      </c>
      <c r="S151" s="1"/>
      <c r="T151" s="1">
        <f t="shared" ca="1" si="127"/>
        <v>0.17327772182981002</v>
      </c>
      <c r="U151" s="1">
        <f t="shared" ca="1" si="128"/>
        <v>120</v>
      </c>
      <c r="V151" s="1">
        <f t="shared" ca="1" si="129"/>
        <v>5</v>
      </c>
      <c r="W151" s="1"/>
      <c r="X151" s="1">
        <f t="shared" ca="1" si="130"/>
        <v>5.9967542735051005</v>
      </c>
      <c r="Y151" s="1">
        <f t="shared" ca="1" si="131"/>
        <v>0.18313840898756592</v>
      </c>
      <c r="Z151" s="1">
        <f t="shared" ca="1" si="132"/>
        <v>331</v>
      </c>
      <c r="AB151" s="1">
        <f t="shared" ca="1" si="133"/>
        <v>0.53469069861325569</v>
      </c>
      <c r="AC151" s="1">
        <f t="shared" ca="1" si="134"/>
        <v>627</v>
      </c>
      <c r="AD151" s="1">
        <f t="shared" ca="1" si="135"/>
        <v>8.7854033445441144E-3</v>
      </c>
      <c r="AE151" s="1"/>
      <c r="AF151" s="1">
        <f t="shared" ca="1" si="136"/>
        <v>0.67262578625951308</v>
      </c>
      <c r="AG151" s="1">
        <f t="shared" ca="1" si="137"/>
        <v>327</v>
      </c>
      <c r="AH151" s="1">
        <f t="shared" ca="1" si="138"/>
        <v>6.9163191181066423E-3</v>
      </c>
      <c r="AJ151" s="1">
        <f t="shared" ca="1" si="139"/>
        <v>0.11510502979227843</v>
      </c>
      <c r="AK151" s="1">
        <f t="shared" ca="1" si="140"/>
        <v>4.8294791659396112E-3</v>
      </c>
      <c r="AL151" s="1"/>
      <c r="AM151" s="1">
        <f t="shared" ca="1" si="141"/>
        <v>9.4153752896297169E-2</v>
      </c>
      <c r="AN151" s="1">
        <f t="shared" ca="1" si="142"/>
        <v>64</v>
      </c>
      <c r="AO151" s="1">
        <f t="shared" ca="1" si="143"/>
        <v>5</v>
      </c>
      <c r="AQ151" s="1">
        <f t="shared" ca="1" si="144"/>
        <v>43</v>
      </c>
      <c r="AR151" s="1">
        <f t="shared" ca="1" si="145"/>
        <v>0</v>
      </c>
      <c r="AS151" s="1">
        <f t="shared" ca="1" si="146"/>
        <v>90</v>
      </c>
      <c r="AU151" s="1">
        <f t="shared" ca="1" si="147"/>
        <v>116</v>
      </c>
      <c r="AV151" s="1">
        <f t="shared" ca="1" si="148"/>
        <v>5</v>
      </c>
      <c r="AW151" s="1">
        <f t="shared" ca="1" si="149"/>
        <v>0.136806151693775</v>
      </c>
      <c r="AY151" s="1">
        <f t="shared" ca="1" si="150"/>
        <v>1.477983096403938</v>
      </c>
      <c r="AZ151" s="1">
        <f t="shared" ca="1" si="151"/>
        <v>496</v>
      </c>
      <c r="BA151" s="1">
        <f t="shared" ca="1" si="152"/>
        <v>6.6698649141775377E-3</v>
      </c>
      <c r="BV151" s="1">
        <f t="shared" ca="1" si="153"/>
        <v>0.65317791895432087</v>
      </c>
      <c r="BW151" s="1">
        <f t="shared" ca="1" si="154"/>
        <v>708</v>
      </c>
      <c r="BX151" s="1">
        <f t="shared" ca="1" si="155"/>
        <v>5.4361358712234163E-3</v>
      </c>
      <c r="BY151" s="1">
        <f t="shared" ca="1" si="156"/>
        <v>6.694019770907525E-2</v>
      </c>
      <c r="BZ151" s="1">
        <f t="shared" ca="1" si="157"/>
        <v>0.48522184537570623</v>
      </c>
      <c r="CB151" s="1">
        <f t="shared" ca="1" si="158"/>
        <v>300</v>
      </c>
      <c r="CC151" s="1">
        <f t="shared" ca="1" si="159"/>
        <v>12</v>
      </c>
      <c r="CD151" s="1">
        <f t="shared" ca="1" si="160"/>
        <v>4.3019643594884388E-2</v>
      </c>
      <c r="CE151" s="1">
        <f t="shared" ca="1" si="161"/>
        <v>0.60550757780703179</v>
      </c>
      <c r="CF151" s="1">
        <f t="shared" ca="1" si="161"/>
        <v>0.8856196026085994</v>
      </c>
      <c r="CH151" s="3">
        <f t="shared" ca="1" si="162"/>
        <v>0.3283383411799235</v>
      </c>
      <c r="CI151" s="3">
        <f t="shared" ca="1" si="163"/>
        <v>2.9685245019950929E-2</v>
      </c>
      <c r="CJ151" s="3">
        <f t="shared" ca="1" si="164"/>
        <v>1297</v>
      </c>
      <c r="CK151" s="3">
        <f t="shared" ca="1" si="165"/>
        <v>2.6258778424118928E-3</v>
      </c>
      <c r="CL151" s="3">
        <f t="shared" ca="1" si="166"/>
        <v>1</v>
      </c>
      <c r="CM151" s="3"/>
      <c r="CN151" s="1">
        <f t="shared" ca="1" si="167"/>
        <v>19.689109648853456</v>
      </c>
      <c r="CO151" s="1">
        <f t="shared" ca="1" si="168"/>
        <v>0.39554016654205176</v>
      </c>
      <c r="CP151" s="1">
        <f t="shared" ca="1" si="169"/>
        <v>4</v>
      </c>
    </row>
    <row r="152" spans="2:94" x14ac:dyDescent="0.25">
      <c r="B152">
        <f t="shared" ca="1" si="114"/>
        <v>304</v>
      </c>
      <c r="C152">
        <f t="shared" ca="1" si="115"/>
        <v>11</v>
      </c>
      <c r="D152">
        <f t="shared" ca="1" si="116"/>
        <v>0.11549063733516703</v>
      </c>
      <c r="F152" s="1">
        <f t="shared" ca="1" si="117"/>
        <v>22</v>
      </c>
      <c r="G152" s="1">
        <f t="shared" ca="1" si="118"/>
        <v>2</v>
      </c>
      <c r="H152" s="1">
        <f t="shared" ca="1" si="119"/>
        <v>8</v>
      </c>
      <c r="I152" s="1"/>
      <c r="J152" s="1">
        <f t="shared" ca="1" si="120"/>
        <v>2</v>
      </c>
      <c r="K152" s="1">
        <f t="shared" ca="1" si="121"/>
        <v>2.9067315425502152</v>
      </c>
      <c r="L152" s="1">
        <f t="shared" ca="1" si="122"/>
        <v>16</v>
      </c>
      <c r="M152" s="1"/>
      <c r="N152" s="1">
        <f t="shared" ca="1" si="123"/>
        <v>587</v>
      </c>
      <c r="O152" s="1">
        <f t="shared" ca="1" si="124"/>
        <v>12</v>
      </c>
      <c r="P152" s="1"/>
      <c r="Q152" s="1">
        <f t="shared" ca="1" si="125"/>
        <v>2.3563003178025945</v>
      </c>
      <c r="R152" s="1">
        <f t="shared" ca="1" si="126"/>
        <v>894</v>
      </c>
      <c r="S152" s="1"/>
      <c r="T152" s="1">
        <f t="shared" ca="1" si="127"/>
        <v>0.12267910201769909</v>
      </c>
      <c r="U152" s="1">
        <f t="shared" ca="1" si="128"/>
        <v>413</v>
      </c>
      <c r="V152" s="1">
        <f t="shared" ca="1" si="129"/>
        <v>17</v>
      </c>
      <c r="W152" s="1"/>
      <c r="X152" s="1">
        <f t="shared" ca="1" si="130"/>
        <v>1.7840617030284895</v>
      </c>
      <c r="Y152" s="1">
        <f t="shared" ca="1" si="131"/>
        <v>4.4423222797901181E-2</v>
      </c>
      <c r="Z152" s="1">
        <f t="shared" ca="1" si="132"/>
        <v>549</v>
      </c>
      <c r="AB152" s="1">
        <f t="shared" ca="1" si="133"/>
        <v>0.46387053561189356</v>
      </c>
      <c r="AC152" s="1">
        <f t="shared" ca="1" si="134"/>
        <v>644</v>
      </c>
      <c r="AD152" s="1">
        <f t="shared" ca="1" si="135"/>
        <v>8.69881135510755E-3</v>
      </c>
      <c r="AE152" s="1"/>
      <c r="AF152" s="1">
        <f t="shared" ca="1" si="136"/>
        <v>0.68020279617105539</v>
      </c>
      <c r="AG152" s="1">
        <f t="shared" ca="1" si="137"/>
        <v>223</v>
      </c>
      <c r="AH152" s="1">
        <f t="shared" ca="1" si="138"/>
        <v>4.9082269283572824E-3</v>
      </c>
      <c r="AJ152" s="1">
        <f t="shared" ca="1" si="139"/>
        <v>0.62455676361307622</v>
      </c>
      <c r="AK152" s="1">
        <f t="shared" ca="1" si="140"/>
        <v>3.9849116416344945E-3</v>
      </c>
      <c r="AL152" s="1"/>
      <c r="AM152" s="1">
        <f t="shared" ca="1" si="141"/>
        <v>0.13441895381485197</v>
      </c>
      <c r="AN152" s="1">
        <f t="shared" ca="1" si="142"/>
        <v>33</v>
      </c>
      <c r="AO152" s="1">
        <f t="shared" ca="1" si="143"/>
        <v>19</v>
      </c>
      <c r="AQ152" s="1">
        <f t="shared" ca="1" si="144"/>
        <v>190</v>
      </c>
      <c r="AR152" s="1">
        <f t="shared" ca="1" si="145"/>
        <v>10</v>
      </c>
      <c r="AS152" s="1">
        <f t="shared" ca="1" si="146"/>
        <v>40</v>
      </c>
      <c r="AU152" s="1">
        <f t="shared" ca="1" si="147"/>
        <v>139</v>
      </c>
      <c r="AV152" s="1">
        <f t="shared" ca="1" si="148"/>
        <v>8</v>
      </c>
      <c r="AW152" s="1">
        <f t="shared" ca="1" si="149"/>
        <v>0.18724915496644615</v>
      </c>
      <c r="AY152" s="1">
        <f t="shared" ca="1" si="150"/>
        <v>1.7571850148944552</v>
      </c>
      <c r="AZ152" s="1">
        <f t="shared" ca="1" si="151"/>
        <v>318</v>
      </c>
      <c r="BA152" s="1">
        <f t="shared" ca="1" si="152"/>
        <v>3.2070772493690059E-4</v>
      </c>
      <c r="BV152" s="1">
        <f t="shared" ca="1" si="153"/>
        <v>0.26290579458745</v>
      </c>
      <c r="BW152" s="1">
        <f t="shared" ca="1" si="154"/>
        <v>995</v>
      </c>
      <c r="BX152" s="1">
        <f t="shared" ca="1" si="155"/>
        <v>2.6431128819769441E-3</v>
      </c>
      <c r="BY152" s="1">
        <f t="shared" ca="1" si="156"/>
        <v>6.8665223270167192E-2</v>
      </c>
      <c r="BZ152" s="1">
        <f t="shared" ca="1" si="157"/>
        <v>0.93882363952995773</v>
      </c>
      <c r="CB152" s="1">
        <f t="shared" ca="1" si="158"/>
        <v>282</v>
      </c>
      <c r="CC152" s="1">
        <f t="shared" ca="1" si="159"/>
        <v>14</v>
      </c>
      <c r="CD152" s="1">
        <f t="shared" ca="1" si="160"/>
        <v>5.0895350066396616E-2</v>
      </c>
      <c r="CE152" s="1">
        <f t="shared" ca="1" si="161"/>
        <v>0.67506041792173199</v>
      </c>
      <c r="CF152" s="1">
        <f t="shared" ca="1" si="161"/>
        <v>0.63854084009345968</v>
      </c>
      <c r="CH152" s="3">
        <f t="shared" ca="1" si="162"/>
        <v>0.49640312113300278</v>
      </c>
      <c r="CI152" s="3">
        <f t="shared" ca="1" si="163"/>
        <v>0.77354481308445644</v>
      </c>
      <c r="CJ152" s="3">
        <f t="shared" ca="1" si="164"/>
        <v>1285</v>
      </c>
      <c r="CK152" s="3">
        <f t="shared" ca="1" si="165"/>
        <v>3.4081438939189395E-3</v>
      </c>
      <c r="CL152" s="3">
        <f t="shared" ca="1" si="166"/>
        <v>1</v>
      </c>
      <c r="CM152" s="3"/>
      <c r="CN152" s="1">
        <f t="shared" ca="1" si="167"/>
        <v>7.3090062286229092</v>
      </c>
      <c r="CO152" s="1">
        <f t="shared" ca="1" si="168"/>
        <v>0.21870744096318206</v>
      </c>
      <c r="CP152" s="1">
        <f t="shared" ca="1" si="169"/>
        <v>3</v>
      </c>
    </row>
    <row r="153" spans="2:94" x14ac:dyDescent="0.25">
      <c r="B153">
        <f t="shared" ca="1" si="114"/>
        <v>491</v>
      </c>
      <c r="C153">
        <f t="shared" ca="1" si="115"/>
        <v>20</v>
      </c>
      <c r="D153">
        <f t="shared" ca="1" si="116"/>
        <v>1.4399884083875391E-2</v>
      </c>
      <c r="F153" s="1">
        <f t="shared" ca="1" si="117"/>
        <v>42</v>
      </c>
      <c r="G153" s="1">
        <f t="shared" ca="1" si="118"/>
        <v>20</v>
      </c>
      <c r="H153" s="1">
        <f t="shared" ca="1" si="119"/>
        <v>10</v>
      </c>
      <c r="I153" s="1"/>
      <c r="J153" s="1">
        <f t="shared" ca="1" si="120"/>
        <v>13</v>
      </c>
      <c r="K153" s="1">
        <f t="shared" ca="1" si="121"/>
        <v>2.7392746978665938</v>
      </c>
      <c r="L153" s="1">
        <f t="shared" ca="1" si="122"/>
        <v>21</v>
      </c>
      <c r="M153" s="1"/>
      <c r="N153" s="1">
        <f t="shared" ca="1" si="123"/>
        <v>453</v>
      </c>
      <c r="O153" s="1">
        <f t="shared" ca="1" si="124"/>
        <v>34</v>
      </c>
      <c r="P153" s="1"/>
      <c r="Q153" s="1">
        <f t="shared" ca="1" si="125"/>
        <v>2.9038706537679726</v>
      </c>
      <c r="R153" s="1">
        <f t="shared" ca="1" si="126"/>
        <v>558</v>
      </c>
      <c r="S153" s="1"/>
      <c r="T153" s="1">
        <f t="shared" ca="1" si="127"/>
        <v>0.18159386629308863</v>
      </c>
      <c r="U153" s="1">
        <f t="shared" ca="1" si="128"/>
        <v>141</v>
      </c>
      <c r="V153" s="1">
        <f t="shared" ca="1" si="129"/>
        <v>8</v>
      </c>
      <c r="W153" s="1"/>
      <c r="X153" s="1">
        <f t="shared" ca="1" si="130"/>
        <v>9.1537790251421498</v>
      </c>
      <c r="Y153" s="1">
        <f t="shared" ca="1" si="131"/>
        <v>0.84719215314828022</v>
      </c>
      <c r="Z153" s="1">
        <f t="shared" ca="1" si="132"/>
        <v>1740</v>
      </c>
      <c r="AB153" s="1">
        <f t="shared" ca="1" si="133"/>
        <v>0.43590156001748659</v>
      </c>
      <c r="AC153" s="1">
        <f t="shared" ca="1" si="134"/>
        <v>451</v>
      </c>
      <c r="AD153" s="1">
        <f t="shared" ca="1" si="135"/>
        <v>6.321924893150593E-3</v>
      </c>
      <c r="AE153" s="1"/>
      <c r="AF153" s="1">
        <f t="shared" ca="1" si="136"/>
        <v>0.70137330209567905</v>
      </c>
      <c r="AG153" s="1">
        <f t="shared" ca="1" si="137"/>
        <v>924</v>
      </c>
      <c r="AH153" s="1">
        <f t="shared" ca="1" si="138"/>
        <v>3.1769146634757408E-3</v>
      </c>
      <c r="AJ153" s="1">
        <f t="shared" ca="1" si="139"/>
        <v>9.5411262417605003E-2</v>
      </c>
      <c r="AK153" s="1">
        <f t="shared" ca="1" si="140"/>
        <v>3.9533944822372005E-3</v>
      </c>
      <c r="AL153" s="1"/>
      <c r="AM153" s="1">
        <f t="shared" ca="1" si="141"/>
        <v>0.18707319004195824</v>
      </c>
      <c r="AN153" s="1">
        <f t="shared" ca="1" si="142"/>
        <v>10</v>
      </c>
      <c r="AO153" s="1">
        <f t="shared" ca="1" si="143"/>
        <v>9</v>
      </c>
      <c r="AQ153" s="1">
        <f t="shared" ca="1" si="144"/>
        <v>133</v>
      </c>
      <c r="AR153" s="1">
        <f t="shared" ca="1" si="145"/>
        <v>1</v>
      </c>
      <c r="AS153" s="1">
        <f t="shared" ca="1" si="146"/>
        <v>37</v>
      </c>
      <c r="AU153" s="1">
        <f t="shared" ca="1" si="147"/>
        <v>143</v>
      </c>
      <c r="AV153" s="1">
        <f t="shared" ca="1" si="148"/>
        <v>7</v>
      </c>
      <c r="AW153" s="1">
        <f t="shared" ca="1" si="149"/>
        <v>0.14292174125852727</v>
      </c>
      <c r="AY153" s="1">
        <f t="shared" ca="1" si="150"/>
        <v>1.8912243100212853</v>
      </c>
      <c r="AZ153" s="1">
        <f t="shared" ca="1" si="151"/>
        <v>111</v>
      </c>
      <c r="BA153" s="1">
        <f t="shared" ca="1" si="152"/>
        <v>8.1636111387849847E-3</v>
      </c>
      <c r="BV153" s="1">
        <f t="shared" ca="1" si="153"/>
        <v>0.89935029519638565</v>
      </c>
      <c r="BW153" s="1">
        <f t="shared" ca="1" si="154"/>
        <v>852</v>
      </c>
      <c r="BX153" s="1">
        <f t="shared" ca="1" si="155"/>
        <v>7.2360973433676428E-3</v>
      </c>
      <c r="BY153" s="1">
        <f t="shared" ca="1" si="156"/>
        <v>9.917270741619276E-2</v>
      </c>
      <c r="BZ153" s="1">
        <f t="shared" ca="1" si="157"/>
        <v>0.67123616779541806</v>
      </c>
      <c r="CB153" s="1">
        <f t="shared" ca="1" si="158"/>
        <v>250</v>
      </c>
      <c r="CC153" s="1">
        <f t="shared" ca="1" si="159"/>
        <v>15</v>
      </c>
      <c r="CD153" s="1">
        <f t="shared" ca="1" si="160"/>
        <v>0.12219292640446094</v>
      </c>
      <c r="CE153" s="1">
        <f t="shared" ca="1" si="161"/>
        <v>0.50555464374836434</v>
      </c>
      <c r="CF153" s="1">
        <f t="shared" ca="1" si="161"/>
        <v>0.94469441050305492</v>
      </c>
      <c r="CH153" s="3">
        <f t="shared" ca="1" si="162"/>
        <v>0.8659915838178649</v>
      </c>
      <c r="CI153" s="3">
        <f t="shared" ca="1" si="163"/>
        <v>0.14782601897538325</v>
      </c>
      <c r="CJ153" s="3">
        <f t="shared" ca="1" si="164"/>
        <v>1916</v>
      </c>
      <c r="CK153" s="3">
        <f t="shared" ca="1" si="165"/>
        <v>2.4765148907914614E-3</v>
      </c>
      <c r="CL153" s="3">
        <f t="shared" ca="1" si="166"/>
        <v>0</v>
      </c>
      <c r="CM153" s="3"/>
      <c r="CN153" s="1">
        <f t="shared" ca="1" si="167"/>
        <v>8.4707729184651424</v>
      </c>
      <c r="CO153" s="1">
        <f t="shared" ca="1" si="168"/>
        <v>6.8539862263917076E-2</v>
      </c>
      <c r="CP153" s="1">
        <f t="shared" ca="1" si="169"/>
        <v>1</v>
      </c>
    </row>
    <row r="154" spans="2:94" x14ac:dyDescent="0.25">
      <c r="B154">
        <f t="shared" ca="1" si="114"/>
        <v>740</v>
      </c>
      <c r="C154">
        <f t="shared" ca="1" si="115"/>
        <v>22</v>
      </c>
      <c r="D154">
        <f t="shared" ca="1" si="116"/>
        <v>9.5719655281195762E-2</v>
      </c>
      <c r="F154" s="1">
        <f t="shared" ca="1" si="117"/>
        <v>20</v>
      </c>
      <c r="G154" s="1">
        <f t="shared" ca="1" si="118"/>
        <v>2</v>
      </c>
      <c r="H154" s="1">
        <f t="shared" ca="1" si="119"/>
        <v>4</v>
      </c>
      <c r="I154" s="1"/>
      <c r="J154" s="1">
        <f t="shared" ca="1" si="120"/>
        <v>12</v>
      </c>
      <c r="K154" s="1">
        <f t="shared" ca="1" si="121"/>
        <v>1.381942509135045</v>
      </c>
      <c r="L154" s="1">
        <f t="shared" ca="1" si="122"/>
        <v>15</v>
      </c>
      <c r="M154" s="1"/>
      <c r="N154" s="1">
        <f t="shared" ca="1" si="123"/>
        <v>501</v>
      </c>
      <c r="O154" s="1">
        <f t="shared" ca="1" si="124"/>
        <v>34</v>
      </c>
      <c r="P154" s="1"/>
      <c r="Q154" s="1">
        <f t="shared" ca="1" si="125"/>
        <v>1.3361721209744295E-2</v>
      </c>
      <c r="R154" s="1">
        <f t="shared" ca="1" si="126"/>
        <v>615</v>
      </c>
      <c r="S154" s="1"/>
      <c r="T154" s="1">
        <f t="shared" ca="1" si="127"/>
        <v>8.3955102178276578E-2</v>
      </c>
      <c r="U154" s="1">
        <f t="shared" ca="1" si="128"/>
        <v>53</v>
      </c>
      <c r="V154" s="1">
        <f t="shared" ca="1" si="129"/>
        <v>10</v>
      </c>
      <c r="W154" s="1"/>
      <c r="X154" s="1">
        <f t="shared" ca="1" si="130"/>
        <v>5.9982566802167581</v>
      </c>
      <c r="Y154" s="1">
        <f t="shared" ca="1" si="131"/>
        <v>9.8432352109540003E-2</v>
      </c>
      <c r="Z154" s="1">
        <f t="shared" ca="1" si="132"/>
        <v>1233</v>
      </c>
      <c r="AB154" s="1">
        <f t="shared" ca="1" si="133"/>
        <v>0.1258585439723352</v>
      </c>
      <c r="AC154" s="1">
        <f t="shared" ca="1" si="134"/>
        <v>195</v>
      </c>
      <c r="AD154" s="1">
        <f t="shared" ca="1" si="135"/>
        <v>5.2949880643921405E-3</v>
      </c>
      <c r="AE154" s="1"/>
      <c r="AF154" s="1">
        <f t="shared" ca="1" si="136"/>
        <v>0.15737660537072318</v>
      </c>
      <c r="AG154" s="1">
        <f t="shared" ca="1" si="137"/>
        <v>544</v>
      </c>
      <c r="AH154" s="1">
        <f t="shared" ca="1" si="138"/>
        <v>2.6578404262085852E-3</v>
      </c>
      <c r="AJ154" s="1">
        <f t="shared" ca="1" si="139"/>
        <v>0.48795016946352687</v>
      </c>
      <c r="AK154" s="1">
        <f t="shared" ca="1" si="140"/>
        <v>8.768872453779105E-3</v>
      </c>
      <c r="AL154" s="1"/>
      <c r="AM154" s="1">
        <f t="shared" ca="1" si="141"/>
        <v>5.7150518102680577E-2</v>
      </c>
      <c r="AN154" s="1">
        <f t="shared" ca="1" si="142"/>
        <v>33</v>
      </c>
      <c r="AO154" s="1">
        <f t="shared" ca="1" si="143"/>
        <v>-1</v>
      </c>
      <c r="AQ154" s="1">
        <f t="shared" ca="1" si="144"/>
        <v>28</v>
      </c>
      <c r="AR154" s="1">
        <f t="shared" ca="1" si="145"/>
        <v>7</v>
      </c>
      <c r="AS154" s="1">
        <f t="shared" ca="1" si="146"/>
        <v>78</v>
      </c>
      <c r="AU154" s="1">
        <f t="shared" ca="1" si="147"/>
        <v>262</v>
      </c>
      <c r="AV154" s="1">
        <f t="shared" ca="1" si="148"/>
        <v>7</v>
      </c>
      <c r="AW154" s="1">
        <f t="shared" ca="1" si="149"/>
        <v>0.19368265903067197</v>
      </c>
      <c r="AY154" s="1">
        <f t="shared" ca="1" si="150"/>
        <v>1.832134109179137</v>
      </c>
      <c r="AZ154" s="1">
        <f t="shared" ca="1" si="151"/>
        <v>416</v>
      </c>
      <c r="BA154" s="1">
        <f t="shared" ca="1" si="152"/>
        <v>8.9392818872679435E-3</v>
      </c>
      <c r="BV154" s="1">
        <f t="shared" ca="1" si="153"/>
        <v>1.9349995421065105E-2</v>
      </c>
      <c r="BW154" s="1">
        <f t="shared" ca="1" si="154"/>
        <v>744</v>
      </c>
      <c r="BX154" s="1">
        <f t="shared" ca="1" si="155"/>
        <v>2.6881909186835203E-3</v>
      </c>
      <c r="BY154" s="1">
        <f t="shared" ca="1" si="156"/>
        <v>1.5196707562636913E-2</v>
      </c>
      <c r="BZ154" s="1">
        <f t="shared" ca="1" si="157"/>
        <v>0.93091615613377865</v>
      </c>
      <c r="CB154" s="1">
        <f t="shared" ca="1" si="158"/>
        <v>95</v>
      </c>
      <c r="CC154" s="1">
        <f t="shared" ca="1" si="159"/>
        <v>12</v>
      </c>
      <c r="CD154" s="1">
        <f t="shared" ca="1" si="160"/>
        <v>4.2921575144370859E-2</v>
      </c>
      <c r="CE154" s="1">
        <f t="shared" ca="1" si="161"/>
        <v>0.79519974006062633</v>
      </c>
      <c r="CF154" s="1">
        <f t="shared" ca="1" si="161"/>
        <v>0.93842894207479322</v>
      </c>
      <c r="CH154" s="3">
        <f t="shared" ca="1" si="162"/>
        <v>5.4927029525834691E-3</v>
      </c>
      <c r="CI154" s="3">
        <f t="shared" ca="1" si="163"/>
        <v>0.58300556965767003</v>
      </c>
      <c r="CJ154" s="3">
        <f t="shared" ca="1" si="164"/>
        <v>1082</v>
      </c>
      <c r="CK154" s="3">
        <f t="shared" ca="1" si="165"/>
        <v>9.9687757182426728E-3</v>
      </c>
      <c r="CL154" s="3">
        <f t="shared" ca="1" si="166"/>
        <v>1</v>
      </c>
      <c r="CM154" s="3"/>
      <c r="CN154" s="1">
        <f t="shared" ca="1" si="167"/>
        <v>15.336147516941622</v>
      </c>
      <c r="CO154" s="1">
        <f t="shared" ca="1" si="168"/>
        <v>8.2733946124905599E-3</v>
      </c>
      <c r="CP154" s="1">
        <f t="shared" ca="1" si="169"/>
        <v>1</v>
      </c>
    </row>
    <row r="155" spans="2:94" x14ac:dyDescent="0.25">
      <c r="B155">
        <f t="shared" ca="1" si="114"/>
        <v>776</v>
      </c>
      <c r="C155">
        <f t="shared" ca="1" si="115"/>
        <v>12</v>
      </c>
      <c r="D155">
        <f t="shared" ca="1" si="116"/>
        <v>0.27466413413050106</v>
      </c>
      <c r="F155" s="1">
        <f t="shared" ca="1" si="117"/>
        <v>46</v>
      </c>
      <c r="G155" s="1">
        <f t="shared" ca="1" si="118"/>
        <v>23</v>
      </c>
      <c r="H155" s="1">
        <f t="shared" ca="1" si="119"/>
        <v>3</v>
      </c>
      <c r="I155" s="1"/>
      <c r="J155" s="1">
        <f t="shared" ca="1" si="120"/>
        <v>5</v>
      </c>
      <c r="K155" s="1">
        <f t="shared" ca="1" si="121"/>
        <v>2.8705807981048688</v>
      </c>
      <c r="L155" s="1">
        <f t="shared" ca="1" si="122"/>
        <v>29</v>
      </c>
      <c r="M155" s="1"/>
      <c r="N155" s="1">
        <f t="shared" ca="1" si="123"/>
        <v>494</v>
      </c>
      <c r="O155" s="1">
        <f t="shared" ca="1" si="124"/>
        <v>46</v>
      </c>
      <c r="P155" s="1"/>
      <c r="Q155" s="1">
        <f t="shared" ca="1" si="125"/>
        <v>4.3163174656423955</v>
      </c>
      <c r="R155" s="1">
        <f t="shared" ca="1" si="126"/>
        <v>242</v>
      </c>
      <c r="S155" s="1"/>
      <c r="T155" s="1">
        <f t="shared" ca="1" si="127"/>
        <v>0.16958069735335804</v>
      </c>
      <c r="U155" s="1">
        <f t="shared" ca="1" si="128"/>
        <v>191</v>
      </c>
      <c r="V155" s="1">
        <f t="shared" ca="1" si="129"/>
        <v>22</v>
      </c>
      <c r="W155" s="1"/>
      <c r="X155" s="1">
        <f t="shared" ca="1" si="130"/>
        <v>5.0691925996579927</v>
      </c>
      <c r="Y155" s="1">
        <f t="shared" ca="1" si="131"/>
        <v>7.2227797909834579E-2</v>
      </c>
      <c r="Z155" s="1">
        <f t="shared" ca="1" si="132"/>
        <v>472</v>
      </c>
      <c r="AB155" s="1">
        <f t="shared" ca="1" si="133"/>
        <v>0.13215569226970608</v>
      </c>
      <c r="AC155" s="1">
        <f t="shared" ca="1" si="134"/>
        <v>664</v>
      </c>
      <c r="AD155" s="1">
        <f t="shared" ca="1" si="135"/>
        <v>4.4993763168944484E-3</v>
      </c>
      <c r="AE155" s="1"/>
      <c r="AF155" s="1">
        <f t="shared" ca="1" si="136"/>
        <v>0.46622138808318281</v>
      </c>
      <c r="AG155" s="1">
        <f t="shared" ca="1" si="137"/>
        <v>265</v>
      </c>
      <c r="AH155" s="1">
        <f t="shared" ca="1" si="138"/>
        <v>4.4139430573091123E-3</v>
      </c>
      <c r="AJ155" s="1">
        <f t="shared" ca="1" si="139"/>
        <v>0.65878512373792042</v>
      </c>
      <c r="AK155" s="1">
        <f t="shared" ca="1" si="140"/>
        <v>6.3824426753986072E-3</v>
      </c>
      <c r="AL155" s="1"/>
      <c r="AM155" s="1">
        <f t="shared" ca="1" si="141"/>
        <v>8.7205178844260434E-2</v>
      </c>
      <c r="AN155" s="1">
        <f t="shared" ca="1" si="142"/>
        <v>77</v>
      </c>
      <c r="AO155" s="1">
        <f t="shared" ca="1" si="143"/>
        <v>2</v>
      </c>
      <c r="AQ155" s="1">
        <f t="shared" ca="1" si="144"/>
        <v>41</v>
      </c>
      <c r="AR155" s="1">
        <f t="shared" ca="1" si="145"/>
        <v>8</v>
      </c>
      <c r="AS155" s="1">
        <f t="shared" ca="1" si="146"/>
        <v>69</v>
      </c>
      <c r="AU155" s="1">
        <f t="shared" ca="1" si="147"/>
        <v>190</v>
      </c>
      <c r="AV155" s="1">
        <f t="shared" ca="1" si="148"/>
        <v>4</v>
      </c>
      <c r="AW155" s="1">
        <f t="shared" ca="1" si="149"/>
        <v>0.16364438004561341</v>
      </c>
      <c r="AY155" s="1">
        <f t="shared" ca="1" si="150"/>
        <v>1.792234796236845</v>
      </c>
      <c r="AZ155" s="1">
        <f t="shared" ca="1" si="151"/>
        <v>396</v>
      </c>
      <c r="BA155" s="1">
        <f t="shared" ca="1" si="152"/>
        <v>1.326912985279566E-3</v>
      </c>
      <c r="BV155" s="1">
        <f t="shared" ca="1" si="153"/>
        <v>0.61120027135600752</v>
      </c>
      <c r="BW155" s="1">
        <f t="shared" ca="1" si="154"/>
        <v>648</v>
      </c>
      <c r="BX155" s="1">
        <f t="shared" ca="1" si="155"/>
        <v>9.6617409165534636E-3</v>
      </c>
      <c r="BY155" s="1">
        <f t="shared" ca="1" si="156"/>
        <v>6.3642457269264152E-2</v>
      </c>
      <c r="BZ155" s="1">
        <f t="shared" ca="1" si="157"/>
        <v>0.42403039547724697</v>
      </c>
      <c r="CB155" s="1">
        <f t="shared" ca="1" si="158"/>
        <v>85</v>
      </c>
      <c r="CC155" s="1">
        <f t="shared" ca="1" si="159"/>
        <v>13</v>
      </c>
      <c r="CD155" s="1">
        <f t="shared" ca="1" si="160"/>
        <v>7.4707913885851102E-2</v>
      </c>
      <c r="CE155" s="1">
        <f t="shared" ca="1" si="161"/>
        <v>0.9247104758382616</v>
      </c>
      <c r="CF155" s="1">
        <f t="shared" ca="1" si="161"/>
        <v>0.63306208679939857</v>
      </c>
      <c r="CH155" s="3">
        <f t="shared" ca="1" si="162"/>
        <v>0.43508397669015136</v>
      </c>
      <c r="CI155" s="3">
        <f t="shared" ca="1" si="163"/>
        <v>0.54836060113927487</v>
      </c>
      <c r="CJ155" s="3">
        <f t="shared" ca="1" si="164"/>
        <v>743</v>
      </c>
      <c r="CK155" s="3">
        <f t="shared" ca="1" si="165"/>
        <v>5.5942262416562626E-3</v>
      </c>
      <c r="CL155" s="3">
        <f t="shared" ca="1" si="166"/>
        <v>0</v>
      </c>
      <c r="CM155" s="3"/>
      <c r="CN155" s="1">
        <f t="shared" ca="1" si="167"/>
        <v>4.0385673309035468</v>
      </c>
      <c r="CO155" s="1">
        <f t="shared" ca="1" si="168"/>
        <v>0.43967245171888192</v>
      </c>
      <c r="CP155" s="1">
        <f t="shared" ca="1" si="169"/>
        <v>1</v>
      </c>
    </row>
    <row r="156" spans="2:94" x14ac:dyDescent="0.25">
      <c r="B156">
        <f t="shared" ca="1" si="114"/>
        <v>924</v>
      </c>
      <c r="C156">
        <f t="shared" ca="1" si="115"/>
        <v>19</v>
      </c>
      <c r="D156">
        <f t="shared" ca="1" si="116"/>
        <v>0.12526294083303463</v>
      </c>
      <c r="F156" s="1">
        <f t="shared" ca="1" si="117"/>
        <v>37</v>
      </c>
      <c r="G156" s="1">
        <f t="shared" ca="1" si="118"/>
        <v>12</v>
      </c>
      <c r="H156" s="1">
        <f t="shared" ca="1" si="119"/>
        <v>15</v>
      </c>
      <c r="I156" s="1"/>
      <c r="J156" s="1">
        <f t="shared" ca="1" si="120"/>
        <v>39</v>
      </c>
      <c r="K156" s="1">
        <f t="shared" ca="1" si="121"/>
        <v>1.017028786451051</v>
      </c>
      <c r="L156" s="1">
        <f t="shared" ca="1" si="122"/>
        <v>11</v>
      </c>
      <c r="M156" s="1"/>
      <c r="N156" s="1">
        <f t="shared" ca="1" si="123"/>
        <v>641</v>
      </c>
      <c r="O156" s="1">
        <f t="shared" ca="1" si="124"/>
        <v>34</v>
      </c>
      <c r="P156" s="1"/>
      <c r="Q156" s="1">
        <f t="shared" ca="1" si="125"/>
        <v>3.8564448652182333</v>
      </c>
      <c r="R156" s="1">
        <f t="shared" ca="1" si="126"/>
        <v>202</v>
      </c>
      <c r="S156" s="1"/>
      <c r="T156" s="1">
        <f t="shared" ca="1" si="127"/>
        <v>0.12047476053162008</v>
      </c>
      <c r="U156" s="1">
        <f t="shared" ca="1" si="128"/>
        <v>382</v>
      </c>
      <c r="V156" s="1">
        <f t="shared" ca="1" si="129"/>
        <v>13</v>
      </c>
      <c r="W156" s="1"/>
      <c r="X156" s="1">
        <f t="shared" ca="1" si="130"/>
        <v>3.369975060861762</v>
      </c>
      <c r="Y156" s="1">
        <f t="shared" ca="1" si="131"/>
        <v>0.93081767644920466</v>
      </c>
      <c r="Z156" s="1">
        <f t="shared" ca="1" si="132"/>
        <v>1326</v>
      </c>
      <c r="AB156" s="1">
        <f t="shared" ca="1" si="133"/>
        <v>0.69813458712738496</v>
      </c>
      <c r="AC156" s="1">
        <f t="shared" ca="1" si="134"/>
        <v>932</v>
      </c>
      <c r="AD156" s="1">
        <f t="shared" ca="1" si="135"/>
        <v>3.1649326144124914E-3</v>
      </c>
      <c r="AE156" s="1"/>
      <c r="AF156" s="1">
        <f t="shared" ca="1" si="136"/>
        <v>0.16698601758788359</v>
      </c>
      <c r="AG156" s="1">
        <f t="shared" ca="1" si="137"/>
        <v>357</v>
      </c>
      <c r="AH156" s="1">
        <f t="shared" ca="1" si="138"/>
        <v>7.1892234927936069E-3</v>
      </c>
      <c r="AJ156" s="1">
        <f t="shared" ca="1" si="139"/>
        <v>0.38046278036183667</v>
      </c>
      <c r="AK156" s="1">
        <f t="shared" ca="1" si="140"/>
        <v>4.7300048419910779E-3</v>
      </c>
      <c r="AL156" s="1"/>
      <c r="AM156" s="1">
        <f t="shared" ca="1" si="141"/>
        <v>0.10486677311709586</v>
      </c>
      <c r="AN156" s="1">
        <f t="shared" ca="1" si="142"/>
        <v>80</v>
      </c>
      <c r="AO156" s="1">
        <f t="shared" ca="1" si="143"/>
        <v>16</v>
      </c>
      <c r="AQ156" s="1">
        <f t="shared" ca="1" si="144"/>
        <v>89</v>
      </c>
      <c r="AR156" s="1">
        <f t="shared" ca="1" si="145"/>
        <v>0</v>
      </c>
      <c r="AS156" s="1">
        <f t="shared" ca="1" si="146"/>
        <v>42</v>
      </c>
      <c r="AU156" s="1">
        <f t="shared" ca="1" si="147"/>
        <v>91</v>
      </c>
      <c r="AV156" s="1">
        <f t="shared" ca="1" si="148"/>
        <v>9</v>
      </c>
      <c r="AW156" s="1">
        <f t="shared" ca="1" si="149"/>
        <v>8.228808403320452E-2</v>
      </c>
      <c r="AY156" s="1">
        <f t="shared" ca="1" si="150"/>
        <v>1.7149199122960141</v>
      </c>
      <c r="AZ156" s="1">
        <f t="shared" ca="1" si="151"/>
        <v>408</v>
      </c>
      <c r="BA156" s="1">
        <f t="shared" ca="1" si="152"/>
        <v>3.6831277922217721E-3</v>
      </c>
      <c r="BV156" s="1">
        <f t="shared" ca="1" si="153"/>
        <v>0.26923602697593113</v>
      </c>
      <c r="BW156" s="1">
        <f t="shared" ca="1" si="154"/>
        <v>700</v>
      </c>
      <c r="BX156" s="1">
        <f t="shared" ca="1" si="155"/>
        <v>9.2908899763200006E-3</v>
      </c>
      <c r="BY156" s="1">
        <f t="shared" ca="1" si="156"/>
        <v>1.3929647292519333E-2</v>
      </c>
      <c r="BZ156" s="1">
        <f t="shared" ca="1" si="157"/>
        <v>0.86248228935453553</v>
      </c>
      <c r="CB156" s="1">
        <f t="shared" ca="1" si="158"/>
        <v>350</v>
      </c>
      <c r="CC156" s="1">
        <f t="shared" ca="1" si="159"/>
        <v>7</v>
      </c>
      <c r="CD156" s="1">
        <f t="shared" ca="1" si="160"/>
        <v>0.14813220481918368</v>
      </c>
      <c r="CE156" s="1">
        <f t="shared" ca="1" si="161"/>
        <v>0.53660656885733449</v>
      </c>
      <c r="CF156" s="1">
        <f t="shared" ca="1" si="161"/>
        <v>0.52838018772873929</v>
      </c>
      <c r="CH156" s="3">
        <f t="shared" ca="1" si="162"/>
        <v>0.4130872001473927</v>
      </c>
      <c r="CI156" s="3">
        <f t="shared" ca="1" si="163"/>
        <v>0.39655061649527873</v>
      </c>
      <c r="CJ156" s="3">
        <f t="shared" ca="1" si="164"/>
        <v>1922</v>
      </c>
      <c r="CK156" s="3">
        <f t="shared" ca="1" si="165"/>
        <v>2.7522681186354838E-3</v>
      </c>
      <c r="CL156" s="3">
        <f t="shared" ca="1" si="166"/>
        <v>0</v>
      </c>
      <c r="CM156" s="3"/>
      <c r="CN156" s="1">
        <f t="shared" ca="1" si="167"/>
        <v>17.962189492969276</v>
      </c>
      <c r="CO156" s="1">
        <f t="shared" ca="1" si="168"/>
        <v>0.29531791736740581</v>
      </c>
      <c r="CP156" s="1">
        <f t="shared" ca="1" si="169"/>
        <v>2</v>
      </c>
    </row>
    <row r="157" spans="2:94" x14ac:dyDescent="0.25">
      <c r="B157">
        <f t="shared" ca="1" si="114"/>
        <v>609</v>
      </c>
      <c r="C157">
        <f t="shared" ca="1" si="115"/>
        <v>24</v>
      </c>
      <c r="D157">
        <f t="shared" ca="1" si="116"/>
        <v>0.23372089427059911</v>
      </c>
      <c r="F157" s="1">
        <f t="shared" ca="1" si="117"/>
        <v>11</v>
      </c>
      <c r="G157" s="1">
        <f t="shared" ca="1" si="118"/>
        <v>23</v>
      </c>
      <c r="H157" s="1">
        <f t="shared" ca="1" si="119"/>
        <v>10</v>
      </c>
      <c r="I157" s="1"/>
      <c r="J157" s="1">
        <f t="shared" ca="1" si="120"/>
        <v>20</v>
      </c>
      <c r="K157" s="1">
        <f t="shared" ca="1" si="121"/>
        <v>2.5564036639235526</v>
      </c>
      <c r="L157" s="1">
        <f t="shared" ca="1" si="122"/>
        <v>19</v>
      </c>
      <c r="M157" s="1"/>
      <c r="N157" s="1">
        <f t="shared" ca="1" si="123"/>
        <v>79</v>
      </c>
      <c r="O157" s="1">
        <f t="shared" ca="1" si="124"/>
        <v>37</v>
      </c>
      <c r="P157" s="1"/>
      <c r="Q157" s="1">
        <f t="shared" ca="1" si="125"/>
        <v>2.8121036991055566</v>
      </c>
      <c r="R157" s="1">
        <f t="shared" ca="1" si="126"/>
        <v>715</v>
      </c>
      <c r="S157" s="1"/>
      <c r="T157" s="1">
        <f t="shared" ca="1" si="127"/>
        <v>0.12010096912432586</v>
      </c>
      <c r="U157" s="1">
        <f t="shared" ca="1" si="128"/>
        <v>94</v>
      </c>
      <c r="V157" s="1">
        <f t="shared" ca="1" si="129"/>
        <v>24</v>
      </c>
      <c r="W157" s="1"/>
      <c r="X157" s="1">
        <f t="shared" ca="1" si="130"/>
        <v>2.0058761752768288</v>
      </c>
      <c r="Y157" s="1">
        <f t="shared" ca="1" si="131"/>
        <v>0.9835398032353212</v>
      </c>
      <c r="Z157" s="1">
        <f t="shared" ca="1" si="132"/>
        <v>620</v>
      </c>
      <c r="AB157" s="1">
        <f t="shared" ca="1" si="133"/>
        <v>6.2506793962093021E-2</v>
      </c>
      <c r="AC157" s="1">
        <f t="shared" ca="1" si="134"/>
        <v>978</v>
      </c>
      <c r="AD157" s="1">
        <f t="shared" ca="1" si="135"/>
        <v>3.8222267196334125E-3</v>
      </c>
      <c r="AE157" s="1"/>
      <c r="AF157" s="1">
        <f t="shared" ca="1" si="136"/>
        <v>0.62403598693747231</v>
      </c>
      <c r="AG157" s="1">
        <f t="shared" ca="1" si="137"/>
        <v>143</v>
      </c>
      <c r="AH157" s="1">
        <f t="shared" ca="1" si="138"/>
        <v>7.0014458813566658E-3</v>
      </c>
      <c r="AJ157" s="1">
        <f t="shared" ca="1" si="139"/>
        <v>0.4233569626479986</v>
      </c>
      <c r="AK157" s="1">
        <f t="shared" ca="1" si="140"/>
        <v>3.025624911169865E-3</v>
      </c>
      <c r="AL157" s="1"/>
      <c r="AM157" s="1">
        <f t="shared" ca="1" si="141"/>
        <v>0.1841927056420313</v>
      </c>
      <c r="AN157" s="1">
        <f t="shared" ca="1" si="142"/>
        <v>30</v>
      </c>
      <c r="AO157" s="1">
        <f t="shared" ca="1" si="143"/>
        <v>14</v>
      </c>
      <c r="AQ157" s="1">
        <f t="shared" ca="1" si="144"/>
        <v>67</v>
      </c>
      <c r="AR157" s="1">
        <f t="shared" ca="1" si="145"/>
        <v>5</v>
      </c>
      <c r="AS157" s="1">
        <f t="shared" ca="1" si="146"/>
        <v>43</v>
      </c>
      <c r="AU157" s="1">
        <f t="shared" ca="1" si="147"/>
        <v>349</v>
      </c>
      <c r="AV157" s="1">
        <f t="shared" ca="1" si="148"/>
        <v>8</v>
      </c>
      <c r="AW157" s="1">
        <f t="shared" ca="1" si="149"/>
        <v>0.11859337175034614</v>
      </c>
      <c r="AY157" s="1">
        <f t="shared" ca="1" si="150"/>
        <v>1.9513642153438375</v>
      </c>
      <c r="AZ157" s="1">
        <f t="shared" ca="1" si="151"/>
        <v>307</v>
      </c>
      <c r="BA157" s="1">
        <f t="shared" ca="1" si="152"/>
        <v>1.7589539059209736E-3</v>
      </c>
      <c r="BV157" s="1">
        <f t="shared" ca="1" si="153"/>
        <v>9.4821023522721634E-2</v>
      </c>
      <c r="BW157" s="1">
        <f t="shared" ca="1" si="154"/>
        <v>417</v>
      </c>
      <c r="BX157" s="1">
        <f t="shared" ca="1" si="155"/>
        <v>3.3722183048051149E-3</v>
      </c>
      <c r="BY157" s="1">
        <f t="shared" ca="1" si="156"/>
        <v>3.1919049994296421E-3</v>
      </c>
      <c r="BZ157" s="1">
        <f t="shared" ca="1" si="157"/>
        <v>4.7041491026551308E-2</v>
      </c>
      <c r="CB157" s="1">
        <f t="shared" ca="1" si="158"/>
        <v>332</v>
      </c>
      <c r="CC157" s="1">
        <f t="shared" ca="1" si="159"/>
        <v>12</v>
      </c>
      <c r="CD157" s="1">
        <f t="shared" ca="1" si="160"/>
        <v>0.25168239732864855</v>
      </c>
      <c r="CE157" s="1">
        <f t="shared" ca="1" si="161"/>
        <v>0.86259283800302766</v>
      </c>
      <c r="CF157" s="1">
        <f t="shared" ca="1" si="161"/>
        <v>0.72816705376076829</v>
      </c>
      <c r="CH157" s="3">
        <f t="shared" ca="1" si="162"/>
        <v>3.046850326489452E-2</v>
      </c>
      <c r="CI157" s="3">
        <f t="shared" ca="1" si="163"/>
        <v>0.89397975597834167</v>
      </c>
      <c r="CJ157" s="3">
        <f t="shared" ca="1" si="164"/>
        <v>409</v>
      </c>
      <c r="CK157" s="3">
        <f t="shared" ca="1" si="165"/>
        <v>8.7576177261800559E-3</v>
      </c>
      <c r="CL157" s="3">
        <f t="shared" ca="1" si="166"/>
        <v>1</v>
      </c>
      <c r="CM157" s="3"/>
      <c r="CN157" s="1">
        <f t="shared" ca="1" si="167"/>
        <v>4.5390467365230425</v>
      </c>
      <c r="CO157" s="1">
        <f t="shared" ca="1" si="168"/>
        <v>0.20495548490332244</v>
      </c>
      <c r="CP157" s="1">
        <f t="shared" ca="1" si="169"/>
        <v>5</v>
      </c>
    </row>
    <row r="158" spans="2:94" x14ac:dyDescent="0.25">
      <c r="B158">
        <f t="shared" ca="1" si="114"/>
        <v>998</v>
      </c>
      <c r="C158">
        <f t="shared" ca="1" si="115"/>
        <v>19</v>
      </c>
      <c r="D158">
        <f t="shared" ca="1" si="116"/>
        <v>8.6013439424322449E-2</v>
      </c>
      <c r="F158" s="1">
        <f t="shared" ca="1" si="117"/>
        <v>32</v>
      </c>
      <c r="G158" s="1">
        <f t="shared" ca="1" si="118"/>
        <v>13</v>
      </c>
      <c r="H158" s="1">
        <f t="shared" ca="1" si="119"/>
        <v>6</v>
      </c>
      <c r="I158" s="1"/>
      <c r="J158" s="1">
        <f t="shared" ca="1" si="120"/>
        <v>37</v>
      </c>
      <c r="K158" s="1">
        <f t="shared" ca="1" si="121"/>
        <v>2.241942118493367</v>
      </c>
      <c r="L158" s="1">
        <f t="shared" ca="1" si="122"/>
        <v>3</v>
      </c>
      <c r="M158" s="1"/>
      <c r="N158" s="1">
        <f t="shared" ca="1" si="123"/>
        <v>724</v>
      </c>
      <c r="O158" s="1">
        <f t="shared" ca="1" si="124"/>
        <v>48</v>
      </c>
      <c r="P158" s="1"/>
      <c r="Q158" s="1">
        <f t="shared" ca="1" si="125"/>
        <v>0.40804377310291129</v>
      </c>
      <c r="R158" s="1">
        <f t="shared" ca="1" si="126"/>
        <v>365</v>
      </c>
      <c r="S158" s="1"/>
      <c r="T158" s="1">
        <f t="shared" ca="1" si="127"/>
        <v>0.1025426447722067</v>
      </c>
      <c r="U158" s="1">
        <f t="shared" ca="1" si="128"/>
        <v>339</v>
      </c>
      <c r="V158" s="1">
        <f t="shared" ca="1" si="129"/>
        <v>49</v>
      </c>
      <c r="W158" s="1"/>
      <c r="X158" s="1">
        <f t="shared" ca="1" si="130"/>
        <v>8.5253860305428386</v>
      </c>
      <c r="Y158" s="1">
        <f t="shared" ca="1" si="131"/>
        <v>0.93348764302936693</v>
      </c>
      <c r="Z158" s="1">
        <f t="shared" ca="1" si="132"/>
        <v>1633</v>
      </c>
      <c r="AB158" s="1">
        <f t="shared" ca="1" si="133"/>
        <v>0.95949221562293119</v>
      </c>
      <c r="AC158" s="1">
        <f t="shared" ca="1" si="134"/>
        <v>571</v>
      </c>
      <c r="AD158" s="1">
        <f t="shared" ca="1" si="135"/>
        <v>3.0402472592232599E-3</v>
      </c>
      <c r="AE158" s="1"/>
      <c r="AF158" s="1">
        <f t="shared" ca="1" si="136"/>
        <v>0.24962843784133304</v>
      </c>
      <c r="AG158" s="1">
        <f t="shared" ca="1" si="137"/>
        <v>104</v>
      </c>
      <c r="AH158" s="1">
        <f t="shared" ca="1" si="138"/>
        <v>7.6599606420377792E-3</v>
      </c>
      <c r="AJ158" s="1">
        <f t="shared" ca="1" si="139"/>
        <v>0.78487836397708077</v>
      </c>
      <c r="AK158" s="1">
        <f t="shared" ca="1" si="140"/>
        <v>6.4622155014890954E-3</v>
      </c>
      <c r="AL158" s="1"/>
      <c r="AM158" s="1">
        <f t="shared" ca="1" si="141"/>
        <v>2.9211727280551943E-2</v>
      </c>
      <c r="AN158" s="1">
        <f t="shared" ca="1" si="142"/>
        <v>35</v>
      </c>
      <c r="AO158" s="1">
        <f t="shared" ca="1" si="143"/>
        <v>1</v>
      </c>
      <c r="AQ158" s="1">
        <f t="shared" ca="1" si="144"/>
        <v>129</v>
      </c>
      <c r="AR158" s="1">
        <f t="shared" ca="1" si="145"/>
        <v>8</v>
      </c>
      <c r="AS158" s="1">
        <f t="shared" ca="1" si="146"/>
        <v>91</v>
      </c>
      <c r="AU158" s="1">
        <f t="shared" ca="1" si="147"/>
        <v>318</v>
      </c>
      <c r="AV158" s="1">
        <f t="shared" ca="1" si="148"/>
        <v>2</v>
      </c>
      <c r="AW158" s="1">
        <f t="shared" ca="1" si="149"/>
        <v>0.17967374699652638</v>
      </c>
      <c r="AY158" s="1">
        <f t="shared" ca="1" si="150"/>
        <v>1.6993173152710184</v>
      </c>
      <c r="AZ158" s="1">
        <f t="shared" ca="1" si="151"/>
        <v>465</v>
      </c>
      <c r="BA158" s="1">
        <f t="shared" ca="1" si="152"/>
        <v>2.4048188129964744E-3</v>
      </c>
      <c r="BV158" s="1">
        <f t="shared" ca="1" si="153"/>
        <v>0.43663855177088728</v>
      </c>
      <c r="BW158" s="1">
        <f t="shared" ca="1" si="154"/>
        <v>782</v>
      </c>
      <c r="BX158" s="1">
        <f t="shared" ca="1" si="155"/>
        <v>1.5428276160832516E-3</v>
      </c>
      <c r="BY158" s="1">
        <f t="shared" ca="1" si="156"/>
        <v>4.9683132922505202E-2</v>
      </c>
      <c r="BZ158" s="1">
        <f t="shared" ca="1" si="157"/>
        <v>0.86401240254191725</v>
      </c>
      <c r="CB158" s="1">
        <f t="shared" ca="1" si="158"/>
        <v>250</v>
      </c>
      <c r="CC158" s="1">
        <f t="shared" ca="1" si="159"/>
        <v>7</v>
      </c>
      <c r="CD158" s="1">
        <f t="shared" ca="1" si="160"/>
        <v>0.19458601075872761</v>
      </c>
      <c r="CE158" s="1">
        <f t="shared" ca="1" si="161"/>
        <v>0.64813728901863032</v>
      </c>
      <c r="CF158" s="1">
        <f t="shared" ca="1" si="161"/>
        <v>0.8222464058374872</v>
      </c>
      <c r="CH158" s="3">
        <f t="shared" ca="1" si="162"/>
        <v>0.59523536859971915</v>
      </c>
      <c r="CI158" s="3">
        <f t="shared" ca="1" si="163"/>
        <v>0.27928686306159523</v>
      </c>
      <c r="CJ158" s="3">
        <f t="shared" ca="1" si="164"/>
        <v>1858</v>
      </c>
      <c r="CK158" s="3">
        <f t="shared" ca="1" si="165"/>
        <v>1.7812209803392538E-3</v>
      </c>
      <c r="CL158" s="3">
        <f t="shared" ca="1" si="166"/>
        <v>0</v>
      </c>
      <c r="CM158" s="3"/>
      <c r="CN158" s="1">
        <f t="shared" ca="1" si="167"/>
        <v>14.976034557164597</v>
      </c>
      <c r="CO158" s="1">
        <f t="shared" ca="1" si="168"/>
        <v>0.15221257966220725</v>
      </c>
      <c r="CP158" s="1">
        <f t="shared" ca="1" si="169"/>
        <v>3</v>
      </c>
    </row>
    <row r="159" spans="2:94" x14ac:dyDescent="0.25">
      <c r="B159">
        <f t="shared" ca="1" si="114"/>
        <v>237</v>
      </c>
      <c r="C159">
        <f t="shared" ca="1" si="115"/>
        <v>30</v>
      </c>
      <c r="D159">
        <f t="shared" ca="1" si="116"/>
        <v>0.11412900750217245</v>
      </c>
      <c r="F159" s="1">
        <f t="shared" ca="1" si="117"/>
        <v>50</v>
      </c>
      <c r="G159" s="1">
        <f t="shared" ca="1" si="118"/>
        <v>25</v>
      </c>
      <c r="H159" s="1">
        <f t="shared" ca="1" si="119"/>
        <v>7</v>
      </c>
      <c r="I159" s="1"/>
      <c r="J159" s="1">
        <f t="shared" ca="1" si="120"/>
        <v>15</v>
      </c>
      <c r="K159" s="1">
        <f t="shared" ca="1" si="121"/>
        <v>1.4148589205878253</v>
      </c>
      <c r="L159" s="1">
        <f t="shared" ca="1" si="122"/>
        <v>10</v>
      </c>
      <c r="M159" s="1"/>
      <c r="N159" s="1">
        <f t="shared" ca="1" si="123"/>
        <v>950</v>
      </c>
      <c r="O159" s="1">
        <f t="shared" ca="1" si="124"/>
        <v>4</v>
      </c>
      <c r="P159" s="1"/>
      <c r="Q159" s="1">
        <f t="shared" ca="1" si="125"/>
        <v>0.87586310149569468</v>
      </c>
      <c r="R159" s="1">
        <f t="shared" ca="1" si="126"/>
        <v>934</v>
      </c>
      <c r="S159" s="1"/>
      <c r="T159" s="1">
        <f t="shared" ca="1" si="127"/>
        <v>5.6247910570021764E-2</v>
      </c>
      <c r="U159" s="1">
        <f t="shared" ca="1" si="128"/>
        <v>381</v>
      </c>
      <c r="V159" s="1">
        <f t="shared" ca="1" si="129"/>
        <v>37</v>
      </c>
      <c r="W159" s="1"/>
      <c r="X159" s="1">
        <f t="shared" ca="1" si="130"/>
        <v>4.4791576640606561</v>
      </c>
      <c r="Y159" s="1">
        <f t="shared" ca="1" si="131"/>
        <v>0.26692862510184151</v>
      </c>
      <c r="Z159" s="1">
        <f t="shared" ca="1" si="132"/>
        <v>1291</v>
      </c>
      <c r="AB159" s="1">
        <f t="shared" ca="1" si="133"/>
        <v>0.30939797248852974</v>
      </c>
      <c r="AC159" s="1">
        <f t="shared" ca="1" si="134"/>
        <v>754</v>
      </c>
      <c r="AD159" s="1">
        <f t="shared" ca="1" si="135"/>
        <v>1.9266800811420673E-3</v>
      </c>
      <c r="AE159" s="1"/>
      <c r="AF159" s="1">
        <f t="shared" ca="1" si="136"/>
        <v>0.47860098295888809</v>
      </c>
      <c r="AG159" s="1">
        <f t="shared" ca="1" si="137"/>
        <v>786</v>
      </c>
      <c r="AH159" s="1">
        <f t="shared" ca="1" si="138"/>
        <v>4.4911478670910179E-3</v>
      </c>
      <c r="AJ159" s="1">
        <f t="shared" ca="1" si="139"/>
        <v>0.21573799754733813</v>
      </c>
      <c r="AK159" s="1">
        <f t="shared" ca="1" si="140"/>
        <v>4.0379320148999634E-3</v>
      </c>
      <c r="AL159" s="1"/>
      <c r="AM159" s="1">
        <f t="shared" ca="1" si="141"/>
        <v>0.16757075152088058</v>
      </c>
      <c r="AN159" s="1">
        <f t="shared" ca="1" si="142"/>
        <v>74</v>
      </c>
      <c r="AO159" s="1">
        <f t="shared" ca="1" si="143"/>
        <v>9</v>
      </c>
      <c r="AQ159" s="1">
        <f t="shared" ca="1" si="144"/>
        <v>17</v>
      </c>
      <c r="AR159" s="1">
        <f t="shared" ca="1" si="145"/>
        <v>1</v>
      </c>
      <c r="AS159" s="1">
        <f t="shared" ca="1" si="146"/>
        <v>28</v>
      </c>
      <c r="AU159" s="1">
        <f t="shared" ca="1" si="147"/>
        <v>107</v>
      </c>
      <c r="AV159" s="1">
        <f t="shared" ca="1" si="148"/>
        <v>6</v>
      </c>
      <c r="AW159" s="1">
        <f t="shared" ca="1" si="149"/>
        <v>9.9917256949584143E-2</v>
      </c>
      <c r="AY159" s="1">
        <f t="shared" ca="1" si="150"/>
        <v>1.1396513361552705</v>
      </c>
      <c r="AZ159" s="1">
        <f t="shared" ca="1" si="151"/>
        <v>426</v>
      </c>
      <c r="BA159" s="1">
        <f t="shared" ca="1" si="152"/>
        <v>3.7256818183879136E-3</v>
      </c>
      <c r="BV159" s="1">
        <f t="shared" ca="1" si="153"/>
        <v>0.36083535865834421</v>
      </c>
      <c r="BW159" s="1">
        <f t="shared" ca="1" si="154"/>
        <v>665</v>
      </c>
      <c r="BX159" s="1">
        <f t="shared" ca="1" si="155"/>
        <v>9.7437422931437355E-4</v>
      </c>
      <c r="BY159" s="1">
        <f t="shared" ca="1" si="156"/>
        <v>6.7304513142016312E-2</v>
      </c>
      <c r="BZ159" s="1">
        <f t="shared" ca="1" si="157"/>
        <v>2.5867704971652916E-2</v>
      </c>
      <c r="CB159" s="1">
        <f t="shared" ca="1" si="158"/>
        <v>237</v>
      </c>
      <c r="CC159" s="1">
        <f t="shared" ca="1" si="159"/>
        <v>10</v>
      </c>
      <c r="CD159" s="1">
        <f t="shared" ca="1" si="160"/>
        <v>0.10549199431839162</v>
      </c>
      <c r="CE159" s="1">
        <f t="shared" ca="1" si="161"/>
        <v>0.81863425989590688</v>
      </c>
      <c r="CF159" s="1">
        <f t="shared" ca="1" si="161"/>
        <v>0.83306416826206053</v>
      </c>
      <c r="CH159" s="3">
        <f t="shared" ca="1" si="162"/>
        <v>0.62153500483069735</v>
      </c>
      <c r="CI159" s="3">
        <f t="shared" ca="1" si="163"/>
        <v>0.2972008008927679</v>
      </c>
      <c r="CJ159" s="3">
        <f t="shared" ca="1" si="164"/>
        <v>704</v>
      </c>
      <c r="CK159" s="3">
        <f t="shared" ca="1" si="165"/>
        <v>7.6277200571781027E-3</v>
      </c>
      <c r="CL159" s="3">
        <f t="shared" ca="1" si="166"/>
        <v>0</v>
      </c>
      <c r="CM159" s="3"/>
      <c r="CN159" s="1">
        <f t="shared" ca="1" si="167"/>
        <v>15.96473612078629</v>
      </c>
      <c r="CO159" s="1">
        <f t="shared" ca="1" si="168"/>
        <v>0.30800917353089452</v>
      </c>
      <c r="CP159" s="1">
        <f t="shared" ca="1" si="169"/>
        <v>5</v>
      </c>
    </row>
    <row r="160" spans="2:94" x14ac:dyDescent="0.25">
      <c r="B160">
        <f t="shared" ca="1" si="114"/>
        <v>510</v>
      </c>
      <c r="C160">
        <f t="shared" ca="1" si="115"/>
        <v>7</v>
      </c>
      <c r="D160">
        <f t="shared" ca="1" si="116"/>
        <v>1.0917523168593493E-2</v>
      </c>
      <c r="F160" s="1">
        <f t="shared" ca="1" si="117"/>
        <v>16</v>
      </c>
      <c r="G160" s="1">
        <f t="shared" ca="1" si="118"/>
        <v>19</v>
      </c>
      <c r="H160" s="1">
        <f t="shared" ca="1" si="119"/>
        <v>10</v>
      </c>
      <c r="I160" s="1"/>
      <c r="J160" s="1">
        <f t="shared" ca="1" si="120"/>
        <v>21</v>
      </c>
      <c r="K160" s="1">
        <f t="shared" ca="1" si="121"/>
        <v>2.4981820424277332</v>
      </c>
      <c r="L160" s="1">
        <f t="shared" ca="1" si="122"/>
        <v>34</v>
      </c>
      <c r="M160" s="1"/>
      <c r="N160" s="1">
        <f t="shared" ca="1" si="123"/>
        <v>502</v>
      </c>
      <c r="O160" s="1">
        <f t="shared" ca="1" si="124"/>
        <v>24</v>
      </c>
      <c r="P160" s="1"/>
      <c r="Q160" s="1">
        <f t="shared" ca="1" si="125"/>
        <v>0.97385643381193099</v>
      </c>
      <c r="R160" s="1">
        <f t="shared" ca="1" si="126"/>
        <v>1057</v>
      </c>
      <c r="S160" s="1"/>
      <c r="T160" s="1">
        <f t="shared" ca="1" si="127"/>
        <v>3.172175282801825E-2</v>
      </c>
      <c r="U160" s="1">
        <f t="shared" ca="1" si="128"/>
        <v>359</v>
      </c>
      <c r="V160" s="1">
        <f t="shared" ca="1" si="129"/>
        <v>15</v>
      </c>
      <c r="W160" s="1"/>
      <c r="X160" s="1">
        <f t="shared" ca="1" si="130"/>
        <v>4.6566775130859641</v>
      </c>
      <c r="Y160" s="1">
        <f t="shared" ca="1" si="131"/>
        <v>0.94336856806431957</v>
      </c>
      <c r="Z160" s="1">
        <f t="shared" ca="1" si="132"/>
        <v>1163</v>
      </c>
      <c r="AB160" s="1">
        <f t="shared" ca="1" si="133"/>
        <v>1.8213757684309988E-3</v>
      </c>
      <c r="AC160" s="1">
        <f t="shared" ca="1" si="134"/>
        <v>108</v>
      </c>
      <c r="AD160" s="1">
        <f t="shared" ca="1" si="135"/>
        <v>8.9894255294628821E-3</v>
      </c>
      <c r="AE160" s="1"/>
      <c r="AF160" s="1">
        <f t="shared" ca="1" si="136"/>
        <v>0.66357233760428158</v>
      </c>
      <c r="AG160" s="1">
        <f t="shared" ca="1" si="137"/>
        <v>795</v>
      </c>
      <c r="AH160" s="1">
        <f t="shared" ca="1" si="138"/>
        <v>2.336530247829002E-3</v>
      </c>
      <c r="AJ160" s="1">
        <f t="shared" ca="1" si="139"/>
        <v>0.54980651504130618</v>
      </c>
      <c r="AK160" s="1">
        <f t="shared" ca="1" si="140"/>
        <v>6.6526908858387619E-3</v>
      </c>
      <c r="AL160" s="1"/>
      <c r="AM160" s="1">
        <f t="shared" ca="1" si="141"/>
        <v>8.0708638236170166E-2</v>
      </c>
      <c r="AN160" s="1">
        <f t="shared" ca="1" si="142"/>
        <v>71</v>
      </c>
      <c r="AO160" s="1">
        <f t="shared" ca="1" si="143"/>
        <v>7</v>
      </c>
      <c r="AQ160" s="1">
        <f t="shared" ca="1" si="144"/>
        <v>64</v>
      </c>
      <c r="AR160" s="1">
        <f t="shared" ca="1" si="145"/>
        <v>3</v>
      </c>
      <c r="AS160" s="1">
        <f t="shared" ca="1" si="146"/>
        <v>17</v>
      </c>
      <c r="AU160" s="1">
        <f t="shared" ca="1" si="147"/>
        <v>129</v>
      </c>
      <c r="AV160" s="1">
        <f t="shared" ca="1" si="148"/>
        <v>10</v>
      </c>
      <c r="AW160" s="1">
        <f t="shared" ca="1" si="149"/>
        <v>2.7433623776464987E-2</v>
      </c>
      <c r="AY160" s="1">
        <f t="shared" ca="1" si="150"/>
        <v>1.4957521318616807</v>
      </c>
      <c r="AZ160" s="1">
        <f t="shared" ca="1" si="151"/>
        <v>427</v>
      </c>
      <c r="BA160" s="1">
        <f t="shared" ca="1" si="152"/>
        <v>8.7530178076146241E-4</v>
      </c>
      <c r="BV160" s="1">
        <f t="shared" ca="1" si="153"/>
        <v>0.1530488719801916</v>
      </c>
      <c r="BW160" s="1">
        <f t="shared" ca="1" si="154"/>
        <v>195</v>
      </c>
      <c r="BX160" s="1">
        <f t="shared" ca="1" si="155"/>
        <v>2.4879271577266447E-3</v>
      </c>
      <c r="BY160" s="1">
        <f t="shared" ca="1" si="156"/>
        <v>2.0678080736724135E-2</v>
      </c>
      <c r="BZ160" s="1">
        <f t="shared" ca="1" si="157"/>
        <v>0.10807405495911215</v>
      </c>
      <c r="CB160" s="1">
        <f t="shared" ca="1" si="158"/>
        <v>66</v>
      </c>
      <c r="CC160" s="1">
        <f t="shared" ca="1" si="159"/>
        <v>9</v>
      </c>
      <c r="CD160" s="1">
        <f t="shared" ca="1" si="160"/>
        <v>2.9164391770399853E-2</v>
      </c>
      <c r="CE160" s="1">
        <f t="shared" ca="1" si="161"/>
        <v>0.75008072530174386</v>
      </c>
      <c r="CF160" s="1">
        <f t="shared" ca="1" si="161"/>
        <v>0.94472241191013562</v>
      </c>
      <c r="CH160" s="3">
        <f t="shared" ca="1" si="162"/>
        <v>3.4404456242952054E-2</v>
      </c>
      <c r="CI160" s="3">
        <f t="shared" ca="1" si="163"/>
        <v>0.17487060909605703</v>
      </c>
      <c r="CJ160" s="3">
        <f t="shared" ca="1" si="164"/>
        <v>1395</v>
      </c>
      <c r="CK160" s="3">
        <f t="shared" ca="1" si="165"/>
        <v>5.6113731219089918E-4</v>
      </c>
      <c r="CL160" s="3">
        <f t="shared" ca="1" si="166"/>
        <v>1</v>
      </c>
      <c r="CM160" s="3"/>
      <c r="CN160" s="1">
        <f t="shared" ca="1" si="167"/>
        <v>8.8418677896991422</v>
      </c>
      <c r="CO160" s="1">
        <f t="shared" ca="1" si="168"/>
        <v>0.29938933547170193</v>
      </c>
      <c r="CP160" s="1">
        <f t="shared" ca="1" si="169"/>
        <v>2</v>
      </c>
    </row>
    <row r="161" spans="2:94" x14ac:dyDescent="0.25">
      <c r="B161">
        <f t="shared" ca="1" si="114"/>
        <v>15</v>
      </c>
      <c r="C161">
        <f t="shared" ca="1" si="115"/>
        <v>28</v>
      </c>
      <c r="D161">
        <f t="shared" ca="1" si="116"/>
        <v>0.27598184589180158</v>
      </c>
      <c r="F161" s="1">
        <f t="shared" ca="1" si="117"/>
        <v>23</v>
      </c>
      <c r="G161" s="1">
        <f t="shared" ca="1" si="118"/>
        <v>8</v>
      </c>
      <c r="H161" s="1">
        <f t="shared" ca="1" si="119"/>
        <v>9</v>
      </c>
      <c r="I161" s="1"/>
      <c r="J161" s="1">
        <f t="shared" ca="1" si="120"/>
        <v>15</v>
      </c>
      <c r="K161" s="1">
        <f t="shared" ca="1" si="121"/>
        <v>2.4765756408867681</v>
      </c>
      <c r="L161" s="1">
        <f t="shared" ca="1" si="122"/>
        <v>17</v>
      </c>
      <c r="M161" s="1"/>
      <c r="N161" s="1">
        <f t="shared" ca="1" si="123"/>
        <v>605</v>
      </c>
      <c r="O161" s="1">
        <f t="shared" ca="1" si="124"/>
        <v>5</v>
      </c>
      <c r="P161" s="1"/>
      <c r="Q161" s="1">
        <f t="shared" ca="1" si="125"/>
        <v>0.52445934251721127</v>
      </c>
      <c r="R161" s="1">
        <f t="shared" ca="1" si="126"/>
        <v>579</v>
      </c>
      <c r="S161" s="1"/>
      <c r="T161" s="1">
        <f t="shared" ca="1" si="127"/>
        <v>0.15810871455348488</v>
      </c>
      <c r="U161" s="1">
        <f t="shared" ca="1" si="128"/>
        <v>305</v>
      </c>
      <c r="V161" s="1">
        <f t="shared" ca="1" si="129"/>
        <v>50</v>
      </c>
      <c r="W161" s="1"/>
      <c r="X161" s="1">
        <f t="shared" ca="1" si="130"/>
        <v>3.61576733307693</v>
      </c>
      <c r="Y161" s="1">
        <f t="shared" ca="1" si="131"/>
        <v>0.99539307639821817</v>
      </c>
      <c r="Z161" s="1">
        <f t="shared" ca="1" si="132"/>
        <v>190</v>
      </c>
      <c r="AB161" s="1">
        <f t="shared" ca="1" si="133"/>
        <v>0.73673603979538349</v>
      </c>
      <c r="AC161" s="1">
        <f t="shared" ca="1" si="134"/>
        <v>528</v>
      </c>
      <c r="AD161" s="1">
        <f t="shared" ca="1" si="135"/>
        <v>1.2599771593145201E-3</v>
      </c>
      <c r="AE161" s="1"/>
      <c r="AF161" s="1">
        <f t="shared" ca="1" si="136"/>
        <v>0.44526646049707053</v>
      </c>
      <c r="AG161" s="1">
        <f t="shared" ca="1" si="137"/>
        <v>322</v>
      </c>
      <c r="AH161" s="1">
        <f t="shared" ca="1" si="138"/>
        <v>5.7066938386855668E-3</v>
      </c>
      <c r="AJ161" s="1">
        <f t="shared" ca="1" si="139"/>
        <v>0.79420096665580042</v>
      </c>
      <c r="AK161" s="1">
        <f t="shared" ca="1" si="140"/>
        <v>3.2840782799062858E-3</v>
      </c>
      <c r="AL161" s="1"/>
      <c r="AM161" s="1">
        <f t="shared" ca="1" si="141"/>
        <v>0.16092630622956372</v>
      </c>
      <c r="AN161" s="1">
        <f t="shared" ca="1" si="142"/>
        <v>11</v>
      </c>
      <c r="AO161" s="1">
        <f t="shared" ca="1" si="143"/>
        <v>18</v>
      </c>
      <c r="AQ161" s="1">
        <f t="shared" ca="1" si="144"/>
        <v>35</v>
      </c>
      <c r="AR161" s="1">
        <f t="shared" ca="1" si="145"/>
        <v>1</v>
      </c>
      <c r="AS161" s="1">
        <f t="shared" ca="1" si="146"/>
        <v>44</v>
      </c>
      <c r="AU161" s="1">
        <f t="shared" ca="1" si="147"/>
        <v>375</v>
      </c>
      <c r="AV161" s="1">
        <f t="shared" ca="1" si="148"/>
        <v>3</v>
      </c>
      <c r="AW161" s="1">
        <f t="shared" ca="1" si="149"/>
        <v>0.1559902299621275</v>
      </c>
      <c r="AY161" s="1">
        <f t="shared" ca="1" si="150"/>
        <v>1.424468737036638</v>
      </c>
      <c r="AZ161" s="1">
        <f t="shared" ca="1" si="151"/>
        <v>225</v>
      </c>
      <c r="BA161" s="1">
        <f t="shared" ca="1" si="152"/>
        <v>7.5717776519589435E-3</v>
      </c>
      <c r="BV161" s="1">
        <f t="shared" ca="1" si="153"/>
        <v>0.97762978240831022</v>
      </c>
      <c r="BW161" s="1">
        <f t="shared" ca="1" si="154"/>
        <v>463</v>
      </c>
      <c r="BX161" s="1">
        <f t="shared" ca="1" si="155"/>
        <v>3.1219708733201718E-3</v>
      </c>
      <c r="BY161" s="1">
        <f t="shared" ca="1" si="156"/>
        <v>6.261741496299833E-2</v>
      </c>
      <c r="BZ161" s="1">
        <f t="shared" ca="1" si="157"/>
        <v>0.30298727854997753</v>
      </c>
      <c r="CB161" s="1">
        <f t="shared" ca="1" si="158"/>
        <v>445</v>
      </c>
      <c r="CC161" s="1">
        <f t="shared" ca="1" si="159"/>
        <v>6</v>
      </c>
      <c r="CD161" s="1">
        <f t="shared" ca="1" si="160"/>
        <v>0.10219665382290496</v>
      </c>
      <c r="CE161" s="1">
        <f t="shared" ca="1" si="161"/>
        <v>0.82381835037284645</v>
      </c>
      <c r="CF161" s="1">
        <f t="shared" ca="1" si="161"/>
        <v>0.87745276919106718</v>
      </c>
      <c r="CH161" s="3">
        <f t="shared" ca="1" si="162"/>
        <v>0.13262708535022755</v>
      </c>
      <c r="CI161" s="3">
        <f t="shared" ca="1" si="163"/>
        <v>0.47631389329715185</v>
      </c>
      <c r="CJ161" s="3">
        <f t="shared" ca="1" si="164"/>
        <v>315</v>
      </c>
      <c r="CK161" s="3">
        <f t="shared" ca="1" si="165"/>
        <v>8.6867979425065019E-4</v>
      </c>
      <c r="CL161" s="3">
        <f t="shared" ca="1" si="166"/>
        <v>1</v>
      </c>
      <c r="CM161" s="3"/>
      <c r="CN161" s="1">
        <f t="shared" ca="1" si="167"/>
        <v>1.1941373909910815</v>
      </c>
      <c r="CO161" s="1">
        <f t="shared" ca="1" si="168"/>
        <v>0.24176773189976833</v>
      </c>
      <c r="CP161" s="1">
        <f t="shared" ca="1" si="169"/>
        <v>5</v>
      </c>
    </row>
    <row r="162" spans="2:94" x14ac:dyDescent="0.25">
      <c r="B162">
        <f t="shared" ca="1" si="114"/>
        <v>121</v>
      </c>
      <c r="C162">
        <f t="shared" ca="1" si="115"/>
        <v>21</v>
      </c>
      <c r="D162">
        <f t="shared" ca="1" si="116"/>
        <v>0.2291045900935707</v>
      </c>
      <c r="F162" s="1">
        <f t="shared" ca="1" si="117"/>
        <v>5</v>
      </c>
      <c r="G162" s="1">
        <f t="shared" ca="1" si="118"/>
        <v>3</v>
      </c>
      <c r="H162" s="1">
        <f t="shared" ca="1" si="119"/>
        <v>3</v>
      </c>
      <c r="I162" s="1"/>
      <c r="J162" s="1">
        <f t="shared" ca="1" si="120"/>
        <v>33</v>
      </c>
      <c r="K162" s="1">
        <f t="shared" ca="1" si="121"/>
        <v>1.8232903252689101</v>
      </c>
      <c r="L162" s="1">
        <f t="shared" ca="1" si="122"/>
        <v>17</v>
      </c>
      <c r="M162" s="1"/>
      <c r="N162" s="1">
        <f t="shared" ca="1" si="123"/>
        <v>810</v>
      </c>
      <c r="O162" s="1">
        <f t="shared" ca="1" si="124"/>
        <v>28</v>
      </c>
      <c r="P162" s="1"/>
      <c r="Q162" s="1">
        <f t="shared" ca="1" si="125"/>
        <v>3.8730902793168487</v>
      </c>
      <c r="R162" s="1">
        <f t="shared" ca="1" si="126"/>
        <v>386</v>
      </c>
      <c r="S162" s="1"/>
      <c r="T162" s="1">
        <f t="shared" ca="1" si="127"/>
        <v>9.1628725748898313E-2</v>
      </c>
      <c r="U162" s="1">
        <f t="shared" ca="1" si="128"/>
        <v>281</v>
      </c>
      <c r="V162" s="1">
        <f t="shared" ca="1" si="129"/>
        <v>43</v>
      </c>
      <c r="W162" s="1"/>
      <c r="X162" s="1">
        <f t="shared" ca="1" si="130"/>
        <v>2.7249577312729957E-2</v>
      </c>
      <c r="Y162" s="1">
        <f t="shared" ca="1" si="131"/>
        <v>0.68292962533725621</v>
      </c>
      <c r="Z162" s="1">
        <f t="shared" ca="1" si="132"/>
        <v>308</v>
      </c>
      <c r="AB162" s="1">
        <f t="shared" ca="1" si="133"/>
        <v>0.56734958692119741</v>
      </c>
      <c r="AC162" s="1">
        <f t="shared" ca="1" si="134"/>
        <v>667</v>
      </c>
      <c r="AD162" s="1">
        <f t="shared" ca="1" si="135"/>
        <v>6.1112369446030121E-3</v>
      </c>
      <c r="AE162" s="1"/>
      <c r="AF162" s="1">
        <f t="shared" ca="1" si="136"/>
        <v>0.38192878496498783</v>
      </c>
      <c r="AG162" s="1">
        <f t="shared" ca="1" si="137"/>
        <v>159</v>
      </c>
      <c r="AH162" s="1">
        <f t="shared" ca="1" si="138"/>
        <v>9.9085554948324626E-3</v>
      </c>
      <c r="AJ162" s="1">
        <f t="shared" ca="1" si="139"/>
        <v>0.97856608383957677</v>
      </c>
      <c r="AK162" s="1">
        <f t="shared" ca="1" si="140"/>
        <v>1.9724550812174873E-3</v>
      </c>
      <c r="AL162" s="1"/>
      <c r="AM162" s="1">
        <f t="shared" ca="1" si="141"/>
        <v>0.10223216881054609</v>
      </c>
      <c r="AN162" s="1">
        <f t="shared" ca="1" si="142"/>
        <v>63</v>
      </c>
      <c r="AO162" s="1">
        <f t="shared" ca="1" si="143"/>
        <v>6</v>
      </c>
      <c r="AQ162" s="1">
        <f t="shared" ca="1" si="144"/>
        <v>195</v>
      </c>
      <c r="AR162" s="1">
        <f t="shared" ca="1" si="145"/>
        <v>5</v>
      </c>
      <c r="AS162" s="1">
        <f t="shared" ca="1" si="146"/>
        <v>47</v>
      </c>
      <c r="AU162" s="1">
        <f t="shared" ca="1" si="147"/>
        <v>157</v>
      </c>
      <c r="AV162" s="1">
        <f t="shared" ca="1" si="148"/>
        <v>6</v>
      </c>
      <c r="AW162" s="1">
        <f t="shared" ca="1" si="149"/>
        <v>0.13573024619917082</v>
      </c>
      <c r="AY162" s="1">
        <f t="shared" ca="1" si="150"/>
        <v>1.6011348276976207</v>
      </c>
      <c r="AZ162" s="1">
        <f t="shared" ca="1" si="151"/>
        <v>478</v>
      </c>
      <c r="BA162" s="1">
        <f t="shared" ca="1" si="152"/>
        <v>9.7908902648704121E-3</v>
      </c>
      <c r="BV162" s="1">
        <f t="shared" ca="1" si="153"/>
        <v>0.42027522282341323</v>
      </c>
      <c r="BW162" s="1">
        <f t="shared" ca="1" si="154"/>
        <v>618</v>
      </c>
      <c r="BX162" s="1">
        <f t="shared" ca="1" si="155"/>
        <v>1.6427626994517674E-3</v>
      </c>
      <c r="BY162" s="1">
        <f t="shared" ca="1" si="156"/>
        <v>9.1378254487087279E-2</v>
      </c>
      <c r="BZ162" s="1">
        <f t="shared" ca="1" si="157"/>
        <v>0.76298830540519469</v>
      </c>
      <c r="CB162" s="1">
        <f t="shared" ca="1" si="158"/>
        <v>467</v>
      </c>
      <c r="CC162" s="1">
        <f t="shared" ca="1" si="159"/>
        <v>10</v>
      </c>
      <c r="CD162" s="1">
        <f t="shared" ca="1" si="160"/>
        <v>0.28236947459866168</v>
      </c>
      <c r="CE162" s="1">
        <f t="shared" ca="1" si="161"/>
        <v>0.61606524805837859</v>
      </c>
      <c r="CF162" s="1">
        <f t="shared" ca="1" si="161"/>
        <v>0.91452588310271488</v>
      </c>
      <c r="CH162" s="3">
        <f t="shared" ca="1" si="162"/>
        <v>0.13886700573548438</v>
      </c>
      <c r="CI162" s="3">
        <f t="shared" ca="1" si="163"/>
        <v>0.44324098557835173</v>
      </c>
      <c r="CJ162" s="3">
        <f t="shared" ca="1" si="164"/>
        <v>579</v>
      </c>
      <c r="CK162" s="3">
        <f t="shared" ca="1" si="165"/>
        <v>7.6359999718830984E-3</v>
      </c>
      <c r="CL162" s="3">
        <f t="shared" ca="1" si="166"/>
        <v>1</v>
      </c>
      <c r="CM162" s="3"/>
      <c r="CN162" s="1">
        <f t="shared" ca="1" si="167"/>
        <v>7.7407094939720578</v>
      </c>
      <c r="CO162" s="1">
        <f t="shared" ca="1" si="168"/>
        <v>0.12730608100908133</v>
      </c>
      <c r="CP162" s="1">
        <f t="shared" ca="1" si="169"/>
        <v>5</v>
      </c>
    </row>
    <row r="163" spans="2:94" x14ac:dyDescent="0.25">
      <c r="B163">
        <f t="shared" ca="1" si="114"/>
        <v>351</v>
      </c>
      <c r="C163">
        <f t="shared" ca="1" si="115"/>
        <v>9</v>
      </c>
      <c r="D163">
        <f t="shared" ca="1" si="116"/>
        <v>0.15464024886332289</v>
      </c>
      <c r="F163" s="1">
        <f t="shared" ca="1" si="117"/>
        <v>24</v>
      </c>
      <c r="G163" s="1">
        <f t="shared" ca="1" si="118"/>
        <v>20</v>
      </c>
      <c r="H163" s="1">
        <f t="shared" ca="1" si="119"/>
        <v>6</v>
      </c>
      <c r="I163" s="1"/>
      <c r="J163" s="1">
        <f t="shared" ca="1" si="120"/>
        <v>25</v>
      </c>
      <c r="K163" s="1">
        <f t="shared" ca="1" si="121"/>
        <v>2.223778240801765</v>
      </c>
      <c r="L163" s="1">
        <f t="shared" ca="1" si="122"/>
        <v>35</v>
      </c>
      <c r="M163" s="1"/>
      <c r="N163" s="1">
        <f t="shared" ca="1" si="123"/>
        <v>673</v>
      </c>
      <c r="O163" s="1">
        <f t="shared" ca="1" si="124"/>
        <v>37</v>
      </c>
      <c r="P163" s="1"/>
      <c r="Q163" s="1">
        <f t="shared" ca="1" si="125"/>
        <v>0.1401949408116798</v>
      </c>
      <c r="R163" s="1">
        <f t="shared" ca="1" si="126"/>
        <v>580</v>
      </c>
      <c r="S163" s="1"/>
      <c r="T163" s="1">
        <f t="shared" ca="1" si="127"/>
        <v>0.11003690938186897</v>
      </c>
      <c r="U163" s="1">
        <f t="shared" ca="1" si="128"/>
        <v>124</v>
      </c>
      <c r="V163" s="1">
        <f t="shared" ca="1" si="129"/>
        <v>32</v>
      </c>
      <c r="W163" s="1"/>
      <c r="X163" s="1">
        <f t="shared" ca="1" si="130"/>
        <v>8.7486171503723789</v>
      </c>
      <c r="Y163" s="1">
        <f t="shared" ca="1" si="131"/>
        <v>0.63109858747017589</v>
      </c>
      <c r="Z163" s="1">
        <f t="shared" ca="1" si="132"/>
        <v>319</v>
      </c>
      <c r="AB163" s="1">
        <f t="shared" ca="1" si="133"/>
        <v>0.76449615956916817</v>
      </c>
      <c r="AC163" s="1">
        <f t="shared" ca="1" si="134"/>
        <v>638</v>
      </c>
      <c r="AD163" s="1">
        <f t="shared" ca="1" si="135"/>
        <v>4.5710245608787908E-4</v>
      </c>
      <c r="AE163" s="1"/>
      <c r="AF163" s="1">
        <f t="shared" ca="1" si="136"/>
        <v>0.70460588988297068</v>
      </c>
      <c r="AG163" s="1">
        <f t="shared" ca="1" si="137"/>
        <v>619</v>
      </c>
      <c r="AH163" s="1">
        <f t="shared" ca="1" si="138"/>
        <v>7.6684136269436123E-3</v>
      </c>
      <c r="AJ163" s="1">
        <f t="shared" ca="1" si="139"/>
        <v>0.75789056321598158</v>
      </c>
      <c r="AK163" s="1">
        <f t="shared" ca="1" si="140"/>
        <v>3.5886461265030359E-3</v>
      </c>
      <c r="AL163" s="1"/>
      <c r="AM163" s="1">
        <f t="shared" ca="1" si="141"/>
        <v>5.4931722187097451E-2</v>
      </c>
      <c r="AN163" s="1">
        <f t="shared" ca="1" si="142"/>
        <v>14</v>
      </c>
      <c r="AO163" s="1">
        <f t="shared" ca="1" si="143"/>
        <v>8</v>
      </c>
      <c r="AQ163" s="1">
        <f t="shared" ca="1" si="144"/>
        <v>21</v>
      </c>
      <c r="AR163" s="1">
        <f t="shared" ca="1" si="145"/>
        <v>2</v>
      </c>
      <c r="AS163" s="1">
        <f t="shared" ca="1" si="146"/>
        <v>69</v>
      </c>
      <c r="AU163" s="1">
        <f t="shared" ca="1" si="147"/>
        <v>356</v>
      </c>
      <c r="AV163" s="1">
        <f t="shared" ca="1" si="148"/>
        <v>2</v>
      </c>
      <c r="AW163" s="1">
        <f t="shared" ca="1" si="149"/>
        <v>9.1474445867701676E-2</v>
      </c>
      <c r="AY163" s="1">
        <f t="shared" ca="1" si="150"/>
        <v>1.7902551825853643</v>
      </c>
      <c r="AZ163" s="1">
        <f t="shared" ca="1" si="151"/>
        <v>226</v>
      </c>
      <c r="BA163" s="1">
        <f t="shared" ca="1" si="152"/>
        <v>6.7989312714788639E-3</v>
      </c>
      <c r="BV163" s="1">
        <f t="shared" ca="1" si="153"/>
        <v>0.46990318875459536</v>
      </c>
      <c r="BW163" s="1">
        <f t="shared" ca="1" si="154"/>
        <v>345</v>
      </c>
      <c r="BX163" s="1">
        <f t="shared" ca="1" si="155"/>
        <v>8.9201964199594596E-3</v>
      </c>
      <c r="BY163" s="1">
        <f t="shared" ca="1" si="156"/>
        <v>9.0711979675708182E-2</v>
      </c>
      <c r="BZ163" s="1">
        <f t="shared" ca="1" si="157"/>
        <v>0.82496493112802194</v>
      </c>
      <c r="CB163" s="1">
        <f t="shared" ca="1" si="158"/>
        <v>299</v>
      </c>
      <c r="CC163" s="1">
        <f t="shared" ca="1" si="159"/>
        <v>10</v>
      </c>
      <c r="CD163" s="1">
        <f t="shared" ca="1" si="160"/>
        <v>0.2162159312340218</v>
      </c>
      <c r="CE163" s="1">
        <f t="shared" ca="1" si="161"/>
        <v>0.74655755851425998</v>
      </c>
      <c r="CF163" s="1">
        <f t="shared" ca="1" si="161"/>
        <v>0.61136707913106703</v>
      </c>
      <c r="CH163" s="3">
        <f t="shared" ca="1" si="162"/>
        <v>3.6321460871719252E-2</v>
      </c>
      <c r="CI163" s="3">
        <f t="shared" ca="1" si="163"/>
        <v>2.7262696527715229E-2</v>
      </c>
      <c r="CJ163" s="3">
        <f t="shared" ca="1" si="164"/>
        <v>1496</v>
      </c>
      <c r="CK163" s="3">
        <f t="shared" ca="1" si="165"/>
        <v>6.6288282682752126E-3</v>
      </c>
      <c r="CL163" s="3">
        <f t="shared" ca="1" si="166"/>
        <v>1</v>
      </c>
      <c r="CM163" s="3"/>
      <c r="CN163" s="1">
        <f t="shared" ca="1" si="167"/>
        <v>1.0001051559731216</v>
      </c>
      <c r="CO163" s="1">
        <f t="shared" ca="1" si="168"/>
        <v>0.24089492633584775</v>
      </c>
      <c r="CP163" s="1">
        <f t="shared" ca="1" si="169"/>
        <v>5</v>
      </c>
    </row>
    <row r="164" spans="2:94" x14ac:dyDescent="0.25">
      <c r="B164">
        <f t="shared" ca="1" si="114"/>
        <v>66</v>
      </c>
      <c r="C164">
        <f t="shared" ca="1" si="115"/>
        <v>12</v>
      </c>
      <c r="D164">
        <f t="shared" ca="1" si="116"/>
        <v>7.3290485092726565E-2</v>
      </c>
      <c r="F164" s="1">
        <f t="shared" ca="1" si="117"/>
        <v>48</v>
      </c>
      <c r="G164" s="1">
        <f t="shared" ca="1" si="118"/>
        <v>13</v>
      </c>
      <c r="H164" s="1">
        <f t="shared" ca="1" si="119"/>
        <v>9</v>
      </c>
      <c r="I164" s="1"/>
      <c r="J164" s="1">
        <f t="shared" ca="1" si="120"/>
        <v>30</v>
      </c>
      <c r="K164" s="1">
        <f t="shared" ca="1" si="121"/>
        <v>1.5731037153847733</v>
      </c>
      <c r="L164" s="1">
        <f t="shared" ca="1" si="122"/>
        <v>10</v>
      </c>
      <c r="M164" s="1"/>
      <c r="N164" s="1">
        <f t="shared" ca="1" si="123"/>
        <v>231</v>
      </c>
      <c r="O164" s="1">
        <f t="shared" ca="1" si="124"/>
        <v>32</v>
      </c>
      <c r="P164" s="1"/>
      <c r="Q164" s="1">
        <f t="shared" ca="1" si="125"/>
        <v>0.87095342868205183</v>
      </c>
      <c r="R164" s="1">
        <f t="shared" ca="1" si="126"/>
        <v>646</v>
      </c>
      <c r="S164" s="1"/>
      <c r="T164" s="1">
        <f t="shared" ca="1" si="127"/>
        <v>0.17337391826949677</v>
      </c>
      <c r="U164" s="1">
        <f t="shared" ca="1" si="128"/>
        <v>114</v>
      </c>
      <c r="V164" s="1">
        <f t="shared" ca="1" si="129"/>
        <v>51</v>
      </c>
      <c r="W164" s="1"/>
      <c r="X164" s="1">
        <f t="shared" ca="1" si="130"/>
        <v>6.2559387722728541</v>
      </c>
      <c r="Y164" s="1">
        <f t="shared" ca="1" si="131"/>
        <v>0.8908042540125678</v>
      </c>
      <c r="Z164" s="1">
        <f t="shared" ca="1" si="132"/>
        <v>1391</v>
      </c>
      <c r="AB164" s="1">
        <f t="shared" ca="1" si="133"/>
        <v>0.69416495674135936</v>
      </c>
      <c r="AC164" s="1">
        <f t="shared" ca="1" si="134"/>
        <v>275</v>
      </c>
      <c r="AD164" s="1">
        <f t="shared" ca="1" si="135"/>
        <v>7.2613810245143462E-3</v>
      </c>
      <c r="AE164" s="1"/>
      <c r="AF164" s="1">
        <f t="shared" ca="1" si="136"/>
        <v>0.86483855070224658</v>
      </c>
      <c r="AG164" s="1">
        <f t="shared" ca="1" si="137"/>
        <v>647</v>
      </c>
      <c r="AH164" s="1">
        <f t="shared" ca="1" si="138"/>
        <v>3.5305264850268529E-3</v>
      </c>
      <c r="AJ164" s="1">
        <f t="shared" ca="1" si="139"/>
        <v>0.33909792519038018</v>
      </c>
      <c r="AK164" s="1">
        <f t="shared" ca="1" si="140"/>
        <v>2.8047385931669459E-3</v>
      </c>
      <c r="AL164" s="1"/>
      <c r="AM164" s="1">
        <f t="shared" ca="1" si="141"/>
        <v>0.14391167704548527</v>
      </c>
      <c r="AN164" s="1">
        <f t="shared" ca="1" si="142"/>
        <v>57</v>
      </c>
      <c r="AO164" s="1">
        <f t="shared" ca="1" si="143"/>
        <v>15</v>
      </c>
      <c r="AQ164" s="1">
        <f t="shared" ca="1" si="144"/>
        <v>91</v>
      </c>
      <c r="AR164" s="1">
        <f t="shared" ca="1" si="145"/>
        <v>10</v>
      </c>
      <c r="AS164" s="1">
        <f t="shared" ca="1" si="146"/>
        <v>34</v>
      </c>
      <c r="AU164" s="1">
        <f t="shared" ca="1" si="147"/>
        <v>111</v>
      </c>
      <c r="AV164" s="1">
        <f t="shared" ca="1" si="148"/>
        <v>3</v>
      </c>
      <c r="AW164" s="1">
        <f t="shared" ca="1" si="149"/>
        <v>0.1681619844820989</v>
      </c>
      <c r="AY164" s="1">
        <f t="shared" ca="1" si="150"/>
        <v>1.1455587194850849</v>
      </c>
      <c r="AZ164" s="1">
        <f t="shared" ca="1" si="151"/>
        <v>473</v>
      </c>
      <c r="BA164" s="1">
        <f t="shared" ca="1" si="152"/>
        <v>6.92942632789948E-3</v>
      </c>
      <c r="BV164" s="1">
        <f t="shared" ca="1" si="153"/>
        <v>0.26362944466385974</v>
      </c>
      <c r="BW164" s="1">
        <f t="shared" ca="1" si="154"/>
        <v>101</v>
      </c>
      <c r="BX164" s="1">
        <f t="shared" ca="1" si="155"/>
        <v>8.147205372154331E-3</v>
      </c>
      <c r="BY164" s="1">
        <f t="shared" ca="1" si="156"/>
        <v>2.5991740203123261E-2</v>
      </c>
      <c r="BZ164" s="1">
        <f t="shared" ca="1" si="157"/>
        <v>0.34015096513432375</v>
      </c>
      <c r="CB164" s="1">
        <f t="shared" ca="1" si="158"/>
        <v>132</v>
      </c>
      <c r="CC164" s="1">
        <f t="shared" ca="1" si="159"/>
        <v>8</v>
      </c>
      <c r="CD164" s="1">
        <f t="shared" ca="1" si="160"/>
        <v>4.9707324439702466E-2</v>
      </c>
      <c r="CE164" s="1">
        <f t="shared" ref="CE164:CF202" ca="1" si="170">RAND()*(1-0.5)+0.5</f>
        <v>0.93799022618372874</v>
      </c>
      <c r="CF164" s="1">
        <f t="shared" ca="1" si="170"/>
        <v>0.72064566445792311</v>
      </c>
      <c r="CH164" s="3">
        <f t="shared" ca="1" si="162"/>
        <v>8.4768831673901562E-2</v>
      </c>
      <c r="CI164" s="3">
        <f t="shared" ca="1" si="163"/>
        <v>7.7122657003478826E-2</v>
      </c>
      <c r="CJ164" s="3">
        <f t="shared" ca="1" si="164"/>
        <v>1775</v>
      </c>
      <c r="CK164" s="3">
        <f t="shared" ca="1" si="165"/>
        <v>5.0129247069706047E-3</v>
      </c>
      <c r="CL164" s="3">
        <f t="shared" ca="1" si="166"/>
        <v>0</v>
      </c>
      <c r="CM164" s="3"/>
      <c r="CN164" s="1">
        <f t="shared" ca="1" si="167"/>
        <v>6.3158273871678388</v>
      </c>
      <c r="CO164" s="1">
        <f t="shared" ca="1" si="168"/>
        <v>0.32774869626532732</v>
      </c>
      <c r="CP164" s="1">
        <f t="shared" ca="1" si="169"/>
        <v>4</v>
      </c>
    </row>
    <row r="165" spans="2:94" x14ac:dyDescent="0.25">
      <c r="B165">
        <f t="shared" ca="1" si="114"/>
        <v>822</v>
      </c>
      <c r="C165">
        <f t="shared" ca="1" si="115"/>
        <v>10</v>
      </c>
      <c r="D165">
        <f t="shared" ca="1" si="116"/>
        <v>0.12605307587627931</v>
      </c>
      <c r="F165" s="1">
        <f t="shared" ca="1" si="117"/>
        <v>29</v>
      </c>
      <c r="G165" s="1">
        <f t="shared" ca="1" si="118"/>
        <v>7</v>
      </c>
      <c r="H165" s="1">
        <f t="shared" ca="1" si="119"/>
        <v>14</v>
      </c>
      <c r="I165" s="1"/>
      <c r="J165" s="1">
        <f t="shared" ca="1" si="120"/>
        <v>17</v>
      </c>
      <c r="K165" s="1">
        <f t="shared" ca="1" si="121"/>
        <v>1.9590229460798774</v>
      </c>
      <c r="L165" s="1">
        <f t="shared" ca="1" si="122"/>
        <v>22</v>
      </c>
      <c r="M165" s="1"/>
      <c r="N165" s="1">
        <f t="shared" ca="1" si="123"/>
        <v>802</v>
      </c>
      <c r="O165" s="1">
        <f t="shared" ca="1" si="124"/>
        <v>36</v>
      </c>
      <c r="P165" s="1"/>
      <c r="Q165" s="1">
        <f t="shared" ca="1" si="125"/>
        <v>2.8906957950404317</v>
      </c>
      <c r="R165" s="1">
        <f t="shared" ca="1" si="126"/>
        <v>210</v>
      </c>
      <c r="S165" s="1"/>
      <c r="T165" s="1">
        <f t="shared" ca="1" si="127"/>
        <v>6.2238219308797825E-2</v>
      </c>
      <c r="U165" s="1">
        <f t="shared" ca="1" si="128"/>
        <v>172</v>
      </c>
      <c r="V165" s="1">
        <f t="shared" ca="1" si="129"/>
        <v>45</v>
      </c>
      <c r="W165" s="1"/>
      <c r="X165" s="1">
        <f t="shared" ca="1" si="130"/>
        <v>9.5925685106412466</v>
      </c>
      <c r="Y165" s="1">
        <f t="shared" ca="1" si="131"/>
        <v>0.32016616837092055</v>
      </c>
      <c r="Z165" s="1">
        <f t="shared" ca="1" si="132"/>
        <v>552</v>
      </c>
      <c r="AB165" s="1">
        <f t="shared" ca="1" si="133"/>
        <v>0.9573237066637228</v>
      </c>
      <c r="AC165" s="1">
        <f t="shared" ca="1" si="134"/>
        <v>837</v>
      </c>
      <c r="AD165" s="1">
        <f t="shared" ca="1" si="135"/>
        <v>4.6873128057087453E-3</v>
      </c>
      <c r="AE165" s="1"/>
      <c r="AF165" s="1">
        <f t="shared" ca="1" si="136"/>
        <v>0.67216721161199877</v>
      </c>
      <c r="AG165" s="1">
        <f t="shared" ca="1" si="137"/>
        <v>589</v>
      </c>
      <c r="AH165" s="1">
        <f t="shared" ca="1" si="138"/>
        <v>3.6730778112135988E-3</v>
      </c>
      <c r="AJ165" s="1">
        <f t="shared" ca="1" si="139"/>
        <v>0.32710987874113107</v>
      </c>
      <c r="AK165" s="1">
        <f t="shared" ca="1" si="140"/>
        <v>3.3110134924336293E-3</v>
      </c>
      <c r="AL165" s="1"/>
      <c r="AM165" s="1">
        <f t="shared" ca="1" si="141"/>
        <v>4.7529736546688607E-2</v>
      </c>
      <c r="AN165" s="1">
        <f t="shared" ca="1" si="142"/>
        <v>65</v>
      </c>
      <c r="AO165" s="1">
        <f t="shared" ca="1" si="143"/>
        <v>2</v>
      </c>
      <c r="AQ165" s="1">
        <f t="shared" ca="1" si="144"/>
        <v>132</v>
      </c>
      <c r="AR165" s="1">
        <f t="shared" ca="1" si="145"/>
        <v>3</v>
      </c>
      <c r="AS165" s="1">
        <f t="shared" ca="1" si="146"/>
        <v>48</v>
      </c>
      <c r="AU165" s="1">
        <f t="shared" ca="1" si="147"/>
        <v>360</v>
      </c>
      <c r="AV165" s="1">
        <f t="shared" ca="1" si="148"/>
        <v>10</v>
      </c>
      <c r="AW165" s="1">
        <f t="shared" ca="1" si="149"/>
        <v>0.12051644433891363</v>
      </c>
      <c r="AY165" s="1">
        <f t="shared" ca="1" si="150"/>
        <v>1.551305233785685</v>
      </c>
      <c r="AZ165" s="1">
        <f t="shared" ca="1" si="151"/>
        <v>117</v>
      </c>
      <c r="BA165" s="1">
        <f t="shared" ca="1" si="152"/>
        <v>9.6256117883173134E-3</v>
      </c>
      <c r="BV165" s="1">
        <f t="shared" ca="1" si="153"/>
        <v>0.59010494660013091</v>
      </c>
      <c r="BW165" s="1">
        <f t="shared" ca="1" si="154"/>
        <v>517</v>
      </c>
      <c r="BX165" s="1">
        <f t="shared" ca="1" si="155"/>
        <v>7.2120493699613748E-3</v>
      </c>
      <c r="BY165" s="1">
        <f t="shared" ca="1" si="156"/>
        <v>4.2869456950488216E-2</v>
      </c>
      <c r="BZ165" s="1">
        <f t="shared" ca="1" si="157"/>
        <v>0.23901902563593913</v>
      </c>
      <c r="CB165" s="1">
        <f t="shared" ca="1" si="158"/>
        <v>201</v>
      </c>
      <c r="CC165" s="1">
        <f t="shared" ca="1" si="159"/>
        <v>8</v>
      </c>
      <c r="CD165" s="1">
        <f t="shared" ca="1" si="160"/>
        <v>0.13771617870967209</v>
      </c>
      <c r="CE165" s="1">
        <f t="shared" ca="1" si="170"/>
        <v>0.62252425711562542</v>
      </c>
      <c r="CF165" s="1">
        <f t="shared" ca="1" si="170"/>
        <v>0.93647754103679581</v>
      </c>
      <c r="CH165" s="3">
        <f t="shared" ca="1" si="162"/>
        <v>0.8122198767501918</v>
      </c>
      <c r="CI165" s="3">
        <f t="shared" ca="1" si="163"/>
        <v>0.16988818913167483</v>
      </c>
      <c r="CJ165" s="3">
        <f t="shared" ca="1" si="164"/>
        <v>289</v>
      </c>
      <c r="CK165" s="3">
        <f t="shared" ca="1" si="165"/>
        <v>3.668492189334988E-3</v>
      </c>
      <c r="CL165" s="3">
        <f t="shared" ca="1" si="166"/>
        <v>0</v>
      </c>
      <c r="CM165" s="3"/>
      <c r="CN165" s="1">
        <f t="shared" ca="1" si="167"/>
        <v>17.143704782709204</v>
      </c>
      <c r="CO165" s="1">
        <f t="shared" ca="1" si="168"/>
        <v>9.8803559387692308E-2</v>
      </c>
      <c r="CP165" s="1">
        <f t="shared" ca="1" si="169"/>
        <v>2</v>
      </c>
    </row>
    <row r="166" spans="2:94" x14ac:dyDescent="0.25">
      <c r="B166">
        <f t="shared" ca="1" si="114"/>
        <v>54</v>
      </c>
      <c r="C166">
        <f t="shared" ca="1" si="115"/>
        <v>36</v>
      </c>
      <c r="D166">
        <f t="shared" ca="1" si="116"/>
        <v>0.19154962018017513</v>
      </c>
      <c r="F166" s="1">
        <f t="shared" ca="1" si="117"/>
        <v>19</v>
      </c>
      <c r="G166" s="1">
        <f t="shared" ca="1" si="118"/>
        <v>22</v>
      </c>
      <c r="H166" s="1">
        <f t="shared" ca="1" si="119"/>
        <v>10</v>
      </c>
      <c r="I166" s="1"/>
      <c r="J166" s="1">
        <f t="shared" ca="1" si="120"/>
        <v>2</v>
      </c>
      <c r="K166" s="1">
        <f t="shared" ca="1" si="121"/>
        <v>1.3356055772345006</v>
      </c>
      <c r="L166" s="1">
        <f t="shared" ca="1" si="122"/>
        <v>28</v>
      </c>
      <c r="M166" s="1"/>
      <c r="N166" s="1">
        <f t="shared" ca="1" si="123"/>
        <v>885</v>
      </c>
      <c r="O166" s="1">
        <f t="shared" ca="1" si="124"/>
        <v>8</v>
      </c>
      <c r="P166" s="1"/>
      <c r="Q166" s="1">
        <f t="shared" ca="1" si="125"/>
        <v>0.89891880820332737</v>
      </c>
      <c r="R166" s="1">
        <f t="shared" ca="1" si="126"/>
        <v>1121</v>
      </c>
      <c r="S166" s="1"/>
      <c r="T166" s="1">
        <f t="shared" ca="1" si="127"/>
        <v>1.5585843956494677E-2</v>
      </c>
      <c r="U166" s="1">
        <f t="shared" ca="1" si="128"/>
        <v>433</v>
      </c>
      <c r="V166" s="1">
        <f t="shared" ca="1" si="129"/>
        <v>32</v>
      </c>
      <c r="W166" s="1"/>
      <c r="X166" s="1">
        <f t="shared" ca="1" si="130"/>
        <v>1.9008100847079696</v>
      </c>
      <c r="Y166" s="1">
        <f t="shared" ca="1" si="131"/>
        <v>0.81884671409774634</v>
      </c>
      <c r="Z166" s="1">
        <f t="shared" ca="1" si="132"/>
        <v>1231</v>
      </c>
      <c r="AB166" s="1">
        <f t="shared" ca="1" si="133"/>
        <v>0.67587031152563004</v>
      </c>
      <c r="AC166" s="1">
        <f t="shared" ca="1" si="134"/>
        <v>166</v>
      </c>
      <c r="AD166" s="1">
        <f t="shared" ca="1" si="135"/>
        <v>5.4142280362771229E-3</v>
      </c>
      <c r="AE166" s="1"/>
      <c r="AF166" s="1">
        <f t="shared" ca="1" si="136"/>
        <v>0.49565436750689684</v>
      </c>
      <c r="AG166" s="1">
        <f t="shared" ca="1" si="137"/>
        <v>415</v>
      </c>
      <c r="AH166" s="1">
        <f t="shared" ca="1" si="138"/>
        <v>5.949408083359818E-3</v>
      </c>
      <c r="AJ166" s="1">
        <f t="shared" ca="1" si="139"/>
        <v>0.6551888099163734</v>
      </c>
      <c r="AK166" s="1">
        <f t="shared" ca="1" si="140"/>
        <v>7.0066633609474167E-3</v>
      </c>
      <c r="AL166" s="1"/>
      <c r="AM166" s="1">
        <f t="shared" ca="1" si="141"/>
        <v>5.9937445076488828E-2</v>
      </c>
      <c r="AN166" s="1">
        <f t="shared" ca="1" si="142"/>
        <v>37</v>
      </c>
      <c r="AO166" s="1">
        <f t="shared" ca="1" si="143"/>
        <v>3</v>
      </c>
      <c r="AQ166" s="1">
        <f t="shared" ca="1" si="144"/>
        <v>118</v>
      </c>
      <c r="AR166" s="1">
        <f t="shared" ca="1" si="145"/>
        <v>3</v>
      </c>
      <c r="AS166" s="1">
        <f t="shared" ca="1" si="146"/>
        <v>30</v>
      </c>
      <c r="AU166" s="1">
        <f t="shared" ca="1" si="147"/>
        <v>333</v>
      </c>
      <c r="AV166" s="1">
        <f t="shared" ca="1" si="148"/>
        <v>3</v>
      </c>
      <c r="AW166" s="1">
        <f t="shared" ca="1" si="149"/>
        <v>3.8587657864439122E-2</v>
      </c>
      <c r="AY166" s="1">
        <f t="shared" ca="1" si="150"/>
        <v>1.637988929866981</v>
      </c>
      <c r="AZ166" s="1">
        <f t="shared" ca="1" si="151"/>
        <v>378</v>
      </c>
      <c r="BA166" s="1">
        <f t="shared" ca="1" si="152"/>
        <v>1.0701458017117337E-3</v>
      </c>
      <c r="BV166" s="1">
        <f t="shared" ca="1" si="153"/>
        <v>0.15899824085829037</v>
      </c>
      <c r="BW166" s="1">
        <f t="shared" ca="1" si="154"/>
        <v>354</v>
      </c>
      <c r="BX166" s="1">
        <f t="shared" ca="1" si="155"/>
        <v>1.3288426054536091E-3</v>
      </c>
      <c r="BY166" s="1">
        <f t="shared" ca="1" si="156"/>
        <v>2.8982319815895101E-2</v>
      </c>
      <c r="BZ166" s="1">
        <f t="shared" ca="1" si="157"/>
        <v>0.57894668300159069</v>
      </c>
      <c r="CB166" s="1">
        <f t="shared" ca="1" si="158"/>
        <v>107</v>
      </c>
      <c r="CC166" s="1">
        <f t="shared" ca="1" si="159"/>
        <v>13</v>
      </c>
      <c r="CD166" s="1">
        <f t="shared" ca="1" si="160"/>
        <v>0.23164264759702102</v>
      </c>
      <c r="CE166" s="1">
        <f t="shared" ca="1" si="170"/>
        <v>0.66886028391470664</v>
      </c>
      <c r="CF166" s="1">
        <f t="shared" ca="1" si="170"/>
        <v>0.93256328863080784</v>
      </c>
      <c r="CH166" s="3">
        <f t="shared" ca="1" si="162"/>
        <v>1.2449185136890969E-2</v>
      </c>
      <c r="CI166" s="3">
        <f t="shared" ca="1" si="163"/>
        <v>0.29858029080263737</v>
      </c>
      <c r="CJ166" s="3">
        <f t="shared" ca="1" si="164"/>
        <v>988</v>
      </c>
      <c r="CK166" s="3">
        <f t="shared" ca="1" si="165"/>
        <v>5.8189039361157286E-4</v>
      </c>
      <c r="CL166" s="3">
        <f t="shared" ca="1" si="166"/>
        <v>0</v>
      </c>
      <c r="CM166" s="3"/>
      <c r="CN166" s="1">
        <f t="shared" ca="1" si="167"/>
        <v>10.456320109824153</v>
      </c>
      <c r="CO166" s="1">
        <f t="shared" ca="1" si="168"/>
        <v>0.354760610404731</v>
      </c>
      <c r="CP166" s="1">
        <f t="shared" ca="1" si="169"/>
        <v>4</v>
      </c>
    </row>
    <row r="167" spans="2:94" x14ac:dyDescent="0.25">
      <c r="B167">
        <f t="shared" ca="1" si="114"/>
        <v>941</v>
      </c>
      <c r="C167">
        <f t="shared" ca="1" si="115"/>
        <v>9</v>
      </c>
      <c r="D167">
        <f t="shared" ca="1" si="116"/>
        <v>0.19478890648897074</v>
      </c>
      <c r="F167" s="1">
        <f t="shared" ca="1" si="117"/>
        <v>36</v>
      </c>
      <c r="G167" s="1">
        <f t="shared" ca="1" si="118"/>
        <v>3</v>
      </c>
      <c r="H167" s="1">
        <f t="shared" ca="1" si="119"/>
        <v>3</v>
      </c>
      <c r="I167" s="1"/>
      <c r="J167" s="1">
        <f t="shared" ca="1" si="120"/>
        <v>27</v>
      </c>
      <c r="K167" s="1">
        <f t="shared" ca="1" si="121"/>
        <v>2.7132042171336641</v>
      </c>
      <c r="L167" s="1">
        <f t="shared" ca="1" si="122"/>
        <v>28</v>
      </c>
      <c r="M167" s="1"/>
      <c r="N167" s="1">
        <f t="shared" ca="1" si="123"/>
        <v>355</v>
      </c>
      <c r="O167" s="1">
        <f t="shared" ca="1" si="124"/>
        <v>22</v>
      </c>
      <c r="P167" s="1"/>
      <c r="Q167" s="1">
        <f t="shared" ca="1" si="125"/>
        <v>1.1382722070519404</v>
      </c>
      <c r="R167" s="1">
        <f t="shared" ca="1" si="126"/>
        <v>300</v>
      </c>
      <c r="S167" s="1"/>
      <c r="T167" s="1">
        <f t="shared" ca="1" si="127"/>
        <v>5.404617928259306E-2</v>
      </c>
      <c r="U167" s="1">
        <f t="shared" ca="1" si="128"/>
        <v>379</v>
      </c>
      <c r="V167" s="1">
        <f t="shared" ca="1" si="129"/>
        <v>29</v>
      </c>
      <c r="W167" s="1"/>
      <c r="X167" s="1">
        <f t="shared" ca="1" si="130"/>
        <v>0.3277076968443412</v>
      </c>
      <c r="Y167" s="1">
        <f t="shared" ca="1" si="131"/>
        <v>0.15554151021039009</v>
      </c>
      <c r="Z167" s="1">
        <f t="shared" ca="1" si="132"/>
        <v>1794</v>
      </c>
      <c r="AB167" s="1">
        <f t="shared" ca="1" si="133"/>
        <v>0.45620478926099789</v>
      </c>
      <c r="AC167" s="1">
        <f t="shared" ca="1" si="134"/>
        <v>300</v>
      </c>
      <c r="AD167" s="1">
        <f t="shared" ca="1" si="135"/>
        <v>5.2375656850104013E-3</v>
      </c>
      <c r="AE167" s="1"/>
      <c r="AF167" s="1">
        <f t="shared" ca="1" si="136"/>
        <v>0.49469229201483067</v>
      </c>
      <c r="AG167" s="1">
        <f t="shared" ca="1" si="137"/>
        <v>205</v>
      </c>
      <c r="AH167" s="1">
        <f t="shared" ca="1" si="138"/>
        <v>8.5647478487898901E-3</v>
      </c>
      <c r="AJ167" s="1">
        <f t="shared" ca="1" si="139"/>
        <v>0.14902728375751129</v>
      </c>
      <c r="AK167" s="1">
        <f t="shared" ca="1" si="140"/>
        <v>4.5613853612816576E-3</v>
      </c>
      <c r="AL167" s="1"/>
      <c r="AM167" s="1">
        <f t="shared" ca="1" si="141"/>
        <v>9.4641257552553537E-2</v>
      </c>
      <c r="AN167" s="1">
        <f t="shared" ca="1" si="142"/>
        <v>58</v>
      </c>
      <c r="AO167" s="1">
        <f t="shared" ca="1" si="143"/>
        <v>11</v>
      </c>
      <c r="AQ167" s="1">
        <f t="shared" ca="1" si="144"/>
        <v>107</v>
      </c>
      <c r="AR167" s="1">
        <f t="shared" ca="1" si="145"/>
        <v>2</v>
      </c>
      <c r="AS167" s="1">
        <f t="shared" ca="1" si="146"/>
        <v>34</v>
      </c>
      <c r="AU167" s="1">
        <f t="shared" ca="1" si="147"/>
        <v>240</v>
      </c>
      <c r="AV167" s="1">
        <f t="shared" ca="1" si="148"/>
        <v>7</v>
      </c>
      <c r="AW167" s="1">
        <f t="shared" ca="1" si="149"/>
        <v>0.10257842397444072</v>
      </c>
      <c r="AY167" s="1">
        <f t="shared" ca="1" si="150"/>
        <v>1.7183595294758052</v>
      </c>
      <c r="AZ167" s="1">
        <f t="shared" ca="1" si="151"/>
        <v>245</v>
      </c>
      <c r="BA167" s="1">
        <f t="shared" ca="1" si="152"/>
        <v>3.2268284439665655E-3</v>
      </c>
      <c r="BV167" s="1">
        <f t="shared" ca="1" si="153"/>
        <v>0.471436744870117</v>
      </c>
      <c r="BW167" s="1">
        <f t="shared" ca="1" si="154"/>
        <v>249</v>
      </c>
      <c r="BX167" s="1">
        <f t="shared" ca="1" si="155"/>
        <v>4.8553495897666011E-3</v>
      </c>
      <c r="BY167" s="1">
        <f t="shared" ca="1" si="156"/>
        <v>3.4440409664874404E-2</v>
      </c>
      <c r="BZ167" s="1">
        <f t="shared" ca="1" si="157"/>
        <v>0.87183390192849741</v>
      </c>
      <c r="CB167" s="1">
        <f t="shared" ca="1" si="158"/>
        <v>196</v>
      </c>
      <c r="CC167" s="1">
        <f t="shared" ca="1" si="159"/>
        <v>8</v>
      </c>
      <c r="CD167" s="1">
        <f t="shared" ca="1" si="160"/>
        <v>0.26641589455846665</v>
      </c>
      <c r="CE167" s="1">
        <f t="shared" ca="1" si="170"/>
        <v>0.64021352691441547</v>
      </c>
      <c r="CF167" s="1">
        <f t="shared" ca="1" si="170"/>
        <v>0.99166080392263634</v>
      </c>
      <c r="CH167" s="3">
        <f t="shared" ca="1" si="162"/>
        <v>0.28387486085579161</v>
      </c>
      <c r="CI167" s="3">
        <f t="shared" ca="1" si="163"/>
        <v>0.83759529417755796</v>
      </c>
      <c r="CJ167" s="3">
        <f t="shared" ca="1" si="164"/>
        <v>1660</v>
      </c>
      <c r="CK167" s="3">
        <f t="shared" ca="1" si="165"/>
        <v>7.5289756872264852E-3</v>
      </c>
      <c r="CL167" s="3">
        <f t="shared" ca="1" si="166"/>
        <v>1</v>
      </c>
      <c r="CM167" s="3"/>
      <c r="CN167" s="1">
        <f t="shared" ca="1" si="167"/>
        <v>13.24600612289303</v>
      </c>
      <c r="CO167" s="1">
        <f t="shared" ca="1" si="168"/>
        <v>0.2695707241429951</v>
      </c>
      <c r="CP167" s="1">
        <f t="shared" ca="1" si="169"/>
        <v>4</v>
      </c>
    </row>
    <row r="168" spans="2:94" x14ac:dyDescent="0.25">
      <c r="B168">
        <f t="shared" ca="1" si="114"/>
        <v>957</v>
      </c>
      <c r="C168">
        <f t="shared" ca="1" si="115"/>
        <v>12</v>
      </c>
      <c r="D168">
        <f t="shared" ca="1" si="116"/>
        <v>0.23565722190195695</v>
      </c>
      <c r="F168" s="1">
        <f t="shared" ca="1" si="117"/>
        <v>7</v>
      </c>
      <c r="G168" s="1">
        <f t="shared" ca="1" si="118"/>
        <v>5</v>
      </c>
      <c r="H168" s="1">
        <f t="shared" ca="1" si="119"/>
        <v>2</v>
      </c>
      <c r="I168" s="1"/>
      <c r="J168" s="1">
        <f t="shared" ca="1" si="120"/>
        <v>24</v>
      </c>
      <c r="K168" s="1">
        <f t="shared" ca="1" si="121"/>
        <v>2.8588207326192272</v>
      </c>
      <c r="L168" s="1">
        <f t="shared" ca="1" si="122"/>
        <v>4</v>
      </c>
      <c r="M168" s="1"/>
      <c r="N168" s="1">
        <f t="shared" ca="1" si="123"/>
        <v>912</v>
      </c>
      <c r="O168" s="1">
        <f t="shared" ca="1" si="124"/>
        <v>4</v>
      </c>
      <c r="P168" s="1"/>
      <c r="Q168" s="1">
        <f t="shared" ca="1" si="125"/>
        <v>0.40768179275226707</v>
      </c>
      <c r="R168" s="1">
        <f t="shared" ca="1" si="126"/>
        <v>652</v>
      </c>
      <c r="S168" s="1"/>
      <c r="T168" s="1">
        <f t="shared" ca="1" si="127"/>
        <v>5.0137318277741039E-2</v>
      </c>
      <c r="U168" s="1">
        <f t="shared" ca="1" si="128"/>
        <v>369</v>
      </c>
      <c r="V168" s="1">
        <f t="shared" ca="1" si="129"/>
        <v>24</v>
      </c>
      <c r="W168" s="1"/>
      <c r="X168" s="1">
        <f t="shared" ca="1" si="130"/>
        <v>6.8833029030970794</v>
      </c>
      <c r="Y168" s="1">
        <f t="shared" ca="1" si="131"/>
        <v>7.904310875081276E-3</v>
      </c>
      <c r="Z168" s="1">
        <f t="shared" ca="1" si="132"/>
        <v>1117</v>
      </c>
      <c r="AB168" s="1">
        <f t="shared" ca="1" si="133"/>
        <v>0.38950256048312237</v>
      </c>
      <c r="AC168" s="1">
        <f t="shared" ca="1" si="134"/>
        <v>177</v>
      </c>
      <c r="AD168" s="1">
        <f t="shared" ca="1" si="135"/>
        <v>7.2339813033080996E-3</v>
      </c>
      <c r="AE168" s="1"/>
      <c r="AF168" s="1">
        <f t="shared" ca="1" si="136"/>
        <v>0.30247171812963264</v>
      </c>
      <c r="AG168" s="1">
        <f t="shared" ca="1" si="137"/>
        <v>314</v>
      </c>
      <c r="AH168" s="1">
        <f t="shared" ca="1" si="138"/>
        <v>7.4086148496910534E-4</v>
      </c>
      <c r="AJ168" s="1">
        <f t="shared" ca="1" si="139"/>
        <v>0.5416710821164834</v>
      </c>
      <c r="AK168" s="1">
        <f t="shared" ca="1" si="140"/>
        <v>4.9298308282143049E-3</v>
      </c>
      <c r="AL168" s="1"/>
      <c r="AM168" s="1">
        <f t="shared" ca="1" si="141"/>
        <v>0.10939641034781498</v>
      </c>
      <c r="AN168" s="1">
        <f t="shared" ca="1" si="142"/>
        <v>67</v>
      </c>
      <c r="AO168" s="1">
        <f t="shared" ca="1" si="143"/>
        <v>5</v>
      </c>
      <c r="AQ168" s="1">
        <f t="shared" ca="1" si="144"/>
        <v>132</v>
      </c>
      <c r="AR168" s="1">
        <f t="shared" ca="1" si="145"/>
        <v>2</v>
      </c>
      <c r="AS168" s="1">
        <f t="shared" ca="1" si="146"/>
        <v>7</v>
      </c>
      <c r="AU168" s="1">
        <f t="shared" ca="1" si="147"/>
        <v>202</v>
      </c>
      <c r="AV168" s="1">
        <f t="shared" ca="1" si="148"/>
        <v>7</v>
      </c>
      <c r="AW168" s="1">
        <f t="shared" ca="1" si="149"/>
        <v>8.1162469280903399E-2</v>
      </c>
      <c r="AY168" s="1">
        <f t="shared" ca="1" si="150"/>
        <v>1.7449439771088149</v>
      </c>
      <c r="AZ168" s="1">
        <f t="shared" ca="1" si="151"/>
        <v>155</v>
      </c>
      <c r="BA168" s="1">
        <f t="shared" ca="1" si="152"/>
        <v>9.4508619371863546E-4</v>
      </c>
      <c r="BV168" s="1">
        <f t="shared" ca="1" si="153"/>
        <v>0.80197304460832408</v>
      </c>
      <c r="BW168" s="1">
        <f t="shared" ca="1" si="154"/>
        <v>486</v>
      </c>
      <c r="BX168" s="1">
        <f t="shared" ca="1" si="155"/>
        <v>6.4773918501577E-4</v>
      </c>
      <c r="BY168" s="1">
        <f t="shared" ca="1" si="156"/>
        <v>6.0688675033462564E-2</v>
      </c>
      <c r="BZ168" s="1">
        <f t="shared" ca="1" si="157"/>
        <v>7.6027901561259159E-2</v>
      </c>
      <c r="CB168" s="1">
        <f t="shared" ca="1" si="158"/>
        <v>459</v>
      </c>
      <c r="CC168" s="1">
        <f t="shared" ca="1" si="159"/>
        <v>10</v>
      </c>
      <c r="CD168" s="1">
        <f t="shared" ca="1" si="160"/>
        <v>0.15554454864853834</v>
      </c>
      <c r="CE168" s="1">
        <f t="shared" ca="1" si="170"/>
        <v>0.6356739268917857</v>
      </c>
      <c r="CF168" s="1">
        <f t="shared" ca="1" si="170"/>
        <v>0.90032375086363481</v>
      </c>
      <c r="CH168" s="3">
        <f t="shared" ca="1" si="162"/>
        <v>0.8667450820597693</v>
      </c>
      <c r="CI168" s="3">
        <f t="shared" ca="1" si="163"/>
        <v>0.34742760143393608</v>
      </c>
      <c r="CJ168" s="3">
        <f t="shared" ca="1" si="164"/>
        <v>1896</v>
      </c>
      <c r="CK168" s="3">
        <f t="shared" ca="1" si="165"/>
        <v>5.1022643034951852E-3</v>
      </c>
      <c r="CL168" s="3">
        <f t="shared" ca="1" si="166"/>
        <v>1</v>
      </c>
      <c r="CM168" s="3"/>
      <c r="CN168" s="1">
        <f t="shared" ca="1" si="167"/>
        <v>7.1468851367035056</v>
      </c>
      <c r="CO168" s="1">
        <f t="shared" ca="1" si="168"/>
        <v>0.13781902387741313</v>
      </c>
      <c r="CP168" s="1">
        <f t="shared" ca="1" si="169"/>
        <v>2</v>
      </c>
    </row>
    <row r="169" spans="2:94" x14ac:dyDescent="0.25">
      <c r="B169">
        <f t="shared" ca="1" si="114"/>
        <v>354</v>
      </c>
      <c r="C169">
        <f t="shared" ca="1" si="115"/>
        <v>16</v>
      </c>
      <c r="D169">
        <f t="shared" ca="1" si="116"/>
        <v>4.9129609133824088E-2</v>
      </c>
      <c r="F169" s="1">
        <f t="shared" ca="1" si="117"/>
        <v>44</v>
      </c>
      <c r="G169" s="1">
        <f t="shared" ca="1" si="118"/>
        <v>6</v>
      </c>
      <c r="H169" s="1">
        <f t="shared" ca="1" si="119"/>
        <v>9</v>
      </c>
      <c r="I169" s="1"/>
      <c r="J169" s="1">
        <f t="shared" ca="1" si="120"/>
        <v>16</v>
      </c>
      <c r="K169" s="1">
        <f t="shared" ca="1" si="121"/>
        <v>2.0120600929897443</v>
      </c>
      <c r="L169" s="1">
        <f t="shared" ca="1" si="122"/>
        <v>11</v>
      </c>
      <c r="M169" s="1"/>
      <c r="N169" s="1">
        <f t="shared" ca="1" si="123"/>
        <v>824</v>
      </c>
      <c r="O169" s="1">
        <f t="shared" ca="1" si="124"/>
        <v>42</v>
      </c>
      <c r="P169" s="1"/>
      <c r="Q169" s="1">
        <f t="shared" ca="1" si="125"/>
        <v>4.3888395537671263</v>
      </c>
      <c r="R169" s="1">
        <f t="shared" ca="1" si="126"/>
        <v>716</v>
      </c>
      <c r="S169" s="1"/>
      <c r="T169" s="1">
        <f t="shared" ca="1" si="127"/>
        <v>6.5512795159217985E-2</v>
      </c>
      <c r="U169" s="1">
        <f t="shared" ca="1" si="128"/>
        <v>132</v>
      </c>
      <c r="V169" s="1">
        <f t="shared" ca="1" si="129"/>
        <v>41</v>
      </c>
      <c r="W169" s="1"/>
      <c r="X169" s="1">
        <f t="shared" ca="1" si="130"/>
        <v>4.4278755489458064</v>
      </c>
      <c r="Y169" s="1">
        <f t="shared" ca="1" si="131"/>
        <v>0.23657462850227126</v>
      </c>
      <c r="Z169" s="1">
        <f t="shared" ca="1" si="132"/>
        <v>160</v>
      </c>
      <c r="AB169" s="1">
        <f t="shared" ca="1" si="133"/>
        <v>0.85718646055193848</v>
      </c>
      <c r="AC169" s="1">
        <f t="shared" ca="1" si="134"/>
        <v>648</v>
      </c>
      <c r="AD169" s="1">
        <f t="shared" ca="1" si="135"/>
        <v>3.7840202949141494E-3</v>
      </c>
      <c r="AE169" s="1"/>
      <c r="AF169" s="1">
        <f t="shared" ca="1" si="136"/>
        <v>0.51076423844641938</v>
      </c>
      <c r="AG169" s="1">
        <f t="shared" ca="1" si="137"/>
        <v>965</v>
      </c>
      <c r="AH169" s="1">
        <f t="shared" ca="1" si="138"/>
        <v>6.584430793612997E-3</v>
      </c>
      <c r="AJ169" s="1">
        <f t="shared" ca="1" si="139"/>
        <v>0.10421015000277034</v>
      </c>
      <c r="AK169" s="1">
        <f t="shared" ca="1" si="140"/>
        <v>8.803938645644634E-3</v>
      </c>
      <c r="AL169" s="1"/>
      <c r="AM169" s="1">
        <f t="shared" ca="1" si="141"/>
        <v>8.3988895302676878E-2</v>
      </c>
      <c r="AN169" s="1">
        <f t="shared" ca="1" si="142"/>
        <v>80</v>
      </c>
      <c r="AO169" s="1">
        <f t="shared" ca="1" si="143"/>
        <v>5</v>
      </c>
      <c r="AQ169" s="1">
        <f t="shared" ca="1" si="144"/>
        <v>129</v>
      </c>
      <c r="AR169" s="1">
        <f t="shared" ca="1" si="145"/>
        <v>8</v>
      </c>
      <c r="AS169" s="1">
        <f t="shared" ca="1" si="146"/>
        <v>64</v>
      </c>
      <c r="AU169" s="1">
        <f t="shared" ca="1" si="147"/>
        <v>378</v>
      </c>
      <c r="AV169" s="1">
        <f t="shared" ca="1" si="148"/>
        <v>9</v>
      </c>
      <c r="AW169" s="1">
        <f t="shared" ca="1" si="149"/>
        <v>3.1255997501533996E-2</v>
      </c>
      <c r="AY169" s="1">
        <f t="shared" ca="1" si="150"/>
        <v>1.1020655293172252</v>
      </c>
      <c r="AZ169" s="1">
        <f t="shared" ca="1" si="151"/>
        <v>412</v>
      </c>
      <c r="BA169" s="1">
        <f t="shared" ca="1" si="152"/>
        <v>9.210266856417685E-3</v>
      </c>
      <c r="BV169" s="1">
        <f t="shared" ca="1" si="153"/>
        <v>0.84218023411562681</v>
      </c>
      <c r="BW169" s="1">
        <f t="shared" ca="1" si="154"/>
        <v>532</v>
      </c>
      <c r="BX169" s="1">
        <f t="shared" ca="1" si="155"/>
        <v>4.8698087340358362E-3</v>
      </c>
      <c r="BY169" s="1">
        <f t="shared" ca="1" si="156"/>
        <v>4.3653371544705132E-2</v>
      </c>
      <c r="BZ169" s="1">
        <f t="shared" ca="1" si="157"/>
        <v>0.68340233709668152</v>
      </c>
      <c r="CB169" s="1">
        <f t="shared" ca="1" si="158"/>
        <v>79</v>
      </c>
      <c r="CC169" s="1">
        <f t="shared" ca="1" si="159"/>
        <v>15</v>
      </c>
      <c r="CD169" s="1">
        <f t="shared" ca="1" si="160"/>
        <v>5.7723272359153158E-2</v>
      </c>
      <c r="CE169" s="1">
        <f t="shared" ca="1" si="170"/>
        <v>0.68516655113988834</v>
      </c>
      <c r="CF169" s="1">
        <f t="shared" ca="1" si="170"/>
        <v>0.93574529711241783</v>
      </c>
      <c r="CH169" s="3">
        <f t="shared" ca="1" si="162"/>
        <v>0.31788174974343752</v>
      </c>
      <c r="CI169" s="3">
        <f t="shared" ca="1" si="163"/>
        <v>0.27038740234286668</v>
      </c>
      <c r="CJ169" s="3">
        <f t="shared" ca="1" si="164"/>
        <v>1034</v>
      </c>
      <c r="CK169" s="3">
        <f t="shared" ca="1" si="165"/>
        <v>3.5574584904065924E-3</v>
      </c>
      <c r="CL169" s="3">
        <f t="shared" ca="1" si="166"/>
        <v>0</v>
      </c>
      <c r="CM169" s="3"/>
      <c r="CN169" s="1">
        <f t="shared" ca="1" si="167"/>
        <v>1.9951032093475931</v>
      </c>
      <c r="CO169" s="1">
        <f t="shared" ca="1" si="168"/>
        <v>0.12704563099660232</v>
      </c>
      <c r="CP169" s="1">
        <f t="shared" ca="1" si="169"/>
        <v>4</v>
      </c>
    </row>
    <row r="170" spans="2:94" x14ac:dyDescent="0.25">
      <c r="B170">
        <f t="shared" ca="1" si="114"/>
        <v>727</v>
      </c>
      <c r="C170">
        <f t="shared" ca="1" si="115"/>
        <v>13</v>
      </c>
      <c r="D170">
        <f t="shared" ca="1" si="116"/>
        <v>0.29420199258512297</v>
      </c>
      <c r="F170" s="1">
        <f t="shared" ca="1" si="117"/>
        <v>45</v>
      </c>
      <c r="G170" s="1">
        <f t="shared" ca="1" si="118"/>
        <v>27</v>
      </c>
      <c r="H170" s="1">
        <f t="shared" ca="1" si="119"/>
        <v>14</v>
      </c>
      <c r="I170" s="1"/>
      <c r="J170" s="1">
        <f t="shared" ca="1" si="120"/>
        <v>4</v>
      </c>
      <c r="K170" s="1">
        <f t="shared" ca="1" si="121"/>
        <v>2.2264247063032667</v>
      </c>
      <c r="L170" s="1">
        <f t="shared" ca="1" si="122"/>
        <v>30</v>
      </c>
      <c r="M170" s="1"/>
      <c r="N170" s="1">
        <f t="shared" ca="1" si="123"/>
        <v>376</v>
      </c>
      <c r="O170" s="1">
        <f t="shared" ca="1" si="124"/>
        <v>36</v>
      </c>
      <c r="P170" s="1"/>
      <c r="Q170" s="1">
        <f t="shared" ca="1" si="125"/>
        <v>0.78335232361155338</v>
      </c>
      <c r="R170" s="1">
        <f t="shared" ca="1" si="126"/>
        <v>835</v>
      </c>
      <c r="S170" s="1"/>
      <c r="T170" s="1">
        <f t="shared" ca="1" si="127"/>
        <v>8.1997379065566478E-2</v>
      </c>
      <c r="U170" s="1">
        <f t="shared" ca="1" si="128"/>
        <v>249</v>
      </c>
      <c r="V170" s="1">
        <f t="shared" ca="1" si="129"/>
        <v>30</v>
      </c>
      <c r="W170" s="1"/>
      <c r="X170" s="1">
        <f t="shared" ca="1" si="130"/>
        <v>5.192546640513763</v>
      </c>
      <c r="Y170" s="1">
        <f t="shared" ca="1" si="131"/>
        <v>0.652950769151739</v>
      </c>
      <c r="Z170" s="1">
        <f t="shared" ca="1" si="132"/>
        <v>929</v>
      </c>
      <c r="AB170" s="1">
        <f t="shared" ca="1" si="133"/>
        <v>0.39226572859766262</v>
      </c>
      <c r="AC170" s="1">
        <f t="shared" ca="1" si="134"/>
        <v>667</v>
      </c>
      <c r="AD170" s="1">
        <f t="shared" ca="1" si="135"/>
        <v>4.3716971929307043E-3</v>
      </c>
      <c r="AE170" s="1"/>
      <c r="AF170" s="1">
        <f t="shared" ca="1" si="136"/>
        <v>0.72374999326685951</v>
      </c>
      <c r="AG170" s="1">
        <f t="shared" ca="1" si="137"/>
        <v>157</v>
      </c>
      <c r="AH170" s="1">
        <f t="shared" ca="1" si="138"/>
        <v>1.1904407154244116E-3</v>
      </c>
      <c r="AJ170" s="1">
        <f t="shared" ca="1" si="139"/>
        <v>0.54898295088383642</v>
      </c>
      <c r="AK170" s="1">
        <f t="shared" ca="1" si="140"/>
        <v>1.7587596414352692E-3</v>
      </c>
      <c r="AL170" s="1"/>
      <c r="AM170" s="1">
        <f t="shared" ca="1" si="141"/>
        <v>2.5867664078552424E-2</v>
      </c>
      <c r="AN170" s="1">
        <f t="shared" ca="1" si="142"/>
        <v>54</v>
      </c>
      <c r="AO170" s="1">
        <f t="shared" ca="1" si="143"/>
        <v>-1</v>
      </c>
      <c r="AQ170" s="1">
        <f t="shared" ca="1" si="144"/>
        <v>183</v>
      </c>
      <c r="AR170" s="1">
        <f t="shared" ca="1" si="145"/>
        <v>6</v>
      </c>
      <c r="AS170" s="1">
        <f t="shared" ca="1" si="146"/>
        <v>49</v>
      </c>
      <c r="AU170" s="1">
        <f t="shared" ca="1" si="147"/>
        <v>211</v>
      </c>
      <c r="AV170" s="1">
        <f t="shared" ca="1" si="148"/>
        <v>6</v>
      </c>
      <c r="AW170" s="1">
        <f t="shared" ca="1" si="149"/>
        <v>0.16299097573497953</v>
      </c>
      <c r="AY170" s="1">
        <f t="shared" ca="1" si="150"/>
        <v>1.7934140005076569</v>
      </c>
      <c r="AZ170" s="1">
        <f t="shared" ca="1" si="151"/>
        <v>434</v>
      </c>
      <c r="BA170" s="1">
        <f t="shared" ca="1" si="152"/>
        <v>1.0519739735743497E-3</v>
      </c>
      <c r="BV170" s="1">
        <f t="shared" ca="1" si="153"/>
        <v>0.57001516979073341</v>
      </c>
      <c r="BW170" s="1">
        <f t="shared" ca="1" si="154"/>
        <v>609</v>
      </c>
      <c r="BX170" s="1">
        <f t="shared" ca="1" si="155"/>
        <v>5.4376287416115481E-3</v>
      </c>
      <c r="BY170" s="1">
        <f t="shared" ca="1" si="156"/>
        <v>9.9438701054848797E-2</v>
      </c>
      <c r="BZ170" s="1">
        <f t="shared" ca="1" si="157"/>
        <v>0.58410253684608604</v>
      </c>
      <c r="CB170" s="1">
        <f t="shared" ca="1" si="158"/>
        <v>88</v>
      </c>
      <c r="CC170" s="1">
        <f t="shared" ca="1" si="159"/>
        <v>11</v>
      </c>
      <c r="CD170" s="1">
        <f t="shared" ca="1" si="160"/>
        <v>0.10607909372514726</v>
      </c>
      <c r="CE170" s="1">
        <f t="shared" ca="1" si="170"/>
        <v>0.64150316775663385</v>
      </c>
      <c r="CF170" s="1">
        <f t="shared" ca="1" si="170"/>
        <v>0.549080183851826</v>
      </c>
      <c r="CH170" s="3">
        <f t="shared" ca="1" si="162"/>
        <v>0.14376486692593807</v>
      </c>
      <c r="CI170" s="3">
        <f t="shared" ca="1" si="163"/>
        <v>0.86959706840814144</v>
      </c>
      <c r="CJ170" s="3">
        <f t="shared" ca="1" si="164"/>
        <v>724</v>
      </c>
      <c r="CK170" s="3">
        <f t="shared" ca="1" si="165"/>
        <v>6.1829329804004678E-3</v>
      </c>
      <c r="CL170" s="3">
        <f t="shared" ca="1" si="166"/>
        <v>0</v>
      </c>
      <c r="CM170" s="3"/>
      <c r="CN170" s="1">
        <f t="shared" ca="1" si="167"/>
        <v>5.8362091504801077</v>
      </c>
      <c r="CO170" s="1">
        <f t="shared" ca="1" si="168"/>
        <v>0.28033161342122553</v>
      </c>
      <c r="CP170" s="1">
        <f t="shared" ca="1" si="169"/>
        <v>5</v>
      </c>
    </row>
    <row r="171" spans="2:94" x14ac:dyDescent="0.25">
      <c r="B171">
        <f t="shared" ca="1" si="114"/>
        <v>766</v>
      </c>
      <c r="C171">
        <f t="shared" ca="1" si="115"/>
        <v>10</v>
      </c>
      <c r="D171">
        <f t="shared" ca="1" si="116"/>
        <v>0.18626371228268152</v>
      </c>
      <c r="F171" s="1">
        <f t="shared" ca="1" si="117"/>
        <v>38</v>
      </c>
      <c r="G171" s="1">
        <f t="shared" ca="1" si="118"/>
        <v>10</v>
      </c>
      <c r="H171" s="1">
        <f t="shared" ca="1" si="119"/>
        <v>4</v>
      </c>
      <c r="I171" s="1"/>
      <c r="J171" s="1">
        <f t="shared" ca="1" si="120"/>
        <v>27</v>
      </c>
      <c r="K171" s="1">
        <f t="shared" ca="1" si="121"/>
        <v>1.6868097829604973</v>
      </c>
      <c r="L171" s="1">
        <f t="shared" ca="1" si="122"/>
        <v>11</v>
      </c>
      <c r="M171" s="1"/>
      <c r="N171" s="1">
        <f t="shared" ca="1" si="123"/>
        <v>841</v>
      </c>
      <c r="O171" s="1">
        <f t="shared" ca="1" si="124"/>
        <v>16</v>
      </c>
      <c r="P171" s="1"/>
      <c r="Q171" s="1">
        <f t="shared" ca="1" si="125"/>
        <v>4.3088973389937575</v>
      </c>
      <c r="R171" s="1">
        <f t="shared" ca="1" si="126"/>
        <v>681</v>
      </c>
      <c r="S171" s="1"/>
      <c r="T171" s="1">
        <f t="shared" ca="1" si="127"/>
        <v>6.4593919886075143E-2</v>
      </c>
      <c r="U171" s="1">
        <f t="shared" ca="1" si="128"/>
        <v>288</v>
      </c>
      <c r="V171" s="1">
        <f t="shared" ca="1" si="129"/>
        <v>20</v>
      </c>
      <c r="W171" s="1"/>
      <c r="X171" s="1">
        <f t="shared" ca="1" si="130"/>
        <v>5.6434137504731297</v>
      </c>
      <c r="Y171" s="1">
        <f t="shared" ca="1" si="131"/>
        <v>0.45950968410325049</v>
      </c>
      <c r="Z171" s="1">
        <f t="shared" ca="1" si="132"/>
        <v>982</v>
      </c>
      <c r="AB171" s="1">
        <f t="shared" ca="1" si="133"/>
        <v>0.56782875517500186</v>
      </c>
      <c r="AC171" s="1">
        <f t="shared" ca="1" si="134"/>
        <v>898</v>
      </c>
      <c r="AD171" s="1">
        <f t="shared" ca="1" si="135"/>
        <v>7.509676956249732E-3</v>
      </c>
      <c r="AE171" s="1"/>
      <c r="AF171" s="1">
        <f t="shared" ca="1" si="136"/>
        <v>0.77357707392489561</v>
      </c>
      <c r="AG171" s="1">
        <f t="shared" ca="1" si="137"/>
        <v>998</v>
      </c>
      <c r="AH171" s="1">
        <f t="shared" ca="1" si="138"/>
        <v>5.3445302269593134E-3</v>
      </c>
      <c r="AJ171" s="1">
        <f t="shared" ca="1" si="139"/>
        <v>0.10310257865505712</v>
      </c>
      <c r="AK171" s="1">
        <f t="shared" ca="1" si="140"/>
        <v>7.5679958697514507E-3</v>
      </c>
      <c r="AL171" s="1"/>
      <c r="AM171" s="1">
        <f t="shared" ca="1" si="141"/>
        <v>0.15109265685031373</v>
      </c>
      <c r="AN171" s="1">
        <f t="shared" ca="1" si="142"/>
        <v>19</v>
      </c>
      <c r="AO171" s="1">
        <f t="shared" ca="1" si="143"/>
        <v>2</v>
      </c>
      <c r="AQ171" s="1">
        <f t="shared" ca="1" si="144"/>
        <v>120</v>
      </c>
      <c r="AR171" s="1">
        <f t="shared" ca="1" si="145"/>
        <v>10</v>
      </c>
      <c r="AS171" s="1">
        <f t="shared" ca="1" si="146"/>
        <v>75</v>
      </c>
      <c r="AU171" s="1">
        <f t="shared" ca="1" si="147"/>
        <v>308</v>
      </c>
      <c r="AV171" s="1">
        <f t="shared" ca="1" si="148"/>
        <v>3</v>
      </c>
      <c r="AW171" s="1">
        <f t="shared" ca="1" si="149"/>
        <v>0.10104891084772742</v>
      </c>
      <c r="AY171" s="1">
        <f t="shared" ca="1" si="150"/>
        <v>1.2284400768639414</v>
      </c>
      <c r="AZ171" s="1">
        <f t="shared" ca="1" si="151"/>
        <v>476</v>
      </c>
      <c r="BA171" s="1">
        <f t="shared" ca="1" si="152"/>
        <v>3.9539318510600184E-3</v>
      </c>
      <c r="BV171" s="1">
        <f t="shared" ca="1" si="153"/>
        <v>0.26182407238768213</v>
      </c>
      <c r="BW171" s="1">
        <f t="shared" ca="1" si="154"/>
        <v>687</v>
      </c>
      <c r="BX171" s="1">
        <f t="shared" ca="1" si="155"/>
        <v>4.4544065385454783E-3</v>
      </c>
      <c r="BY171" s="1">
        <f t="shared" ca="1" si="156"/>
        <v>2.4787267097550508E-2</v>
      </c>
      <c r="BZ171" s="1">
        <f t="shared" ca="1" si="157"/>
        <v>0.45316860425621897</v>
      </c>
      <c r="CB171" s="1">
        <f t="shared" ca="1" si="158"/>
        <v>220</v>
      </c>
      <c r="CC171" s="1">
        <f t="shared" ca="1" si="159"/>
        <v>6</v>
      </c>
      <c r="CD171" s="1">
        <f t="shared" ca="1" si="160"/>
        <v>0.19136890114101585</v>
      </c>
      <c r="CE171" s="1">
        <f t="shared" ca="1" si="170"/>
        <v>0.75909620039094095</v>
      </c>
      <c r="CF171" s="1">
        <f t="shared" ca="1" si="170"/>
        <v>0.54307208523113437</v>
      </c>
      <c r="CH171" s="3">
        <f t="shared" ca="1" si="162"/>
        <v>0.32381179926302894</v>
      </c>
      <c r="CI171" s="3">
        <f t="shared" ca="1" si="163"/>
        <v>0.23650361524645264</v>
      </c>
      <c r="CJ171" s="3">
        <f t="shared" ca="1" si="164"/>
        <v>1453</v>
      </c>
      <c r="CK171" s="3">
        <f t="shared" ca="1" si="165"/>
        <v>1.7191782801459618E-4</v>
      </c>
      <c r="CL171" s="3">
        <f t="shared" ca="1" si="166"/>
        <v>0</v>
      </c>
      <c r="CM171" s="3"/>
      <c r="CN171" s="1">
        <f t="shared" ca="1" si="167"/>
        <v>15.062158273796832</v>
      </c>
      <c r="CO171" s="1">
        <f t="shared" ca="1" si="168"/>
        <v>0.15005503019433197</v>
      </c>
      <c r="CP171" s="1">
        <f t="shared" ca="1" si="169"/>
        <v>5</v>
      </c>
    </row>
    <row r="172" spans="2:94" x14ac:dyDescent="0.25">
      <c r="B172">
        <f t="shared" ca="1" si="114"/>
        <v>177</v>
      </c>
      <c r="C172">
        <f t="shared" ca="1" si="115"/>
        <v>38</v>
      </c>
      <c r="D172">
        <f t="shared" ca="1" si="116"/>
        <v>4.8974795208420629E-2</v>
      </c>
      <c r="F172" s="1">
        <f t="shared" ca="1" si="117"/>
        <v>19</v>
      </c>
      <c r="G172" s="1">
        <f t="shared" ca="1" si="118"/>
        <v>28</v>
      </c>
      <c r="H172" s="1">
        <f t="shared" ca="1" si="119"/>
        <v>13</v>
      </c>
      <c r="I172" s="1"/>
      <c r="J172" s="1">
        <f t="shared" ca="1" si="120"/>
        <v>39</v>
      </c>
      <c r="K172" s="1">
        <f t="shared" ca="1" si="121"/>
        <v>1.594636482666681</v>
      </c>
      <c r="L172" s="1">
        <f t="shared" ca="1" si="122"/>
        <v>25</v>
      </c>
      <c r="M172" s="1"/>
      <c r="N172" s="1">
        <f t="shared" ca="1" si="123"/>
        <v>967</v>
      </c>
      <c r="O172" s="1">
        <f t="shared" ca="1" si="124"/>
        <v>44</v>
      </c>
      <c r="P172" s="1"/>
      <c r="Q172" s="1">
        <f t="shared" ca="1" si="125"/>
        <v>2.0215646453111167</v>
      </c>
      <c r="R172" s="1">
        <f t="shared" ca="1" si="126"/>
        <v>1073</v>
      </c>
      <c r="S172" s="1"/>
      <c r="T172" s="1">
        <f t="shared" ca="1" si="127"/>
        <v>0.11901033410250465</v>
      </c>
      <c r="U172" s="1">
        <f t="shared" ca="1" si="128"/>
        <v>320</v>
      </c>
      <c r="V172" s="1">
        <f t="shared" ca="1" si="129"/>
        <v>35</v>
      </c>
      <c r="W172" s="1"/>
      <c r="X172" s="1">
        <f t="shared" ca="1" si="130"/>
        <v>3.5862389360826161</v>
      </c>
      <c r="Y172" s="1">
        <f t="shared" ca="1" si="131"/>
        <v>0.79004174833141916</v>
      </c>
      <c r="Z172" s="1">
        <f t="shared" ca="1" si="132"/>
        <v>892</v>
      </c>
      <c r="AB172" s="1">
        <f t="shared" ca="1" si="133"/>
        <v>0.13056755782319157</v>
      </c>
      <c r="AC172" s="1">
        <f t="shared" ca="1" si="134"/>
        <v>783</v>
      </c>
      <c r="AD172" s="1">
        <f t="shared" ca="1" si="135"/>
        <v>4.905365767685123E-3</v>
      </c>
      <c r="AE172" s="1"/>
      <c r="AF172" s="1">
        <f t="shared" ca="1" si="136"/>
        <v>0.66803071216113119</v>
      </c>
      <c r="AG172" s="1">
        <f t="shared" ca="1" si="137"/>
        <v>250</v>
      </c>
      <c r="AH172" s="1">
        <f t="shared" ca="1" si="138"/>
        <v>8.3391837106297668E-3</v>
      </c>
      <c r="AJ172" s="1">
        <f t="shared" ca="1" si="139"/>
        <v>0.13364712182705496</v>
      </c>
      <c r="AK172" s="1">
        <f t="shared" ca="1" si="140"/>
        <v>8.3680454062937931E-3</v>
      </c>
      <c r="AL172" s="1"/>
      <c r="AM172" s="1">
        <f t="shared" ca="1" si="141"/>
        <v>6.3785045098387172E-2</v>
      </c>
      <c r="AN172" s="1">
        <f t="shared" ca="1" si="142"/>
        <v>21</v>
      </c>
      <c r="AO172" s="1">
        <f t="shared" ca="1" si="143"/>
        <v>2</v>
      </c>
      <c r="AQ172" s="1">
        <f t="shared" ca="1" si="144"/>
        <v>30</v>
      </c>
      <c r="AR172" s="1">
        <f t="shared" ca="1" si="145"/>
        <v>10</v>
      </c>
      <c r="AS172" s="1">
        <f t="shared" ca="1" si="146"/>
        <v>30</v>
      </c>
      <c r="AU172" s="1">
        <f t="shared" ca="1" si="147"/>
        <v>126</v>
      </c>
      <c r="AV172" s="1">
        <f t="shared" ca="1" si="148"/>
        <v>4</v>
      </c>
      <c r="AW172" s="1">
        <f t="shared" ca="1" si="149"/>
        <v>1.862696102237716E-2</v>
      </c>
      <c r="AY172" s="1">
        <f t="shared" ca="1" si="150"/>
        <v>1.2021697216515566</v>
      </c>
      <c r="AZ172" s="1">
        <f t="shared" ca="1" si="151"/>
        <v>374</v>
      </c>
      <c r="BA172" s="1">
        <f t="shared" ca="1" si="152"/>
        <v>3.3672059671674848E-3</v>
      </c>
      <c r="BV172" s="1">
        <f t="shared" ca="1" si="153"/>
        <v>0.80194306714622421</v>
      </c>
      <c r="BW172" s="1">
        <f t="shared" ca="1" si="154"/>
        <v>246</v>
      </c>
      <c r="BX172" s="1">
        <f t="shared" ca="1" si="155"/>
        <v>8.9623787494150873E-3</v>
      </c>
      <c r="BY172" s="1">
        <f t="shared" ca="1" si="156"/>
        <v>8.3076048068084746E-2</v>
      </c>
      <c r="BZ172" s="1">
        <f t="shared" ca="1" si="157"/>
        <v>0.43573628790811747</v>
      </c>
      <c r="CB172" s="1">
        <f t="shared" ca="1" si="158"/>
        <v>205</v>
      </c>
      <c r="CC172" s="1">
        <f t="shared" ca="1" si="159"/>
        <v>7</v>
      </c>
      <c r="CD172" s="1">
        <f t="shared" ca="1" si="160"/>
        <v>0.11912447837232977</v>
      </c>
      <c r="CE172" s="1">
        <f t="shared" ca="1" si="170"/>
        <v>0.90238515914246298</v>
      </c>
      <c r="CF172" s="1">
        <f t="shared" ca="1" si="170"/>
        <v>0.78708663970831816</v>
      </c>
      <c r="CH172" s="3">
        <f t="shared" ca="1" si="162"/>
        <v>0.2380421615216618</v>
      </c>
      <c r="CI172" s="3">
        <f t="shared" ca="1" si="163"/>
        <v>0.77501445357832943</v>
      </c>
      <c r="CJ172" s="3">
        <f t="shared" ca="1" si="164"/>
        <v>1812</v>
      </c>
      <c r="CK172" s="3">
        <f t="shared" ca="1" si="165"/>
        <v>6.3543491529187137E-3</v>
      </c>
      <c r="CL172" s="3">
        <f t="shared" ca="1" si="166"/>
        <v>1</v>
      </c>
      <c r="CM172" s="3"/>
      <c r="CN172" s="1">
        <f t="shared" ca="1" si="167"/>
        <v>3.6830073106843719</v>
      </c>
      <c r="CO172" s="1">
        <f t="shared" ca="1" si="168"/>
        <v>0.25636579087305167</v>
      </c>
      <c r="CP172" s="1">
        <f t="shared" ca="1" si="169"/>
        <v>3</v>
      </c>
    </row>
    <row r="173" spans="2:94" x14ac:dyDescent="0.25">
      <c r="B173">
        <f t="shared" ca="1" si="114"/>
        <v>953</v>
      </c>
      <c r="C173">
        <f t="shared" ca="1" si="115"/>
        <v>3</v>
      </c>
      <c r="D173">
        <f t="shared" ca="1" si="116"/>
        <v>0.28087029589676782</v>
      </c>
      <c r="F173" s="1">
        <f t="shared" ca="1" si="117"/>
        <v>10</v>
      </c>
      <c r="G173" s="1">
        <f t="shared" ca="1" si="118"/>
        <v>3</v>
      </c>
      <c r="H173" s="1">
        <f t="shared" ca="1" si="119"/>
        <v>8</v>
      </c>
      <c r="I173" s="1"/>
      <c r="J173" s="1">
        <f t="shared" ca="1" si="120"/>
        <v>25</v>
      </c>
      <c r="K173" s="1">
        <f t="shared" ca="1" si="121"/>
        <v>1.0155451341614967</v>
      </c>
      <c r="L173" s="1">
        <f t="shared" ca="1" si="122"/>
        <v>2</v>
      </c>
      <c r="M173" s="1"/>
      <c r="N173" s="1">
        <f t="shared" ca="1" si="123"/>
        <v>668</v>
      </c>
      <c r="O173" s="1">
        <f t="shared" ca="1" si="124"/>
        <v>32</v>
      </c>
      <c r="P173" s="1"/>
      <c r="Q173" s="1">
        <f t="shared" ca="1" si="125"/>
        <v>0.61355616277905034</v>
      </c>
      <c r="R173" s="1">
        <f t="shared" ca="1" si="126"/>
        <v>882</v>
      </c>
      <c r="S173" s="1"/>
      <c r="T173" s="1">
        <f t="shared" ca="1" si="127"/>
        <v>1.3889895056891286E-2</v>
      </c>
      <c r="U173" s="1">
        <f t="shared" ca="1" si="128"/>
        <v>141</v>
      </c>
      <c r="V173" s="1">
        <f t="shared" ca="1" si="129"/>
        <v>44</v>
      </c>
      <c r="W173" s="1"/>
      <c r="X173" s="1">
        <f t="shared" ca="1" si="130"/>
        <v>5.1025112116820939E-2</v>
      </c>
      <c r="Y173" s="1">
        <f t="shared" ca="1" si="131"/>
        <v>0.43146871015725435</v>
      </c>
      <c r="Z173" s="1">
        <f t="shared" ca="1" si="132"/>
        <v>1177</v>
      </c>
      <c r="AB173" s="1">
        <f t="shared" ca="1" si="133"/>
        <v>0.41182810369528339</v>
      </c>
      <c r="AC173" s="1">
        <f t="shared" ca="1" si="134"/>
        <v>577</v>
      </c>
      <c r="AD173" s="1">
        <f t="shared" ca="1" si="135"/>
        <v>5.0209137720373708E-3</v>
      </c>
      <c r="AE173" s="1"/>
      <c r="AF173" s="1">
        <f t="shared" ca="1" si="136"/>
        <v>0.80802669188085685</v>
      </c>
      <c r="AG173" s="1">
        <f t="shared" ca="1" si="137"/>
        <v>910</v>
      </c>
      <c r="AH173" s="1">
        <f t="shared" ca="1" si="138"/>
        <v>7.0030325390953848E-3</v>
      </c>
      <c r="AJ173" s="1">
        <f t="shared" ca="1" si="139"/>
        <v>4.6122668091101882E-2</v>
      </c>
      <c r="AK173" s="1">
        <f t="shared" ca="1" si="140"/>
        <v>1.6733177226575878E-3</v>
      </c>
      <c r="AL173" s="1"/>
      <c r="AM173" s="1">
        <f t="shared" ca="1" si="141"/>
        <v>4.870621389715845E-2</v>
      </c>
      <c r="AN173" s="1">
        <f t="shared" ca="1" si="142"/>
        <v>10</v>
      </c>
      <c r="AO173" s="1">
        <f t="shared" ca="1" si="143"/>
        <v>10</v>
      </c>
      <c r="AQ173" s="1">
        <f t="shared" ca="1" si="144"/>
        <v>110</v>
      </c>
      <c r="AR173" s="1">
        <f t="shared" ca="1" si="145"/>
        <v>5</v>
      </c>
      <c r="AS173" s="1">
        <f t="shared" ca="1" si="146"/>
        <v>73</v>
      </c>
      <c r="AU173" s="1">
        <f t="shared" ca="1" si="147"/>
        <v>138</v>
      </c>
      <c r="AV173" s="1">
        <f t="shared" ca="1" si="148"/>
        <v>5</v>
      </c>
      <c r="AW173" s="1">
        <f t="shared" ca="1" si="149"/>
        <v>0.14246571246468648</v>
      </c>
      <c r="AY173" s="1">
        <f t="shared" ca="1" si="150"/>
        <v>1.5466230804342513</v>
      </c>
      <c r="AZ173" s="1">
        <f t="shared" ca="1" si="151"/>
        <v>493</v>
      </c>
      <c r="BA173" s="1">
        <f t="shared" ca="1" si="152"/>
        <v>6.1534408363896065E-3</v>
      </c>
      <c r="BV173" s="1">
        <f t="shared" ca="1" si="153"/>
        <v>0.85361393321841794</v>
      </c>
      <c r="BW173" s="1">
        <f t="shared" ca="1" si="154"/>
        <v>228</v>
      </c>
      <c r="BX173" s="1">
        <f t="shared" ca="1" si="155"/>
        <v>9.3578178014038331E-3</v>
      </c>
      <c r="BY173" s="1">
        <f t="shared" ca="1" si="156"/>
        <v>4.8549741425689685E-2</v>
      </c>
      <c r="BZ173" s="1">
        <f t="shared" ca="1" si="157"/>
        <v>0.36013897329876998</v>
      </c>
      <c r="CB173" s="1">
        <f t="shared" ca="1" si="158"/>
        <v>345</v>
      </c>
      <c r="CC173" s="1">
        <f t="shared" ca="1" si="159"/>
        <v>10</v>
      </c>
      <c r="CD173" s="1">
        <f t="shared" ca="1" si="160"/>
        <v>0.26540539652053863</v>
      </c>
      <c r="CE173" s="1">
        <f t="shared" ca="1" si="170"/>
        <v>0.89466473874327179</v>
      </c>
      <c r="CF173" s="1">
        <f t="shared" ca="1" si="170"/>
        <v>0.69192882640883191</v>
      </c>
      <c r="CH173" s="3">
        <f t="shared" ca="1" si="162"/>
        <v>1.337609069251593E-2</v>
      </c>
      <c r="CI173" s="3">
        <f t="shared" ca="1" si="163"/>
        <v>0.22668791434848271</v>
      </c>
      <c r="CJ173" s="3">
        <f t="shared" ca="1" si="164"/>
        <v>744</v>
      </c>
      <c r="CK173" s="3">
        <f t="shared" ca="1" si="165"/>
        <v>8.6150586109872262E-3</v>
      </c>
      <c r="CL173" s="3">
        <f t="shared" ca="1" si="166"/>
        <v>1</v>
      </c>
      <c r="CM173" s="3"/>
      <c r="CN173" s="1">
        <f t="shared" ca="1" si="167"/>
        <v>0.55963143783110536</v>
      </c>
      <c r="CO173" s="1">
        <f t="shared" ca="1" si="168"/>
        <v>0.24291754072599017</v>
      </c>
      <c r="CP173" s="1">
        <f t="shared" ca="1" si="169"/>
        <v>5</v>
      </c>
    </row>
    <row r="174" spans="2:94" x14ac:dyDescent="0.25">
      <c r="B174">
        <f t="shared" ca="1" si="114"/>
        <v>39</v>
      </c>
      <c r="C174">
        <f t="shared" ca="1" si="115"/>
        <v>15</v>
      </c>
      <c r="D174">
        <f t="shared" ca="1" si="116"/>
        <v>0.22306599520153994</v>
      </c>
      <c r="F174" s="1">
        <f t="shared" ca="1" si="117"/>
        <v>29</v>
      </c>
      <c r="G174" s="1">
        <f t="shared" ca="1" si="118"/>
        <v>12</v>
      </c>
      <c r="H174" s="1">
        <f t="shared" ca="1" si="119"/>
        <v>10</v>
      </c>
      <c r="I174" s="1"/>
      <c r="J174" s="1">
        <f t="shared" ca="1" si="120"/>
        <v>28</v>
      </c>
      <c r="K174" s="1">
        <f t="shared" ca="1" si="121"/>
        <v>2.2197373006153285</v>
      </c>
      <c r="L174" s="1">
        <f t="shared" ca="1" si="122"/>
        <v>3</v>
      </c>
      <c r="M174" s="1"/>
      <c r="N174" s="1">
        <f t="shared" ca="1" si="123"/>
        <v>512</v>
      </c>
      <c r="O174" s="1">
        <f t="shared" ca="1" si="124"/>
        <v>12</v>
      </c>
      <c r="P174" s="1"/>
      <c r="Q174" s="1">
        <f t="shared" ca="1" si="125"/>
        <v>1.9453086854733952</v>
      </c>
      <c r="R174" s="1">
        <f t="shared" ca="1" si="126"/>
        <v>1133</v>
      </c>
      <c r="S174" s="1"/>
      <c r="T174" s="1">
        <f t="shared" ca="1" si="127"/>
        <v>0.16065384997991944</v>
      </c>
      <c r="U174" s="1">
        <f t="shared" ca="1" si="128"/>
        <v>171</v>
      </c>
      <c r="V174" s="1">
        <f t="shared" ca="1" si="129"/>
        <v>10</v>
      </c>
      <c r="W174" s="1"/>
      <c r="X174" s="1">
        <f t="shared" ca="1" si="130"/>
        <v>6.9921266843174887</v>
      </c>
      <c r="Y174" s="1">
        <f t="shared" ca="1" si="131"/>
        <v>0.59046359233883028</v>
      </c>
      <c r="Z174" s="1">
        <f t="shared" ca="1" si="132"/>
        <v>773</v>
      </c>
      <c r="AB174" s="1">
        <f t="shared" ca="1" si="133"/>
        <v>0.30336949166070287</v>
      </c>
      <c r="AC174" s="1">
        <f t="shared" ca="1" si="134"/>
        <v>647</v>
      </c>
      <c r="AD174" s="1">
        <f t="shared" ca="1" si="135"/>
        <v>3.5155746629916249E-4</v>
      </c>
      <c r="AE174" s="1"/>
      <c r="AF174" s="1">
        <f t="shared" ca="1" si="136"/>
        <v>0.78586637929915604</v>
      </c>
      <c r="AG174" s="1">
        <f t="shared" ca="1" si="137"/>
        <v>659</v>
      </c>
      <c r="AH174" s="1">
        <f t="shared" ca="1" si="138"/>
        <v>3.7292306354295212E-5</v>
      </c>
      <c r="AJ174" s="1">
        <f t="shared" ca="1" si="139"/>
        <v>0.32162359799523987</v>
      </c>
      <c r="AK174" s="1">
        <f t="shared" ca="1" si="140"/>
        <v>5.3736043797367682E-4</v>
      </c>
      <c r="AL174" s="1"/>
      <c r="AM174" s="1">
        <f t="shared" ca="1" si="141"/>
        <v>0.12232472241641544</v>
      </c>
      <c r="AN174" s="1">
        <f t="shared" ca="1" si="142"/>
        <v>65</v>
      </c>
      <c r="AO174" s="1">
        <f t="shared" ca="1" si="143"/>
        <v>4</v>
      </c>
      <c r="AQ174" s="1">
        <f t="shared" ca="1" si="144"/>
        <v>105</v>
      </c>
      <c r="AR174" s="1">
        <f t="shared" ca="1" si="145"/>
        <v>1</v>
      </c>
      <c r="AS174" s="1">
        <f t="shared" ca="1" si="146"/>
        <v>42</v>
      </c>
      <c r="AU174" s="1">
        <f t="shared" ca="1" si="147"/>
        <v>395</v>
      </c>
      <c r="AV174" s="1">
        <f t="shared" ca="1" si="148"/>
        <v>10</v>
      </c>
      <c r="AW174" s="1">
        <f t="shared" ca="1" si="149"/>
        <v>8.9216745949170548E-2</v>
      </c>
      <c r="AY174" s="1">
        <f t="shared" ca="1" si="150"/>
        <v>1.4305298669381434</v>
      </c>
      <c r="AZ174" s="1">
        <f t="shared" ca="1" si="151"/>
        <v>280</v>
      </c>
      <c r="BA174" s="1">
        <f t="shared" ca="1" si="152"/>
        <v>6.907865721368478E-3</v>
      </c>
      <c r="BV174" s="1">
        <f t="shared" ca="1" si="153"/>
        <v>0.16318394609475212</v>
      </c>
      <c r="BW174" s="1">
        <f t="shared" ca="1" si="154"/>
        <v>108</v>
      </c>
      <c r="BX174" s="1">
        <f t="shared" ca="1" si="155"/>
        <v>2.6766527533846024E-3</v>
      </c>
      <c r="BY174" s="1">
        <f t="shared" ca="1" si="156"/>
        <v>1.5145024089759363E-2</v>
      </c>
      <c r="BZ174" s="1">
        <f t="shared" ca="1" si="157"/>
        <v>0.59270300393562025</v>
      </c>
      <c r="CB174" s="1">
        <f t="shared" ca="1" si="158"/>
        <v>298</v>
      </c>
      <c r="CC174" s="1">
        <f t="shared" ca="1" si="159"/>
        <v>4</v>
      </c>
      <c r="CD174" s="1">
        <f t="shared" ca="1" si="160"/>
        <v>0.26601244360219262</v>
      </c>
      <c r="CE174" s="1">
        <f t="shared" ca="1" si="170"/>
        <v>0.71729722270526497</v>
      </c>
      <c r="CF174" s="1">
        <f t="shared" ca="1" si="170"/>
        <v>0.78847713173035394</v>
      </c>
      <c r="CH174" s="3">
        <f t="shared" ca="1" si="162"/>
        <v>0.78897540132829236</v>
      </c>
      <c r="CI174" s="3">
        <f t="shared" ca="1" si="163"/>
        <v>0.7817104970694182</v>
      </c>
      <c r="CJ174" s="3">
        <f t="shared" ca="1" si="164"/>
        <v>1078</v>
      </c>
      <c r="CK174" s="3">
        <f t="shared" ca="1" si="165"/>
        <v>7.2889641493449142E-3</v>
      </c>
      <c r="CL174" s="3">
        <f t="shared" ca="1" si="166"/>
        <v>0</v>
      </c>
      <c r="CM174" s="3"/>
      <c r="CN174" s="1">
        <f t="shared" ca="1" si="167"/>
        <v>9.6579104014286639</v>
      </c>
      <c r="CO174" s="1">
        <f t="shared" ca="1" si="168"/>
        <v>9.7238101431638066E-2</v>
      </c>
      <c r="CP174" s="1">
        <f t="shared" ca="1" si="169"/>
        <v>3</v>
      </c>
    </row>
    <row r="175" spans="2:94" x14ac:dyDescent="0.25">
      <c r="B175">
        <f t="shared" ca="1" si="114"/>
        <v>332</v>
      </c>
      <c r="C175">
        <f t="shared" ca="1" si="115"/>
        <v>2</v>
      </c>
      <c r="D175">
        <f t="shared" ca="1" si="116"/>
        <v>2.1347438194043281E-2</v>
      </c>
      <c r="F175" s="1">
        <f t="shared" ca="1" si="117"/>
        <v>22</v>
      </c>
      <c r="G175" s="1">
        <f t="shared" ca="1" si="118"/>
        <v>4</v>
      </c>
      <c r="H175" s="1">
        <f t="shared" ca="1" si="119"/>
        <v>15</v>
      </c>
      <c r="I175" s="1"/>
      <c r="J175" s="1">
        <f t="shared" ca="1" si="120"/>
        <v>18</v>
      </c>
      <c r="K175" s="1">
        <f t="shared" ca="1" si="121"/>
        <v>1.8351233898279249</v>
      </c>
      <c r="L175" s="1">
        <f t="shared" ca="1" si="122"/>
        <v>6</v>
      </c>
      <c r="M175" s="1"/>
      <c r="N175" s="1">
        <f t="shared" ca="1" si="123"/>
        <v>564</v>
      </c>
      <c r="O175" s="1">
        <f t="shared" ca="1" si="124"/>
        <v>13</v>
      </c>
      <c r="P175" s="1"/>
      <c r="Q175" s="1">
        <f t="shared" ca="1" si="125"/>
        <v>4.0401939430652369</v>
      </c>
      <c r="R175" s="1">
        <f t="shared" ca="1" si="126"/>
        <v>539</v>
      </c>
      <c r="S175" s="1"/>
      <c r="T175" s="1">
        <f t="shared" ca="1" si="127"/>
        <v>9.5977893826143357E-2</v>
      </c>
      <c r="U175" s="1">
        <f t="shared" ca="1" si="128"/>
        <v>367</v>
      </c>
      <c r="V175" s="1">
        <f t="shared" ca="1" si="129"/>
        <v>23</v>
      </c>
      <c r="W175" s="1"/>
      <c r="X175" s="1">
        <f t="shared" ca="1" si="130"/>
        <v>2.2598837602979063</v>
      </c>
      <c r="Y175" s="1">
        <f t="shared" ca="1" si="131"/>
        <v>0.4695826906716592</v>
      </c>
      <c r="Z175" s="1">
        <f t="shared" ca="1" si="132"/>
        <v>1759</v>
      </c>
      <c r="AB175" s="1">
        <f t="shared" ca="1" si="133"/>
        <v>0.27399831187777013</v>
      </c>
      <c r="AC175" s="1">
        <f t="shared" ca="1" si="134"/>
        <v>208</v>
      </c>
      <c r="AD175" s="1">
        <f t="shared" ca="1" si="135"/>
        <v>1.9269896906017616E-3</v>
      </c>
      <c r="AE175" s="1"/>
      <c r="AF175" s="1">
        <f t="shared" ca="1" si="136"/>
        <v>0.77457310576499683</v>
      </c>
      <c r="AG175" s="1">
        <f t="shared" ca="1" si="137"/>
        <v>760</v>
      </c>
      <c r="AH175" s="1">
        <f t="shared" ca="1" si="138"/>
        <v>3.088434013116188E-3</v>
      </c>
      <c r="AJ175" s="1">
        <f t="shared" ca="1" si="139"/>
        <v>0.17171430005594446</v>
      </c>
      <c r="AK175" s="1">
        <f t="shared" ca="1" si="140"/>
        <v>7.0825464901110658E-3</v>
      </c>
      <c r="AL175" s="1"/>
      <c r="AM175" s="1">
        <f t="shared" ca="1" si="141"/>
        <v>0.11158545724199742</v>
      </c>
      <c r="AN175" s="1">
        <f t="shared" ca="1" si="142"/>
        <v>72</v>
      </c>
      <c r="AO175" s="1">
        <f t="shared" ca="1" si="143"/>
        <v>7</v>
      </c>
      <c r="AQ175" s="1">
        <f t="shared" ca="1" si="144"/>
        <v>169</v>
      </c>
      <c r="AR175" s="1">
        <f t="shared" ca="1" si="145"/>
        <v>0</v>
      </c>
      <c r="AS175" s="1">
        <f t="shared" ca="1" si="146"/>
        <v>72</v>
      </c>
      <c r="AU175" s="1">
        <f t="shared" ca="1" si="147"/>
        <v>226</v>
      </c>
      <c r="AV175" s="1">
        <f t="shared" ca="1" si="148"/>
        <v>2</v>
      </c>
      <c r="AW175" s="1">
        <f t="shared" ca="1" si="149"/>
        <v>0.17596453320146876</v>
      </c>
      <c r="AY175" s="1">
        <f t="shared" ca="1" si="150"/>
        <v>1.3081923948249943</v>
      </c>
      <c r="AZ175" s="1">
        <f t="shared" ca="1" si="151"/>
        <v>113</v>
      </c>
      <c r="BA175" s="1">
        <f t="shared" ca="1" si="152"/>
        <v>9.2112516972556128E-3</v>
      </c>
      <c r="BV175" s="1">
        <f t="shared" ca="1" si="153"/>
        <v>0.74823668986610403</v>
      </c>
      <c r="BW175" s="1">
        <f t="shared" ca="1" si="154"/>
        <v>503</v>
      </c>
      <c r="BX175" s="1">
        <f t="shared" ca="1" si="155"/>
        <v>4.7493647155841587E-4</v>
      </c>
      <c r="BY175" s="1">
        <f t="shared" ca="1" si="156"/>
        <v>9.5963278675195718E-2</v>
      </c>
      <c r="BZ175" s="1">
        <f t="shared" ca="1" si="157"/>
        <v>0.93032413598880681</v>
      </c>
      <c r="CB175" s="1">
        <f t="shared" ca="1" si="158"/>
        <v>79</v>
      </c>
      <c r="CC175" s="1">
        <f t="shared" ca="1" si="159"/>
        <v>14</v>
      </c>
      <c r="CD175" s="1">
        <f t="shared" ca="1" si="160"/>
        <v>0.10962326365589355</v>
      </c>
      <c r="CE175" s="1">
        <f t="shared" ca="1" si="170"/>
        <v>0.58485727067234905</v>
      </c>
      <c r="CF175" s="1">
        <f t="shared" ca="1" si="170"/>
        <v>0.9627023008743083</v>
      </c>
      <c r="CH175" s="3">
        <f t="shared" ca="1" si="162"/>
        <v>0.19841214719279435</v>
      </c>
      <c r="CI175" s="3">
        <f t="shared" ca="1" si="163"/>
        <v>0.86707749499152387</v>
      </c>
      <c r="CJ175" s="3">
        <f t="shared" ca="1" si="164"/>
        <v>1089</v>
      </c>
      <c r="CK175" s="3">
        <f t="shared" ca="1" si="165"/>
        <v>4.929848862162336E-3</v>
      </c>
      <c r="CL175" s="3">
        <f t="shared" ca="1" si="166"/>
        <v>0</v>
      </c>
      <c r="CM175" s="3"/>
      <c r="CN175" s="1">
        <f t="shared" ca="1" si="167"/>
        <v>13.010344672830909</v>
      </c>
      <c r="CO175" s="1">
        <f t="shared" ca="1" si="168"/>
        <v>0.23881159727684875</v>
      </c>
      <c r="CP175" s="1">
        <f t="shared" ca="1" si="169"/>
        <v>5</v>
      </c>
    </row>
    <row r="176" spans="2:94" x14ac:dyDescent="0.25">
      <c r="B176">
        <f t="shared" ca="1" si="114"/>
        <v>102</v>
      </c>
      <c r="C176">
        <f t="shared" ca="1" si="115"/>
        <v>36</v>
      </c>
      <c r="D176">
        <f t="shared" ca="1" si="116"/>
        <v>9.7471794653609431E-2</v>
      </c>
      <c r="F176" s="1">
        <f t="shared" ca="1" si="117"/>
        <v>30</v>
      </c>
      <c r="G176" s="1">
        <f t="shared" ca="1" si="118"/>
        <v>3</v>
      </c>
      <c r="H176" s="1">
        <f t="shared" ca="1" si="119"/>
        <v>11</v>
      </c>
      <c r="I176" s="1"/>
      <c r="J176" s="1">
        <f t="shared" ca="1" si="120"/>
        <v>2</v>
      </c>
      <c r="K176" s="1">
        <f t="shared" ca="1" si="121"/>
        <v>1.5169341441004813</v>
      </c>
      <c r="L176" s="1">
        <f t="shared" ca="1" si="122"/>
        <v>7</v>
      </c>
      <c r="M176" s="1"/>
      <c r="N176" s="1">
        <f t="shared" ca="1" si="123"/>
        <v>370</v>
      </c>
      <c r="O176" s="1">
        <f t="shared" ca="1" si="124"/>
        <v>52</v>
      </c>
      <c r="P176" s="1"/>
      <c r="Q176" s="1">
        <f t="shared" ca="1" si="125"/>
        <v>4.5960807313218677</v>
      </c>
      <c r="R176" s="1">
        <f t="shared" ca="1" si="126"/>
        <v>365</v>
      </c>
      <c r="S176" s="1"/>
      <c r="T176" s="1">
        <f t="shared" ca="1" si="127"/>
        <v>8.0690097027445715E-2</v>
      </c>
      <c r="U176" s="1">
        <f t="shared" ca="1" si="128"/>
        <v>204</v>
      </c>
      <c r="V176" s="1">
        <f t="shared" ca="1" si="129"/>
        <v>28</v>
      </c>
      <c r="W176" s="1"/>
      <c r="X176" s="1">
        <f t="shared" ca="1" si="130"/>
        <v>5.4110780362829587</v>
      </c>
      <c r="Y176" s="1">
        <f t="shared" ca="1" si="131"/>
        <v>0.65754461480089488</v>
      </c>
      <c r="Z176" s="1">
        <f t="shared" ca="1" si="132"/>
        <v>1805</v>
      </c>
      <c r="AB176" s="1">
        <f t="shared" ca="1" si="133"/>
        <v>0.47580168783472992</v>
      </c>
      <c r="AC176" s="1">
        <f t="shared" ca="1" si="134"/>
        <v>789</v>
      </c>
      <c r="AD176" s="1">
        <f t="shared" ca="1" si="135"/>
        <v>7.9659669616369173E-3</v>
      </c>
      <c r="AE176" s="1"/>
      <c r="AF176" s="1">
        <f t="shared" ca="1" si="136"/>
        <v>0.12911352851361091</v>
      </c>
      <c r="AG176" s="1">
        <f t="shared" ca="1" si="137"/>
        <v>324</v>
      </c>
      <c r="AH176" s="1">
        <f t="shared" ca="1" si="138"/>
        <v>8.4539528444575029E-3</v>
      </c>
      <c r="AJ176" s="1">
        <f t="shared" ca="1" si="139"/>
        <v>0.84946666990638819</v>
      </c>
      <c r="AK176" s="1">
        <f t="shared" ca="1" si="140"/>
        <v>1.5694445800690522E-3</v>
      </c>
      <c r="AL176" s="1"/>
      <c r="AM176" s="1">
        <f t="shared" ca="1" si="141"/>
        <v>5.9270452737928664E-2</v>
      </c>
      <c r="AN176" s="1">
        <f t="shared" ca="1" si="142"/>
        <v>16</v>
      </c>
      <c r="AO176" s="1">
        <f t="shared" ca="1" si="143"/>
        <v>-1</v>
      </c>
      <c r="AQ176" s="1">
        <f t="shared" ca="1" si="144"/>
        <v>98</v>
      </c>
      <c r="AR176" s="1">
        <f t="shared" ca="1" si="145"/>
        <v>7</v>
      </c>
      <c r="AS176" s="1">
        <f t="shared" ca="1" si="146"/>
        <v>61</v>
      </c>
      <c r="AU176" s="1">
        <f t="shared" ca="1" si="147"/>
        <v>229</v>
      </c>
      <c r="AV176" s="1">
        <f t="shared" ca="1" si="148"/>
        <v>2</v>
      </c>
      <c r="AW176" s="1">
        <f t="shared" ca="1" si="149"/>
        <v>0.10493840841191139</v>
      </c>
      <c r="AY176" s="1">
        <f t="shared" ca="1" si="150"/>
        <v>1.4170348879512931</v>
      </c>
      <c r="AZ176" s="1">
        <f t="shared" ca="1" si="151"/>
        <v>204</v>
      </c>
      <c r="BA176" s="1">
        <f t="shared" ca="1" si="152"/>
        <v>6.5350597012508995E-3</v>
      </c>
      <c r="BV176" s="1">
        <f t="shared" ca="1" si="153"/>
        <v>0.21938303491424449</v>
      </c>
      <c r="BW176" s="1">
        <f t="shared" ca="1" si="154"/>
        <v>475</v>
      </c>
      <c r="BX176" s="1">
        <f t="shared" ca="1" si="155"/>
        <v>4.8742500498728369E-3</v>
      </c>
      <c r="BY176" s="1">
        <f t="shared" ca="1" si="156"/>
        <v>3.9152680298553027E-3</v>
      </c>
      <c r="BZ176" s="1">
        <f t="shared" ca="1" si="157"/>
        <v>0.59896135123861816</v>
      </c>
      <c r="CB176" s="1">
        <f t="shared" ca="1" si="158"/>
        <v>205</v>
      </c>
      <c r="CC176" s="1">
        <f t="shared" ca="1" si="159"/>
        <v>11</v>
      </c>
      <c r="CD176" s="1">
        <f t="shared" ca="1" si="160"/>
        <v>0.19910875192009572</v>
      </c>
      <c r="CE176" s="1">
        <f t="shared" ca="1" si="170"/>
        <v>0.93056895979448218</v>
      </c>
      <c r="CF176" s="1">
        <f t="shared" ca="1" si="170"/>
        <v>0.86298259741326788</v>
      </c>
      <c r="CH176" s="3">
        <f t="shared" ca="1" si="162"/>
        <v>0.25712687762702952</v>
      </c>
      <c r="CI176" s="3">
        <f t="shared" ca="1" si="163"/>
        <v>0.49109177868933646</v>
      </c>
      <c r="CJ176" s="3">
        <f t="shared" ca="1" si="164"/>
        <v>1551</v>
      </c>
      <c r="CK176" s="3">
        <f t="shared" ca="1" si="165"/>
        <v>8.1352752929319174E-3</v>
      </c>
      <c r="CL176" s="3">
        <f t="shared" ca="1" si="166"/>
        <v>0</v>
      </c>
      <c r="CM176" s="3"/>
      <c r="CN176" s="1">
        <f t="shared" ca="1" si="167"/>
        <v>19.034579432472405</v>
      </c>
      <c r="CO176" s="1">
        <f t="shared" ca="1" si="168"/>
        <v>0.15040927373685611</v>
      </c>
      <c r="CP176" s="1">
        <f t="shared" ca="1" si="169"/>
        <v>4</v>
      </c>
    </row>
    <row r="177" spans="2:94" x14ac:dyDescent="0.25">
      <c r="B177">
        <f t="shared" ca="1" si="114"/>
        <v>929</v>
      </c>
      <c r="C177">
        <f t="shared" ca="1" si="115"/>
        <v>45</v>
      </c>
      <c r="D177">
        <f t="shared" ca="1" si="116"/>
        <v>0.13373765366333784</v>
      </c>
      <c r="F177" s="1">
        <f t="shared" ca="1" si="117"/>
        <v>13</v>
      </c>
      <c r="G177" s="1">
        <f t="shared" ca="1" si="118"/>
        <v>15</v>
      </c>
      <c r="H177" s="1">
        <f t="shared" ca="1" si="119"/>
        <v>12</v>
      </c>
      <c r="I177" s="1"/>
      <c r="J177" s="1">
        <f t="shared" ca="1" si="120"/>
        <v>5</v>
      </c>
      <c r="K177" s="1">
        <f t="shared" ca="1" si="121"/>
        <v>2.1556543550115608</v>
      </c>
      <c r="L177" s="1">
        <f t="shared" ca="1" si="122"/>
        <v>17</v>
      </c>
      <c r="M177" s="1"/>
      <c r="N177" s="1">
        <f t="shared" ca="1" si="123"/>
        <v>689</v>
      </c>
      <c r="O177" s="1">
        <f t="shared" ca="1" si="124"/>
        <v>6</v>
      </c>
      <c r="P177" s="1"/>
      <c r="Q177" s="1">
        <f t="shared" ca="1" si="125"/>
        <v>1.3941871539827571</v>
      </c>
      <c r="R177" s="1">
        <f t="shared" ca="1" si="126"/>
        <v>684</v>
      </c>
      <c r="S177" s="1"/>
      <c r="T177" s="1">
        <f t="shared" ca="1" si="127"/>
        <v>7.5081126460879458E-2</v>
      </c>
      <c r="U177" s="1">
        <f t="shared" ca="1" si="128"/>
        <v>370</v>
      </c>
      <c r="V177" s="1">
        <f t="shared" ca="1" si="129"/>
        <v>13</v>
      </c>
      <c r="W177" s="1"/>
      <c r="X177" s="1">
        <f t="shared" ca="1" si="130"/>
        <v>9.1366835453603326</v>
      </c>
      <c r="Y177" s="1">
        <f t="shared" ca="1" si="131"/>
        <v>0.75572487144159173</v>
      </c>
      <c r="Z177" s="1">
        <f t="shared" ca="1" si="132"/>
        <v>1727</v>
      </c>
      <c r="AB177" s="1">
        <f t="shared" ca="1" si="133"/>
        <v>0.14580071004965375</v>
      </c>
      <c r="AC177" s="1">
        <f t="shared" ca="1" si="134"/>
        <v>990</v>
      </c>
      <c r="AD177" s="1">
        <f t="shared" ca="1" si="135"/>
        <v>1.4025406216752795E-3</v>
      </c>
      <c r="AE177" s="1"/>
      <c r="AF177" s="1">
        <f t="shared" ca="1" si="136"/>
        <v>0.19203729012705334</v>
      </c>
      <c r="AG177" s="1">
        <f t="shared" ca="1" si="137"/>
        <v>562</v>
      </c>
      <c r="AH177" s="1">
        <f t="shared" ca="1" si="138"/>
        <v>5.2100087271645078E-3</v>
      </c>
      <c r="AJ177" s="1">
        <f t="shared" ca="1" si="139"/>
        <v>0.53208917137617817</v>
      </c>
      <c r="AK177" s="1">
        <f t="shared" ca="1" si="140"/>
        <v>7.5240062004684567E-3</v>
      </c>
      <c r="AL177" s="1"/>
      <c r="AM177" s="1">
        <f t="shared" ca="1" si="141"/>
        <v>0.19942332810704619</v>
      </c>
      <c r="AN177" s="1">
        <f t="shared" ca="1" si="142"/>
        <v>20</v>
      </c>
      <c r="AO177" s="1">
        <f t="shared" ca="1" si="143"/>
        <v>18</v>
      </c>
      <c r="AQ177" s="1">
        <f t="shared" ca="1" si="144"/>
        <v>185</v>
      </c>
      <c r="AR177" s="1">
        <f t="shared" ca="1" si="145"/>
        <v>5</v>
      </c>
      <c r="AS177" s="1">
        <f t="shared" ca="1" si="146"/>
        <v>44</v>
      </c>
      <c r="AU177" s="1">
        <f t="shared" ca="1" si="147"/>
        <v>249</v>
      </c>
      <c r="AV177" s="1">
        <f t="shared" ca="1" si="148"/>
        <v>5</v>
      </c>
      <c r="AW177" s="1">
        <f t="shared" ca="1" si="149"/>
        <v>1.9909825116493442E-2</v>
      </c>
      <c r="AY177" s="1">
        <f t="shared" ca="1" si="150"/>
        <v>1.7314725034176863</v>
      </c>
      <c r="AZ177" s="1">
        <f t="shared" ca="1" si="151"/>
        <v>333</v>
      </c>
      <c r="BA177" s="1">
        <f t="shared" ca="1" si="152"/>
        <v>6.9484838320160605E-4</v>
      </c>
      <c r="BV177" s="1">
        <f t="shared" ca="1" si="153"/>
        <v>0.87240568899526749</v>
      </c>
      <c r="BW177" s="1">
        <f t="shared" ca="1" si="154"/>
        <v>199</v>
      </c>
      <c r="BX177" s="1">
        <f t="shared" ca="1" si="155"/>
        <v>5.4070306470900553E-3</v>
      </c>
      <c r="BY177" s="1">
        <f t="shared" ca="1" si="156"/>
        <v>2.2746390453247688E-2</v>
      </c>
      <c r="BZ177" s="1">
        <f t="shared" ca="1" si="157"/>
        <v>0.22853364731064851</v>
      </c>
      <c r="CB177" s="1">
        <f t="shared" ca="1" si="158"/>
        <v>381</v>
      </c>
      <c r="CC177" s="1">
        <f t="shared" ca="1" si="159"/>
        <v>3</v>
      </c>
      <c r="CD177" s="1">
        <f t="shared" ca="1" si="160"/>
        <v>0.11623759023354302</v>
      </c>
      <c r="CE177" s="1">
        <f t="shared" ca="1" si="170"/>
        <v>0.61092716411623216</v>
      </c>
      <c r="CF177" s="1">
        <f t="shared" ca="1" si="170"/>
        <v>0.82466834604957739</v>
      </c>
      <c r="CH177" s="3">
        <f t="shared" ca="1" si="162"/>
        <v>0.68515713710396764</v>
      </c>
      <c r="CI177" s="3">
        <f t="shared" ca="1" si="163"/>
        <v>0.22056913547586096</v>
      </c>
      <c r="CJ177" s="3">
        <f t="shared" ca="1" si="164"/>
        <v>527</v>
      </c>
      <c r="CK177" s="3">
        <f t="shared" ca="1" si="165"/>
        <v>8.4828205957842451E-3</v>
      </c>
      <c r="CL177" s="3">
        <f t="shared" ca="1" si="166"/>
        <v>0</v>
      </c>
      <c r="CM177" s="3"/>
      <c r="CN177" s="1">
        <f t="shared" ca="1" si="167"/>
        <v>2.7905009141231574</v>
      </c>
      <c r="CO177" s="1">
        <f t="shared" ca="1" si="168"/>
        <v>0.14607816515915864</v>
      </c>
      <c r="CP177" s="1">
        <f t="shared" ca="1" si="169"/>
        <v>4</v>
      </c>
    </row>
    <row r="178" spans="2:94" x14ac:dyDescent="0.25">
      <c r="B178">
        <f t="shared" ca="1" si="114"/>
        <v>971</v>
      </c>
      <c r="C178">
        <f t="shared" ca="1" si="115"/>
        <v>38</v>
      </c>
      <c r="D178">
        <f t="shared" ca="1" si="116"/>
        <v>0.24368397007957746</v>
      </c>
      <c r="F178" s="1">
        <f t="shared" ca="1" si="117"/>
        <v>51</v>
      </c>
      <c r="G178" s="1">
        <f t="shared" ca="1" si="118"/>
        <v>15</v>
      </c>
      <c r="H178" s="1">
        <f t="shared" ca="1" si="119"/>
        <v>11</v>
      </c>
      <c r="I178" s="1"/>
      <c r="J178" s="1">
        <f t="shared" ca="1" si="120"/>
        <v>39</v>
      </c>
      <c r="K178" s="1">
        <f t="shared" ca="1" si="121"/>
        <v>1.5757691743211606</v>
      </c>
      <c r="L178" s="1">
        <f t="shared" ca="1" si="122"/>
        <v>18</v>
      </c>
      <c r="M178" s="1"/>
      <c r="N178" s="1">
        <f t="shared" ca="1" si="123"/>
        <v>991</v>
      </c>
      <c r="O178" s="1">
        <f t="shared" ca="1" si="124"/>
        <v>47</v>
      </c>
      <c r="P178" s="1"/>
      <c r="Q178" s="1">
        <f t="shared" ca="1" si="125"/>
        <v>4.6375447984067231</v>
      </c>
      <c r="R178" s="1">
        <f t="shared" ca="1" si="126"/>
        <v>435</v>
      </c>
      <c r="S178" s="1"/>
      <c r="T178" s="1">
        <f t="shared" ca="1" si="127"/>
        <v>8.1492557604817287E-2</v>
      </c>
      <c r="U178" s="1">
        <f t="shared" ca="1" si="128"/>
        <v>253</v>
      </c>
      <c r="V178" s="1">
        <f t="shared" ca="1" si="129"/>
        <v>33</v>
      </c>
      <c r="W178" s="1"/>
      <c r="X178" s="1">
        <f t="shared" ca="1" si="130"/>
        <v>0.93295336579333765</v>
      </c>
      <c r="Y178" s="1">
        <f t="shared" ca="1" si="131"/>
        <v>0.51779801462700836</v>
      </c>
      <c r="Z178" s="1">
        <f t="shared" ca="1" si="132"/>
        <v>427</v>
      </c>
      <c r="AB178" s="1">
        <f t="shared" ca="1" si="133"/>
        <v>0.86890418910874978</v>
      </c>
      <c r="AC178" s="1">
        <f t="shared" ca="1" si="134"/>
        <v>385</v>
      </c>
      <c r="AD178" s="1">
        <f t="shared" ca="1" si="135"/>
        <v>2.2690478617143446E-3</v>
      </c>
      <c r="AE178" s="1"/>
      <c r="AF178" s="1">
        <f t="shared" ca="1" si="136"/>
        <v>0.85296501004508274</v>
      </c>
      <c r="AG178" s="1">
        <f t="shared" ca="1" si="137"/>
        <v>452</v>
      </c>
      <c r="AH178" s="1">
        <f t="shared" ca="1" si="138"/>
        <v>6.0043345390178515E-5</v>
      </c>
      <c r="AJ178" s="1">
        <f t="shared" ca="1" si="139"/>
        <v>0.95248604001479331</v>
      </c>
      <c r="AK178" s="1">
        <f t="shared" ca="1" si="140"/>
        <v>5.8467932912868023E-3</v>
      </c>
      <c r="AL178" s="1"/>
      <c r="AM178" s="1">
        <f t="shared" ca="1" si="141"/>
        <v>7.4938495574906824E-2</v>
      </c>
      <c r="AN178" s="1">
        <f t="shared" ca="1" si="142"/>
        <v>15</v>
      </c>
      <c r="AO178" s="1">
        <f t="shared" ca="1" si="143"/>
        <v>7</v>
      </c>
      <c r="AQ178" s="1">
        <f t="shared" ca="1" si="144"/>
        <v>90</v>
      </c>
      <c r="AR178" s="1">
        <f t="shared" ca="1" si="145"/>
        <v>3</v>
      </c>
      <c r="AS178" s="1">
        <f t="shared" ca="1" si="146"/>
        <v>43</v>
      </c>
      <c r="AU178" s="1">
        <f t="shared" ca="1" si="147"/>
        <v>303</v>
      </c>
      <c r="AV178" s="1">
        <f t="shared" ca="1" si="148"/>
        <v>7</v>
      </c>
      <c r="AW178" s="1">
        <f t="shared" ca="1" si="149"/>
        <v>0.13061840176289505</v>
      </c>
      <c r="AY178" s="1">
        <f t="shared" ca="1" si="150"/>
        <v>1.6636114824893227</v>
      </c>
      <c r="AZ178" s="1">
        <f t="shared" ca="1" si="151"/>
        <v>155</v>
      </c>
      <c r="BA178" s="1">
        <f t="shared" ca="1" si="152"/>
        <v>1.1794643228165095E-3</v>
      </c>
      <c r="BV178" s="1">
        <f t="shared" ca="1" si="153"/>
        <v>0.23847285010092614</v>
      </c>
      <c r="BW178" s="1">
        <f t="shared" ca="1" si="154"/>
        <v>591</v>
      </c>
      <c r="BX178" s="1">
        <f t="shared" ca="1" si="155"/>
        <v>3.7279428547059857E-4</v>
      </c>
      <c r="BY178" s="1">
        <f t="shared" ca="1" si="156"/>
        <v>1.3233388566568938E-2</v>
      </c>
      <c r="BZ178" s="1">
        <f t="shared" ca="1" si="157"/>
        <v>0.57853328168102336</v>
      </c>
      <c r="CB178" s="1">
        <f t="shared" ca="1" si="158"/>
        <v>210</v>
      </c>
      <c r="CC178" s="1">
        <f t="shared" ca="1" si="159"/>
        <v>15</v>
      </c>
      <c r="CD178" s="1">
        <f t="shared" ca="1" si="160"/>
        <v>0.20830448859864445</v>
      </c>
      <c r="CE178" s="1">
        <f t="shared" ca="1" si="170"/>
        <v>0.56786967423693246</v>
      </c>
      <c r="CF178" s="1">
        <f t="shared" ca="1" si="170"/>
        <v>0.66105624361636517</v>
      </c>
      <c r="CH178" s="3">
        <f t="shared" ca="1" si="162"/>
        <v>0.89387953508435181</v>
      </c>
      <c r="CI178" s="3">
        <f t="shared" ca="1" si="163"/>
        <v>0.4268171495994959</v>
      </c>
      <c r="CJ178" s="3">
        <f t="shared" ca="1" si="164"/>
        <v>663</v>
      </c>
      <c r="CK178" s="3">
        <f t="shared" ca="1" si="165"/>
        <v>3.6742255300404175E-3</v>
      </c>
      <c r="CL178" s="3">
        <f t="shared" ca="1" si="166"/>
        <v>0</v>
      </c>
      <c r="CM178" s="3"/>
      <c r="CN178" s="1">
        <f t="shared" ca="1" si="167"/>
        <v>3.5494472826653189</v>
      </c>
      <c r="CO178" s="1">
        <f t="shared" ca="1" si="168"/>
        <v>4.2639589445822697E-2</v>
      </c>
      <c r="CP178" s="1">
        <f t="shared" ca="1" si="169"/>
        <v>1</v>
      </c>
    </row>
    <row r="179" spans="2:94" x14ac:dyDescent="0.25">
      <c r="B179">
        <f t="shared" ca="1" si="114"/>
        <v>302</v>
      </c>
      <c r="C179">
        <f t="shared" ca="1" si="115"/>
        <v>15</v>
      </c>
      <c r="D179">
        <f t="shared" ca="1" si="116"/>
        <v>8.8446610469030365E-2</v>
      </c>
      <c r="F179" s="1">
        <f t="shared" ca="1" si="117"/>
        <v>44</v>
      </c>
      <c r="G179" s="1">
        <f t="shared" ca="1" si="118"/>
        <v>28</v>
      </c>
      <c r="H179" s="1">
        <f t="shared" ca="1" si="119"/>
        <v>12</v>
      </c>
      <c r="I179" s="1"/>
      <c r="J179" s="1">
        <f t="shared" ca="1" si="120"/>
        <v>34</v>
      </c>
      <c r="K179" s="1">
        <f t="shared" ca="1" si="121"/>
        <v>1.0460704718351161</v>
      </c>
      <c r="L179" s="1">
        <f t="shared" ca="1" si="122"/>
        <v>4</v>
      </c>
      <c r="M179" s="1"/>
      <c r="N179" s="1">
        <f t="shared" ca="1" si="123"/>
        <v>968</v>
      </c>
      <c r="O179" s="1">
        <f t="shared" ca="1" si="124"/>
        <v>26</v>
      </c>
      <c r="P179" s="1"/>
      <c r="Q179" s="1">
        <f t="shared" ca="1" si="125"/>
        <v>2.046688972926439</v>
      </c>
      <c r="R179" s="1">
        <f t="shared" ca="1" si="126"/>
        <v>370</v>
      </c>
      <c r="S179" s="1"/>
      <c r="T179" s="1">
        <f t="shared" ca="1" si="127"/>
        <v>4.7952648440258289E-2</v>
      </c>
      <c r="U179" s="1">
        <f t="shared" ca="1" si="128"/>
        <v>147</v>
      </c>
      <c r="V179" s="1">
        <f t="shared" ca="1" si="129"/>
        <v>46</v>
      </c>
      <c r="W179" s="1"/>
      <c r="X179" s="1">
        <f t="shared" ca="1" si="130"/>
        <v>1.136213615117154</v>
      </c>
      <c r="Y179" s="1">
        <f t="shared" ca="1" si="131"/>
        <v>0.53934109412316533</v>
      </c>
      <c r="Z179" s="1">
        <f t="shared" ca="1" si="132"/>
        <v>472</v>
      </c>
      <c r="AB179" s="1">
        <f t="shared" ca="1" si="133"/>
        <v>0.4116554848984384</v>
      </c>
      <c r="AC179" s="1">
        <f t="shared" ca="1" si="134"/>
        <v>266</v>
      </c>
      <c r="AD179" s="1">
        <f t="shared" ca="1" si="135"/>
        <v>4.949242358344751E-3</v>
      </c>
      <c r="AE179" s="1"/>
      <c r="AF179" s="1">
        <f t="shared" ca="1" si="136"/>
        <v>0.74581459640861492</v>
      </c>
      <c r="AG179" s="1">
        <f t="shared" ca="1" si="137"/>
        <v>817</v>
      </c>
      <c r="AH179" s="1">
        <f t="shared" ca="1" si="138"/>
        <v>9.8549964958947241E-5</v>
      </c>
      <c r="AJ179" s="1">
        <f t="shared" ca="1" si="139"/>
        <v>0.13228409486902881</v>
      </c>
      <c r="AK179" s="1">
        <f t="shared" ca="1" si="140"/>
        <v>5.8390109889236404E-3</v>
      </c>
      <c r="AL179" s="1"/>
      <c r="AM179" s="1">
        <f t="shared" ca="1" si="141"/>
        <v>3.9320174620838776E-2</v>
      </c>
      <c r="AN179" s="1">
        <f t="shared" ca="1" si="142"/>
        <v>38</v>
      </c>
      <c r="AO179" s="1">
        <f t="shared" ca="1" si="143"/>
        <v>7</v>
      </c>
      <c r="AQ179" s="1">
        <f t="shared" ca="1" si="144"/>
        <v>69</v>
      </c>
      <c r="AR179" s="1">
        <f t="shared" ca="1" si="145"/>
        <v>3</v>
      </c>
      <c r="AS179" s="1">
        <f t="shared" ca="1" si="146"/>
        <v>15</v>
      </c>
      <c r="AU179" s="1">
        <f t="shared" ca="1" si="147"/>
        <v>182</v>
      </c>
      <c r="AV179" s="1">
        <f t="shared" ca="1" si="148"/>
        <v>7</v>
      </c>
      <c r="AW179" s="1">
        <f t="shared" ca="1" si="149"/>
        <v>0.15999830961330738</v>
      </c>
      <c r="AY179" s="1">
        <f t="shared" ca="1" si="150"/>
        <v>1.8534339553739394</v>
      </c>
      <c r="AZ179" s="1">
        <f t="shared" ca="1" si="151"/>
        <v>150</v>
      </c>
      <c r="BA179" s="1">
        <f t="shared" ca="1" si="152"/>
        <v>8.5889944113660202E-3</v>
      </c>
      <c r="BV179" s="1">
        <f t="shared" ca="1" si="153"/>
        <v>0.23869796146745356</v>
      </c>
      <c r="BW179" s="1">
        <f t="shared" ca="1" si="154"/>
        <v>254</v>
      </c>
      <c r="BX179" s="1">
        <f t="shared" ca="1" si="155"/>
        <v>6.2988818266654064E-3</v>
      </c>
      <c r="BY179" s="1">
        <f t="shared" ca="1" si="156"/>
        <v>7.151591507943246E-2</v>
      </c>
      <c r="BZ179" s="1">
        <f t="shared" ca="1" si="157"/>
        <v>0.17578607338868357</v>
      </c>
      <c r="CB179" s="1">
        <f t="shared" ca="1" si="158"/>
        <v>78</v>
      </c>
      <c r="CC179" s="1">
        <f t="shared" ca="1" si="159"/>
        <v>14</v>
      </c>
      <c r="CD179" s="1">
        <f t="shared" ca="1" si="160"/>
        <v>0.26488945407261189</v>
      </c>
      <c r="CE179" s="1">
        <f t="shared" ca="1" si="170"/>
        <v>0.6909988815614333</v>
      </c>
      <c r="CF179" s="1">
        <f t="shared" ca="1" si="170"/>
        <v>0.89388418454826191</v>
      </c>
      <c r="CH179" s="3">
        <f t="shared" ca="1" si="162"/>
        <v>0.36024849323529018</v>
      </c>
      <c r="CI179" s="3">
        <f t="shared" ca="1" si="163"/>
        <v>0.74944816129494796</v>
      </c>
      <c r="CJ179" s="3">
        <f t="shared" ca="1" si="164"/>
        <v>1460</v>
      </c>
      <c r="CK179" s="3">
        <f t="shared" ca="1" si="165"/>
        <v>1.7576316065485457E-3</v>
      </c>
      <c r="CL179" s="3">
        <f t="shared" ca="1" si="166"/>
        <v>0</v>
      </c>
      <c r="CM179" s="3"/>
      <c r="CN179" s="1">
        <f t="shared" ca="1" si="167"/>
        <v>12.558378643693697</v>
      </c>
      <c r="CO179" s="1">
        <f t="shared" ca="1" si="168"/>
        <v>0.28758865437594849</v>
      </c>
      <c r="CP179" s="1">
        <f t="shared" ca="1" si="169"/>
        <v>3</v>
      </c>
    </row>
    <row r="180" spans="2:94" x14ac:dyDescent="0.25">
      <c r="B180">
        <f t="shared" ca="1" si="114"/>
        <v>343</v>
      </c>
      <c r="C180">
        <f t="shared" ca="1" si="115"/>
        <v>40</v>
      </c>
      <c r="D180">
        <f t="shared" ca="1" si="116"/>
        <v>0.15131836940772819</v>
      </c>
      <c r="F180" s="1">
        <f t="shared" ca="1" si="117"/>
        <v>33</v>
      </c>
      <c r="G180" s="1">
        <f t="shared" ca="1" si="118"/>
        <v>15</v>
      </c>
      <c r="H180" s="1">
        <f t="shared" ca="1" si="119"/>
        <v>9</v>
      </c>
      <c r="I180" s="1"/>
      <c r="J180" s="1">
        <f t="shared" ca="1" si="120"/>
        <v>15</v>
      </c>
      <c r="K180" s="1">
        <f t="shared" ca="1" si="121"/>
        <v>2.8312493638387224</v>
      </c>
      <c r="L180" s="1">
        <f t="shared" ca="1" si="122"/>
        <v>15</v>
      </c>
      <c r="M180" s="1"/>
      <c r="N180" s="1">
        <f t="shared" ca="1" si="123"/>
        <v>110</v>
      </c>
      <c r="O180" s="1">
        <f t="shared" ca="1" si="124"/>
        <v>33</v>
      </c>
      <c r="P180" s="1"/>
      <c r="Q180" s="1">
        <f t="shared" ca="1" si="125"/>
        <v>0.99385427881846156</v>
      </c>
      <c r="R180" s="1">
        <f t="shared" ca="1" si="126"/>
        <v>349</v>
      </c>
      <c r="S180" s="1"/>
      <c r="T180" s="1">
        <f t="shared" ca="1" si="127"/>
        <v>4.3101034016662751E-2</v>
      </c>
      <c r="U180" s="1">
        <f t="shared" ca="1" si="128"/>
        <v>64</v>
      </c>
      <c r="V180" s="1">
        <f t="shared" ca="1" si="129"/>
        <v>29</v>
      </c>
      <c r="W180" s="1"/>
      <c r="X180" s="1">
        <f t="shared" ca="1" si="130"/>
        <v>4.7415678972068198</v>
      </c>
      <c r="Y180" s="1">
        <f t="shared" ca="1" si="131"/>
        <v>0.78713535913471389</v>
      </c>
      <c r="Z180" s="1">
        <f t="shared" ca="1" si="132"/>
        <v>375</v>
      </c>
      <c r="AB180" s="1">
        <f t="shared" ca="1" si="133"/>
        <v>0.1101085064573577</v>
      </c>
      <c r="AC180" s="1">
        <f t="shared" ca="1" si="134"/>
        <v>956</v>
      </c>
      <c r="AD180" s="1">
        <f t="shared" ca="1" si="135"/>
        <v>2.4092617205077886E-3</v>
      </c>
      <c r="AE180" s="1"/>
      <c r="AF180" s="1">
        <f t="shared" ca="1" si="136"/>
        <v>0.85075541412814226</v>
      </c>
      <c r="AG180" s="1">
        <f t="shared" ca="1" si="137"/>
        <v>647</v>
      </c>
      <c r="AH180" s="1">
        <f t="shared" ca="1" si="138"/>
        <v>3.454002704939162E-3</v>
      </c>
      <c r="AJ180" s="1">
        <f t="shared" ca="1" si="139"/>
        <v>0.93361540321564485</v>
      </c>
      <c r="AK180" s="1">
        <f t="shared" ca="1" si="140"/>
        <v>9.0156933245275767E-3</v>
      </c>
      <c r="AL180" s="1"/>
      <c r="AM180" s="1">
        <f t="shared" ca="1" si="141"/>
        <v>7.7331083344548898E-2</v>
      </c>
      <c r="AN180" s="1">
        <f t="shared" ca="1" si="142"/>
        <v>52</v>
      </c>
      <c r="AO180" s="1">
        <f t="shared" ca="1" si="143"/>
        <v>0</v>
      </c>
      <c r="AQ180" s="1">
        <f t="shared" ca="1" si="144"/>
        <v>191</v>
      </c>
      <c r="AR180" s="1">
        <f t="shared" ca="1" si="145"/>
        <v>1</v>
      </c>
      <c r="AS180" s="1">
        <f t="shared" ca="1" si="146"/>
        <v>29</v>
      </c>
      <c r="AU180" s="1">
        <f t="shared" ca="1" si="147"/>
        <v>87</v>
      </c>
      <c r="AV180" s="1">
        <f t="shared" ca="1" si="148"/>
        <v>2</v>
      </c>
      <c r="AW180" s="1">
        <f t="shared" ca="1" si="149"/>
        <v>0.19914968029492772</v>
      </c>
      <c r="AY180" s="1">
        <f t="shared" ca="1" si="150"/>
        <v>1.9170272568646016</v>
      </c>
      <c r="AZ180" s="1">
        <f t="shared" ca="1" si="151"/>
        <v>437</v>
      </c>
      <c r="BA180" s="1">
        <f t="shared" ca="1" si="152"/>
        <v>7.2567731466335684E-3</v>
      </c>
      <c r="BV180" s="1">
        <f t="shared" ca="1" si="153"/>
        <v>0.69894137773699727</v>
      </c>
      <c r="BW180" s="1">
        <f t="shared" ca="1" si="154"/>
        <v>627</v>
      </c>
      <c r="BX180" s="1">
        <f t="shared" ca="1" si="155"/>
        <v>5.3055191062839234E-4</v>
      </c>
      <c r="BY180" s="1">
        <f t="shared" ca="1" si="156"/>
        <v>5.3861412010207214E-2</v>
      </c>
      <c r="BZ180" s="1">
        <f t="shared" ca="1" si="157"/>
        <v>0.37903695876319687</v>
      </c>
      <c r="CB180" s="1">
        <f t="shared" ca="1" si="158"/>
        <v>400</v>
      </c>
      <c r="CC180" s="1">
        <f t="shared" ca="1" si="159"/>
        <v>11</v>
      </c>
      <c r="CD180" s="1">
        <f t="shared" ca="1" si="160"/>
        <v>0.1028148286078762</v>
      </c>
      <c r="CE180" s="1">
        <f t="shared" ca="1" si="170"/>
        <v>0.66421945075510491</v>
      </c>
      <c r="CF180" s="1">
        <f t="shared" ca="1" si="170"/>
        <v>0.69735182769365955</v>
      </c>
      <c r="CH180" s="3">
        <f t="shared" ca="1" si="162"/>
        <v>0.40220274282197921</v>
      </c>
      <c r="CI180" s="3">
        <f t="shared" ca="1" si="163"/>
        <v>0.23869999927510868</v>
      </c>
      <c r="CJ180" s="3">
        <f t="shared" ca="1" si="164"/>
        <v>389</v>
      </c>
      <c r="CK180" s="3">
        <f t="shared" ca="1" si="165"/>
        <v>7.8240419875362094E-3</v>
      </c>
      <c r="CL180" s="3">
        <f t="shared" ca="1" si="166"/>
        <v>1</v>
      </c>
      <c r="CM180" s="3"/>
      <c r="CN180" s="1">
        <f t="shared" ca="1" si="167"/>
        <v>6.2613868587344701</v>
      </c>
      <c r="CO180" s="1">
        <f t="shared" ca="1" si="168"/>
        <v>0.35342573127846644</v>
      </c>
      <c r="CP180" s="1">
        <f t="shared" ca="1" si="169"/>
        <v>5</v>
      </c>
    </row>
    <row r="181" spans="2:94" x14ac:dyDescent="0.25">
      <c r="B181">
        <f t="shared" ca="1" si="114"/>
        <v>179</v>
      </c>
      <c r="C181">
        <f t="shared" ca="1" si="115"/>
        <v>42</v>
      </c>
      <c r="D181">
        <f t="shared" ca="1" si="116"/>
        <v>5.6584042010374681E-2</v>
      </c>
      <c r="F181" s="1">
        <f t="shared" ca="1" si="117"/>
        <v>9</v>
      </c>
      <c r="G181" s="1">
        <f t="shared" ca="1" si="118"/>
        <v>28</v>
      </c>
      <c r="H181" s="1">
        <f t="shared" ca="1" si="119"/>
        <v>4</v>
      </c>
      <c r="I181" s="1"/>
      <c r="J181" s="1">
        <f t="shared" ca="1" si="120"/>
        <v>24</v>
      </c>
      <c r="K181" s="1">
        <f t="shared" ca="1" si="121"/>
        <v>2.7315189999869784</v>
      </c>
      <c r="L181" s="1">
        <f t="shared" ca="1" si="122"/>
        <v>2</v>
      </c>
      <c r="M181" s="1"/>
      <c r="N181" s="1">
        <f t="shared" ca="1" si="123"/>
        <v>787</v>
      </c>
      <c r="O181" s="1">
        <f t="shared" ca="1" si="124"/>
        <v>34</v>
      </c>
      <c r="P181" s="1"/>
      <c r="Q181" s="1">
        <f t="shared" ca="1" si="125"/>
        <v>1.222964178624083</v>
      </c>
      <c r="R181" s="1">
        <f t="shared" ca="1" si="126"/>
        <v>687</v>
      </c>
      <c r="S181" s="1"/>
      <c r="T181" s="1">
        <f t="shared" ca="1" si="127"/>
        <v>4.4824092109456114E-2</v>
      </c>
      <c r="U181" s="1">
        <f t="shared" ca="1" si="128"/>
        <v>163</v>
      </c>
      <c r="V181" s="1">
        <f t="shared" ca="1" si="129"/>
        <v>44</v>
      </c>
      <c r="W181" s="1"/>
      <c r="X181" s="1">
        <f t="shared" ca="1" si="130"/>
        <v>9.4341227260194138</v>
      </c>
      <c r="Y181" s="1">
        <f t="shared" ca="1" si="131"/>
        <v>0.93952338049250994</v>
      </c>
      <c r="Z181" s="1">
        <f t="shared" ca="1" si="132"/>
        <v>1747</v>
      </c>
      <c r="AB181" s="1">
        <f t="shared" ca="1" si="133"/>
        <v>0.85965180180142209</v>
      </c>
      <c r="AC181" s="1">
        <f t="shared" ca="1" si="134"/>
        <v>600</v>
      </c>
      <c r="AD181" s="1">
        <f t="shared" ca="1" si="135"/>
        <v>1.1126139632720042E-3</v>
      </c>
      <c r="AE181" s="1"/>
      <c r="AF181" s="1">
        <f t="shared" ca="1" si="136"/>
        <v>0.33905213660560629</v>
      </c>
      <c r="AG181" s="1">
        <f t="shared" ca="1" si="137"/>
        <v>411</v>
      </c>
      <c r="AH181" s="1">
        <f t="shared" ca="1" si="138"/>
        <v>3.6850385509223653E-3</v>
      </c>
      <c r="AJ181" s="1">
        <f t="shared" ca="1" si="139"/>
        <v>0.56832518653537367</v>
      </c>
      <c r="AK181" s="1">
        <f t="shared" ca="1" si="140"/>
        <v>2.5345509725115361E-3</v>
      </c>
      <c r="AL181" s="1"/>
      <c r="AM181" s="1">
        <f t="shared" ca="1" si="141"/>
        <v>7.9842076384394764E-2</v>
      </c>
      <c r="AN181" s="1">
        <f t="shared" ca="1" si="142"/>
        <v>61</v>
      </c>
      <c r="AO181" s="1">
        <f t="shared" ca="1" si="143"/>
        <v>0</v>
      </c>
      <c r="AQ181" s="1">
        <f t="shared" ca="1" si="144"/>
        <v>94</v>
      </c>
      <c r="AR181" s="1">
        <f t="shared" ca="1" si="145"/>
        <v>9</v>
      </c>
      <c r="AS181" s="1">
        <f t="shared" ca="1" si="146"/>
        <v>41</v>
      </c>
      <c r="AU181" s="1">
        <f t="shared" ca="1" si="147"/>
        <v>398</v>
      </c>
      <c r="AV181" s="1">
        <f t="shared" ca="1" si="148"/>
        <v>3</v>
      </c>
      <c r="AW181" s="1">
        <f t="shared" ca="1" si="149"/>
        <v>7.3636825195342676E-2</v>
      </c>
      <c r="AY181" s="1">
        <f t="shared" ca="1" si="150"/>
        <v>1.3990698012081744</v>
      </c>
      <c r="AZ181" s="1">
        <f t="shared" ca="1" si="151"/>
        <v>124</v>
      </c>
      <c r="BA181" s="1">
        <f t="shared" ca="1" si="152"/>
        <v>5.0090798611686672E-3</v>
      </c>
      <c r="BV181" s="1">
        <f t="shared" ca="1" si="153"/>
        <v>0.84003001700258539</v>
      </c>
      <c r="BW181" s="1">
        <f t="shared" ca="1" si="154"/>
        <v>637</v>
      </c>
      <c r="BX181" s="1">
        <f t="shared" ca="1" si="155"/>
        <v>5.6592532329783288E-3</v>
      </c>
      <c r="BY181" s="1">
        <f t="shared" ca="1" si="156"/>
        <v>3.2026451060687425E-2</v>
      </c>
      <c r="BZ181" s="1">
        <f t="shared" ca="1" si="157"/>
        <v>0.82785878294773763</v>
      </c>
      <c r="CB181" s="1">
        <f t="shared" ca="1" si="158"/>
        <v>150</v>
      </c>
      <c r="CC181" s="1">
        <f t="shared" ca="1" si="159"/>
        <v>15</v>
      </c>
      <c r="CD181" s="1">
        <f t="shared" ca="1" si="160"/>
        <v>0.17844226322642995</v>
      </c>
      <c r="CE181" s="1">
        <f t="shared" ca="1" si="170"/>
        <v>0.84403789464764378</v>
      </c>
      <c r="CF181" s="1">
        <f t="shared" ca="1" si="170"/>
        <v>0.82947484362759427</v>
      </c>
      <c r="CH181" s="3">
        <f t="shared" ca="1" si="162"/>
        <v>0.74493621202317728</v>
      </c>
      <c r="CI181" s="3">
        <f t="shared" ca="1" si="163"/>
        <v>6.1402293249877775E-2</v>
      </c>
      <c r="CJ181" s="3">
        <f t="shared" ca="1" si="164"/>
        <v>1100</v>
      </c>
      <c r="CK181" s="3">
        <f t="shared" ca="1" si="165"/>
        <v>2.0773242877154217E-4</v>
      </c>
      <c r="CL181" s="3">
        <f t="shared" ca="1" si="166"/>
        <v>0</v>
      </c>
      <c r="CM181" s="3"/>
      <c r="CN181" s="1">
        <f t="shared" ca="1" si="167"/>
        <v>19.400473491166405</v>
      </c>
      <c r="CO181" s="1">
        <f t="shared" ca="1" si="168"/>
        <v>0.31823287091114832</v>
      </c>
      <c r="CP181" s="1">
        <f t="shared" ca="1" si="169"/>
        <v>2</v>
      </c>
    </row>
    <row r="182" spans="2:94" x14ac:dyDescent="0.25">
      <c r="B182">
        <f t="shared" ca="1" si="114"/>
        <v>93</v>
      </c>
      <c r="C182">
        <f t="shared" ca="1" si="115"/>
        <v>10</v>
      </c>
      <c r="D182">
        <f t="shared" ca="1" si="116"/>
        <v>0.25239148804484762</v>
      </c>
      <c r="F182" s="1">
        <f t="shared" ca="1" si="117"/>
        <v>12</v>
      </c>
      <c r="G182" s="1">
        <f t="shared" ca="1" si="118"/>
        <v>9</v>
      </c>
      <c r="H182" s="1">
        <f t="shared" ca="1" si="119"/>
        <v>1</v>
      </c>
      <c r="I182" s="1"/>
      <c r="J182" s="1">
        <f t="shared" ca="1" si="120"/>
        <v>39</v>
      </c>
      <c r="K182" s="1">
        <f t="shared" ca="1" si="121"/>
        <v>1.0740650040919932</v>
      </c>
      <c r="L182" s="1">
        <f t="shared" ca="1" si="122"/>
        <v>7</v>
      </c>
      <c r="M182" s="1"/>
      <c r="N182" s="1">
        <f t="shared" ca="1" si="123"/>
        <v>24</v>
      </c>
      <c r="O182" s="1">
        <f t="shared" ca="1" si="124"/>
        <v>13</v>
      </c>
      <c r="P182" s="1"/>
      <c r="Q182" s="1">
        <f t="shared" ca="1" si="125"/>
        <v>0.87991003266850987</v>
      </c>
      <c r="R182" s="1">
        <f t="shared" ca="1" si="126"/>
        <v>914</v>
      </c>
      <c r="S182" s="1"/>
      <c r="T182" s="1">
        <f t="shared" ca="1" si="127"/>
        <v>4.4088616727562757E-2</v>
      </c>
      <c r="U182" s="1">
        <f t="shared" ca="1" si="128"/>
        <v>175</v>
      </c>
      <c r="V182" s="1">
        <f t="shared" ca="1" si="129"/>
        <v>40</v>
      </c>
      <c r="W182" s="1"/>
      <c r="X182" s="1">
        <f t="shared" ca="1" si="130"/>
        <v>0.46612470824529167</v>
      </c>
      <c r="Y182" s="1">
        <f t="shared" ca="1" si="131"/>
        <v>0.72644602503353761</v>
      </c>
      <c r="Z182" s="1">
        <f t="shared" ca="1" si="132"/>
        <v>1655</v>
      </c>
      <c r="AB182" s="1">
        <f t="shared" ca="1" si="133"/>
        <v>0.86672641673372042</v>
      </c>
      <c r="AC182" s="1">
        <f t="shared" ca="1" si="134"/>
        <v>570</v>
      </c>
      <c r="AD182" s="1">
        <f t="shared" ca="1" si="135"/>
        <v>9.5690960434980158E-4</v>
      </c>
      <c r="AE182" s="1"/>
      <c r="AF182" s="1">
        <f t="shared" ca="1" si="136"/>
        <v>0.2308310928751153</v>
      </c>
      <c r="AG182" s="1">
        <f t="shared" ca="1" si="137"/>
        <v>165</v>
      </c>
      <c r="AH182" s="1">
        <f t="shared" ca="1" si="138"/>
        <v>4.8803156520851806E-3</v>
      </c>
      <c r="AJ182" s="1">
        <f t="shared" ca="1" si="139"/>
        <v>0.22136772969700425</v>
      </c>
      <c r="AK182" s="1">
        <f t="shared" ca="1" si="140"/>
        <v>3.3066370256982914E-3</v>
      </c>
      <c r="AL182" s="1"/>
      <c r="AM182" s="1">
        <f t="shared" ca="1" si="141"/>
        <v>0.13789999813593601</v>
      </c>
      <c r="AN182" s="1">
        <f t="shared" ca="1" si="142"/>
        <v>45</v>
      </c>
      <c r="AO182" s="1">
        <f t="shared" ca="1" si="143"/>
        <v>7</v>
      </c>
      <c r="AQ182" s="1">
        <f t="shared" ca="1" si="144"/>
        <v>38</v>
      </c>
      <c r="AR182" s="1">
        <f t="shared" ca="1" si="145"/>
        <v>0</v>
      </c>
      <c r="AS182" s="1">
        <f t="shared" ca="1" si="146"/>
        <v>96</v>
      </c>
      <c r="AU182" s="1">
        <f t="shared" ca="1" si="147"/>
        <v>371</v>
      </c>
      <c r="AV182" s="1">
        <f t="shared" ca="1" si="148"/>
        <v>6</v>
      </c>
      <c r="AW182" s="1">
        <f t="shared" ca="1" si="149"/>
        <v>0.1080589109431843</v>
      </c>
      <c r="AY182" s="1">
        <f t="shared" ca="1" si="150"/>
        <v>1.4897709991389512</v>
      </c>
      <c r="AZ182" s="1">
        <f t="shared" ca="1" si="151"/>
        <v>89</v>
      </c>
      <c r="BA182" s="1">
        <f t="shared" ca="1" si="152"/>
        <v>3.8753879391372841E-3</v>
      </c>
      <c r="BV182" s="1">
        <f t="shared" ca="1" si="153"/>
        <v>0.7584496324277592</v>
      </c>
      <c r="BW182" s="1">
        <f t="shared" ca="1" si="154"/>
        <v>941</v>
      </c>
      <c r="BX182" s="1">
        <f t="shared" ca="1" si="155"/>
        <v>8.1019556697606628E-3</v>
      </c>
      <c r="BY182" s="1">
        <f t="shared" ca="1" si="156"/>
        <v>2.9100973827621047E-2</v>
      </c>
      <c r="BZ182" s="1">
        <f t="shared" ca="1" si="157"/>
        <v>0.73514526204400799</v>
      </c>
      <c r="CB182" s="1">
        <f t="shared" ca="1" si="158"/>
        <v>77</v>
      </c>
      <c r="CC182" s="1">
        <f t="shared" ca="1" si="159"/>
        <v>5</v>
      </c>
      <c r="CD182" s="1">
        <f t="shared" ca="1" si="160"/>
        <v>6.1226114181311179E-2</v>
      </c>
      <c r="CE182" s="1">
        <f t="shared" ca="1" si="170"/>
        <v>0.65303114023769981</v>
      </c>
      <c r="CF182" s="1">
        <f t="shared" ca="1" si="170"/>
        <v>0.65562221213140126</v>
      </c>
      <c r="CH182" s="3">
        <f t="shared" ca="1" si="162"/>
        <v>0.80186764157018808</v>
      </c>
      <c r="CI182" s="3">
        <f t="shared" ca="1" si="163"/>
        <v>0.21961242906741515</v>
      </c>
      <c r="CJ182" s="3">
        <f t="shared" ca="1" si="164"/>
        <v>240</v>
      </c>
      <c r="CK182" s="3">
        <f t="shared" ca="1" si="165"/>
        <v>3.6852284409539453E-3</v>
      </c>
      <c r="CL182" s="3">
        <f t="shared" ca="1" si="166"/>
        <v>1</v>
      </c>
      <c r="CM182" s="3"/>
      <c r="CN182" s="1">
        <f t="shared" ca="1" si="167"/>
        <v>0.44142895207375965</v>
      </c>
      <c r="CO182" s="1">
        <f t="shared" ca="1" si="168"/>
        <v>0.19029593325480013</v>
      </c>
      <c r="CP182" s="1">
        <f t="shared" ca="1" si="169"/>
        <v>5</v>
      </c>
    </row>
    <row r="183" spans="2:94" x14ac:dyDescent="0.25">
      <c r="B183">
        <f t="shared" ca="1" si="114"/>
        <v>490</v>
      </c>
      <c r="C183">
        <f t="shared" ca="1" si="115"/>
        <v>8</v>
      </c>
      <c r="D183">
        <f t="shared" ca="1" si="116"/>
        <v>6.0788403575106481E-2</v>
      </c>
      <c r="F183" s="1">
        <f t="shared" ca="1" si="117"/>
        <v>20</v>
      </c>
      <c r="G183" s="1">
        <f t="shared" ca="1" si="118"/>
        <v>16</v>
      </c>
      <c r="H183" s="1">
        <f t="shared" ca="1" si="119"/>
        <v>4</v>
      </c>
      <c r="I183" s="1"/>
      <c r="J183" s="1">
        <f t="shared" ca="1" si="120"/>
        <v>6</v>
      </c>
      <c r="K183" s="1">
        <f t="shared" ca="1" si="121"/>
        <v>1.405836263215321</v>
      </c>
      <c r="L183" s="1">
        <f t="shared" ca="1" si="122"/>
        <v>9</v>
      </c>
      <c r="M183" s="1"/>
      <c r="N183" s="1">
        <f t="shared" ca="1" si="123"/>
        <v>732</v>
      </c>
      <c r="O183" s="1">
        <f t="shared" ca="1" si="124"/>
        <v>14</v>
      </c>
      <c r="P183" s="1"/>
      <c r="Q183" s="1">
        <f t="shared" ca="1" si="125"/>
        <v>1.7481644043634605</v>
      </c>
      <c r="R183" s="1">
        <f t="shared" ca="1" si="126"/>
        <v>424</v>
      </c>
      <c r="S183" s="1"/>
      <c r="T183" s="1">
        <f t="shared" ca="1" si="127"/>
        <v>6.2752983936534626E-2</v>
      </c>
      <c r="U183" s="1">
        <f t="shared" ca="1" si="128"/>
        <v>204</v>
      </c>
      <c r="V183" s="1">
        <f t="shared" ca="1" si="129"/>
        <v>49</v>
      </c>
      <c r="W183" s="1"/>
      <c r="X183" s="1">
        <f t="shared" ca="1" si="130"/>
        <v>3.6091981303314888</v>
      </c>
      <c r="Y183" s="1">
        <f t="shared" ca="1" si="131"/>
        <v>0.4497761207776908</v>
      </c>
      <c r="Z183" s="1">
        <f t="shared" ca="1" si="132"/>
        <v>329</v>
      </c>
      <c r="AB183" s="1">
        <f t="shared" ca="1" si="133"/>
        <v>0.74065546501781743</v>
      </c>
      <c r="AC183" s="1">
        <f t="shared" ca="1" si="134"/>
        <v>780</v>
      </c>
      <c r="AD183" s="1">
        <f t="shared" ca="1" si="135"/>
        <v>2.4333889141169443E-3</v>
      </c>
      <c r="AE183" s="1"/>
      <c r="AF183" s="1">
        <f t="shared" ca="1" si="136"/>
        <v>0.62790656785218624</v>
      </c>
      <c r="AG183" s="1">
        <f t="shared" ca="1" si="137"/>
        <v>323</v>
      </c>
      <c r="AH183" s="1">
        <f t="shared" ca="1" si="138"/>
        <v>4.6657771733933399E-3</v>
      </c>
      <c r="AJ183" s="1">
        <f t="shared" ca="1" si="139"/>
        <v>0.29490757671645085</v>
      </c>
      <c r="AK183" s="1">
        <f t="shared" ca="1" si="140"/>
        <v>9.9196489618736169E-3</v>
      </c>
      <c r="AL183" s="1"/>
      <c r="AM183" s="1">
        <f t="shared" ca="1" si="141"/>
        <v>6.3048397257271266E-2</v>
      </c>
      <c r="AN183" s="1">
        <f t="shared" ca="1" si="142"/>
        <v>60</v>
      </c>
      <c r="AO183" s="1">
        <f t="shared" ca="1" si="143"/>
        <v>4</v>
      </c>
      <c r="AQ183" s="1">
        <f t="shared" ca="1" si="144"/>
        <v>43</v>
      </c>
      <c r="AR183" s="1">
        <f t="shared" ca="1" si="145"/>
        <v>2</v>
      </c>
      <c r="AS183" s="1">
        <f t="shared" ca="1" si="146"/>
        <v>86</v>
      </c>
      <c r="AU183" s="1">
        <f t="shared" ca="1" si="147"/>
        <v>244</v>
      </c>
      <c r="AV183" s="1">
        <f t="shared" ca="1" si="148"/>
        <v>10</v>
      </c>
      <c r="AW183" s="1">
        <f t="shared" ca="1" si="149"/>
        <v>1.8842311705011855E-2</v>
      </c>
      <c r="AY183" s="1">
        <f t="shared" ca="1" si="150"/>
        <v>1.2630797636305666</v>
      </c>
      <c r="AZ183" s="1">
        <f t="shared" ca="1" si="151"/>
        <v>467</v>
      </c>
      <c r="BA183" s="1">
        <f t="shared" ca="1" si="152"/>
        <v>2.8577440847008394E-3</v>
      </c>
      <c r="BV183" s="1">
        <f t="shared" ca="1" si="153"/>
        <v>0.98762438108560235</v>
      </c>
      <c r="BW183" s="1">
        <f t="shared" ca="1" si="154"/>
        <v>592</v>
      </c>
      <c r="BX183" s="1">
        <f t="shared" ca="1" si="155"/>
        <v>9.7580448130669406E-3</v>
      </c>
      <c r="BY183" s="1">
        <f t="shared" ca="1" si="156"/>
        <v>4.424600761868553E-2</v>
      </c>
      <c r="BZ183" s="1">
        <f t="shared" ca="1" si="157"/>
        <v>0.91697656755610435</v>
      </c>
      <c r="CB183" s="1">
        <f t="shared" ca="1" si="158"/>
        <v>425</v>
      </c>
      <c r="CC183" s="1">
        <f t="shared" ca="1" si="159"/>
        <v>4</v>
      </c>
      <c r="CD183" s="1">
        <f t="shared" ca="1" si="160"/>
        <v>0.290402803905079</v>
      </c>
      <c r="CE183" s="1">
        <f t="shared" ca="1" si="170"/>
        <v>0.74753476250848006</v>
      </c>
      <c r="CF183" s="1">
        <f t="shared" ca="1" si="170"/>
        <v>0.9760658793534176</v>
      </c>
      <c r="CH183" s="3">
        <f t="shared" ca="1" si="162"/>
        <v>0.75391909561411496</v>
      </c>
      <c r="CI183" s="3">
        <f t="shared" ca="1" si="163"/>
        <v>0.28989814634074351</v>
      </c>
      <c r="CJ183" s="3">
        <f t="shared" ca="1" si="164"/>
        <v>1437</v>
      </c>
      <c r="CK183" s="3">
        <f t="shared" ca="1" si="165"/>
        <v>3.2090406853111219E-3</v>
      </c>
      <c r="CL183" s="3">
        <f t="shared" ca="1" si="166"/>
        <v>0</v>
      </c>
      <c r="CM183" s="3"/>
      <c r="CN183" s="1">
        <f t="shared" ca="1" si="167"/>
        <v>3.0450633375351481</v>
      </c>
      <c r="CO183" s="1">
        <f t="shared" ca="1" si="168"/>
        <v>0.30092650356887768</v>
      </c>
      <c r="CP183" s="1">
        <f t="shared" ca="1" si="169"/>
        <v>4</v>
      </c>
    </row>
    <row r="184" spans="2:94" x14ac:dyDescent="0.25">
      <c r="B184">
        <f t="shared" ca="1" si="114"/>
        <v>815</v>
      </c>
      <c r="C184">
        <f t="shared" ca="1" si="115"/>
        <v>21</v>
      </c>
      <c r="D184">
        <f t="shared" ca="1" si="116"/>
        <v>0.2043361215437256</v>
      </c>
      <c r="F184" s="1">
        <f t="shared" ca="1" si="117"/>
        <v>40</v>
      </c>
      <c r="G184" s="1">
        <f t="shared" ca="1" si="118"/>
        <v>24</v>
      </c>
      <c r="H184" s="1">
        <f t="shared" ca="1" si="119"/>
        <v>7</v>
      </c>
      <c r="I184" s="1"/>
      <c r="J184" s="1">
        <f t="shared" ca="1" si="120"/>
        <v>5</v>
      </c>
      <c r="K184" s="1">
        <f t="shared" ca="1" si="121"/>
        <v>1.4961045937642556</v>
      </c>
      <c r="L184" s="1">
        <f t="shared" ca="1" si="122"/>
        <v>32</v>
      </c>
      <c r="M184" s="1"/>
      <c r="N184" s="1">
        <f t="shared" ca="1" si="123"/>
        <v>537</v>
      </c>
      <c r="O184" s="1">
        <f t="shared" ca="1" si="124"/>
        <v>8</v>
      </c>
      <c r="P184" s="1"/>
      <c r="Q184" s="1">
        <f t="shared" ca="1" si="125"/>
        <v>3.7708450785728922</v>
      </c>
      <c r="R184" s="1">
        <f t="shared" ca="1" si="126"/>
        <v>361</v>
      </c>
      <c r="S184" s="1"/>
      <c r="T184" s="1">
        <f t="shared" ca="1" si="127"/>
        <v>0.12698779600270682</v>
      </c>
      <c r="U184" s="1">
        <f t="shared" ca="1" si="128"/>
        <v>429</v>
      </c>
      <c r="V184" s="1">
        <f t="shared" ca="1" si="129"/>
        <v>52</v>
      </c>
      <c r="W184" s="1"/>
      <c r="X184" s="1">
        <f t="shared" ca="1" si="130"/>
        <v>5.6392620146775645</v>
      </c>
      <c r="Y184" s="1">
        <f t="shared" ca="1" si="131"/>
        <v>0.57058201789657781</v>
      </c>
      <c r="Z184" s="1">
        <f t="shared" ca="1" si="132"/>
        <v>519</v>
      </c>
      <c r="AB184" s="1">
        <f t="shared" ca="1" si="133"/>
        <v>0.79440516746957057</v>
      </c>
      <c r="AC184" s="1">
        <f t="shared" ca="1" si="134"/>
        <v>172</v>
      </c>
      <c r="AD184" s="1">
        <f t="shared" ca="1" si="135"/>
        <v>6.7338675373922689E-3</v>
      </c>
      <c r="AE184" s="1"/>
      <c r="AF184" s="1">
        <f t="shared" ca="1" si="136"/>
        <v>0.81592444221022375</v>
      </c>
      <c r="AG184" s="1">
        <f t="shared" ca="1" si="137"/>
        <v>468</v>
      </c>
      <c r="AH184" s="1">
        <f t="shared" ca="1" si="138"/>
        <v>5.8956267127474515E-3</v>
      </c>
      <c r="AJ184" s="1">
        <f t="shared" ca="1" si="139"/>
        <v>0.13716610758196468</v>
      </c>
      <c r="AK184" s="1">
        <f t="shared" ca="1" si="140"/>
        <v>2.9948013831973021E-4</v>
      </c>
      <c r="AL184" s="1"/>
      <c r="AM184" s="1">
        <f t="shared" ca="1" si="141"/>
        <v>0.16536647770313362</v>
      </c>
      <c r="AN184" s="1">
        <f t="shared" ca="1" si="142"/>
        <v>60</v>
      </c>
      <c r="AO184" s="1">
        <f t="shared" ca="1" si="143"/>
        <v>6</v>
      </c>
      <c r="AQ184" s="1">
        <f t="shared" ca="1" si="144"/>
        <v>126</v>
      </c>
      <c r="AR184" s="1">
        <f t="shared" ca="1" si="145"/>
        <v>4</v>
      </c>
      <c r="AS184" s="1">
        <f t="shared" ca="1" si="146"/>
        <v>91</v>
      </c>
      <c r="AU184" s="1">
        <f t="shared" ca="1" si="147"/>
        <v>381</v>
      </c>
      <c r="AV184" s="1">
        <f t="shared" ca="1" si="148"/>
        <v>5</v>
      </c>
      <c r="AW184" s="1">
        <f t="shared" ca="1" si="149"/>
        <v>2.2247662269990913E-2</v>
      </c>
      <c r="AY184" s="1">
        <f t="shared" ca="1" si="150"/>
        <v>1.9653382623760192</v>
      </c>
      <c r="AZ184" s="1">
        <f t="shared" ca="1" si="151"/>
        <v>264</v>
      </c>
      <c r="BA184" s="1">
        <f t="shared" ca="1" si="152"/>
        <v>2.7021285640296509E-3</v>
      </c>
      <c r="BV184" s="1">
        <f t="shared" ca="1" si="153"/>
        <v>9.8699302315680068E-3</v>
      </c>
      <c r="BW184" s="1">
        <f t="shared" ca="1" si="154"/>
        <v>537</v>
      </c>
      <c r="BX184" s="1">
        <f t="shared" ca="1" si="155"/>
        <v>1.6370172076307101E-3</v>
      </c>
      <c r="BY184" s="1">
        <f t="shared" ca="1" si="156"/>
        <v>1.8863278796741514E-2</v>
      </c>
      <c r="BZ184" s="1">
        <f t="shared" ca="1" si="157"/>
        <v>0.29405840650569826</v>
      </c>
      <c r="CB184" s="1">
        <f t="shared" ca="1" si="158"/>
        <v>320</v>
      </c>
      <c r="CC184" s="1">
        <f t="shared" ca="1" si="159"/>
        <v>10</v>
      </c>
      <c r="CD184" s="1">
        <f t="shared" ca="1" si="160"/>
        <v>0.18152613537908638</v>
      </c>
      <c r="CE184" s="1">
        <f t="shared" ca="1" si="170"/>
        <v>0.65651545538036293</v>
      </c>
      <c r="CF184" s="1">
        <f t="shared" ca="1" si="170"/>
        <v>0.6596857202906925</v>
      </c>
      <c r="CH184" s="3">
        <f t="shared" ca="1" si="162"/>
        <v>6.1054650069122217E-2</v>
      </c>
      <c r="CI184" s="3">
        <f t="shared" ca="1" si="163"/>
        <v>0.20422022596729908</v>
      </c>
      <c r="CJ184" s="3">
        <f t="shared" ca="1" si="164"/>
        <v>572</v>
      </c>
      <c r="CK184" s="3">
        <f t="shared" ca="1" si="165"/>
        <v>7.4412621532916464E-3</v>
      </c>
      <c r="CL184" s="3">
        <f t="shared" ca="1" si="166"/>
        <v>1</v>
      </c>
      <c r="CM184" s="3"/>
      <c r="CN184" s="1">
        <f t="shared" ca="1" si="167"/>
        <v>17.02747101618991</v>
      </c>
      <c r="CO184" s="1">
        <f t="shared" ca="1" si="168"/>
        <v>0.44595066878316864</v>
      </c>
      <c r="CP184" s="1">
        <f t="shared" ca="1" si="169"/>
        <v>5</v>
      </c>
    </row>
    <row r="185" spans="2:94" x14ac:dyDescent="0.25">
      <c r="B185">
        <f t="shared" ca="1" si="114"/>
        <v>49</v>
      </c>
      <c r="C185">
        <f t="shared" ca="1" si="115"/>
        <v>9</v>
      </c>
      <c r="D185">
        <f t="shared" ca="1" si="116"/>
        <v>0.29672398316024795</v>
      </c>
      <c r="F185" s="1">
        <f t="shared" ca="1" si="117"/>
        <v>2</v>
      </c>
      <c r="G185" s="1">
        <f t="shared" ca="1" si="118"/>
        <v>29</v>
      </c>
      <c r="H185" s="1">
        <f t="shared" ca="1" si="119"/>
        <v>6</v>
      </c>
      <c r="I185" s="1"/>
      <c r="J185" s="1">
        <f t="shared" ca="1" si="120"/>
        <v>26</v>
      </c>
      <c r="K185" s="1">
        <f t="shared" ca="1" si="121"/>
        <v>1.3651968727813022</v>
      </c>
      <c r="L185" s="1">
        <f t="shared" ca="1" si="122"/>
        <v>21</v>
      </c>
      <c r="M185" s="1"/>
      <c r="N185" s="1">
        <f t="shared" ca="1" si="123"/>
        <v>166</v>
      </c>
      <c r="O185" s="1">
        <f t="shared" ca="1" si="124"/>
        <v>38</v>
      </c>
      <c r="P185" s="1"/>
      <c r="Q185" s="1">
        <f t="shared" ca="1" si="125"/>
        <v>0.60499564827577057</v>
      </c>
      <c r="R185" s="1">
        <f t="shared" ca="1" si="126"/>
        <v>1030</v>
      </c>
      <c r="S185" s="1"/>
      <c r="T185" s="1">
        <f t="shared" ca="1" si="127"/>
        <v>4.6372292579349682E-2</v>
      </c>
      <c r="U185" s="1">
        <f t="shared" ca="1" si="128"/>
        <v>310</v>
      </c>
      <c r="V185" s="1">
        <f t="shared" ca="1" si="129"/>
        <v>3</v>
      </c>
      <c r="W185" s="1"/>
      <c r="X185" s="1">
        <f t="shared" ca="1" si="130"/>
        <v>7.0907320385254717</v>
      </c>
      <c r="Y185" s="1">
        <f t="shared" ca="1" si="131"/>
        <v>0.49506408672188379</v>
      </c>
      <c r="Z185" s="1">
        <f t="shared" ca="1" si="132"/>
        <v>1130</v>
      </c>
      <c r="AB185" s="1">
        <f t="shared" ca="1" si="133"/>
        <v>2.2013161987165249E-2</v>
      </c>
      <c r="AC185" s="1">
        <f t="shared" ca="1" si="134"/>
        <v>999</v>
      </c>
      <c r="AD185" s="1">
        <f t="shared" ca="1" si="135"/>
        <v>3.7999092783846094E-3</v>
      </c>
      <c r="AE185" s="1"/>
      <c r="AF185" s="1">
        <f t="shared" ca="1" si="136"/>
        <v>0.21025297621195424</v>
      </c>
      <c r="AG185" s="1">
        <f t="shared" ca="1" si="137"/>
        <v>999</v>
      </c>
      <c r="AH185" s="1">
        <f t="shared" ca="1" si="138"/>
        <v>3.5452475219371199E-3</v>
      </c>
      <c r="AJ185" s="1">
        <f t="shared" ca="1" si="139"/>
        <v>0.83886464697951524</v>
      </c>
      <c r="AK185" s="1">
        <f t="shared" ca="1" si="140"/>
        <v>9.2671200446637025E-5</v>
      </c>
      <c r="AL185" s="1"/>
      <c r="AM185" s="1">
        <f t="shared" ca="1" si="141"/>
        <v>0.13112904999552225</v>
      </c>
      <c r="AN185" s="1">
        <f t="shared" ca="1" si="142"/>
        <v>27</v>
      </c>
      <c r="AO185" s="1">
        <f t="shared" ca="1" si="143"/>
        <v>19</v>
      </c>
      <c r="AQ185" s="1">
        <f t="shared" ca="1" si="144"/>
        <v>147</v>
      </c>
      <c r="AR185" s="1">
        <f t="shared" ca="1" si="145"/>
        <v>5</v>
      </c>
      <c r="AS185" s="1">
        <f t="shared" ca="1" si="146"/>
        <v>10</v>
      </c>
      <c r="AU185" s="1">
        <f t="shared" ca="1" si="147"/>
        <v>84</v>
      </c>
      <c r="AV185" s="1">
        <f t="shared" ca="1" si="148"/>
        <v>4</v>
      </c>
      <c r="AW185" s="1">
        <f t="shared" ca="1" si="149"/>
        <v>0.16465790260030119</v>
      </c>
      <c r="AY185" s="1">
        <f t="shared" ca="1" si="150"/>
        <v>1.7582362484481338</v>
      </c>
      <c r="AZ185" s="1">
        <f t="shared" ca="1" si="151"/>
        <v>160</v>
      </c>
      <c r="BA185" s="1">
        <f t="shared" ca="1" si="152"/>
        <v>7.9446771950523135E-3</v>
      </c>
      <c r="BV185" s="1">
        <f t="shared" ca="1" si="153"/>
        <v>0.46866916079695992</v>
      </c>
      <c r="BW185" s="1">
        <f t="shared" ca="1" si="154"/>
        <v>369</v>
      </c>
      <c r="BX185" s="1">
        <f t="shared" ca="1" si="155"/>
        <v>9.7341303460550116E-3</v>
      </c>
      <c r="BY185" s="1">
        <f t="shared" ca="1" si="156"/>
        <v>6.6296974228146149E-2</v>
      </c>
      <c r="BZ185" s="1">
        <f t="shared" ca="1" si="157"/>
        <v>0.5970966635823477</v>
      </c>
      <c r="CB185" s="1">
        <f t="shared" ca="1" si="158"/>
        <v>67</v>
      </c>
      <c r="CC185" s="1">
        <f t="shared" ca="1" si="159"/>
        <v>8</v>
      </c>
      <c r="CD185" s="1">
        <f t="shared" ca="1" si="160"/>
        <v>0.1405291879265525</v>
      </c>
      <c r="CE185" s="1">
        <f t="shared" ca="1" si="170"/>
        <v>0.50418676306140164</v>
      </c>
      <c r="CF185" s="1">
        <f t="shared" ca="1" si="170"/>
        <v>0.61150099555172388</v>
      </c>
      <c r="CH185" s="3">
        <f t="shared" ca="1" si="162"/>
        <v>4.8264250579585798E-2</v>
      </c>
      <c r="CI185" s="3">
        <f t="shared" ca="1" si="163"/>
        <v>0.91496957011539493</v>
      </c>
      <c r="CJ185" s="3">
        <f t="shared" ca="1" si="164"/>
        <v>472</v>
      </c>
      <c r="CK185" s="3">
        <f t="shared" ca="1" si="165"/>
        <v>6.1874615452318406E-3</v>
      </c>
      <c r="CL185" s="3">
        <f t="shared" ca="1" si="166"/>
        <v>1</v>
      </c>
      <c r="CM185" s="3"/>
      <c r="CN185" s="1">
        <f t="shared" ca="1" si="167"/>
        <v>13.378699543725245</v>
      </c>
      <c r="CO185" s="1">
        <f t="shared" ca="1" si="168"/>
        <v>0.4980956284741867</v>
      </c>
      <c r="CP185" s="1">
        <f t="shared" ca="1" si="169"/>
        <v>5</v>
      </c>
    </row>
    <row r="186" spans="2:94" x14ac:dyDescent="0.25">
      <c r="B186">
        <f t="shared" ca="1" si="114"/>
        <v>867</v>
      </c>
      <c r="C186">
        <f t="shared" ca="1" si="115"/>
        <v>12</v>
      </c>
      <c r="D186">
        <f t="shared" ca="1" si="116"/>
        <v>0.19946164221117194</v>
      </c>
      <c r="F186" s="1">
        <f t="shared" ca="1" si="117"/>
        <v>7</v>
      </c>
      <c r="G186" s="1">
        <f t="shared" ca="1" si="118"/>
        <v>10</v>
      </c>
      <c r="H186" s="1">
        <f t="shared" ca="1" si="119"/>
        <v>9</v>
      </c>
      <c r="I186" s="1"/>
      <c r="J186" s="1">
        <f t="shared" ca="1" si="120"/>
        <v>38</v>
      </c>
      <c r="K186" s="1">
        <f t="shared" ca="1" si="121"/>
        <v>2.4042896243974998</v>
      </c>
      <c r="L186" s="1">
        <f t="shared" ca="1" si="122"/>
        <v>15</v>
      </c>
      <c r="M186" s="1"/>
      <c r="N186" s="1">
        <f t="shared" ca="1" si="123"/>
        <v>29</v>
      </c>
      <c r="O186" s="1">
        <f t="shared" ca="1" si="124"/>
        <v>9</v>
      </c>
      <c r="P186" s="1"/>
      <c r="Q186" s="1">
        <f t="shared" ca="1" si="125"/>
        <v>2.7161340409879768</v>
      </c>
      <c r="R186" s="1">
        <f t="shared" ca="1" si="126"/>
        <v>791</v>
      </c>
      <c r="S186" s="1"/>
      <c r="T186" s="1">
        <f t="shared" ca="1" si="127"/>
        <v>1.6055787022558141E-2</v>
      </c>
      <c r="U186" s="1">
        <f t="shared" ca="1" si="128"/>
        <v>438</v>
      </c>
      <c r="V186" s="1">
        <f t="shared" ca="1" si="129"/>
        <v>51</v>
      </c>
      <c r="W186" s="1"/>
      <c r="X186" s="1">
        <f t="shared" ca="1" si="130"/>
        <v>6.2957643729764445</v>
      </c>
      <c r="Y186" s="1">
        <f t="shared" ca="1" si="131"/>
        <v>0.55281230125130265</v>
      </c>
      <c r="Z186" s="1">
        <f t="shared" ca="1" si="132"/>
        <v>1351</v>
      </c>
      <c r="AB186" s="1">
        <f t="shared" ca="1" si="133"/>
        <v>0.75905070055661727</v>
      </c>
      <c r="AC186" s="1">
        <f t="shared" ca="1" si="134"/>
        <v>432</v>
      </c>
      <c r="AD186" s="1">
        <f t="shared" ca="1" si="135"/>
        <v>1.4360207276008458E-3</v>
      </c>
      <c r="AE186" s="1"/>
      <c r="AF186" s="1">
        <f t="shared" ca="1" si="136"/>
        <v>0.34702040787738453</v>
      </c>
      <c r="AG186" s="1">
        <f t="shared" ca="1" si="137"/>
        <v>991</v>
      </c>
      <c r="AH186" s="1">
        <f t="shared" ca="1" si="138"/>
        <v>4.9531581564616753E-3</v>
      </c>
      <c r="AJ186" s="1">
        <f t="shared" ca="1" si="139"/>
        <v>0.39202385821189101</v>
      </c>
      <c r="AK186" s="1">
        <f t="shared" ca="1" si="140"/>
        <v>5.2599351998716525E-3</v>
      </c>
      <c r="AL186" s="1"/>
      <c r="AM186" s="1">
        <f t="shared" ca="1" si="141"/>
        <v>0.14897711556709795</v>
      </c>
      <c r="AN186" s="1">
        <f t="shared" ca="1" si="142"/>
        <v>47</v>
      </c>
      <c r="AO186" s="1">
        <f t="shared" ca="1" si="143"/>
        <v>12</v>
      </c>
      <c r="AQ186" s="1">
        <f t="shared" ca="1" si="144"/>
        <v>89</v>
      </c>
      <c r="AR186" s="1">
        <f t="shared" ca="1" si="145"/>
        <v>4</v>
      </c>
      <c r="AS186" s="1">
        <f t="shared" ca="1" si="146"/>
        <v>94</v>
      </c>
      <c r="AU186" s="1">
        <f t="shared" ca="1" si="147"/>
        <v>210</v>
      </c>
      <c r="AV186" s="1">
        <f t="shared" ca="1" si="148"/>
        <v>10</v>
      </c>
      <c r="AW186" s="1">
        <f t="shared" ca="1" si="149"/>
        <v>0.10977881012902348</v>
      </c>
      <c r="AY186" s="1">
        <f t="shared" ca="1" si="150"/>
        <v>1.904833523491726</v>
      </c>
      <c r="AZ186" s="1">
        <f t="shared" ca="1" si="151"/>
        <v>231</v>
      </c>
      <c r="BA186" s="1">
        <f t="shared" ca="1" si="152"/>
        <v>5.7818131051481933E-3</v>
      </c>
      <c r="BV186" s="1">
        <f t="shared" ca="1" si="153"/>
        <v>0.27753054796745269</v>
      </c>
      <c r="BW186" s="1">
        <f t="shared" ca="1" si="154"/>
        <v>677</v>
      </c>
      <c r="BX186" s="1">
        <f t="shared" ca="1" si="155"/>
        <v>2.8055724213989441E-3</v>
      </c>
      <c r="BY186" s="1">
        <f t="shared" ca="1" si="156"/>
        <v>9.8093562691615316E-2</v>
      </c>
      <c r="BZ186" s="1">
        <f t="shared" ca="1" si="157"/>
        <v>0.12620663425889711</v>
      </c>
      <c r="CB186" s="1">
        <f t="shared" ca="1" si="158"/>
        <v>464</v>
      </c>
      <c r="CC186" s="1">
        <f t="shared" ca="1" si="159"/>
        <v>5</v>
      </c>
      <c r="CD186" s="1">
        <f t="shared" ca="1" si="160"/>
        <v>0.13886206642681556</v>
      </c>
      <c r="CE186" s="1">
        <f t="shared" ca="1" si="170"/>
        <v>0.91323272177241999</v>
      </c>
      <c r="CF186" s="1">
        <f t="shared" ca="1" si="170"/>
        <v>0.94764905015844669</v>
      </c>
      <c r="CH186" s="3">
        <f t="shared" ca="1" si="162"/>
        <v>0.56452678493662123</v>
      </c>
      <c r="CI186" s="3">
        <f t="shared" ca="1" si="163"/>
        <v>5.2982625020388426E-2</v>
      </c>
      <c r="CJ186" s="3">
        <f t="shared" ca="1" si="164"/>
        <v>1547</v>
      </c>
      <c r="CK186" s="3">
        <f t="shared" ca="1" si="165"/>
        <v>1.9446799707449358E-3</v>
      </c>
      <c r="CL186" s="3">
        <f t="shared" ca="1" si="166"/>
        <v>0</v>
      </c>
      <c r="CM186" s="3"/>
      <c r="CN186" s="1">
        <f t="shared" ca="1" si="167"/>
        <v>13.286748357660686</v>
      </c>
      <c r="CO186" s="1">
        <f t="shared" ca="1" si="168"/>
        <v>0.25091133815917765</v>
      </c>
      <c r="CP186" s="1">
        <f t="shared" ca="1" si="169"/>
        <v>5</v>
      </c>
    </row>
    <row r="187" spans="2:94" x14ac:dyDescent="0.25">
      <c r="B187">
        <f t="shared" ca="1" si="114"/>
        <v>19</v>
      </c>
      <c r="C187">
        <f t="shared" ca="1" si="115"/>
        <v>15</v>
      </c>
      <c r="D187">
        <f t="shared" ca="1" si="116"/>
        <v>0.28215607430729917</v>
      </c>
      <c r="F187" s="1">
        <f t="shared" ca="1" si="117"/>
        <v>35</v>
      </c>
      <c r="G187" s="1">
        <f t="shared" ca="1" si="118"/>
        <v>15</v>
      </c>
      <c r="H187" s="1">
        <f t="shared" ca="1" si="119"/>
        <v>9</v>
      </c>
      <c r="I187" s="1"/>
      <c r="J187" s="1">
        <f t="shared" ca="1" si="120"/>
        <v>26</v>
      </c>
      <c r="K187" s="1">
        <f t="shared" ca="1" si="121"/>
        <v>2.1274535274152462</v>
      </c>
      <c r="L187" s="1">
        <f t="shared" ca="1" si="122"/>
        <v>7</v>
      </c>
      <c r="M187" s="1"/>
      <c r="N187" s="1">
        <f t="shared" ca="1" si="123"/>
        <v>520</v>
      </c>
      <c r="O187" s="1">
        <f t="shared" ca="1" si="124"/>
        <v>24</v>
      </c>
      <c r="P187" s="1"/>
      <c r="Q187" s="1">
        <f t="shared" ca="1" si="125"/>
        <v>4.0049395918231694</v>
      </c>
      <c r="R187" s="1">
        <f t="shared" ca="1" si="126"/>
        <v>323</v>
      </c>
      <c r="S187" s="1"/>
      <c r="T187" s="1">
        <f t="shared" ca="1" si="127"/>
        <v>0.16875024021239923</v>
      </c>
      <c r="U187" s="1">
        <f t="shared" ca="1" si="128"/>
        <v>143</v>
      </c>
      <c r="V187" s="1">
        <f t="shared" ca="1" si="129"/>
        <v>29</v>
      </c>
      <c r="W187" s="1"/>
      <c r="X187" s="1">
        <f t="shared" ca="1" si="130"/>
        <v>4.8138017267438942</v>
      </c>
      <c r="Y187" s="1">
        <f t="shared" ca="1" si="131"/>
        <v>0.17198489314226059</v>
      </c>
      <c r="Z187" s="1">
        <f t="shared" ca="1" si="132"/>
        <v>549</v>
      </c>
      <c r="AB187" s="1">
        <f t="shared" ca="1" si="133"/>
        <v>0.14871088585358172</v>
      </c>
      <c r="AC187" s="1">
        <f t="shared" ca="1" si="134"/>
        <v>772</v>
      </c>
      <c r="AD187" s="1">
        <f t="shared" ca="1" si="135"/>
        <v>5.8112303698085637E-3</v>
      </c>
      <c r="AE187" s="1"/>
      <c r="AF187" s="1">
        <f t="shared" ca="1" si="136"/>
        <v>0.13596339633008006</v>
      </c>
      <c r="AG187" s="1">
        <f t="shared" ca="1" si="137"/>
        <v>573</v>
      </c>
      <c r="AH187" s="1">
        <f t="shared" ca="1" si="138"/>
        <v>3.9637347758402029E-3</v>
      </c>
      <c r="AJ187" s="1">
        <f t="shared" ca="1" si="139"/>
        <v>0.91706404691392851</v>
      </c>
      <c r="AK187" s="1">
        <f t="shared" ca="1" si="140"/>
        <v>2.7007880408014559E-3</v>
      </c>
      <c r="AL187" s="1"/>
      <c r="AM187" s="1">
        <f t="shared" ca="1" si="141"/>
        <v>0.1263020173598762</v>
      </c>
      <c r="AN187" s="1">
        <f t="shared" ca="1" si="142"/>
        <v>10</v>
      </c>
      <c r="AO187" s="1">
        <f t="shared" ca="1" si="143"/>
        <v>16</v>
      </c>
      <c r="AQ187" s="1">
        <f t="shared" ca="1" si="144"/>
        <v>56</v>
      </c>
      <c r="AR187" s="1">
        <f t="shared" ca="1" si="145"/>
        <v>2</v>
      </c>
      <c r="AS187" s="1">
        <f t="shared" ca="1" si="146"/>
        <v>82</v>
      </c>
      <c r="AU187" s="1">
        <f t="shared" ca="1" si="147"/>
        <v>201</v>
      </c>
      <c r="AV187" s="1">
        <f t="shared" ca="1" si="148"/>
        <v>3</v>
      </c>
      <c r="AW187" s="1">
        <f t="shared" ca="1" si="149"/>
        <v>3.8464265860415965E-2</v>
      </c>
      <c r="AY187" s="1">
        <f t="shared" ca="1" si="150"/>
        <v>1.7246899601427259</v>
      </c>
      <c r="AZ187" s="1">
        <f t="shared" ca="1" si="151"/>
        <v>365</v>
      </c>
      <c r="BA187" s="1">
        <f t="shared" ca="1" si="152"/>
        <v>7.0242517140617121E-3</v>
      </c>
      <c r="BV187" s="1">
        <f t="shared" ca="1" si="153"/>
        <v>0.89734627536879219</v>
      </c>
      <c r="BW187" s="1">
        <f t="shared" ca="1" si="154"/>
        <v>804</v>
      </c>
      <c r="BX187" s="1">
        <f t="shared" ca="1" si="155"/>
        <v>2.9597150228416903E-3</v>
      </c>
      <c r="BY187" s="1">
        <f t="shared" ca="1" si="156"/>
        <v>6.1248317431811042E-3</v>
      </c>
      <c r="BZ187" s="1">
        <f t="shared" ca="1" si="157"/>
        <v>0.43486899705858162</v>
      </c>
      <c r="CB187" s="1">
        <f t="shared" ca="1" si="158"/>
        <v>224</v>
      </c>
      <c r="CC187" s="1">
        <f t="shared" ca="1" si="159"/>
        <v>4</v>
      </c>
      <c r="CD187" s="1">
        <f t="shared" ca="1" si="160"/>
        <v>0.15917949530104505</v>
      </c>
      <c r="CE187" s="1">
        <f t="shared" ca="1" si="170"/>
        <v>0.97463149096362167</v>
      </c>
      <c r="CF187" s="1">
        <f t="shared" ca="1" si="170"/>
        <v>0.53993879975098114</v>
      </c>
      <c r="CH187" s="3">
        <f t="shared" ca="1" si="162"/>
        <v>0.27515608976415101</v>
      </c>
      <c r="CI187" s="3">
        <f t="shared" ca="1" si="163"/>
        <v>0.13397315735098791</v>
      </c>
      <c r="CJ187" s="3">
        <f t="shared" ca="1" si="164"/>
        <v>186</v>
      </c>
      <c r="CK187" s="3">
        <f t="shared" ca="1" si="165"/>
        <v>2.7635931701703383E-4</v>
      </c>
      <c r="CL187" s="3">
        <f t="shared" ca="1" si="166"/>
        <v>1</v>
      </c>
      <c r="CM187" s="3"/>
      <c r="CN187" s="1">
        <f t="shared" ca="1" si="167"/>
        <v>16.040684514746825</v>
      </c>
      <c r="CO187" s="1">
        <f t="shared" ca="1" si="168"/>
        <v>0.19372169034143435</v>
      </c>
      <c r="CP187" s="1">
        <f t="shared" ca="1" si="169"/>
        <v>2</v>
      </c>
    </row>
    <row r="188" spans="2:94" x14ac:dyDescent="0.25">
      <c r="B188">
        <f t="shared" ca="1" si="114"/>
        <v>502</v>
      </c>
      <c r="C188">
        <f t="shared" ca="1" si="115"/>
        <v>51</v>
      </c>
      <c r="D188">
        <f t="shared" ca="1" si="116"/>
        <v>0.10983503200994336</v>
      </c>
      <c r="F188" s="1">
        <f t="shared" ca="1" si="117"/>
        <v>43</v>
      </c>
      <c r="G188" s="1">
        <f t="shared" ca="1" si="118"/>
        <v>14</v>
      </c>
      <c r="H188" s="1">
        <f t="shared" ca="1" si="119"/>
        <v>12</v>
      </c>
      <c r="I188" s="1"/>
      <c r="J188" s="1">
        <f t="shared" ca="1" si="120"/>
        <v>22</v>
      </c>
      <c r="K188" s="1">
        <f t="shared" ca="1" si="121"/>
        <v>1.9835603341597432</v>
      </c>
      <c r="L188" s="1">
        <f t="shared" ca="1" si="122"/>
        <v>5</v>
      </c>
      <c r="M188" s="1"/>
      <c r="N188" s="1">
        <f t="shared" ca="1" si="123"/>
        <v>526</v>
      </c>
      <c r="O188" s="1">
        <f t="shared" ca="1" si="124"/>
        <v>45</v>
      </c>
      <c r="P188" s="1"/>
      <c r="Q188" s="1">
        <f t="shared" ca="1" si="125"/>
        <v>1.0828199420925573</v>
      </c>
      <c r="R188" s="1">
        <f t="shared" ca="1" si="126"/>
        <v>393</v>
      </c>
      <c r="S188" s="1"/>
      <c r="T188" s="1">
        <f t="shared" ca="1" si="127"/>
        <v>0.1391476888337812</v>
      </c>
      <c r="U188" s="1">
        <f t="shared" ca="1" si="128"/>
        <v>353</v>
      </c>
      <c r="V188" s="1">
        <f t="shared" ca="1" si="129"/>
        <v>38</v>
      </c>
      <c r="W188" s="1"/>
      <c r="X188" s="1">
        <f t="shared" ca="1" si="130"/>
        <v>2.3789651114758334</v>
      </c>
      <c r="Y188" s="1">
        <f t="shared" ca="1" si="131"/>
        <v>1.7155819943660246E-2</v>
      </c>
      <c r="Z188" s="1">
        <f t="shared" ca="1" si="132"/>
        <v>1942</v>
      </c>
      <c r="AB188" s="1">
        <f t="shared" ca="1" si="133"/>
        <v>0.71586262244919541</v>
      </c>
      <c r="AC188" s="1">
        <f t="shared" ca="1" si="134"/>
        <v>586</v>
      </c>
      <c r="AD188" s="1">
        <f t="shared" ca="1" si="135"/>
        <v>3.5795525340311962E-3</v>
      </c>
      <c r="AE188" s="1"/>
      <c r="AF188" s="1">
        <f t="shared" ca="1" si="136"/>
        <v>0.75425792314365114</v>
      </c>
      <c r="AG188" s="1">
        <f t="shared" ca="1" si="137"/>
        <v>534</v>
      </c>
      <c r="AH188" s="1">
        <f t="shared" ca="1" si="138"/>
        <v>9.1325420812389934E-3</v>
      </c>
      <c r="AJ188" s="1">
        <f t="shared" ca="1" si="139"/>
        <v>0.1611714250644587</v>
      </c>
      <c r="AK188" s="1">
        <f t="shared" ca="1" si="140"/>
        <v>4.5088096770261625E-3</v>
      </c>
      <c r="AL188" s="1"/>
      <c r="AM188" s="1">
        <f t="shared" ca="1" si="141"/>
        <v>0.1195569428124537</v>
      </c>
      <c r="AN188" s="1">
        <f t="shared" ca="1" si="142"/>
        <v>20</v>
      </c>
      <c r="AO188" s="1">
        <f t="shared" ca="1" si="143"/>
        <v>19</v>
      </c>
      <c r="AQ188" s="1">
        <f t="shared" ca="1" si="144"/>
        <v>171</v>
      </c>
      <c r="AR188" s="1">
        <f t="shared" ca="1" si="145"/>
        <v>10</v>
      </c>
      <c r="AS188" s="1">
        <f t="shared" ca="1" si="146"/>
        <v>97</v>
      </c>
      <c r="AU188" s="1">
        <f t="shared" ca="1" si="147"/>
        <v>99</v>
      </c>
      <c r="AV188" s="1">
        <f t="shared" ca="1" si="148"/>
        <v>2</v>
      </c>
      <c r="AW188" s="1">
        <f t="shared" ca="1" si="149"/>
        <v>0.11570682897534071</v>
      </c>
      <c r="AY188" s="1">
        <f t="shared" ca="1" si="150"/>
        <v>1.2773789284356767</v>
      </c>
      <c r="AZ188" s="1">
        <f t="shared" ca="1" si="151"/>
        <v>282</v>
      </c>
      <c r="BA188" s="1">
        <f t="shared" ca="1" si="152"/>
        <v>9.7302769520563586E-3</v>
      </c>
      <c r="BV188" s="1">
        <f t="shared" ca="1" si="153"/>
        <v>0.18662168321532083</v>
      </c>
      <c r="BW188" s="1">
        <f t="shared" ca="1" si="154"/>
        <v>571</v>
      </c>
      <c r="BX188" s="1">
        <f t="shared" ca="1" si="155"/>
        <v>1.9623798057540544E-3</v>
      </c>
      <c r="BY188" s="1">
        <f t="shared" ca="1" si="156"/>
        <v>4.7498330349966464E-2</v>
      </c>
      <c r="BZ188" s="1">
        <f t="shared" ca="1" si="157"/>
        <v>0.5682608843213226</v>
      </c>
      <c r="CB188" s="1">
        <f t="shared" ca="1" si="158"/>
        <v>170</v>
      </c>
      <c r="CC188" s="1">
        <f t="shared" ca="1" si="159"/>
        <v>5</v>
      </c>
      <c r="CD188" s="1">
        <f t="shared" ca="1" si="160"/>
        <v>0.19835378430701545</v>
      </c>
      <c r="CE188" s="1">
        <f t="shared" ca="1" si="170"/>
        <v>0.50280665282544779</v>
      </c>
      <c r="CF188" s="1">
        <f t="shared" ca="1" si="170"/>
        <v>0.91780793081998202</v>
      </c>
      <c r="CH188" s="3">
        <f t="shared" ca="1" si="162"/>
        <v>0.85258406027465539</v>
      </c>
      <c r="CI188" s="3">
        <f t="shared" ca="1" si="163"/>
        <v>0.39644053444036781</v>
      </c>
      <c r="CJ188" s="3">
        <f t="shared" ca="1" si="164"/>
        <v>912</v>
      </c>
      <c r="CK188" s="3">
        <f t="shared" ca="1" si="165"/>
        <v>3.5714541001949595E-3</v>
      </c>
      <c r="CL188" s="3">
        <f t="shared" ca="1" si="166"/>
        <v>1</v>
      </c>
      <c r="CM188" s="3"/>
      <c r="CN188" s="1">
        <f t="shared" ca="1" si="167"/>
        <v>11.8960504676807</v>
      </c>
      <c r="CO188" s="1">
        <f t="shared" ca="1" si="168"/>
        <v>0.2580994778305411</v>
      </c>
      <c r="CP188" s="1">
        <f t="shared" ca="1" si="169"/>
        <v>4</v>
      </c>
    </row>
    <row r="189" spans="2:94" x14ac:dyDescent="0.25">
      <c r="B189">
        <f t="shared" ca="1" si="114"/>
        <v>266</v>
      </c>
      <c r="C189">
        <f t="shared" ca="1" si="115"/>
        <v>3</v>
      </c>
      <c r="D189">
        <f t="shared" ca="1" si="116"/>
        <v>0.20555080436739881</v>
      </c>
      <c r="F189" s="1">
        <f t="shared" ca="1" si="117"/>
        <v>8</v>
      </c>
      <c r="G189" s="1">
        <f t="shared" ca="1" si="118"/>
        <v>29</v>
      </c>
      <c r="H189" s="1">
        <f t="shared" ca="1" si="119"/>
        <v>2</v>
      </c>
      <c r="I189" s="1"/>
      <c r="J189" s="1">
        <f t="shared" ca="1" si="120"/>
        <v>12</v>
      </c>
      <c r="K189" s="1">
        <f t="shared" ca="1" si="121"/>
        <v>1.2327009550588754</v>
      </c>
      <c r="L189" s="1">
        <f t="shared" ca="1" si="122"/>
        <v>2</v>
      </c>
      <c r="M189" s="1"/>
      <c r="N189" s="1">
        <f t="shared" ca="1" si="123"/>
        <v>192</v>
      </c>
      <c r="O189" s="1">
        <f t="shared" ca="1" si="124"/>
        <v>19</v>
      </c>
      <c r="P189" s="1"/>
      <c r="Q189" s="1">
        <f t="shared" ca="1" si="125"/>
        <v>0.21187848550530131</v>
      </c>
      <c r="R189" s="1">
        <f t="shared" ca="1" si="126"/>
        <v>1132</v>
      </c>
      <c r="S189" s="1"/>
      <c r="T189" s="1">
        <f t="shared" ca="1" si="127"/>
        <v>0.12008004554681867</v>
      </c>
      <c r="U189" s="1">
        <f t="shared" ca="1" si="128"/>
        <v>383</v>
      </c>
      <c r="V189" s="1">
        <f t="shared" ca="1" si="129"/>
        <v>40</v>
      </c>
      <c r="W189" s="1"/>
      <c r="X189" s="1">
        <f t="shared" ca="1" si="130"/>
        <v>2.2859188212566925</v>
      </c>
      <c r="Y189" s="1">
        <f t="shared" ca="1" si="131"/>
        <v>0.89330823885769761</v>
      </c>
      <c r="Z189" s="1">
        <f t="shared" ca="1" si="132"/>
        <v>1572</v>
      </c>
      <c r="AB189" s="1">
        <f t="shared" ca="1" si="133"/>
        <v>6.3137932661508148E-2</v>
      </c>
      <c r="AC189" s="1">
        <f t="shared" ca="1" si="134"/>
        <v>928</v>
      </c>
      <c r="AD189" s="1">
        <f t="shared" ca="1" si="135"/>
        <v>2.4210699220325871E-3</v>
      </c>
      <c r="AE189" s="1"/>
      <c r="AF189" s="1">
        <f t="shared" ca="1" si="136"/>
        <v>0.63540915075081794</v>
      </c>
      <c r="AG189" s="1">
        <f t="shared" ca="1" si="137"/>
        <v>290</v>
      </c>
      <c r="AH189" s="1">
        <f t="shared" ca="1" si="138"/>
        <v>3.4432855193669105E-3</v>
      </c>
      <c r="AJ189" s="1">
        <f t="shared" ca="1" si="139"/>
        <v>0.96425751532098969</v>
      </c>
      <c r="AK189" s="1">
        <f t="shared" ca="1" si="140"/>
        <v>3.9103862911694289E-3</v>
      </c>
      <c r="AL189" s="1"/>
      <c r="AM189" s="1">
        <f t="shared" ca="1" si="141"/>
        <v>5.0157994837113522E-2</v>
      </c>
      <c r="AN189" s="1">
        <f t="shared" ca="1" si="142"/>
        <v>16</v>
      </c>
      <c r="AO189" s="1">
        <f t="shared" ca="1" si="143"/>
        <v>12</v>
      </c>
      <c r="AQ189" s="1">
        <f t="shared" ca="1" si="144"/>
        <v>73</v>
      </c>
      <c r="AR189" s="1">
        <f t="shared" ca="1" si="145"/>
        <v>4</v>
      </c>
      <c r="AS189" s="1">
        <f t="shared" ca="1" si="146"/>
        <v>9</v>
      </c>
      <c r="AU189" s="1">
        <f t="shared" ca="1" si="147"/>
        <v>335</v>
      </c>
      <c r="AV189" s="1">
        <f t="shared" ca="1" si="148"/>
        <v>3</v>
      </c>
      <c r="AW189" s="1">
        <f t="shared" ca="1" si="149"/>
        <v>5.1234231995382712E-2</v>
      </c>
      <c r="AY189" s="1">
        <f t="shared" ca="1" si="150"/>
        <v>1.1199718907560954</v>
      </c>
      <c r="AZ189" s="1">
        <f t="shared" ca="1" si="151"/>
        <v>300</v>
      </c>
      <c r="BA189" s="1">
        <f t="shared" ca="1" si="152"/>
        <v>1.181549255419785E-3</v>
      </c>
      <c r="BV189" s="1">
        <f t="shared" ca="1" si="153"/>
        <v>0.49854641212054601</v>
      </c>
      <c r="BW189" s="1">
        <f t="shared" ca="1" si="154"/>
        <v>296</v>
      </c>
      <c r="BX189" s="1">
        <f t="shared" ca="1" si="155"/>
        <v>3.0152423470803415E-3</v>
      </c>
      <c r="BY189" s="1">
        <f t="shared" ca="1" si="156"/>
        <v>1.0320828109882895E-2</v>
      </c>
      <c r="BZ189" s="1">
        <f t="shared" ca="1" si="157"/>
        <v>0.47287907032215259</v>
      </c>
      <c r="CB189" s="1">
        <f t="shared" ca="1" si="158"/>
        <v>145</v>
      </c>
      <c r="CC189" s="1">
        <f t="shared" ca="1" si="159"/>
        <v>6</v>
      </c>
      <c r="CD189" s="1">
        <f t="shared" ca="1" si="160"/>
        <v>0.29791821281598735</v>
      </c>
      <c r="CE189" s="1">
        <f t="shared" ca="1" si="170"/>
        <v>0.92058906098114401</v>
      </c>
      <c r="CF189" s="1">
        <f t="shared" ca="1" si="170"/>
        <v>0.68565349961719291</v>
      </c>
      <c r="CH189" s="3">
        <f t="shared" ca="1" si="162"/>
        <v>0.28772478564189002</v>
      </c>
      <c r="CI189" s="3">
        <f t="shared" ca="1" si="163"/>
        <v>0.94541893124449872</v>
      </c>
      <c r="CJ189" s="3">
        <f t="shared" ca="1" si="164"/>
        <v>359</v>
      </c>
      <c r="CK189" s="3">
        <f t="shared" ca="1" si="165"/>
        <v>9.1847387670644376E-3</v>
      </c>
      <c r="CL189" s="3">
        <f t="shared" ca="1" si="166"/>
        <v>0</v>
      </c>
      <c r="CM189" s="3"/>
      <c r="CN189" s="1">
        <f t="shared" ca="1" si="167"/>
        <v>15.438330428863114</v>
      </c>
      <c r="CO189" s="1">
        <f t="shared" ca="1" si="168"/>
        <v>6.2420909360784441E-2</v>
      </c>
      <c r="CP189" s="1">
        <f t="shared" ca="1" si="169"/>
        <v>1</v>
      </c>
    </row>
    <row r="190" spans="2:94" x14ac:dyDescent="0.25">
      <c r="B190">
        <f t="shared" ca="1" si="114"/>
        <v>671</v>
      </c>
      <c r="C190">
        <f t="shared" ca="1" si="115"/>
        <v>7</v>
      </c>
      <c r="D190">
        <f t="shared" ca="1" si="116"/>
        <v>2.7736496158794477E-2</v>
      </c>
      <c r="F190" s="1">
        <f t="shared" ca="1" si="117"/>
        <v>49</v>
      </c>
      <c r="G190" s="1">
        <f t="shared" ca="1" si="118"/>
        <v>25</v>
      </c>
      <c r="H190" s="1">
        <f t="shared" ca="1" si="119"/>
        <v>13</v>
      </c>
      <c r="I190" s="1"/>
      <c r="J190" s="1">
        <f t="shared" ca="1" si="120"/>
        <v>34</v>
      </c>
      <c r="K190" s="1">
        <f t="shared" ca="1" si="121"/>
        <v>1.3251144580431315</v>
      </c>
      <c r="L190" s="1">
        <f t="shared" ca="1" si="122"/>
        <v>27</v>
      </c>
      <c r="M190" s="1"/>
      <c r="N190" s="1">
        <f t="shared" ca="1" si="123"/>
        <v>858</v>
      </c>
      <c r="O190" s="1">
        <f t="shared" ca="1" si="124"/>
        <v>25</v>
      </c>
      <c r="P190" s="1"/>
      <c r="Q190" s="1">
        <f t="shared" ca="1" si="125"/>
        <v>4.1942362781338405</v>
      </c>
      <c r="R190" s="1">
        <f t="shared" ca="1" si="126"/>
        <v>1148</v>
      </c>
      <c r="S190" s="1"/>
      <c r="T190" s="1">
        <f t="shared" ca="1" si="127"/>
        <v>0.19681990910705285</v>
      </c>
      <c r="U190" s="1">
        <f t="shared" ca="1" si="128"/>
        <v>55</v>
      </c>
      <c r="V190" s="1">
        <f t="shared" ca="1" si="129"/>
        <v>5</v>
      </c>
      <c r="W190" s="1"/>
      <c r="X190" s="1">
        <f t="shared" ca="1" si="130"/>
        <v>6.7377885708691201</v>
      </c>
      <c r="Y190" s="1">
        <f t="shared" ca="1" si="131"/>
        <v>0.41241755479840386</v>
      </c>
      <c r="Z190" s="1">
        <f t="shared" ca="1" si="132"/>
        <v>1193</v>
      </c>
      <c r="AB190" s="1">
        <f t="shared" ca="1" si="133"/>
        <v>0.34687615053285403</v>
      </c>
      <c r="AC190" s="1">
        <f t="shared" ca="1" si="134"/>
        <v>733</v>
      </c>
      <c r="AD190" s="1">
        <f t="shared" ca="1" si="135"/>
        <v>1.1819291384411242E-3</v>
      </c>
      <c r="AE190" s="1"/>
      <c r="AF190" s="1">
        <f t="shared" ca="1" si="136"/>
        <v>0.47315158768005561</v>
      </c>
      <c r="AG190" s="1">
        <f t="shared" ca="1" si="137"/>
        <v>677</v>
      </c>
      <c r="AH190" s="1">
        <f t="shared" ca="1" si="138"/>
        <v>6.8056749117703609E-3</v>
      </c>
      <c r="AJ190" s="1">
        <f t="shared" ca="1" si="139"/>
        <v>0.25544596114455942</v>
      </c>
      <c r="AK190" s="1">
        <f t="shared" ca="1" si="140"/>
        <v>7.883160613813606E-3</v>
      </c>
      <c r="AL190" s="1"/>
      <c r="AM190" s="1">
        <f t="shared" ca="1" si="141"/>
        <v>2.0391621897823283E-2</v>
      </c>
      <c r="AN190" s="1">
        <f t="shared" ca="1" si="142"/>
        <v>79</v>
      </c>
      <c r="AO190" s="1">
        <f t="shared" ca="1" si="143"/>
        <v>10</v>
      </c>
      <c r="AQ190" s="1">
        <f t="shared" ca="1" si="144"/>
        <v>189</v>
      </c>
      <c r="AR190" s="1">
        <f t="shared" ca="1" si="145"/>
        <v>1</v>
      </c>
      <c r="AS190" s="1">
        <f t="shared" ca="1" si="146"/>
        <v>95</v>
      </c>
      <c r="AU190" s="1">
        <f t="shared" ca="1" si="147"/>
        <v>331</v>
      </c>
      <c r="AV190" s="1">
        <f t="shared" ca="1" si="148"/>
        <v>7</v>
      </c>
      <c r="AW190" s="1">
        <f t="shared" ca="1" si="149"/>
        <v>0.1072613073418654</v>
      </c>
      <c r="AY190" s="1">
        <f t="shared" ca="1" si="150"/>
        <v>1.4046148279069903</v>
      </c>
      <c r="AZ190" s="1">
        <f t="shared" ca="1" si="151"/>
        <v>331</v>
      </c>
      <c r="BA190" s="1">
        <f t="shared" ca="1" si="152"/>
        <v>3.067967956950472E-3</v>
      </c>
      <c r="BV190" s="1">
        <f t="shared" ca="1" si="153"/>
        <v>0.24124957131107627</v>
      </c>
      <c r="BW190" s="1">
        <f t="shared" ca="1" si="154"/>
        <v>380</v>
      </c>
      <c r="BX190" s="1">
        <f t="shared" ca="1" si="155"/>
        <v>7.5263099591681643E-3</v>
      </c>
      <c r="BY190" s="1">
        <f t="shared" ca="1" si="156"/>
        <v>5.1660975671106925E-2</v>
      </c>
      <c r="BZ190" s="1">
        <f t="shared" ca="1" si="157"/>
        <v>0.21111213607112778</v>
      </c>
      <c r="CB190" s="1">
        <f t="shared" ca="1" si="158"/>
        <v>455</v>
      </c>
      <c r="CC190" s="1">
        <f t="shared" ca="1" si="159"/>
        <v>15</v>
      </c>
      <c r="CD190" s="1">
        <f t="shared" ca="1" si="160"/>
        <v>0.18945000846872254</v>
      </c>
      <c r="CE190" s="1">
        <f t="shared" ca="1" si="170"/>
        <v>0.56242494839020052</v>
      </c>
      <c r="CF190" s="1">
        <f t="shared" ca="1" si="170"/>
        <v>0.52635498811270787</v>
      </c>
      <c r="CH190" s="3">
        <f t="shared" ca="1" si="162"/>
        <v>0.68372961181384551</v>
      </c>
      <c r="CI190" s="3">
        <f t="shared" ca="1" si="163"/>
        <v>0.31219017839430563</v>
      </c>
      <c r="CJ190" s="3">
        <f t="shared" ca="1" si="164"/>
        <v>1720</v>
      </c>
      <c r="CK190" s="3">
        <f t="shared" ca="1" si="165"/>
        <v>3.464347604627523E-3</v>
      </c>
      <c r="CL190" s="3">
        <f t="shared" ca="1" si="166"/>
        <v>1</v>
      </c>
      <c r="CM190" s="3"/>
      <c r="CN190" s="1">
        <f t="shared" ca="1" si="167"/>
        <v>10.353736785170089</v>
      </c>
      <c r="CO190" s="1">
        <f t="shared" ca="1" si="168"/>
        <v>0.26600054064763062</v>
      </c>
      <c r="CP190" s="1">
        <f t="shared" ca="1" si="169"/>
        <v>1</v>
      </c>
    </row>
    <row r="191" spans="2:94" x14ac:dyDescent="0.25">
      <c r="B191">
        <f t="shared" ca="1" si="114"/>
        <v>765</v>
      </c>
      <c r="C191">
        <f t="shared" ca="1" si="115"/>
        <v>35</v>
      </c>
      <c r="D191">
        <f t="shared" ca="1" si="116"/>
        <v>9.8480080086594327E-2</v>
      </c>
      <c r="F191" s="1">
        <f t="shared" ca="1" si="117"/>
        <v>44</v>
      </c>
      <c r="G191" s="1">
        <f t="shared" ca="1" si="118"/>
        <v>13</v>
      </c>
      <c r="H191" s="1">
        <f t="shared" ca="1" si="119"/>
        <v>7</v>
      </c>
      <c r="I191" s="1"/>
      <c r="J191" s="1">
        <f t="shared" ca="1" si="120"/>
        <v>19</v>
      </c>
      <c r="K191" s="1">
        <f t="shared" ca="1" si="121"/>
        <v>2.4177714282550324</v>
      </c>
      <c r="L191" s="1">
        <f t="shared" ca="1" si="122"/>
        <v>31</v>
      </c>
      <c r="M191" s="1"/>
      <c r="N191" s="1">
        <f t="shared" ca="1" si="123"/>
        <v>97</v>
      </c>
      <c r="O191" s="1">
        <f t="shared" ca="1" si="124"/>
        <v>21</v>
      </c>
      <c r="P191" s="1"/>
      <c r="Q191" s="1">
        <f t="shared" ca="1" si="125"/>
        <v>0.37764677642358135</v>
      </c>
      <c r="R191" s="1">
        <f t="shared" ca="1" si="126"/>
        <v>809</v>
      </c>
      <c r="S191" s="1"/>
      <c r="T191" s="1">
        <f t="shared" ca="1" si="127"/>
        <v>0.1617039814407763</v>
      </c>
      <c r="U191" s="1">
        <f t="shared" ca="1" si="128"/>
        <v>128</v>
      </c>
      <c r="V191" s="1">
        <f t="shared" ca="1" si="129"/>
        <v>8</v>
      </c>
      <c r="W191" s="1"/>
      <c r="X191" s="1">
        <f t="shared" ca="1" si="130"/>
        <v>4.1230042393970123</v>
      </c>
      <c r="Y191" s="1">
        <f t="shared" ca="1" si="131"/>
        <v>0.57572215099692392</v>
      </c>
      <c r="Z191" s="1">
        <f t="shared" ca="1" si="132"/>
        <v>1011</v>
      </c>
      <c r="AB191" s="1">
        <f t="shared" ca="1" si="133"/>
        <v>0.40766446352284857</v>
      </c>
      <c r="AC191" s="1">
        <f t="shared" ca="1" si="134"/>
        <v>908</v>
      </c>
      <c r="AD191" s="1">
        <f t="shared" ca="1" si="135"/>
        <v>4.6242227775964383E-4</v>
      </c>
      <c r="AE191" s="1"/>
      <c r="AF191" s="1">
        <f t="shared" ca="1" si="136"/>
        <v>0.29219500953989846</v>
      </c>
      <c r="AG191" s="1">
        <f t="shared" ca="1" si="137"/>
        <v>570</v>
      </c>
      <c r="AH191" s="1">
        <f t="shared" ca="1" si="138"/>
        <v>7.5054667249134779E-3</v>
      </c>
      <c r="AJ191" s="1">
        <f t="shared" ca="1" si="139"/>
        <v>0.35504518184292688</v>
      </c>
      <c r="AK191" s="1">
        <f t="shared" ca="1" si="140"/>
        <v>2.5339102237449973E-3</v>
      </c>
      <c r="AL191" s="1"/>
      <c r="AM191" s="1">
        <f t="shared" ca="1" si="141"/>
        <v>6.1317414353396986E-2</v>
      </c>
      <c r="AN191" s="1">
        <f t="shared" ca="1" si="142"/>
        <v>28</v>
      </c>
      <c r="AO191" s="1">
        <f t="shared" ca="1" si="143"/>
        <v>17</v>
      </c>
      <c r="AQ191" s="1">
        <f t="shared" ca="1" si="144"/>
        <v>161</v>
      </c>
      <c r="AR191" s="1">
        <f t="shared" ca="1" si="145"/>
        <v>5</v>
      </c>
      <c r="AS191" s="1">
        <f t="shared" ca="1" si="146"/>
        <v>96</v>
      </c>
      <c r="AU191" s="1">
        <f t="shared" ca="1" si="147"/>
        <v>357</v>
      </c>
      <c r="AV191" s="1">
        <f t="shared" ca="1" si="148"/>
        <v>4</v>
      </c>
      <c r="AW191" s="1">
        <f t="shared" ca="1" si="149"/>
        <v>9.8869901942858524E-2</v>
      </c>
      <c r="AY191" s="1">
        <f t="shared" ca="1" si="150"/>
        <v>1.3815954645335202</v>
      </c>
      <c r="AZ191" s="1">
        <f t="shared" ca="1" si="151"/>
        <v>341</v>
      </c>
      <c r="BA191" s="1">
        <f t="shared" ca="1" si="152"/>
        <v>9.6943590182286161E-3</v>
      </c>
      <c r="BV191" s="1">
        <f t="shared" ca="1" si="153"/>
        <v>0.22641051986702501</v>
      </c>
      <c r="BW191" s="1">
        <f t="shared" ca="1" si="154"/>
        <v>800</v>
      </c>
      <c r="BX191" s="1">
        <f t="shared" ca="1" si="155"/>
        <v>8.4032850952855303E-4</v>
      </c>
      <c r="BY191" s="1">
        <f t="shared" ca="1" si="156"/>
        <v>4.9429745098452868E-2</v>
      </c>
      <c r="BZ191" s="1">
        <f t="shared" ca="1" si="157"/>
        <v>0.82105687318230214</v>
      </c>
      <c r="CB191" s="1">
        <f t="shared" ca="1" si="158"/>
        <v>104</v>
      </c>
      <c r="CC191" s="1">
        <f t="shared" ca="1" si="159"/>
        <v>11</v>
      </c>
      <c r="CD191" s="1">
        <f t="shared" ca="1" si="160"/>
        <v>4.8106101655390955E-2</v>
      </c>
      <c r="CE191" s="1">
        <f t="shared" ca="1" si="170"/>
        <v>0.82395051033790989</v>
      </c>
      <c r="CF191" s="1">
        <f t="shared" ca="1" si="170"/>
        <v>0.65964650926639901</v>
      </c>
      <c r="CH191" s="3">
        <f t="shared" ca="1" si="162"/>
        <v>0.52235063163921469</v>
      </c>
      <c r="CI191" s="3">
        <f t="shared" ca="1" si="163"/>
        <v>0.38835506179856638</v>
      </c>
      <c r="CJ191" s="3">
        <f t="shared" ca="1" si="164"/>
        <v>1680</v>
      </c>
      <c r="CK191" s="3">
        <f t="shared" ca="1" si="165"/>
        <v>9.9066904461364368E-5</v>
      </c>
      <c r="CL191" s="3">
        <f t="shared" ca="1" si="166"/>
        <v>1</v>
      </c>
      <c r="CM191" s="3"/>
      <c r="CN191" s="1">
        <f t="shared" ca="1" si="167"/>
        <v>16.792615692975641</v>
      </c>
      <c r="CO191" s="1">
        <f t="shared" ca="1" si="168"/>
        <v>0.29121471629571649</v>
      </c>
      <c r="CP191" s="1">
        <f t="shared" ca="1" si="169"/>
        <v>2</v>
      </c>
    </row>
    <row r="192" spans="2:94" x14ac:dyDescent="0.25">
      <c r="B192">
        <f t="shared" ca="1" si="114"/>
        <v>816</v>
      </c>
      <c r="C192">
        <f t="shared" ca="1" si="115"/>
        <v>33</v>
      </c>
      <c r="D192">
        <f t="shared" ca="1" si="116"/>
        <v>0.21495662723324574</v>
      </c>
      <c r="F192" s="1">
        <f t="shared" ca="1" si="117"/>
        <v>47</v>
      </c>
      <c r="G192" s="1">
        <f t="shared" ca="1" si="118"/>
        <v>25</v>
      </c>
      <c r="H192" s="1">
        <f t="shared" ca="1" si="119"/>
        <v>6</v>
      </c>
      <c r="I192" s="1"/>
      <c r="J192" s="1">
        <f t="shared" ca="1" si="120"/>
        <v>5</v>
      </c>
      <c r="K192" s="1">
        <f t="shared" ca="1" si="121"/>
        <v>1.4326461342418109</v>
      </c>
      <c r="L192" s="1">
        <f t="shared" ca="1" si="122"/>
        <v>28</v>
      </c>
      <c r="M192" s="1"/>
      <c r="N192" s="1">
        <f t="shared" ca="1" si="123"/>
        <v>728</v>
      </c>
      <c r="O192" s="1">
        <f t="shared" ca="1" si="124"/>
        <v>27</v>
      </c>
      <c r="P192" s="1"/>
      <c r="Q192" s="1">
        <f t="shared" ca="1" si="125"/>
        <v>1.1632965457586775</v>
      </c>
      <c r="R192" s="1">
        <f t="shared" ca="1" si="126"/>
        <v>324</v>
      </c>
      <c r="S192" s="1"/>
      <c r="T192" s="1">
        <f t="shared" ca="1" si="127"/>
        <v>0.11159339301856204</v>
      </c>
      <c r="U192" s="1">
        <f t="shared" ca="1" si="128"/>
        <v>72</v>
      </c>
      <c r="V192" s="1">
        <f t="shared" ca="1" si="129"/>
        <v>34</v>
      </c>
      <c r="W192" s="1"/>
      <c r="X192" s="1">
        <f t="shared" ca="1" si="130"/>
        <v>7.3274333389623632</v>
      </c>
      <c r="Y192" s="1">
        <f t="shared" ca="1" si="131"/>
        <v>0.77576071219759901</v>
      </c>
      <c r="Z192" s="1">
        <f t="shared" ca="1" si="132"/>
        <v>1068</v>
      </c>
      <c r="AB192" s="1">
        <f t="shared" ca="1" si="133"/>
        <v>5.2636809775641669E-2</v>
      </c>
      <c r="AC192" s="1">
        <f t="shared" ca="1" si="134"/>
        <v>139</v>
      </c>
      <c r="AD192" s="1">
        <f t="shared" ca="1" si="135"/>
        <v>7.0294861656464459E-3</v>
      </c>
      <c r="AE192" s="1"/>
      <c r="AF192" s="1">
        <f t="shared" ca="1" si="136"/>
        <v>0.25705784606114401</v>
      </c>
      <c r="AG192" s="1">
        <f t="shared" ca="1" si="137"/>
        <v>871</v>
      </c>
      <c r="AH192" s="1">
        <f t="shared" ca="1" si="138"/>
        <v>7.0318383607164102E-3</v>
      </c>
      <c r="AJ192" s="1">
        <f t="shared" ca="1" si="139"/>
        <v>0.54146564841347566</v>
      </c>
      <c r="AK192" s="1">
        <f t="shared" ca="1" si="140"/>
        <v>9.0019377703004951E-3</v>
      </c>
      <c r="AL192" s="1"/>
      <c r="AM192" s="1">
        <f t="shared" ca="1" si="141"/>
        <v>0.13606134511898796</v>
      </c>
      <c r="AN192" s="1">
        <f t="shared" ca="1" si="142"/>
        <v>15</v>
      </c>
      <c r="AO192" s="1">
        <f t="shared" ca="1" si="143"/>
        <v>2</v>
      </c>
      <c r="AQ192" s="1">
        <f t="shared" ca="1" si="144"/>
        <v>137</v>
      </c>
      <c r="AR192" s="1">
        <f t="shared" ca="1" si="145"/>
        <v>7</v>
      </c>
      <c r="AS192" s="1">
        <f t="shared" ca="1" si="146"/>
        <v>26</v>
      </c>
      <c r="AU192" s="1">
        <f t="shared" ca="1" si="147"/>
        <v>274</v>
      </c>
      <c r="AV192" s="1">
        <f t="shared" ca="1" si="148"/>
        <v>9</v>
      </c>
      <c r="AW192" s="1">
        <f t="shared" ca="1" si="149"/>
        <v>0.16138302838446228</v>
      </c>
      <c r="AY192" s="1">
        <f t="shared" ca="1" si="150"/>
        <v>1.1584904946727428</v>
      </c>
      <c r="AZ192" s="1">
        <f t="shared" ca="1" si="151"/>
        <v>329</v>
      </c>
      <c r="BA192" s="1">
        <f t="shared" ca="1" si="152"/>
        <v>3.60208772997844E-3</v>
      </c>
      <c r="BV192" s="1">
        <f t="shared" ca="1" si="153"/>
        <v>0.6652140930354713</v>
      </c>
      <c r="BW192" s="1">
        <f t="shared" ca="1" si="154"/>
        <v>230</v>
      </c>
      <c r="BX192" s="1">
        <f t="shared" ca="1" si="155"/>
        <v>7.5544858245065807E-3</v>
      </c>
      <c r="BY192" s="1">
        <f t="shared" ca="1" si="156"/>
        <v>1.291826560648048E-2</v>
      </c>
      <c r="BZ192" s="1">
        <f t="shared" ca="1" si="157"/>
        <v>0.61282043084367077</v>
      </c>
      <c r="CB192" s="1">
        <f t="shared" ca="1" si="158"/>
        <v>192</v>
      </c>
      <c r="CC192" s="1">
        <f t="shared" ca="1" si="159"/>
        <v>8</v>
      </c>
      <c r="CD192" s="1">
        <f t="shared" ca="1" si="160"/>
        <v>2.2312826742331815E-2</v>
      </c>
      <c r="CE192" s="1">
        <f t="shared" ca="1" si="170"/>
        <v>0.54031290879811888</v>
      </c>
      <c r="CF192" s="1">
        <f t="shared" ca="1" si="170"/>
        <v>0.92957561103242936</v>
      </c>
      <c r="CH192" s="3">
        <f t="shared" ca="1" si="162"/>
        <v>0.59938269638150998</v>
      </c>
      <c r="CI192" s="3">
        <f t="shared" ca="1" si="163"/>
        <v>0.84225481822766568</v>
      </c>
      <c r="CJ192" s="3">
        <f t="shared" ca="1" si="164"/>
        <v>218</v>
      </c>
      <c r="CK192" s="3">
        <f t="shared" ca="1" si="165"/>
        <v>2.3488216070684321E-3</v>
      </c>
      <c r="CL192" s="3">
        <f t="shared" ca="1" si="166"/>
        <v>1</v>
      </c>
      <c r="CM192" s="3"/>
      <c r="CN192" s="1">
        <f t="shared" ca="1" si="167"/>
        <v>15.599794930653864</v>
      </c>
      <c r="CO192" s="1">
        <f t="shared" ca="1" si="168"/>
        <v>0.47743204890762325</v>
      </c>
      <c r="CP192" s="1">
        <f t="shared" ca="1" si="169"/>
        <v>4</v>
      </c>
    </row>
    <row r="193" spans="2:94" x14ac:dyDescent="0.25">
      <c r="B193">
        <f t="shared" ca="1" si="114"/>
        <v>419</v>
      </c>
      <c r="C193">
        <f t="shared" ca="1" si="115"/>
        <v>10</v>
      </c>
      <c r="D193">
        <f t="shared" ca="1" si="116"/>
        <v>5.3549576085060599E-2</v>
      </c>
      <c r="F193" s="1">
        <f t="shared" ca="1" si="117"/>
        <v>47</v>
      </c>
      <c r="G193" s="1">
        <f t="shared" ca="1" si="118"/>
        <v>22</v>
      </c>
      <c r="H193" s="1">
        <f t="shared" ca="1" si="119"/>
        <v>14</v>
      </c>
      <c r="I193" s="1"/>
      <c r="J193" s="1">
        <f t="shared" ca="1" si="120"/>
        <v>9</v>
      </c>
      <c r="K193" s="1">
        <f t="shared" ca="1" si="121"/>
        <v>2.495899337404726</v>
      </c>
      <c r="L193" s="1">
        <f t="shared" ca="1" si="122"/>
        <v>30</v>
      </c>
      <c r="M193" s="1"/>
      <c r="N193" s="1">
        <f t="shared" ca="1" si="123"/>
        <v>90</v>
      </c>
      <c r="O193" s="1">
        <f t="shared" ca="1" si="124"/>
        <v>40</v>
      </c>
      <c r="P193" s="1"/>
      <c r="Q193" s="1">
        <f t="shared" ca="1" si="125"/>
        <v>4.2756009668082013</v>
      </c>
      <c r="R193" s="1">
        <f t="shared" ca="1" si="126"/>
        <v>584</v>
      </c>
      <c r="S193" s="1"/>
      <c r="T193" s="1">
        <f t="shared" ca="1" si="127"/>
        <v>3.5093325216797346E-2</v>
      </c>
      <c r="U193" s="1">
        <f t="shared" ca="1" si="128"/>
        <v>136</v>
      </c>
      <c r="V193" s="1">
        <f t="shared" ca="1" si="129"/>
        <v>11</v>
      </c>
      <c r="W193" s="1"/>
      <c r="X193" s="1">
        <f t="shared" ca="1" si="130"/>
        <v>5.6834258049846547</v>
      </c>
      <c r="Y193" s="1">
        <f t="shared" ca="1" si="131"/>
        <v>0.36038541973116139</v>
      </c>
      <c r="Z193" s="1">
        <f t="shared" ca="1" si="132"/>
        <v>1082</v>
      </c>
      <c r="AB193" s="1">
        <f t="shared" ca="1" si="133"/>
        <v>7.7569043122442102E-2</v>
      </c>
      <c r="AC193" s="1">
        <f t="shared" ca="1" si="134"/>
        <v>796</v>
      </c>
      <c r="AD193" s="1">
        <f t="shared" ca="1" si="135"/>
        <v>9.8505950360871369E-4</v>
      </c>
      <c r="AE193" s="1"/>
      <c r="AF193" s="1">
        <f t="shared" ca="1" si="136"/>
        <v>0.87493625407464781</v>
      </c>
      <c r="AG193" s="1">
        <f t="shared" ca="1" si="137"/>
        <v>977</v>
      </c>
      <c r="AH193" s="1">
        <f t="shared" ca="1" si="138"/>
        <v>4.4071249476259336E-3</v>
      </c>
      <c r="AJ193" s="1">
        <f t="shared" ca="1" si="139"/>
        <v>0.80749523274795554</v>
      </c>
      <c r="AK193" s="1">
        <f t="shared" ca="1" si="140"/>
        <v>5.9664341103574147E-3</v>
      </c>
      <c r="AL193" s="1"/>
      <c r="AM193" s="1">
        <f t="shared" ca="1" si="141"/>
        <v>5.4681049915817466E-2</v>
      </c>
      <c r="AN193" s="1">
        <f t="shared" ca="1" si="142"/>
        <v>54</v>
      </c>
      <c r="AO193" s="1">
        <f t="shared" ca="1" si="143"/>
        <v>14</v>
      </c>
      <c r="AQ193" s="1">
        <f t="shared" ca="1" si="144"/>
        <v>93</v>
      </c>
      <c r="AR193" s="1">
        <f t="shared" ca="1" si="145"/>
        <v>10</v>
      </c>
      <c r="AS193" s="1">
        <f t="shared" ca="1" si="146"/>
        <v>87</v>
      </c>
      <c r="AU193" s="1">
        <f t="shared" ca="1" si="147"/>
        <v>104</v>
      </c>
      <c r="AV193" s="1">
        <f t="shared" ca="1" si="148"/>
        <v>8</v>
      </c>
      <c r="AW193" s="1">
        <f t="shared" ca="1" si="149"/>
        <v>0.16456962416236803</v>
      </c>
      <c r="AY193" s="1">
        <f t="shared" ca="1" si="150"/>
        <v>1.2509220829952965</v>
      </c>
      <c r="AZ193" s="1">
        <f t="shared" ca="1" si="151"/>
        <v>360</v>
      </c>
      <c r="BA193" s="1">
        <f t="shared" ca="1" si="152"/>
        <v>3.3377204879119892E-3</v>
      </c>
      <c r="BV193" s="1">
        <f t="shared" ca="1" si="153"/>
        <v>0.21899298682312235</v>
      </c>
      <c r="BW193" s="1">
        <f t="shared" ca="1" si="154"/>
        <v>717</v>
      </c>
      <c r="BX193" s="1">
        <f t="shared" ca="1" si="155"/>
        <v>1.711762526890625E-3</v>
      </c>
      <c r="BY193" s="1">
        <f t="shared" ca="1" si="156"/>
        <v>1.8591968869297877E-2</v>
      </c>
      <c r="BZ193" s="1">
        <f t="shared" ca="1" si="157"/>
        <v>0.4395372645506197</v>
      </c>
      <c r="CB193" s="1">
        <f t="shared" ca="1" si="158"/>
        <v>93</v>
      </c>
      <c r="CC193" s="1">
        <f t="shared" ca="1" si="159"/>
        <v>5</v>
      </c>
      <c r="CD193" s="1">
        <f t="shared" ca="1" si="160"/>
        <v>0.18226364146767821</v>
      </c>
      <c r="CE193" s="1">
        <f t="shared" ca="1" si="170"/>
        <v>0.54025282393304552</v>
      </c>
      <c r="CF193" s="1">
        <f t="shared" ca="1" si="170"/>
        <v>0.92201930897830375</v>
      </c>
      <c r="CH193" s="3">
        <f t="shared" ca="1" si="162"/>
        <v>0.7249294440321763</v>
      </c>
      <c r="CI193" s="3">
        <f t="shared" ca="1" si="163"/>
        <v>0.4021253515869303</v>
      </c>
      <c r="CJ193" s="3">
        <f t="shared" ca="1" si="164"/>
        <v>127</v>
      </c>
      <c r="CK193" s="3">
        <f t="shared" ca="1" si="165"/>
        <v>5.6319933731473707E-3</v>
      </c>
      <c r="CL193" s="3">
        <f t="shared" ca="1" si="166"/>
        <v>1</v>
      </c>
      <c r="CM193" s="3"/>
      <c r="CN193" s="1">
        <f t="shared" ca="1" si="167"/>
        <v>10.179388108467268</v>
      </c>
      <c r="CO193" s="1">
        <f t="shared" ca="1" si="168"/>
        <v>0.25808105356413596</v>
      </c>
      <c r="CP193" s="1">
        <f t="shared" ca="1" si="169"/>
        <v>2</v>
      </c>
    </row>
    <row r="194" spans="2:94" x14ac:dyDescent="0.25">
      <c r="B194">
        <f t="shared" ca="1" si="114"/>
        <v>631</v>
      </c>
      <c r="C194">
        <f t="shared" ca="1" si="115"/>
        <v>47</v>
      </c>
      <c r="D194">
        <f t="shared" ca="1" si="116"/>
        <v>0.21235952283342063</v>
      </c>
      <c r="F194" s="1">
        <f t="shared" ca="1" si="117"/>
        <v>4</v>
      </c>
      <c r="G194" s="1">
        <f t="shared" ca="1" si="118"/>
        <v>25</v>
      </c>
      <c r="H194" s="1">
        <f t="shared" ca="1" si="119"/>
        <v>15</v>
      </c>
      <c r="I194" s="1"/>
      <c r="J194" s="1">
        <f t="shared" ca="1" si="120"/>
        <v>34</v>
      </c>
      <c r="K194" s="1">
        <f t="shared" ca="1" si="121"/>
        <v>2.8150263565682492</v>
      </c>
      <c r="L194" s="1">
        <f t="shared" ca="1" si="122"/>
        <v>21</v>
      </c>
      <c r="M194" s="1"/>
      <c r="N194" s="1">
        <f t="shared" ca="1" si="123"/>
        <v>183</v>
      </c>
      <c r="O194" s="1">
        <f t="shared" ca="1" si="124"/>
        <v>45</v>
      </c>
      <c r="P194" s="1"/>
      <c r="Q194" s="1">
        <f t="shared" ca="1" si="125"/>
        <v>4.3385878937916482</v>
      </c>
      <c r="R194" s="1">
        <f t="shared" ca="1" si="126"/>
        <v>1045</v>
      </c>
      <c r="S194" s="1"/>
      <c r="T194" s="1">
        <f t="shared" ca="1" si="127"/>
        <v>0.16506606068011104</v>
      </c>
      <c r="U194" s="1">
        <f t="shared" ca="1" si="128"/>
        <v>104</v>
      </c>
      <c r="V194" s="1">
        <f t="shared" ca="1" si="129"/>
        <v>21</v>
      </c>
      <c r="W194" s="1"/>
      <c r="X194" s="1">
        <f t="shared" ca="1" si="130"/>
        <v>2.4702722573330216</v>
      </c>
      <c r="Y194" s="1">
        <f t="shared" ca="1" si="131"/>
        <v>0.41589544881253204</v>
      </c>
      <c r="Z194" s="1">
        <f t="shared" ca="1" si="132"/>
        <v>1811</v>
      </c>
      <c r="AB194" s="1">
        <f t="shared" ca="1" si="133"/>
        <v>0.22306112257020683</v>
      </c>
      <c r="AC194" s="1">
        <f t="shared" ca="1" si="134"/>
        <v>467</v>
      </c>
      <c r="AD194" s="1">
        <f t="shared" ca="1" si="135"/>
        <v>7.8790034044514956E-3</v>
      </c>
      <c r="AE194" s="1"/>
      <c r="AF194" s="1">
        <f t="shared" ca="1" si="136"/>
        <v>0.79800219959938345</v>
      </c>
      <c r="AG194" s="1">
        <f t="shared" ca="1" si="137"/>
        <v>384</v>
      </c>
      <c r="AH194" s="1">
        <f t="shared" ca="1" si="138"/>
        <v>6.8464316908444832E-3</v>
      </c>
      <c r="AJ194" s="1">
        <f t="shared" ca="1" si="139"/>
        <v>0.11440592582805309</v>
      </c>
      <c r="AK194" s="1">
        <f t="shared" ca="1" si="140"/>
        <v>3.0055087969761696E-3</v>
      </c>
      <c r="AL194" s="1"/>
      <c r="AM194" s="1">
        <f t="shared" ca="1" si="141"/>
        <v>0.11228884624605569</v>
      </c>
      <c r="AN194" s="1">
        <f t="shared" ca="1" si="142"/>
        <v>70</v>
      </c>
      <c r="AO194" s="1">
        <f t="shared" ca="1" si="143"/>
        <v>19</v>
      </c>
      <c r="AQ194" s="1">
        <f t="shared" ca="1" si="144"/>
        <v>90</v>
      </c>
      <c r="AR194" s="1">
        <f t="shared" ca="1" si="145"/>
        <v>1</v>
      </c>
      <c r="AS194" s="1">
        <f t="shared" ca="1" si="146"/>
        <v>91</v>
      </c>
      <c r="AU194" s="1">
        <f t="shared" ca="1" si="147"/>
        <v>184</v>
      </c>
      <c r="AV194" s="1">
        <f t="shared" ca="1" si="148"/>
        <v>4</v>
      </c>
      <c r="AW194" s="1">
        <f t="shared" ca="1" si="149"/>
        <v>0.15319020483226456</v>
      </c>
      <c r="AY194" s="1">
        <f t="shared" ca="1" si="150"/>
        <v>1.1564440518534069</v>
      </c>
      <c r="AZ194" s="1">
        <f t="shared" ca="1" si="151"/>
        <v>329</v>
      </c>
      <c r="BA194" s="1">
        <f t="shared" ca="1" si="152"/>
        <v>1.1526566648053297E-3</v>
      </c>
      <c r="BV194" s="1">
        <f t="shared" ca="1" si="153"/>
        <v>0.51821135888123426</v>
      </c>
      <c r="BW194" s="1">
        <f t="shared" ca="1" si="154"/>
        <v>759</v>
      </c>
      <c r="BX194" s="1">
        <f t="shared" ca="1" si="155"/>
        <v>1.0976788742241117E-3</v>
      </c>
      <c r="BY194" s="1">
        <f t="shared" ca="1" si="156"/>
        <v>2.1437158588106461E-2</v>
      </c>
      <c r="BZ194" s="1">
        <f t="shared" ca="1" si="157"/>
        <v>0.43031961661622486</v>
      </c>
      <c r="CB194" s="1">
        <f t="shared" ca="1" si="158"/>
        <v>192</v>
      </c>
      <c r="CC194" s="1">
        <f t="shared" ca="1" si="159"/>
        <v>11</v>
      </c>
      <c r="CD194" s="1">
        <f t="shared" ca="1" si="160"/>
        <v>0.23218025887956384</v>
      </c>
      <c r="CE194" s="1">
        <f t="shared" ca="1" si="170"/>
        <v>0.55810419758160479</v>
      </c>
      <c r="CF194" s="1">
        <f t="shared" ca="1" si="170"/>
        <v>0.82766461346780729</v>
      </c>
      <c r="CH194" s="3">
        <f t="shared" ca="1" si="162"/>
        <v>0.15707938562532148</v>
      </c>
      <c r="CI194" s="3">
        <f t="shared" ca="1" si="163"/>
        <v>0.11354185169229404</v>
      </c>
      <c r="CJ194" s="3">
        <f t="shared" ca="1" si="164"/>
        <v>478</v>
      </c>
      <c r="CK194" s="3">
        <f t="shared" ca="1" si="165"/>
        <v>1.5096685942858573E-3</v>
      </c>
      <c r="CL194" s="3">
        <f t="shared" ca="1" si="166"/>
        <v>0</v>
      </c>
      <c r="CM194" s="3"/>
      <c r="CN194" s="1">
        <f t="shared" ca="1" si="167"/>
        <v>3.102352917625105</v>
      </c>
      <c r="CO194" s="1">
        <f t="shared" ca="1" si="168"/>
        <v>0.27541930622471555</v>
      </c>
      <c r="CP194" s="1">
        <f t="shared" ca="1" si="169"/>
        <v>3</v>
      </c>
    </row>
    <row r="195" spans="2:94" x14ac:dyDescent="0.25">
      <c r="B195">
        <f t="shared" ca="1" si="114"/>
        <v>688</v>
      </c>
      <c r="C195">
        <f t="shared" ca="1" si="115"/>
        <v>28</v>
      </c>
      <c r="D195">
        <f t="shared" ca="1" si="116"/>
        <v>0.1773141268509022</v>
      </c>
      <c r="F195" s="1">
        <f t="shared" ca="1" si="117"/>
        <v>15</v>
      </c>
      <c r="G195" s="1">
        <f t="shared" ca="1" si="118"/>
        <v>28</v>
      </c>
      <c r="H195" s="1">
        <f t="shared" ca="1" si="119"/>
        <v>11</v>
      </c>
      <c r="I195" s="1"/>
      <c r="J195" s="1">
        <f t="shared" ca="1" si="120"/>
        <v>38</v>
      </c>
      <c r="K195" s="1">
        <f t="shared" ca="1" si="121"/>
        <v>2.897291375547578</v>
      </c>
      <c r="L195" s="1">
        <f t="shared" ca="1" si="122"/>
        <v>32</v>
      </c>
      <c r="M195" s="1"/>
      <c r="N195" s="1">
        <f t="shared" ca="1" si="123"/>
        <v>172</v>
      </c>
      <c r="O195" s="1">
        <f t="shared" ca="1" si="124"/>
        <v>30</v>
      </c>
      <c r="P195" s="1"/>
      <c r="Q195" s="1">
        <f t="shared" ca="1" si="125"/>
        <v>2.4908466160265603</v>
      </c>
      <c r="R195" s="1">
        <f t="shared" ca="1" si="126"/>
        <v>886</v>
      </c>
      <c r="S195" s="1"/>
      <c r="T195" s="1">
        <f t="shared" ca="1" si="127"/>
        <v>0.11173690387757171</v>
      </c>
      <c r="U195" s="1">
        <f t="shared" ca="1" si="128"/>
        <v>421</v>
      </c>
      <c r="V195" s="1">
        <f t="shared" ca="1" si="129"/>
        <v>25</v>
      </c>
      <c r="W195" s="1"/>
      <c r="X195" s="1">
        <f t="shared" ca="1" si="130"/>
        <v>2.5567286399136777</v>
      </c>
      <c r="Y195" s="1">
        <f t="shared" ca="1" si="131"/>
        <v>0.90459869254097314</v>
      </c>
      <c r="Z195" s="1">
        <f t="shared" ca="1" si="132"/>
        <v>1323</v>
      </c>
      <c r="AB195" s="1">
        <f t="shared" ca="1" si="133"/>
        <v>0.56666438505081063</v>
      </c>
      <c r="AC195" s="1">
        <f t="shared" ca="1" si="134"/>
        <v>191</v>
      </c>
      <c r="AD195" s="1">
        <f t="shared" ca="1" si="135"/>
        <v>8.8284429640179199E-3</v>
      </c>
      <c r="AE195" s="1"/>
      <c r="AF195" s="1">
        <f t="shared" ca="1" si="136"/>
        <v>0.20146061502281676</v>
      </c>
      <c r="AG195" s="1">
        <f t="shared" ca="1" si="137"/>
        <v>409</v>
      </c>
      <c r="AH195" s="1">
        <f t="shared" ca="1" si="138"/>
        <v>8.4294391711261674E-3</v>
      </c>
      <c r="AJ195" s="1">
        <f t="shared" ca="1" si="139"/>
        <v>0.611363724994469</v>
      </c>
      <c r="AK195" s="1">
        <f t="shared" ca="1" si="140"/>
        <v>6.5045395835231787E-3</v>
      </c>
      <c r="AL195" s="1"/>
      <c r="AM195" s="1">
        <f t="shared" ca="1" si="141"/>
        <v>2.8277256371244865E-2</v>
      </c>
      <c r="AN195" s="1">
        <f t="shared" ca="1" si="142"/>
        <v>34</v>
      </c>
      <c r="AO195" s="1">
        <f t="shared" ca="1" si="143"/>
        <v>6</v>
      </c>
      <c r="AQ195" s="1">
        <f t="shared" ca="1" si="144"/>
        <v>142</v>
      </c>
      <c r="AR195" s="1">
        <f t="shared" ca="1" si="145"/>
        <v>9</v>
      </c>
      <c r="AS195" s="1">
        <f t="shared" ca="1" si="146"/>
        <v>16</v>
      </c>
      <c r="AU195" s="1">
        <f t="shared" ca="1" si="147"/>
        <v>125</v>
      </c>
      <c r="AV195" s="1">
        <f t="shared" ca="1" si="148"/>
        <v>3</v>
      </c>
      <c r="AW195" s="1">
        <f t="shared" ca="1" si="149"/>
        <v>0.1810279452006226</v>
      </c>
      <c r="AY195" s="1">
        <f t="shared" ca="1" si="150"/>
        <v>1.995560222853336</v>
      </c>
      <c r="AZ195" s="1">
        <f t="shared" ca="1" si="151"/>
        <v>382</v>
      </c>
      <c r="BA195" s="1">
        <f t="shared" ca="1" si="152"/>
        <v>7.4982852844286763E-3</v>
      </c>
      <c r="BV195" s="1">
        <f t="shared" ca="1" si="153"/>
        <v>0.27057886997736441</v>
      </c>
      <c r="BW195" s="1">
        <f t="shared" ca="1" si="154"/>
        <v>305</v>
      </c>
      <c r="BX195" s="1">
        <f t="shared" ca="1" si="155"/>
        <v>3.5328705327327954E-4</v>
      </c>
      <c r="BY195" s="1">
        <f t="shared" ca="1" si="156"/>
        <v>8.0900286708090616E-2</v>
      </c>
      <c r="BZ195" s="1">
        <f t="shared" ca="1" si="157"/>
        <v>0.2321199022083551</v>
      </c>
      <c r="CB195" s="1">
        <f t="shared" ca="1" si="158"/>
        <v>248</v>
      </c>
      <c r="CC195" s="1">
        <f t="shared" ca="1" si="159"/>
        <v>7</v>
      </c>
      <c r="CD195" s="1">
        <f t="shared" ca="1" si="160"/>
        <v>0.29046989850397503</v>
      </c>
      <c r="CE195" s="1">
        <f t="shared" ca="1" si="170"/>
        <v>0.93978261197369917</v>
      </c>
      <c r="CF195" s="1">
        <f t="shared" ca="1" si="170"/>
        <v>0.90201219018037293</v>
      </c>
      <c r="CH195" s="3">
        <f t="shared" ca="1" si="162"/>
        <v>0.61843906952297223</v>
      </c>
      <c r="CI195" s="3">
        <f t="shared" ca="1" si="163"/>
        <v>0.41071637797643068</v>
      </c>
      <c r="CJ195" s="3">
        <f t="shared" ca="1" si="164"/>
        <v>665</v>
      </c>
      <c r="CK195" s="3">
        <f t="shared" ca="1" si="165"/>
        <v>2.2793569464078598E-3</v>
      </c>
      <c r="CL195" s="3">
        <f t="shared" ca="1" si="166"/>
        <v>1</v>
      </c>
      <c r="CM195" s="3"/>
      <c r="CN195" s="1">
        <f t="shared" ca="1" si="167"/>
        <v>10.631100230429276</v>
      </c>
      <c r="CO195" s="1">
        <f t="shared" ca="1" si="168"/>
        <v>0.13578726356700332</v>
      </c>
      <c r="CP195" s="1">
        <f t="shared" ca="1" si="169"/>
        <v>4</v>
      </c>
    </row>
    <row r="196" spans="2:94" x14ac:dyDescent="0.25">
      <c r="B196">
        <f t="shared" ref="B196:B202" ca="1" si="171">RANDBETWEEN(15,1000)</f>
        <v>582</v>
      </c>
      <c r="C196">
        <f t="shared" ref="C196:C202" ca="1" si="172">RANDBETWEEN(2,52)</f>
        <v>15</v>
      </c>
      <c r="D196">
        <f t="shared" ref="D196:D202" ca="1" si="173">RAND()*(0.3-0.01)+0.01</f>
        <v>4.3898463316399038E-2</v>
      </c>
      <c r="F196" s="1">
        <f t="shared" ref="F196:F202" ca="1" si="174">RANDBETWEEN(2,52)</f>
        <v>15</v>
      </c>
      <c r="G196" s="1">
        <f t="shared" ref="G196:G202" ca="1" si="175">RANDBETWEEN(2,30)</f>
        <v>24</v>
      </c>
      <c r="H196" s="1">
        <f t="shared" ref="H196:H202" ca="1" si="176">RANDBETWEEN(1,15)</f>
        <v>6</v>
      </c>
      <c r="I196" s="1"/>
      <c r="J196" s="1">
        <f t="shared" ref="J196:J202" ca="1" si="177">RANDBETWEEN(1,39)</f>
        <v>34</v>
      </c>
      <c r="K196" s="1">
        <f t="shared" ref="K196:K202" ca="1" si="178">RAND()*(3-1)+1</f>
        <v>2.6614656705968418</v>
      </c>
      <c r="L196" s="1">
        <f t="shared" ref="L196:L202" ca="1" si="179">RANDBETWEEN(2,35)</f>
        <v>18</v>
      </c>
      <c r="M196" s="1"/>
      <c r="N196" s="1">
        <f t="shared" ref="N196:N202" ca="1" si="180">RANDBETWEEN(15,1000)</f>
        <v>546</v>
      </c>
      <c r="O196" s="1">
        <f t="shared" ref="O196:O202" ca="1" si="181">RANDBETWEEN(2,52)</f>
        <v>20</v>
      </c>
      <c r="P196" s="1"/>
      <c r="Q196" s="1">
        <f t="shared" ref="Q196:Q202" ca="1" si="182">RAND()*(5-0.01)+0.01</f>
        <v>4.6957041026989463</v>
      </c>
      <c r="R196" s="1">
        <f t="shared" ref="R196:R202" ca="1" si="183">RANDBETWEEN(200,1200)</f>
        <v>1191</v>
      </c>
      <c r="S196" s="1"/>
      <c r="T196" s="1">
        <f t="shared" ref="T196:T202" ca="1" si="184">RAND()*(0.2-0.01)+0.01</f>
        <v>0.19799142169085432</v>
      </c>
      <c r="U196" s="1">
        <f t="shared" ref="U196:U202" ca="1" si="185">RANDBETWEEN(50,450)</f>
        <v>70</v>
      </c>
      <c r="V196" s="1">
        <f t="shared" ref="V196:V202" ca="1" si="186">RANDBETWEEN(2,52)</f>
        <v>22</v>
      </c>
      <c r="W196" s="1"/>
      <c r="X196" s="1">
        <f t="shared" ref="X196:X202" ca="1" si="187">RAND()*(10-0.01)+0.01</f>
        <v>1.4631430940985022</v>
      </c>
      <c r="Y196" s="1">
        <f t="shared" ref="Y196:Y202" ca="1" si="188">RAND()*(1-0.0001)+0.0001</f>
        <v>0.33246900826882858</v>
      </c>
      <c r="Z196" s="1">
        <f t="shared" ref="Z196:Z202" ca="1" si="189">RANDBETWEEN(100,2000)</f>
        <v>1596</v>
      </c>
      <c r="AB196" s="1">
        <f t="shared" ref="AB196:AB202" ca="1" si="190">RAND()*(1-0.0001)+0.0001</f>
        <v>0.31381894652519665</v>
      </c>
      <c r="AC196" s="1">
        <f t="shared" ref="AC196:AC202" ca="1" si="191">RANDBETWEEN(100,1000)</f>
        <v>979</v>
      </c>
      <c r="AD196" s="1">
        <f t="shared" ref="AD196:AD202" ca="1" si="192">RAND()*(0.01-0.00001)+0.00001</f>
        <v>6.7194548059536074E-3</v>
      </c>
      <c r="AE196" s="1"/>
      <c r="AF196" s="1">
        <f t="shared" ref="AF196:AF202" ca="1" si="193">RAND()*(0.9-0.1)+0.1</f>
        <v>0.57555111230824108</v>
      </c>
      <c r="AG196" s="1">
        <f t="shared" ref="AG196:AG202" ca="1" si="194">RANDBETWEEN(100,1000)</f>
        <v>789</v>
      </c>
      <c r="AH196" s="1">
        <f t="shared" ref="AH196:AH202" ca="1" si="195">RAND()*(0.01-0.00001)+0.00001</f>
        <v>6.2891690800495883E-3</v>
      </c>
      <c r="AJ196" s="1">
        <f t="shared" ref="AJ196:AJ202" ca="1" si="196">RAND()*(1-0)+0</f>
        <v>0.11155084369848922</v>
      </c>
      <c r="AK196" s="1">
        <f t="shared" ref="AK196:AK202" ca="1" si="197">RAND()*(0.01-0.00001)+0.00001</f>
        <v>3.8452866035360829E-3</v>
      </c>
      <c r="AL196" s="1"/>
      <c r="AM196" s="1">
        <f t="shared" ref="AM196:AM202" ca="1" si="198">RAND()*(0.2-0.005)+0.005</f>
        <v>0.10526530264245282</v>
      </c>
      <c r="AN196" s="1">
        <f t="shared" ref="AN196:AN202" ca="1" si="199">RANDBETWEEN(10,80)</f>
        <v>36</v>
      </c>
      <c r="AO196" s="1">
        <f t="shared" ref="AO196:AO202" ca="1" si="200">RANDBETWEEN(-1,20)</f>
        <v>5</v>
      </c>
      <c r="AQ196" s="1">
        <f t="shared" ref="AQ196:AQ202" ca="1" si="201">RANDBETWEEN(10,200)</f>
        <v>122</v>
      </c>
      <c r="AR196" s="1">
        <f t="shared" ref="AR196:AR202" ca="1" si="202">RANDBETWEEN(0,10)</f>
        <v>9</v>
      </c>
      <c r="AS196" s="1">
        <f t="shared" ref="AS196:AS202" ca="1" si="203">RANDBETWEEN(1,100)</f>
        <v>78</v>
      </c>
      <c r="AU196" s="1">
        <f t="shared" ref="AU196:AU202" ca="1" si="204">RANDBETWEEN(50,400)</f>
        <v>92</v>
      </c>
      <c r="AV196" s="1">
        <f t="shared" ref="AV196:AV202" ca="1" si="205">RANDBETWEEN(2,10)</f>
        <v>5</v>
      </c>
      <c r="AW196" s="1">
        <f t="shared" ref="AW196:AW202" ca="1" si="206">RAND()*(0.2-0.01)+0.01</f>
        <v>5.3650689041480161E-2</v>
      </c>
      <c r="AY196" s="1">
        <f t="shared" ref="AY196:AY202" ca="1" si="207">RAND()*(2-1.1)+1.1</f>
        <v>1.7566406970596631</v>
      </c>
      <c r="AZ196" s="1">
        <f t="shared" ref="AZ196:AZ202" ca="1" si="208">RANDBETWEEN(50,500)</f>
        <v>310</v>
      </c>
      <c r="BA196" s="1">
        <f t="shared" ref="BA196:BA202" ca="1" si="209">RAND()*(0.01-0.00001)+0.00001</f>
        <v>8.8910826823101541E-4</v>
      </c>
      <c r="BV196" s="1">
        <f t="shared" ref="BV196:BV202" ca="1" si="210">RAND()*(1-0.0001)+0.0001</f>
        <v>0.39897941356704192</v>
      </c>
      <c r="BW196" s="1">
        <f t="shared" ref="BW196:BW202" ca="1" si="211">RANDBETWEEN(100,1000)</f>
        <v>356</v>
      </c>
      <c r="BX196" s="1">
        <f t="shared" ref="BX196:BX202" ca="1" si="212">RAND()*(0.01-0.00001)+0.00001</f>
        <v>6.7705101371670733E-3</v>
      </c>
      <c r="BY196" s="1">
        <f t="shared" ref="BY196:BY202" ca="1" si="213">RAND()*(0.1-0.0001)+0.0001</f>
        <v>2.8064060914260117E-2</v>
      </c>
      <c r="BZ196" s="1">
        <f t="shared" ref="BZ196:BZ202" ca="1" si="214">RAND()*(1-0)+0</f>
        <v>0.13972497212939228</v>
      </c>
      <c r="CB196" s="1">
        <f t="shared" ref="CB196:CB202" ca="1" si="215">RANDBETWEEN(50,500)</f>
        <v>79</v>
      </c>
      <c r="CC196" s="1">
        <f t="shared" ref="CC196:CC202" ca="1" si="216">RANDBETWEEN(3,15)</f>
        <v>7</v>
      </c>
      <c r="CD196" s="1">
        <f t="shared" ref="CD196:CD202" ca="1" si="217">RAND()*(0.3-0.01)+0.01</f>
        <v>0.27493059569181705</v>
      </c>
      <c r="CE196" s="1">
        <f t="shared" ca="1" si="170"/>
        <v>0.95378889176562054</v>
      </c>
      <c r="CF196" s="1">
        <f t="shared" ca="1" si="170"/>
        <v>0.71676320738963795</v>
      </c>
      <c r="CH196" s="3">
        <f t="shared" ref="CH196:CH202" ca="1" si="218">RAND()*(1-0.0001)+0.0001</f>
        <v>0.40746068225654086</v>
      </c>
      <c r="CI196" s="3">
        <f t="shared" ref="CI196:CI202" ca="1" si="219">RAND()*(0.99-0.01)+0.01</f>
        <v>0.14975348942772224</v>
      </c>
      <c r="CJ196" s="3">
        <f t="shared" ref="CJ196:CJ202" ca="1" si="220">RANDBETWEEN(100,2000)</f>
        <v>1093</v>
      </c>
      <c r="CK196" s="3">
        <f t="shared" ref="CK196:CK202" ca="1" si="221">RAND()*(0.01-0.000001)+0.000001</f>
        <v>4.365983321866395E-3</v>
      </c>
      <c r="CL196" s="3">
        <f t="shared" ref="CL196:CL202" ca="1" si="222">RANDBETWEEN(0,1)</f>
        <v>0</v>
      </c>
      <c r="CM196" s="3"/>
      <c r="CN196" s="1">
        <f t="shared" ref="CN196:CN202" ca="1" si="223">RAND()*(20-0.1)+0.1</f>
        <v>10.489681205302135</v>
      </c>
      <c r="CO196" s="1">
        <f t="shared" ref="CO196:CO202" ca="1" si="224">RAND()*(0.5-0.001)+0.001</f>
        <v>0.17168279830377847</v>
      </c>
      <c r="CP196" s="1">
        <f t="shared" ref="CP196:CP202" ca="1" si="225">RANDBETWEEN(1,5)</f>
        <v>5</v>
      </c>
    </row>
    <row r="197" spans="2:94" x14ac:dyDescent="0.25">
      <c r="B197">
        <f t="shared" ca="1" si="171"/>
        <v>503</v>
      </c>
      <c r="C197">
        <f t="shared" ca="1" si="172"/>
        <v>39</v>
      </c>
      <c r="D197">
        <f t="shared" ca="1" si="173"/>
        <v>0.1378932953264658</v>
      </c>
      <c r="F197" s="1">
        <f t="shared" ca="1" si="174"/>
        <v>49</v>
      </c>
      <c r="G197" s="1">
        <f t="shared" ca="1" si="175"/>
        <v>7</v>
      </c>
      <c r="H197" s="1">
        <f t="shared" ca="1" si="176"/>
        <v>6</v>
      </c>
      <c r="I197" s="1"/>
      <c r="J197" s="1">
        <f t="shared" ca="1" si="177"/>
        <v>29</v>
      </c>
      <c r="K197" s="1">
        <f t="shared" ca="1" si="178"/>
        <v>1.5287718992092021</v>
      </c>
      <c r="L197" s="1">
        <f t="shared" ca="1" si="179"/>
        <v>25</v>
      </c>
      <c r="M197" s="1"/>
      <c r="N197" s="1">
        <f t="shared" ca="1" si="180"/>
        <v>35</v>
      </c>
      <c r="O197" s="1">
        <f t="shared" ca="1" si="181"/>
        <v>6</v>
      </c>
      <c r="P197" s="1"/>
      <c r="Q197" s="1">
        <f t="shared" ca="1" si="182"/>
        <v>3.4449207877813546</v>
      </c>
      <c r="R197" s="1">
        <f t="shared" ca="1" si="183"/>
        <v>627</v>
      </c>
      <c r="S197" s="1"/>
      <c r="T197" s="1">
        <f t="shared" ca="1" si="184"/>
        <v>0.16437369914004035</v>
      </c>
      <c r="U197" s="1">
        <f t="shared" ca="1" si="185"/>
        <v>180</v>
      </c>
      <c r="V197" s="1">
        <f t="shared" ca="1" si="186"/>
        <v>27</v>
      </c>
      <c r="W197" s="1"/>
      <c r="X197" s="1">
        <f t="shared" ca="1" si="187"/>
        <v>4.2040126792951478</v>
      </c>
      <c r="Y197" s="1">
        <f t="shared" ca="1" si="188"/>
        <v>0.46487874878672053</v>
      </c>
      <c r="Z197" s="1">
        <f t="shared" ca="1" si="189"/>
        <v>1724</v>
      </c>
      <c r="AB197" s="1">
        <f t="shared" ca="1" si="190"/>
        <v>0.55426397101610081</v>
      </c>
      <c r="AC197" s="1">
        <f t="shared" ca="1" si="191"/>
        <v>657</v>
      </c>
      <c r="AD197" s="1">
        <f t="shared" ca="1" si="192"/>
        <v>2.6240340917084372E-3</v>
      </c>
      <c r="AE197" s="1"/>
      <c r="AF197" s="1">
        <f t="shared" ca="1" si="193"/>
        <v>0.71386258480080411</v>
      </c>
      <c r="AG197" s="1">
        <f t="shared" ca="1" si="194"/>
        <v>222</v>
      </c>
      <c r="AH197" s="1">
        <f t="shared" ca="1" si="195"/>
        <v>6.8506825668511644E-3</v>
      </c>
      <c r="AJ197" s="1">
        <f t="shared" ca="1" si="196"/>
        <v>0.81169851970983176</v>
      </c>
      <c r="AK197" s="1">
        <f t="shared" ca="1" si="197"/>
        <v>3.6997623179037338E-3</v>
      </c>
      <c r="AL197" s="1"/>
      <c r="AM197" s="1">
        <f t="shared" ca="1" si="198"/>
        <v>8.5716747786338934E-2</v>
      </c>
      <c r="AN197" s="1">
        <f t="shared" ca="1" si="199"/>
        <v>21</v>
      </c>
      <c r="AO197" s="1">
        <f t="shared" ca="1" si="200"/>
        <v>2</v>
      </c>
      <c r="AQ197" s="1">
        <f t="shared" ca="1" si="201"/>
        <v>113</v>
      </c>
      <c r="AR197" s="1">
        <f t="shared" ca="1" si="202"/>
        <v>10</v>
      </c>
      <c r="AS197" s="1">
        <f t="shared" ca="1" si="203"/>
        <v>80</v>
      </c>
      <c r="AU197" s="1">
        <f t="shared" ca="1" si="204"/>
        <v>314</v>
      </c>
      <c r="AV197" s="1">
        <f t="shared" ca="1" si="205"/>
        <v>7</v>
      </c>
      <c r="AW197" s="1">
        <f t="shared" ca="1" si="206"/>
        <v>0.10612843399227989</v>
      </c>
      <c r="AY197" s="1">
        <f t="shared" ca="1" si="207"/>
        <v>1.3650792730967136</v>
      </c>
      <c r="AZ197" s="1">
        <f t="shared" ca="1" si="208"/>
        <v>240</v>
      </c>
      <c r="BA197" s="1">
        <f t="shared" ca="1" si="209"/>
        <v>6.5722260834768153E-3</v>
      </c>
      <c r="BV197" s="1">
        <f t="shared" ca="1" si="210"/>
        <v>0.41719563015943556</v>
      </c>
      <c r="BW197" s="1">
        <f t="shared" ca="1" si="211"/>
        <v>427</v>
      </c>
      <c r="BX197" s="1">
        <f t="shared" ca="1" si="212"/>
        <v>7.7248238212384874E-3</v>
      </c>
      <c r="BY197" s="1">
        <f t="shared" ca="1" si="213"/>
        <v>1.1480729963753256E-2</v>
      </c>
      <c r="BZ197" s="1">
        <f t="shared" ca="1" si="214"/>
        <v>0.27587263969993514</v>
      </c>
      <c r="CB197" s="1">
        <f t="shared" ca="1" si="215"/>
        <v>234</v>
      </c>
      <c r="CC197" s="1">
        <f t="shared" ca="1" si="216"/>
        <v>12</v>
      </c>
      <c r="CD197" s="1">
        <f t="shared" ca="1" si="217"/>
        <v>0.24305121646518546</v>
      </c>
      <c r="CE197" s="1">
        <f t="shared" ca="1" si="170"/>
        <v>0.95881336021667107</v>
      </c>
      <c r="CF197" s="1">
        <f t="shared" ca="1" si="170"/>
        <v>0.51081549819341299</v>
      </c>
      <c r="CH197" s="3">
        <f t="shared" ca="1" si="218"/>
        <v>0.66931167032601091</v>
      </c>
      <c r="CI197" s="3">
        <f t="shared" ca="1" si="219"/>
        <v>0.67133104644642783</v>
      </c>
      <c r="CJ197" s="3">
        <f t="shared" ca="1" si="220"/>
        <v>1975</v>
      </c>
      <c r="CK197" s="3">
        <f t="shared" ca="1" si="221"/>
        <v>2.8419190631581709E-4</v>
      </c>
      <c r="CL197" s="3">
        <f t="shared" ca="1" si="222"/>
        <v>0</v>
      </c>
      <c r="CM197" s="3"/>
      <c r="CN197" s="1">
        <f t="shared" ca="1" si="223"/>
        <v>19.174535829757321</v>
      </c>
      <c r="CO197" s="1">
        <f t="shared" ca="1" si="224"/>
        <v>1.8305538567681717E-2</v>
      </c>
      <c r="CP197" s="1">
        <f t="shared" ca="1" si="225"/>
        <v>5</v>
      </c>
    </row>
    <row r="198" spans="2:94" x14ac:dyDescent="0.25">
      <c r="B198">
        <f t="shared" ca="1" si="171"/>
        <v>887</v>
      </c>
      <c r="C198">
        <f t="shared" ca="1" si="172"/>
        <v>21</v>
      </c>
      <c r="D198">
        <f t="shared" ca="1" si="173"/>
        <v>8.5589504088342927E-2</v>
      </c>
      <c r="F198" s="1">
        <f t="shared" ca="1" si="174"/>
        <v>38</v>
      </c>
      <c r="G198" s="1">
        <f t="shared" ca="1" si="175"/>
        <v>11</v>
      </c>
      <c r="H198" s="1">
        <f t="shared" ca="1" si="176"/>
        <v>2</v>
      </c>
      <c r="I198" s="1"/>
      <c r="J198" s="1">
        <f t="shared" ca="1" si="177"/>
        <v>1</v>
      </c>
      <c r="K198" s="1">
        <f t="shared" ca="1" si="178"/>
        <v>1.3965738628148758</v>
      </c>
      <c r="L198" s="1">
        <f t="shared" ca="1" si="179"/>
        <v>15</v>
      </c>
      <c r="M198" s="1"/>
      <c r="N198" s="1">
        <f t="shared" ca="1" si="180"/>
        <v>75</v>
      </c>
      <c r="O198" s="1">
        <f t="shared" ca="1" si="181"/>
        <v>15</v>
      </c>
      <c r="P198" s="1"/>
      <c r="Q198" s="1">
        <f t="shared" ca="1" si="182"/>
        <v>1.1527257730775149</v>
      </c>
      <c r="R198" s="1">
        <f t="shared" ca="1" si="183"/>
        <v>384</v>
      </c>
      <c r="S198" s="1"/>
      <c r="T198" s="1">
        <f t="shared" ca="1" si="184"/>
        <v>4.6619512693311764E-2</v>
      </c>
      <c r="U198" s="1">
        <f t="shared" ca="1" si="185"/>
        <v>300</v>
      </c>
      <c r="V198" s="1">
        <f t="shared" ca="1" si="186"/>
        <v>28</v>
      </c>
      <c r="W198" s="1"/>
      <c r="X198" s="1">
        <f t="shared" ca="1" si="187"/>
        <v>0.9379102441884769</v>
      </c>
      <c r="Y198" s="1">
        <f t="shared" ca="1" si="188"/>
        <v>0.54672806788651984</v>
      </c>
      <c r="Z198" s="1">
        <f t="shared" ca="1" si="189"/>
        <v>330</v>
      </c>
      <c r="AB198" s="1">
        <f t="shared" ca="1" si="190"/>
        <v>0.98035815414879923</v>
      </c>
      <c r="AC198" s="1">
        <f t="shared" ca="1" si="191"/>
        <v>383</v>
      </c>
      <c r="AD198" s="1">
        <f t="shared" ca="1" si="192"/>
        <v>7.0029810934740706E-3</v>
      </c>
      <c r="AE198" s="1"/>
      <c r="AF198" s="1">
        <f t="shared" ca="1" si="193"/>
        <v>0.59697812933266103</v>
      </c>
      <c r="AG198" s="1">
        <f t="shared" ca="1" si="194"/>
        <v>118</v>
      </c>
      <c r="AH198" s="1">
        <f t="shared" ca="1" si="195"/>
        <v>1.577223415422258E-3</v>
      </c>
      <c r="AJ198" s="1">
        <f t="shared" ca="1" si="196"/>
        <v>0.69145905014868436</v>
      </c>
      <c r="AK198" s="1">
        <f t="shared" ca="1" si="197"/>
        <v>1.1082061775711351E-3</v>
      </c>
      <c r="AL198" s="1"/>
      <c r="AM198" s="1">
        <f t="shared" ca="1" si="198"/>
        <v>5.9343455039756077E-2</v>
      </c>
      <c r="AN198" s="1">
        <f t="shared" ca="1" si="199"/>
        <v>36</v>
      </c>
      <c r="AO198" s="1">
        <f t="shared" ca="1" si="200"/>
        <v>7</v>
      </c>
      <c r="AQ198" s="1">
        <f t="shared" ca="1" si="201"/>
        <v>41</v>
      </c>
      <c r="AR198" s="1">
        <f t="shared" ca="1" si="202"/>
        <v>8</v>
      </c>
      <c r="AS198" s="1">
        <f t="shared" ca="1" si="203"/>
        <v>98</v>
      </c>
      <c r="AU198" s="1">
        <f t="shared" ca="1" si="204"/>
        <v>52</v>
      </c>
      <c r="AV198" s="1">
        <f t="shared" ca="1" si="205"/>
        <v>2</v>
      </c>
      <c r="AW198" s="1">
        <f t="shared" ca="1" si="206"/>
        <v>0.139792564332302</v>
      </c>
      <c r="AY198" s="1">
        <f t="shared" ca="1" si="207"/>
        <v>1.1349916733967329</v>
      </c>
      <c r="AZ198" s="1">
        <f t="shared" ca="1" si="208"/>
        <v>474</v>
      </c>
      <c r="BA198" s="1">
        <f t="shared" ca="1" si="209"/>
        <v>7.3412821665970089E-3</v>
      </c>
      <c r="BV198" s="1">
        <f t="shared" ca="1" si="210"/>
        <v>0.3733553838060889</v>
      </c>
      <c r="BW198" s="1">
        <f t="shared" ca="1" si="211"/>
        <v>427</v>
      </c>
      <c r="BX198" s="1">
        <f t="shared" ca="1" si="212"/>
        <v>7.9930890197919147E-3</v>
      </c>
      <c r="BY198" s="1">
        <f t="shared" ca="1" si="213"/>
        <v>4.6999245021261161E-2</v>
      </c>
      <c r="BZ198" s="1">
        <f t="shared" ca="1" si="214"/>
        <v>0.94162622900673332</v>
      </c>
      <c r="CB198" s="1">
        <f t="shared" ca="1" si="215"/>
        <v>295</v>
      </c>
      <c r="CC198" s="1">
        <f t="shared" ca="1" si="216"/>
        <v>13</v>
      </c>
      <c r="CD198" s="1">
        <f t="shared" ca="1" si="217"/>
        <v>8.5011036374293969E-2</v>
      </c>
      <c r="CE198" s="1">
        <f t="shared" ca="1" si="170"/>
        <v>0.7247023008329081</v>
      </c>
      <c r="CF198" s="1">
        <f t="shared" ca="1" si="170"/>
        <v>0.58230854420828959</v>
      </c>
      <c r="CH198" s="3">
        <f t="shared" ca="1" si="218"/>
        <v>0.81558188491839012</v>
      </c>
      <c r="CI198" s="3">
        <f t="shared" ca="1" si="219"/>
        <v>0.66783549690640065</v>
      </c>
      <c r="CJ198" s="3">
        <f t="shared" ca="1" si="220"/>
        <v>159</v>
      </c>
      <c r="CK198" s="3">
        <f t="shared" ca="1" si="221"/>
        <v>7.3199613295704472E-3</v>
      </c>
      <c r="CL198" s="3">
        <f t="shared" ca="1" si="222"/>
        <v>0</v>
      </c>
      <c r="CM198" s="3"/>
      <c r="CN198" s="1">
        <f t="shared" ca="1" si="223"/>
        <v>12.364735604332651</v>
      </c>
      <c r="CO198" s="1">
        <f t="shared" ca="1" si="224"/>
        <v>0.23432190790100277</v>
      </c>
      <c r="CP198" s="1">
        <f t="shared" ca="1" si="225"/>
        <v>5</v>
      </c>
    </row>
    <row r="199" spans="2:94" x14ac:dyDescent="0.25">
      <c r="B199">
        <f t="shared" ca="1" si="171"/>
        <v>15</v>
      </c>
      <c r="C199">
        <f t="shared" ca="1" si="172"/>
        <v>29</v>
      </c>
      <c r="D199">
        <f t="shared" ca="1" si="173"/>
        <v>0.2255032881359488</v>
      </c>
      <c r="F199" s="1">
        <f t="shared" ca="1" si="174"/>
        <v>34</v>
      </c>
      <c r="G199" s="1">
        <f t="shared" ca="1" si="175"/>
        <v>27</v>
      </c>
      <c r="H199" s="1">
        <f t="shared" ca="1" si="176"/>
        <v>6</v>
      </c>
      <c r="I199" s="1"/>
      <c r="J199" s="1">
        <f t="shared" ca="1" si="177"/>
        <v>6</v>
      </c>
      <c r="K199" s="1">
        <f t="shared" ca="1" si="178"/>
        <v>2.183672601465771</v>
      </c>
      <c r="L199" s="1">
        <f t="shared" ca="1" si="179"/>
        <v>27</v>
      </c>
      <c r="M199" s="1"/>
      <c r="N199" s="1">
        <f t="shared" ca="1" si="180"/>
        <v>498</v>
      </c>
      <c r="O199" s="1">
        <f t="shared" ca="1" si="181"/>
        <v>50</v>
      </c>
      <c r="P199" s="1"/>
      <c r="Q199" s="1">
        <f t="shared" ca="1" si="182"/>
        <v>0.93098573888944292</v>
      </c>
      <c r="R199" s="1">
        <f t="shared" ca="1" si="183"/>
        <v>1027</v>
      </c>
      <c r="S199" s="1"/>
      <c r="T199" s="1">
        <f t="shared" ca="1" si="184"/>
        <v>0.18070912741681427</v>
      </c>
      <c r="U199" s="1">
        <f t="shared" ca="1" si="185"/>
        <v>229</v>
      </c>
      <c r="V199" s="1">
        <f t="shared" ca="1" si="186"/>
        <v>31</v>
      </c>
      <c r="W199" s="1"/>
      <c r="X199" s="1">
        <f t="shared" ca="1" si="187"/>
        <v>1.2010698614559854</v>
      </c>
      <c r="Y199" s="1">
        <f t="shared" ca="1" si="188"/>
        <v>0.47580048413810389</v>
      </c>
      <c r="Z199" s="1">
        <f t="shared" ca="1" si="189"/>
        <v>1179</v>
      </c>
      <c r="AB199" s="1">
        <f t="shared" ca="1" si="190"/>
        <v>0.80575894521881586</v>
      </c>
      <c r="AC199" s="1">
        <f t="shared" ca="1" si="191"/>
        <v>113</v>
      </c>
      <c r="AD199" s="1">
        <f t="shared" ca="1" si="192"/>
        <v>1.230804924943612E-3</v>
      </c>
      <c r="AE199" s="1"/>
      <c r="AF199" s="1">
        <f t="shared" ca="1" si="193"/>
        <v>0.32442616277598091</v>
      </c>
      <c r="AG199" s="1">
        <f t="shared" ca="1" si="194"/>
        <v>302</v>
      </c>
      <c r="AH199" s="1">
        <f t="shared" ca="1" si="195"/>
        <v>5.0900683679053274E-3</v>
      </c>
      <c r="AJ199" s="1">
        <f t="shared" ca="1" si="196"/>
        <v>0.78182611280413206</v>
      </c>
      <c r="AK199" s="1">
        <f t="shared" ca="1" si="197"/>
        <v>9.8754366685266069E-3</v>
      </c>
      <c r="AL199" s="1"/>
      <c r="AM199" s="1">
        <f t="shared" ca="1" si="198"/>
        <v>0.19439983827625384</v>
      </c>
      <c r="AN199" s="1">
        <f t="shared" ca="1" si="199"/>
        <v>28</v>
      </c>
      <c r="AO199" s="1">
        <f t="shared" ca="1" si="200"/>
        <v>15</v>
      </c>
      <c r="AQ199" s="1">
        <f t="shared" ca="1" si="201"/>
        <v>80</v>
      </c>
      <c r="AR199" s="1">
        <f t="shared" ca="1" si="202"/>
        <v>5</v>
      </c>
      <c r="AS199" s="1">
        <f t="shared" ca="1" si="203"/>
        <v>43</v>
      </c>
      <c r="AU199" s="1">
        <f t="shared" ca="1" si="204"/>
        <v>216</v>
      </c>
      <c r="AV199" s="1">
        <f t="shared" ca="1" si="205"/>
        <v>2</v>
      </c>
      <c r="AW199" s="1">
        <f t="shared" ca="1" si="206"/>
        <v>0.16498795439768349</v>
      </c>
      <c r="AY199" s="1">
        <f t="shared" ca="1" si="207"/>
        <v>1.7930911877985887</v>
      </c>
      <c r="AZ199" s="1">
        <f t="shared" ca="1" si="208"/>
        <v>361</v>
      </c>
      <c r="BA199" s="1">
        <f t="shared" ca="1" si="209"/>
        <v>6.5969397672062651E-3</v>
      </c>
      <c r="BV199" s="1">
        <f t="shared" ca="1" si="210"/>
        <v>0.41748946296623668</v>
      </c>
      <c r="BW199" s="1">
        <f t="shared" ca="1" si="211"/>
        <v>798</v>
      </c>
      <c r="BX199" s="1">
        <f t="shared" ca="1" si="212"/>
        <v>8.9931854909362768E-3</v>
      </c>
      <c r="BY199" s="1">
        <f t="shared" ca="1" si="213"/>
        <v>8.5150308388089513E-2</v>
      </c>
      <c r="BZ199" s="1">
        <f t="shared" ca="1" si="214"/>
        <v>0.18569662113490926</v>
      </c>
      <c r="CB199" s="1">
        <f t="shared" ca="1" si="215"/>
        <v>272</v>
      </c>
      <c r="CC199" s="1">
        <f t="shared" ca="1" si="216"/>
        <v>6</v>
      </c>
      <c r="CD199" s="1">
        <f t="shared" ca="1" si="217"/>
        <v>0.27812456623301796</v>
      </c>
      <c r="CE199" s="1">
        <f t="shared" ca="1" si="170"/>
        <v>0.89492931323878877</v>
      </c>
      <c r="CF199" s="1">
        <f t="shared" ca="1" si="170"/>
        <v>0.934819661993605</v>
      </c>
      <c r="CH199" s="3">
        <f t="shared" ca="1" si="218"/>
        <v>0.22179152867872315</v>
      </c>
      <c r="CI199" s="3">
        <f t="shared" ca="1" si="219"/>
        <v>0.74174618693019578</v>
      </c>
      <c r="CJ199" s="3">
        <f t="shared" ca="1" si="220"/>
        <v>109</v>
      </c>
      <c r="CK199" s="3">
        <f t="shared" ca="1" si="221"/>
        <v>8.7076151123745664E-3</v>
      </c>
      <c r="CL199" s="3">
        <f t="shared" ca="1" si="222"/>
        <v>1</v>
      </c>
      <c r="CM199" s="3"/>
      <c r="CN199" s="1">
        <f t="shared" ca="1" si="223"/>
        <v>14.344037946475018</v>
      </c>
      <c r="CO199" s="1">
        <f t="shared" ca="1" si="224"/>
        <v>7.6721624042973127E-2</v>
      </c>
      <c r="CP199" s="1">
        <f t="shared" ca="1" si="225"/>
        <v>1</v>
      </c>
    </row>
    <row r="200" spans="2:94" x14ac:dyDescent="0.25">
      <c r="B200">
        <f t="shared" ca="1" si="171"/>
        <v>937</v>
      </c>
      <c r="C200">
        <f t="shared" ca="1" si="172"/>
        <v>34</v>
      </c>
      <c r="D200">
        <f t="shared" ca="1" si="173"/>
        <v>9.6497782154369161E-2</v>
      </c>
      <c r="F200" s="1">
        <f t="shared" ca="1" si="174"/>
        <v>41</v>
      </c>
      <c r="G200" s="1">
        <f t="shared" ca="1" si="175"/>
        <v>12</v>
      </c>
      <c r="H200" s="1">
        <f t="shared" ca="1" si="176"/>
        <v>13</v>
      </c>
      <c r="I200" s="1"/>
      <c r="J200" s="1">
        <f t="shared" ca="1" si="177"/>
        <v>20</v>
      </c>
      <c r="K200" s="1">
        <f t="shared" ca="1" si="178"/>
        <v>1.484242007082057</v>
      </c>
      <c r="L200" s="1">
        <f t="shared" ca="1" si="179"/>
        <v>12</v>
      </c>
      <c r="M200" s="1"/>
      <c r="N200" s="1">
        <f t="shared" ca="1" si="180"/>
        <v>739</v>
      </c>
      <c r="O200" s="1">
        <f t="shared" ca="1" si="181"/>
        <v>21</v>
      </c>
      <c r="P200" s="1"/>
      <c r="Q200" s="1">
        <f t="shared" ca="1" si="182"/>
        <v>3.8172254644666839</v>
      </c>
      <c r="R200" s="1">
        <f t="shared" ca="1" si="183"/>
        <v>1064</v>
      </c>
      <c r="S200" s="1"/>
      <c r="T200" s="1">
        <f t="shared" ca="1" si="184"/>
        <v>4.8527045379248721E-2</v>
      </c>
      <c r="U200" s="1">
        <f t="shared" ca="1" si="185"/>
        <v>225</v>
      </c>
      <c r="V200" s="1">
        <f t="shared" ca="1" si="186"/>
        <v>42</v>
      </c>
      <c r="W200" s="1"/>
      <c r="X200" s="1">
        <f t="shared" ca="1" si="187"/>
        <v>4.6822461766925478</v>
      </c>
      <c r="Y200" s="1">
        <f t="shared" ca="1" si="188"/>
        <v>0.97972830261550514</v>
      </c>
      <c r="Z200" s="1">
        <f t="shared" ca="1" si="189"/>
        <v>1128</v>
      </c>
      <c r="AB200" s="1">
        <f t="shared" ca="1" si="190"/>
        <v>0.50679299747335127</v>
      </c>
      <c r="AC200" s="1">
        <f t="shared" ca="1" si="191"/>
        <v>797</v>
      </c>
      <c r="AD200" s="1">
        <f t="shared" ca="1" si="192"/>
        <v>2.0878156304031084E-3</v>
      </c>
      <c r="AE200" s="1"/>
      <c r="AF200" s="1">
        <f t="shared" ca="1" si="193"/>
        <v>0.39430976622842628</v>
      </c>
      <c r="AG200" s="1">
        <f t="shared" ca="1" si="194"/>
        <v>526</v>
      </c>
      <c r="AH200" s="1">
        <f t="shared" ca="1" si="195"/>
        <v>2.5915456477304177E-3</v>
      </c>
      <c r="AJ200" s="1">
        <f t="shared" ca="1" si="196"/>
        <v>0.31290283829425825</v>
      </c>
      <c r="AK200" s="1">
        <f t="shared" ca="1" si="197"/>
        <v>4.8216261974817053E-3</v>
      </c>
      <c r="AL200" s="1"/>
      <c r="AM200" s="1">
        <f t="shared" ca="1" si="198"/>
        <v>2.608391374286427E-2</v>
      </c>
      <c r="AN200" s="1">
        <f t="shared" ca="1" si="199"/>
        <v>38</v>
      </c>
      <c r="AO200" s="1">
        <f t="shared" ca="1" si="200"/>
        <v>16</v>
      </c>
      <c r="AQ200" s="1">
        <f t="shared" ca="1" si="201"/>
        <v>33</v>
      </c>
      <c r="AR200" s="1">
        <f t="shared" ca="1" si="202"/>
        <v>0</v>
      </c>
      <c r="AS200" s="1">
        <f t="shared" ca="1" si="203"/>
        <v>38</v>
      </c>
      <c r="AU200" s="1">
        <f t="shared" ca="1" si="204"/>
        <v>335</v>
      </c>
      <c r="AV200" s="1">
        <f t="shared" ca="1" si="205"/>
        <v>8</v>
      </c>
      <c r="AW200" s="1">
        <f t="shared" ca="1" si="206"/>
        <v>0.16537338269093121</v>
      </c>
      <c r="AY200" s="1">
        <f t="shared" ca="1" si="207"/>
        <v>1.24175753290768</v>
      </c>
      <c r="AZ200" s="1">
        <f t="shared" ca="1" si="208"/>
        <v>376</v>
      </c>
      <c r="BA200" s="1">
        <f t="shared" ca="1" si="209"/>
        <v>4.4801313307876204E-3</v>
      </c>
      <c r="BV200" s="1">
        <f t="shared" ca="1" si="210"/>
        <v>8.9840733559422944E-2</v>
      </c>
      <c r="BW200" s="1">
        <f t="shared" ca="1" si="211"/>
        <v>728</v>
      </c>
      <c r="BX200" s="1">
        <f t="shared" ca="1" si="212"/>
        <v>7.8649873067620224E-3</v>
      </c>
      <c r="BY200" s="1">
        <f t="shared" ca="1" si="213"/>
        <v>4.344994160039304E-2</v>
      </c>
      <c r="BZ200" s="1">
        <f t="shared" ca="1" si="214"/>
        <v>0.58377738722825345</v>
      </c>
      <c r="CB200" s="1">
        <f t="shared" ca="1" si="215"/>
        <v>277</v>
      </c>
      <c r="CC200" s="1">
        <f t="shared" ca="1" si="216"/>
        <v>4</v>
      </c>
      <c r="CD200" s="1">
        <f t="shared" ca="1" si="217"/>
        <v>0.1116208352885255</v>
      </c>
      <c r="CE200" s="1">
        <f t="shared" ca="1" si="170"/>
        <v>0.6699469498966617</v>
      </c>
      <c r="CF200" s="1">
        <f t="shared" ca="1" si="170"/>
        <v>0.76648322296871685</v>
      </c>
      <c r="CH200" s="3">
        <f t="shared" ca="1" si="218"/>
        <v>0.45627675074175139</v>
      </c>
      <c r="CI200" s="3">
        <f t="shared" ca="1" si="219"/>
        <v>0.48374726238078497</v>
      </c>
      <c r="CJ200" s="3">
        <f t="shared" ca="1" si="220"/>
        <v>1276</v>
      </c>
      <c r="CK200" s="3">
        <f t="shared" ca="1" si="221"/>
        <v>9.570113520579725E-3</v>
      </c>
      <c r="CL200" s="3">
        <f t="shared" ca="1" si="222"/>
        <v>1</v>
      </c>
      <c r="CM200" s="3"/>
      <c r="CN200" s="1">
        <f t="shared" ca="1" si="223"/>
        <v>17.013687903083238</v>
      </c>
      <c r="CO200" s="1">
        <f t="shared" ca="1" si="224"/>
        <v>0.14123605235674866</v>
      </c>
      <c r="CP200" s="1">
        <f t="shared" ca="1" si="225"/>
        <v>2</v>
      </c>
    </row>
    <row r="201" spans="2:94" x14ac:dyDescent="0.25">
      <c r="B201">
        <f t="shared" ca="1" si="171"/>
        <v>840</v>
      </c>
      <c r="C201">
        <f t="shared" ca="1" si="172"/>
        <v>8</v>
      </c>
      <c r="D201">
        <f t="shared" ca="1" si="173"/>
        <v>1.9198045256882956E-2</v>
      </c>
      <c r="F201" s="1">
        <f t="shared" ca="1" si="174"/>
        <v>22</v>
      </c>
      <c r="G201" s="1">
        <f t="shared" ca="1" si="175"/>
        <v>17</v>
      </c>
      <c r="H201" s="1">
        <f t="shared" ca="1" si="176"/>
        <v>13</v>
      </c>
      <c r="I201" s="1"/>
      <c r="J201" s="1">
        <f t="shared" ca="1" si="177"/>
        <v>38</v>
      </c>
      <c r="K201" s="1">
        <f t="shared" ca="1" si="178"/>
        <v>2.2349374048761907</v>
      </c>
      <c r="L201" s="1">
        <f t="shared" ca="1" si="179"/>
        <v>14</v>
      </c>
      <c r="M201" s="1"/>
      <c r="N201" s="1">
        <f t="shared" ca="1" si="180"/>
        <v>618</v>
      </c>
      <c r="O201" s="1">
        <f t="shared" ca="1" si="181"/>
        <v>9</v>
      </c>
      <c r="P201" s="1"/>
      <c r="Q201" s="1">
        <f t="shared" ca="1" si="182"/>
        <v>3.9733840444105182</v>
      </c>
      <c r="R201" s="1">
        <f t="shared" ca="1" si="183"/>
        <v>967</v>
      </c>
      <c r="S201" s="1"/>
      <c r="T201" s="1">
        <f t="shared" ca="1" si="184"/>
        <v>0.19916135356001036</v>
      </c>
      <c r="U201" s="1">
        <f t="shared" ca="1" si="185"/>
        <v>120</v>
      </c>
      <c r="V201" s="1">
        <f t="shared" ca="1" si="186"/>
        <v>49</v>
      </c>
      <c r="W201" s="1"/>
      <c r="X201" s="1">
        <f t="shared" ca="1" si="187"/>
        <v>1.755016300304592</v>
      </c>
      <c r="Y201" s="1">
        <f t="shared" ca="1" si="188"/>
        <v>0.91135172531870212</v>
      </c>
      <c r="Z201" s="1">
        <f t="shared" ca="1" si="189"/>
        <v>1772</v>
      </c>
      <c r="AB201" s="1">
        <f t="shared" ca="1" si="190"/>
        <v>0.82854826858410091</v>
      </c>
      <c r="AC201" s="1">
        <f t="shared" ca="1" si="191"/>
        <v>685</v>
      </c>
      <c r="AD201" s="1">
        <f t="shared" ca="1" si="192"/>
        <v>9.900524425114696E-3</v>
      </c>
      <c r="AE201" s="1"/>
      <c r="AF201" s="1">
        <f t="shared" ca="1" si="193"/>
        <v>0.73681709342974988</v>
      </c>
      <c r="AG201" s="1">
        <f t="shared" ca="1" si="194"/>
        <v>880</v>
      </c>
      <c r="AH201" s="1">
        <f t="shared" ca="1" si="195"/>
        <v>8.4647569200233825E-3</v>
      </c>
      <c r="AJ201" s="1">
        <f t="shared" ca="1" si="196"/>
        <v>0.10732712564433289</v>
      </c>
      <c r="AK201" s="1">
        <f t="shared" ca="1" si="197"/>
        <v>6.2104631756664799E-3</v>
      </c>
      <c r="AL201" s="1"/>
      <c r="AM201" s="1">
        <f t="shared" ca="1" si="198"/>
        <v>8.5930506725137995E-2</v>
      </c>
      <c r="AN201" s="1">
        <f t="shared" ca="1" si="199"/>
        <v>20</v>
      </c>
      <c r="AO201" s="1">
        <f t="shared" ca="1" si="200"/>
        <v>0</v>
      </c>
      <c r="AQ201" s="1">
        <f t="shared" ca="1" si="201"/>
        <v>191</v>
      </c>
      <c r="AR201" s="1">
        <f t="shared" ca="1" si="202"/>
        <v>10</v>
      </c>
      <c r="AS201" s="1">
        <f t="shared" ca="1" si="203"/>
        <v>26</v>
      </c>
      <c r="AU201" s="1">
        <f t="shared" ca="1" si="204"/>
        <v>379</v>
      </c>
      <c r="AV201" s="1">
        <f t="shared" ca="1" si="205"/>
        <v>8</v>
      </c>
      <c r="AW201" s="1">
        <f t="shared" ca="1" si="206"/>
        <v>0.17562973273582888</v>
      </c>
      <c r="AY201" s="1">
        <f t="shared" ca="1" si="207"/>
        <v>1.1298855174683478</v>
      </c>
      <c r="AZ201" s="1">
        <f t="shared" ca="1" si="208"/>
        <v>434</v>
      </c>
      <c r="BA201" s="1">
        <f t="shared" ca="1" si="209"/>
        <v>5.1708806429496303E-3</v>
      </c>
      <c r="BV201" s="1">
        <f t="shared" ca="1" si="210"/>
        <v>0.32156565451171504</v>
      </c>
      <c r="BW201" s="1">
        <f t="shared" ca="1" si="211"/>
        <v>368</v>
      </c>
      <c r="BX201" s="1">
        <f t="shared" ca="1" si="212"/>
        <v>1.173677824701524E-3</v>
      </c>
      <c r="BY201" s="1">
        <f t="shared" ca="1" si="213"/>
        <v>2.1293650425263044E-2</v>
      </c>
      <c r="BZ201" s="1">
        <f t="shared" ca="1" si="214"/>
        <v>0.72559798869999237</v>
      </c>
      <c r="CB201" s="1">
        <f t="shared" ca="1" si="215"/>
        <v>345</v>
      </c>
      <c r="CC201" s="1">
        <f t="shared" ca="1" si="216"/>
        <v>15</v>
      </c>
      <c r="CD201" s="1">
        <f t="shared" ca="1" si="217"/>
        <v>0.20074430072692689</v>
      </c>
      <c r="CE201" s="1">
        <f t="shared" ca="1" si="170"/>
        <v>0.73154627918258042</v>
      </c>
      <c r="CF201" s="1">
        <f t="shared" ca="1" si="170"/>
        <v>0.75188092627757841</v>
      </c>
      <c r="CH201" s="3">
        <f t="shared" ca="1" si="218"/>
        <v>0.67967770222573975</v>
      </c>
      <c r="CI201" s="3">
        <f t="shared" ca="1" si="219"/>
        <v>0.66602107643324893</v>
      </c>
      <c r="CJ201" s="3">
        <f t="shared" ca="1" si="220"/>
        <v>521</v>
      </c>
      <c r="CK201" s="3">
        <f t="shared" ca="1" si="221"/>
        <v>5.1657600511724863E-5</v>
      </c>
      <c r="CL201" s="3">
        <f t="shared" ca="1" si="222"/>
        <v>0</v>
      </c>
      <c r="CM201" s="3"/>
      <c r="CN201" s="1">
        <f t="shared" ca="1" si="223"/>
        <v>4.3822605407956514</v>
      </c>
      <c r="CO201" s="1">
        <f t="shared" ca="1" si="224"/>
        <v>0.32802210580306013</v>
      </c>
      <c r="CP201" s="1">
        <f t="shared" ca="1" si="225"/>
        <v>2</v>
      </c>
    </row>
    <row r="202" spans="2:94" x14ac:dyDescent="0.25">
      <c r="B202">
        <f t="shared" ca="1" si="171"/>
        <v>949</v>
      </c>
      <c r="C202">
        <f t="shared" ca="1" si="172"/>
        <v>15</v>
      </c>
      <c r="D202">
        <f t="shared" ca="1" si="173"/>
        <v>4.1239810416776788E-2</v>
      </c>
      <c r="F202" s="1">
        <f t="shared" ca="1" si="174"/>
        <v>35</v>
      </c>
      <c r="G202" s="1">
        <f t="shared" ca="1" si="175"/>
        <v>17</v>
      </c>
      <c r="H202" s="1">
        <f t="shared" ca="1" si="176"/>
        <v>9</v>
      </c>
      <c r="I202" s="1"/>
      <c r="J202" s="1">
        <f t="shared" ca="1" si="177"/>
        <v>1</v>
      </c>
      <c r="K202" s="1">
        <f t="shared" ca="1" si="178"/>
        <v>2.8496939644121797</v>
      </c>
      <c r="L202" s="1">
        <f t="shared" ca="1" si="179"/>
        <v>3</v>
      </c>
      <c r="M202" s="1"/>
      <c r="N202" s="1">
        <f t="shared" ca="1" si="180"/>
        <v>661</v>
      </c>
      <c r="O202" s="1">
        <f t="shared" ca="1" si="181"/>
        <v>12</v>
      </c>
      <c r="P202" s="1"/>
      <c r="Q202" s="1">
        <f t="shared" ca="1" si="182"/>
        <v>4.2068607456191778</v>
      </c>
      <c r="R202" s="1">
        <f t="shared" ca="1" si="183"/>
        <v>907</v>
      </c>
      <c r="S202" s="1"/>
      <c r="T202" s="1">
        <f t="shared" ca="1" si="184"/>
        <v>5.4224859180238505E-2</v>
      </c>
      <c r="U202" s="1">
        <f t="shared" ca="1" si="185"/>
        <v>302</v>
      </c>
      <c r="V202" s="1">
        <f t="shared" ca="1" si="186"/>
        <v>5</v>
      </c>
      <c r="W202" s="1"/>
      <c r="X202" s="1">
        <f t="shared" ca="1" si="187"/>
        <v>4.373856358286198</v>
      </c>
      <c r="Y202" s="1">
        <f t="shared" ca="1" si="188"/>
        <v>0.3506808250785669</v>
      </c>
      <c r="Z202" s="1">
        <f t="shared" ca="1" si="189"/>
        <v>663</v>
      </c>
      <c r="AB202" s="1">
        <f t="shared" ca="1" si="190"/>
        <v>0.23701725723349681</v>
      </c>
      <c r="AC202" s="1">
        <f t="shared" ca="1" si="191"/>
        <v>476</v>
      </c>
      <c r="AD202" s="1">
        <f t="shared" ca="1" si="192"/>
        <v>8.5066888274517079E-3</v>
      </c>
      <c r="AE202" s="1"/>
      <c r="AF202" s="1">
        <f t="shared" ca="1" si="193"/>
        <v>0.52867252454912261</v>
      </c>
      <c r="AG202" s="1">
        <f t="shared" ca="1" si="194"/>
        <v>798</v>
      </c>
      <c r="AH202" s="1">
        <f t="shared" ca="1" si="195"/>
        <v>9.2840266128884873E-3</v>
      </c>
      <c r="AJ202" s="1">
        <f t="shared" ca="1" si="196"/>
        <v>0.61017849406007008</v>
      </c>
      <c r="AK202" s="1">
        <f t="shared" ca="1" si="197"/>
        <v>6.3783575619637094E-3</v>
      </c>
      <c r="AL202" s="1"/>
      <c r="AM202" s="1">
        <f t="shared" ca="1" si="198"/>
        <v>2.0575289527239925E-2</v>
      </c>
      <c r="AN202" s="1">
        <f t="shared" ca="1" si="199"/>
        <v>28</v>
      </c>
      <c r="AO202" s="1">
        <f t="shared" ca="1" si="200"/>
        <v>14</v>
      </c>
      <c r="AQ202" s="1">
        <f t="shared" ca="1" si="201"/>
        <v>15</v>
      </c>
      <c r="AR202" s="1">
        <f t="shared" ca="1" si="202"/>
        <v>6</v>
      </c>
      <c r="AS202" s="1">
        <f t="shared" ca="1" si="203"/>
        <v>12</v>
      </c>
      <c r="AU202" s="1">
        <f t="shared" ca="1" si="204"/>
        <v>147</v>
      </c>
      <c r="AV202" s="1">
        <f t="shared" ca="1" si="205"/>
        <v>10</v>
      </c>
      <c r="AW202" s="1">
        <f t="shared" ca="1" si="206"/>
        <v>0.11682781389497716</v>
      </c>
      <c r="AY202" s="1">
        <f t="shared" ca="1" si="207"/>
        <v>1.6587166182759965</v>
      </c>
      <c r="AZ202" s="1">
        <f t="shared" ca="1" si="208"/>
        <v>216</v>
      </c>
      <c r="BA202" s="1">
        <f t="shared" ca="1" si="209"/>
        <v>9.0398252018833031E-3</v>
      </c>
      <c r="BV202" s="1">
        <f t="shared" ca="1" si="210"/>
        <v>0.33132643129872807</v>
      </c>
      <c r="BW202" s="1">
        <f t="shared" ca="1" si="211"/>
        <v>780</v>
      </c>
      <c r="BX202" s="1">
        <f t="shared" ca="1" si="212"/>
        <v>4.5055803835344676E-3</v>
      </c>
      <c r="BY202" s="1">
        <f t="shared" ca="1" si="213"/>
        <v>5.1035893947064016E-2</v>
      </c>
      <c r="BZ202" s="1">
        <f t="shared" ca="1" si="214"/>
        <v>0.70635054752535098</v>
      </c>
      <c r="CB202" s="1">
        <f t="shared" ca="1" si="215"/>
        <v>456</v>
      </c>
      <c r="CC202" s="1">
        <f t="shared" ca="1" si="216"/>
        <v>6</v>
      </c>
      <c r="CD202" s="1">
        <f t="shared" ca="1" si="217"/>
        <v>0.11408641401721967</v>
      </c>
      <c r="CE202" s="1">
        <f t="shared" ca="1" si="170"/>
        <v>0.526041504903344</v>
      </c>
      <c r="CF202" s="1">
        <f t="shared" ca="1" si="170"/>
        <v>0.95712632425768085</v>
      </c>
      <c r="CH202" s="3">
        <f t="shared" ca="1" si="218"/>
        <v>0.42961964981139872</v>
      </c>
      <c r="CI202" s="3">
        <f t="shared" ca="1" si="219"/>
        <v>0.9888735064836226</v>
      </c>
      <c r="CJ202" s="3">
        <f t="shared" ca="1" si="220"/>
        <v>328</v>
      </c>
      <c r="CK202" s="3">
        <f t="shared" ca="1" si="221"/>
        <v>4.7386491899412244E-3</v>
      </c>
      <c r="CL202" s="3">
        <f t="shared" ca="1" si="222"/>
        <v>1</v>
      </c>
      <c r="CM202" s="3"/>
      <c r="CN202" s="1">
        <f t="shared" ca="1" si="223"/>
        <v>19.176772188817683</v>
      </c>
      <c r="CO202" s="1">
        <f t="shared" ca="1" si="224"/>
        <v>0.2581992144052585</v>
      </c>
      <c r="CP202" s="1">
        <f t="shared" ca="1" si="225"/>
        <v>1</v>
      </c>
    </row>
  </sheetData>
  <mergeCells count="27">
    <mergeCell ref="DD1:DF1"/>
    <mergeCell ref="AJ1:AK1"/>
    <mergeCell ref="AB1:AD1"/>
    <mergeCell ref="AF1:AH1"/>
    <mergeCell ref="AY1:BA1"/>
    <mergeCell ref="BC1:BE1"/>
    <mergeCell ref="T1:V1"/>
    <mergeCell ref="X1:Z1"/>
    <mergeCell ref="B1:D1"/>
    <mergeCell ref="F1:H1"/>
    <mergeCell ref="J1:L1"/>
    <mergeCell ref="N1:O1"/>
    <mergeCell ref="Q1:R1"/>
    <mergeCell ref="CZ1:DB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  <mergeCell ref="CR1:CT1"/>
    <mergeCell ref="CV1:CX1"/>
    <mergeCell ref="CN1:CP1"/>
    <mergeCell ref="CH1:CL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2026-06-20T08:01:07Z</dcterms:modified>
</cp:coreProperties>
</file>