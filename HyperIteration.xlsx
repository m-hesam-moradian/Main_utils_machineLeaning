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\Desktop\ML\"/>
    </mc:Choice>
  </mc:AlternateContent>
  <xr:revisionPtr revIDLastSave="0" documentId="13_ncr:1_{04C67D7D-47A0-467E-9AC5-C870921A683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1" l="1"/>
  <c r="BH4" i="1"/>
  <c r="BI4" i="1"/>
  <c r="BG5" i="1"/>
  <c r="BH5" i="1"/>
  <c r="BI5" i="1"/>
  <c r="BG6" i="1"/>
  <c r="BH6" i="1"/>
  <c r="BI6" i="1"/>
  <c r="BG7" i="1"/>
  <c r="BH7" i="1"/>
  <c r="BI7" i="1"/>
  <c r="BG8" i="1"/>
  <c r="BH8" i="1"/>
  <c r="BI8" i="1"/>
  <c r="BG9" i="1"/>
  <c r="BH9" i="1"/>
  <c r="BI9" i="1"/>
  <c r="BG10" i="1"/>
  <c r="BH10" i="1"/>
  <c r="BI10" i="1"/>
  <c r="BG11" i="1"/>
  <c r="BH11" i="1"/>
  <c r="BI11" i="1"/>
  <c r="BG12" i="1"/>
  <c r="BH12" i="1"/>
  <c r="BI12" i="1"/>
  <c r="BG13" i="1"/>
  <c r="BH13" i="1"/>
  <c r="BI13" i="1"/>
  <c r="BG14" i="1"/>
  <c r="BH14" i="1"/>
  <c r="BI14" i="1"/>
  <c r="BG15" i="1"/>
  <c r="BH15" i="1"/>
  <c r="BI15" i="1"/>
  <c r="BG16" i="1"/>
  <c r="BH16" i="1"/>
  <c r="BI16" i="1"/>
  <c r="BG17" i="1"/>
  <c r="BH17" i="1"/>
  <c r="BI17" i="1"/>
  <c r="BG18" i="1"/>
  <c r="BH18" i="1"/>
  <c r="BI18" i="1"/>
  <c r="BG19" i="1"/>
  <c r="BH19" i="1"/>
  <c r="BI19" i="1"/>
  <c r="BG20" i="1"/>
  <c r="BH20" i="1"/>
  <c r="BI20" i="1"/>
  <c r="BG21" i="1"/>
  <c r="BH21" i="1"/>
  <c r="BI21" i="1"/>
  <c r="BG22" i="1"/>
  <c r="BH22" i="1"/>
  <c r="BI22" i="1"/>
  <c r="BG23" i="1"/>
  <c r="BH23" i="1"/>
  <c r="BI23" i="1"/>
  <c r="BG24" i="1"/>
  <c r="BH24" i="1"/>
  <c r="BI24" i="1"/>
  <c r="BG25" i="1"/>
  <c r="BH25" i="1"/>
  <c r="BI25" i="1"/>
  <c r="BG26" i="1"/>
  <c r="BH26" i="1"/>
  <c r="BI26" i="1"/>
  <c r="BG27" i="1"/>
  <c r="BH27" i="1"/>
  <c r="BI27" i="1"/>
  <c r="BG28" i="1"/>
  <c r="BH28" i="1"/>
  <c r="BI28" i="1"/>
  <c r="BG29" i="1"/>
  <c r="BH29" i="1"/>
  <c r="BI29" i="1"/>
  <c r="BG30" i="1"/>
  <c r="BH30" i="1"/>
  <c r="BI30" i="1"/>
  <c r="BG31" i="1"/>
  <c r="BH31" i="1"/>
  <c r="BI31" i="1"/>
  <c r="BG32" i="1"/>
  <c r="BH32" i="1"/>
  <c r="BI32" i="1"/>
  <c r="BG33" i="1"/>
  <c r="BH33" i="1"/>
  <c r="BI33" i="1"/>
  <c r="BG34" i="1"/>
  <c r="BH34" i="1"/>
  <c r="BI34" i="1"/>
  <c r="BG35" i="1"/>
  <c r="BH35" i="1"/>
  <c r="BI35" i="1"/>
  <c r="BG36" i="1"/>
  <c r="BH36" i="1"/>
  <c r="BI36" i="1"/>
  <c r="BG37" i="1"/>
  <c r="BH37" i="1"/>
  <c r="BI37" i="1"/>
  <c r="BG38" i="1"/>
  <c r="BH38" i="1"/>
  <c r="BI38" i="1"/>
  <c r="BG39" i="1"/>
  <c r="BH39" i="1"/>
  <c r="BI39" i="1"/>
  <c r="BG40" i="1"/>
  <c r="BH40" i="1"/>
  <c r="BI40" i="1"/>
  <c r="BG41" i="1"/>
  <c r="BH41" i="1"/>
  <c r="BI41" i="1"/>
  <c r="BG42" i="1"/>
  <c r="BH42" i="1"/>
  <c r="BI42" i="1"/>
  <c r="BG43" i="1"/>
  <c r="BH43" i="1"/>
  <c r="BI43" i="1"/>
  <c r="BG44" i="1"/>
  <c r="BH44" i="1"/>
  <c r="BI44" i="1"/>
  <c r="BG45" i="1"/>
  <c r="BH45" i="1"/>
  <c r="BI45" i="1"/>
  <c r="BG46" i="1"/>
  <c r="BH46" i="1"/>
  <c r="BI46" i="1"/>
  <c r="BG47" i="1"/>
  <c r="BH47" i="1"/>
  <c r="BI47" i="1"/>
  <c r="BG48" i="1"/>
  <c r="BH48" i="1"/>
  <c r="BI48" i="1"/>
  <c r="BG49" i="1"/>
  <c r="BH49" i="1"/>
  <c r="BI49" i="1"/>
  <c r="BG50" i="1"/>
  <c r="BH50" i="1"/>
  <c r="BI50" i="1"/>
  <c r="BG51" i="1"/>
  <c r="BH51" i="1"/>
  <c r="BI51" i="1"/>
  <c r="BG52" i="1"/>
  <c r="BH52" i="1"/>
  <c r="BI52" i="1"/>
  <c r="BG53" i="1"/>
  <c r="BH53" i="1"/>
  <c r="BI53" i="1"/>
  <c r="BG54" i="1"/>
  <c r="BH54" i="1"/>
  <c r="BI54" i="1"/>
  <c r="BG55" i="1"/>
  <c r="BH55" i="1"/>
  <c r="BI55" i="1"/>
  <c r="BG56" i="1"/>
  <c r="BH56" i="1"/>
  <c r="BI56" i="1"/>
  <c r="BG57" i="1"/>
  <c r="BH57" i="1"/>
  <c r="BI57" i="1"/>
  <c r="BG58" i="1"/>
  <c r="BH58" i="1"/>
  <c r="BI58" i="1"/>
  <c r="BG59" i="1"/>
  <c r="BH59" i="1"/>
  <c r="BI59" i="1"/>
  <c r="BG60" i="1"/>
  <c r="BH60" i="1"/>
  <c r="BI60" i="1"/>
  <c r="BG61" i="1"/>
  <c r="BH61" i="1"/>
  <c r="BI61" i="1"/>
  <c r="BG62" i="1"/>
  <c r="BH62" i="1"/>
  <c r="BI62" i="1"/>
  <c r="BG63" i="1"/>
  <c r="BH63" i="1"/>
  <c r="BI63" i="1"/>
  <c r="BG64" i="1"/>
  <c r="BH64" i="1"/>
  <c r="BI64" i="1"/>
  <c r="BG65" i="1"/>
  <c r="BH65" i="1"/>
  <c r="BI65" i="1"/>
  <c r="BG66" i="1"/>
  <c r="BH66" i="1"/>
  <c r="BI66" i="1"/>
  <c r="BG67" i="1"/>
  <c r="BH67" i="1"/>
  <c r="BI67" i="1"/>
  <c r="BG68" i="1"/>
  <c r="BH68" i="1"/>
  <c r="BI68" i="1"/>
  <c r="BG69" i="1"/>
  <c r="BH69" i="1"/>
  <c r="BI69" i="1"/>
  <c r="BG70" i="1"/>
  <c r="BH70" i="1"/>
  <c r="BI70" i="1"/>
  <c r="BG71" i="1"/>
  <c r="BH71" i="1"/>
  <c r="BI71" i="1"/>
  <c r="BG72" i="1"/>
  <c r="BH72" i="1"/>
  <c r="BI72" i="1"/>
  <c r="BG73" i="1"/>
  <c r="BH73" i="1"/>
  <c r="BI73" i="1"/>
  <c r="BG74" i="1"/>
  <c r="BH74" i="1"/>
  <c r="BI74" i="1"/>
  <c r="BG75" i="1"/>
  <c r="BH75" i="1"/>
  <c r="BI75" i="1"/>
  <c r="BG76" i="1"/>
  <c r="BH76" i="1"/>
  <c r="BI76" i="1"/>
  <c r="BG77" i="1"/>
  <c r="BH77" i="1"/>
  <c r="BI77" i="1"/>
  <c r="BG78" i="1"/>
  <c r="BH78" i="1"/>
  <c r="BI78" i="1"/>
  <c r="BG79" i="1"/>
  <c r="BH79" i="1"/>
  <c r="BI79" i="1"/>
  <c r="BG80" i="1"/>
  <c r="BH80" i="1"/>
  <c r="BI80" i="1"/>
  <c r="BG81" i="1"/>
  <c r="BH81" i="1"/>
  <c r="BI81" i="1"/>
  <c r="BG82" i="1"/>
  <c r="BH82" i="1"/>
  <c r="BI82" i="1"/>
  <c r="BG83" i="1"/>
  <c r="BH83" i="1"/>
  <c r="BI83" i="1"/>
  <c r="BG84" i="1"/>
  <c r="BH84" i="1"/>
  <c r="BI84" i="1"/>
  <c r="BG85" i="1"/>
  <c r="BH85" i="1"/>
  <c r="BI85" i="1"/>
  <c r="BG86" i="1"/>
  <c r="BH86" i="1"/>
  <c r="BI86" i="1"/>
  <c r="BG87" i="1"/>
  <c r="BH87" i="1"/>
  <c r="BI87" i="1"/>
  <c r="BG88" i="1"/>
  <c r="BH88" i="1"/>
  <c r="BI88" i="1"/>
  <c r="BG89" i="1"/>
  <c r="BH89" i="1"/>
  <c r="BI89" i="1"/>
  <c r="BG90" i="1"/>
  <c r="BH90" i="1"/>
  <c r="BI90" i="1"/>
  <c r="BG91" i="1"/>
  <c r="BH91" i="1"/>
  <c r="BI91" i="1"/>
  <c r="BG92" i="1"/>
  <c r="BH92" i="1"/>
  <c r="BI92" i="1"/>
  <c r="BG93" i="1"/>
  <c r="BH93" i="1"/>
  <c r="BI93" i="1"/>
  <c r="BG94" i="1"/>
  <c r="BH94" i="1"/>
  <c r="BI94" i="1"/>
  <c r="BG95" i="1"/>
  <c r="BH95" i="1"/>
  <c r="BI95" i="1"/>
  <c r="BG96" i="1"/>
  <c r="BH96" i="1"/>
  <c r="BI96" i="1"/>
  <c r="BG97" i="1"/>
  <c r="BH97" i="1"/>
  <c r="BI97" i="1"/>
  <c r="BG98" i="1"/>
  <c r="BH98" i="1"/>
  <c r="BI98" i="1"/>
  <c r="BG99" i="1"/>
  <c r="BH99" i="1"/>
  <c r="BI99" i="1"/>
  <c r="BG100" i="1"/>
  <c r="BH100" i="1"/>
  <c r="BI100" i="1"/>
  <c r="BG101" i="1"/>
  <c r="BH101" i="1"/>
  <c r="BI101" i="1"/>
  <c r="BG102" i="1"/>
  <c r="BH102" i="1"/>
  <c r="BI102" i="1"/>
  <c r="BG103" i="1"/>
  <c r="BH103" i="1"/>
  <c r="BI103" i="1"/>
  <c r="BG104" i="1"/>
  <c r="BH104" i="1"/>
  <c r="BI104" i="1"/>
  <c r="BG105" i="1"/>
  <c r="BH105" i="1"/>
  <c r="BI105" i="1"/>
  <c r="BG106" i="1"/>
  <c r="BH106" i="1"/>
  <c r="BI106" i="1"/>
  <c r="BG107" i="1"/>
  <c r="BH107" i="1"/>
  <c r="BI107" i="1"/>
  <c r="BG108" i="1"/>
  <c r="BH108" i="1"/>
  <c r="BI108" i="1"/>
  <c r="BG109" i="1"/>
  <c r="BH109" i="1"/>
  <c r="BI109" i="1"/>
  <c r="BG110" i="1"/>
  <c r="BH110" i="1"/>
  <c r="BI110" i="1"/>
  <c r="BG111" i="1"/>
  <c r="BH111" i="1"/>
  <c r="BI111" i="1"/>
  <c r="BG112" i="1"/>
  <c r="BH112" i="1"/>
  <c r="BI112" i="1"/>
  <c r="BG113" i="1"/>
  <c r="BH113" i="1"/>
  <c r="BI113" i="1"/>
  <c r="BG114" i="1"/>
  <c r="BH114" i="1"/>
  <c r="BI114" i="1"/>
  <c r="BG115" i="1"/>
  <c r="BH115" i="1"/>
  <c r="BI115" i="1"/>
  <c r="BG116" i="1"/>
  <c r="BH116" i="1"/>
  <c r="BI116" i="1"/>
  <c r="BG117" i="1"/>
  <c r="BH117" i="1"/>
  <c r="BI117" i="1"/>
  <c r="BG118" i="1"/>
  <c r="BH118" i="1"/>
  <c r="BI118" i="1"/>
  <c r="BG119" i="1"/>
  <c r="BH119" i="1"/>
  <c r="BI119" i="1"/>
  <c r="BG120" i="1"/>
  <c r="BH120" i="1"/>
  <c r="BI120" i="1"/>
  <c r="BG121" i="1"/>
  <c r="BH121" i="1"/>
  <c r="BI121" i="1"/>
  <c r="BG122" i="1"/>
  <c r="BH122" i="1"/>
  <c r="BI122" i="1"/>
  <c r="BG123" i="1"/>
  <c r="BH123" i="1"/>
  <c r="BI123" i="1"/>
  <c r="BG124" i="1"/>
  <c r="BH124" i="1"/>
  <c r="BI124" i="1"/>
  <c r="BG125" i="1"/>
  <c r="BH125" i="1"/>
  <c r="BI125" i="1"/>
  <c r="BG126" i="1"/>
  <c r="BH126" i="1"/>
  <c r="BI126" i="1"/>
  <c r="BG127" i="1"/>
  <c r="BH127" i="1"/>
  <c r="BI127" i="1"/>
  <c r="BG128" i="1"/>
  <c r="BH128" i="1"/>
  <c r="BI128" i="1"/>
  <c r="BG129" i="1"/>
  <c r="BH129" i="1"/>
  <c r="BI129" i="1"/>
  <c r="BG130" i="1"/>
  <c r="BH130" i="1"/>
  <c r="BI130" i="1"/>
  <c r="BG131" i="1"/>
  <c r="BH131" i="1"/>
  <c r="BI131" i="1"/>
  <c r="BG132" i="1"/>
  <c r="BH132" i="1"/>
  <c r="BI132" i="1"/>
  <c r="BG133" i="1"/>
  <c r="BH133" i="1"/>
  <c r="BI133" i="1"/>
  <c r="BG134" i="1"/>
  <c r="BH134" i="1"/>
  <c r="BI134" i="1"/>
  <c r="BG135" i="1"/>
  <c r="BH135" i="1"/>
  <c r="BI135" i="1"/>
  <c r="BG136" i="1"/>
  <c r="BH136" i="1"/>
  <c r="BI136" i="1"/>
  <c r="BG137" i="1"/>
  <c r="BH137" i="1"/>
  <c r="BI137" i="1"/>
  <c r="BG138" i="1"/>
  <c r="BH138" i="1"/>
  <c r="BI138" i="1"/>
  <c r="BG139" i="1"/>
  <c r="BH139" i="1"/>
  <c r="BI139" i="1"/>
  <c r="BG140" i="1"/>
  <c r="BH140" i="1"/>
  <c r="BI140" i="1"/>
  <c r="BG141" i="1"/>
  <c r="BH141" i="1"/>
  <c r="BI141" i="1"/>
  <c r="BG142" i="1"/>
  <c r="BH142" i="1"/>
  <c r="BI142" i="1"/>
  <c r="BG143" i="1"/>
  <c r="BH143" i="1"/>
  <c r="BI143" i="1"/>
  <c r="BG144" i="1"/>
  <c r="BH144" i="1"/>
  <c r="BI144" i="1"/>
  <c r="BG145" i="1"/>
  <c r="BH145" i="1"/>
  <c r="BI145" i="1"/>
  <c r="BG146" i="1"/>
  <c r="BH146" i="1"/>
  <c r="BI146" i="1"/>
  <c r="BG147" i="1"/>
  <c r="BH147" i="1"/>
  <c r="BI147" i="1"/>
  <c r="BG148" i="1"/>
  <c r="BH148" i="1"/>
  <c r="BI148" i="1"/>
  <c r="BG149" i="1"/>
  <c r="BH149" i="1"/>
  <c r="BI149" i="1"/>
  <c r="BG150" i="1"/>
  <c r="BH150" i="1"/>
  <c r="BI150" i="1"/>
  <c r="BG151" i="1"/>
  <c r="BH151" i="1"/>
  <c r="BI151" i="1"/>
  <c r="BG152" i="1"/>
  <c r="BH152" i="1"/>
  <c r="BI152" i="1"/>
  <c r="BG153" i="1"/>
  <c r="BH153" i="1"/>
  <c r="BI153" i="1"/>
  <c r="BG154" i="1"/>
  <c r="BH154" i="1"/>
  <c r="BI154" i="1"/>
  <c r="BG155" i="1"/>
  <c r="BH155" i="1"/>
  <c r="BI155" i="1"/>
  <c r="BG156" i="1"/>
  <c r="BH156" i="1"/>
  <c r="BI156" i="1"/>
  <c r="BG157" i="1"/>
  <c r="BH157" i="1"/>
  <c r="BI157" i="1"/>
  <c r="BG158" i="1"/>
  <c r="BH158" i="1"/>
  <c r="BI158" i="1"/>
  <c r="BG159" i="1"/>
  <c r="BH159" i="1"/>
  <c r="BI159" i="1"/>
  <c r="BG160" i="1"/>
  <c r="BH160" i="1"/>
  <c r="BI160" i="1"/>
  <c r="BG161" i="1"/>
  <c r="BH161" i="1"/>
  <c r="BI161" i="1"/>
  <c r="BG162" i="1"/>
  <c r="BH162" i="1"/>
  <c r="BI162" i="1"/>
  <c r="BG163" i="1"/>
  <c r="BH163" i="1"/>
  <c r="BI163" i="1"/>
  <c r="BG164" i="1"/>
  <c r="BH164" i="1"/>
  <c r="BI164" i="1"/>
  <c r="BG165" i="1"/>
  <c r="BH165" i="1"/>
  <c r="BI165" i="1"/>
  <c r="BG166" i="1"/>
  <c r="BH166" i="1"/>
  <c r="BI166" i="1"/>
  <c r="BG167" i="1"/>
  <c r="BH167" i="1"/>
  <c r="BI167" i="1"/>
  <c r="BG168" i="1"/>
  <c r="BH168" i="1"/>
  <c r="BI168" i="1"/>
  <c r="BG169" i="1"/>
  <c r="BH169" i="1"/>
  <c r="BI169" i="1"/>
  <c r="BG170" i="1"/>
  <c r="BH170" i="1"/>
  <c r="BI170" i="1"/>
  <c r="BG171" i="1"/>
  <c r="BH171" i="1"/>
  <c r="BI171" i="1"/>
  <c r="BG172" i="1"/>
  <c r="BH172" i="1"/>
  <c r="BI172" i="1"/>
  <c r="BG173" i="1"/>
  <c r="BH173" i="1"/>
  <c r="BI173" i="1"/>
  <c r="BG174" i="1"/>
  <c r="BH174" i="1"/>
  <c r="BI174" i="1"/>
  <c r="BG175" i="1"/>
  <c r="BH175" i="1"/>
  <c r="BI175" i="1"/>
  <c r="BG176" i="1"/>
  <c r="BH176" i="1"/>
  <c r="BI176" i="1"/>
  <c r="BG177" i="1"/>
  <c r="BH177" i="1"/>
  <c r="BI177" i="1"/>
  <c r="BG178" i="1"/>
  <c r="BH178" i="1"/>
  <c r="BI178" i="1"/>
  <c r="BG179" i="1"/>
  <c r="BH179" i="1"/>
  <c r="BI179" i="1"/>
  <c r="BG180" i="1"/>
  <c r="BH180" i="1"/>
  <c r="BI180" i="1"/>
  <c r="BG181" i="1"/>
  <c r="BH181" i="1"/>
  <c r="BI181" i="1"/>
  <c r="BG182" i="1"/>
  <c r="BH182" i="1"/>
  <c r="BI182" i="1"/>
  <c r="BG183" i="1"/>
  <c r="BH183" i="1"/>
  <c r="BI183" i="1"/>
  <c r="BG184" i="1"/>
  <c r="BH184" i="1"/>
  <c r="BI184" i="1"/>
  <c r="BG185" i="1"/>
  <c r="BH185" i="1"/>
  <c r="BI185" i="1"/>
  <c r="BG186" i="1"/>
  <c r="BH186" i="1"/>
  <c r="BI186" i="1"/>
  <c r="BG187" i="1"/>
  <c r="BH187" i="1"/>
  <c r="BI187" i="1"/>
  <c r="BG188" i="1"/>
  <c r="BH188" i="1"/>
  <c r="BI188" i="1"/>
  <c r="BG189" i="1"/>
  <c r="BH189" i="1"/>
  <c r="BI189" i="1"/>
  <c r="BG190" i="1"/>
  <c r="BH190" i="1"/>
  <c r="BI190" i="1"/>
  <c r="BG191" i="1"/>
  <c r="BH191" i="1"/>
  <c r="BI191" i="1"/>
  <c r="BG192" i="1"/>
  <c r="BH192" i="1"/>
  <c r="BI192" i="1"/>
  <c r="BG193" i="1"/>
  <c r="BH193" i="1"/>
  <c r="BI193" i="1"/>
  <c r="BG194" i="1"/>
  <c r="BH194" i="1"/>
  <c r="BI194" i="1"/>
  <c r="BG195" i="1"/>
  <c r="BH195" i="1"/>
  <c r="BI195" i="1"/>
  <c r="BG196" i="1"/>
  <c r="BH196" i="1"/>
  <c r="BI196" i="1"/>
  <c r="BG197" i="1"/>
  <c r="BH197" i="1"/>
  <c r="BI197" i="1"/>
  <c r="BG198" i="1"/>
  <c r="BH198" i="1"/>
  <c r="BI198" i="1"/>
  <c r="BG199" i="1"/>
  <c r="BH199" i="1"/>
  <c r="BI199" i="1"/>
  <c r="BG200" i="1"/>
  <c r="BH200" i="1"/>
  <c r="BI200" i="1"/>
  <c r="BG201" i="1"/>
  <c r="BH201" i="1"/>
  <c r="BI201" i="1"/>
  <c r="BG202" i="1"/>
  <c r="BH202" i="1"/>
  <c r="BI202" i="1"/>
  <c r="DL4" i="1"/>
  <c r="DM4" i="1"/>
  <c r="DN4" i="1"/>
  <c r="DL5" i="1"/>
  <c r="DM5" i="1"/>
  <c r="DN5" i="1"/>
  <c r="DL6" i="1"/>
  <c r="DM6" i="1"/>
  <c r="DN6" i="1"/>
  <c r="DL7" i="1"/>
  <c r="DM7" i="1"/>
  <c r="DN7" i="1"/>
  <c r="DL8" i="1"/>
  <c r="DM8" i="1"/>
  <c r="DN8" i="1"/>
  <c r="DL9" i="1"/>
  <c r="DM9" i="1"/>
  <c r="DN9" i="1"/>
  <c r="DL10" i="1"/>
  <c r="DM10" i="1"/>
  <c r="DN10" i="1"/>
  <c r="DL11" i="1"/>
  <c r="DM11" i="1"/>
  <c r="DN11" i="1"/>
  <c r="DL12" i="1"/>
  <c r="DM12" i="1"/>
  <c r="DN12" i="1"/>
  <c r="DL13" i="1"/>
  <c r="DM13" i="1"/>
  <c r="DN13" i="1"/>
  <c r="DL14" i="1"/>
  <c r="DM14" i="1"/>
  <c r="DN14" i="1"/>
  <c r="DL15" i="1"/>
  <c r="DM15" i="1"/>
  <c r="DN15" i="1"/>
  <c r="DL16" i="1"/>
  <c r="DM16" i="1"/>
  <c r="DN16" i="1"/>
  <c r="DL17" i="1"/>
  <c r="DM17" i="1"/>
  <c r="DN17" i="1"/>
  <c r="DL18" i="1"/>
  <c r="DM18" i="1"/>
  <c r="DN18" i="1"/>
  <c r="DL19" i="1"/>
  <c r="DM19" i="1"/>
  <c r="DN19" i="1"/>
  <c r="DL20" i="1"/>
  <c r="DM20" i="1"/>
  <c r="DN20" i="1"/>
  <c r="DL21" i="1"/>
  <c r="DM21" i="1"/>
  <c r="DN21" i="1"/>
  <c r="DL22" i="1"/>
  <c r="DM22" i="1"/>
  <c r="DN22" i="1"/>
  <c r="DL23" i="1"/>
  <c r="DM23" i="1"/>
  <c r="DN23" i="1"/>
  <c r="DL24" i="1"/>
  <c r="DM24" i="1"/>
  <c r="DN24" i="1"/>
  <c r="DL25" i="1"/>
  <c r="DM25" i="1"/>
  <c r="DN25" i="1"/>
  <c r="DL26" i="1"/>
  <c r="DM26" i="1"/>
  <c r="DN26" i="1"/>
  <c r="DL27" i="1"/>
  <c r="DM27" i="1"/>
  <c r="DN27" i="1"/>
  <c r="DL28" i="1"/>
  <c r="DM28" i="1"/>
  <c r="DN28" i="1"/>
  <c r="DL29" i="1"/>
  <c r="DM29" i="1"/>
  <c r="DN29" i="1"/>
  <c r="DL30" i="1"/>
  <c r="DM30" i="1"/>
  <c r="DN30" i="1"/>
  <c r="DL31" i="1"/>
  <c r="DM31" i="1"/>
  <c r="DN31" i="1"/>
  <c r="DL32" i="1"/>
  <c r="DM32" i="1"/>
  <c r="DN32" i="1"/>
  <c r="DL33" i="1"/>
  <c r="DM33" i="1"/>
  <c r="DN33" i="1"/>
  <c r="DL34" i="1"/>
  <c r="DM34" i="1"/>
  <c r="DN34" i="1"/>
  <c r="DL35" i="1"/>
  <c r="DM35" i="1"/>
  <c r="DN35" i="1"/>
  <c r="DL36" i="1"/>
  <c r="DM36" i="1"/>
  <c r="DN36" i="1"/>
  <c r="DL37" i="1"/>
  <c r="DM37" i="1"/>
  <c r="DN37" i="1"/>
  <c r="DL38" i="1"/>
  <c r="DM38" i="1"/>
  <c r="DN38" i="1"/>
  <c r="DL39" i="1"/>
  <c r="DM39" i="1"/>
  <c r="DN39" i="1"/>
  <c r="DL40" i="1"/>
  <c r="DM40" i="1"/>
  <c r="DN40" i="1"/>
  <c r="DL41" i="1"/>
  <c r="DM41" i="1"/>
  <c r="DN41" i="1"/>
  <c r="DL42" i="1"/>
  <c r="DM42" i="1"/>
  <c r="DN42" i="1"/>
  <c r="DL43" i="1"/>
  <c r="DM43" i="1"/>
  <c r="DN43" i="1"/>
  <c r="DL44" i="1"/>
  <c r="DM44" i="1"/>
  <c r="DN44" i="1"/>
  <c r="DL45" i="1"/>
  <c r="DM45" i="1"/>
  <c r="DN45" i="1"/>
  <c r="DL46" i="1"/>
  <c r="DM46" i="1"/>
  <c r="DN46" i="1"/>
  <c r="DL47" i="1"/>
  <c r="DM47" i="1"/>
  <c r="DN47" i="1"/>
  <c r="DL48" i="1"/>
  <c r="DM48" i="1"/>
  <c r="DN48" i="1"/>
  <c r="DL49" i="1"/>
  <c r="DM49" i="1"/>
  <c r="DN49" i="1"/>
  <c r="DL50" i="1"/>
  <c r="DM50" i="1"/>
  <c r="DN50" i="1"/>
  <c r="DL51" i="1"/>
  <c r="DM51" i="1"/>
  <c r="DN51" i="1"/>
  <c r="DL52" i="1"/>
  <c r="DM52" i="1"/>
  <c r="DN52" i="1"/>
  <c r="DL53" i="1"/>
  <c r="DM53" i="1"/>
  <c r="DN53" i="1"/>
  <c r="DL54" i="1"/>
  <c r="DM54" i="1"/>
  <c r="DN54" i="1"/>
  <c r="DL55" i="1"/>
  <c r="DM55" i="1"/>
  <c r="DN55" i="1"/>
  <c r="DL56" i="1"/>
  <c r="DM56" i="1"/>
  <c r="DN56" i="1"/>
  <c r="DL57" i="1"/>
  <c r="DM57" i="1"/>
  <c r="DN57" i="1"/>
  <c r="DL58" i="1"/>
  <c r="DM58" i="1"/>
  <c r="DN58" i="1"/>
  <c r="DL59" i="1"/>
  <c r="DM59" i="1"/>
  <c r="DN59" i="1"/>
  <c r="DL60" i="1"/>
  <c r="DM60" i="1"/>
  <c r="DN60" i="1"/>
  <c r="DL61" i="1"/>
  <c r="DM61" i="1"/>
  <c r="DN61" i="1"/>
  <c r="DL62" i="1"/>
  <c r="DM62" i="1"/>
  <c r="DN62" i="1"/>
  <c r="DL63" i="1"/>
  <c r="DM63" i="1"/>
  <c r="DN63" i="1"/>
  <c r="DL64" i="1"/>
  <c r="DM64" i="1"/>
  <c r="DN64" i="1"/>
  <c r="DL65" i="1"/>
  <c r="DM65" i="1"/>
  <c r="DN65" i="1"/>
  <c r="DL66" i="1"/>
  <c r="DM66" i="1"/>
  <c r="DN66" i="1"/>
  <c r="DL67" i="1"/>
  <c r="DM67" i="1"/>
  <c r="DN67" i="1"/>
  <c r="DL68" i="1"/>
  <c r="DM68" i="1"/>
  <c r="DN68" i="1"/>
  <c r="DL69" i="1"/>
  <c r="DM69" i="1"/>
  <c r="DN69" i="1"/>
  <c r="DL70" i="1"/>
  <c r="DM70" i="1"/>
  <c r="DN70" i="1"/>
  <c r="DL71" i="1"/>
  <c r="DM71" i="1"/>
  <c r="DN71" i="1"/>
  <c r="DL72" i="1"/>
  <c r="DM72" i="1"/>
  <c r="DN72" i="1"/>
  <c r="DL73" i="1"/>
  <c r="DM73" i="1"/>
  <c r="DN73" i="1"/>
  <c r="DL74" i="1"/>
  <c r="DM74" i="1"/>
  <c r="DN74" i="1"/>
  <c r="DL75" i="1"/>
  <c r="DM75" i="1"/>
  <c r="DN75" i="1"/>
  <c r="DL76" i="1"/>
  <c r="DM76" i="1"/>
  <c r="DN76" i="1"/>
  <c r="DL77" i="1"/>
  <c r="DM77" i="1"/>
  <c r="DN77" i="1"/>
  <c r="DL78" i="1"/>
  <c r="DM78" i="1"/>
  <c r="DN78" i="1"/>
  <c r="DL79" i="1"/>
  <c r="DM79" i="1"/>
  <c r="DN79" i="1"/>
  <c r="DL80" i="1"/>
  <c r="DM80" i="1"/>
  <c r="DN80" i="1"/>
  <c r="DL81" i="1"/>
  <c r="DM81" i="1"/>
  <c r="DN81" i="1"/>
  <c r="DL82" i="1"/>
  <c r="DM82" i="1"/>
  <c r="DN82" i="1"/>
  <c r="DL83" i="1"/>
  <c r="DM83" i="1"/>
  <c r="DN83" i="1"/>
  <c r="DL84" i="1"/>
  <c r="DM84" i="1"/>
  <c r="DN84" i="1"/>
  <c r="DL85" i="1"/>
  <c r="DM85" i="1"/>
  <c r="DN85" i="1"/>
  <c r="DL86" i="1"/>
  <c r="DM86" i="1"/>
  <c r="DN86" i="1"/>
  <c r="DL87" i="1"/>
  <c r="DM87" i="1"/>
  <c r="DN87" i="1"/>
  <c r="DL88" i="1"/>
  <c r="DM88" i="1"/>
  <c r="DN88" i="1"/>
  <c r="DL89" i="1"/>
  <c r="DM89" i="1"/>
  <c r="DN89" i="1"/>
  <c r="DL90" i="1"/>
  <c r="DM90" i="1"/>
  <c r="DN90" i="1"/>
  <c r="DL91" i="1"/>
  <c r="DM91" i="1"/>
  <c r="DN91" i="1"/>
  <c r="DL92" i="1"/>
  <c r="DM92" i="1"/>
  <c r="DN92" i="1"/>
  <c r="DL93" i="1"/>
  <c r="DM93" i="1"/>
  <c r="DN93" i="1"/>
  <c r="DL94" i="1"/>
  <c r="DM94" i="1"/>
  <c r="DN94" i="1"/>
  <c r="DL95" i="1"/>
  <c r="DM95" i="1"/>
  <c r="DN95" i="1"/>
  <c r="DL96" i="1"/>
  <c r="DM96" i="1"/>
  <c r="DN96" i="1"/>
  <c r="DL97" i="1"/>
  <c r="DM97" i="1"/>
  <c r="DN97" i="1"/>
  <c r="DL98" i="1"/>
  <c r="DM98" i="1"/>
  <c r="DN98" i="1"/>
  <c r="DL99" i="1"/>
  <c r="DM99" i="1"/>
  <c r="DN99" i="1"/>
  <c r="DL100" i="1"/>
  <c r="DM100" i="1"/>
  <c r="DN100" i="1"/>
  <c r="DL101" i="1"/>
  <c r="DM101" i="1"/>
  <c r="DN101" i="1"/>
  <c r="DL102" i="1"/>
  <c r="DM102" i="1"/>
  <c r="DN102" i="1"/>
  <c r="DL103" i="1"/>
  <c r="DM103" i="1"/>
  <c r="DN103" i="1"/>
  <c r="DL104" i="1"/>
  <c r="DM104" i="1"/>
  <c r="DN104" i="1"/>
  <c r="DL105" i="1"/>
  <c r="DM105" i="1"/>
  <c r="DN105" i="1"/>
  <c r="DL106" i="1"/>
  <c r="DM106" i="1"/>
  <c r="DN106" i="1"/>
  <c r="DL107" i="1"/>
  <c r="DM107" i="1"/>
  <c r="DN107" i="1"/>
  <c r="DL108" i="1"/>
  <c r="DM108" i="1"/>
  <c r="DN108" i="1"/>
  <c r="DL109" i="1"/>
  <c r="DM109" i="1"/>
  <c r="DN109" i="1"/>
  <c r="DL110" i="1"/>
  <c r="DM110" i="1"/>
  <c r="DN110" i="1"/>
  <c r="DL111" i="1"/>
  <c r="DM111" i="1"/>
  <c r="DN111" i="1"/>
  <c r="DL112" i="1"/>
  <c r="DM112" i="1"/>
  <c r="DN112" i="1"/>
  <c r="DL113" i="1"/>
  <c r="DM113" i="1"/>
  <c r="DN113" i="1"/>
  <c r="DL114" i="1"/>
  <c r="DM114" i="1"/>
  <c r="DN114" i="1"/>
  <c r="DL115" i="1"/>
  <c r="DM115" i="1"/>
  <c r="DN115" i="1"/>
  <c r="DL116" i="1"/>
  <c r="DM116" i="1"/>
  <c r="DN116" i="1"/>
  <c r="DL117" i="1"/>
  <c r="DM117" i="1"/>
  <c r="DN117" i="1"/>
  <c r="DL118" i="1"/>
  <c r="DM118" i="1"/>
  <c r="DN118" i="1"/>
  <c r="DL119" i="1"/>
  <c r="DM119" i="1"/>
  <c r="DN119" i="1"/>
  <c r="DL120" i="1"/>
  <c r="DM120" i="1"/>
  <c r="DN120" i="1"/>
  <c r="DL121" i="1"/>
  <c r="DM121" i="1"/>
  <c r="DN121" i="1"/>
  <c r="DL122" i="1"/>
  <c r="DM122" i="1"/>
  <c r="DN122" i="1"/>
  <c r="DL123" i="1"/>
  <c r="DM123" i="1"/>
  <c r="DN123" i="1"/>
  <c r="DL124" i="1"/>
  <c r="DM124" i="1"/>
  <c r="DN124" i="1"/>
  <c r="DL125" i="1"/>
  <c r="DM125" i="1"/>
  <c r="DN125" i="1"/>
  <c r="DL126" i="1"/>
  <c r="DM126" i="1"/>
  <c r="DN126" i="1"/>
  <c r="DL127" i="1"/>
  <c r="DM127" i="1"/>
  <c r="DN127" i="1"/>
  <c r="DL128" i="1"/>
  <c r="DM128" i="1"/>
  <c r="DN128" i="1"/>
  <c r="DL129" i="1"/>
  <c r="DM129" i="1"/>
  <c r="DN129" i="1"/>
  <c r="DL130" i="1"/>
  <c r="DM130" i="1"/>
  <c r="DN130" i="1"/>
  <c r="DL131" i="1"/>
  <c r="DM131" i="1"/>
  <c r="DN131" i="1"/>
  <c r="DL132" i="1"/>
  <c r="DM132" i="1"/>
  <c r="DN132" i="1"/>
  <c r="DL133" i="1"/>
  <c r="DM133" i="1"/>
  <c r="DN133" i="1"/>
  <c r="DL134" i="1"/>
  <c r="DM134" i="1"/>
  <c r="DN134" i="1"/>
  <c r="DL135" i="1"/>
  <c r="DM135" i="1"/>
  <c r="DN135" i="1"/>
  <c r="DL136" i="1"/>
  <c r="DM136" i="1"/>
  <c r="DN136" i="1"/>
  <c r="DL137" i="1"/>
  <c r="DM137" i="1"/>
  <c r="DN137" i="1"/>
  <c r="DL138" i="1"/>
  <c r="DM138" i="1"/>
  <c r="DN138" i="1"/>
  <c r="DL139" i="1"/>
  <c r="DM139" i="1"/>
  <c r="DN139" i="1"/>
  <c r="DL140" i="1"/>
  <c r="DM140" i="1"/>
  <c r="DN140" i="1"/>
  <c r="DL141" i="1"/>
  <c r="DM141" i="1"/>
  <c r="DN141" i="1"/>
  <c r="DL142" i="1"/>
  <c r="DM142" i="1"/>
  <c r="DN142" i="1"/>
  <c r="DL143" i="1"/>
  <c r="DM143" i="1"/>
  <c r="DN143" i="1"/>
  <c r="DL144" i="1"/>
  <c r="DM144" i="1"/>
  <c r="DN144" i="1"/>
  <c r="DL145" i="1"/>
  <c r="DM145" i="1"/>
  <c r="DN145" i="1"/>
  <c r="DL146" i="1"/>
  <c r="DM146" i="1"/>
  <c r="DN146" i="1"/>
  <c r="DL147" i="1"/>
  <c r="DM147" i="1"/>
  <c r="DN147" i="1"/>
  <c r="DL148" i="1"/>
  <c r="DM148" i="1"/>
  <c r="DN148" i="1"/>
  <c r="DL149" i="1"/>
  <c r="DM149" i="1"/>
  <c r="DN149" i="1"/>
  <c r="DL150" i="1"/>
  <c r="DM150" i="1"/>
  <c r="DN150" i="1"/>
  <c r="DL151" i="1"/>
  <c r="DM151" i="1"/>
  <c r="DN151" i="1"/>
  <c r="DL152" i="1"/>
  <c r="DM152" i="1"/>
  <c r="DN152" i="1"/>
  <c r="DL153" i="1"/>
  <c r="DM153" i="1"/>
  <c r="DN153" i="1"/>
  <c r="DL154" i="1"/>
  <c r="DM154" i="1"/>
  <c r="DN154" i="1"/>
  <c r="DL155" i="1"/>
  <c r="DM155" i="1"/>
  <c r="DN155" i="1"/>
  <c r="DL156" i="1"/>
  <c r="DM156" i="1"/>
  <c r="DN156" i="1"/>
  <c r="DL157" i="1"/>
  <c r="DM157" i="1"/>
  <c r="DN157" i="1"/>
  <c r="DL158" i="1"/>
  <c r="DM158" i="1"/>
  <c r="DN158" i="1"/>
  <c r="DL159" i="1"/>
  <c r="DM159" i="1"/>
  <c r="DN159" i="1"/>
  <c r="DL160" i="1"/>
  <c r="DM160" i="1"/>
  <c r="DN160" i="1"/>
  <c r="DL161" i="1"/>
  <c r="DM161" i="1"/>
  <c r="DN161" i="1"/>
  <c r="DL162" i="1"/>
  <c r="DM162" i="1"/>
  <c r="DN162" i="1"/>
  <c r="DL163" i="1"/>
  <c r="DM163" i="1"/>
  <c r="DN163" i="1"/>
  <c r="DL164" i="1"/>
  <c r="DM164" i="1"/>
  <c r="DN164" i="1"/>
  <c r="DL165" i="1"/>
  <c r="DM165" i="1"/>
  <c r="DN165" i="1"/>
  <c r="DL166" i="1"/>
  <c r="DM166" i="1"/>
  <c r="DN166" i="1"/>
  <c r="DL167" i="1"/>
  <c r="DM167" i="1"/>
  <c r="DN167" i="1"/>
  <c r="DL168" i="1"/>
  <c r="DM168" i="1"/>
  <c r="DN168" i="1"/>
  <c r="DL169" i="1"/>
  <c r="DM169" i="1"/>
  <c r="DN169" i="1"/>
  <c r="DL170" i="1"/>
  <c r="DM170" i="1"/>
  <c r="DN170" i="1"/>
  <c r="DL171" i="1"/>
  <c r="DM171" i="1"/>
  <c r="DN171" i="1"/>
  <c r="DL172" i="1"/>
  <c r="DM172" i="1"/>
  <c r="DN172" i="1"/>
  <c r="DL173" i="1"/>
  <c r="DM173" i="1"/>
  <c r="DN173" i="1"/>
  <c r="DL174" i="1"/>
  <c r="DM174" i="1"/>
  <c r="DN174" i="1"/>
  <c r="DL175" i="1"/>
  <c r="DM175" i="1"/>
  <c r="DN175" i="1"/>
  <c r="DL176" i="1"/>
  <c r="DM176" i="1"/>
  <c r="DN176" i="1"/>
  <c r="DL177" i="1"/>
  <c r="DM177" i="1"/>
  <c r="DN177" i="1"/>
  <c r="DL178" i="1"/>
  <c r="DM178" i="1"/>
  <c r="DN178" i="1"/>
  <c r="DL179" i="1"/>
  <c r="DM179" i="1"/>
  <c r="DN179" i="1"/>
  <c r="DL180" i="1"/>
  <c r="DM180" i="1"/>
  <c r="DN180" i="1"/>
  <c r="DL181" i="1"/>
  <c r="DM181" i="1"/>
  <c r="DN181" i="1"/>
  <c r="DL182" i="1"/>
  <c r="DM182" i="1"/>
  <c r="DN182" i="1"/>
  <c r="DL183" i="1"/>
  <c r="DM183" i="1"/>
  <c r="DN183" i="1"/>
  <c r="DL184" i="1"/>
  <c r="DM184" i="1"/>
  <c r="DN184" i="1"/>
  <c r="DL185" i="1"/>
  <c r="DM185" i="1"/>
  <c r="DN185" i="1"/>
  <c r="DL186" i="1"/>
  <c r="DM186" i="1"/>
  <c r="DN186" i="1"/>
  <c r="DL187" i="1"/>
  <c r="DM187" i="1"/>
  <c r="DN187" i="1"/>
  <c r="DL188" i="1"/>
  <c r="DM188" i="1"/>
  <c r="DN188" i="1"/>
  <c r="DL189" i="1"/>
  <c r="DM189" i="1"/>
  <c r="DN189" i="1"/>
  <c r="DL190" i="1"/>
  <c r="DM190" i="1"/>
  <c r="DN190" i="1"/>
  <c r="DL191" i="1"/>
  <c r="DM191" i="1"/>
  <c r="DN191" i="1"/>
  <c r="DL192" i="1"/>
  <c r="DM192" i="1"/>
  <c r="DN192" i="1"/>
  <c r="DL193" i="1"/>
  <c r="DM193" i="1"/>
  <c r="DN193" i="1"/>
  <c r="DL194" i="1"/>
  <c r="DM194" i="1"/>
  <c r="DN194" i="1"/>
  <c r="DL195" i="1"/>
  <c r="DM195" i="1"/>
  <c r="DN195" i="1"/>
  <c r="DL196" i="1"/>
  <c r="DM196" i="1"/>
  <c r="DN196" i="1"/>
  <c r="DL197" i="1"/>
  <c r="DM197" i="1"/>
  <c r="DN197" i="1"/>
  <c r="DL198" i="1"/>
  <c r="DM198" i="1"/>
  <c r="DN198" i="1"/>
  <c r="DL199" i="1"/>
  <c r="DM199" i="1"/>
  <c r="DN199" i="1"/>
  <c r="DL200" i="1"/>
  <c r="DM200" i="1"/>
  <c r="DN200" i="1"/>
  <c r="DL201" i="1"/>
  <c r="DM201" i="1"/>
  <c r="DN201" i="1"/>
  <c r="DL202" i="1"/>
  <c r="DM202" i="1"/>
  <c r="DN202" i="1"/>
  <c r="DL3" i="1"/>
  <c r="DM3" i="1"/>
  <c r="DN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3" i="1"/>
  <c r="DJ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3" i="1"/>
  <c r="DD3" i="1"/>
  <c r="DE3" i="1"/>
  <c r="DF3" i="1"/>
  <c r="CZ3" i="1"/>
  <c r="DA3" i="1"/>
  <c r="DB3" i="1"/>
  <c r="CV3" i="1"/>
  <c r="CW3" i="1"/>
  <c r="CX3" i="1"/>
  <c r="CS3" i="1"/>
  <c r="CT3" i="1"/>
  <c r="CN4" i="1"/>
  <c r="CO4" i="1"/>
  <c r="CP4" i="1"/>
  <c r="CN5" i="1"/>
  <c r="CO5" i="1"/>
  <c r="CP5" i="1"/>
  <c r="CN6" i="1"/>
  <c r="CO6" i="1"/>
  <c r="CP6" i="1"/>
  <c r="CN7" i="1"/>
  <c r="CO7" i="1"/>
  <c r="CP7" i="1"/>
  <c r="CN8" i="1"/>
  <c r="CO8" i="1"/>
  <c r="CP8" i="1"/>
  <c r="CN9" i="1"/>
  <c r="CO9" i="1"/>
  <c r="CP9" i="1"/>
  <c r="CN10" i="1"/>
  <c r="CO10" i="1"/>
  <c r="CP10" i="1"/>
  <c r="CN11" i="1"/>
  <c r="CO11" i="1"/>
  <c r="CP11" i="1"/>
  <c r="CN12" i="1"/>
  <c r="CO12" i="1"/>
  <c r="CP12" i="1"/>
  <c r="CN13" i="1"/>
  <c r="CO13" i="1"/>
  <c r="CP13" i="1"/>
  <c r="CN14" i="1"/>
  <c r="CO14" i="1"/>
  <c r="CP14" i="1"/>
  <c r="CN15" i="1"/>
  <c r="CO15" i="1"/>
  <c r="CP15" i="1"/>
  <c r="CN16" i="1"/>
  <c r="CO16" i="1"/>
  <c r="CP16" i="1"/>
  <c r="CN17" i="1"/>
  <c r="CO17" i="1"/>
  <c r="CP17" i="1"/>
  <c r="CN18" i="1"/>
  <c r="CO18" i="1"/>
  <c r="CP18" i="1"/>
  <c r="CN19" i="1"/>
  <c r="CO19" i="1"/>
  <c r="CP19" i="1"/>
  <c r="CN20" i="1"/>
  <c r="CO20" i="1"/>
  <c r="CP20" i="1"/>
  <c r="CN21" i="1"/>
  <c r="CO21" i="1"/>
  <c r="CP21" i="1"/>
  <c r="CN22" i="1"/>
  <c r="CO22" i="1"/>
  <c r="CP22" i="1"/>
  <c r="CN23" i="1"/>
  <c r="CO23" i="1"/>
  <c r="CP23" i="1"/>
  <c r="CN24" i="1"/>
  <c r="CO24" i="1"/>
  <c r="CP24" i="1"/>
  <c r="CN25" i="1"/>
  <c r="CO25" i="1"/>
  <c r="CP25" i="1"/>
  <c r="CN26" i="1"/>
  <c r="CO26" i="1"/>
  <c r="CP26" i="1"/>
  <c r="CN27" i="1"/>
  <c r="CO27" i="1"/>
  <c r="CP27" i="1"/>
  <c r="CN28" i="1"/>
  <c r="CO28" i="1"/>
  <c r="CP28" i="1"/>
  <c r="CN29" i="1"/>
  <c r="CO29" i="1"/>
  <c r="CP29" i="1"/>
  <c r="CN30" i="1"/>
  <c r="CO30" i="1"/>
  <c r="CP30" i="1"/>
  <c r="CN31" i="1"/>
  <c r="CO31" i="1"/>
  <c r="CP31" i="1"/>
  <c r="CN32" i="1"/>
  <c r="CO32" i="1"/>
  <c r="CP32" i="1"/>
  <c r="CN33" i="1"/>
  <c r="CO33" i="1"/>
  <c r="CP33" i="1"/>
  <c r="CN34" i="1"/>
  <c r="CO34" i="1"/>
  <c r="CP34" i="1"/>
  <c r="CN35" i="1"/>
  <c r="CO35" i="1"/>
  <c r="CP35" i="1"/>
  <c r="CN36" i="1"/>
  <c r="CO36" i="1"/>
  <c r="CP36" i="1"/>
  <c r="CN37" i="1"/>
  <c r="CO37" i="1"/>
  <c r="CP37" i="1"/>
  <c r="CN38" i="1"/>
  <c r="CO38" i="1"/>
  <c r="CP38" i="1"/>
  <c r="CN39" i="1"/>
  <c r="CO39" i="1"/>
  <c r="CP39" i="1"/>
  <c r="CN40" i="1"/>
  <c r="CO40" i="1"/>
  <c r="CP40" i="1"/>
  <c r="CN41" i="1"/>
  <c r="CO41" i="1"/>
  <c r="CP41" i="1"/>
  <c r="CN42" i="1"/>
  <c r="CO42" i="1"/>
  <c r="CP42" i="1"/>
  <c r="CN43" i="1"/>
  <c r="CO43" i="1"/>
  <c r="CP43" i="1"/>
  <c r="CN44" i="1"/>
  <c r="CO44" i="1"/>
  <c r="CP44" i="1"/>
  <c r="CN45" i="1"/>
  <c r="CO45" i="1"/>
  <c r="CP45" i="1"/>
  <c r="CN46" i="1"/>
  <c r="CO46" i="1"/>
  <c r="CP46" i="1"/>
  <c r="CN47" i="1"/>
  <c r="CO47" i="1"/>
  <c r="CP47" i="1"/>
  <c r="CN48" i="1"/>
  <c r="CO48" i="1"/>
  <c r="CP48" i="1"/>
  <c r="CN49" i="1"/>
  <c r="CO49" i="1"/>
  <c r="CP49" i="1"/>
  <c r="CN50" i="1"/>
  <c r="CO50" i="1"/>
  <c r="CP50" i="1"/>
  <c r="CN51" i="1"/>
  <c r="CO51" i="1"/>
  <c r="CP51" i="1"/>
  <c r="CN52" i="1"/>
  <c r="CO52" i="1"/>
  <c r="CP52" i="1"/>
  <c r="CN53" i="1"/>
  <c r="CO53" i="1"/>
  <c r="CP53" i="1"/>
  <c r="CN54" i="1"/>
  <c r="CO54" i="1"/>
  <c r="CP54" i="1"/>
  <c r="CN55" i="1"/>
  <c r="CO55" i="1"/>
  <c r="CP55" i="1"/>
  <c r="CN56" i="1"/>
  <c r="CO56" i="1"/>
  <c r="CP56" i="1"/>
  <c r="CN57" i="1"/>
  <c r="CO57" i="1"/>
  <c r="CP57" i="1"/>
  <c r="CN58" i="1"/>
  <c r="CO58" i="1"/>
  <c r="CP58" i="1"/>
  <c r="CN59" i="1"/>
  <c r="CO59" i="1"/>
  <c r="CP59" i="1"/>
  <c r="CN60" i="1"/>
  <c r="CO60" i="1"/>
  <c r="CP60" i="1"/>
  <c r="CN61" i="1"/>
  <c r="CO61" i="1"/>
  <c r="CP61" i="1"/>
  <c r="CN62" i="1"/>
  <c r="CO62" i="1"/>
  <c r="CP62" i="1"/>
  <c r="CN63" i="1"/>
  <c r="CO63" i="1"/>
  <c r="CP63" i="1"/>
  <c r="CN64" i="1"/>
  <c r="CO64" i="1"/>
  <c r="CP64" i="1"/>
  <c r="CN65" i="1"/>
  <c r="CO65" i="1"/>
  <c r="CP65" i="1"/>
  <c r="CN66" i="1"/>
  <c r="CO66" i="1"/>
  <c r="CP66" i="1"/>
  <c r="CN67" i="1"/>
  <c r="CO67" i="1"/>
  <c r="CP67" i="1"/>
  <c r="CN68" i="1"/>
  <c r="CO68" i="1"/>
  <c r="CP68" i="1"/>
  <c r="CN69" i="1"/>
  <c r="CO69" i="1"/>
  <c r="CP69" i="1"/>
  <c r="CN70" i="1"/>
  <c r="CO70" i="1"/>
  <c r="CP70" i="1"/>
  <c r="CN71" i="1"/>
  <c r="CO71" i="1"/>
  <c r="CP71" i="1"/>
  <c r="CN72" i="1"/>
  <c r="CO72" i="1"/>
  <c r="CP72" i="1"/>
  <c r="CN73" i="1"/>
  <c r="CO73" i="1"/>
  <c r="CP73" i="1"/>
  <c r="CN74" i="1"/>
  <c r="CO74" i="1"/>
  <c r="CP74" i="1"/>
  <c r="CN75" i="1"/>
  <c r="CO75" i="1"/>
  <c r="CP75" i="1"/>
  <c r="CN76" i="1"/>
  <c r="CO76" i="1"/>
  <c r="CP76" i="1"/>
  <c r="CN77" i="1"/>
  <c r="CO77" i="1"/>
  <c r="CP77" i="1"/>
  <c r="CN78" i="1"/>
  <c r="CO78" i="1"/>
  <c r="CP78" i="1"/>
  <c r="CN79" i="1"/>
  <c r="CO79" i="1"/>
  <c r="CP79" i="1"/>
  <c r="CN80" i="1"/>
  <c r="CO80" i="1"/>
  <c r="CP80" i="1"/>
  <c r="CN81" i="1"/>
  <c r="CO81" i="1"/>
  <c r="CP81" i="1"/>
  <c r="CN82" i="1"/>
  <c r="CO82" i="1"/>
  <c r="CP82" i="1"/>
  <c r="CN83" i="1"/>
  <c r="CO83" i="1"/>
  <c r="CP83" i="1"/>
  <c r="CN84" i="1"/>
  <c r="CO84" i="1"/>
  <c r="CP84" i="1"/>
  <c r="CN85" i="1"/>
  <c r="CO85" i="1"/>
  <c r="CP85" i="1"/>
  <c r="CN86" i="1"/>
  <c r="CO86" i="1"/>
  <c r="CP86" i="1"/>
  <c r="CN87" i="1"/>
  <c r="CO87" i="1"/>
  <c r="CP87" i="1"/>
  <c r="CN88" i="1"/>
  <c r="CO88" i="1"/>
  <c r="CP88" i="1"/>
  <c r="CN89" i="1"/>
  <c r="CO89" i="1"/>
  <c r="CP89" i="1"/>
  <c r="CN90" i="1"/>
  <c r="CO90" i="1"/>
  <c r="CP90" i="1"/>
  <c r="CN91" i="1"/>
  <c r="CO91" i="1"/>
  <c r="CP91" i="1"/>
  <c r="CN92" i="1"/>
  <c r="CO92" i="1"/>
  <c r="CP92" i="1"/>
  <c r="CN93" i="1"/>
  <c r="CO93" i="1"/>
  <c r="CP93" i="1"/>
  <c r="CN94" i="1"/>
  <c r="CO94" i="1"/>
  <c r="CP94" i="1"/>
  <c r="CN95" i="1"/>
  <c r="CO95" i="1"/>
  <c r="CP95" i="1"/>
  <c r="CN96" i="1"/>
  <c r="CO96" i="1"/>
  <c r="CP96" i="1"/>
  <c r="CN97" i="1"/>
  <c r="CO97" i="1"/>
  <c r="CP97" i="1"/>
  <c r="CN98" i="1"/>
  <c r="CO98" i="1"/>
  <c r="CP98" i="1"/>
  <c r="CN99" i="1"/>
  <c r="CO99" i="1"/>
  <c r="CP99" i="1"/>
  <c r="CN100" i="1"/>
  <c r="CO100" i="1"/>
  <c r="CP100" i="1"/>
  <c r="CN101" i="1"/>
  <c r="CO101" i="1"/>
  <c r="CP101" i="1"/>
  <c r="CN102" i="1"/>
  <c r="CO102" i="1"/>
  <c r="CP102" i="1"/>
  <c r="CN103" i="1"/>
  <c r="CO103" i="1"/>
  <c r="CP103" i="1"/>
  <c r="CN104" i="1"/>
  <c r="CO104" i="1"/>
  <c r="CP104" i="1"/>
  <c r="CN105" i="1"/>
  <c r="CO105" i="1"/>
  <c r="CP105" i="1"/>
  <c r="CN106" i="1"/>
  <c r="CO106" i="1"/>
  <c r="CP106" i="1"/>
  <c r="CN107" i="1"/>
  <c r="CO107" i="1"/>
  <c r="CP107" i="1"/>
  <c r="CN108" i="1"/>
  <c r="CO108" i="1"/>
  <c r="CP108" i="1"/>
  <c r="CN109" i="1"/>
  <c r="CO109" i="1"/>
  <c r="CP109" i="1"/>
  <c r="CN110" i="1"/>
  <c r="CO110" i="1"/>
  <c r="CP110" i="1"/>
  <c r="CN111" i="1"/>
  <c r="CO111" i="1"/>
  <c r="CP111" i="1"/>
  <c r="CN112" i="1"/>
  <c r="CO112" i="1"/>
  <c r="CP112" i="1"/>
  <c r="CN113" i="1"/>
  <c r="CO113" i="1"/>
  <c r="CP113" i="1"/>
  <c r="CN114" i="1"/>
  <c r="CO114" i="1"/>
  <c r="CP114" i="1"/>
  <c r="CN115" i="1"/>
  <c r="CO115" i="1"/>
  <c r="CP115" i="1"/>
  <c r="CN116" i="1"/>
  <c r="CO116" i="1"/>
  <c r="CP116" i="1"/>
  <c r="CN117" i="1"/>
  <c r="CO117" i="1"/>
  <c r="CP117" i="1"/>
  <c r="CN118" i="1"/>
  <c r="CO118" i="1"/>
  <c r="CP118" i="1"/>
  <c r="CN119" i="1"/>
  <c r="CO119" i="1"/>
  <c r="CP119" i="1"/>
  <c r="CN120" i="1"/>
  <c r="CO120" i="1"/>
  <c r="CP120" i="1"/>
  <c r="CN121" i="1"/>
  <c r="CO121" i="1"/>
  <c r="CP121" i="1"/>
  <c r="CN122" i="1"/>
  <c r="CO122" i="1"/>
  <c r="CP122" i="1"/>
  <c r="CN123" i="1"/>
  <c r="CO123" i="1"/>
  <c r="CP123" i="1"/>
  <c r="CN124" i="1"/>
  <c r="CO124" i="1"/>
  <c r="CP124" i="1"/>
  <c r="CN125" i="1"/>
  <c r="CO125" i="1"/>
  <c r="CP125" i="1"/>
  <c r="CN126" i="1"/>
  <c r="CO126" i="1"/>
  <c r="CP126" i="1"/>
  <c r="CN127" i="1"/>
  <c r="CO127" i="1"/>
  <c r="CP127" i="1"/>
  <c r="CN128" i="1"/>
  <c r="CO128" i="1"/>
  <c r="CP128" i="1"/>
  <c r="CN129" i="1"/>
  <c r="CO129" i="1"/>
  <c r="CP129" i="1"/>
  <c r="CN130" i="1"/>
  <c r="CO130" i="1"/>
  <c r="CP130" i="1"/>
  <c r="CN131" i="1"/>
  <c r="CO131" i="1"/>
  <c r="CP131" i="1"/>
  <c r="CN132" i="1"/>
  <c r="CO132" i="1"/>
  <c r="CP132" i="1"/>
  <c r="CN133" i="1"/>
  <c r="CO133" i="1"/>
  <c r="CP133" i="1"/>
  <c r="CN134" i="1"/>
  <c r="CO134" i="1"/>
  <c r="CP134" i="1"/>
  <c r="CN135" i="1"/>
  <c r="CO135" i="1"/>
  <c r="CP135" i="1"/>
  <c r="CN136" i="1"/>
  <c r="CO136" i="1"/>
  <c r="CP136" i="1"/>
  <c r="CN137" i="1"/>
  <c r="CO137" i="1"/>
  <c r="CP137" i="1"/>
  <c r="CN138" i="1"/>
  <c r="CO138" i="1"/>
  <c r="CP138" i="1"/>
  <c r="CN139" i="1"/>
  <c r="CO139" i="1"/>
  <c r="CP139" i="1"/>
  <c r="CN140" i="1"/>
  <c r="CO140" i="1"/>
  <c r="CP140" i="1"/>
  <c r="CN141" i="1"/>
  <c r="CO141" i="1"/>
  <c r="CP141" i="1"/>
  <c r="CN142" i="1"/>
  <c r="CO142" i="1"/>
  <c r="CP142" i="1"/>
  <c r="CN143" i="1"/>
  <c r="CO143" i="1"/>
  <c r="CP143" i="1"/>
  <c r="CN144" i="1"/>
  <c r="CO144" i="1"/>
  <c r="CP144" i="1"/>
  <c r="CN145" i="1"/>
  <c r="CO145" i="1"/>
  <c r="CP145" i="1"/>
  <c r="CN146" i="1"/>
  <c r="CO146" i="1"/>
  <c r="CP146" i="1"/>
  <c r="CN147" i="1"/>
  <c r="CO147" i="1"/>
  <c r="CP147" i="1"/>
  <c r="CN148" i="1"/>
  <c r="CO148" i="1"/>
  <c r="CP148" i="1"/>
  <c r="CN149" i="1"/>
  <c r="CO149" i="1"/>
  <c r="CP149" i="1"/>
  <c r="CN150" i="1"/>
  <c r="CO150" i="1"/>
  <c r="CP150" i="1"/>
  <c r="CN151" i="1"/>
  <c r="CO151" i="1"/>
  <c r="CP151" i="1"/>
  <c r="CN152" i="1"/>
  <c r="CO152" i="1"/>
  <c r="CP152" i="1"/>
  <c r="CN153" i="1"/>
  <c r="CO153" i="1"/>
  <c r="CP153" i="1"/>
  <c r="CN154" i="1"/>
  <c r="CO154" i="1"/>
  <c r="CP154" i="1"/>
  <c r="CN155" i="1"/>
  <c r="CO155" i="1"/>
  <c r="CP155" i="1"/>
  <c r="CN156" i="1"/>
  <c r="CO156" i="1"/>
  <c r="CP156" i="1"/>
  <c r="CN157" i="1"/>
  <c r="CO157" i="1"/>
  <c r="CP157" i="1"/>
  <c r="CN158" i="1"/>
  <c r="CO158" i="1"/>
  <c r="CP158" i="1"/>
  <c r="CN159" i="1"/>
  <c r="CO159" i="1"/>
  <c r="CP159" i="1"/>
  <c r="CN160" i="1"/>
  <c r="CO160" i="1"/>
  <c r="CP160" i="1"/>
  <c r="CN161" i="1"/>
  <c r="CO161" i="1"/>
  <c r="CP161" i="1"/>
  <c r="CN162" i="1"/>
  <c r="CO162" i="1"/>
  <c r="CP162" i="1"/>
  <c r="CN163" i="1"/>
  <c r="CO163" i="1"/>
  <c r="CP163" i="1"/>
  <c r="CN164" i="1"/>
  <c r="CO164" i="1"/>
  <c r="CP164" i="1"/>
  <c r="CN165" i="1"/>
  <c r="CO165" i="1"/>
  <c r="CP165" i="1"/>
  <c r="CN166" i="1"/>
  <c r="CO166" i="1"/>
  <c r="CP166" i="1"/>
  <c r="CN167" i="1"/>
  <c r="CO167" i="1"/>
  <c r="CP167" i="1"/>
  <c r="CN168" i="1"/>
  <c r="CO168" i="1"/>
  <c r="CP168" i="1"/>
  <c r="CN169" i="1"/>
  <c r="CO169" i="1"/>
  <c r="CP169" i="1"/>
  <c r="CN170" i="1"/>
  <c r="CO170" i="1"/>
  <c r="CP170" i="1"/>
  <c r="CN171" i="1"/>
  <c r="CO171" i="1"/>
  <c r="CP171" i="1"/>
  <c r="CN172" i="1"/>
  <c r="CO172" i="1"/>
  <c r="CP172" i="1"/>
  <c r="CN173" i="1"/>
  <c r="CO173" i="1"/>
  <c r="CP173" i="1"/>
  <c r="CN174" i="1"/>
  <c r="CO174" i="1"/>
  <c r="CP174" i="1"/>
  <c r="CN175" i="1"/>
  <c r="CO175" i="1"/>
  <c r="CP175" i="1"/>
  <c r="CN176" i="1"/>
  <c r="CO176" i="1"/>
  <c r="CP176" i="1"/>
  <c r="CN177" i="1"/>
  <c r="CO177" i="1"/>
  <c r="CP177" i="1"/>
  <c r="CN178" i="1"/>
  <c r="CO178" i="1"/>
  <c r="CP178" i="1"/>
  <c r="CN179" i="1"/>
  <c r="CO179" i="1"/>
  <c r="CP179" i="1"/>
  <c r="CN180" i="1"/>
  <c r="CO180" i="1"/>
  <c r="CP180" i="1"/>
  <c r="CN181" i="1"/>
  <c r="CO181" i="1"/>
  <c r="CP181" i="1"/>
  <c r="CN182" i="1"/>
  <c r="CO182" i="1"/>
  <c r="CP182" i="1"/>
  <c r="CN183" i="1"/>
  <c r="CO183" i="1"/>
  <c r="CP183" i="1"/>
  <c r="CN184" i="1"/>
  <c r="CO184" i="1"/>
  <c r="CP184" i="1"/>
  <c r="CN185" i="1"/>
  <c r="CO185" i="1"/>
  <c r="CP185" i="1"/>
  <c r="CN186" i="1"/>
  <c r="CO186" i="1"/>
  <c r="CP186" i="1"/>
  <c r="CN187" i="1"/>
  <c r="CO187" i="1"/>
  <c r="CP187" i="1"/>
  <c r="CN188" i="1"/>
  <c r="CO188" i="1"/>
  <c r="CP188" i="1"/>
  <c r="CN189" i="1"/>
  <c r="CO189" i="1"/>
  <c r="CP189" i="1"/>
  <c r="CN190" i="1"/>
  <c r="CO190" i="1"/>
  <c r="CP190" i="1"/>
  <c r="CN191" i="1"/>
  <c r="CO191" i="1"/>
  <c r="CP191" i="1"/>
  <c r="CN192" i="1"/>
  <c r="CO192" i="1"/>
  <c r="CP192" i="1"/>
  <c r="CN193" i="1"/>
  <c r="CO193" i="1"/>
  <c r="CP193" i="1"/>
  <c r="CN194" i="1"/>
  <c r="CO194" i="1"/>
  <c r="CP194" i="1"/>
  <c r="CN195" i="1"/>
  <c r="CO195" i="1"/>
  <c r="CP195" i="1"/>
  <c r="CN196" i="1"/>
  <c r="CO196" i="1"/>
  <c r="CP196" i="1"/>
  <c r="CN197" i="1"/>
  <c r="CO197" i="1"/>
  <c r="CP197" i="1"/>
  <c r="CN198" i="1"/>
  <c r="CO198" i="1"/>
  <c r="CP198" i="1"/>
  <c r="CN199" i="1"/>
  <c r="CO199" i="1"/>
  <c r="CP199" i="1"/>
  <c r="CN200" i="1"/>
  <c r="CO200" i="1"/>
  <c r="CP200" i="1"/>
  <c r="CN201" i="1"/>
  <c r="CO201" i="1"/>
  <c r="CP201" i="1"/>
  <c r="CN202" i="1"/>
  <c r="CO202" i="1"/>
  <c r="CP202" i="1"/>
  <c r="CN3" i="1"/>
  <c r="CO3" i="1"/>
  <c r="CP3" i="1"/>
  <c r="CH4" i="1"/>
  <c r="CI4" i="1"/>
  <c r="CJ4" i="1"/>
  <c r="CK4" i="1"/>
  <c r="CL4" i="1"/>
  <c r="CH5" i="1"/>
  <c r="CI5" i="1"/>
  <c r="CJ5" i="1"/>
  <c r="CK5" i="1"/>
  <c r="CL5" i="1"/>
  <c r="CH6" i="1"/>
  <c r="CI6" i="1"/>
  <c r="CJ6" i="1"/>
  <c r="CK6" i="1"/>
  <c r="CL6" i="1"/>
  <c r="CH7" i="1"/>
  <c r="CI7" i="1"/>
  <c r="CJ7" i="1"/>
  <c r="CK7" i="1"/>
  <c r="CL7" i="1"/>
  <c r="CH8" i="1"/>
  <c r="CI8" i="1"/>
  <c r="CJ8" i="1"/>
  <c r="CK8" i="1"/>
  <c r="CL8" i="1"/>
  <c r="CH9" i="1"/>
  <c r="CI9" i="1"/>
  <c r="CJ9" i="1"/>
  <c r="CK9" i="1"/>
  <c r="CL9" i="1"/>
  <c r="CH10" i="1"/>
  <c r="CI10" i="1"/>
  <c r="CJ10" i="1"/>
  <c r="CK10" i="1"/>
  <c r="CL10" i="1"/>
  <c r="CH11" i="1"/>
  <c r="CI11" i="1"/>
  <c r="CJ11" i="1"/>
  <c r="CK11" i="1"/>
  <c r="CL11" i="1"/>
  <c r="CH12" i="1"/>
  <c r="CI12" i="1"/>
  <c r="CJ12" i="1"/>
  <c r="CK12" i="1"/>
  <c r="CL12" i="1"/>
  <c r="CH13" i="1"/>
  <c r="CI13" i="1"/>
  <c r="CJ13" i="1"/>
  <c r="CK13" i="1"/>
  <c r="CL13" i="1"/>
  <c r="CH14" i="1"/>
  <c r="CI14" i="1"/>
  <c r="CJ14" i="1"/>
  <c r="CK14" i="1"/>
  <c r="CL14" i="1"/>
  <c r="CH15" i="1"/>
  <c r="CI15" i="1"/>
  <c r="CJ15" i="1"/>
  <c r="CK15" i="1"/>
  <c r="CL15" i="1"/>
  <c r="CH16" i="1"/>
  <c r="CI16" i="1"/>
  <c r="CJ16" i="1"/>
  <c r="CK16" i="1"/>
  <c r="CL16" i="1"/>
  <c r="CH17" i="1"/>
  <c r="CI17" i="1"/>
  <c r="CJ17" i="1"/>
  <c r="CK17" i="1"/>
  <c r="CL17" i="1"/>
  <c r="CH18" i="1"/>
  <c r="CI18" i="1"/>
  <c r="CJ18" i="1"/>
  <c r="CK18" i="1"/>
  <c r="CL18" i="1"/>
  <c r="CH19" i="1"/>
  <c r="CI19" i="1"/>
  <c r="CJ19" i="1"/>
  <c r="CK19" i="1"/>
  <c r="CL19" i="1"/>
  <c r="CH20" i="1"/>
  <c r="CI20" i="1"/>
  <c r="CJ20" i="1"/>
  <c r="CK20" i="1"/>
  <c r="CL20" i="1"/>
  <c r="CH21" i="1"/>
  <c r="CI21" i="1"/>
  <c r="CJ21" i="1"/>
  <c r="CK21" i="1"/>
  <c r="CL21" i="1"/>
  <c r="CH22" i="1"/>
  <c r="CI22" i="1"/>
  <c r="CJ22" i="1"/>
  <c r="CK22" i="1"/>
  <c r="CL22" i="1"/>
  <c r="CH23" i="1"/>
  <c r="CI23" i="1"/>
  <c r="CJ23" i="1"/>
  <c r="CK23" i="1"/>
  <c r="CL23" i="1"/>
  <c r="CH24" i="1"/>
  <c r="CI24" i="1"/>
  <c r="CJ24" i="1"/>
  <c r="CK24" i="1"/>
  <c r="CL24" i="1"/>
  <c r="CH25" i="1"/>
  <c r="CI25" i="1"/>
  <c r="CJ25" i="1"/>
  <c r="CK25" i="1"/>
  <c r="CL25" i="1"/>
  <c r="CH26" i="1"/>
  <c r="CI26" i="1"/>
  <c r="CJ26" i="1"/>
  <c r="CK26" i="1"/>
  <c r="CL26" i="1"/>
  <c r="CH27" i="1"/>
  <c r="CI27" i="1"/>
  <c r="CJ27" i="1"/>
  <c r="CK27" i="1"/>
  <c r="CL27" i="1"/>
  <c r="CH28" i="1"/>
  <c r="CI28" i="1"/>
  <c r="CJ28" i="1"/>
  <c r="CK28" i="1"/>
  <c r="CL28" i="1"/>
  <c r="CH29" i="1"/>
  <c r="CI29" i="1"/>
  <c r="CJ29" i="1"/>
  <c r="CK29" i="1"/>
  <c r="CL29" i="1"/>
  <c r="CH30" i="1"/>
  <c r="CI30" i="1"/>
  <c r="CJ30" i="1"/>
  <c r="CK30" i="1"/>
  <c r="CL30" i="1"/>
  <c r="CH31" i="1"/>
  <c r="CI31" i="1"/>
  <c r="CJ31" i="1"/>
  <c r="CK31" i="1"/>
  <c r="CL31" i="1"/>
  <c r="CH32" i="1"/>
  <c r="CI32" i="1"/>
  <c r="CJ32" i="1"/>
  <c r="CK32" i="1"/>
  <c r="CL32" i="1"/>
  <c r="CH33" i="1"/>
  <c r="CI33" i="1"/>
  <c r="CJ33" i="1"/>
  <c r="CK33" i="1"/>
  <c r="CL33" i="1"/>
  <c r="CH34" i="1"/>
  <c r="CI34" i="1"/>
  <c r="CJ34" i="1"/>
  <c r="CK34" i="1"/>
  <c r="CL34" i="1"/>
  <c r="CH35" i="1"/>
  <c r="CI35" i="1"/>
  <c r="CJ35" i="1"/>
  <c r="CK35" i="1"/>
  <c r="CL35" i="1"/>
  <c r="CH36" i="1"/>
  <c r="CI36" i="1"/>
  <c r="CJ36" i="1"/>
  <c r="CK36" i="1"/>
  <c r="CL36" i="1"/>
  <c r="CH37" i="1"/>
  <c r="CI37" i="1"/>
  <c r="CJ37" i="1"/>
  <c r="CK37" i="1"/>
  <c r="CL37" i="1"/>
  <c r="CH38" i="1"/>
  <c r="CI38" i="1"/>
  <c r="CJ38" i="1"/>
  <c r="CK38" i="1"/>
  <c r="CL38" i="1"/>
  <c r="CH39" i="1"/>
  <c r="CI39" i="1"/>
  <c r="CJ39" i="1"/>
  <c r="CK39" i="1"/>
  <c r="CL39" i="1"/>
  <c r="CH40" i="1"/>
  <c r="CI40" i="1"/>
  <c r="CJ40" i="1"/>
  <c r="CK40" i="1"/>
  <c r="CL40" i="1"/>
  <c r="CH41" i="1"/>
  <c r="CI41" i="1"/>
  <c r="CJ41" i="1"/>
  <c r="CK41" i="1"/>
  <c r="CL41" i="1"/>
  <c r="CH42" i="1"/>
  <c r="CI42" i="1"/>
  <c r="CJ42" i="1"/>
  <c r="CK42" i="1"/>
  <c r="CL42" i="1"/>
  <c r="CH43" i="1"/>
  <c r="CI43" i="1"/>
  <c r="CJ43" i="1"/>
  <c r="CK43" i="1"/>
  <c r="CL43" i="1"/>
  <c r="CH44" i="1"/>
  <c r="CI44" i="1"/>
  <c r="CJ44" i="1"/>
  <c r="CK44" i="1"/>
  <c r="CL44" i="1"/>
  <c r="CH45" i="1"/>
  <c r="CI45" i="1"/>
  <c r="CJ45" i="1"/>
  <c r="CK45" i="1"/>
  <c r="CL45" i="1"/>
  <c r="CH46" i="1"/>
  <c r="CI46" i="1"/>
  <c r="CJ46" i="1"/>
  <c r="CK46" i="1"/>
  <c r="CL46" i="1"/>
  <c r="CH47" i="1"/>
  <c r="CI47" i="1"/>
  <c r="CJ47" i="1"/>
  <c r="CK47" i="1"/>
  <c r="CL47" i="1"/>
  <c r="CH48" i="1"/>
  <c r="CI48" i="1"/>
  <c r="CJ48" i="1"/>
  <c r="CK48" i="1"/>
  <c r="CL48" i="1"/>
  <c r="CH49" i="1"/>
  <c r="CI49" i="1"/>
  <c r="CJ49" i="1"/>
  <c r="CK49" i="1"/>
  <c r="CL49" i="1"/>
  <c r="CH50" i="1"/>
  <c r="CI50" i="1"/>
  <c r="CJ50" i="1"/>
  <c r="CK50" i="1"/>
  <c r="CL50" i="1"/>
  <c r="CH51" i="1"/>
  <c r="CI51" i="1"/>
  <c r="CJ51" i="1"/>
  <c r="CK51" i="1"/>
  <c r="CL51" i="1"/>
  <c r="CH52" i="1"/>
  <c r="CI52" i="1"/>
  <c r="CJ52" i="1"/>
  <c r="CK52" i="1"/>
  <c r="CL52" i="1"/>
  <c r="CH53" i="1"/>
  <c r="CI53" i="1"/>
  <c r="CJ53" i="1"/>
  <c r="CK53" i="1"/>
  <c r="CL53" i="1"/>
  <c r="CH54" i="1"/>
  <c r="CI54" i="1"/>
  <c r="CJ54" i="1"/>
  <c r="CK54" i="1"/>
  <c r="CL54" i="1"/>
  <c r="CH55" i="1"/>
  <c r="CI55" i="1"/>
  <c r="CJ55" i="1"/>
  <c r="CK55" i="1"/>
  <c r="CL55" i="1"/>
  <c r="CH56" i="1"/>
  <c r="CI56" i="1"/>
  <c r="CJ56" i="1"/>
  <c r="CK56" i="1"/>
  <c r="CL56" i="1"/>
  <c r="CH57" i="1"/>
  <c r="CI57" i="1"/>
  <c r="CJ57" i="1"/>
  <c r="CK57" i="1"/>
  <c r="CL57" i="1"/>
  <c r="CH58" i="1"/>
  <c r="CI58" i="1"/>
  <c r="CJ58" i="1"/>
  <c r="CK58" i="1"/>
  <c r="CL58" i="1"/>
  <c r="CH59" i="1"/>
  <c r="CI59" i="1"/>
  <c r="CJ59" i="1"/>
  <c r="CK59" i="1"/>
  <c r="CL59" i="1"/>
  <c r="CH60" i="1"/>
  <c r="CI60" i="1"/>
  <c r="CJ60" i="1"/>
  <c r="CK60" i="1"/>
  <c r="CL60" i="1"/>
  <c r="CH61" i="1"/>
  <c r="CI61" i="1"/>
  <c r="CJ61" i="1"/>
  <c r="CK61" i="1"/>
  <c r="CL61" i="1"/>
  <c r="CH62" i="1"/>
  <c r="CI62" i="1"/>
  <c r="CJ62" i="1"/>
  <c r="CK62" i="1"/>
  <c r="CL62" i="1"/>
  <c r="CH63" i="1"/>
  <c r="CI63" i="1"/>
  <c r="CJ63" i="1"/>
  <c r="CK63" i="1"/>
  <c r="CL63" i="1"/>
  <c r="CH64" i="1"/>
  <c r="CI64" i="1"/>
  <c r="CJ64" i="1"/>
  <c r="CK64" i="1"/>
  <c r="CL64" i="1"/>
  <c r="CH65" i="1"/>
  <c r="CI65" i="1"/>
  <c r="CJ65" i="1"/>
  <c r="CK65" i="1"/>
  <c r="CL65" i="1"/>
  <c r="CH66" i="1"/>
  <c r="CI66" i="1"/>
  <c r="CJ66" i="1"/>
  <c r="CK66" i="1"/>
  <c r="CL66" i="1"/>
  <c r="CH67" i="1"/>
  <c r="CI67" i="1"/>
  <c r="CJ67" i="1"/>
  <c r="CK67" i="1"/>
  <c r="CL67" i="1"/>
  <c r="CH68" i="1"/>
  <c r="CI68" i="1"/>
  <c r="CJ68" i="1"/>
  <c r="CK68" i="1"/>
  <c r="CL68" i="1"/>
  <c r="CH69" i="1"/>
  <c r="CI69" i="1"/>
  <c r="CJ69" i="1"/>
  <c r="CK69" i="1"/>
  <c r="CL69" i="1"/>
  <c r="CH70" i="1"/>
  <c r="CI70" i="1"/>
  <c r="CJ70" i="1"/>
  <c r="CK70" i="1"/>
  <c r="CL70" i="1"/>
  <c r="CH71" i="1"/>
  <c r="CI71" i="1"/>
  <c r="CJ71" i="1"/>
  <c r="CK71" i="1"/>
  <c r="CL71" i="1"/>
  <c r="CH72" i="1"/>
  <c r="CI72" i="1"/>
  <c r="CJ72" i="1"/>
  <c r="CK72" i="1"/>
  <c r="CL72" i="1"/>
  <c r="CH73" i="1"/>
  <c r="CI73" i="1"/>
  <c r="CJ73" i="1"/>
  <c r="CK73" i="1"/>
  <c r="CL73" i="1"/>
  <c r="CH74" i="1"/>
  <c r="CI74" i="1"/>
  <c r="CJ74" i="1"/>
  <c r="CK74" i="1"/>
  <c r="CL74" i="1"/>
  <c r="CH75" i="1"/>
  <c r="CI75" i="1"/>
  <c r="CJ75" i="1"/>
  <c r="CK75" i="1"/>
  <c r="CL75" i="1"/>
  <c r="CH76" i="1"/>
  <c r="CI76" i="1"/>
  <c r="CJ76" i="1"/>
  <c r="CK76" i="1"/>
  <c r="CL76" i="1"/>
  <c r="CH77" i="1"/>
  <c r="CI77" i="1"/>
  <c r="CJ77" i="1"/>
  <c r="CK77" i="1"/>
  <c r="CL77" i="1"/>
  <c r="CH78" i="1"/>
  <c r="CI78" i="1"/>
  <c r="CJ78" i="1"/>
  <c r="CK78" i="1"/>
  <c r="CL78" i="1"/>
  <c r="CH79" i="1"/>
  <c r="CI79" i="1"/>
  <c r="CJ79" i="1"/>
  <c r="CK79" i="1"/>
  <c r="CL79" i="1"/>
  <c r="CH80" i="1"/>
  <c r="CI80" i="1"/>
  <c r="CJ80" i="1"/>
  <c r="CK80" i="1"/>
  <c r="CL80" i="1"/>
  <c r="CH81" i="1"/>
  <c r="CI81" i="1"/>
  <c r="CJ81" i="1"/>
  <c r="CK81" i="1"/>
  <c r="CL81" i="1"/>
  <c r="CH82" i="1"/>
  <c r="CI82" i="1"/>
  <c r="CJ82" i="1"/>
  <c r="CK82" i="1"/>
  <c r="CL82" i="1"/>
  <c r="CH83" i="1"/>
  <c r="CI83" i="1"/>
  <c r="CJ83" i="1"/>
  <c r="CK83" i="1"/>
  <c r="CL83" i="1"/>
  <c r="CH84" i="1"/>
  <c r="CI84" i="1"/>
  <c r="CJ84" i="1"/>
  <c r="CK84" i="1"/>
  <c r="CL84" i="1"/>
  <c r="CH85" i="1"/>
  <c r="CI85" i="1"/>
  <c r="CJ85" i="1"/>
  <c r="CK85" i="1"/>
  <c r="CL85" i="1"/>
  <c r="CH86" i="1"/>
  <c r="CI86" i="1"/>
  <c r="CJ86" i="1"/>
  <c r="CK86" i="1"/>
  <c r="CL86" i="1"/>
  <c r="CH87" i="1"/>
  <c r="CI87" i="1"/>
  <c r="CJ87" i="1"/>
  <c r="CK87" i="1"/>
  <c r="CL87" i="1"/>
  <c r="CH88" i="1"/>
  <c r="CI88" i="1"/>
  <c r="CJ88" i="1"/>
  <c r="CK88" i="1"/>
  <c r="CL88" i="1"/>
  <c r="CH89" i="1"/>
  <c r="CI89" i="1"/>
  <c r="CJ89" i="1"/>
  <c r="CK89" i="1"/>
  <c r="CL89" i="1"/>
  <c r="CH90" i="1"/>
  <c r="CI90" i="1"/>
  <c r="CJ90" i="1"/>
  <c r="CK90" i="1"/>
  <c r="CL90" i="1"/>
  <c r="CH91" i="1"/>
  <c r="CI91" i="1"/>
  <c r="CJ91" i="1"/>
  <c r="CK91" i="1"/>
  <c r="CL91" i="1"/>
  <c r="CH92" i="1"/>
  <c r="CI92" i="1"/>
  <c r="CJ92" i="1"/>
  <c r="CK92" i="1"/>
  <c r="CL92" i="1"/>
  <c r="CH93" i="1"/>
  <c r="CI93" i="1"/>
  <c r="CJ93" i="1"/>
  <c r="CK93" i="1"/>
  <c r="CL93" i="1"/>
  <c r="CH94" i="1"/>
  <c r="CI94" i="1"/>
  <c r="CJ94" i="1"/>
  <c r="CK94" i="1"/>
  <c r="CL94" i="1"/>
  <c r="CH95" i="1"/>
  <c r="CI95" i="1"/>
  <c r="CJ95" i="1"/>
  <c r="CK95" i="1"/>
  <c r="CL95" i="1"/>
  <c r="CH96" i="1"/>
  <c r="CI96" i="1"/>
  <c r="CJ96" i="1"/>
  <c r="CK96" i="1"/>
  <c r="CL96" i="1"/>
  <c r="CH97" i="1"/>
  <c r="CI97" i="1"/>
  <c r="CJ97" i="1"/>
  <c r="CK97" i="1"/>
  <c r="CL97" i="1"/>
  <c r="CH98" i="1"/>
  <c r="CI98" i="1"/>
  <c r="CJ98" i="1"/>
  <c r="CK98" i="1"/>
  <c r="CL98" i="1"/>
  <c r="CH99" i="1"/>
  <c r="CI99" i="1"/>
  <c r="CJ99" i="1"/>
  <c r="CK99" i="1"/>
  <c r="CL99" i="1"/>
  <c r="CH100" i="1"/>
  <c r="CI100" i="1"/>
  <c r="CJ100" i="1"/>
  <c r="CK100" i="1"/>
  <c r="CL100" i="1"/>
  <c r="CH101" i="1"/>
  <c r="CI101" i="1"/>
  <c r="CJ101" i="1"/>
  <c r="CK101" i="1"/>
  <c r="CL101" i="1"/>
  <c r="CH102" i="1"/>
  <c r="CI102" i="1"/>
  <c r="CJ102" i="1"/>
  <c r="CK102" i="1"/>
  <c r="CL102" i="1"/>
  <c r="CH103" i="1"/>
  <c r="CI103" i="1"/>
  <c r="CJ103" i="1"/>
  <c r="CK103" i="1"/>
  <c r="CL103" i="1"/>
  <c r="CH104" i="1"/>
  <c r="CI104" i="1"/>
  <c r="CJ104" i="1"/>
  <c r="CK104" i="1"/>
  <c r="CL104" i="1"/>
  <c r="CH105" i="1"/>
  <c r="CI105" i="1"/>
  <c r="CJ105" i="1"/>
  <c r="CK105" i="1"/>
  <c r="CL105" i="1"/>
  <c r="CH106" i="1"/>
  <c r="CI106" i="1"/>
  <c r="CJ106" i="1"/>
  <c r="CK106" i="1"/>
  <c r="CL106" i="1"/>
  <c r="CH107" i="1"/>
  <c r="CI107" i="1"/>
  <c r="CJ107" i="1"/>
  <c r="CK107" i="1"/>
  <c r="CL107" i="1"/>
  <c r="CH108" i="1"/>
  <c r="CI108" i="1"/>
  <c r="CJ108" i="1"/>
  <c r="CK108" i="1"/>
  <c r="CL108" i="1"/>
  <c r="CH109" i="1"/>
  <c r="CI109" i="1"/>
  <c r="CJ109" i="1"/>
  <c r="CK109" i="1"/>
  <c r="CL109" i="1"/>
  <c r="CH110" i="1"/>
  <c r="CI110" i="1"/>
  <c r="CJ110" i="1"/>
  <c r="CK110" i="1"/>
  <c r="CL110" i="1"/>
  <c r="CH111" i="1"/>
  <c r="CI111" i="1"/>
  <c r="CJ111" i="1"/>
  <c r="CK111" i="1"/>
  <c r="CL111" i="1"/>
  <c r="CH112" i="1"/>
  <c r="CI112" i="1"/>
  <c r="CJ112" i="1"/>
  <c r="CK112" i="1"/>
  <c r="CL112" i="1"/>
  <c r="CH113" i="1"/>
  <c r="CI113" i="1"/>
  <c r="CJ113" i="1"/>
  <c r="CK113" i="1"/>
  <c r="CL113" i="1"/>
  <c r="CH114" i="1"/>
  <c r="CI114" i="1"/>
  <c r="CJ114" i="1"/>
  <c r="CK114" i="1"/>
  <c r="CL114" i="1"/>
  <c r="CH115" i="1"/>
  <c r="CI115" i="1"/>
  <c r="CJ115" i="1"/>
  <c r="CK115" i="1"/>
  <c r="CL115" i="1"/>
  <c r="CH116" i="1"/>
  <c r="CI116" i="1"/>
  <c r="CJ116" i="1"/>
  <c r="CK116" i="1"/>
  <c r="CL116" i="1"/>
  <c r="CH117" i="1"/>
  <c r="CI117" i="1"/>
  <c r="CJ117" i="1"/>
  <c r="CK117" i="1"/>
  <c r="CL117" i="1"/>
  <c r="CH118" i="1"/>
  <c r="CI118" i="1"/>
  <c r="CJ118" i="1"/>
  <c r="CK118" i="1"/>
  <c r="CL118" i="1"/>
  <c r="CH119" i="1"/>
  <c r="CI119" i="1"/>
  <c r="CJ119" i="1"/>
  <c r="CK119" i="1"/>
  <c r="CL119" i="1"/>
  <c r="CH120" i="1"/>
  <c r="CI120" i="1"/>
  <c r="CJ120" i="1"/>
  <c r="CK120" i="1"/>
  <c r="CL120" i="1"/>
  <c r="CH121" i="1"/>
  <c r="CI121" i="1"/>
  <c r="CJ121" i="1"/>
  <c r="CK121" i="1"/>
  <c r="CL121" i="1"/>
  <c r="CH122" i="1"/>
  <c r="CI122" i="1"/>
  <c r="CJ122" i="1"/>
  <c r="CK122" i="1"/>
  <c r="CL122" i="1"/>
  <c r="CH123" i="1"/>
  <c r="CI123" i="1"/>
  <c r="CJ123" i="1"/>
  <c r="CK123" i="1"/>
  <c r="CL123" i="1"/>
  <c r="CH124" i="1"/>
  <c r="CI124" i="1"/>
  <c r="CJ124" i="1"/>
  <c r="CK124" i="1"/>
  <c r="CL124" i="1"/>
  <c r="CH125" i="1"/>
  <c r="CI125" i="1"/>
  <c r="CJ125" i="1"/>
  <c r="CK125" i="1"/>
  <c r="CL125" i="1"/>
  <c r="CH126" i="1"/>
  <c r="CI126" i="1"/>
  <c r="CJ126" i="1"/>
  <c r="CK126" i="1"/>
  <c r="CL126" i="1"/>
  <c r="CH127" i="1"/>
  <c r="CI127" i="1"/>
  <c r="CJ127" i="1"/>
  <c r="CK127" i="1"/>
  <c r="CL127" i="1"/>
  <c r="CH128" i="1"/>
  <c r="CI128" i="1"/>
  <c r="CJ128" i="1"/>
  <c r="CK128" i="1"/>
  <c r="CL128" i="1"/>
  <c r="CH129" i="1"/>
  <c r="CI129" i="1"/>
  <c r="CJ129" i="1"/>
  <c r="CK129" i="1"/>
  <c r="CL129" i="1"/>
  <c r="CH130" i="1"/>
  <c r="CI130" i="1"/>
  <c r="CJ130" i="1"/>
  <c r="CK130" i="1"/>
  <c r="CL130" i="1"/>
  <c r="CH131" i="1"/>
  <c r="CI131" i="1"/>
  <c r="CJ131" i="1"/>
  <c r="CK131" i="1"/>
  <c r="CL131" i="1"/>
  <c r="CH132" i="1"/>
  <c r="CI132" i="1"/>
  <c r="CJ132" i="1"/>
  <c r="CK132" i="1"/>
  <c r="CL132" i="1"/>
  <c r="CH133" i="1"/>
  <c r="CI133" i="1"/>
  <c r="CJ133" i="1"/>
  <c r="CK133" i="1"/>
  <c r="CL133" i="1"/>
  <c r="CH134" i="1"/>
  <c r="CI134" i="1"/>
  <c r="CJ134" i="1"/>
  <c r="CK134" i="1"/>
  <c r="CL134" i="1"/>
  <c r="CH135" i="1"/>
  <c r="CI135" i="1"/>
  <c r="CJ135" i="1"/>
  <c r="CK135" i="1"/>
  <c r="CL135" i="1"/>
  <c r="CH136" i="1"/>
  <c r="CI136" i="1"/>
  <c r="CJ136" i="1"/>
  <c r="CK136" i="1"/>
  <c r="CL136" i="1"/>
  <c r="CH137" i="1"/>
  <c r="CI137" i="1"/>
  <c r="CJ137" i="1"/>
  <c r="CK137" i="1"/>
  <c r="CL137" i="1"/>
  <c r="CH138" i="1"/>
  <c r="CI138" i="1"/>
  <c r="CJ138" i="1"/>
  <c r="CK138" i="1"/>
  <c r="CL138" i="1"/>
  <c r="CH139" i="1"/>
  <c r="CI139" i="1"/>
  <c r="CJ139" i="1"/>
  <c r="CK139" i="1"/>
  <c r="CL139" i="1"/>
  <c r="CH140" i="1"/>
  <c r="CI140" i="1"/>
  <c r="CJ140" i="1"/>
  <c r="CK140" i="1"/>
  <c r="CL140" i="1"/>
  <c r="CH141" i="1"/>
  <c r="CI141" i="1"/>
  <c r="CJ141" i="1"/>
  <c r="CK141" i="1"/>
  <c r="CL141" i="1"/>
  <c r="CH142" i="1"/>
  <c r="CI142" i="1"/>
  <c r="CJ142" i="1"/>
  <c r="CK142" i="1"/>
  <c r="CL142" i="1"/>
  <c r="CH143" i="1"/>
  <c r="CI143" i="1"/>
  <c r="CJ143" i="1"/>
  <c r="CK143" i="1"/>
  <c r="CL143" i="1"/>
  <c r="CH144" i="1"/>
  <c r="CI144" i="1"/>
  <c r="CJ144" i="1"/>
  <c r="CK144" i="1"/>
  <c r="CL144" i="1"/>
  <c r="CH145" i="1"/>
  <c r="CI145" i="1"/>
  <c r="CJ145" i="1"/>
  <c r="CK145" i="1"/>
  <c r="CL145" i="1"/>
  <c r="CH146" i="1"/>
  <c r="CI146" i="1"/>
  <c r="CJ146" i="1"/>
  <c r="CK146" i="1"/>
  <c r="CL146" i="1"/>
  <c r="CH147" i="1"/>
  <c r="CI147" i="1"/>
  <c r="CJ147" i="1"/>
  <c r="CK147" i="1"/>
  <c r="CL147" i="1"/>
  <c r="CH148" i="1"/>
  <c r="CI148" i="1"/>
  <c r="CJ148" i="1"/>
  <c r="CK148" i="1"/>
  <c r="CL148" i="1"/>
  <c r="CH149" i="1"/>
  <c r="CI149" i="1"/>
  <c r="CJ149" i="1"/>
  <c r="CK149" i="1"/>
  <c r="CL149" i="1"/>
  <c r="CH150" i="1"/>
  <c r="CI150" i="1"/>
  <c r="CJ150" i="1"/>
  <c r="CK150" i="1"/>
  <c r="CL150" i="1"/>
  <c r="CH151" i="1"/>
  <c r="CI151" i="1"/>
  <c r="CJ151" i="1"/>
  <c r="CK151" i="1"/>
  <c r="CL151" i="1"/>
  <c r="CH152" i="1"/>
  <c r="CI152" i="1"/>
  <c r="CJ152" i="1"/>
  <c r="CK152" i="1"/>
  <c r="CL152" i="1"/>
  <c r="CH153" i="1"/>
  <c r="CI153" i="1"/>
  <c r="CJ153" i="1"/>
  <c r="CK153" i="1"/>
  <c r="CL153" i="1"/>
  <c r="CH154" i="1"/>
  <c r="CI154" i="1"/>
  <c r="CJ154" i="1"/>
  <c r="CK154" i="1"/>
  <c r="CL154" i="1"/>
  <c r="CH155" i="1"/>
  <c r="CI155" i="1"/>
  <c r="CJ155" i="1"/>
  <c r="CK155" i="1"/>
  <c r="CL155" i="1"/>
  <c r="CH156" i="1"/>
  <c r="CI156" i="1"/>
  <c r="CJ156" i="1"/>
  <c r="CK156" i="1"/>
  <c r="CL156" i="1"/>
  <c r="CH157" i="1"/>
  <c r="CI157" i="1"/>
  <c r="CJ157" i="1"/>
  <c r="CK157" i="1"/>
  <c r="CL157" i="1"/>
  <c r="CH158" i="1"/>
  <c r="CI158" i="1"/>
  <c r="CJ158" i="1"/>
  <c r="CK158" i="1"/>
  <c r="CL158" i="1"/>
  <c r="CH159" i="1"/>
  <c r="CI159" i="1"/>
  <c r="CJ159" i="1"/>
  <c r="CK159" i="1"/>
  <c r="CL159" i="1"/>
  <c r="CH160" i="1"/>
  <c r="CI160" i="1"/>
  <c r="CJ160" i="1"/>
  <c r="CK160" i="1"/>
  <c r="CL160" i="1"/>
  <c r="CH161" i="1"/>
  <c r="CI161" i="1"/>
  <c r="CJ161" i="1"/>
  <c r="CK161" i="1"/>
  <c r="CL161" i="1"/>
  <c r="CH162" i="1"/>
  <c r="CI162" i="1"/>
  <c r="CJ162" i="1"/>
  <c r="CK162" i="1"/>
  <c r="CL162" i="1"/>
  <c r="CH163" i="1"/>
  <c r="CI163" i="1"/>
  <c r="CJ163" i="1"/>
  <c r="CK163" i="1"/>
  <c r="CL163" i="1"/>
  <c r="CH164" i="1"/>
  <c r="CI164" i="1"/>
  <c r="CJ164" i="1"/>
  <c r="CK164" i="1"/>
  <c r="CL164" i="1"/>
  <c r="CH165" i="1"/>
  <c r="CI165" i="1"/>
  <c r="CJ165" i="1"/>
  <c r="CK165" i="1"/>
  <c r="CL165" i="1"/>
  <c r="CH166" i="1"/>
  <c r="CI166" i="1"/>
  <c r="CJ166" i="1"/>
  <c r="CK166" i="1"/>
  <c r="CL166" i="1"/>
  <c r="CH167" i="1"/>
  <c r="CI167" i="1"/>
  <c r="CJ167" i="1"/>
  <c r="CK167" i="1"/>
  <c r="CL167" i="1"/>
  <c r="CH168" i="1"/>
  <c r="CI168" i="1"/>
  <c r="CJ168" i="1"/>
  <c r="CK168" i="1"/>
  <c r="CL168" i="1"/>
  <c r="CH169" i="1"/>
  <c r="CI169" i="1"/>
  <c r="CJ169" i="1"/>
  <c r="CK169" i="1"/>
  <c r="CL169" i="1"/>
  <c r="CH170" i="1"/>
  <c r="CI170" i="1"/>
  <c r="CJ170" i="1"/>
  <c r="CK170" i="1"/>
  <c r="CL170" i="1"/>
  <c r="CH171" i="1"/>
  <c r="CI171" i="1"/>
  <c r="CJ171" i="1"/>
  <c r="CK171" i="1"/>
  <c r="CL171" i="1"/>
  <c r="CH172" i="1"/>
  <c r="CI172" i="1"/>
  <c r="CJ172" i="1"/>
  <c r="CK172" i="1"/>
  <c r="CL172" i="1"/>
  <c r="CH173" i="1"/>
  <c r="CI173" i="1"/>
  <c r="CJ173" i="1"/>
  <c r="CK173" i="1"/>
  <c r="CL173" i="1"/>
  <c r="CH174" i="1"/>
  <c r="CI174" i="1"/>
  <c r="CJ174" i="1"/>
  <c r="CK174" i="1"/>
  <c r="CL174" i="1"/>
  <c r="CH175" i="1"/>
  <c r="CI175" i="1"/>
  <c r="CJ175" i="1"/>
  <c r="CK175" i="1"/>
  <c r="CL175" i="1"/>
  <c r="CH176" i="1"/>
  <c r="CI176" i="1"/>
  <c r="CJ176" i="1"/>
  <c r="CK176" i="1"/>
  <c r="CL176" i="1"/>
  <c r="CH177" i="1"/>
  <c r="CI177" i="1"/>
  <c r="CJ177" i="1"/>
  <c r="CK177" i="1"/>
  <c r="CL177" i="1"/>
  <c r="CH178" i="1"/>
  <c r="CI178" i="1"/>
  <c r="CJ178" i="1"/>
  <c r="CK178" i="1"/>
  <c r="CL178" i="1"/>
  <c r="CH179" i="1"/>
  <c r="CI179" i="1"/>
  <c r="CJ179" i="1"/>
  <c r="CK179" i="1"/>
  <c r="CL179" i="1"/>
  <c r="CH180" i="1"/>
  <c r="CI180" i="1"/>
  <c r="CJ180" i="1"/>
  <c r="CK180" i="1"/>
  <c r="CL180" i="1"/>
  <c r="CH181" i="1"/>
  <c r="CI181" i="1"/>
  <c r="CJ181" i="1"/>
  <c r="CK181" i="1"/>
  <c r="CL181" i="1"/>
  <c r="CH182" i="1"/>
  <c r="CI182" i="1"/>
  <c r="CJ182" i="1"/>
  <c r="CK182" i="1"/>
  <c r="CL182" i="1"/>
  <c r="CH183" i="1"/>
  <c r="CI183" i="1"/>
  <c r="CJ183" i="1"/>
  <c r="CK183" i="1"/>
  <c r="CL183" i="1"/>
  <c r="CH184" i="1"/>
  <c r="CI184" i="1"/>
  <c r="CJ184" i="1"/>
  <c r="CK184" i="1"/>
  <c r="CL184" i="1"/>
  <c r="CH185" i="1"/>
  <c r="CI185" i="1"/>
  <c r="CJ185" i="1"/>
  <c r="CK185" i="1"/>
  <c r="CL185" i="1"/>
  <c r="CH186" i="1"/>
  <c r="CI186" i="1"/>
  <c r="CJ186" i="1"/>
  <c r="CK186" i="1"/>
  <c r="CL186" i="1"/>
  <c r="CH187" i="1"/>
  <c r="CI187" i="1"/>
  <c r="CJ187" i="1"/>
  <c r="CK187" i="1"/>
  <c r="CL187" i="1"/>
  <c r="CH188" i="1"/>
  <c r="CI188" i="1"/>
  <c r="CJ188" i="1"/>
  <c r="CK188" i="1"/>
  <c r="CL188" i="1"/>
  <c r="CH189" i="1"/>
  <c r="CI189" i="1"/>
  <c r="CJ189" i="1"/>
  <c r="CK189" i="1"/>
  <c r="CL189" i="1"/>
  <c r="CH190" i="1"/>
  <c r="CI190" i="1"/>
  <c r="CJ190" i="1"/>
  <c r="CK190" i="1"/>
  <c r="CL190" i="1"/>
  <c r="CH191" i="1"/>
  <c r="CI191" i="1"/>
  <c r="CJ191" i="1"/>
  <c r="CK191" i="1"/>
  <c r="CL191" i="1"/>
  <c r="CH192" i="1"/>
  <c r="CI192" i="1"/>
  <c r="CJ192" i="1"/>
  <c r="CK192" i="1"/>
  <c r="CL192" i="1"/>
  <c r="CH193" i="1"/>
  <c r="CI193" i="1"/>
  <c r="CJ193" i="1"/>
  <c r="CK193" i="1"/>
  <c r="CL193" i="1"/>
  <c r="CH194" i="1"/>
  <c r="CI194" i="1"/>
  <c r="CJ194" i="1"/>
  <c r="CK194" i="1"/>
  <c r="CL194" i="1"/>
  <c r="CH195" i="1"/>
  <c r="CI195" i="1"/>
  <c r="CJ195" i="1"/>
  <c r="CK195" i="1"/>
  <c r="CL195" i="1"/>
  <c r="CH196" i="1"/>
  <c r="CI196" i="1"/>
  <c r="CJ196" i="1"/>
  <c r="CK196" i="1"/>
  <c r="CL196" i="1"/>
  <c r="CH197" i="1"/>
  <c r="CI197" i="1"/>
  <c r="CJ197" i="1"/>
  <c r="CK197" i="1"/>
  <c r="CL197" i="1"/>
  <c r="CH198" i="1"/>
  <c r="CI198" i="1"/>
  <c r="CJ198" i="1"/>
  <c r="CK198" i="1"/>
  <c r="CL198" i="1"/>
  <c r="CH199" i="1"/>
  <c r="CI199" i="1"/>
  <c r="CJ199" i="1"/>
  <c r="CK199" i="1"/>
  <c r="CL199" i="1"/>
  <c r="CH200" i="1"/>
  <c r="CI200" i="1"/>
  <c r="CJ200" i="1"/>
  <c r="CK200" i="1"/>
  <c r="CL200" i="1"/>
  <c r="CH201" i="1"/>
  <c r="CI201" i="1"/>
  <c r="CJ201" i="1"/>
  <c r="CK201" i="1"/>
  <c r="CL201" i="1"/>
  <c r="CH202" i="1"/>
  <c r="CI202" i="1"/>
  <c r="CJ202" i="1"/>
  <c r="CK202" i="1"/>
  <c r="CL202" i="1"/>
  <c r="CH3" i="1"/>
  <c r="CI3" i="1"/>
  <c r="CJ3" i="1"/>
  <c r="CK3" i="1"/>
  <c r="CL3" i="1"/>
  <c r="CB4" i="1"/>
  <c r="CC4" i="1"/>
  <c r="CD4" i="1"/>
  <c r="CE4" i="1"/>
  <c r="CF4" i="1"/>
  <c r="CB5" i="1"/>
  <c r="CC5" i="1"/>
  <c r="CD5" i="1"/>
  <c r="CE5" i="1"/>
  <c r="CF5" i="1"/>
  <c r="CB6" i="1"/>
  <c r="CC6" i="1"/>
  <c r="CD6" i="1"/>
  <c r="CE6" i="1"/>
  <c r="CF6" i="1"/>
  <c r="CB7" i="1"/>
  <c r="CC7" i="1"/>
  <c r="CD7" i="1"/>
  <c r="CE7" i="1"/>
  <c r="CF7" i="1"/>
  <c r="CB8" i="1"/>
  <c r="CC8" i="1"/>
  <c r="CD8" i="1"/>
  <c r="CE8" i="1"/>
  <c r="CF8" i="1"/>
  <c r="CB9" i="1"/>
  <c r="CC9" i="1"/>
  <c r="CD9" i="1"/>
  <c r="CE9" i="1"/>
  <c r="CF9" i="1"/>
  <c r="CB10" i="1"/>
  <c r="CC10" i="1"/>
  <c r="CD10" i="1"/>
  <c r="CE10" i="1"/>
  <c r="CF10" i="1"/>
  <c r="CB11" i="1"/>
  <c r="CC11" i="1"/>
  <c r="CD11" i="1"/>
  <c r="CE11" i="1"/>
  <c r="CF11" i="1"/>
  <c r="CB12" i="1"/>
  <c r="CC12" i="1"/>
  <c r="CD12" i="1"/>
  <c r="CE12" i="1"/>
  <c r="CF12" i="1"/>
  <c r="CB13" i="1"/>
  <c r="CC13" i="1"/>
  <c r="CD13" i="1"/>
  <c r="CE13" i="1"/>
  <c r="CF13" i="1"/>
  <c r="CB14" i="1"/>
  <c r="CC14" i="1"/>
  <c r="CD14" i="1"/>
  <c r="CE14" i="1"/>
  <c r="CF14" i="1"/>
  <c r="CB15" i="1"/>
  <c r="CC15" i="1"/>
  <c r="CD15" i="1"/>
  <c r="CE15" i="1"/>
  <c r="CF15" i="1"/>
  <c r="CB16" i="1"/>
  <c r="CC16" i="1"/>
  <c r="CD16" i="1"/>
  <c r="CE16" i="1"/>
  <c r="CF16" i="1"/>
  <c r="CB17" i="1"/>
  <c r="CC17" i="1"/>
  <c r="CD17" i="1"/>
  <c r="CE17" i="1"/>
  <c r="CF17" i="1"/>
  <c r="CB18" i="1"/>
  <c r="CC18" i="1"/>
  <c r="CD18" i="1"/>
  <c r="CE18" i="1"/>
  <c r="CF18" i="1"/>
  <c r="CB19" i="1"/>
  <c r="CC19" i="1"/>
  <c r="CD19" i="1"/>
  <c r="CE19" i="1"/>
  <c r="CF19" i="1"/>
  <c r="CB20" i="1"/>
  <c r="CC20" i="1"/>
  <c r="CD20" i="1"/>
  <c r="CE20" i="1"/>
  <c r="CF20" i="1"/>
  <c r="CB21" i="1"/>
  <c r="CC21" i="1"/>
  <c r="CD21" i="1"/>
  <c r="CE21" i="1"/>
  <c r="CF21" i="1"/>
  <c r="CB22" i="1"/>
  <c r="CC22" i="1"/>
  <c r="CD22" i="1"/>
  <c r="CE22" i="1"/>
  <c r="CF22" i="1"/>
  <c r="CB23" i="1"/>
  <c r="CC23" i="1"/>
  <c r="CD23" i="1"/>
  <c r="CE23" i="1"/>
  <c r="CF23" i="1"/>
  <c r="CB24" i="1"/>
  <c r="CC24" i="1"/>
  <c r="CD24" i="1"/>
  <c r="CE24" i="1"/>
  <c r="CF24" i="1"/>
  <c r="CB25" i="1"/>
  <c r="CC25" i="1"/>
  <c r="CD25" i="1"/>
  <c r="CE25" i="1"/>
  <c r="CF25" i="1"/>
  <c r="CB26" i="1"/>
  <c r="CC26" i="1"/>
  <c r="CD26" i="1"/>
  <c r="CE26" i="1"/>
  <c r="CF26" i="1"/>
  <c r="CB27" i="1"/>
  <c r="CC27" i="1"/>
  <c r="CD27" i="1"/>
  <c r="CE27" i="1"/>
  <c r="CF27" i="1"/>
  <c r="CB28" i="1"/>
  <c r="CC28" i="1"/>
  <c r="CD28" i="1"/>
  <c r="CE28" i="1"/>
  <c r="CF28" i="1"/>
  <c r="CB29" i="1"/>
  <c r="CC29" i="1"/>
  <c r="CD29" i="1"/>
  <c r="CE29" i="1"/>
  <c r="CF29" i="1"/>
  <c r="CB30" i="1"/>
  <c r="CC30" i="1"/>
  <c r="CD30" i="1"/>
  <c r="CE30" i="1"/>
  <c r="CF30" i="1"/>
  <c r="CB31" i="1"/>
  <c r="CC31" i="1"/>
  <c r="CD31" i="1"/>
  <c r="CE31" i="1"/>
  <c r="CF31" i="1"/>
  <c r="CB32" i="1"/>
  <c r="CC32" i="1"/>
  <c r="CD32" i="1"/>
  <c r="CE32" i="1"/>
  <c r="CF32" i="1"/>
  <c r="CB33" i="1"/>
  <c r="CC33" i="1"/>
  <c r="CD33" i="1"/>
  <c r="CE33" i="1"/>
  <c r="CF33" i="1"/>
  <c r="CB34" i="1"/>
  <c r="CC34" i="1"/>
  <c r="CD34" i="1"/>
  <c r="CE34" i="1"/>
  <c r="CF34" i="1"/>
  <c r="CB35" i="1"/>
  <c r="CC35" i="1"/>
  <c r="CD35" i="1"/>
  <c r="CE35" i="1"/>
  <c r="CF35" i="1"/>
  <c r="CB36" i="1"/>
  <c r="CC36" i="1"/>
  <c r="CD36" i="1"/>
  <c r="CE36" i="1"/>
  <c r="CF36" i="1"/>
  <c r="CB37" i="1"/>
  <c r="CC37" i="1"/>
  <c r="CD37" i="1"/>
  <c r="CE37" i="1"/>
  <c r="CF37" i="1"/>
  <c r="CB38" i="1"/>
  <c r="CC38" i="1"/>
  <c r="CD38" i="1"/>
  <c r="CE38" i="1"/>
  <c r="CF38" i="1"/>
  <c r="CB39" i="1"/>
  <c r="CC39" i="1"/>
  <c r="CD39" i="1"/>
  <c r="CE39" i="1"/>
  <c r="CF39" i="1"/>
  <c r="CB40" i="1"/>
  <c r="CC40" i="1"/>
  <c r="CD40" i="1"/>
  <c r="CE40" i="1"/>
  <c r="CF40" i="1"/>
  <c r="CB41" i="1"/>
  <c r="CC41" i="1"/>
  <c r="CD41" i="1"/>
  <c r="CE41" i="1"/>
  <c r="CF41" i="1"/>
  <c r="CB42" i="1"/>
  <c r="CC42" i="1"/>
  <c r="CD42" i="1"/>
  <c r="CE42" i="1"/>
  <c r="CF42" i="1"/>
  <c r="CB43" i="1"/>
  <c r="CC43" i="1"/>
  <c r="CD43" i="1"/>
  <c r="CE43" i="1"/>
  <c r="CF43" i="1"/>
  <c r="CB44" i="1"/>
  <c r="CC44" i="1"/>
  <c r="CD44" i="1"/>
  <c r="CE44" i="1"/>
  <c r="CF44" i="1"/>
  <c r="CB45" i="1"/>
  <c r="CC45" i="1"/>
  <c r="CD45" i="1"/>
  <c r="CE45" i="1"/>
  <c r="CF45" i="1"/>
  <c r="CB46" i="1"/>
  <c r="CC46" i="1"/>
  <c r="CD46" i="1"/>
  <c r="CE46" i="1"/>
  <c r="CF46" i="1"/>
  <c r="CB47" i="1"/>
  <c r="CC47" i="1"/>
  <c r="CD47" i="1"/>
  <c r="CE47" i="1"/>
  <c r="CF47" i="1"/>
  <c r="CB48" i="1"/>
  <c r="CC48" i="1"/>
  <c r="CD48" i="1"/>
  <c r="CE48" i="1"/>
  <c r="CF48" i="1"/>
  <c r="CB49" i="1"/>
  <c r="CC49" i="1"/>
  <c r="CD49" i="1"/>
  <c r="CE49" i="1"/>
  <c r="CF49" i="1"/>
  <c r="CB50" i="1"/>
  <c r="CC50" i="1"/>
  <c r="CD50" i="1"/>
  <c r="CE50" i="1"/>
  <c r="CF50" i="1"/>
  <c r="CB51" i="1"/>
  <c r="CC51" i="1"/>
  <c r="CD51" i="1"/>
  <c r="CE51" i="1"/>
  <c r="CF51" i="1"/>
  <c r="CB52" i="1"/>
  <c r="CC52" i="1"/>
  <c r="CD52" i="1"/>
  <c r="CE52" i="1"/>
  <c r="CF52" i="1"/>
  <c r="CB53" i="1"/>
  <c r="CC53" i="1"/>
  <c r="CD53" i="1"/>
  <c r="CE53" i="1"/>
  <c r="CF53" i="1"/>
  <c r="CB54" i="1"/>
  <c r="CC54" i="1"/>
  <c r="CD54" i="1"/>
  <c r="CE54" i="1"/>
  <c r="CF54" i="1"/>
  <c r="CB55" i="1"/>
  <c r="CC55" i="1"/>
  <c r="CD55" i="1"/>
  <c r="CE55" i="1"/>
  <c r="CF55" i="1"/>
  <c r="CB56" i="1"/>
  <c r="CC56" i="1"/>
  <c r="CD56" i="1"/>
  <c r="CE56" i="1"/>
  <c r="CF56" i="1"/>
  <c r="CB57" i="1"/>
  <c r="CC57" i="1"/>
  <c r="CD57" i="1"/>
  <c r="CE57" i="1"/>
  <c r="CF57" i="1"/>
  <c r="CB58" i="1"/>
  <c r="CC58" i="1"/>
  <c r="CD58" i="1"/>
  <c r="CE58" i="1"/>
  <c r="CF58" i="1"/>
  <c r="CB59" i="1"/>
  <c r="CC59" i="1"/>
  <c r="CD59" i="1"/>
  <c r="CE59" i="1"/>
  <c r="CF59" i="1"/>
  <c r="CB60" i="1"/>
  <c r="CC60" i="1"/>
  <c r="CD60" i="1"/>
  <c r="CE60" i="1"/>
  <c r="CF60" i="1"/>
  <c r="CB61" i="1"/>
  <c r="CC61" i="1"/>
  <c r="CD61" i="1"/>
  <c r="CE61" i="1"/>
  <c r="CF61" i="1"/>
  <c r="CB62" i="1"/>
  <c r="CC62" i="1"/>
  <c r="CD62" i="1"/>
  <c r="CE62" i="1"/>
  <c r="CF62" i="1"/>
  <c r="CB63" i="1"/>
  <c r="CC63" i="1"/>
  <c r="CD63" i="1"/>
  <c r="CE63" i="1"/>
  <c r="CF63" i="1"/>
  <c r="CB64" i="1"/>
  <c r="CC64" i="1"/>
  <c r="CD64" i="1"/>
  <c r="CE64" i="1"/>
  <c r="CF64" i="1"/>
  <c r="CB65" i="1"/>
  <c r="CC65" i="1"/>
  <c r="CD65" i="1"/>
  <c r="CE65" i="1"/>
  <c r="CF65" i="1"/>
  <c r="CB66" i="1"/>
  <c r="CC66" i="1"/>
  <c r="CD66" i="1"/>
  <c r="CE66" i="1"/>
  <c r="CF66" i="1"/>
  <c r="CB67" i="1"/>
  <c r="CC67" i="1"/>
  <c r="CD67" i="1"/>
  <c r="CE67" i="1"/>
  <c r="CF67" i="1"/>
  <c r="CB68" i="1"/>
  <c r="CC68" i="1"/>
  <c r="CD68" i="1"/>
  <c r="CE68" i="1"/>
  <c r="CF68" i="1"/>
  <c r="CB69" i="1"/>
  <c r="CC69" i="1"/>
  <c r="CD69" i="1"/>
  <c r="CE69" i="1"/>
  <c r="CF69" i="1"/>
  <c r="CB70" i="1"/>
  <c r="CC70" i="1"/>
  <c r="CD70" i="1"/>
  <c r="CE70" i="1"/>
  <c r="CF70" i="1"/>
  <c r="CB71" i="1"/>
  <c r="CC71" i="1"/>
  <c r="CD71" i="1"/>
  <c r="CE71" i="1"/>
  <c r="CF71" i="1"/>
  <c r="CB72" i="1"/>
  <c r="CC72" i="1"/>
  <c r="CD72" i="1"/>
  <c r="CE72" i="1"/>
  <c r="CF72" i="1"/>
  <c r="CB73" i="1"/>
  <c r="CC73" i="1"/>
  <c r="CD73" i="1"/>
  <c r="CE73" i="1"/>
  <c r="CF73" i="1"/>
  <c r="CB74" i="1"/>
  <c r="CC74" i="1"/>
  <c r="CD74" i="1"/>
  <c r="CE74" i="1"/>
  <c r="CF74" i="1"/>
  <c r="CB75" i="1"/>
  <c r="CC75" i="1"/>
  <c r="CD75" i="1"/>
  <c r="CE75" i="1"/>
  <c r="CF75" i="1"/>
  <c r="CB76" i="1"/>
  <c r="CC76" i="1"/>
  <c r="CD76" i="1"/>
  <c r="CE76" i="1"/>
  <c r="CF76" i="1"/>
  <c r="CB77" i="1"/>
  <c r="CC77" i="1"/>
  <c r="CD77" i="1"/>
  <c r="CE77" i="1"/>
  <c r="CF77" i="1"/>
  <c r="CB78" i="1"/>
  <c r="CC78" i="1"/>
  <c r="CD78" i="1"/>
  <c r="CE78" i="1"/>
  <c r="CF78" i="1"/>
  <c r="CB79" i="1"/>
  <c r="CC79" i="1"/>
  <c r="CD79" i="1"/>
  <c r="CE79" i="1"/>
  <c r="CF79" i="1"/>
  <c r="CB80" i="1"/>
  <c r="CC80" i="1"/>
  <c r="CD80" i="1"/>
  <c r="CE80" i="1"/>
  <c r="CF80" i="1"/>
  <c r="CB81" i="1"/>
  <c r="CC81" i="1"/>
  <c r="CD81" i="1"/>
  <c r="CE81" i="1"/>
  <c r="CF81" i="1"/>
  <c r="CB82" i="1"/>
  <c r="CC82" i="1"/>
  <c r="CD82" i="1"/>
  <c r="CE82" i="1"/>
  <c r="CF82" i="1"/>
  <c r="CB83" i="1"/>
  <c r="CC83" i="1"/>
  <c r="CD83" i="1"/>
  <c r="CE83" i="1"/>
  <c r="CF83" i="1"/>
  <c r="CB84" i="1"/>
  <c r="CC84" i="1"/>
  <c r="CD84" i="1"/>
  <c r="CE84" i="1"/>
  <c r="CF84" i="1"/>
  <c r="CB85" i="1"/>
  <c r="CC85" i="1"/>
  <c r="CD85" i="1"/>
  <c r="CE85" i="1"/>
  <c r="CF85" i="1"/>
  <c r="CB86" i="1"/>
  <c r="CC86" i="1"/>
  <c r="CD86" i="1"/>
  <c r="CE86" i="1"/>
  <c r="CF86" i="1"/>
  <c r="CB87" i="1"/>
  <c r="CC87" i="1"/>
  <c r="CD87" i="1"/>
  <c r="CE87" i="1"/>
  <c r="CF87" i="1"/>
  <c r="CB88" i="1"/>
  <c r="CC88" i="1"/>
  <c r="CD88" i="1"/>
  <c r="CE88" i="1"/>
  <c r="CF88" i="1"/>
  <c r="CB89" i="1"/>
  <c r="CC89" i="1"/>
  <c r="CD89" i="1"/>
  <c r="CE89" i="1"/>
  <c r="CF89" i="1"/>
  <c r="CB90" i="1"/>
  <c r="CC90" i="1"/>
  <c r="CD90" i="1"/>
  <c r="CE90" i="1"/>
  <c r="CF90" i="1"/>
  <c r="CB91" i="1"/>
  <c r="CC91" i="1"/>
  <c r="CD91" i="1"/>
  <c r="CE91" i="1"/>
  <c r="CF91" i="1"/>
  <c r="CB92" i="1"/>
  <c r="CC92" i="1"/>
  <c r="CD92" i="1"/>
  <c r="CE92" i="1"/>
  <c r="CF92" i="1"/>
  <c r="CB93" i="1"/>
  <c r="CC93" i="1"/>
  <c r="CD93" i="1"/>
  <c r="CE93" i="1"/>
  <c r="CF93" i="1"/>
  <c r="CB94" i="1"/>
  <c r="CC94" i="1"/>
  <c r="CD94" i="1"/>
  <c r="CE94" i="1"/>
  <c r="CF94" i="1"/>
  <c r="CB95" i="1"/>
  <c r="CC95" i="1"/>
  <c r="CD95" i="1"/>
  <c r="CE95" i="1"/>
  <c r="CF95" i="1"/>
  <c r="CB96" i="1"/>
  <c r="CC96" i="1"/>
  <c r="CD96" i="1"/>
  <c r="CE96" i="1"/>
  <c r="CF96" i="1"/>
  <c r="CB97" i="1"/>
  <c r="CC97" i="1"/>
  <c r="CD97" i="1"/>
  <c r="CE97" i="1"/>
  <c r="CF97" i="1"/>
  <c r="CB98" i="1"/>
  <c r="CC98" i="1"/>
  <c r="CD98" i="1"/>
  <c r="CE98" i="1"/>
  <c r="CF98" i="1"/>
  <c r="CB99" i="1"/>
  <c r="CC99" i="1"/>
  <c r="CD99" i="1"/>
  <c r="CE99" i="1"/>
  <c r="CF99" i="1"/>
  <c r="CB100" i="1"/>
  <c r="CC100" i="1"/>
  <c r="CD100" i="1"/>
  <c r="CE100" i="1"/>
  <c r="CF100" i="1"/>
  <c r="CB101" i="1"/>
  <c r="CC101" i="1"/>
  <c r="CD101" i="1"/>
  <c r="CE101" i="1"/>
  <c r="CF101" i="1"/>
  <c r="CB102" i="1"/>
  <c r="CC102" i="1"/>
  <c r="CD102" i="1"/>
  <c r="CE102" i="1"/>
  <c r="CF102" i="1"/>
  <c r="CB103" i="1"/>
  <c r="CC103" i="1"/>
  <c r="CD103" i="1"/>
  <c r="CE103" i="1"/>
  <c r="CF103" i="1"/>
  <c r="CB104" i="1"/>
  <c r="CC104" i="1"/>
  <c r="CD104" i="1"/>
  <c r="CE104" i="1"/>
  <c r="CF104" i="1"/>
  <c r="CB105" i="1"/>
  <c r="CC105" i="1"/>
  <c r="CD105" i="1"/>
  <c r="CE105" i="1"/>
  <c r="CF105" i="1"/>
  <c r="CB106" i="1"/>
  <c r="CC106" i="1"/>
  <c r="CD106" i="1"/>
  <c r="CE106" i="1"/>
  <c r="CF106" i="1"/>
  <c r="CB107" i="1"/>
  <c r="CC107" i="1"/>
  <c r="CD107" i="1"/>
  <c r="CE107" i="1"/>
  <c r="CF107" i="1"/>
  <c r="CB108" i="1"/>
  <c r="CC108" i="1"/>
  <c r="CD108" i="1"/>
  <c r="CE108" i="1"/>
  <c r="CF108" i="1"/>
  <c r="CB109" i="1"/>
  <c r="CC109" i="1"/>
  <c r="CD109" i="1"/>
  <c r="CE109" i="1"/>
  <c r="CF109" i="1"/>
  <c r="CB110" i="1"/>
  <c r="CC110" i="1"/>
  <c r="CD110" i="1"/>
  <c r="CE110" i="1"/>
  <c r="CF110" i="1"/>
  <c r="CB111" i="1"/>
  <c r="CC111" i="1"/>
  <c r="CD111" i="1"/>
  <c r="CE111" i="1"/>
  <c r="CF111" i="1"/>
  <c r="CB112" i="1"/>
  <c r="CC112" i="1"/>
  <c r="CD112" i="1"/>
  <c r="CE112" i="1"/>
  <c r="CF112" i="1"/>
  <c r="CB113" i="1"/>
  <c r="CC113" i="1"/>
  <c r="CD113" i="1"/>
  <c r="CE113" i="1"/>
  <c r="CF113" i="1"/>
  <c r="CB114" i="1"/>
  <c r="CC114" i="1"/>
  <c r="CD114" i="1"/>
  <c r="CE114" i="1"/>
  <c r="CF114" i="1"/>
  <c r="CB115" i="1"/>
  <c r="CC115" i="1"/>
  <c r="CD115" i="1"/>
  <c r="CE115" i="1"/>
  <c r="CF115" i="1"/>
  <c r="CB116" i="1"/>
  <c r="CC116" i="1"/>
  <c r="CD116" i="1"/>
  <c r="CE116" i="1"/>
  <c r="CF116" i="1"/>
  <c r="CB117" i="1"/>
  <c r="CC117" i="1"/>
  <c r="CD117" i="1"/>
  <c r="CE117" i="1"/>
  <c r="CF117" i="1"/>
  <c r="CB118" i="1"/>
  <c r="CC118" i="1"/>
  <c r="CD118" i="1"/>
  <c r="CE118" i="1"/>
  <c r="CF118" i="1"/>
  <c r="CB119" i="1"/>
  <c r="CC119" i="1"/>
  <c r="CD119" i="1"/>
  <c r="CE119" i="1"/>
  <c r="CF119" i="1"/>
  <c r="CB120" i="1"/>
  <c r="CC120" i="1"/>
  <c r="CD120" i="1"/>
  <c r="CE120" i="1"/>
  <c r="CF120" i="1"/>
  <c r="CB121" i="1"/>
  <c r="CC121" i="1"/>
  <c r="CD121" i="1"/>
  <c r="CE121" i="1"/>
  <c r="CF121" i="1"/>
  <c r="CB122" i="1"/>
  <c r="CC122" i="1"/>
  <c r="CD122" i="1"/>
  <c r="CE122" i="1"/>
  <c r="CF122" i="1"/>
  <c r="CB123" i="1"/>
  <c r="CC123" i="1"/>
  <c r="CD123" i="1"/>
  <c r="CE123" i="1"/>
  <c r="CF123" i="1"/>
  <c r="CB124" i="1"/>
  <c r="CC124" i="1"/>
  <c r="CD124" i="1"/>
  <c r="CE124" i="1"/>
  <c r="CF124" i="1"/>
  <c r="CB125" i="1"/>
  <c r="CC125" i="1"/>
  <c r="CD125" i="1"/>
  <c r="CE125" i="1"/>
  <c r="CF125" i="1"/>
  <c r="CB126" i="1"/>
  <c r="CC126" i="1"/>
  <c r="CD126" i="1"/>
  <c r="CE126" i="1"/>
  <c r="CF126" i="1"/>
  <c r="CB127" i="1"/>
  <c r="CC127" i="1"/>
  <c r="CD127" i="1"/>
  <c r="CE127" i="1"/>
  <c r="CF127" i="1"/>
  <c r="CB128" i="1"/>
  <c r="CC128" i="1"/>
  <c r="CD128" i="1"/>
  <c r="CE128" i="1"/>
  <c r="CF128" i="1"/>
  <c r="CB129" i="1"/>
  <c r="CC129" i="1"/>
  <c r="CD129" i="1"/>
  <c r="CE129" i="1"/>
  <c r="CF129" i="1"/>
  <c r="CB130" i="1"/>
  <c r="CC130" i="1"/>
  <c r="CD130" i="1"/>
  <c r="CE130" i="1"/>
  <c r="CF130" i="1"/>
  <c r="CB131" i="1"/>
  <c r="CC131" i="1"/>
  <c r="CD131" i="1"/>
  <c r="CE131" i="1"/>
  <c r="CF131" i="1"/>
  <c r="CB132" i="1"/>
  <c r="CC132" i="1"/>
  <c r="CD132" i="1"/>
  <c r="CE132" i="1"/>
  <c r="CF132" i="1"/>
  <c r="CB133" i="1"/>
  <c r="CC133" i="1"/>
  <c r="CD133" i="1"/>
  <c r="CE133" i="1"/>
  <c r="CF133" i="1"/>
  <c r="CB134" i="1"/>
  <c r="CC134" i="1"/>
  <c r="CD134" i="1"/>
  <c r="CE134" i="1"/>
  <c r="CF134" i="1"/>
  <c r="CB135" i="1"/>
  <c r="CC135" i="1"/>
  <c r="CD135" i="1"/>
  <c r="CE135" i="1"/>
  <c r="CF135" i="1"/>
  <c r="CB136" i="1"/>
  <c r="CC136" i="1"/>
  <c r="CD136" i="1"/>
  <c r="CE136" i="1"/>
  <c r="CF136" i="1"/>
  <c r="CB137" i="1"/>
  <c r="CC137" i="1"/>
  <c r="CD137" i="1"/>
  <c r="CE137" i="1"/>
  <c r="CF137" i="1"/>
  <c r="CB138" i="1"/>
  <c r="CC138" i="1"/>
  <c r="CD138" i="1"/>
  <c r="CE138" i="1"/>
  <c r="CF138" i="1"/>
  <c r="CB139" i="1"/>
  <c r="CC139" i="1"/>
  <c r="CD139" i="1"/>
  <c r="CE139" i="1"/>
  <c r="CF139" i="1"/>
  <c r="CB140" i="1"/>
  <c r="CC140" i="1"/>
  <c r="CD140" i="1"/>
  <c r="CE140" i="1"/>
  <c r="CF140" i="1"/>
  <c r="CB141" i="1"/>
  <c r="CC141" i="1"/>
  <c r="CD141" i="1"/>
  <c r="CE141" i="1"/>
  <c r="CF141" i="1"/>
  <c r="CB142" i="1"/>
  <c r="CC142" i="1"/>
  <c r="CD142" i="1"/>
  <c r="CE142" i="1"/>
  <c r="CF142" i="1"/>
  <c r="CB143" i="1"/>
  <c r="CC143" i="1"/>
  <c r="CD143" i="1"/>
  <c r="CE143" i="1"/>
  <c r="CF143" i="1"/>
  <c r="CB144" i="1"/>
  <c r="CC144" i="1"/>
  <c r="CD144" i="1"/>
  <c r="CE144" i="1"/>
  <c r="CF144" i="1"/>
  <c r="CB145" i="1"/>
  <c r="CC145" i="1"/>
  <c r="CD145" i="1"/>
  <c r="CE145" i="1"/>
  <c r="CF145" i="1"/>
  <c r="CB146" i="1"/>
  <c r="CC146" i="1"/>
  <c r="CD146" i="1"/>
  <c r="CE146" i="1"/>
  <c r="CF146" i="1"/>
  <c r="CB147" i="1"/>
  <c r="CC147" i="1"/>
  <c r="CD147" i="1"/>
  <c r="CE147" i="1"/>
  <c r="CF147" i="1"/>
  <c r="CB148" i="1"/>
  <c r="CC148" i="1"/>
  <c r="CD148" i="1"/>
  <c r="CE148" i="1"/>
  <c r="CF148" i="1"/>
  <c r="CB149" i="1"/>
  <c r="CC149" i="1"/>
  <c r="CD149" i="1"/>
  <c r="CE149" i="1"/>
  <c r="CF149" i="1"/>
  <c r="CB150" i="1"/>
  <c r="CC150" i="1"/>
  <c r="CD150" i="1"/>
  <c r="CE150" i="1"/>
  <c r="CF150" i="1"/>
  <c r="CB151" i="1"/>
  <c r="CC151" i="1"/>
  <c r="CD151" i="1"/>
  <c r="CE151" i="1"/>
  <c r="CF151" i="1"/>
  <c r="CB152" i="1"/>
  <c r="CC152" i="1"/>
  <c r="CD152" i="1"/>
  <c r="CE152" i="1"/>
  <c r="CF152" i="1"/>
  <c r="CB153" i="1"/>
  <c r="CC153" i="1"/>
  <c r="CD153" i="1"/>
  <c r="CE153" i="1"/>
  <c r="CF153" i="1"/>
  <c r="CB154" i="1"/>
  <c r="CC154" i="1"/>
  <c r="CD154" i="1"/>
  <c r="CE154" i="1"/>
  <c r="CF154" i="1"/>
  <c r="CB155" i="1"/>
  <c r="CC155" i="1"/>
  <c r="CD155" i="1"/>
  <c r="CE155" i="1"/>
  <c r="CF155" i="1"/>
  <c r="CB156" i="1"/>
  <c r="CC156" i="1"/>
  <c r="CD156" i="1"/>
  <c r="CE156" i="1"/>
  <c r="CF156" i="1"/>
  <c r="CB157" i="1"/>
  <c r="CC157" i="1"/>
  <c r="CD157" i="1"/>
  <c r="CE157" i="1"/>
  <c r="CF157" i="1"/>
  <c r="CB158" i="1"/>
  <c r="CC158" i="1"/>
  <c r="CD158" i="1"/>
  <c r="CE158" i="1"/>
  <c r="CF158" i="1"/>
  <c r="CB159" i="1"/>
  <c r="CC159" i="1"/>
  <c r="CD159" i="1"/>
  <c r="CE159" i="1"/>
  <c r="CF159" i="1"/>
  <c r="CB160" i="1"/>
  <c r="CC160" i="1"/>
  <c r="CD160" i="1"/>
  <c r="CE160" i="1"/>
  <c r="CF160" i="1"/>
  <c r="CB161" i="1"/>
  <c r="CC161" i="1"/>
  <c r="CD161" i="1"/>
  <c r="CE161" i="1"/>
  <c r="CF161" i="1"/>
  <c r="CB162" i="1"/>
  <c r="CC162" i="1"/>
  <c r="CD162" i="1"/>
  <c r="CE162" i="1"/>
  <c r="CF162" i="1"/>
  <c r="CB163" i="1"/>
  <c r="CC163" i="1"/>
  <c r="CD163" i="1"/>
  <c r="CE163" i="1"/>
  <c r="CF163" i="1"/>
  <c r="CB164" i="1"/>
  <c r="CC164" i="1"/>
  <c r="CD164" i="1"/>
  <c r="CE164" i="1"/>
  <c r="CF164" i="1"/>
  <c r="CB165" i="1"/>
  <c r="CC165" i="1"/>
  <c r="CD165" i="1"/>
  <c r="CE165" i="1"/>
  <c r="CF165" i="1"/>
  <c r="CB166" i="1"/>
  <c r="CC166" i="1"/>
  <c r="CD166" i="1"/>
  <c r="CE166" i="1"/>
  <c r="CF166" i="1"/>
  <c r="CB167" i="1"/>
  <c r="CC167" i="1"/>
  <c r="CD167" i="1"/>
  <c r="CE167" i="1"/>
  <c r="CF167" i="1"/>
  <c r="CB168" i="1"/>
  <c r="CC168" i="1"/>
  <c r="CD168" i="1"/>
  <c r="CE168" i="1"/>
  <c r="CF168" i="1"/>
  <c r="CB169" i="1"/>
  <c r="CC169" i="1"/>
  <c r="CD169" i="1"/>
  <c r="CE169" i="1"/>
  <c r="CF169" i="1"/>
  <c r="CB170" i="1"/>
  <c r="CC170" i="1"/>
  <c r="CD170" i="1"/>
  <c r="CE170" i="1"/>
  <c r="CF170" i="1"/>
  <c r="CB171" i="1"/>
  <c r="CC171" i="1"/>
  <c r="CD171" i="1"/>
  <c r="CE171" i="1"/>
  <c r="CF171" i="1"/>
  <c r="CB172" i="1"/>
  <c r="CC172" i="1"/>
  <c r="CD172" i="1"/>
  <c r="CE172" i="1"/>
  <c r="CF172" i="1"/>
  <c r="CB173" i="1"/>
  <c r="CC173" i="1"/>
  <c r="CD173" i="1"/>
  <c r="CE173" i="1"/>
  <c r="CF173" i="1"/>
  <c r="CB174" i="1"/>
  <c r="CC174" i="1"/>
  <c r="CD174" i="1"/>
  <c r="CE174" i="1"/>
  <c r="CF174" i="1"/>
  <c r="CB175" i="1"/>
  <c r="CC175" i="1"/>
  <c r="CD175" i="1"/>
  <c r="CE175" i="1"/>
  <c r="CF175" i="1"/>
  <c r="CB176" i="1"/>
  <c r="CC176" i="1"/>
  <c r="CD176" i="1"/>
  <c r="CE176" i="1"/>
  <c r="CF176" i="1"/>
  <c r="CB177" i="1"/>
  <c r="CC177" i="1"/>
  <c r="CD177" i="1"/>
  <c r="CE177" i="1"/>
  <c r="CF177" i="1"/>
  <c r="CB178" i="1"/>
  <c r="CC178" i="1"/>
  <c r="CD178" i="1"/>
  <c r="CE178" i="1"/>
  <c r="CF178" i="1"/>
  <c r="CB179" i="1"/>
  <c r="CC179" i="1"/>
  <c r="CD179" i="1"/>
  <c r="CE179" i="1"/>
  <c r="CF179" i="1"/>
  <c r="CB180" i="1"/>
  <c r="CC180" i="1"/>
  <c r="CD180" i="1"/>
  <c r="CE180" i="1"/>
  <c r="CF180" i="1"/>
  <c r="CB181" i="1"/>
  <c r="CC181" i="1"/>
  <c r="CD181" i="1"/>
  <c r="CE181" i="1"/>
  <c r="CF181" i="1"/>
  <c r="CB182" i="1"/>
  <c r="CC182" i="1"/>
  <c r="CD182" i="1"/>
  <c r="CE182" i="1"/>
  <c r="CF182" i="1"/>
  <c r="CB183" i="1"/>
  <c r="CC183" i="1"/>
  <c r="CD183" i="1"/>
  <c r="CE183" i="1"/>
  <c r="CF183" i="1"/>
  <c r="CB184" i="1"/>
  <c r="CC184" i="1"/>
  <c r="CD184" i="1"/>
  <c r="CE184" i="1"/>
  <c r="CF184" i="1"/>
  <c r="CB185" i="1"/>
  <c r="CC185" i="1"/>
  <c r="CD185" i="1"/>
  <c r="CE185" i="1"/>
  <c r="CF185" i="1"/>
  <c r="CB186" i="1"/>
  <c r="CC186" i="1"/>
  <c r="CD186" i="1"/>
  <c r="CE186" i="1"/>
  <c r="CF186" i="1"/>
  <c r="CB187" i="1"/>
  <c r="CC187" i="1"/>
  <c r="CD187" i="1"/>
  <c r="CE187" i="1"/>
  <c r="CF187" i="1"/>
  <c r="CB188" i="1"/>
  <c r="CC188" i="1"/>
  <c r="CD188" i="1"/>
  <c r="CE188" i="1"/>
  <c r="CF188" i="1"/>
  <c r="CB189" i="1"/>
  <c r="CC189" i="1"/>
  <c r="CD189" i="1"/>
  <c r="CE189" i="1"/>
  <c r="CF189" i="1"/>
  <c r="CB190" i="1"/>
  <c r="CC190" i="1"/>
  <c r="CD190" i="1"/>
  <c r="CE190" i="1"/>
  <c r="CF190" i="1"/>
  <c r="CB191" i="1"/>
  <c r="CC191" i="1"/>
  <c r="CD191" i="1"/>
  <c r="CE191" i="1"/>
  <c r="CF191" i="1"/>
  <c r="CB192" i="1"/>
  <c r="CC192" i="1"/>
  <c r="CD192" i="1"/>
  <c r="CE192" i="1"/>
  <c r="CF192" i="1"/>
  <c r="CB193" i="1"/>
  <c r="CC193" i="1"/>
  <c r="CD193" i="1"/>
  <c r="CE193" i="1"/>
  <c r="CF193" i="1"/>
  <c r="CB194" i="1"/>
  <c r="CC194" i="1"/>
  <c r="CD194" i="1"/>
  <c r="CE194" i="1"/>
  <c r="CF194" i="1"/>
  <c r="CB195" i="1"/>
  <c r="CC195" i="1"/>
  <c r="CD195" i="1"/>
  <c r="CE195" i="1"/>
  <c r="CF195" i="1"/>
  <c r="CB196" i="1"/>
  <c r="CC196" i="1"/>
  <c r="CD196" i="1"/>
  <c r="CE196" i="1"/>
  <c r="CF196" i="1"/>
  <c r="CB197" i="1"/>
  <c r="CC197" i="1"/>
  <c r="CD197" i="1"/>
  <c r="CE197" i="1"/>
  <c r="CF197" i="1"/>
  <c r="CB198" i="1"/>
  <c r="CC198" i="1"/>
  <c r="CD198" i="1"/>
  <c r="CE198" i="1"/>
  <c r="CF198" i="1"/>
  <c r="CB199" i="1"/>
  <c r="CC199" i="1"/>
  <c r="CD199" i="1"/>
  <c r="CE199" i="1"/>
  <c r="CF199" i="1"/>
  <c r="CB200" i="1"/>
  <c r="CC200" i="1"/>
  <c r="CD200" i="1"/>
  <c r="CE200" i="1"/>
  <c r="CF200" i="1"/>
  <c r="CB201" i="1"/>
  <c r="CC201" i="1"/>
  <c r="CD201" i="1"/>
  <c r="CE201" i="1"/>
  <c r="CF201" i="1"/>
  <c r="CB202" i="1"/>
  <c r="CC202" i="1"/>
  <c r="CD202" i="1"/>
  <c r="CE202" i="1"/>
  <c r="CF202" i="1"/>
  <c r="CB3" i="1"/>
  <c r="CC3" i="1"/>
  <c r="CD3" i="1"/>
  <c r="CE3" i="1"/>
  <c r="CF3" i="1"/>
  <c r="BV4" i="1"/>
  <c r="BW4" i="1"/>
  <c r="BX4" i="1"/>
  <c r="BY4" i="1"/>
  <c r="BZ4" i="1"/>
  <c r="BV5" i="1"/>
  <c r="BW5" i="1"/>
  <c r="BX5" i="1"/>
  <c r="BY5" i="1"/>
  <c r="BZ5" i="1"/>
  <c r="BV6" i="1"/>
  <c r="BW6" i="1"/>
  <c r="BX6" i="1"/>
  <c r="BY6" i="1"/>
  <c r="BZ6" i="1"/>
  <c r="BV7" i="1"/>
  <c r="BW7" i="1"/>
  <c r="BX7" i="1"/>
  <c r="BY7" i="1"/>
  <c r="BZ7" i="1"/>
  <c r="BV8" i="1"/>
  <c r="BW8" i="1"/>
  <c r="BX8" i="1"/>
  <c r="BY8" i="1"/>
  <c r="BZ8" i="1"/>
  <c r="BV9" i="1"/>
  <c r="BW9" i="1"/>
  <c r="BX9" i="1"/>
  <c r="BY9" i="1"/>
  <c r="BZ9" i="1"/>
  <c r="BV10" i="1"/>
  <c r="BW10" i="1"/>
  <c r="BX10" i="1"/>
  <c r="BY10" i="1"/>
  <c r="BZ10" i="1"/>
  <c r="BV11" i="1"/>
  <c r="BW11" i="1"/>
  <c r="BX11" i="1"/>
  <c r="BY11" i="1"/>
  <c r="BZ11" i="1"/>
  <c r="BV12" i="1"/>
  <c r="BW12" i="1"/>
  <c r="BX12" i="1"/>
  <c r="BY12" i="1"/>
  <c r="BZ12" i="1"/>
  <c r="BV13" i="1"/>
  <c r="BW13" i="1"/>
  <c r="BX13" i="1"/>
  <c r="BY13" i="1"/>
  <c r="BZ13" i="1"/>
  <c r="BV14" i="1"/>
  <c r="BW14" i="1"/>
  <c r="BX14" i="1"/>
  <c r="BY14" i="1"/>
  <c r="BZ14" i="1"/>
  <c r="BV15" i="1"/>
  <c r="BW15" i="1"/>
  <c r="BX15" i="1"/>
  <c r="BY15" i="1"/>
  <c r="BZ15" i="1"/>
  <c r="BV16" i="1"/>
  <c r="BW16" i="1"/>
  <c r="BX16" i="1"/>
  <c r="BY16" i="1"/>
  <c r="BZ16" i="1"/>
  <c r="BV17" i="1"/>
  <c r="BW17" i="1"/>
  <c r="BX17" i="1"/>
  <c r="BY17" i="1"/>
  <c r="BZ17" i="1"/>
  <c r="BV18" i="1"/>
  <c r="BW18" i="1"/>
  <c r="BX18" i="1"/>
  <c r="BY18" i="1"/>
  <c r="BZ18" i="1"/>
  <c r="BV19" i="1"/>
  <c r="BW19" i="1"/>
  <c r="BX19" i="1"/>
  <c r="BY19" i="1"/>
  <c r="BZ19" i="1"/>
  <c r="BV20" i="1"/>
  <c r="BW20" i="1"/>
  <c r="BX20" i="1"/>
  <c r="BY20" i="1"/>
  <c r="BZ20" i="1"/>
  <c r="BV21" i="1"/>
  <c r="BW21" i="1"/>
  <c r="BX21" i="1"/>
  <c r="BY21" i="1"/>
  <c r="BZ21" i="1"/>
  <c r="BV22" i="1"/>
  <c r="BW22" i="1"/>
  <c r="BX22" i="1"/>
  <c r="BY22" i="1"/>
  <c r="BZ22" i="1"/>
  <c r="BV23" i="1"/>
  <c r="BW23" i="1"/>
  <c r="BX23" i="1"/>
  <c r="BY23" i="1"/>
  <c r="BZ23" i="1"/>
  <c r="BV24" i="1"/>
  <c r="BW24" i="1"/>
  <c r="BX24" i="1"/>
  <c r="BY24" i="1"/>
  <c r="BZ24" i="1"/>
  <c r="BV25" i="1"/>
  <c r="BW25" i="1"/>
  <c r="BX25" i="1"/>
  <c r="BY25" i="1"/>
  <c r="BZ25" i="1"/>
  <c r="BV26" i="1"/>
  <c r="BW26" i="1"/>
  <c r="BX26" i="1"/>
  <c r="BY26" i="1"/>
  <c r="BZ26" i="1"/>
  <c r="BV27" i="1"/>
  <c r="BW27" i="1"/>
  <c r="BX27" i="1"/>
  <c r="BY27" i="1"/>
  <c r="BZ27" i="1"/>
  <c r="BV28" i="1"/>
  <c r="BW28" i="1"/>
  <c r="BX28" i="1"/>
  <c r="BY28" i="1"/>
  <c r="BZ28" i="1"/>
  <c r="BV29" i="1"/>
  <c r="BW29" i="1"/>
  <c r="BX29" i="1"/>
  <c r="BY29" i="1"/>
  <c r="BZ29" i="1"/>
  <c r="BV30" i="1"/>
  <c r="BW30" i="1"/>
  <c r="BX30" i="1"/>
  <c r="BY30" i="1"/>
  <c r="BZ30" i="1"/>
  <c r="BV31" i="1"/>
  <c r="BW31" i="1"/>
  <c r="BX31" i="1"/>
  <c r="BY31" i="1"/>
  <c r="BZ31" i="1"/>
  <c r="BV32" i="1"/>
  <c r="BW32" i="1"/>
  <c r="BX32" i="1"/>
  <c r="BY32" i="1"/>
  <c r="BZ32" i="1"/>
  <c r="BV33" i="1"/>
  <c r="BW33" i="1"/>
  <c r="BX33" i="1"/>
  <c r="BY33" i="1"/>
  <c r="BZ33" i="1"/>
  <c r="BV34" i="1"/>
  <c r="BW34" i="1"/>
  <c r="BX34" i="1"/>
  <c r="BY34" i="1"/>
  <c r="BZ34" i="1"/>
  <c r="BV35" i="1"/>
  <c r="BW35" i="1"/>
  <c r="BX35" i="1"/>
  <c r="BY35" i="1"/>
  <c r="BZ35" i="1"/>
  <c r="BV36" i="1"/>
  <c r="BW36" i="1"/>
  <c r="BX36" i="1"/>
  <c r="BY36" i="1"/>
  <c r="BZ36" i="1"/>
  <c r="BV37" i="1"/>
  <c r="BW37" i="1"/>
  <c r="BX37" i="1"/>
  <c r="BY37" i="1"/>
  <c r="BZ37" i="1"/>
  <c r="BV38" i="1"/>
  <c r="BW38" i="1"/>
  <c r="BX38" i="1"/>
  <c r="BY38" i="1"/>
  <c r="BZ38" i="1"/>
  <c r="BV39" i="1"/>
  <c r="BW39" i="1"/>
  <c r="BX39" i="1"/>
  <c r="BY39" i="1"/>
  <c r="BZ39" i="1"/>
  <c r="BV40" i="1"/>
  <c r="BW40" i="1"/>
  <c r="BX40" i="1"/>
  <c r="BY40" i="1"/>
  <c r="BZ40" i="1"/>
  <c r="BV41" i="1"/>
  <c r="BW41" i="1"/>
  <c r="BX41" i="1"/>
  <c r="BY41" i="1"/>
  <c r="BZ41" i="1"/>
  <c r="BV42" i="1"/>
  <c r="BW42" i="1"/>
  <c r="BX42" i="1"/>
  <c r="BY42" i="1"/>
  <c r="BZ42" i="1"/>
  <c r="BV43" i="1"/>
  <c r="BW43" i="1"/>
  <c r="BX43" i="1"/>
  <c r="BY43" i="1"/>
  <c r="BZ43" i="1"/>
  <c r="BV44" i="1"/>
  <c r="BW44" i="1"/>
  <c r="BX44" i="1"/>
  <c r="BY44" i="1"/>
  <c r="BZ44" i="1"/>
  <c r="BV45" i="1"/>
  <c r="BW45" i="1"/>
  <c r="BX45" i="1"/>
  <c r="BY45" i="1"/>
  <c r="BZ45" i="1"/>
  <c r="BV46" i="1"/>
  <c r="BW46" i="1"/>
  <c r="BX46" i="1"/>
  <c r="BY46" i="1"/>
  <c r="BZ46" i="1"/>
  <c r="BV47" i="1"/>
  <c r="BW47" i="1"/>
  <c r="BX47" i="1"/>
  <c r="BY47" i="1"/>
  <c r="BZ47" i="1"/>
  <c r="BV48" i="1"/>
  <c r="BW48" i="1"/>
  <c r="BX48" i="1"/>
  <c r="BY48" i="1"/>
  <c r="BZ48" i="1"/>
  <c r="BV49" i="1"/>
  <c r="BW49" i="1"/>
  <c r="BX49" i="1"/>
  <c r="BY49" i="1"/>
  <c r="BZ49" i="1"/>
  <c r="BV50" i="1"/>
  <c r="BW50" i="1"/>
  <c r="BX50" i="1"/>
  <c r="BY50" i="1"/>
  <c r="BZ50" i="1"/>
  <c r="BV51" i="1"/>
  <c r="BW51" i="1"/>
  <c r="BX51" i="1"/>
  <c r="BY51" i="1"/>
  <c r="BZ51" i="1"/>
  <c r="BV52" i="1"/>
  <c r="BW52" i="1"/>
  <c r="BX52" i="1"/>
  <c r="BY52" i="1"/>
  <c r="BZ52" i="1"/>
  <c r="BV53" i="1"/>
  <c r="BW53" i="1"/>
  <c r="BX53" i="1"/>
  <c r="BY53" i="1"/>
  <c r="BZ53" i="1"/>
  <c r="BV54" i="1"/>
  <c r="BW54" i="1"/>
  <c r="BX54" i="1"/>
  <c r="BY54" i="1"/>
  <c r="BZ54" i="1"/>
  <c r="BV55" i="1"/>
  <c r="BW55" i="1"/>
  <c r="BX55" i="1"/>
  <c r="BY55" i="1"/>
  <c r="BZ55" i="1"/>
  <c r="BV56" i="1"/>
  <c r="BW56" i="1"/>
  <c r="BX56" i="1"/>
  <c r="BY56" i="1"/>
  <c r="BZ56" i="1"/>
  <c r="BV57" i="1"/>
  <c r="BW57" i="1"/>
  <c r="BX57" i="1"/>
  <c r="BY57" i="1"/>
  <c r="BZ57" i="1"/>
  <c r="BV58" i="1"/>
  <c r="BW58" i="1"/>
  <c r="BX58" i="1"/>
  <c r="BY58" i="1"/>
  <c r="BZ58" i="1"/>
  <c r="BV59" i="1"/>
  <c r="BW59" i="1"/>
  <c r="BX59" i="1"/>
  <c r="BY59" i="1"/>
  <c r="BZ59" i="1"/>
  <c r="BV60" i="1"/>
  <c r="BW60" i="1"/>
  <c r="BX60" i="1"/>
  <c r="BY60" i="1"/>
  <c r="BZ60" i="1"/>
  <c r="BV61" i="1"/>
  <c r="BW61" i="1"/>
  <c r="BX61" i="1"/>
  <c r="BY61" i="1"/>
  <c r="BZ61" i="1"/>
  <c r="BV62" i="1"/>
  <c r="BW62" i="1"/>
  <c r="BX62" i="1"/>
  <c r="BY62" i="1"/>
  <c r="BZ62" i="1"/>
  <c r="BV63" i="1"/>
  <c r="BW63" i="1"/>
  <c r="BX63" i="1"/>
  <c r="BY63" i="1"/>
  <c r="BZ63" i="1"/>
  <c r="BV64" i="1"/>
  <c r="BW64" i="1"/>
  <c r="BX64" i="1"/>
  <c r="BY64" i="1"/>
  <c r="BZ64" i="1"/>
  <c r="BV65" i="1"/>
  <c r="BW65" i="1"/>
  <c r="BX65" i="1"/>
  <c r="BY65" i="1"/>
  <c r="BZ65" i="1"/>
  <c r="BV66" i="1"/>
  <c r="BW66" i="1"/>
  <c r="BX66" i="1"/>
  <c r="BY66" i="1"/>
  <c r="BZ66" i="1"/>
  <c r="BV67" i="1"/>
  <c r="BW67" i="1"/>
  <c r="BX67" i="1"/>
  <c r="BY67" i="1"/>
  <c r="BZ67" i="1"/>
  <c r="BV68" i="1"/>
  <c r="BW68" i="1"/>
  <c r="BX68" i="1"/>
  <c r="BY68" i="1"/>
  <c r="BZ68" i="1"/>
  <c r="BV69" i="1"/>
  <c r="BW69" i="1"/>
  <c r="BX69" i="1"/>
  <c r="BY69" i="1"/>
  <c r="BZ69" i="1"/>
  <c r="BV70" i="1"/>
  <c r="BW70" i="1"/>
  <c r="BX70" i="1"/>
  <c r="BY70" i="1"/>
  <c r="BZ70" i="1"/>
  <c r="BV71" i="1"/>
  <c r="BW71" i="1"/>
  <c r="BX71" i="1"/>
  <c r="BY71" i="1"/>
  <c r="BZ71" i="1"/>
  <c r="BV72" i="1"/>
  <c r="BW72" i="1"/>
  <c r="BX72" i="1"/>
  <c r="BY72" i="1"/>
  <c r="BZ72" i="1"/>
  <c r="BV73" i="1"/>
  <c r="BW73" i="1"/>
  <c r="BX73" i="1"/>
  <c r="BY73" i="1"/>
  <c r="BZ73" i="1"/>
  <c r="BV74" i="1"/>
  <c r="BW74" i="1"/>
  <c r="BX74" i="1"/>
  <c r="BY74" i="1"/>
  <c r="BZ74" i="1"/>
  <c r="BV75" i="1"/>
  <c r="BW75" i="1"/>
  <c r="BX75" i="1"/>
  <c r="BY75" i="1"/>
  <c r="BZ75" i="1"/>
  <c r="BV76" i="1"/>
  <c r="BW76" i="1"/>
  <c r="BX76" i="1"/>
  <c r="BY76" i="1"/>
  <c r="BZ76" i="1"/>
  <c r="BV77" i="1"/>
  <c r="BW77" i="1"/>
  <c r="BX77" i="1"/>
  <c r="BY77" i="1"/>
  <c r="BZ77" i="1"/>
  <c r="BV78" i="1"/>
  <c r="BW78" i="1"/>
  <c r="BX78" i="1"/>
  <c r="BY78" i="1"/>
  <c r="BZ78" i="1"/>
  <c r="BV79" i="1"/>
  <c r="BW79" i="1"/>
  <c r="BX79" i="1"/>
  <c r="BY79" i="1"/>
  <c r="BZ79" i="1"/>
  <c r="BV80" i="1"/>
  <c r="BW80" i="1"/>
  <c r="BX80" i="1"/>
  <c r="BY80" i="1"/>
  <c r="BZ80" i="1"/>
  <c r="BV81" i="1"/>
  <c r="BW81" i="1"/>
  <c r="BX81" i="1"/>
  <c r="BY81" i="1"/>
  <c r="BZ81" i="1"/>
  <c r="BV82" i="1"/>
  <c r="BW82" i="1"/>
  <c r="BX82" i="1"/>
  <c r="BY82" i="1"/>
  <c r="BZ82" i="1"/>
  <c r="BV83" i="1"/>
  <c r="BW83" i="1"/>
  <c r="BX83" i="1"/>
  <c r="BY83" i="1"/>
  <c r="BZ83" i="1"/>
  <c r="BV84" i="1"/>
  <c r="BW84" i="1"/>
  <c r="BX84" i="1"/>
  <c r="BY84" i="1"/>
  <c r="BZ84" i="1"/>
  <c r="BV85" i="1"/>
  <c r="BW85" i="1"/>
  <c r="BX85" i="1"/>
  <c r="BY85" i="1"/>
  <c r="BZ85" i="1"/>
  <c r="BV86" i="1"/>
  <c r="BW86" i="1"/>
  <c r="BX86" i="1"/>
  <c r="BY86" i="1"/>
  <c r="BZ86" i="1"/>
  <c r="BV87" i="1"/>
  <c r="BW87" i="1"/>
  <c r="BX87" i="1"/>
  <c r="BY87" i="1"/>
  <c r="BZ87" i="1"/>
  <c r="BV88" i="1"/>
  <c r="BW88" i="1"/>
  <c r="BX88" i="1"/>
  <c r="BY88" i="1"/>
  <c r="BZ88" i="1"/>
  <c r="BV89" i="1"/>
  <c r="BW89" i="1"/>
  <c r="BX89" i="1"/>
  <c r="BY89" i="1"/>
  <c r="BZ89" i="1"/>
  <c r="BV90" i="1"/>
  <c r="BW90" i="1"/>
  <c r="BX90" i="1"/>
  <c r="BY90" i="1"/>
  <c r="BZ90" i="1"/>
  <c r="BV91" i="1"/>
  <c r="BW91" i="1"/>
  <c r="BX91" i="1"/>
  <c r="BY91" i="1"/>
  <c r="BZ91" i="1"/>
  <c r="BV92" i="1"/>
  <c r="BW92" i="1"/>
  <c r="BX92" i="1"/>
  <c r="BY92" i="1"/>
  <c r="BZ92" i="1"/>
  <c r="BV93" i="1"/>
  <c r="BW93" i="1"/>
  <c r="BX93" i="1"/>
  <c r="BY93" i="1"/>
  <c r="BZ93" i="1"/>
  <c r="BV94" i="1"/>
  <c r="BW94" i="1"/>
  <c r="BX94" i="1"/>
  <c r="BY94" i="1"/>
  <c r="BZ94" i="1"/>
  <c r="BV95" i="1"/>
  <c r="BW95" i="1"/>
  <c r="BX95" i="1"/>
  <c r="BY95" i="1"/>
  <c r="BZ95" i="1"/>
  <c r="BV96" i="1"/>
  <c r="BW96" i="1"/>
  <c r="BX96" i="1"/>
  <c r="BY96" i="1"/>
  <c r="BZ96" i="1"/>
  <c r="BV97" i="1"/>
  <c r="BW97" i="1"/>
  <c r="BX97" i="1"/>
  <c r="BY97" i="1"/>
  <c r="BZ97" i="1"/>
  <c r="BV98" i="1"/>
  <c r="BW98" i="1"/>
  <c r="BX98" i="1"/>
  <c r="BY98" i="1"/>
  <c r="BZ98" i="1"/>
  <c r="BV99" i="1"/>
  <c r="BW99" i="1"/>
  <c r="BX99" i="1"/>
  <c r="BY99" i="1"/>
  <c r="BZ99" i="1"/>
  <c r="BV100" i="1"/>
  <c r="BW100" i="1"/>
  <c r="BX100" i="1"/>
  <c r="BY100" i="1"/>
  <c r="BZ100" i="1"/>
  <c r="BV101" i="1"/>
  <c r="BW101" i="1"/>
  <c r="BX101" i="1"/>
  <c r="BY101" i="1"/>
  <c r="BZ101" i="1"/>
  <c r="BV102" i="1"/>
  <c r="BW102" i="1"/>
  <c r="BX102" i="1"/>
  <c r="BY102" i="1"/>
  <c r="BZ102" i="1"/>
  <c r="BV103" i="1"/>
  <c r="BW103" i="1"/>
  <c r="BX103" i="1"/>
  <c r="BY103" i="1"/>
  <c r="BZ103" i="1"/>
  <c r="BV104" i="1"/>
  <c r="BW104" i="1"/>
  <c r="BX104" i="1"/>
  <c r="BY104" i="1"/>
  <c r="BZ104" i="1"/>
  <c r="BV105" i="1"/>
  <c r="BW105" i="1"/>
  <c r="BX105" i="1"/>
  <c r="BY105" i="1"/>
  <c r="BZ105" i="1"/>
  <c r="BV106" i="1"/>
  <c r="BW106" i="1"/>
  <c r="BX106" i="1"/>
  <c r="BY106" i="1"/>
  <c r="BZ106" i="1"/>
  <c r="BV107" i="1"/>
  <c r="BW107" i="1"/>
  <c r="BX107" i="1"/>
  <c r="BY107" i="1"/>
  <c r="BZ107" i="1"/>
  <c r="BV108" i="1"/>
  <c r="BW108" i="1"/>
  <c r="BX108" i="1"/>
  <c r="BY108" i="1"/>
  <c r="BZ108" i="1"/>
  <c r="BV109" i="1"/>
  <c r="BW109" i="1"/>
  <c r="BX109" i="1"/>
  <c r="BY109" i="1"/>
  <c r="BZ109" i="1"/>
  <c r="BV110" i="1"/>
  <c r="BW110" i="1"/>
  <c r="BX110" i="1"/>
  <c r="BY110" i="1"/>
  <c r="BZ110" i="1"/>
  <c r="BV111" i="1"/>
  <c r="BW111" i="1"/>
  <c r="BX111" i="1"/>
  <c r="BY111" i="1"/>
  <c r="BZ111" i="1"/>
  <c r="BV112" i="1"/>
  <c r="BW112" i="1"/>
  <c r="BX112" i="1"/>
  <c r="BY112" i="1"/>
  <c r="BZ112" i="1"/>
  <c r="BV113" i="1"/>
  <c r="BW113" i="1"/>
  <c r="BX113" i="1"/>
  <c r="BY113" i="1"/>
  <c r="BZ113" i="1"/>
  <c r="BV114" i="1"/>
  <c r="BW114" i="1"/>
  <c r="BX114" i="1"/>
  <c r="BY114" i="1"/>
  <c r="BZ114" i="1"/>
  <c r="BV115" i="1"/>
  <c r="BW115" i="1"/>
  <c r="BX115" i="1"/>
  <c r="BY115" i="1"/>
  <c r="BZ115" i="1"/>
  <c r="BV116" i="1"/>
  <c r="BW116" i="1"/>
  <c r="BX116" i="1"/>
  <c r="BY116" i="1"/>
  <c r="BZ116" i="1"/>
  <c r="BV117" i="1"/>
  <c r="BW117" i="1"/>
  <c r="BX117" i="1"/>
  <c r="BY117" i="1"/>
  <c r="BZ117" i="1"/>
  <c r="BV118" i="1"/>
  <c r="BW118" i="1"/>
  <c r="BX118" i="1"/>
  <c r="BY118" i="1"/>
  <c r="BZ118" i="1"/>
  <c r="BV119" i="1"/>
  <c r="BW119" i="1"/>
  <c r="BX119" i="1"/>
  <c r="BY119" i="1"/>
  <c r="BZ119" i="1"/>
  <c r="BV120" i="1"/>
  <c r="BW120" i="1"/>
  <c r="BX120" i="1"/>
  <c r="BY120" i="1"/>
  <c r="BZ120" i="1"/>
  <c r="BV121" i="1"/>
  <c r="BW121" i="1"/>
  <c r="BX121" i="1"/>
  <c r="BY121" i="1"/>
  <c r="BZ121" i="1"/>
  <c r="BV122" i="1"/>
  <c r="BW122" i="1"/>
  <c r="BX122" i="1"/>
  <c r="BY122" i="1"/>
  <c r="BZ122" i="1"/>
  <c r="BV123" i="1"/>
  <c r="BW123" i="1"/>
  <c r="BX123" i="1"/>
  <c r="BY123" i="1"/>
  <c r="BZ123" i="1"/>
  <c r="BV124" i="1"/>
  <c r="BW124" i="1"/>
  <c r="BX124" i="1"/>
  <c r="BY124" i="1"/>
  <c r="BZ124" i="1"/>
  <c r="BV125" i="1"/>
  <c r="BW125" i="1"/>
  <c r="BX125" i="1"/>
  <c r="BY125" i="1"/>
  <c r="BZ125" i="1"/>
  <c r="BV126" i="1"/>
  <c r="BW126" i="1"/>
  <c r="BX126" i="1"/>
  <c r="BY126" i="1"/>
  <c r="BZ126" i="1"/>
  <c r="BV127" i="1"/>
  <c r="BW127" i="1"/>
  <c r="BX127" i="1"/>
  <c r="BY127" i="1"/>
  <c r="BZ127" i="1"/>
  <c r="BV128" i="1"/>
  <c r="BW128" i="1"/>
  <c r="BX128" i="1"/>
  <c r="BY128" i="1"/>
  <c r="BZ128" i="1"/>
  <c r="BV129" i="1"/>
  <c r="BW129" i="1"/>
  <c r="BX129" i="1"/>
  <c r="BY129" i="1"/>
  <c r="BZ129" i="1"/>
  <c r="BV130" i="1"/>
  <c r="BW130" i="1"/>
  <c r="BX130" i="1"/>
  <c r="BY130" i="1"/>
  <c r="BZ130" i="1"/>
  <c r="BV131" i="1"/>
  <c r="BW131" i="1"/>
  <c r="BX131" i="1"/>
  <c r="BY131" i="1"/>
  <c r="BZ131" i="1"/>
  <c r="BV132" i="1"/>
  <c r="BW132" i="1"/>
  <c r="BX132" i="1"/>
  <c r="BY132" i="1"/>
  <c r="BZ132" i="1"/>
  <c r="BV133" i="1"/>
  <c r="BW133" i="1"/>
  <c r="BX133" i="1"/>
  <c r="BY133" i="1"/>
  <c r="BZ133" i="1"/>
  <c r="BV134" i="1"/>
  <c r="BW134" i="1"/>
  <c r="BX134" i="1"/>
  <c r="BY134" i="1"/>
  <c r="BZ134" i="1"/>
  <c r="BV135" i="1"/>
  <c r="BW135" i="1"/>
  <c r="BX135" i="1"/>
  <c r="BY135" i="1"/>
  <c r="BZ135" i="1"/>
  <c r="BV136" i="1"/>
  <c r="BW136" i="1"/>
  <c r="BX136" i="1"/>
  <c r="BY136" i="1"/>
  <c r="BZ136" i="1"/>
  <c r="BV137" i="1"/>
  <c r="BW137" i="1"/>
  <c r="BX137" i="1"/>
  <c r="BY137" i="1"/>
  <c r="BZ137" i="1"/>
  <c r="BV138" i="1"/>
  <c r="BW138" i="1"/>
  <c r="BX138" i="1"/>
  <c r="BY138" i="1"/>
  <c r="BZ138" i="1"/>
  <c r="BV139" i="1"/>
  <c r="BW139" i="1"/>
  <c r="BX139" i="1"/>
  <c r="BY139" i="1"/>
  <c r="BZ139" i="1"/>
  <c r="BV140" i="1"/>
  <c r="BW140" i="1"/>
  <c r="BX140" i="1"/>
  <c r="BY140" i="1"/>
  <c r="BZ140" i="1"/>
  <c r="BV141" i="1"/>
  <c r="BW141" i="1"/>
  <c r="BX141" i="1"/>
  <c r="BY141" i="1"/>
  <c r="BZ141" i="1"/>
  <c r="BV142" i="1"/>
  <c r="BW142" i="1"/>
  <c r="BX142" i="1"/>
  <c r="BY142" i="1"/>
  <c r="BZ142" i="1"/>
  <c r="BV143" i="1"/>
  <c r="BW143" i="1"/>
  <c r="BX143" i="1"/>
  <c r="BY143" i="1"/>
  <c r="BZ143" i="1"/>
  <c r="BV144" i="1"/>
  <c r="BW144" i="1"/>
  <c r="BX144" i="1"/>
  <c r="BY144" i="1"/>
  <c r="BZ144" i="1"/>
  <c r="BV145" i="1"/>
  <c r="BW145" i="1"/>
  <c r="BX145" i="1"/>
  <c r="BY145" i="1"/>
  <c r="BZ145" i="1"/>
  <c r="BV146" i="1"/>
  <c r="BW146" i="1"/>
  <c r="BX146" i="1"/>
  <c r="BY146" i="1"/>
  <c r="BZ146" i="1"/>
  <c r="BV147" i="1"/>
  <c r="BW147" i="1"/>
  <c r="BX147" i="1"/>
  <c r="BY147" i="1"/>
  <c r="BZ147" i="1"/>
  <c r="BV148" i="1"/>
  <c r="BW148" i="1"/>
  <c r="BX148" i="1"/>
  <c r="BY148" i="1"/>
  <c r="BZ148" i="1"/>
  <c r="BV149" i="1"/>
  <c r="BW149" i="1"/>
  <c r="BX149" i="1"/>
  <c r="BY149" i="1"/>
  <c r="BZ149" i="1"/>
  <c r="BV150" i="1"/>
  <c r="BW150" i="1"/>
  <c r="BX150" i="1"/>
  <c r="BY150" i="1"/>
  <c r="BZ150" i="1"/>
  <c r="BV151" i="1"/>
  <c r="BW151" i="1"/>
  <c r="BX151" i="1"/>
  <c r="BY151" i="1"/>
  <c r="BZ151" i="1"/>
  <c r="BV152" i="1"/>
  <c r="BW152" i="1"/>
  <c r="BX152" i="1"/>
  <c r="BY152" i="1"/>
  <c r="BZ152" i="1"/>
  <c r="BV153" i="1"/>
  <c r="BW153" i="1"/>
  <c r="BX153" i="1"/>
  <c r="BY153" i="1"/>
  <c r="BZ153" i="1"/>
  <c r="BV154" i="1"/>
  <c r="BW154" i="1"/>
  <c r="BX154" i="1"/>
  <c r="BY154" i="1"/>
  <c r="BZ154" i="1"/>
  <c r="BV155" i="1"/>
  <c r="BW155" i="1"/>
  <c r="BX155" i="1"/>
  <c r="BY155" i="1"/>
  <c r="BZ155" i="1"/>
  <c r="BV156" i="1"/>
  <c r="BW156" i="1"/>
  <c r="BX156" i="1"/>
  <c r="BY156" i="1"/>
  <c r="BZ156" i="1"/>
  <c r="BV157" i="1"/>
  <c r="BW157" i="1"/>
  <c r="BX157" i="1"/>
  <c r="BY157" i="1"/>
  <c r="BZ157" i="1"/>
  <c r="BV158" i="1"/>
  <c r="BW158" i="1"/>
  <c r="BX158" i="1"/>
  <c r="BY158" i="1"/>
  <c r="BZ158" i="1"/>
  <c r="BV159" i="1"/>
  <c r="BW159" i="1"/>
  <c r="BX159" i="1"/>
  <c r="BY159" i="1"/>
  <c r="BZ159" i="1"/>
  <c r="BV160" i="1"/>
  <c r="BW160" i="1"/>
  <c r="BX160" i="1"/>
  <c r="BY160" i="1"/>
  <c r="BZ160" i="1"/>
  <c r="BV161" i="1"/>
  <c r="BW161" i="1"/>
  <c r="BX161" i="1"/>
  <c r="BY161" i="1"/>
  <c r="BZ161" i="1"/>
  <c r="BV162" i="1"/>
  <c r="BW162" i="1"/>
  <c r="BX162" i="1"/>
  <c r="BY162" i="1"/>
  <c r="BZ162" i="1"/>
  <c r="BV163" i="1"/>
  <c r="BW163" i="1"/>
  <c r="BX163" i="1"/>
  <c r="BY163" i="1"/>
  <c r="BZ163" i="1"/>
  <c r="BV164" i="1"/>
  <c r="BW164" i="1"/>
  <c r="BX164" i="1"/>
  <c r="BY164" i="1"/>
  <c r="BZ164" i="1"/>
  <c r="BV165" i="1"/>
  <c r="BW165" i="1"/>
  <c r="BX165" i="1"/>
  <c r="BY165" i="1"/>
  <c r="BZ165" i="1"/>
  <c r="BV166" i="1"/>
  <c r="BW166" i="1"/>
  <c r="BX166" i="1"/>
  <c r="BY166" i="1"/>
  <c r="BZ166" i="1"/>
  <c r="BV167" i="1"/>
  <c r="BW167" i="1"/>
  <c r="BX167" i="1"/>
  <c r="BY167" i="1"/>
  <c r="BZ167" i="1"/>
  <c r="BV168" i="1"/>
  <c r="BW168" i="1"/>
  <c r="BX168" i="1"/>
  <c r="BY168" i="1"/>
  <c r="BZ168" i="1"/>
  <c r="BV169" i="1"/>
  <c r="BW169" i="1"/>
  <c r="BX169" i="1"/>
  <c r="BY169" i="1"/>
  <c r="BZ169" i="1"/>
  <c r="BV170" i="1"/>
  <c r="BW170" i="1"/>
  <c r="BX170" i="1"/>
  <c r="BY170" i="1"/>
  <c r="BZ170" i="1"/>
  <c r="BV171" i="1"/>
  <c r="BW171" i="1"/>
  <c r="BX171" i="1"/>
  <c r="BY171" i="1"/>
  <c r="BZ171" i="1"/>
  <c r="BV172" i="1"/>
  <c r="BW172" i="1"/>
  <c r="BX172" i="1"/>
  <c r="BY172" i="1"/>
  <c r="BZ172" i="1"/>
  <c r="BV173" i="1"/>
  <c r="BW173" i="1"/>
  <c r="BX173" i="1"/>
  <c r="BY173" i="1"/>
  <c r="BZ173" i="1"/>
  <c r="BV174" i="1"/>
  <c r="BW174" i="1"/>
  <c r="BX174" i="1"/>
  <c r="BY174" i="1"/>
  <c r="BZ174" i="1"/>
  <c r="BV175" i="1"/>
  <c r="BW175" i="1"/>
  <c r="BX175" i="1"/>
  <c r="BY175" i="1"/>
  <c r="BZ175" i="1"/>
  <c r="BV176" i="1"/>
  <c r="BW176" i="1"/>
  <c r="BX176" i="1"/>
  <c r="BY176" i="1"/>
  <c r="BZ176" i="1"/>
  <c r="BV177" i="1"/>
  <c r="BW177" i="1"/>
  <c r="BX177" i="1"/>
  <c r="BY177" i="1"/>
  <c r="BZ177" i="1"/>
  <c r="BV178" i="1"/>
  <c r="BW178" i="1"/>
  <c r="BX178" i="1"/>
  <c r="BY178" i="1"/>
  <c r="BZ178" i="1"/>
  <c r="BV179" i="1"/>
  <c r="BW179" i="1"/>
  <c r="BX179" i="1"/>
  <c r="BY179" i="1"/>
  <c r="BZ179" i="1"/>
  <c r="BV180" i="1"/>
  <c r="BW180" i="1"/>
  <c r="BX180" i="1"/>
  <c r="BY180" i="1"/>
  <c r="BZ180" i="1"/>
  <c r="BV181" i="1"/>
  <c r="BW181" i="1"/>
  <c r="BX181" i="1"/>
  <c r="BY181" i="1"/>
  <c r="BZ181" i="1"/>
  <c r="BV182" i="1"/>
  <c r="BW182" i="1"/>
  <c r="BX182" i="1"/>
  <c r="BY182" i="1"/>
  <c r="BZ182" i="1"/>
  <c r="BV183" i="1"/>
  <c r="BW183" i="1"/>
  <c r="BX183" i="1"/>
  <c r="BY183" i="1"/>
  <c r="BZ183" i="1"/>
  <c r="BV184" i="1"/>
  <c r="BW184" i="1"/>
  <c r="BX184" i="1"/>
  <c r="BY184" i="1"/>
  <c r="BZ184" i="1"/>
  <c r="BV185" i="1"/>
  <c r="BW185" i="1"/>
  <c r="BX185" i="1"/>
  <c r="BY185" i="1"/>
  <c r="BZ185" i="1"/>
  <c r="BV186" i="1"/>
  <c r="BW186" i="1"/>
  <c r="BX186" i="1"/>
  <c r="BY186" i="1"/>
  <c r="BZ186" i="1"/>
  <c r="BV187" i="1"/>
  <c r="BW187" i="1"/>
  <c r="BX187" i="1"/>
  <c r="BY187" i="1"/>
  <c r="BZ187" i="1"/>
  <c r="BV188" i="1"/>
  <c r="BW188" i="1"/>
  <c r="BX188" i="1"/>
  <c r="BY188" i="1"/>
  <c r="BZ188" i="1"/>
  <c r="BV189" i="1"/>
  <c r="BW189" i="1"/>
  <c r="BX189" i="1"/>
  <c r="BY189" i="1"/>
  <c r="BZ189" i="1"/>
  <c r="BV190" i="1"/>
  <c r="BW190" i="1"/>
  <c r="BX190" i="1"/>
  <c r="BY190" i="1"/>
  <c r="BZ190" i="1"/>
  <c r="BV191" i="1"/>
  <c r="BW191" i="1"/>
  <c r="BX191" i="1"/>
  <c r="BY191" i="1"/>
  <c r="BZ191" i="1"/>
  <c r="BV192" i="1"/>
  <c r="BW192" i="1"/>
  <c r="BX192" i="1"/>
  <c r="BY192" i="1"/>
  <c r="BZ192" i="1"/>
  <c r="BV193" i="1"/>
  <c r="BW193" i="1"/>
  <c r="BX193" i="1"/>
  <c r="BY193" i="1"/>
  <c r="BZ193" i="1"/>
  <c r="BV194" i="1"/>
  <c r="BW194" i="1"/>
  <c r="BX194" i="1"/>
  <c r="BY194" i="1"/>
  <c r="BZ194" i="1"/>
  <c r="BV195" i="1"/>
  <c r="BW195" i="1"/>
  <c r="BX195" i="1"/>
  <c r="BY195" i="1"/>
  <c r="BZ195" i="1"/>
  <c r="BV196" i="1"/>
  <c r="BW196" i="1"/>
  <c r="BX196" i="1"/>
  <c r="BY196" i="1"/>
  <c r="BZ196" i="1"/>
  <c r="BV197" i="1"/>
  <c r="BW197" i="1"/>
  <c r="BX197" i="1"/>
  <c r="BY197" i="1"/>
  <c r="BZ197" i="1"/>
  <c r="BV198" i="1"/>
  <c r="BW198" i="1"/>
  <c r="BX198" i="1"/>
  <c r="BY198" i="1"/>
  <c r="BZ198" i="1"/>
  <c r="BV199" i="1"/>
  <c r="BW199" i="1"/>
  <c r="BX199" i="1"/>
  <c r="BY199" i="1"/>
  <c r="BZ199" i="1"/>
  <c r="BV200" i="1"/>
  <c r="BW200" i="1"/>
  <c r="BX200" i="1"/>
  <c r="BY200" i="1"/>
  <c r="BZ200" i="1"/>
  <c r="BV201" i="1"/>
  <c r="BW201" i="1"/>
  <c r="BX201" i="1"/>
  <c r="BY201" i="1"/>
  <c r="BZ201" i="1"/>
  <c r="BV202" i="1"/>
  <c r="BW202" i="1"/>
  <c r="BX202" i="1"/>
  <c r="BY202" i="1"/>
  <c r="BZ202" i="1"/>
  <c r="BV3" i="1"/>
  <c r="BW3" i="1"/>
  <c r="BX3" i="1"/>
  <c r="BY3" i="1"/>
  <c r="BZ3" i="1"/>
  <c r="BR3" i="1"/>
  <c r="BS3" i="1"/>
  <c r="BT3" i="1"/>
  <c r="BO3" i="1"/>
  <c r="BP3" i="1"/>
  <c r="BK3" i="1"/>
  <c r="BL3" i="1"/>
  <c r="BM3" i="1"/>
  <c r="BG3" i="1"/>
  <c r="BH3" i="1"/>
  <c r="BI3" i="1"/>
  <c r="BC3" i="1"/>
  <c r="BD3" i="1"/>
  <c r="BE3" i="1"/>
  <c r="AY4" i="1"/>
  <c r="AZ4" i="1"/>
  <c r="BA4" i="1"/>
  <c r="AY5" i="1"/>
  <c r="AZ5" i="1"/>
  <c r="BA5" i="1"/>
  <c r="AY6" i="1"/>
  <c r="AZ6" i="1"/>
  <c r="BA6" i="1"/>
  <c r="AY7" i="1"/>
  <c r="AZ7" i="1"/>
  <c r="BA7" i="1"/>
  <c r="AY8" i="1"/>
  <c r="AZ8" i="1"/>
  <c r="BA8" i="1"/>
  <c r="AY9" i="1"/>
  <c r="AZ9" i="1"/>
  <c r="BA9" i="1"/>
  <c r="AY10" i="1"/>
  <c r="AZ10" i="1"/>
  <c r="BA10" i="1"/>
  <c r="AY11" i="1"/>
  <c r="AZ11" i="1"/>
  <c r="BA11" i="1"/>
  <c r="AY12" i="1"/>
  <c r="AZ12" i="1"/>
  <c r="BA12" i="1"/>
  <c r="AY13" i="1"/>
  <c r="AZ13" i="1"/>
  <c r="BA13" i="1"/>
  <c r="AY14" i="1"/>
  <c r="AZ14" i="1"/>
  <c r="BA14" i="1"/>
  <c r="AY15" i="1"/>
  <c r="AZ15" i="1"/>
  <c r="BA15" i="1"/>
  <c r="AY16" i="1"/>
  <c r="AZ16" i="1"/>
  <c r="BA16" i="1"/>
  <c r="AY17" i="1"/>
  <c r="AZ17" i="1"/>
  <c r="BA17" i="1"/>
  <c r="AY18" i="1"/>
  <c r="AZ18" i="1"/>
  <c r="BA18" i="1"/>
  <c r="AY19" i="1"/>
  <c r="AZ19" i="1"/>
  <c r="BA19" i="1"/>
  <c r="AY20" i="1"/>
  <c r="AZ20" i="1"/>
  <c r="BA20" i="1"/>
  <c r="AY21" i="1"/>
  <c r="AZ21" i="1"/>
  <c r="BA21" i="1"/>
  <c r="AY22" i="1"/>
  <c r="AZ22" i="1"/>
  <c r="BA22" i="1"/>
  <c r="AY23" i="1"/>
  <c r="AZ23" i="1"/>
  <c r="BA23" i="1"/>
  <c r="AY24" i="1"/>
  <c r="AZ24" i="1"/>
  <c r="BA24" i="1"/>
  <c r="AY25" i="1"/>
  <c r="AZ25" i="1"/>
  <c r="BA25" i="1"/>
  <c r="AY26" i="1"/>
  <c r="AZ26" i="1"/>
  <c r="BA26" i="1"/>
  <c r="AY27" i="1"/>
  <c r="AZ27" i="1"/>
  <c r="BA27" i="1"/>
  <c r="AY28" i="1"/>
  <c r="AZ28" i="1"/>
  <c r="BA28" i="1"/>
  <c r="AY29" i="1"/>
  <c r="AZ29" i="1"/>
  <c r="BA29" i="1"/>
  <c r="AY30" i="1"/>
  <c r="AZ30" i="1"/>
  <c r="BA30" i="1"/>
  <c r="AY31" i="1"/>
  <c r="AZ31" i="1"/>
  <c r="BA31" i="1"/>
  <c r="AY32" i="1"/>
  <c r="AZ32" i="1"/>
  <c r="BA32" i="1"/>
  <c r="AY33" i="1"/>
  <c r="AZ33" i="1"/>
  <c r="BA33" i="1"/>
  <c r="AY34" i="1"/>
  <c r="AZ34" i="1"/>
  <c r="BA34" i="1"/>
  <c r="AY35" i="1"/>
  <c r="AZ35" i="1"/>
  <c r="BA35" i="1"/>
  <c r="AY36" i="1"/>
  <c r="AZ36" i="1"/>
  <c r="BA36" i="1"/>
  <c r="AY37" i="1"/>
  <c r="AZ37" i="1"/>
  <c r="BA37" i="1"/>
  <c r="AY38" i="1"/>
  <c r="AZ38" i="1"/>
  <c r="BA38" i="1"/>
  <c r="AY39" i="1"/>
  <c r="AZ39" i="1"/>
  <c r="BA39" i="1"/>
  <c r="AY40" i="1"/>
  <c r="AZ40" i="1"/>
  <c r="BA40" i="1"/>
  <c r="AY41" i="1"/>
  <c r="AZ41" i="1"/>
  <c r="BA41" i="1"/>
  <c r="AY42" i="1"/>
  <c r="AZ42" i="1"/>
  <c r="BA42" i="1"/>
  <c r="AY43" i="1"/>
  <c r="AZ43" i="1"/>
  <c r="BA43" i="1"/>
  <c r="AY44" i="1"/>
  <c r="AZ44" i="1"/>
  <c r="BA44" i="1"/>
  <c r="AY45" i="1"/>
  <c r="AZ45" i="1"/>
  <c r="BA45" i="1"/>
  <c r="AY46" i="1"/>
  <c r="AZ46" i="1"/>
  <c r="BA46" i="1"/>
  <c r="AY47" i="1"/>
  <c r="AZ47" i="1"/>
  <c r="BA47" i="1"/>
  <c r="AY48" i="1"/>
  <c r="AZ48" i="1"/>
  <c r="BA48" i="1"/>
  <c r="AY49" i="1"/>
  <c r="AZ49" i="1"/>
  <c r="BA49" i="1"/>
  <c r="AY50" i="1"/>
  <c r="AZ50" i="1"/>
  <c r="BA50" i="1"/>
  <c r="AY51" i="1"/>
  <c r="AZ51" i="1"/>
  <c r="BA51" i="1"/>
  <c r="AY52" i="1"/>
  <c r="AZ52" i="1"/>
  <c r="BA52" i="1"/>
  <c r="AY53" i="1"/>
  <c r="AZ53" i="1"/>
  <c r="BA53" i="1"/>
  <c r="AY54" i="1"/>
  <c r="AZ54" i="1"/>
  <c r="BA54" i="1"/>
  <c r="AY55" i="1"/>
  <c r="AZ55" i="1"/>
  <c r="BA55" i="1"/>
  <c r="AY56" i="1"/>
  <c r="AZ56" i="1"/>
  <c r="BA56" i="1"/>
  <c r="AY57" i="1"/>
  <c r="AZ57" i="1"/>
  <c r="BA57" i="1"/>
  <c r="AY58" i="1"/>
  <c r="AZ58" i="1"/>
  <c r="BA58" i="1"/>
  <c r="AY59" i="1"/>
  <c r="AZ59" i="1"/>
  <c r="BA59" i="1"/>
  <c r="AY60" i="1"/>
  <c r="AZ60" i="1"/>
  <c r="BA60" i="1"/>
  <c r="AY61" i="1"/>
  <c r="AZ61" i="1"/>
  <c r="BA61" i="1"/>
  <c r="AY62" i="1"/>
  <c r="AZ62" i="1"/>
  <c r="BA62" i="1"/>
  <c r="AY63" i="1"/>
  <c r="AZ63" i="1"/>
  <c r="BA63" i="1"/>
  <c r="AY64" i="1"/>
  <c r="AZ64" i="1"/>
  <c r="BA64" i="1"/>
  <c r="AY65" i="1"/>
  <c r="AZ65" i="1"/>
  <c r="BA65" i="1"/>
  <c r="AY66" i="1"/>
  <c r="AZ66" i="1"/>
  <c r="BA66" i="1"/>
  <c r="AY67" i="1"/>
  <c r="AZ67" i="1"/>
  <c r="BA67" i="1"/>
  <c r="AY68" i="1"/>
  <c r="AZ68" i="1"/>
  <c r="BA68" i="1"/>
  <c r="AY69" i="1"/>
  <c r="AZ69" i="1"/>
  <c r="BA69" i="1"/>
  <c r="AY70" i="1"/>
  <c r="AZ70" i="1"/>
  <c r="BA70" i="1"/>
  <c r="AY71" i="1"/>
  <c r="AZ71" i="1"/>
  <c r="BA71" i="1"/>
  <c r="AY72" i="1"/>
  <c r="AZ72" i="1"/>
  <c r="BA72" i="1"/>
  <c r="AY73" i="1"/>
  <c r="AZ73" i="1"/>
  <c r="BA73" i="1"/>
  <c r="AY74" i="1"/>
  <c r="AZ74" i="1"/>
  <c r="BA74" i="1"/>
  <c r="AY75" i="1"/>
  <c r="AZ75" i="1"/>
  <c r="BA75" i="1"/>
  <c r="AY76" i="1"/>
  <c r="AZ76" i="1"/>
  <c r="BA76" i="1"/>
  <c r="AY77" i="1"/>
  <c r="AZ77" i="1"/>
  <c r="BA77" i="1"/>
  <c r="AY78" i="1"/>
  <c r="AZ78" i="1"/>
  <c r="BA78" i="1"/>
  <c r="AY79" i="1"/>
  <c r="AZ79" i="1"/>
  <c r="BA79" i="1"/>
  <c r="AY80" i="1"/>
  <c r="AZ80" i="1"/>
  <c r="BA80" i="1"/>
  <c r="AY81" i="1"/>
  <c r="AZ81" i="1"/>
  <c r="BA81" i="1"/>
  <c r="AY82" i="1"/>
  <c r="AZ82" i="1"/>
  <c r="BA82" i="1"/>
  <c r="AY83" i="1"/>
  <c r="AZ83" i="1"/>
  <c r="BA83" i="1"/>
  <c r="AY84" i="1"/>
  <c r="AZ84" i="1"/>
  <c r="BA84" i="1"/>
  <c r="AY85" i="1"/>
  <c r="AZ85" i="1"/>
  <c r="BA85" i="1"/>
  <c r="AY86" i="1"/>
  <c r="AZ86" i="1"/>
  <c r="BA86" i="1"/>
  <c r="AY87" i="1"/>
  <c r="AZ87" i="1"/>
  <c r="BA87" i="1"/>
  <c r="AY88" i="1"/>
  <c r="AZ88" i="1"/>
  <c r="BA88" i="1"/>
  <c r="AY89" i="1"/>
  <c r="AZ89" i="1"/>
  <c r="BA89" i="1"/>
  <c r="AY90" i="1"/>
  <c r="AZ90" i="1"/>
  <c r="BA90" i="1"/>
  <c r="AY91" i="1"/>
  <c r="AZ91" i="1"/>
  <c r="BA91" i="1"/>
  <c r="AY92" i="1"/>
  <c r="AZ92" i="1"/>
  <c r="BA92" i="1"/>
  <c r="AY93" i="1"/>
  <c r="AZ93" i="1"/>
  <c r="BA93" i="1"/>
  <c r="AY94" i="1"/>
  <c r="AZ94" i="1"/>
  <c r="BA94" i="1"/>
  <c r="AY95" i="1"/>
  <c r="AZ95" i="1"/>
  <c r="BA95" i="1"/>
  <c r="AY96" i="1"/>
  <c r="AZ96" i="1"/>
  <c r="BA96" i="1"/>
  <c r="AY97" i="1"/>
  <c r="AZ97" i="1"/>
  <c r="BA97" i="1"/>
  <c r="AY98" i="1"/>
  <c r="AZ98" i="1"/>
  <c r="BA98" i="1"/>
  <c r="AY99" i="1"/>
  <c r="AZ99" i="1"/>
  <c r="BA99" i="1"/>
  <c r="AY100" i="1"/>
  <c r="AZ100" i="1"/>
  <c r="BA100" i="1"/>
  <c r="AY101" i="1"/>
  <c r="AZ101" i="1"/>
  <c r="BA101" i="1"/>
  <c r="AY102" i="1"/>
  <c r="AZ102" i="1"/>
  <c r="BA102" i="1"/>
  <c r="AY103" i="1"/>
  <c r="AZ103" i="1"/>
  <c r="BA103" i="1"/>
  <c r="AY104" i="1"/>
  <c r="AZ104" i="1"/>
  <c r="BA104" i="1"/>
  <c r="AY105" i="1"/>
  <c r="AZ105" i="1"/>
  <c r="BA105" i="1"/>
  <c r="AY106" i="1"/>
  <c r="AZ106" i="1"/>
  <c r="BA106" i="1"/>
  <c r="AY107" i="1"/>
  <c r="AZ107" i="1"/>
  <c r="BA107" i="1"/>
  <c r="AY108" i="1"/>
  <c r="AZ108" i="1"/>
  <c r="BA108" i="1"/>
  <c r="AY109" i="1"/>
  <c r="AZ109" i="1"/>
  <c r="BA109" i="1"/>
  <c r="AY110" i="1"/>
  <c r="AZ110" i="1"/>
  <c r="BA110" i="1"/>
  <c r="AY111" i="1"/>
  <c r="AZ111" i="1"/>
  <c r="BA111" i="1"/>
  <c r="AY112" i="1"/>
  <c r="AZ112" i="1"/>
  <c r="BA112" i="1"/>
  <c r="AY113" i="1"/>
  <c r="AZ113" i="1"/>
  <c r="BA113" i="1"/>
  <c r="AY114" i="1"/>
  <c r="AZ114" i="1"/>
  <c r="BA114" i="1"/>
  <c r="AY115" i="1"/>
  <c r="AZ115" i="1"/>
  <c r="BA115" i="1"/>
  <c r="AY116" i="1"/>
  <c r="AZ116" i="1"/>
  <c r="BA116" i="1"/>
  <c r="AY117" i="1"/>
  <c r="AZ117" i="1"/>
  <c r="BA117" i="1"/>
  <c r="AY118" i="1"/>
  <c r="AZ118" i="1"/>
  <c r="BA118" i="1"/>
  <c r="AY119" i="1"/>
  <c r="AZ119" i="1"/>
  <c r="BA119" i="1"/>
  <c r="AY120" i="1"/>
  <c r="AZ120" i="1"/>
  <c r="BA120" i="1"/>
  <c r="AY121" i="1"/>
  <c r="AZ121" i="1"/>
  <c r="BA121" i="1"/>
  <c r="AY122" i="1"/>
  <c r="AZ122" i="1"/>
  <c r="BA122" i="1"/>
  <c r="AY123" i="1"/>
  <c r="AZ123" i="1"/>
  <c r="BA123" i="1"/>
  <c r="AY124" i="1"/>
  <c r="AZ124" i="1"/>
  <c r="BA124" i="1"/>
  <c r="AY125" i="1"/>
  <c r="AZ125" i="1"/>
  <c r="BA125" i="1"/>
  <c r="AY126" i="1"/>
  <c r="AZ126" i="1"/>
  <c r="BA126" i="1"/>
  <c r="AY127" i="1"/>
  <c r="AZ127" i="1"/>
  <c r="BA127" i="1"/>
  <c r="AY128" i="1"/>
  <c r="AZ128" i="1"/>
  <c r="BA128" i="1"/>
  <c r="AY129" i="1"/>
  <c r="AZ129" i="1"/>
  <c r="BA129" i="1"/>
  <c r="AY130" i="1"/>
  <c r="AZ130" i="1"/>
  <c r="BA130" i="1"/>
  <c r="AY131" i="1"/>
  <c r="AZ131" i="1"/>
  <c r="BA131" i="1"/>
  <c r="AY132" i="1"/>
  <c r="AZ132" i="1"/>
  <c r="BA132" i="1"/>
  <c r="AY133" i="1"/>
  <c r="AZ133" i="1"/>
  <c r="BA133" i="1"/>
  <c r="AY134" i="1"/>
  <c r="AZ134" i="1"/>
  <c r="BA134" i="1"/>
  <c r="AY135" i="1"/>
  <c r="AZ135" i="1"/>
  <c r="BA135" i="1"/>
  <c r="AY136" i="1"/>
  <c r="AZ136" i="1"/>
  <c r="BA136" i="1"/>
  <c r="AY137" i="1"/>
  <c r="AZ137" i="1"/>
  <c r="BA137" i="1"/>
  <c r="AY138" i="1"/>
  <c r="AZ138" i="1"/>
  <c r="BA138" i="1"/>
  <c r="AY139" i="1"/>
  <c r="AZ139" i="1"/>
  <c r="BA139" i="1"/>
  <c r="AY140" i="1"/>
  <c r="AZ140" i="1"/>
  <c r="BA140" i="1"/>
  <c r="AY141" i="1"/>
  <c r="AZ141" i="1"/>
  <c r="BA141" i="1"/>
  <c r="AY142" i="1"/>
  <c r="AZ142" i="1"/>
  <c r="BA142" i="1"/>
  <c r="AY143" i="1"/>
  <c r="AZ143" i="1"/>
  <c r="BA143" i="1"/>
  <c r="AY144" i="1"/>
  <c r="AZ144" i="1"/>
  <c r="BA144" i="1"/>
  <c r="AY145" i="1"/>
  <c r="AZ145" i="1"/>
  <c r="BA145" i="1"/>
  <c r="AY146" i="1"/>
  <c r="AZ146" i="1"/>
  <c r="BA146" i="1"/>
  <c r="AY147" i="1"/>
  <c r="AZ147" i="1"/>
  <c r="BA147" i="1"/>
  <c r="AY148" i="1"/>
  <c r="AZ148" i="1"/>
  <c r="BA148" i="1"/>
  <c r="AY149" i="1"/>
  <c r="AZ149" i="1"/>
  <c r="BA149" i="1"/>
  <c r="AY150" i="1"/>
  <c r="AZ150" i="1"/>
  <c r="BA150" i="1"/>
  <c r="AY151" i="1"/>
  <c r="AZ151" i="1"/>
  <c r="BA151" i="1"/>
  <c r="AY152" i="1"/>
  <c r="AZ152" i="1"/>
  <c r="BA152" i="1"/>
  <c r="AY153" i="1"/>
  <c r="AZ153" i="1"/>
  <c r="BA153" i="1"/>
  <c r="AY154" i="1"/>
  <c r="AZ154" i="1"/>
  <c r="BA154" i="1"/>
  <c r="AY155" i="1"/>
  <c r="AZ155" i="1"/>
  <c r="BA155" i="1"/>
  <c r="AY156" i="1"/>
  <c r="AZ156" i="1"/>
  <c r="BA156" i="1"/>
  <c r="AY157" i="1"/>
  <c r="AZ157" i="1"/>
  <c r="BA157" i="1"/>
  <c r="AY158" i="1"/>
  <c r="AZ158" i="1"/>
  <c r="BA158" i="1"/>
  <c r="AY159" i="1"/>
  <c r="AZ159" i="1"/>
  <c r="BA159" i="1"/>
  <c r="AY160" i="1"/>
  <c r="AZ160" i="1"/>
  <c r="BA160" i="1"/>
  <c r="AY161" i="1"/>
  <c r="AZ161" i="1"/>
  <c r="BA161" i="1"/>
  <c r="AY162" i="1"/>
  <c r="AZ162" i="1"/>
  <c r="BA162" i="1"/>
  <c r="AY163" i="1"/>
  <c r="AZ163" i="1"/>
  <c r="BA163" i="1"/>
  <c r="AY164" i="1"/>
  <c r="AZ164" i="1"/>
  <c r="BA164" i="1"/>
  <c r="AY165" i="1"/>
  <c r="AZ165" i="1"/>
  <c r="BA165" i="1"/>
  <c r="AY166" i="1"/>
  <c r="AZ166" i="1"/>
  <c r="BA166" i="1"/>
  <c r="AY167" i="1"/>
  <c r="AZ167" i="1"/>
  <c r="BA167" i="1"/>
  <c r="AY168" i="1"/>
  <c r="AZ168" i="1"/>
  <c r="BA168" i="1"/>
  <c r="AY169" i="1"/>
  <c r="AZ169" i="1"/>
  <c r="BA169" i="1"/>
  <c r="AY170" i="1"/>
  <c r="AZ170" i="1"/>
  <c r="BA170" i="1"/>
  <c r="AY171" i="1"/>
  <c r="AZ171" i="1"/>
  <c r="BA171" i="1"/>
  <c r="AY172" i="1"/>
  <c r="AZ172" i="1"/>
  <c r="BA172" i="1"/>
  <c r="AY173" i="1"/>
  <c r="AZ173" i="1"/>
  <c r="BA173" i="1"/>
  <c r="AY174" i="1"/>
  <c r="AZ174" i="1"/>
  <c r="BA174" i="1"/>
  <c r="AY175" i="1"/>
  <c r="AZ175" i="1"/>
  <c r="BA175" i="1"/>
  <c r="AY176" i="1"/>
  <c r="AZ176" i="1"/>
  <c r="BA176" i="1"/>
  <c r="AY177" i="1"/>
  <c r="AZ177" i="1"/>
  <c r="BA177" i="1"/>
  <c r="AY178" i="1"/>
  <c r="AZ178" i="1"/>
  <c r="BA178" i="1"/>
  <c r="AY179" i="1"/>
  <c r="AZ179" i="1"/>
  <c r="BA179" i="1"/>
  <c r="AY180" i="1"/>
  <c r="AZ180" i="1"/>
  <c r="BA180" i="1"/>
  <c r="AY181" i="1"/>
  <c r="AZ181" i="1"/>
  <c r="BA181" i="1"/>
  <c r="AY182" i="1"/>
  <c r="AZ182" i="1"/>
  <c r="BA182" i="1"/>
  <c r="AY183" i="1"/>
  <c r="AZ183" i="1"/>
  <c r="BA183" i="1"/>
  <c r="AY184" i="1"/>
  <c r="AZ184" i="1"/>
  <c r="BA184" i="1"/>
  <c r="AY185" i="1"/>
  <c r="AZ185" i="1"/>
  <c r="BA185" i="1"/>
  <c r="AY186" i="1"/>
  <c r="AZ186" i="1"/>
  <c r="BA186" i="1"/>
  <c r="AY187" i="1"/>
  <c r="AZ187" i="1"/>
  <c r="BA187" i="1"/>
  <c r="AY188" i="1"/>
  <c r="AZ188" i="1"/>
  <c r="BA188" i="1"/>
  <c r="AY189" i="1"/>
  <c r="AZ189" i="1"/>
  <c r="BA189" i="1"/>
  <c r="AY190" i="1"/>
  <c r="AZ190" i="1"/>
  <c r="BA190" i="1"/>
  <c r="AY191" i="1"/>
  <c r="AZ191" i="1"/>
  <c r="BA191" i="1"/>
  <c r="AY192" i="1"/>
  <c r="AZ192" i="1"/>
  <c r="BA192" i="1"/>
  <c r="AY193" i="1"/>
  <c r="AZ193" i="1"/>
  <c r="BA193" i="1"/>
  <c r="AY194" i="1"/>
  <c r="AZ194" i="1"/>
  <c r="BA194" i="1"/>
  <c r="AY195" i="1"/>
  <c r="AZ195" i="1"/>
  <c r="BA195" i="1"/>
  <c r="AY196" i="1"/>
  <c r="AZ196" i="1"/>
  <c r="BA196" i="1"/>
  <c r="AY197" i="1"/>
  <c r="AZ197" i="1"/>
  <c r="BA197" i="1"/>
  <c r="AY198" i="1"/>
  <c r="AZ198" i="1"/>
  <c r="BA198" i="1"/>
  <c r="AY199" i="1"/>
  <c r="AZ199" i="1"/>
  <c r="BA199" i="1"/>
  <c r="AY200" i="1"/>
  <c r="AZ200" i="1"/>
  <c r="BA200" i="1"/>
  <c r="AY201" i="1"/>
  <c r="AZ201" i="1"/>
  <c r="BA201" i="1"/>
  <c r="AY202" i="1"/>
  <c r="AZ202" i="1"/>
  <c r="BA202" i="1"/>
  <c r="AY3" i="1"/>
  <c r="AZ3" i="1"/>
  <c r="BA3" i="1"/>
  <c r="AU4" i="1"/>
  <c r="AV4" i="1"/>
  <c r="AW4" i="1"/>
  <c r="AU5" i="1"/>
  <c r="AV5" i="1"/>
  <c r="AW5" i="1"/>
  <c r="AU6" i="1"/>
  <c r="AV6" i="1"/>
  <c r="AW6" i="1"/>
  <c r="AU7" i="1"/>
  <c r="AV7" i="1"/>
  <c r="AW7" i="1"/>
  <c r="AU8" i="1"/>
  <c r="AV8" i="1"/>
  <c r="AW8" i="1"/>
  <c r="AU9" i="1"/>
  <c r="AV9" i="1"/>
  <c r="AW9" i="1"/>
  <c r="AU10" i="1"/>
  <c r="AV10" i="1"/>
  <c r="AW10" i="1"/>
  <c r="AU11" i="1"/>
  <c r="AV11" i="1"/>
  <c r="AW11" i="1"/>
  <c r="AU12" i="1"/>
  <c r="AV12" i="1"/>
  <c r="AW12" i="1"/>
  <c r="AU13" i="1"/>
  <c r="AV13" i="1"/>
  <c r="AW13" i="1"/>
  <c r="AU14" i="1"/>
  <c r="AV14" i="1"/>
  <c r="AW14" i="1"/>
  <c r="AU15" i="1"/>
  <c r="AV15" i="1"/>
  <c r="AW15" i="1"/>
  <c r="AU16" i="1"/>
  <c r="AV16" i="1"/>
  <c r="AW16" i="1"/>
  <c r="AU17" i="1"/>
  <c r="AV17" i="1"/>
  <c r="AW17" i="1"/>
  <c r="AU18" i="1"/>
  <c r="AV18" i="1"/>
  <c r="AW18" i="1"/>
  <c r="AU19" i="1"/>
  <c r="AV19" i="1"/>
  <c r="AW19" i="1"/>
  <c r="AU20" i="1"/>
  <c r="AV20" i="1"/>
  <c r="AW20" i="1"/>
  <c r="AU21" i="1"/>
  <c r="AV21" i="1"/>
  <c r="AW21" i="1"/>
  <c r="AU22" i="1"/>
  <c r="AV22" i="1"/>
  <c r="AW22" i="1"/>
  <c r="AU23" i="1"/>
  <c r="AV23" i="1"/>
  <c r="AW23" i="1"/>
  <c r="AU24" i="1"/>
  <c r="AV24" i="1"/>
  <c r="AW24" i="1"/>
  <c r="AU25" i="1"/>
  <c r="AV25" i="1"/>
  <c r="AW25" i="1"/>
  <c r="AU26" i="1"/>
  <c r="AV26" i="1"/>
  <c r="AW26" i="1"/>
  <c r="AU27" i="1"/>
  <c r="AV27" i="1"/>
  <c r="AW27" i="1"/>
  <c r="AU28" i="1"/>
  <c r="AV28" i="1"/>
  <c r="AW28" i="1"/>
  <c r="AU29" i="1"/>
  <c r="AV29" i="1"/>
  <c r="AW29" i="1"/>
  <c r="AU30" i="1"/>
  <c r="AV30" i="1"/>
  <c r="AW30" i="1"/>
  <c r="AU31" i="1"/>
  <c r="AV31" i="1"/>
  <c r="AW31" i="1"/>
  <c r="AU32" i="1"/>
  <c r="AV32" i="1"/>
  <c r="AW32" i="1"/>
  <c r="AU33" i="1"/>
  <c r="AV33" i="1"/>
  <c r="AW33" i="1"/>
  <c r="AU34" i="1"/>
  <c r="AV34" i="1"/>
  <c r="AW34" i="1"/>
  <c r="AU35" i="1"/>
  <c r="AV35" i="1"/>
  <c r="AW35" i="1"/>
  <c r="AU36" i="1"/>
  <c r="AV36" i="1"/>
  <c r="AW36" i="1"/>
  <c r="AU37" i="1"/>
  <c r="AV37" i="1"/>
  <c r="AW37" i="1"/>
  <c r="AU38" i="1"/>
  <c r="AV38" i="1"/>
  <c r="AW38" i="1"/>
  <c r="AU39" i="1"/>
  <c r="AV39" i="1"/>
  <c r="AW39" i="1"/>
  <c r="AU40" i="1"/>
  <c r="AV40" i="1"/>
  <c r="AW40" i="1"/>
  <c r="AU41" i="1"/>
  <c r="AV41" i="1"/>
  <c r="AW41" i="1"/>
  <c r="AU42" i="1"/>
  <c r="AV42" i="1"/>
  <c r="AW42" i="1"/>
  <c r="AU43" i="1"/>
  <c r="AV43" i="1"/>
  <c r="AW43" i="1"/>
  <c r="AU44" i="1"/>
  <c r="AV44" i="1"/>
  <c r="AW44" i="1"/>
  <c r="AU45" i="1"/>
  <c r="AV45" i="1"/>
  <c r="AW45" i="1"/>
  <c r="AU46" i="1"/>
  <c r="AV46" i="1"/>
  <c r="AW46" i="1"/>
  <c r="AU47" i="1"/>
  <c r="AV47" i="1"/>
  <c r="AW47" i="1"/>
  <c r="AU48" i="1"/>
  <c r="AV48" i="1"/>
  <c r="AW48" i="1"/>
  <c r="AU49" i="1"/>
  <c r="AV49" i="1"/>
  <c r="AW49" i="1"/>
  <c r="AU50" i="1"/>
  <c r="AV50" i="1"/>
  <c r="AW50" i="1"/>
  <c r="AU51" i="1"/>
  <c r="AV51" i="1"/>
  <c r="AW51" i="1"/>
  <c r="AU52" i="1"/>
  <c r="AV52" i="1"/>
  <c r="AW52" i="1"/>
  <c r="AU53" i="1"/>
  <c r="AV53" i="1"/>
  <c r="AW53" i="1"/>
  <c r="AU54" i="1"/>
  <c r="AV54" i="1"/>
  <c r="AW54" i="1"/>
  <c r="AU55" i="1"/>
  <c r="AV55" i="1"/>
  <c r="AW55" i="1"/>
  <c r="AU56" i="1"/>
  <c r="AV56" i="1"/>
  <c r="AW56" i="1"/>
  <c r="AU57" i="1"/>
  <c r="AV57" i="1"/>
  <c r="AW57" i="1"/>
  <c r="AU58" i="1"/>
  <c r="AV58" i="1"/>
  <c r="AW58" i="1"/>
  <c r="AU59" i="1"/>
  <c r="AV59" i="1"/>
  <c r="AW59" i="1"/>
  <c r="AU60" i="1"/>
  <c r="AV60" i="1"/>
  <c r="AW60" i="1"/>
  <c r="AU61" i="1"/>
  <c r="AV61" i="1"/>
  <c r="AW61" i="1"/>
  <c r="AU62" i="1"/>
  <c r="AV62" i="1"/>
  <c r="AW62" i="1"/>
  <c r="AU63" i="1"/>
  <c r="AV63" i="1"/>
  <c r="AW63" i="1"/>
  <c r="AU64" i="1"/>
  <c r="AV64" i="1"/>
  <c r="AW64" i="1"/>
  <c r="AU65" i="1"/>
  <c r="AV65" i="1"/>
  <c r="AW65" i="1"/>
  <c r="AU66" i="1"/>
  <c r="AV66" i="1"/>
  <c r="AW66" i="1"/>
  <c r="AU67" i="1"/>
  <c r="AV67" i="1"/>
  <c r="AW67" i="1"/>
  <c r="AU68" i="1"/>
  <c r="AV68" i="1"/>
  <c r="AW68" i="1"/>
  <c r="AU69" i="1"/>
  <c r="AV69" i="1"/>
  <c r="AW69" i="1"/>
  <c r="AU70" i="1"/>
  <c r="AV70" i="1"/>
  <c r="AW70" i="1"/>
  <c r="AU71" i="1"/>
  <c r="AV71" i="1"/>
  <c r="AW71" i="1"/>
  <c r="AU72" i="1"/>
  <c r="AV72" i="1"/>
  <c r="AW72" i="1"/>
  <c r="AU73" i="1"/>
  <c r="AV73" i="1"/>
  <c r="AW73" i="1"/>
  <c r="AU74" i="1"/>
  <c r="AV74" i="1"/>
  <c r="AW74" i="1"/>
  <c r="AU75" i="1"/>
  <c r="AV75" i="1"/>
  <c r="AW75" i="1"/>
  <c r="AU76" i="1"/>
  <c r="AV76" i="1"/>
  <c r="AW76" i="1"/>
  <c r="AU77" i="1"/>
  <c r="AV77" i="1"/>
  <c r="AW77" i="1"/>
  <c r="AU78" i="1"/>
  <c r="AV78" i="1"/>
  <c r="AW78" i="1"/>
  <c r="AU79" i="1"/>
  <c r="AV79" i="1"/>
  <c r="AW79" i="1"/>
  <c r="AU80" i="1"/>
  <c r="AV80" i="1"/>
  <c r="AW80" i="1"/>
  <c r="AU81" i="1"/>
  <c r="AV81" i="1"/>
  <c r="AW81" i="1"/>
  <c r="AU82" i="1"/>
  <c r="AV82" i="1"/>
  <c r="AW82" i="1"/>
  <c r="AU83" i="1"/>
  <c r="AV83" i="1"/>
  <c r="AW83" i="1"/>
  <c r="AU84" i="1"/>
  <c r="AV84" i="1"/>
  <c r="AW84" i="1"/>
  <c r="AU85" i="1"/>
  <c r="AV85" i="1"/>
  <c r="AW85" i="1"/>
  <c r="AU86" i="1"/>
  <c r="AV86" i="1"/>
  <c r="AW86" i="1"/>
  <c r="AU87" i="1"/>
  <c r="AV87" i="1"/>
  <c r="AW87" i="1"/>
  <c r="AU88" i="1"/>
  <c r="AV88" i="1"/>
  <c r="AW88" i="1"/>
  <c r="AU89" i="1"/>
  <c r="AV89" i="1"/>
  <c r="AW89" i="1"/>
  <c r="AU90" i="1"/>
  <c r="AV90" i="1"/>
  <c r="AW90" i="1"/>
  <c r="AU91" i="1"/>
  <c r="AV91" i="1"/>
  <c r="AW91" i="1"/>
  <c r="AU92" i="1"/>
  <c r="AV92" i="1"/>
  <c r="AW92" i="1"/>
  <c r="AU93" i="1"/>
  <c r="AV93" i="1"/>
  <c r="AW93" i="1"/>
  <c r="AU94" i="1"/>
  <c r="AV94" i="1"/>
  <c r="AW94" i="1"/>
  <c r="AU95" i="1"/>
  <c r="AV95" i="1"/>
  <c r="AW95" i="1"/>
  <c r="AU96" i="1"/>
  <c r="AV96" i="1"/>
  <c r="AW96" i="1"/>
  <c r="AU97" i="1"/>
  <c r="AV97" i="1"/>
  <c r="AW97" i="1"/>
  <c r="AU98" i="1"/>
  <c r="AV98" i="1"/>
  <c r="AW98" i="1"/>
  <c r="AU99" i="1"/>
  <c r="AV99" i="1"/>
  <c r="AW99" i="1"/>
  <c r="AU100" i="1"/>
  <c r="AV100" i="1"/>
  <c r="AW100" i="1"/>
  <c r="AU101" i="1"/>
  <c r="AV101" i="1"/>
  <c r="AW101" i="1"/>
  <c r="AU102" i="1"/>
  <c r="AV102" i="1"/>
  <c r="AW102" i="1"/>
  <c r="AU103" i="1"/>
  <c r="AV103" i="1"/>
  <c r="AW103" i="1"/>
  <c r="AU104" i="1"/>
  <c r="AV104" i="1"/>
  <c r="AW104" i="1"/>
  <c r="AU105" i="1"/>
  <c r="AV105" i="1"/>
  <c r="AW105" i="1"/>
  <c r="AU106" i="1"/>
  <c r="AV106" i="1"/>
  <c r="AW106" i="1"/>
  <c r="AU107" i="1"/>
  <c r="AV107" i="1"/>
  <c r="AW107" i="1"/>
  <c r="AU108" i="1"/>
  <c r="AV108" i="1"/>
  <c r="AW108" i="1"/>
  <c r="AU109" i="1"/>
  <c r="AV109" i="1"/>
  <c r="AW109" i="1"/>
  <c r="AU110" i="1"/>
  <c r="AV110" i="1"/>
  <c r="AW110" i="1"/>
  <c r="AU111" i="1"/>
  <c r="AV111" i="1"/>
  <c r="AW111" i="1"/>
  <c r="AU112" i="1"/>
  <c r="AV112" i="1"/>
  <c r="AW112" i="1"/>
  <c r="AU113" i="1"/>
  <c r="AV113" i="1"/>
  <c r="AW113" i="1"/>
  <c r="AU114" i="1"/>
  <c r="AV114" i="1"/>
  <c r="AW114" i="1"/>
  <c r="AU115" i="1"/>
  <c r="AV115" i="1"/>
  <c r="AW115" i="1"/>
  <c r="AU116" i="1"/>
  <c r="AV116" i="1"/>
  <c r="AW116" i="1"/>
  <c r="AU117" i="1"/>
  <c r="AV117" i="1"/>
  <c r="AW117" i="1"/>
  <c r="AU118" i="1"/>
  <c r="AV118" i="1"/>
  <c r="AW118" i="1"/>
  <c r="AU119" i="1"/>
  <c r="AV119" i="1"/>
  <c r="AW119" i="1"/>
  <c r="AU120" i="1"/>
  <c r="AV120" i="1"/>
  <c r="AW120" i="1"/>
  <c r="AU121" i="1"/>
  <c r="AV121" i="1"/>
  <c r="AW121" i="1"/>
  <c r="AU122" i="1"/>
  <c r="AV122" i="1"/>
  <c r="AW122" i="1"/>
  <c r="AU123" i="1"/>
  <c r="AV123" i="1"/>
  <c r="AW123" i="1"/>
  <c r="AU124" i="1"/>
  <c r="AV124" i="1"/>
  <c r="AW124" i="1"/>
  <c r="AU125" i="1"/>
  <c r="AV125" i="1"/>
  <c r="AW125" i="1"/>
  <c r="AU126" i="1"/>
  <c r="AV126" i="1"/>
  <c r="AW126" i="1"/>
  <c r="AU127" i="1"/>
  <c r="AV127" i="1"/>
  <c r="AW127" i="1"/>
  <c r="AU128" i="1"/>
  <c r="AV128" i="1"/>
  <c r="AW128" i="1"/>
  <c r="AU129" i="1"/>
  <c r="AV129" i="1"/>
  <c r="AW129" i="1"/>
  <c r="AU130" i="1"/>
  <c r="AV130" i="1"/>
  <c r="AW130" i="1"/>
  <c r="AU131" i="1"/>
  <c r="AV131" i="1"/>
  <c r="AW131" i="1"/>
  <c r="AU132" i="1"/>
  <c r="AV132" i="1"/>
  <c r="AW132" i="1"/>
  <c r="AU133" i="1"/>
  <c r="AV133" i="1"/>
  <c r="AW133" i="1"/>
  <c r="AU134" i="1"/>
  <c r="AV134" i="1"/>
  <c r="AW134" i="1"/>
  <c r="AU135" i="1"/>
  <c r="AV135" i="1"/>
  <c r="AW135" i="1"/>
  <c r="AU136" i="1"/>
  <c r="AV136" i="1"/>
  <c r="AW136" i="1"/>
  <c r="AU137" i="1"/>
  <c r="AV137" i="1"/>
  <c r="AW137" i="1"/>
  <c r="AU138" i="1"/>
  <c r="AV138" i="1"/>
  <c r="AW138" i="1"/>
  <c r="AU139" i="1"/>
  <c r="AV139" i="1"/>
  <c r="AW139" i="1"/>
  <c r="AU140" i="1"/>
  <c r="AV140" i="1"/>
  <c r="AW140" i="1"/>
  <c r="AU141" i="1"/>
  <c r="AV141" i="1"/>
  <c r="AW141" i="1"/>
  <c r="AU142" i="1"/>
  <c r="AV142" i="1"/>
  <c r="AW142" i="1"/>
  <c r="AU143" i="1"/>
  <c r="AV143" i="1"/>
  <c r="AW143" i="1"/>
  <c r="AU144" i="1"/>
  <c r="AV144" i="1"/>
  <c r="AW144" i="1"/>
  <c r="AU145" i="1"/>
  <c r="AV145" i="1"/>
  <c r="AW145" i="1"/>
  <c r="AU146" i="1"/>
  <c r="AV146" i="1"/>
  <c r="AW146" i="1"/>
  <c r="AU147" i="1"/>
  <c r="AV147" i="1"/>
  <c r="AW147" i="1"/>
  <c r="AU148" i="1"/>
  <c r="AV148" i="1"/>
  <c r="AW148" i="1"/>
  <c r="AU149" i="1"/>
  <c r="AV149" i="1"/>
  <c r="AW149" i="1"/>
  <c r="AU150" i="1"/>
  <c r="AV150" i="1"/>
  <c r="AW150" i="1"/>
  <c r="AU151" i="1"/>
  <c r="AV151" i="1"/>
  <c r="AW151" i="1"/>
  <c r="AU152" i="1"/>
  <c r="AV152" i="1"/>
  <c r="AW152" i="1"/>
  <c r="AU153" i="1"/>
  <c r="AV153" i="1"/>
  <c r="AW153" i="1"/>
  <c r="AU154" i="1"/>
  <c r="AV154" i="1"/>
  <c r="AW154" i="1"/>
  <c r="AU155" i="1"/>
  <c r="AV155" i="1"/>
  <c r="AW155" i="1"/>
  <c r="AU156" i="1"/>
  <c r="AV156" i="1"/>
  <c r="AW156" i="1"/>
  <c r="AU157" i="1"/>
  <c r="AV157" i="1"/>
  <c r="AW157" i="1"/>
  <c r="AU158" i="1"/>
  <c r="AV158" i="1"/>
  <c r="AW158" i="1"/>
  <c r="AU159" i="1"/>
  <c r="AV159" i="1"/>
  <c r="AW159" i="1"/>
  <c r="AU160" i="1"/>
  <c r="AV160" i="1"/>
  <c r="AW160" i="1"/>
  <c r="AU161" i="1"/>
  <c r="AV161" i="1"/>
  <c r="AW161" i="1"/>
  <c r="AU162" i="1"/>
  <c r="AV162" i="1"/>
  <c r="AW162" i="1"/>
  <c r="AU163" i="1"/>
  <c r="AV163" i="1"/>
  <c r="AW163" i="1"/>
  <c r="AU164" i="1"/>
  <c r="AV164" i="1"/>
  <c r="AW164" i="1"/>
  <c r="AU165" i="1"/>
  <c r="AV165" i="1"/>
  <c r="AW165" i="1"/>
  <c r="AU166" i="1"/>
  <c r="AV166" i="1"/>
  <c r="AW166" i="1"/>
  <c r="AU167" i="1"/>
  <c r="AV167" i="1"/>
  <c r="AW167" i="1"/>
  <c r="AU168" i="1"/>
  <c r="AV168" i="1"/>
  <c r="AW168" i="1"/>
  <c r="AU169" i="1"/>
  <c r="AV169" i="1"/>
  <c r="AW169" i="1"/>
  <c r="AU170" i="1"/>
  <c r="AV170" i="1"/>
  <c r="AW170" i="1"/>
  <c r="AU171" i="1"/>
  <c r="AV171" i="1"/>
  <c r="AW171" i="1"/>
  <c r="AU172" i="1"/>
  <c r="AV172" i="1"/>
  <c r="AW172" i="1"/>
  <c r="AU173" i="1"/>
  <c r="AV173" i="1"/>
  <c r="AW173" i="1"/>
  <c r="AU174" i="1"/>
  <c r="AV174" i="1"/>
  <c r="AW174" i="1"/>
  <c r="AU175" i="1"/>
  <c r="AV175" i="1"/>
  <c r="AW175" i="1"/>
  <c r="AU176" i="1"/>
  <c r="AV176" i="1"/>
  <c r="AW176" i="1"/>
  <c r="AU177" i="1"/>
  <c r="AV177" i="1"/>
  <c r="AW177" i="1"/>
  <c r="AU178" i="1"/>
  <c r="AV178" i="1"/>
  <c r="AW178" i="1"/>
  <c r="AU179" i="1"/>
  <c r="AV179" i="1"/>
  <c r="AW179" i="1"/>
  <c r="AU180" i="1"/>
  <c r="AV180" i="1"/>
  <c r="AW180" i="1"/>
  <c r="AU181" i="1"/>
  <c r="AV181" i="1"/>
  <c r="AW181" i="1"/>
  <c r="AU182" i="1"/>
  <c r="AV182" i="1"/>
  <c r="AW182" i="1"/>
  <c r="AU183" i="1"/>
  <c r="AV183" i="1"/>
  <c r="AW183" i="1"/>
  <c r="AU184" i="1"/>
  <c r="AV184" i="1"/>
  <c r="AW184" i="1"/>
  <c r="AU185" i="1"/>
  <c r="AV185" i="1"/>
  <c r="AW185" i="1"/>
  <c r="AU186" i="1"/>
  <c r="AV186" i="1"/>
  <c r="AW186" i="1"/>
  <c r="AU187" i="1"/>
  <c r="AV187" i="1"/>
  <c r="AW187" i="1"/>
  <c r="AU188" i="1"/>
  <c r="AV188" i="1"/>
  <c r="AW188" i="1"/>
  <c r="AU189" i="1"/>
  <c r="AV189" i="1"/>
  <c r="AW189" i="1"/>
  <c r="AU190" i="1"/>
  <c r="AV190" i="1"/>
  <c r="AW190" i="1"/>
  <c r="AU191" i="1"/>
  <c r="AV191" i="1"/>
  <c r="AW191" i="1"/>
  <c r="AU192" i="1"/>
  <c r="AV192" i="1"/>
  <c r="AW192" i="1"/>
  <c r="AU193" i="1"/>
  <c r="AV193" i="1"/>
  <c r="AW193" i="1"/>
  <c r="AU194" i="1"/>
  <c r="AV194" i="1"/>
  <c r="AW194" i="1"/>
  <c r="AU195" i="1"/>
  <c r="AV195" i="1"/>
  <c r="AW195" i="1"/>
  <c r="AU196" i="1"/>
  <c r="AV196" i="1"/>
  <c r="AW196" i="1"/>
  <c r="AU197" i="1"/>
  <c r="AV197" i="1"/>
  <c r="AW197" i="1"/>
  <c r="AU198" i="1"/>
  <c r="AV198" i="1"/>
  <c r="AW198" i="1"/>
  <c r="AU199" i="1"/>
  <c r="AV199" i="1"/>
  <c r="AW199" i="1"/>
  <c r="AU200" i="1"/>
  <c r="AV200" i="1"/>
  <c r="AW200" i="1"/>
  <c r="AU201" i="1"/>
  <c r="AV201" i="1"/>
  <c r="AW201" i="1"/>
  <c r="AU202" i="1"/>
  <c r="AV202" i="1"/>
  <c r="AW202" i="1"/>
  <c r="AQ4" i="1"/>
  <c r="AR4" i="1"/>
  <c r="AS4" i="1"/>
  <c r="AQ5" i="1"/>
  <c r="AR5" i="1"/>
  <c r="AS5" i="1"/>
  <c r="AQ6" i="1"/>
  <c r="AR6" i="1"/>
  <c r="AS6" i="1"/>
  <c r="AQ7" i="1"/>
  <c r="AR7" i="1"/>
  <c r="AS7" i="1"/>
  <c r="AQ8" i="1"/>
  <c r="AR8" i="1"/>
  <c r="AS8" i="1"/>
  <c r="AQ9" i="1"/>
  <c r="AR9" i="1"/>
  <c r="AS9" i="1"/>
  <c r="AQ10" i="1"/>
  <c r="AR10" i="1"/>
  <c r="AS10" i="1"/>
  <c r="AQ11" i="1"/>
  <c r="AR11" i="1"/>
  <c r="AS11" i="1"/>
  <c r="AQ12" i="1"/>
  <c r="AR12" i="1"/>
  <c r="AS12" i="1"/>
  <c r="AQ13" i="1"/>
  <c r="AR13" i="1"/>
  <c r="AS13" i="1"/>
  <c r="AQ14" i="1"/>
  <c r="AR14" i="1"/>
  <c r="AS14" i="1"/>
  <c r="AQ15" i="1"/>
  <c r="AR15" i="1"/>
  <c r="AS15" i="1"/>
  <c r="AQ16" i="1"/>
  <c r="AR16" i="1"/>
  <c r="AS16" i="1"/>
  <c r="AQ17" i="1"/>
  <c r="AR17" i="1"/>
  <c r="AS17" i="1"/>
  <c r="AQ18" i="1"/>
  <c r="AR18" i="1"/>
  <c r="AS18" i="1"/>
  <c r="AQ19" i="1"/>
  <c r="AR19" i="1"/>
  <c r="AS19" i="1"/>
  <c r="AQ20" i="1"/>
  <c r="AR20" i="1"/>
  <c r="AS20" i="1"/>
  <c r="AQ21" i="1"/>
  <c r="AR21" i="1"/>
  <c r="AS21" i="1"/>
  <c r="AQ22" i="1"/>
  <c r="AR22" i="1"/>
  <c r="AS22" i="1"/>
  <c r="AQ23" i="1"/>
  <c r="AR23" i="1"/>
  <c r="AS23" i="1"/>
  <c r="AQ24" i="1"/>
  <c r="AR24" i="1"/>
  <c r="AS24" i="1"/>
  <c r="AQ25" i="1"/>
  <c r="AR25" i="1"/>
  <c r="AS25" i="1"/>
  <c r="AQ26" i="1"/>
  <c r="AR26" i="1"/>
  <c r="AS26" i="1"/>
  <c r="AQ27" i="1"/>
  <c r="AR27" i="1"/>
  <c r="AS27" i="1"/>
  <c r="AQ28" i="1"/>
  <c r="AR28" i="1"/>
  <c r="AS28" i="1"/>
  <c r="AQ29" i="1"/>
  <c r="AR29" i="1"/>
  <c r="AS29" i="1"/>
  <c r="AQ30" i="1"/>
  <c r="AR30" i="1"/>
  <c r="AS30" i="1"/>
  <c r="AQ31" i="1"/>
  <c r="AR31" i="1"/>
  <c r="AS31" i="1"/>
  <c r="AQ32" i="1"/>
  <c r="AR32" i="1"/>
  <c r="AS32" i="1"/>
  <c r="AQ33" i="1"/>
  <c r="AR33" i="1"/>
  <c r="AS33" i="1"/>
  <c r="AQ34" i="1"/>
  <c r="AR34" i="1"/>
  <c r="AS34" i="1"/>
  <c r="AQ35" i="1"/>
  <c r="AR35" i="1"/>
  <c r="AS35" i="1"/>
  <c r="AQ36" i="1"/>
  <c r="AR36" i="1"/>
  <c r="AS36" i="1"/>
  <c r="AQ37" i="1"/>
  <c r="AR37" i="1"/>
  <c r="AS37" i="1"/>
  <c r="AQ38" i="1"/>
  <c r="AR38" i="1"/>
  <c r="AS38" i="1"/>
  <c r="AQ39" i="1"/>
  <c r="AR39" i="1"/>
  <c r="AS39" i="1"/>
  <c r="AQ40" i="1"/>
  <c r="AR40" i="1"/>
  <c r="AS40" i="1"/>
  <c r="AQ41" i="1"/>
  <c r="AR41" i="1"/>
  <c r="AS41" i="1"/>
  <c r="AQ42" i="1"/>
  <c r="AR42" i="1"/>
  <c r="AS42" i="1"/>
  <c r="AQ43" i="1"/>
  <c r="AR43" i="1"/>
  <c r="AS43" i="1"/>
  <c r="AQ44" i="1"/>
  <c r="AR44" i="1"/>
  <c r="AS44" i="1"/>
  <c r="AQ45" i="1"/>
  <c r="AR45" i="1"/>
  <c r="AS45" i="1"/>
  <c r="AQ46" i="1"/>
  <c r="AR46" i="1"/>
  <c r="AS46" i="1"/>
  <c r="AQ47" i="1"/>
  <c r="AR47" i="1"/>
  <c r="AS47" i="1"/>
  <c r="AQ48" i="1"/>
  <c r="AR48" i="1"/>
  <c r="AS48" i="1"/>
  <c r="AQ49" i="1"/>
  <c r="AR49" i="1"/>
  <c r="AS49" i="1"/>
  <c r="AQ50" i="1"/>
  <c r="AR50" i="1"/>
  <c r="AS50" i="1"/>
  <c r="AQ51" i="1"/>
  <c r="AR51" i="1"/>
  <c r="AS51" i="1"/>
  <c r="AQ52" i="1"/>
  <c r="AR52" i="1"/>
  <c r="AS52" i="1"/>
  <c r="AQ53" i="1"/>
  <c r="AR53" i="1"/>
  <c r="AS53" i="1"/>
  <c r="AQ54" i="1"/>
  <c r="AR54" i="1"/>
  <c r="AS54" i="1"/>
  <c r="AQ55" i="1"/>
  <c r="AR55" i="1"/>
  <c r="AS55" i="1"/>
  <c r="AQ56" i="1"/>
  <c r="AR56" i="1"/>
  <c r="AS56" i="1"/>
  <c r="AQ57" i="1"/>
  <c r="AR57" i="1"/>
  <c r="AS57" i="1"/>
  <c r="AQ58" i="1"/>
  <c r="AR58" i="1"/>
  <c r="AS58" i="1"/>
  <c r="AQ59" i="1"/>
  <c r="AR59" i="1"/>
  <c r="AS59" i="1"/>
  <c r="AQ60" i="1"/>
  <c r="AR60" i="1"/>
  <c r="AS60" i="1"/>
  <c r="AQ61" i="1"/>
  <c r="AR61" i="1"/>
  <c r="AS61" i="1"/>
  <c r="AQ62" i="1"/>
  <c r="AR62" i="1"/>
  <c r="AS62" i="1"/>
  <c r="AQ63" i="1"/>
  <c r="AR63" i="1"/>
  <c r="AS63" i="1"/>
  <c r="AQ64" i="1"/>
  <c r="AR64" i="1"/>
  <c r="AS64" i="1"/>
  <c r="AQ65" i="1"/>
  <c r="AR65" i="1"/>
  <c r="AS65" i="1"/>
  <c r="AQ66" i="1"/>
  <c r="AR66" i="1"/>
  <c r="AS66" i="1"/>
  <c r="AQ67" i="1"/>
  <c r="AR67" i="1"/>
  <c r="AS67" i="1"/>
  <c r="AQ68" i="1"/>
  <c r="AR68" i="1"/>
  <c r="AS68" i="1"/>
  <c r="AQ69" i="1"/>
  <c r="AR69" i="1"/>
  <c r="AS69" i="1"/>
  <c r="AQ70" i="1"/>
  <c r="AR70" i="1"/>
  <c r="AS70" i="1"/>
  <c r="AQ71" i="1"/>
  <c r="AR71" i="1"/>
  <c r="AS71" i="1"/>
  <c r="AQ72" i="1"/>
  <c r="AR72" i="1"/>
  <c r="AS72" i="1"/>
  <c r="AQ73" i="1"/>
  <c r="AR73" i="1"/>
  <c r="AS73" i="1"/>
  <c r="AQ74" i="1"/>
  <c r="AR74" i="1"/>
  <c r="AS74" i="1"/>
  <c r="AQ75" i="1"/>
  <c r="AR75" i="1"/>
  <c r="AS75" i="1"/>
  <c r="AQ76" i="1"/>
  <c r="AR76" i="1"/>
  <c r="AS76" i="1"/>
  <c r="AQ77" i="1"/>
  <c r="AR77" i="1"/>
  <c r="AS77" i="1"/>
  <c r="AQ78" i="1"/>
  <c r="AR78" i="1"/>
  <c r="AS78" i="1"/>
  <c r="AQ79" i="1"/>
  <c r="AR79" i="1"/>
  <c r="AS79" i="1"/>
  <c r="AQ80" i="1"/>
  <c r="AR80" i="1"/>
  <c r="AS80" i="1"/>
  <c r="AQ81" i="1"/>
  <c r="AR81" i="1"/>
  <c r="AS81" i="1"/>
  <c r="AQ82" i="1"/>
  <c r="AR82" i="1"/>
  <c r="AS82" i="1"/>
  <c r="AQ83" i="1"/>
  <c r="AR83" i="1"/>
  <c r="AS83" i="1"/>
  <c r="AQ84" i="1"/>
  <c r="AR84" i="1"/>
  <c r="AS84" i="1"/>
  <c r="AQ85" i="1"/>
  <c r="AR85" i="1"/>
  <c r="AS85" i="1"/>
  <c r="AQ86" i="1"/>
  <c r="AR86" i="1"/>
  <c r="AS86" i="1"/>
  <c r="AQ87" i="1"/>
  <c r="AR87" i="1"/>
  <c r="AS87" i="1"/>
  <c r="AQ88" i="1"/>
  <c r="AR88" i="1"/>
  <c r="AS88" i="1"/>
  <c r="AQ89" i="1"/>
  <c r="AR89" i="1"/>
  <c r="AS89" i="1"/>
  <c r="AQ90" i="1"/>
  <c r="AR90" i="1"/>
  <c r="AS90" i="1"/>
  <c r="AQ91" i="1"/>
  <c r="AR91" i="1"/>
  <c r="AS91" i="1"/>
  <c r="AQ92" i="1"/>
  <c r="AR92" i="1"/>
  <c r="AS92" i="1"/>
  <c r="AQ93" i="1"/>
  <c r="AR93" i="1"/>
  <c r="AS93" i="1"/>
  <c r="AQ94" i="1"/>
  <c r="AR94" i="1"/>
  <c r="AS94" i="1"/>
  <c r="AQ95" i="1"/>
  <c r="AR95" i="1"/>
  <c r="AS95" i="1"/>
  <c r="AQ96" i="1"/>
  <c r="AR96" i="1"/>
  <c r="AS96" i="1"/>
  <c r="AQ97" i="1"/>
  <c r="AR97" i="1"/>
  <c r="AS97" i="1"/>
  <c r="AQ98" i="1"/>
  <c r="AR98" i="1"/>
  <c r="AS98" i="1"/>
  <c r="AQ99" i="1"/>
  <c r="AR99" i="1"/>
  <c r="AS99" i="1"/>
  <c r="AQ100" i="1"/>
  <c r="AR100" i="1"/>
  <c r="AS100" i="1"/>
  <c r="AQ101" i="1"/>
  <c r="AR101" i="1"/>
  <c r="AS101" i="1"/>
  <c r="AQ102" i="1"/>
  <c r="AR102" i="1"/>
  <c r="AS102" i="1"/>
  <c r="AQ103" i="1"/>
  <c r="AR103" i="1"/>
  <c r="AS103" i="1"/>
  <c r="AQ104" i="1"/>
  <c r="AR104" i="1"/>
  <c r="AS104" i="1"/>
  <c r="AQ105" i="1"/>
  <c r="AR105" i="1"/>
  <c r="AS105" i="1"/>
  <c r="AQ106" i="1"/>
  <c r="AR106" i="1"/>
  <c r="AS106" i="1"/>
  <c r="AQ107" i="1"/>
  <c r="AR107" i="1"/>
  <c r="AS107" i="1"/>
  <c r="AQ108" i="1"/>
  <c r="AR108" i="1"/>
  <c r="AS108" i="1"/>
  <c r="AQ109" i="1"/>
  <c r="AR109" i="1"/>
  <c r="AS109" i="1"/>
  <c r="AQ110" i="1"/>
  <c r="AR110" i="1"/>
  <c r="AS110" i="1"/>
  <c r="AQ111" i="1"/>
  <c r="AR111" i="1"/>
  <c r="AS111" i="1"/>
  <c r="AQ112" i="1"/>
  <c r="AR112" i="1"/>
  <c r="AS112" i="1"/>
  <c r="AQ113" i="1"/>
  <c r="AR113" i="1"/>
  <c r="AS113" i="1"/>
  <c r="AQ114" i="1"/>
  <c r="AR114" i="1"/>
  <c r="AS114" i="1"/>
  <c r="AQ115" i="1"/>
  <c r="AR115" i="1"/>
  <c r="AS115" i="1"/>
  <c r="AQ116" i="1"/>
  <c r="AR116" i="1"/>
  <c r="AS116" i="1"/>
  <c r="AQ117" i="1"/>
  <c r="AR117" i="1"/>
  <c r="AS117" i="1"/>
  <c r="AQ118" i="1"/>
  <c r="AR118" i="1"/>
  <c r="AS118" i="1"/>
  <c r="AQ119" i="1"/>
  <c r="AR119" i="1"/>
  <c r="AS119" i="1"/>
  <c r="AQ120" i="1"/>
  <c r="AR120" i="1"/>
  <c r="AS120" i="1"/>
  <c r="AQ121" i="1"/>
  <c r="AR121" i="1"/>
  <c r="AS121" i="1"/>
  <c r="AQ122" i="1"/>
  <c r="AR122" i="1"/>
  <c r="AS122" i="1"/>
  <c r="AQ123" i="1"/>
  <c r="AR123" i="1"/>
  <c r="AS123" i="1"/>
  <c r="AQ124" i="1"/>
  <c r="AR124" i="1"/>
  <c r="AS124" i="1"/>
  <c r="AQ125" i="1"/>
  <c r="AR125" i="1"/>
  <c r="AS125" i="1"/>
  <c r="AQ126" i="1"/>
  <c r="AR126" i="1"/>
  <c r="AS126" i="1"/>
  <c r="AQ127" i="1"/>
  <c r="AR127" i="1"/>
  <c r="AS127" i="1"/>
  <c r="AQ128" i="1"/>
  <c r="AR128" i="1"/>
  <c r="AS128" i="1"/>
  <c r="AQ129" i="1"/>
  <c r="AR129" i="1"/>
  <c r="AS129" i="1"/>
  <c r="AQ130" i="1"/>
  <c r="AR130" i="1"/>
  <c r="AS130" i="1"/>
  <c r="AQ131" i="1"/>
  <c r="AR131" i="1"/>
  <c r="AS131" i="1"/>
  <c r="AQ132" i="1"/>
  <c r="AR132" i="1"/>
  <c r="AS132" i="1"/>
  <c r="AQ133" i="1"/>
  <c r="AR133" i="1"/>
  <c r="AS133" i="1"/>
  <c r="AQ134" i="1"/>
  <c r="AR134" i="1"/>
  <c r="AS134" i="1"/>
  <c r="AQ135" i="1"/>
  <c r="AR135" i="1"/>
  <c r="AS135" i="1"/>
  <c r="AQ136" i="1"/>
  <c r="AR136" i="1"/>
  <c r="AS136" i="1"/>
  <c r="AQ137" i="1"/>
  <c r="AR137" i="1"/>
  <c r="AS137" i="1"/>
  <c r="AQ138" i="1"/>
  <c r="AR138" i="1"/>
  <c r="AS138" i="1"/>
  <c r="AQ139" i="1"/>
  <c r="AR139" i="1"/>
  <c r="AS139" i="1"/>
  <c r="AQ140" i="1"/>
  <c r="AR140" i="1"/>
  <c r="AS140" i="1"/>
  <c r="AQ141" i="1"/>
  <c r="AR141" i="1"/>
  <c r="AS141" i="1"/>
  <c r="AQ142" i="1"/>
  <c r="AR142" i="1"/>
  <c r="AS142" i="1"/>
  <c r="AQ143" i="1"/>
  <c r="AR143" i="1"/>
  <c r="AS143" i="1"/>
  <c r="AQ144" i="1"/>
  <c r="AR144" i="1"/>
  <c r="AS144" i="1"/>
  <c r="AQ145" i="1"/>
  <c r="AR145" i="1"/>
  <c r="AS145" i="1"/>
  <c r="AQ146" i="1"/>
  <c r="AR146" i="1"/>
  <c r="AS146" i="1"/>
  <c r="AQ147" i="1"/>
  <c r="AR147" i="1"/>
  <c r="AS147" i="1"/>
  <c r="AQ148" i="1"/>
  <c r="AR148" i="1"/>
  <c r="AS148" i="1"/>
  <c r="AQ149" i="1"/>
  <c r="AR149" i="1"/>
  <c r="AS149" i="1"/>
  <c r="AQ150" i="1"/>
  <c r="AR150" i="1"/>
  <c r="AS150" i="1"/>
  <c r="AQ151" i="1"/>
  <c r="AR151" i="1"/>
  <c r="AS151" i="1"/>
  <c r="AQ152" i="1"/>
  <c r="AR152" i="1"/>
  <c r="AS152" i="1"/>
  <c r="AQ153" i="1"/>
  <c r="AR153" i="1"/>
  <c r="AS153" i="1"/>
  <c r="AQ154" i="1"/>
  <c r="AR154" i="1"/>
  <c r="AS154" i="1"/>
  <c r="AQ155" i="1"/>
  <c r="AR155" i="1"/>
  <c r="AS155" i="1"/>
  <c r="AQ156" i="1"/>
  <c r="AR156" i="1"/>
  <c r="AS156" i="1"/>
  <c r="AQ157" i="1"/>
  <c r="AR157" i="1"/>
  <c r="AS157" i="1"/>
  <c r="AQ158" i="1"/>
  <c r="AR158" i="1"/>
  <c r="AS158" i="1"/>
  <c r="AQ159" i="1"/>
  <c r="AR159" i="1"/>
  <c r="AS159" i="1"/>
  <c r="AQ160" i="1"/>
  <c r="AR160" i="1"/>
  <c r="AS160" i="1"/>
  <c r="AQ161" i="1"/>
  <c r="AR161" i="1"/>
  <c r="AS161" i="1"/>
  <c r="AQ162" i="1"/>
  <c r="AR162" i="1"/>
  <c r="AS162" i="1"/>
  <c r="AQ163" i="1"/>
  <c r="AR163" i="1"/>
  <c r="AS163" i="1"/>
  <c r="AQ164" i="1"/>
  <c r="AR164" i="1"/>
  <c r="AS164" i="1"/>
  <c r="AQ165" i="1"/>
  <c r="AR165" i="1"/>
  <c r="AS165" i="1"/>
  <c r="AQ166" i="1"/>
  <c r="AR166" i="1"/>
  <c r="AS166" i="1"/>
  <c r="AQ167" i="1"/>
  <c r="AR167" i="1"/>
  <c r="AS167" i="1"/>
  <c r="AQ168" i="1"/>
  <c r="AR168" i="1"/>
  <c r="AS168" i="1"/>
  <c r="AQ169" i="1"/>
  <c r="AR169" i="1"/>
  <c r="AS169" i="1"/>
  <c r="AQ170" i="1"/>
  <c r="AR170" i="1"/>
  <c r="AS170" i="1"/>
  <c r="AQ171" i="1"/>
  <c r="AR171" i="1"/>
  <c r="AS171" i="1"/>
  <c r="AQ172" i="1"/>
  <c r="AR172" i="1"/>
  <c r="AS172" i="1"/>
  <c r="AQ173" i="1"/>
  <c r="AR173" i="1"/>
  <c r="AS173" i="1"/>
  <c r="AQ174" i="1"/>
  <c r="AR174" i="1"/>
  <c r="AS174" i="1"/>
  <c r="AQ175" i="1"/>
  <c r="AR175" i="1"/>
  <c r="AS175" i="1"/>
  <c r="AQ176" i="1"/>
  <c r="AR176" i="1"/>
  <c r="AS176" i="1"/>
  <c r="AQ177" i="1"/>
  <c r="AR177" i="1"/>
  <c r="AS177" i="1"/>
  <c r="AQ178" i="1"/>
  <c r="AR178" i="1"/>
  <c r="AS178" i="1"/>
  <c r="AQ179" i="1"/>
  <c r="AR179" i="1"/>
  <c r="AS179" i="1"/>
  <c r="AQ180" i="1"/>
  <c r="AR180" i="1"/>
  <c r="AS180" i="1"/>
  <c r="AQ181" i="1"/>
  <c r="AR181" i="1"/>
  <c r="AS181" i="1"/>
  <c r="AQ182" i="1"/>
  <c r="AR182" i="1"/>
  <c r="AS182" i="1"/>
  <c r="AQ183" i="1"/>
  <c r="AR183" i="1"/>
  <c r="AS183" i="1"/>
  <c r="AQ184" i="1"/>
  <c r="AR184" i="1"/>
  <c r="AS184" i="1"/>
  <c r="AQ185" i="1"/>
  <c r="AR185" i="1"/>
  <c r="AS185" i="1"/>
  <c r="AQ186" i="1"/>
  <c r="AR186" i="1"/>
  <c r="AS186" i="1"/>
  <c r="AQ187" i="1"/>
  <c r="AR187" i="1"/>
  <c r="AS187" i="1"/>
  <c r="AQ188" i="1"/>
  <c r="AR188" i="1"/>
  <c r="AS188" i="1"/>
  <c r="AQ189" i="1"/>
  <c r="AR189" i="1"/>
  <c r="AS189" i="1"/>
  <c r="AQ190" i="1"/>
  <c r="AR190" i="1"/>
  <c r="AS190" i="1"/>
  <c r="AQ191" i="1"/>
  <c r="AR191" i="1"/>
  <c r="AS191" i="1"/>
  <c r="AQ192" i="1"/>
  <c r="AR192" i="1"/>
  <c r="AS192" i="1"/>
  <c r="AQ193" i="1"/>
  <c r="AR193" i="1"/>
  <c r="AS193" i="1"/>
  <c r="AQ194" i="1"/>
  <c r="AR194" i="1"/>
  <c r="AS194" i="1"/>
  <c r="AQ195" i="1"/>
  <c r="AR195" i="1"/>
  <c r="AS195" i="1"/>
  <c r="AQ196" i="1"/>
  <c r="AR196" i="1"/>
  <c r="AS196" i="1"/>
  <c r="AQ197" i="1"/>
  <c r="AR197" i="1"/>
  <c r="AS197" i="1"/>
  <c r="AQ198" i="1"/>
  <c r="AR198" i="1"/>
  <c r="AS198" i="1"/>
  <c r="AQ199" i="1"/>
  <c r="AR199" i="1"/>
  <c r="AS199" i="1"/>
  <c r="AQ200" i="1"/>
  <c r="AR200" i="1"/>
  <c r="AS200" i="1"/>
  <c r="AQ201" i="1"/>
  <c r="AR201" i="1"/>
  <c r="AS201" i="1"/>
  <c r="AQ202" i="1"/>
  <c r="AR202" i="1"/>
  <c r="AS202" i="1"/>
  <c r="AU3" i="1"/>
  <c r="AV3" i="1"/>
  <c r="AW3" i="1"/>
  <c r="AQ3" i="1"/>
  <c r="AR3" i="1"/>
  <c r="AS3" i="1"/>
  <c r="AM4" i="1"/>
  <c r="AN4" i="1"/>
  <c r="AO4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46" i="1"/>
  <c r="AN46" i="1"/>
  <c r="AO4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M64" i="1"/>
  <c r="AN64" i="1"/>
  <c r="AO64" i="1"/>
  <c r="AM65" i="1"/>
  <c r="AN65" i="1"/>
  <c r="AO65" i="1"/>
  <c r="AM66" i="1"/>
  <c r="AN66" i="1"/>
  <c r="AO66" i="1"/>
  <c r="AM67" i="1"/>
  <c r="AN67" i="1"/>
  <c r="AO67" i="1"/>
  <c r="AM68" i="1"/>
  <c r="AN68" i="1"/>
  <c r="AO68" i="1"/>
  <c r="AM69" i="1"/>
  <c r="AN69" i="1"/>
  <c r="AO69" i="1"/>
  <c r="AM70" i="1"/>
  <c r="AN70" i="1"/>
  <c r="AO70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AM75" i="1"/>
  <c r="AN75" i="1"/>
  <c r="AO75" i="1"/>
  <c r="AM76" i="1"/>
  <c r="AN76" i="1"/>
  <c r="AO76" i="1"/>
  <c r="AM77" i="1"/>
  <c r="AN77" i="1"/>
  <c r="AO77" i="1"/>
  <c r="AM78" i="1"/>
  <c r="AN78" i="1"/>
  <c r="AO7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87" i="1"/>
  <c r="AN87" i="1"/>
  <c r="AO87" i="1"/>
  <c r="AM88" i="1"/>
  <c r="AN88" i="1"/>
  <c r="AO88" i="1"/>
  <c r="AM89" i="1"/>
  <c r="AN89" i="1"/>
  <c r="AO89" i="1"/>
  <c r="AM90" i="1"/>
  <c r="AN90" i="1"/>
  <c r="AO90" i="1"/>
  <c r="AM91" i="1"/>
  <c r="AN91" i="1"/>
  <c r="AO91" i="1"/>
  <c r="AM92" i="1"/>
  <c r="AN92" i="1"/>
  <c r="AO92" i="1"/>
  <c r="AM93" i="1"/>
  <c r="AN93" i="1"/>
  <c r="AO93" i="1"/>
  <c r="AM94" i="1"/>
  <c r="AN94" i="1"/>
  <c r="AO94" i="1"/>
  <c r="AM95" i="1"/>
  <c r="AN95" i="1"/>
  <c r="AO95" i="1"/>
  <c r="AM96" i="1"/>
  <c r="AN96" i="1"/>
  <c r="AO96" i="1"/>
  <c r="AM97" i="1"/>
  <c r="AN97" i="1"/>
  <c r="AO97" i="1"/>
  <c r="AM98" i="1"/>
  <c r="AN98" i="1"/>
  <c r="AO98" i="1"/>
  <c r="AM99" i="1"/>
  <c r="AN99" i="1"/>
  <c r="AO99" i="1"/>
  <c r="AM100" i="1"/>
  <c r="AN100" i="1"/>
  <c r="AO100" i="1"/>
  <c r="AM101" i="1"/>
  <c r="AN101" i="1"/>
  <c r="AO101" i="1"/>
  <c r="AM102" i="1"/>
  <c r="AN102" i="1"/>
  <c r="AO102" i="1"/>
  <c r="AM103" i="1"/>
  <c r="AN103" i="1"/>
  <c r="AO103" i="1"/>
  <c r="AM104" i="1"/>
  <c r="AN104" i="1"/>
  <c r="AO104" i="1"/>
  <c r="AM105" i="1"/>
  <c r="AN105" i="1"/>
  <c r="AO105" i="1"/>
  <c r="AM106" i="1"/>
  <c r="AN106" i="1"/>
  <c r="AO106" i="1"/>
  <c r="AM107" i="1"/>
  <c r="AN107" i="1"/>
  <c r="AO107" i="1"/>
  <c r="AM108" i="1"/>
  <c r="AN108" i="1"/>
  <c r="AO108" i="1"/>
  <c r="AM109" i="1"/>
  <c r="AN109" i="1"/>
  <c r="AO109" i="1"/>
  <c r="AM110" i="1"/>
  <c r="AN110" i="1"/>
  <c r="AO110" i="1"/>
  <c r="AM111" i="1"/>
  <c r="AN111" i="1"/>
  <c r="AO111" i="1"/>
  <c r="AM112" i="1"/>
  <c r="AN112" i="1"/>
  <c r="AO112" i="1"/>
  <c r="AM113" i="1"/>
  <c r="AN113" i="1"/>
  <c r="AO113" i="1"/>
  <c r="AM114" i="1"/>
  <c r="AN114" i="1"/>
  <c r="AO114" i="1"/>
  <c r="AM115" i="1"/>
  <c r="AN115" i="1"/>
  <c r="AO115" i="1"/>
  <c r="AM116" i="1"/>
  <c r="AN116" i="1"/>
  <c r="AO116" i="1"/>
  <c r="AM117" i="1"/>
  <c r="AN117" i="1"/>
  <c r="AO117" i="1"/>
  <c r="AM118" i="1"/>
  <c r="AN118" i="1"/>
  <c r="AO118" i="1"/>
  <c r="AM119" i="1"/>
  <c r="AN119" i="1"/>
  <c r="AO119" i="1"/>
  <c r="AM120" i="1"/>
  <c r="AN120" i="1"/>
  <c r="AO120" i="1"/>
  <c r="AM121" i="1"/>
  <c r="AN121" i="1"/>
  <c r="AO121" i="1"/>
  <c r="AM122" i="1"/>
  <c r="AN122" i="1"/>
  <c r="AO122" i="1"/>
  <c r="AM123" i="1"/>
  <c r="AN123" i="1"/>
  <c r="AO123" i="1"/>
  <c r="AM124" i="1"/>
  <c r="AN124" i="1"/>
  <c r="AO124" i="1"/>
  <c r="AM125" i="1"/>
  <c r="AN125" i="1"/>
  <c r="AO125" i="1"/>
  <c r="AM126" i="1"/>
  <c r="AN126" i="1"/>
  <c r="AO126" i="1"/>
  <c r="AM127" i="1"/>
  <c r="AN127" i="1"/>
  <c r="AO127" i="1"/>
  <c r="AM128" i="1"/>
  <c r="AN128" i="1"/>
  <c r="AO128" i="1"/>
  <c r="AM129" i="1"/>
  <c r="AN129" i="1"/>
  <c r="AO129" i="1"/>
  <c r="AM130" i="1"/>
  <c r="AN130" i="1"/>
  <c r="AO130" i="1"/>
  <c r="AM131" i="1"/>
  <c r="AN131" i="1"/>
  <c r="AO131" i="1"/>
  <c r="AM132" i="1"/>
  <c r="AN132" i="1"/>
  <c r="AO132" i="1"/>
  <c r="AM133" i="1"/>
  <c r="AN133" i="1"/>
  <c r="AO133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139" i="1"/>
  <c r="AN139" i="1"/>
  <c r="AO139" i="1"/>
  <c r="AM140" i="1"/>
  <c r="AN140" i="1"/>
  <c r="AO140" i="1"/>
  <c r="AM141" i="1"/>
  <c r="AN141" i="1"/>
  <c r="AO141" i="1"/>
  <c r="AM142" i="1"/>
  <c r="AN142" i="1"/>
  <c r="AO142" i="1"/>
  <c r="AM143" i="1"/>
  <c r="AN143" i="1"/>
  <c r="AO143" i="1"/>
  <c r="AM144" i="1"/>
  <c r="AN144" i="1"/>
  <c r="AO144" i="1"/>
  <c r="AM145" i="1"/>
  <c r="AN145" i="1"/>
  <c r="AO145" i="1"/>
  <c r="AM146" i="1"/>
  <c r="AN146" i="1"/>
  <c r="AO146" i="1"/>
  <c r="AM147" i="1"/>
  <c r="AN147" i="1"/>
  <c r="AO147" i="1"/>
  <c r="AM148" i="1"/>
  <c r="AN148" i="1"/>
  <c r="AO148" i="1"/>
  <c r="AM149" i="1"/>
  <c r="AN149" i="1"/>
  <c r="AO149" i="1"/>
  <c r="AM150" i="1"/>
  <c r="AN150" i="1"/>
  <c r="AO150" i="1"/>
  <c r="AM151" i="1"/>
  <c r="AN151" i="1"/>
  <c r="AO151" i="1"/>
  <c r="AM152" i="1"/>
  <c r="AN152" i="1"/>
  <c r="AO152" i="1"/>
  <c r="AM153" i="1"/>
  <c r="AN153" i="1"/>
  <c r="AO153" i="1"/>
  <c r="AM154" i="1"/>
  <c r="AN154" i="1"/>
  <c r="AO154" i="1"/>
  <c r="AM155" i="1"/>
  <c r="AN155" i="1"/>
  <c r="AO155" i="1"/>
  <c r="AM156" i="1"/>
  <c r="AN156" i="1"/>
  <c r="AO156" i="1"/>
  <c r="AM157" i="1"/>
  <c r="AN157" i="1"/>
  <c r="AO157" i="1"/>
  <c r="AM158" i="1"/>
  <c r="AN158" i="1"/>
  <c r="AO158" i="1"/>
  <c r="AM159" i="1"/>
  <c r="AN159" i="1"/>
  <c r="AO159" i="1"/>
  <c r="AM160" i="1"/>
  <c r="AN160" i="1"/>
  <c r="AO160" i="1"/>
  <c r="AM161" i="1"/>
  <c r="AN161" i="1"/>
  <c r="AO161" i="1"/>
  <c r="AM162" i="1"/>
  <c r="AN162" i="1"/>
  <c r="AO162" i="1"/>
  <c r="AM163" i="1"/>
  <c r="AN163" i="1"/>
  <c r="AO163" i="1"/>
  <c r="AM164" i="1"/>
  <c r="AN164" i="1"/>
  <c r="AO164" i="1"/>
  <c r="AM165" i="1"/>
  <c r="AN165" i="1"/>
  <c r="AO165" i="1"/>
  <c r="AM166" i="1"/>
  <c r="AN166" i="1"/>
  <c r="AO166" i="1"/>
  <c r="AM167" i="1"/>
  <c r="AN167" i="1"/>
  <c r="AO167" i="1"/>
  <c r="AM168" i="1"/>
  <c r="AN168" i="1"/>
  <c r="AO168" i="1"/>
  <c r="AM169" i="1"/>
  <c r="AN169" i="1"/>
  <c r="AO169" i="1"/>
  <c r="AM170" i="1"/>
  <c r="AN170" i="1"/>
  <c r="AO170" i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179" i="1"/>
  <c r="AN179" i="1"/>
  <c r="AO179" i="1"/>
  <c r="AM180" i="1"/>
  <c r="AN180" i="1"/>
  <c r="AO180" i="1"/>
  <c r="AM181" i="1"/>
  <c r="AN181" i="1"/>
  <c r="AO181" i="1"/>
  <c r="AM182" i="1"/>
  <c r="AN182" i="1"/>
  <c r="AO182" i="1"/>
  <c r="AM183" i="1"/>
  <c r="AN183" i="1"/>
  <c r="AO183" i="1"/>
  <c r="AM184" i="1"/>
  <c r="AN184" i="1"/>
  <c r="AO184" i="1"/>
  <c r="AM185" i="1"/>
  <c r="AN185" i="1"/>
  <c r="AO185" i="1"/>
  <c r="AM186" i="1"/>
  <c r="AN186" i="1"/>
  <c r="AO186" i="1"/>
  <c r="AM187" i="1"/>
  <c r="AN187" i="1"/>
  <c r="AO187" i="1"/>
  <c r="AM188" i="1"/>
  <c r="AN188" i="1"/>
  <c r="AO188" i="1"/>
  <c r="AM189" i="1"/>
  <c r="AN189" i="1"/>
  <c r="AO189" i="1"/>
  <c r="AM190" i="1"/>
  <c r="AN190" i="1"/>
  <c r="AO190" i="1"/>
  <c r="AM191" i="1"/>
  <c r="AN191" i="1"/>
  <c r="AO191" i="1"/>
  <c r="AM192" i="1"/>
  <c r="AN192" i="1"/>
  <c r="AO192" i="1"/>
  <c r="AM193" i="1"/>
  <c r="AN193" i="1"/>
  <c r="AO193" i="1"/>
  <c r="AM194" i="1"/>
  <c r="AN194" i="1"/>
  <c r="AO194" i="1"/>
  <c r="AM195" i="1"/>
  <c r="AN195" i="1"/>
  <c r="AO195" i="1"/>
  <c r="AM196" i="1"/>
  <c r="AN196" i="1"/>
  <c r="AO196" i="1"/>
  <c r="AM197" i="1"/>
  <c r="AN197" i="1"/>
  <c r="AO197" i="1"/>
  <c r="AM198" i="1"/>
  <c r="AN198" i="1"/>
  <c r="AO198" i="1"/>
  <c r="AM199" i="1"/>
  <c r="AN199" i="1"/>
  <c r="AO199" i="1"/>
  <c r="AM200" i="1"/>
  <c r="AN200" i="1"/>
  <c r="AO200" i="1"/>
  <c r="AM201" i="1"/>
  <c r="AN201" i="1"/>
  <c r="AO201" i="1"/>
  <c r="AM202" i="1"/>
  <c r="AN202" i="1"/>
  <c r="AO202" i="1"/>
  <c r="AM3" i="1"/>
  <c r="AN3" i="1"/>
  <c r="AO3" i="1"/>
  <c r="AJ4" i="1"/>
  <c r="AK4" i="1"/>
  <c r="AJ5" i="1"/>
  <c r="AK5" i="1"/>
  <c r="AJ6" i="1"/>
  <c r="AK6" i="1"/>
  <c r="AJ7" i="1"/>
  <c r="AK7" i="1"/>
  <c r="AJ8" i="1"/>
  <c r="AK8" i="1"/>
  <c r="AJ9" i="1"/>
  <c r="AK9" i="1"/>
  <c r="AJ10" i="1"/>
  <c r="AK10" i="1"/>
  <c r="AJ11" i="1"/>
  <c r="AK11" i="1"/>
  <c r="AJ12" i="1"/>
  <c r="AK12" i="1"/>
  <c r="AJ13" i="1"/>
  <c r="AK13" i="1"/>
  <c r="AJ14" i="1"/>
  <c r="AK14" i="1"/>
  <c r="AJ15" i="1"/>
  <c r="AK15" i="1"/>
  <c r="AJ16" i="1"/>
  <c r="AK16" i="1"/>
  <c r="AJ17" i="1"/>
  <c r="AK17" i="1"/>
  <c r="AJ18" i="1"/>
  <c r="AK18" i="1"/>
  <c r="AJ19" i="1"/>
  <c r="AK19" i="1"/>
  <c r="AJ20" i="1"/>
  <c r="AK20" i="1"/>
  <c r="AJ21" i="1"/>
  <c r="AK21" i="1"/>
  <c r="AJ22" i="1"/>
  <c r="AK22" i="1"/>
  <c r="AJ23" i="1"/>
  <c r="AK23" i="1"/>
  <c r="AJ24" i="1"/>
  <c r="AK24" i="1"/>
  <c r="AJ25" i="1"/>
  <c r="AK25" i="1"/>
  <c r="AJ26" i="1"/>
  <c r="AK26" i="1"/>
  <c r="AJ27" i="1"/>
  <c r="AK27" i="1"/>
  <c r="AJ28" i="1"/>
  <c r="AK28" i="1"/>
  <c r="AJ29" i="1"/>
  <c r="AK29" i="1"/>
  <c r="AJ30" i="1"/>
  <c r="AK30" i="1"/>
  <c r="AJ31" i="1"/>
  <c r="AK31" i="1"/>
  <c r="AJ32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J107" i="1"/>
  <c r="AK107" i="1"/>
  <c r="AJ108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J118" i="1"/>
  <c r="AK118" i="1"/>
  <c r="AJ119" i="1"/>
  <c r="AK119" i="1"/>
  <c r="AJ120" i="1"/>
  <c r="AK120" i="1"/>
  <c r="AJ121" i="1"/>
  <c r="AK121" i="1"/>
  <c r="AJ122" i="1"/>
  <c r="AK122" i="1"/>
  <c r="AJ123" i="1"/>
  <c r="AK123" i="1"/>
  <c r="AJ124" i="1"/>
  <c r="AK124" i="1"/>
  <c r="AJ125" i="1"/>
  <c r="AK125" i="1"/>
  <c r="AJ126" i="1"/>
  <c r="AK126" i="1"/>
  <c r="AJ127" i="1"/>
  <c r="AK127" i="1"/>
  <c r="AJ128" i="1"/>
  <c r="AK128" i="1"/>
  <c r="AJ129" i="1"/>
  <c r="AK129" i="1"/>
  <c r="AJ130" i="1"/>
  <c r="AK130" i="1"/>
  <c r="AJ131" i="1"/>
  <c r="AK131" i="1"/>
  <c r="AJ132" i="1"/>
  <c r="AK132" i="1"/>
  <c r="AJ133" i="1"/>
  <c r="AK133" i="1"/>
  <c r="AJ134" i="1"/>
  <c r="AK134" i="1"/>
  <c r="AJ135" i="1"/>
  <c r="AK135" i="1"/>
  <c r="AJ136" i="1"/>
  <c r="AK136" i="1"/>
  <c r="AJ137" i="1"/>
  <c r="AK137" i="1"/>
  <c r="AJ138" i="1"/>
  <c r="AK138" i="1"/>
  <c r="AJ139" i="1"/>
  <c r="AK139" i="1"/>
  <c r="AJ140" i="1"/>
  <c r="AK140" i="1"/>
  <c r="AJ141" i="1"/>
  <c r="AK141" i="1"/>
  <c r="AJ142" i="1"/>
  <c r="AK142" i="1"/>
  <c r="AJ143" i="1"/>
  <c r="AK143" i="1"/>
  <c r="AJ144" i="1"/>
  <c r="AK144" i="1"/>
  <c r="AJ145" i="1"/>
  <c r="AK145" i="1"/>
  <c r="AJ146" i="1"/>
  <c r="AK146" i="1"/>
  <c r="AJ147" i="1"/>
  <c r="AK147" i="1"/>
  <c r="AJ148" i="1"/>
  <c r="AK148" i="1"/>
  <c r="AJ149" i="1"/>
  <c r="AK149" i="1"/>
  <c r="AJ150" i="1"/>
  <c r="AK150" i="1"/>
  <c r="AJ151" i="1"/>
  <c r="AK151" i="1"/>
  <c r="AJ152" i="1"/>
  <c r="AK152" i="1"/>
  <c r="AJ153" i="1"/>
  <c r="AK153" i="1"/>
  <c r="AJ154" i="1"/>
  <c r="AK154" i="1"/>
  <c r="AJ155" i="1"/>
  <c r="AK155" i="1"/>
  <c r="AJ156" i="1"/>
  <c r="AK156" i="1"/>
  <c r="AJ157" i="1"/>
  <c r="AK157" i="1"/>
  <c r="AJ158" i="1"/>
  <c r="AK158" i="1"/>
  <c r="AJ159" i="1"/>
  <c r="AK159" i="1"/>
  <c r="AJ160" i="1"/>
  <c r="AK160" i="1"/>
  <c r="AJ161" i="1"/>
  <c r="AK161" i="1"/>
  <c r="AJ162" i="1"/>
  <c r="AK162" i="1"/>
  <c r="AJ163" i="1"/>
  <c r="AK163" i="1"/>
  <c r="AJ164" i="1"/>
  <c r="AK164" i="1"/>
  <c r="AJ165" i="1"/>
  <c r="AK165" i="1"/>
  <c r="AJ166" i="1"/>
  <c r="AK166" i="1"/>
  <c r="AJ167" i="1"/>
  <c r="AK167" i="1"/>
  <c r="AJ168" i="1"/>
  <c r="AK168" i="1"/>
  <c r="AJ169" i="1"/>
  <c r="AK169" i="1"/>
  <c r="AJ170" i="1"/>
  <c r="AK170" i="1"/>
  <c r="AJ171" i="1"/>
  <c r="AK171" i="1"/>
  <c r="AJ172" i="1"/>
  <c r="AK172" i="1"/>
  <c r="AJ173" i="1"/>
  <c r="AK173" i="1"/>
  <c r="AJ174" i="1"/>
  <c r="AK174" i="1"/>
  <c r="AJ175" i="1"/>
  <c r="AK175" i="1"/>
  <c r="AJ176" i="1"/>
  <c r="AK176" i="1"/>
  <c r="AJ177" i="1"/>
  <c r="AK177" i="1"/>
  <c r="AJ178" i="1"/>
  <c r="AK178" i="1"/>
  <c r="AJ179" i="1"/>
  <c r="AK179" i="1"/>
  <c r="AJ180" i="1"/>
  <c r="AK180" i="1"/>
  <c r="AJ181" i="1"/>
  <c r="AK181" i="1"/>
  <c r="AJ182" i="1"/>
  <c r="AK182" i="1"/>
  <c r="AJ183" i="1"/>
  <c r="AK183" i="1"/>
  <c r="AJ184" i="1"/>
  <c r="AK184" i="1"/>
  <c r="AJ185" i="1"/>
  <c r="AK185" i="1"/>
  <c r="AJ186" i="1"/>
  <c r="AK186" i="1"/>
  <c r="AJ187" i="1"/>
  <c r="AK187" i="1"/>
  <c r="AJ188" i="1"/>
  <c r="AK188" i="1"/>
  <c r="AJ189" i="1"/>
  <c r="AK189" i="1"/>
  <c r="AJ190" i="1"/>
  <c r="AK190" i="1"/>
  <c r="AJ191" i="1"/>
  <c r="AK191" i="1"/>
  <c r="AJ192" i="1"/>
  <c r="AK192" i="1"/>
  <c r="AJ193" i="1"/>
  <c r="AK193" i="1"/>
  <c r="AJ194" i="1"/>
  <c r="AK194" i="1"/>
  <c r="AJ195" i="1"/>
  <c r="AK195" i="1"/>
  <c r="AJ196" i="1"/>
  <c r="AK196" i="1"/>
  <c r="AJ197" i="1"/>
  <c r="AK197" i="1"/>
  <c r="AJ198" i="1"/>
  <c r="AK198" i="1"/>
  <c r="AJ199" i="1"/>
  <c r="AK199" i="1"/>
  <c r="AJ200" i="1"/>
  <c r="AK200" i="1"/>
  <c r="AJ201" i="1"/>
  <c r="AK201" i="1"/>
  <c r="AJ202" i="1"/>
  <c r="AK202" i="1"/>
  <c r="AJ3" i="1"/>
  <c r="AK3" i="1"/>
  <c r="AF4" i="1"/>
  <c r="AG4" i="1"/>
  <c r="AH4" i="1"/>
  <c r="AF5" i="1"/>
  <c r="AG5" i="1"/>
  <c r="AH5" i="1"/>
  <c r="AF6" i="1"/>
  <c r="AG6" i="1"/>
  <c r="AH6" i="1"/>
  <c r="AF7" i="1"/>
  <c r="AG7" i="1"/>
  <c r="AH7" i="1"/>
  <c r="AF8" i="1"/>
  <c r="AG8" i="1"/>
  <c r="AH8" i="1"/>
  <c r="AF9" i="1"/>
  <c r="AG9" i="1"/>
  <c r="AH9" i="1"/>
  <c r="AF10" i="1"/>
  <c r="AG10" i="1"/>
  <c r="AH10" i="1"/>
  <c r="AF11" i="1"/>
  <c r="AG11" i="1"/>
  <c r="AH11" i="1"/>
  <c r="AF12" i="1"/>
  <c r="AG12" i="1"/>
  <c r="AH12" i="1"/>
  <c r="AF13" i="1"/>
  <c r="AG13" i="1"/>
  <c r="AH13" i="1"/>
  <c r="AF14" i="1"/>
  <c r="AG14" i="1"/>
  <c r="AH14" i="1"/>
  <c r="AF15" i="1"/>
  <c r="AG15" i="1"/>
  <c r="AH15" i="1"/>
  <c r="AF16" i="1"/>
  <c r="AG16" i="1"/>
  <c r="AH16" i="1"/>
  <c r="AF17" i="1"/>
  <c r="AG17" i="1"/>
  <c r="AH17" i="1"/>
  <c r="AF18" i="1"/>
  <c r="AG18" i="1"/>
  <c r="AH18" i="1"/>
  <c r="AF19" i="1"/>
  <c r="AG19" i="1"/>
  <c r="AH19" i="1"/>
  <c r="AF20" i="1"/>
  <c r="AG20" i="1"/>
  <c r="AH20" i="1"/>
  <c r="AF21" i="1"/>
  <c r="AG21" i="1"/>
  <c r="AH21" i="1"/>
  <c r="AF22" i="1"/>
  <c r="AG22" i="1"/>
  <c r="AH22" i="1"/>
  <c r="AF23" i="1"/>
  <c r="AG23" i="1"/>
  <c r="AH23" i="1"/>
  <c r="AF24" i="1"/>
  <c r="AG24" i="1"/>
  <c r="AH24" i="1"/>
  <c r="AF25" i="1"/>
  <c r="AG25" i="1"/>
  <c r="AH25" i="1"/>
  <c r="AF26" i="1"/>
  <c r="AG26" i="1"/>
  <c r="AH26" i="1"/>
  <c r="AF27" i="1"/>
  <c r="AG27" i="1"/>
  <c r="AH27" i="1"/>
  <c r="AF28" i="1"/>
  <c r="AG28" i="1"/>
  <c r="AH28" i="1"/>
  <c r="AF29" i="1"/>
  <c r="AG29" i="1"/>
  <c r="AH29" i="1"/>
  <c r="AF30" i="1"/>
  <c r="AG30" i="1"/>
  <c r="AH30" i="1"/>
  <c r="AF31" i="1"/>
  <c r="AG31" i="1"/>
  <c r="AH31" i="1"/>
  <c r="AF32" i="1"/>
  <c r="AG32" i="1"/>
  <c r="AH32" i="1"/>
  <c r="AF33" i="1"/>
  <c r="AG33" i="1"/>
  <c r="AH33" i="1"/>
  <c r="AF34" i="1"/>
  <c r="AG34" i="1"/>
  <c r="AH34" i="1"/>
  <c r="AF35" i="1"/>
  <c r="AG35" i="1"/>
  <c r="AH35" i="1"/>
  <c r="AF36" i="1"/>
  <c r="AG36" i="1"/>
  <c r="AH36" i="1"/>
  <c r="AF37" i="1"/>
  <c r="AG37" i="1"/>
  <c r="AH37" i="1"/>
  <c r="AF38" i="1"/>
  <c r="AG38" i="1"/>
  <c r="AH38" i="1"/>
  <c r="AF39" i="1"/>
  <c r="AG39" i="1"/>
  <c r="AH39" i="1"/>
  <c r="AF40" i="1"/>
  <c r="AG40" i="1"/>
  <c r="AH40" i="1"/>
  <c r="AF41" i="1"/>
  <c r="AG41" i="1"/>
  <c r="AH41" i="1"/>
  <c r="AF42" i="1"/>
  <c r="AG42" i="1"/>
  <c r="AH42" i="1"/>
  <c r="AF43" i="1"/>
  <c r="AG43" i="1"/>
  <c r="AH43" i="1"/>
  <c r="AF44" i="1"/>
  <c r="AG44" i="1"/>
  <c r="AH44" i="1"/>
  <c r="AF45" i="1"/>
  <c r="AG45" i="1"/>
  <c r="AH45" i="1"/>
  <c r="AF46" i="1"/>
  <c r="AG46" i="1"/>
  <c r="AH46" i="1"/>
  <c r="AF47" i="1"/>
  <c r="AG47" i="1"/>
  <c r="AH47" i="1"/>
  <c r="AF48" i="1"/>
  <c r="AG48" i="1"/>
  <c r="AH48" i="1"/>
  <c r="AF49" i="1"/>
  <c r="AG49" i="1"/>
  <c r="AH49" i="1"/>
  <c r="AF50" i="1"/>
  <c r="AG50" i="1"/>
  <c r="AH50" i="1"/>
  <c r="AF51" i="1"/>
  <c r="AG51" i="1"/>
  <c r="AH51" i="1"/>
  <c r="AF52" i="1"/>
  <c r="AG52" i="1"/>
  <c r="AH52" i="1"/>
  <c r="AF53" i="1"/>
  <c r="AG53" i="1"/>
  <c r="AH53" i="1"/>
  <c r="AF54" i="1"/>
  <c r="AG54" i="1"/>
  <c r="AH54" i="1"/>
  <c r="AF55" i="1"/>
  <c r="AG55" i="1"/>
  <c r="AH55" i="1"/>
  <c r="AF56" i="1"/>
  <c r="AG56" i="1"/>
  <c r="AH56" i="1"/>
  <c r="AF57" i="1"/>
  <c r="AG57" i="1"/>
  <c r="AH57" i="1"/>
  <c r="AF58" i="1"/>
  <c r="AG58" i="1"/>
  <c r="AH58" i="1"/>
  <c r="AF59" i="1"/>
  <c r="AG59" i="1"/>
  <c r="AH59" i="1"/>
  <c r="AF60" i="1"/>
  <c r="AG60" i="1"/>
  <c r="AH60" i="1"/>
  <c r="AF61" i="1"/>
  <c r="AG61" i="1"/>
  <c r="AH61" i="1"/>
  <c r="AF62" i="1"/>
  <c r="AG62" i="1"/>
  <c r="AH62" i="1"/>
  <c r="AF63" i="1"/>
  <c r="AG63" i="1"/>
  <c r="AH63" i="1"/>
  <c r="AF64" i="1"/>
  <c r="AG64" i="1"/>
  <c r="AH64" i="1"/>
  <c r="AF65" i="1"/>
  <c r="AG65" i="1"/>
  <c r="AH65" i="1"/>
  <c r="AF66" i="1"/>
  <c r="AG66" i="1"/>
  <c r="AH66" i="1"/>
  <c r="AF67" i="1"/>
  <c r="AG67" i="1"/>
  <c r="AH67" i="1"/>
  <c r="AF68" i="1"/>
  <c r="AG68" i="1"/>
  <c r="AH68" i="1"/>
  <c r="AF69" i="1"/>
  <c r="AG69" i="1"/>
  <c r="AH69" i="1"/>
  <c r="AF70" i="1"/>
  <c r="AG70" i="1"/>
  <c r="AH70" i="1"/>
  <c r="AF71" i="1"/>
  <c r="AG71" i="1"/>
  <c r="AH71" i="1"/>
  <c r="AF72" i="1"/>
  <c r="AG72" i="1"/>
  <c r="AH72" i="1"/>
  <c r="AF73" i="1"/>
  <c r="AG73" i="1"/>
  <c r="AH73" i="1"/>
  <c r="AF74" i="1"/>
  <c r="AG74" i="1"/>
  <c r="AH74" i="1"/>
  <c r="AF75" i="1"/>
  <c r="AG75" i="1"/>
  <c r="AH75" i="1"/>
  <c r="AF76" i="1"/>
  <c r="AG76" i="1"/>
  <c r="AH76" i="1"/>
  <c r="AF77" i="1"/>
  <c r="AG77" i="1"/>
  <c r="AH77" i="1"/>
  <c r="AF78" i="1"/>
  <c r="AG78" i="1"/>
  <c r="AH78" i="1"/>
  <c r="AF79" i="1"/>
  <c r="AG79" i="1"/>
  <c r="AH79" i="1"/>
  <c r="AF80" i="1"/>
  <c r="AG80" i="1"/>
  <c r="AH80" i="1"/>
  <c r="AF81" i="1"/>
  <c r="AG81" i="1"/>
  <c r="AH81" i="1"/>
  <c r="AF82" i="1"/>
  <c r="AG82" i="1"/>
  <c r="AH82" i="1"/>
  <c r="AF83" i="1"/>
  <c r="AG83" i="1"/>
  <c r="AH83" i="1"/>
  <c r="AF84" i="1"/>
  <c r="AG84" i="1"/>
  <c r="AH84" i="1"/>
  <c r="AF85" i="1"/>
  <c r="AG85" i="1"/>
  <c r="AH85" i="1"/>
  <c r="AF86" i="1"/>
  <c r="AG86" i="1"/>
  <c r="AH86" i="1"/>
  <c r="AF87" i="1"/>
  <c r="AG87" i="1"/>
  <c r="AH87" i="1"/>
  <c r="AF88" i="1"/>
  <c r="AG88" i="1"/>
  <c r="AH88" i="1"/>
  <c r="AF89" i="1"/>
  <c r="AG89" i="1"/>
  <c r="AH89" i="1"/>
  <c r="AF90" i="1"/>
  <c r="AG90" i="1"/>
  <c r="AH90" i="1"/>
  <c r="AF91" i="1"/>
  <c r="AG91" i="1"/>
  <c r="AH91" i="1"/>
  <c r="AF92" i="1"/>
  <c r="AG92" i="1"/>
  <c r="AH92" i="1"/>
  <c r="AF93" i="1"/>
  <c r="AG93" i="1"/>
  <c r="AH93" i="1"/>
  <c r="AF94" i="1"/>
  <c r="AG94" i="1"/>
  <c r="AH94" i="1"/>
  <c r="AF95" i="1"/>
  <c r="AG95" i="1"/>
  <c r="AH95" i="1"/>
  <c r="AF96" i="1"/>
  <c r="AG96" i="1"/>
  <c r="AH96" i="1"/>
  <c r="AF97" i="1"/>
  <c r="AG97" i="1"/>
  <c r="AH97" i="1"/>
  <c r="AF98" i="1"/>
  <c r="AG98" i="1"/>
  <c r="AH98" i="1"/>
  <c r="AF99" i="1"/>
  <c r="AG99" i="1"/>
  <c r="AH99" i="1"/>
  <c r="AF100" i="1"/>
  <c r="AG100" i="1"/>
  <c r="AH100" i="1"/>
  <c r="AF101" i="1"/>
  <c r="AG101" i="1"/>
  <c r="AH101" i="1"/>
  <c r="AF102" i="1"/>
  <c r="AG102" i="1"/>
  <c r="AH102" i="1"/>
  <c r="AF103" i="1"/>
  <c r="AG103" i="1"/>
  <c r="AH103" i="1"/>
  <c r="AF104" i="1"/>
  <c r="AG104" i="1"/>
  <c r="AH104" i="1"/>
  <c r="AF105" i="1"/>
  <c r="AG105" i="1"/>
  <c r="AH105" i="1"/>
  <c r="AF106" i="1"/>
  <c r="AG106" i="1"/>
  <c r="AH106" i="1"/>
  <c r="AF107" i="1"/>
  <c r="AG107" i="1"/>
  <c r="AH107" i="1"/>
  <c r="AF108" i="1"/>
  <c r="AG108" i="1"/>
  <c r="AH108" i="1"/>
  <c r="AF109" i="1"/>
  <c r="AG109" i="1"/>
  <c r="AH109" i="1"/>
  <c r="AF110" i="1"/>
  <c r="AG110" i="1"/>
  <c r="AH110" i="1"/>
  <c r="AF111" i="1"/>
  <c r="AG111" i="1"/>
  <c r="AH111" i="1"/>
  <c r="AF112" i="1"/>
  <c r="AG112" i="1"/>
  <c r="AH112" i="1"/>
  <c r="AF113" i="1"/>
  <c r="AG113" i="1"/>
  <c r="AH113" i="1"/>
  <c r="AF114" i="1"/>
  <c r="AG114" i="1"/>
  <c r="AH114" i="1"/>
  <c r="AF115" i="1"/>
  <c r="AG115" i="1"/>
  <c r="AH115" i="1"/>
  <c r="AF116" i="1"/>
  <c r="AG116" i="1"/>
  <c r="AH116" i="1"/>
  <c r="AF117" i="1"/>
  <c r="AG117" i="1"/>
  <c r="AH117" i="1"/>
  <c r="AF118" i="1"/>
  <c r="AG118" i="1"/>
  <c r="AH118" i="1"/>
  <c r="AF119" i="1"/>
  <c r="AG119" i="1"/>
  <c r="AH119" i="1"/>
  <c r="AF120" i="1"/>
  <c r="AG120" i="1"/>
  <c r="AH120" i="1"/>
  <c r="AF121" i="1"/>
  <c r="AG121" i="1"/>
  <c r="AH121" i="1"/>
  <c r="AF122" i="1"/>
  <c r="AG122" i="1"/>
  <c r="AH122" i="1"/>
  <c r="AF123" i="1"/>
  <c r="AG123" i="1"/>
  <c r="AH123" i="1"/>
  <c r="AF124" i="1"/>
  <c r="AG124" i="1"/>
  <c r="AH124" i="1"/>
  <c r="AF125" i="1"/>
  <c r="AG125" i="1"/>
  <c r="AH125" i="1"/>
  <c r="AF126" i="1"/>
  <c r="AG126" i="1"/>
  <c r="AH126" i="1"/>
  <c r="AF127" i="1"/>
  <c r="AG127" i="1"/>
  <c r="AH127" i="1"/>
  <c r="AF128" i="1"/>
  <c r="AG128" i="1"/>
  <c r="AH128" i="1"/>
  <c r="AF129" i="1"/>
  <c r="AG129" i="1"/>
  <c r="AH129" i="1"/>
  <c r="AF130" i="1"/>
  <c r="AG130" i="1"/>
  <c r="AH130" i="1"/>
  <c r="AF131" i="1"/>
  <c r="AG131" i="1"/>
  <c r="AH131" i="1"/>
  <c r="AF132" i="1"/>
  <c r="AG132" i="1"/>
  <c r="AH132" i="1"/>
  <c r="AF133" i="1"/>
  <c r="AG133" i="1"/>
  <c r="AH133" i="1"/>
  <c r="AF134" i="1"/>
  <c r="AG134" i="1"/>
  <c r="AH134" i="1"/>
  <c r="AF135" i="1"/>
  <c r="AG135" i="1"/>
  <c r="AH135" i="1"/>
  <c r="AF136" i="1"/>
  <c r="AG136" i="1"/>
  <c r="AH136" i="1"/>
  <c r="AF137" i="1"/>
  <c r="AG137" i="1"/>
  <c r="AH137" i="1"/>
  <c r="AF138" i="1"/>
  <c r="AG138" i="1"/>
  <c r="AH138" i="1"/>
  <c r="AF139" i="1"/>
  <c r="AG139" i="1"/>
  <c r="AH139" i="1"/>
  <c r="AF140" i="1"/>
  <c r="AG140" i="1"/>
  <c r="AH140" i="1"/>
  <c r="AF141" i="1"/>
  <c r="AG141" i="1"/>
  <c r="AH141" i="1"/>
  <c r="AF142" i="1"/>
  <c r="AG142" i="1"/>
  <c r="AH142" i="1"/>
  <c r="AF143" i="1"/>
  <c r="AG143" i="1"/>
  <c r="AH143" i="1"/>
  <c r="AF144" i="1"/>
  <c r="AG144" i="1"/>
  <c r="AH144" i="1"/>
  <c r="AF145" i="1"/>
  <c r="AG145" i="1"/>
  <c r="AH145" i="1"/>
  <c r="AF146" i="1"/>
  <c r="AG146" i="1"/>
  <c r="AH146" i="1"/>
  <c r="AF147" i="1"/>
  <c r="AG147" i="1"/>
  <c r="AH147" i="1"/>
  <c r="AF148" i="1"/>
  <c r="AG148" i="1"/>
  <c r="AH148" i="1"/>
  <c r="AF149" i="1"/>
  <c r="AG149" i="1"/>
  <c r="AH149" i="1"/>
  <c r="AF150" i="1"/>
  <c r="AG150" i="1"/>
  <c r="AH150" i="1"/>
  <c r="AF151" i="1"/>
  <c r="AG151" i="1"/>
  <c r="AH151" i="1"/>
  <c r="AF152" i="1"/>
  <c r="AG152" i="1"/>
  <c r="AH152" i="1"/>
  <c r="AF153" i="1"/>
  <c r="AG153" i="1"/>
  <c r="AH153" i="1"/>
  <c r="AF154" i="1"/>
  <c r="AG154" i="1"/>
  <c r="AH154" i="1"/>
  <c r="AF155" i="1"/>
  <c r="AG155" i="1"/>
  <c r="AH155" i="1"/>
  <c r="AF156" i="1"/>
  <c r="AG156" i="1"/>
  <c r="AH156" i="1"/>
  <c r="AF157" i="1"/>
  <c r="AG157" i="1"/>
  <c r="AH157" i="1"/>
  <c r="AF158" i="1"/>
  <c r="AG158" i="1"/>
  <c r="AH158" i="1"/>
  <c r="AF159" i="1"/>
  <c r="AG159" i="1"/>
  <c r="AH159" i="1"/>
  <c r="AF160" i="1"/>
  <c r="AG160" i="1"/>
  <c r="AH160" i="1"/>
  <c r="AF161" i="1"/>
  <c r="AG161" i="1"/>
  <c r="AH161" i="1"/>
  <c r="AF162" i="1"/>
  <c r="AG162" i="1"/>
  <c r="AH162" i="1"/>
  <c r="AF163" i="1"/>
  <c r="AG163" i="1"/>
  <c r="AH163" i="1"/>
  <c r="AF164" i="1"/>
  <c r="AG164" i="1"/>
  <c r="AH164" i="1"/>
  <c r="AF165" i="1"/>
  <c r="AG165" i="1"/>
  <c r="AH165" i="1"/>
  <c r="AF166" i="1"/>
  <c r="AG166" i="1"/>
  <c r="AH166" i="1"/>
  <c r="AF167" i="1"/>
  <c r="AG167" i="1"/>
  <c r="AH167" i="1"/>
  <c r="AF168" i="1"/>
  <c r="AG168" i="1"/>
  <c r="AH168" i="1"/>
  <c r="AF169" i="1"/>
  <c r="AG169" i="1"/>
  <c r="AH169" i="1"/>
  <c r="AF170" i="1"/>
  <c r="AG170" i="1"/>
  <c r="AH170" i="1"/>
  <c r="AF171" i="1"/>
  <c r="AG171" i="1"/>
  <c r="AH171" i="1"/>
  <c r="AF172" i="1"/>
  <c r="AG172" i="1"/>
  <c r="AH172" i="1"/>
  <c r="AF173" i="1"/>
  <c r="AG173" i="1"/>
  <c r="AH173" i="1"/>
  <c r="AF174" i="1"/>
  <c r="AG174" i="1"/>
  <c r="AH174" i="1"/>
  <c r="AF175" i="1"/>
  <c r="AG175" i="1"/>
  <c r="AH175" i="1"/>
  <c r="AF176" i="1"/>
  <c r="AG176" i="1"/>
  <c r="AH176" i="1"/>
  <c r="AF177" i="1"/>
  <c r="AG177" i="1"/>
  <c r="AH177" i="1"/>
  <c r="AF178" i="1"/>
  <c r="AG178" i="1"/>
  <c r="AH178" i="1"/>
  <c r="AF179" i="1"/>
  <c r="AG179" i="1"/>
  <c r="AH179" i="1"/>
  <c r="AF180" i="1"/>
  <c r="AG180" i="1"/>
  <c r="AH180" i="1"/>
  <c r="AF181" i="1"/>
  <c r="AG181" i="1"/>
  <c r="AH181" i="1"/>
  <c r="AF182" i="1"/>
  <c r="AG182" i="1"/>
  <c r="AH182" i="1"/>
  <c r="AF183" i="1"/>
  <c r="AG183" i="1"/>
  <c r="AH183" i="1"/>
  <c r="AF184" i="1"/>
  <c r="AG184" i="1"/>
  <c r="AH184" i="1"/>
  <c r="AF185" i="1"/>
  <c r="AG185" i="1"/>
  <c r="AH185" i="1"/>
  <c r="AF186" i="1"/>
  <c r="AG186" i="1"/>
  <c r="AH186" i="1"/>
  <c r="AF187" i="1"/>
  <c r="AG187" i="1"/>
  <c r="AH187" i="1"/>
  <c r="AF188" i="1"/>
  <c r="AG188" i="1"/>
  <c r="AH188" i="1"/>
  <c r="AF189" i="1"/>
  <c r="AG189" i="1"/>
  <c r="AH189" i="1"/>
  <c r="AF190" i="1"/>
  <c r="AG190" i="1"/>
  <c r="AH190" i="1"/>
  <c r="AF191" i="1"/>
  <c r="AG191" i="1"/>
  <c r="AH191" i="1"/>
  <c r="AF192" i="1"/>
  <c r="AG192" i="1"/>
  <c r="AH192" i="1"/>
  <c r="AF193" i="1"/>
  <c r="AG193" i="1"/>
  <c r="AH193" i="1"/>
  <c r="AF194" i="1"/>
  <c r="AG194" i="1"/>
  <c r="AH194" i="1"/>
  <c r="AF195" i="1"/>
  <c r="AG195" i="1"/>
  <c r="AH195" i="1"/>
  <c r="AF196" i="1"/>
  <c r="AG196" i="1"/>
  <c r="AH196" i="1"/>
  <c r="AF197" i="1"/>
  <c r="AG197" i="1"/>
  <c r="AH197" i="1"/>
  <c r="AF198" i="1"/>
  <c r="AG198" i="1"/>
  <c r="AH198" i="1"/>
  <c r="AF199" i="1"/>
  <c r="AG199" i="1"/>
  <c r="AH199" i="1"/>
  <c r="AF200" i="1"/>
  <c r="AG200" i="1"/>
  <c r="AH200" i="1"/>
  <c r="AF201" i="1"/>
  <c r="AG201" i="1"/>
  <c r="AH201" i="1"/>
  <c r="AF202" i="1"/>
  <c r="AG202" i="1"/>
  <c r="AH202" i="1"/>
  <c r="AF3" i="1"/>
  <c r="AG3" i="1"/>
  <c r="AH3" i="1"/>
  <c r="AB4" i="1"/>
  <c r="AC4" i="1"/>
  <c r="AD4" i="1"/>
  <c r="AB5" i="1"/>
  <c r="AC5" i="1"/>
  <c r="AD5" i="1"/>
  <c r="AB6" i="1"/>
  <c r="AC6" i="1"/>
  <c r="AD6" i="1"/>
  <c r="AB7" i="1"/>
  <c r="AC7" i="1"/>
  <c r="AD7" i="1"/>
  <c r="AB8" i="1"/>
  <c r="AC8" i="1"/>
  <c r="AD8" i="1"/>
  <c r="AB9" i="1"/>
  <c r="AC9" i="1"/>
  <c r="AD9" i="1"/>
  <c r="AB10" i="1"/>
  <c r="AC10" i="1"/>
  <c r="AD10" i="1"/>
  <c r="AB11" i="1"/>
  <c r="AC11" i="1"/>
  <c r="AD11" i="1"/>
  <c r="AB12" i="1"/>
  <c r="AC12" i="1"/>
  <c r="AD12" i="1"/>
  <c r="AB13" i="1"/>
  <c r="AC13" i="1"/>
  <c r="AD13" i="1"/>
  <c r="AB14" i="1"/>
  <c r="AC14" i="1"/>
  <c r="AD14" i="1"/>
  <c r="AB15" i="1"/>
  <c r="AC15" i="1"/>
  <c r="AD15" i="1"/>
  <c r="AB16" i="1"/>
  <c r="AC16" i="1"/>
  <c r="AD16" i="1"/>
  <c r="AB17" i="1"/>
  <c r="AC17" i="1"/>
  <c r="AD17" i="1"/>
  <c r="AB18" i="1"/>
  <c r="AC18" i="1"/>
  <c r="AD18" i="1"/>
  <c r="AB19" i="1"/>
  <c r="AC19" i="1"/>
  <c r="AD19" i="1"/>
  <c r="AB20" i="1"/>
  <c r="AC20" i="1"/>
  <c r="AD20" i="1"/>
  <c r="AB21" i="1"/>
  <c r="AC21" i="1"/>
  <c r="AD21" i="1"/>
  <c r="AB22" i="1"/>
  <c r="AC22" i="1"/>
  <c r="AD22" i="1"/>
  <c r="AB23" i="1"/>
  <c r="AC23" i="1"/>
  <c r="AD23" i="1"/>
  <c r="AB24" i="1"/>
  <c r="AC24" i="1"/>
  <c r="AD24" i="1"/>
  <c r="AB25" i="1"/>
  <c r="AC25" i="1"/>
  <c r="AD25" i="1"/>
  <c r="AB26" i="1"/>
  <c r="AC26" i="1"/>
  <c r="AD26" i="1"/>
  <c r="AB27" i="1"/>
  <c r="AC27" i="1"/>
  <c r="AD27" i="1"/>
  <c r="AB28" i="1"/>
  <c r="AC28" i="1"/>
  <c r="AD28" i="1"/>
  <c r="AB29" i="1"/>
  <c r="AC29" i="1"/>
  <c r="AD29" i="1"/>
  <c r="AB30" i="1"/>
  <c r="AC30" i="1"/>
  <c r="AD30" i="1"/>
  <c r="AB31" i="1"/>
  <c r="AC31" i="1"/>
  <c r="AD31" i="1"/>
  <c r="AB32" i="1"/>
  <c r="AC32" i="1"/>
  <c r="AD32" i="1"/>
  <c r="AB33" i="1"/>
  <c r="AC33" i="1"/>
  <c r="AD33" i="1"/>
  <c r="AB34" i="1"/>
  <c r="AC34" i="1"/>
  <c r="AD34" i="1"/>
  <c r="AB35" i="1"/>
  <c r="AC35" i="1"/>
  <c r="AD35" i="1"/>
  <c r="AB36" i="1"/>
  <c r="AC36" i="1"/>
  <c r="AD36" i="1"/>
  <c r="AB37" i="1"/>
  <c r="AC37" i="1"/>
  <c r="AD37" i="1"/>
  <c r="AB38" i="1"/>
  <c r="AC38" i="1"/>
  <c r="AD38" i="1"/>
  <c r="AB39" i="1"/>
  <c r="AC39" i="1"/>
  <c r="AD39" i="1"/>
  <c r="AB40" i="1"/>
  <c r="AC40" i="1"/>
  <c r="AD40" i="1"/>
  <c r="AB41" i="1"/>
  <c r="AC41" i="1"/>
  <c r="AD41" i="1"/>
  <c r="AB42" i="1"/>
  <c r="AC42" i="1"/>
  <c r="AD42" i="1"/>
  <c r="AB43" i="1"/>
  <c r="AC43" i="1"/>
  <c r="AD43" i="1"/>
  <c r="AB44" i="1"/>
  <c r="AC44" i="1"/>
  <c r="AD44" i="1"/>
  <c r="AB45" i="1"/>
  <c r="AC45" i="1"/>
  <c r="AD45" i="1"/>
  <c r="AB46" i="1"/>
  <c r="AC46" i="1"/>
  <c r="AD46" i="1"/>
  <c r="AB47" i="1"/>
  <c r="AC47" i="1"/>
  <c r="AD47" i="1"/>
  <c r="AB48" i="1"/>
  <c r="AC48" i="1"/>
  <c r="AD48" i="1"/>
  <c r="AB49" i="1"/>
  <c r="AC49" i="1"/>
  <c r="AD49" i="1"/>
  <c r="AB50" i="1"/>
  <c r="AC50" i="1"/>
  <c r="AD50" i="1"/>
  <c r="AB51" i="1"/>
  <c r="AC51" i="1"/>
  <c r="AD51" i="1"/>
  <c r="AB52" i="1"/>
  <c r="AC52" i="1"/>
  <c r="AD52" i="1"/>
  <c r="AB53" i="1"/>
  <c r="AC53" i="1"/>
  <c r="AD53" i="1"/>
  <c r="AB54" i="1"/>
  <c r="AC54" i="1"/>
  <c r="AD54" i="1"/>
  <c r="AB55" i="1"/>
  <c r="AC55" i="1"/>
  <c r="AD55" i="1"/>
  <c r="AB56" i="1"/>
  <c r="AC56" i="1"/>
  <c r="AD56" i="1"/>
  <c r="AB57" i="1"/>
  <c r="AC57" i="1"/>
  <c r="AD57" i="1"/>
  <c r="AB58" i="1"/>
  <c r="AC58" i="1"/>
  <c r="AD58" i="1"/>
  <c r="AB59" i="1"/>
  <c r="AC59" i="1"/>
  <c r="AD59" i="1"/>
  <c r="AB60" i="1"/>
  <c r="AC60" i="1"/>
  <c r="AD60" i="1"/>
  <c r="AB61" i="1"/>
  <c r="AC61" i="1"/>
  <c r="AD61" i="1"/>
  <c r="AB62" i="1"/>
  <c r="AC62" i="1"/>
  <c r="AD62" i="1"/>
  <c r="AB63" i="1"/>
  <c r="AC63" i="1"/>
  <c r="AD63" i="1"/>
  <c r="AB64" i="1"/>
  <c r="AC64" i="1"/>
  <c r="AD64" i="1"/>
  <c r="AB65" i="1"/>
  <c r="AC65" i="1"/>
  <c r="AD65" i="1"/>
  <c r="AB66" i="1"/>
  <c r="AC66" i="1"/>
  <c r="AD66" i="1"/>
  <c r="AB67" i="1"/>
  <c r="AC67" i="1"/>
  <c r="AD67" i="1"/>
  <c r="AB68" i="1"/>
  <c r="AC68" i="1"/>
  <c r="AD68" i="1"/>
  <c r="AB69" i="1"/>
  <c r="AC69" i="1"/>
  <c r="AD69" i="1"/>
  <c r="AB70" i="1"/>
  <c r="AC70" i="1"/>
  <c r="AD70" i="1"/>
  <c r="AB71" i="1"/>
  <c r="AC71" i="1"/>
  <c r="AD71" i="1"/>
  <c r="AB72" i="1"/>
  <c r="AC72" i="1"/>
  <c r="AD72" i="1"/>
  <c r="AB73" i="1"/>
  <c r="AC73" i="1"/>
  <c r="AD73" i="1"/>
  <c r="AB74" i="1"/>
  <c r="AC74" i="1"/>
  <c r="AD74" i="1"/>
  <c r="AB75" i="1"/>
  <c r="AC75" i="1"/>
  <c r="AD75" i="1"/>
  <c r="AB76" i="1"/>
  <c r="AC76" i="1"/>
  <c r="AD76" i="1"/>
  <c r="AB77" i="1"/>
  <c r="AC77" i="1"/>
  <c r="AD77" i="1"/>
  <c r="AB78" i="1"/>
  <c r="AC78" i="1"/>
  <c r="AD78" i="1"/>
  <c r="AB79" i="1"/>
  <c r="AC79" i="1"/>
  <c r="AD79" i="1"/>
  <c r="AB80" i="1"/>
  <c r="AC80" i="1"/>
  <c r="AD80" i="1"/>
  <c r="AB81" i="1"/>
  <c r="AC81" i="1"/>
  <c r="AD81" i="1"/>
  <c r="AB82" i="1"/>
  <c r="AC82" i="1"/>
  <c r="AD82" i="1"/>
  <c r="AB83" i="1"/>
  <c r="AC83" i="1"/>
  <c r="AD83" i="1"/>
  <c r="AB84" i="1"/>
  <c r="AC84" i="1"/>
  <c r="AD84" i="1"/>
  <c r="AB85" i="1"/>
  <c r="AC85" i="1"/>
  <c r="AD85" i="1"/>
  <c r="AB86" i="1"/>
  <c r="AC86" i="1"/>
  <c r="AD86" i="1"/>
  <c r="AB87" i="1"/>
  <c r="AC87" i="1"/>
  <c r="AD87" i="1"/>
  <c r="AB88" i="1"/>
  <c r="AC88" i="1"/>
  <c r="AD88" i="1"/>
  <c r="AB89" i="1"/>
  <c r="AC89" i="1"/>
  <c r="AD89" i="1"/>
  <c r="AB90" i="1"/>
  <c r="AC90" i="1"/>
  <c r="AD90" i="1"/>
  <c r="AB91" i="1"/>
  <c r="AC91" i="1"/>
  <c r="AD91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104" i="1"/>
  <c r="AB105" i="1"/>
  <c r="AC105" i="1"/>
  <c r="AD105" i="1"/>
  <c r="AB106" i="1"/>
  <c r="AC106" i="1"/>
  <c r="AD106" i="1"/>
  <c r="AB107" i="1"/>
  <c r="AC107" i="1"/>
  <c r="AD107" i="1"/>
  <c r="AB108" i="1"/>
  <c r="AC108" i="1"/>
  <c r="AD108" i="1"/>
  <c r="AB109" i="1"/>
  <c r="AC109" i="1"/>
  <c r="AD109" i="1"/>
  <c r="AB110" i="1"/>
  <c r="AC110" i="1"/>
  <c r="AD110" i="1"/>
  <c r="AB111" i="1"/>
  <c r="AC111" i="1"/>
  <c r="AD111" i="1"/>
  <c r="AB112" i="1"/>
  <c r="AC112" i="1"/>
  <c r="AD112" i="1"/>
  <c r="AB113" i="1"/>
  <c r="AC113" i="1"/>
  <c r="AD113" i="1"/>
  <c r="AB114" i="1"/>
  <c r="AC114" i="1"/>
  <c r="AD114" i="1"/>
  <c r="AB115" i="1"/>
  <c r="AC115" i="1"/>
  <c r="AD115" i="1"/>
  <c r="AB116" i="1"/>
  <c r="AC116" i="1"/>
  <c r="AD116" i="1"/>
  <c r="AB117" i="1"/>
  <c r="AC117" i="1"/>
  <c r="AD117" i="1"/>
  <c r="AB118" i="1"/>
  <c r="AC118" i="1"/>
  <c r="AD118" i="1"/>
  <c r="AB119" i="1"/>
  <c r="AC119" i="1"/>
  <c r="AD119" i="1"/>
  <c r="AB120" i="1"/>
  <c r="AC120" i="1"/>
  <c r="AD120" i="1"/>
  <c r="AB121" i="1"/>
  <c r="AC121" i="1"/>
  <c r="AD121" i="1"/>
  <c r="AB122" i="1"/>
  <c r="AC122" i="1"/>
  <c r="AD122" i="1"/>
  <c r="AB123" i="1"/>
  <c r="AC123" i="1"/>
  <c r="AD123" i="1"/>
  <c r="AB124" i="1"/>
  <c r="AC124" i="1"/>
  <c r="AD124" i="1"/>
  <c r="AB125" i="1"/>
  <c r="AC125" i="1"/>
  <c r="AD125" i="1"/>
  <c r="AB126" i="1"/>
  <c r="AC126" i="1"/>
  <c r="AD126" i="1"/>
  <c r="AB127" i="1"/>
  <c r="AC127" i="1"/>
  <c r="AD127" i="1"/>
  <c r="AB128" i="1"/>
  <c r="AC128" i="1"/>
  <c r="AD128" i="1"/>
  <c r="AB129" i="1"/>
  <c r="AC129" i="1"/>
  <c r="AD129" i="1"/>
  <c r="AB130" i="1"/>
  <c r="AC130" i="1"/>
  <c r="AD130" i="1"/>
  <c r="AB131" i="1"/>
  <c r="AC131" i="1"/>
  <c r="AD131" i="1"/>
  <c r="AB132" i="1"/>
  <c r="AC132" i="1"/>
  <c r="AD132" i="1"/>
  <c r="AB133" i="1"/>
  <c r="AC133" i="1"/>
  <c r="AD133" i="1"/>
  <c r="AB134" i="1"/>
  <c r="AC134" i="1"/>
  <c r="AD134" i="1"/>
  <c r="AB135" i="1"/>
  <c r="AC135" i="1"/>
  <c r="AD135" i="1"/>
  <c r="AB136" i="1"/>
  <c r="AC136" i="1"/>
  <c r="AD136" i="1"/>
  <c r="AB137" i="1"/>
  <c r="AC137" i="1"/>
  <c r="AD137" i="1"/>
  <c r="AB138" i="1"/>
  <c r="AC138" i="1"/>
  <c r="AD138" i="1"/>
  <c r="AB139" i="1"/>
  <c r="AC139" i="1"/>
  <c r="AD139" i="1"/>
  <c r="AB140" i="1"/>
  <c r="AC140" i="1"/>
  <c r="AD140" i="1"/>
  <c r="AB141" i="1"/>
  <c r="AC141" i="1"/>
  <c r="AD141" i="1"/>
  <c r="AB142" i="1"/>
  <c r="AC142" i="1"/>
  <c r="AD142" i="1"/>
  <c r="AB143" i="1"/>
  <c r="AC143" i="1"/>
  <c r="AD143" i="1"/>
  <c r="AB144" i="1"/>
  <c r="AC144" i="1"/>
  <c r="AD144" i="1"/>
  <c r="AB145" i="1"/>
  <c r="AC145" i="1"/>
  <c r="AD145" i="1"/>
  <c r="AB146" i="1"/>
  <c r="AC146" i="1"/>
  <c r="AD146" i="1"/>
  <c r="AB147" i="1"/>
  <c r="AC147" i="1"/>
  <c r="AD147" i="1"/>
  <c r="AB148" i="1"/>
  <c r="AC148" i="1"/>
  <c r="AD148" i="1"/>
  <c r="AB149" i="1"/>
  <c r="AC149" i="1"/>
  <c r="AD149" i="1"/>
  <c r="AB150" i="1"/>
  <c r="AC150" i="1"/>
  <c r="AD150" i="1"/>
  <c r="AB151" i="1"/>
  <c r="AC151" i="1"/>
  <c r="AD151" i="1"/>
  <c r="AB152" i="1"/>
  <c r="AC152" i="1"/>
  <c r="AD152" i="1"/>
  <c r="AB153" i="1"/>
  <c r="AC153" i="1"/>
  <c r="AD153" i="1"/>
  <c r="AB154" i="1"/>
  <c r="AC154" i="1"/>
  <c r="AD154" i="1"/>
  <c r="AB155" i="1"/>
  <c r="AC155" i="1"/>
  <c r="AD155" i="1"/>
  <c r="AB156" i="1"/>
  <c r="AC156" i="1"/>
  <c r="AD156" i="1"/>
  <c r="AB157" i="1"/>
  <c r="AC157" i="1"/>
  <c r="AD157" i="1"/>
  <c r="AB158" i="1"/>
  <c r="AC158" i="1"/>
  <c r="AD158" i="1"/>
  <c r="AB159" i="1"/>
  <c r="AC159" i="1"/>
  <c r="AD159" i="1"/>
  <c r="AB160" i="1"/>
  <c r="AC160" i="1"/>
  <c r="AD160" i="1"/>
  <c r="AB161" i="1"/>
  <c r="AC161" i="1"/>
  <c r="AD161" i="1"/>
  <c r="AB162" i="1"/>
  <c r="AC162" i="1"/>
  <c r="AD162" i="1"/>
  <c r="AB163" i="1"/>
  <c r="AC163" i="1"/>
  <c r="AD163" i="1"/>
  <c r="AB164" i="1"/>
  <c r="AC164" i="1"/>
  <c r="AD164" i="1"/>
  <c r="AB165" i="1"/>
  <c r="AC165" i="1"/>
  <c r="AD165" i="1"/>
  <c r="AB166" i="1"/>
  <c r="AC166" i="1"/>
  <c r="AD166" i="1"/>
  <c r="AB167" i="1"/>
  <c r="AC167" i="1"/>
  <c r="AD167" i="1"/>
  <c r="AB168" i="1"/>
  <c r="AC168" i="1"/>
  <c r="AD168" i="1"/>
  <c r="AB169" i="1"/>
  <c r="AC169" i="1"/>
  <c r="AD169" i="1"/>
  <c r="AB170" i="1"/>
  <c r="AC170" i="1"/>
  <c r="AD170" i="1"/>
  <c r="AB171" i="1"/>
  <c r="AC171" i="1"/>
  <c r="AD171" i="1"/>
  <c r="AB172" i="1"/>
  <c r="AC172" i="1"/>
  <c r="AD172" i="1"/>
  <c r="AB173" i="1"/>
  <c r="AC173" i="1"/>
  <c r="AD173" i="1"/>
  <c r="AB174" i="1"/>
  <c r="AC174" i="1"/>
  <c r="AD174" i="1"/>
  <c r="AB175" i="1"/>
  <c r="AC175" i="1"/>
  <c r="AD175" i="1"/>
  <c r="AB176" i="1"/>
  <c r="AC176" i="1"/>
  <c r="AD176" i="1"/>
  <c r="AB177" i="1"/>
  <c r="AC177" i="1"/>
  <c r="AD177" i="1"/>
  <c r="AB178" i="1"/>
  <c r="AC178" i="1"/>
  <c r="AD178" i="1"/>
  <c r="AB179" i="1"/>
  <c r="AC179" i="1"/>
  <c r="AD179" i="1"/>
  <c r="AB180" i="1"/>
  <c r="AC180" i="1"/>
  <c r="AD180" i="1"/>
  <c r="AB181" i="1"/>
  <c r="AC181" i="1"/>
  <c r="AD181" i="1"/>
  <c r="AB182" i="1"/>
  <c r="AC182" i="1"/>
  <c r="AD182" i="1"/>
  <c r="AB183" i="1"/>
  <c r="AC183" i="1"/>
  <c r="AD183" i="1"/>
  <c r="AB184" i="1"/>
  <c r="AC184" i="1"/>
  <c r="AD184" i="1"/>
  <c r="AB185" i="1"/>
  <c r="AC185" i="1"/>
  <c r="AD185" i="1"/>
  <c r="AB186" i="1"/>
  <c r="AC186" i="1"/>
  <c r="AD186" i="1"/>
  <c r="AB187" i="1"/>
  <c r="AC187" i="1"/>
  <c r="AD187" i="1"/>
  <c r="AB188" i="1"/>
  <c r="AC188" i="1"/>
  <c r="AD188" i="1"/>
  <c r="AB189" i="1"/>
  <c r="AC189" i="1"/>
  <c r="AD189" i="1"/>
  <c r="AB190" i="1"/>
  <c r="AC190" i="1"/>
  <c r="AD190" i="1"/>
  <c r="AB191" i="1"/>
  <c r="AC191" i="1"/>
  <c r="AD191" i="1"/>
  <c r="AB192" i="1"/>
  <c r="AC192" i="1"/>
  <c r="AD192" i="1"/>
  <c r="AB193" i="1"/>
  <c r="AC193" i="1"/>
  <c r="AD193" i="1"/>
  <c r="AB194" i="1"/>
  <c r="AC194" i="1"/>
  <c r="AD194" i="1"/>
  <c r="AB195" i="1"/>
  <c r="AC195" i="1"/>
  <c r="AD195" i="1"/>
  <c r="AB196" i="1"/>
  <c r="AC196" i="1"/>
  <c r="AD196" i="1"/>
  <c r="AB197" i="1"/>
  <c r="AC197" i="1"/>
  <c r="AD197" i="1"/>
  <c r="AB198" i="1"/>
  <c r="AC198" i="1"/>
  <c r="AD198" i="1"/>
  <c r="AB199" i="1"/>
  <c r="AC199" i="1"/>
  <c r="AD199" i="1"/>
  <c r="AB200" i="1"/>
  <c r="AC200" i="1"/>
  <c r="AD200" i="1"/>
  <c r="AB201" i="1"/>
  <c r="AC201" i="1"/>
  <c r="AD201" i="1"/>
  <c r="AB202" i="1"/>
  <c r="AC202" i="1"/>
  <c r="AD202" i="1"/>
  <c r="AB3" i="1"/>
  <c r="AC3" i="1"/>
  <c r="AD3" i="1"/>
  <c r="J4" i="1"/>
  <c r="K4" i="1"/>
  <c r="L4" i="1"/>
  <c r="N4" i="1"/>
  <c r="O4" i="1"/>
  <c r="Q4" i="1"/>
  <c r="R4" i="1"/>
  <c r="T4" i="1"/>
  <c r="U4" i="1"/>
  <c r="V4" i="1"/>
  <c r="X4" i="1"/>
  <c r="Y4" i="1"/>
  <c r="Z4" i="1"/>
  <c r="J5" i="1"/>
  <c r="K5" i="1"/>
  <c r="L5" i="1"/>
  <c r="N5" i="1"/>
  <c r="O5" i="1"/>
  <c r="Q5" i="1"/>
  <c r="R5" i="1"/>
  <c r="T5" i="1"/>
  <c r="U5" i="1"/>
  <c r="V5" i="1"/>
  <c r="X5" i="1"/>
  <c r="Y5" i="1"/>
  <c r="Z5" i="1"/>
  <c r="J6" i="1"/>
  <c r="K6" i="1"/>
  <c r="L6" i="1"/>
  <c r="N6" i="1"/>
  <c r="O6" i="1"/>
  <c r="Q6" i="1"/>
  <c r="R6" i="1"/>
  <c r="T6" i="1"/>
  <c r="U6" i="1"/>
  <c r="V6" i="1"/>
  <c r="X6" i="1"/>
  <c r="Y6" i="1"/>
  <c r="Z6" i="1"/>
  <c r="J7" i="1"/>
  <c r="K7" i="1"/>
  <c r="L7" i="1"/>
  <c r="N7" i="1"/>
  <c r="O7" i="1"/>
  <c r="Q7" i="1"/>
  <c r="R7" i="1"/>
  <c r="T7" i="1"/>
  <c r="U7" i="1"/>
  <c r="V7" i="1"/>
  <c r="X7" i="1"/>
  <c r="Y7" i="1"/>
  <c r="Z7" i="1"/>
  <c r="J8" i="1"/>
  <c r="K8" i="1"/>
  <c r="L8" i="1"/>
  <c r="N8" i="1"/>
  <c r="O8" i="1"/>
  <c r="Q8" i="1"/>
  <c r="R8" i="1"/>
  <c r="T8" i="1"/>
  <c r="U8" i="1"/>
  <c r="V8" i="1"/>
  <c r="X8" i="1"/>
  <c r="Y8" i="1"/>
  <c r="Z8" i="1"/>
  <c r="J9" i="1"/>
  <c r="K9" i="1"/>
  <c r="L9" i="1"/>
  <c r="N9" i="1"/>
  <c r="O9" i="1"/>
  <c r="Q9" i="1"/>
  <c r="R9" i="1"/>
  <c r="T9" i="1"/>
  <c r="U9" i="1"/>
  <c r="V9" i="1"/>
  <c r="X9" i="1"/>
  <c r="Y9" i="1"/>
  <c r="Z9" i="1"/>
  <c r="J10" i="1"/>
  <c r="K10" i="1"/>
  <c r="L10" i="1"/>
  <c r="N10" i="1"/>
  <c r="O10" i="1"/>
  <c r="Q10" i="1"/>
  <c r="R10" i="1"/>
  <c r="T10" i="1"/>
  <c r="U10" i="1"/>
  <c r="V10" i="1"/>
  <c r="X10" i="1"/>
  <c r="Y10" i="1"/>
  <c r="Z10" i="1"/>
  <c r="J11" i="1"/>
  <c r="K11" i="1"/>
  <c r="L11" i="1"/>
  <c r="N11" i="1"/>
  <c r="O11" i="1"/>
  <c r="Q11" i="1"/>
  <c r="R11" i="1"/>
  <c r="T11" i="1"/>
  <c r="U11" i="1"/>
  <c r="V11" i="1"/>
  <c r="X11" i="1"/>
  <c r="Y11" i="1"/>
  <c r="Z11" i="1"/>
  <c r="J12" i="1"/>
  <c r="K12" i="1"/>
  <c r="L12" i="1"/>
  <c r="N12" i="1"/>
  <c r="O12" i="1"/>
  <c r="Q12" i="1"/>
  <c r="R12" i="1"/>
  <c r="T12" i="1"/>
  <c r="U12" i="1"/>
  <c r="V12" i="1"/>
  <c r="X12" i="1"/>
  <c r="Y12" i="1"/>
  <c r="Z12" i="1"/>
  <c r="J13" i="1"/>
  <c r="K13" i="1"/>
  <c r="L13" i="1"/>
  <c r="N13" i="1"/>
  <c r="O13" i="1"/>
  <c r="Q13" i="1"/>
  <c r="R13" i="1"/>
  <c r="T13" i="1"/>
  <c r="U13" i="1"/>
  <c r="V13" i="1"/>
  <c r="X13" i="1"/>
  <c r="Y13" i="1"/>
  <c r="Z13" i="1"/>
  <c r="J14" i="1"/>
  <c r="K14" i="1"/>
  <c r="L14" i="1"/>
  <c r="N14" i="1"/>
  <c r="O14" i="1"/>
  <c r="Q14" i="1"/>
  <c r="R14" i="1"/>
  <c r="T14" i="1"/>
  <c r="U14" i="1"/>
  <c r="V14" i="1"/>
  <c r="X14" i="1"/>
  <c r="Y14" i="1"/>
  <c r="Z14" i="1"/>
  <c r="J15" i="1"/>
  <c r="K15" i="1"/>
  <c r="L15" i="1"/>
  <c r="N15" i="1"/>
  <c r="O15" i="1"/>
  <c r="Q15" i="1"/>
  <c r="R15" i="1"/>
  <c r="T15" i="1"/>
  <c r="U15" i="1"/>
  <c r="V15" i="1"/>
  <c r="X15" i="1"/>
  <c r="Y15" i="1"/>
  <c r="Z15" i="1"/>
  <c r="J16" i="1"/>
  <c r="K16" i="1"/>
  <c r="L16" i="1"/>
  <c r="N16" i="1"/>
  <c r="O16" i="1"/>
  <c r="Q16" i="1"/>
  <c r="R16" i="1"/>
  <c r="T16" i="1"/>
  <c r="U16" i="1"/>
  <c r="V16" i="1"/>
  <c r="X16" i="1"/>
  <c r="Y16" i="1"/>
  <c r="Z16" i="1"/>
  <c r="J17" i="1"/>
  <c r="K17" i="1"/>
  <c r="L17" i="1"/>
  <c r="N17" i="1"/>
  <c r="O17" i="1"/>
  <c r="Q17" i="1"/>
  <c r="R17" i="1"/>
  <c r="T17" i="1"/>
  <c r="U17" i="1"/>
  <c r="V17" i="1"/>
  <c r="X17" i="1"/>
  <c r="Y17" i="1"/>
  <c r="Z17" i="1"/>
  <c r="J18" i="1"/>
  <c r="K18" i="1"/>
  <c r="L18" i="1"/>
  <c r="N18" i="1"/>
  <c r="O18" i="1"/>
  <c r="Q18" i="1"/>
  <c r="R18" i="1"/>
  <c r="T18" i="1"/>
  <c r="U18" i="1"/>
  <c r="V18" i="1"/>
  <c r="X18" i="1"/>
  <c r="Y18" i="1"/>
  <c r="Z18" i="1"/>
  <c r="J19" i="1"/>
  <c r="K19" i="1"/>
  <c r="L19" i="1"/>
  <c r="N19" i="1"/>
  <c r="O19" i="1"/>
  <c r="Q19" i="1"/>
  <c r="R19" i="1"/>
  <c r="T19" i="1"/>
  <c r="U19" i="1"/>
  <c r="V19" i="1"/>
  <c r="X19" i="1"/>
  <c r="Y19" i="1"/>
  <c r="Z19" i="1"/>
  <c r="J20" i="1"/>
  <c r="K20" i="1"/>
  <c r="L20" i="1"/>
  <c r="N20" i="1"/>
  <c r="O20" i="1"/>
  <c r="Q20" i="1"/>
  <c r="R20" i="1"/>
  <c r="T20" i="1"/>
  <c r="U20" i="1"/>
  <c r="V20" i="1"/>
  <c r="X20" i="1"/>
  <c r="Y20" i="1"/>
  <c r="Z20" i="1"/>
  <c r="J21" i="1"/>
  <c r="K21" i="1"/>
  <c r="L21" i="1"/>
  <c r="N21" i="1"/>
  <c r="O21" i="1"/>
  <c r="Q21" i="1"/>
  <c r="R21" i="1"/>
  <c r="T21" i="1"/>
  <c r="U21" i="1"/>
  <c r="V21" i="1"/>
  <c r="X21" i="1"/>
  <c r="Y21" i="1"/>
  <c r="Z21" i="1"/>
  <c r="J22" i="1"/>
  <c r="K22" i="1"/>
  <c r="L22" i="1"/>
  <c r="N22" i="1"/>
  <c r="O22" i="1"/>
  <c r="Q22" i="1"/>
  <c r="R22" i="1"/>
  <c r="T22" i="1"/>
  <c r="U22" i="1"/>
  <c r="V22" i="1"/>
  <c r="X22" i="1"/>
  <c r="Y22" i="1"/>
  <c r="Z22" i="1"/>
  <c r="J23" i="1"/>
  <c r="K23" i="1"/>
  <c r="L23" i="1"/>
  <c r="N23" i="1"/>
  <c r="O23" i="1"/>
  <c r="Q23" i="1"/>
  <c r="R23" i="1"/>
  <c r="T23" i="1"/>
  <c r="U23" i="1"/>
  <c r="V23" i="1"/>
  <c r="X23" i="1"/>
  <c r="Y23" i="1"/>
  <c r="Z23" i="1"/>
  <c r="J24" i="1"/>
  <c r="K24" i="1"/>
  <c r="L24" i="1"/>
  <c r="N24" i="1"/>
  <c r="O24" i="1"/>
  <c r="Q24" i="1"/>
  <c r="R24" i="1"/>
  <c r="T24" i="1"/>
  <c r="U24" i="1"/>
  <c r="V24" i="1"/>
  <c r="X24" i="1"/>
  <c r="Y24" i="1"/>
  <c r="Z24" i="1"/>
  <c r="J25" i="1"/>
  <c r="K25" i="1"/>
  <c r="L25" i="1"/>
  <c r="N25" i="1"/>
  <c r="O25" i="1"/>
  <c r="Q25" i="1"/>
  <c r="R25" i="1"/>
  <c r="T25" i="1"/>
  <c r="U25" i="1"/>
  <c r="V25" i="1"/>
  <c r="X25" i="1"/>
  <c r="Y25" i="1"/>
  <c r="Z25" i="1"/>
  <c r="J26" i="1"/>
  <c r="K26" i="1"/>
  <c r="L26" i="1"/>
  <c r="N26" i="1"/>
  <c r="O26" i="1"/>
  <c r="Q26" i="1"/>
  <c r="R26" i="1"/>
  <c r="T26" i="1"/>
  <c r="U26" i="1"/>
  <c r="V26" i="1"/>
  <c r="X26" i="1"/>
  <c r="Y26" i="1"/>
  <c r="Z26" i="1"/>
  <c r="J27" i="1"/>
  <c r="K27" i="1"/>
  <c r="L27" i="1"/>
  <c r="N27" i="1"/>
  <c r="O27" i="1"/>
  <c r="Q27" i="1"/>
  <c r="R27" i="1"/>
  <c r="T27" i="1"/>
  <c r="U27" i="1"/>
  <c r="V27" i="1"/>
  <c r="X27" i="1"/>
  <c r="Y27" i="1"/>
  <c r="Z27" i="1"/>
  <c r="J28" i="1"/>
  <c r="K28" i="1"/>
  <c r="L28" i="1"/>
  <c r="N28" i="1"/>
  <c r="O28" i="1"/>
  <c r="Q28" i="1"/>
  <c r="R28" i="1"/>
  <c r="T28" i="1"/>
  <c r="U28" i="1"/>
  <c r="V28" i="1"/>
  <c r="X28" i="1"/>
  <c r="Y28" i="1"/>
  <c r="Z28" i="1"/>
  <c r="J29" i="1"/>
  <c r="K29" i="1"/>
  <c r="L29" i="1"/>
  <c r="N29" i="1"/>
  <c r="O29" i="1"/>
  <c r="Q29" i="1"/>
  <c r="R29" i="1"/>
  <c r="T29" i="1"/>
  <c r="U29" i="1"/>
  <c r="V29" i="1"/>
  <c r="X29" i="1"/>
  <c r="Y29" i="1"/>
  <c r="Z29" i="1"/>
  <c r="J30" i="1"/>
  <c r="K30" i="1"/>
  <c r="L30" i="1"/>
  <c r="N30" i="1"/>
  <c r="O30" i="1"/>
  <c r="Q30" i="1"/>
  <c r="R30" i="1"/>
  <c r="T30" i="1"/>
  <c r="U30" i="1"/>
  <c r="V30" i="1"/>
  <c r="X30" i="1"/>
  <c r="Y30" i="1"/>
  <c r="Z30" i="1"/>
  <c r="J31" i="1"/>
  <c r="K31" i="1"/>
  <c r="L31" i="1"/>
  <c r="N31" i="1"/>
  <c r="O31" i="1"/>
  <c r="Q31" i="1"/>
  <c r="R31" i="1"/>
  <c r="T31" i="1"/>
  <c r="U31" i="1"/>
  <c r="V31" i="1"/>
  <c r="X31" i="1"/>
  <c r="Y31" i="1"/>
  <c r="Z31" i="1"/>
  <c r="J32" i="1"/>
  <c r="K32" i="1"/>
  <c r="L32" i="1"/>
  <c r="N32" i="1"/>
  <c r="O32" i="1"/>
  <c r="Q32" i="1"/>
  <c r="R32" i="1"/>
  <c r="T32" i="1"/>
  <c r="U32" i="1"/>
  <c r="V32" i="1"/>
  <c r="X32" i="1"/>
  <c r="Y32" i="1"/>
  <c r="Z32" i="1"/>
  <c r="J33" i="1"/>
  <c r="K33" i="1"/>
  <c r="L33" i="1"/>
  <c r="N33" i="1"/>
  <c r="O33" i="1"/>
  <c r="Q33" i="1"/>
  <c r="R33" i="1"/>
  <c r="T33" i="1"/>
  <c r="U33" i="1"/>
  <c r="V33" i="1"/>
  <c r="X33" i="1"/>
  <c r="Y33" i="1"/>
  <c r="Z33" i="1"/>
  <c r="J34" i="1"/>
  <c r="K34" i="1"/>
  <c r="L34" i="1"/>
  <c r="N34" i="1"/>
  <c r="O34" i="1"/>
  <c r="Q34" i="1"/>
  <c r="R34" i="1"/>
  <c r="T34" i="1"/>
  <c r="U34" i="1"/>
  <c r="V34" i="1"/>
  <c r="X34" i="1"/>
  <c r="Y34" i="1"/>
  <c r="Z34" i="1"/>
  <c r="J35" i="1"/>
  <c r="K35" i="1"/>
  <c r="L35" i="1"/>
  <c r="N35" i="1"/>
  <c r="O35" i="1"/>
  <c r="Q35" i="1"/>
  <c r="R35" i="1"/>
  <c r="T35" i="1"/>
  <c r="U35" i="1"/>
  <c r="V35" i="1"/>
  <c r="X35" i="1"/>
  <c r="Y35" i="1"/>
  <c r="Z35" i="1"/>
  <c r="J36" i="1"/>
  <c r="K36" i="1"/>
  <c r="L36" i="1"/>
  <c r="N36" i="1"/>
  <c r="O36" i="1"/>
  <c r="Q36" i="1"/>
  <c r="R36" i="1"/>
  <c r="T36" i="1"/>
  <c r="U36" i="1"/>
  <c r="V36" i="1"/>
  <c r="X36" i="1"/>
  <c r="Y36" i="1"/>
  <c r="Z36" i="1"/>
  <c r="J37" i="1"/>
  <c r="K37" i="1"/>
  <c r="L37" i="1"/>
  <c r="N37" i="1"/>
  <c r="O37" i="1"/>
  <c r="Q37" i="1"/>
  <c r="R37" i="1"/>
  <c r="T37" i="1"/>
  <c r="U37" i="1"/>
  <c r="V37" i="1"/>
  <c r="X37" i="1"/>
  <c r="Y37" i="1"/>
  <c r="Z37" i="1"/>
  <c r="J38" i="1"/>
  <c r="K38" i="1"/>
  <c r="L38" i="1"/>
  <c r="N38" i="1"/>
  <c r="O38" i="1"/>
  <c r="Q38" i="1"/>
  <c r="R38" i="1"/>
  <c r="T38" i="1"/>
  <c r="U38" i="1"/>
  <c r="V38" i="1"/>
  <c r="X38" i="1"/>
  <c r="Y38" i="1"/>
  <c r="Z38" i="1"/>
  <c r="J39" i="1"/>
  <c r="K39" i="1"/>
  <c r="L39" i="1"/>
  <c r="N39" i="1"/>
  <c r="O39" i="1"/>
  <c r="Q39" i="1"/>
  <c r="R39" i="1"/>
  <c r="T39" i="1"/>
  <c r="U39" i="1"/>
  <c r="V39" i="1"/>
  <c r="X39" i="1"/>
  <c r="Y39" i="1"/>
  <c r="Z39" i="1"/>
  <c r="J40" i="1"/>
  <c r="K40" i="1"/>
  <c r="L40" i="1"/>
  <c r="N40" i="1"/>
  <c r="O40" i="1"/>
  <c r="Q40" i="1"/>
  <c r="R40" i="1"/>
  <c r="T40" i="1"/>
  <c r="U40" i="1"/>
  <c r="V40" i="1"/>
  <c r="X40" i="1"/>
  <c r="Y40" i="1"/>
  <c r="Z40" i="1"/>
  <c r="J41" i="1"/>
  <c r="K41" i="1"/>
  <c r="L41" i="1"/>
  <c r="N41" i="1"/>
  <c r="O41" i="1"/>
  <c r="Q41" i="1"/>
  <c r="R41" i="1"/>
  <c r="T41" i="1"/>
  <c r="U41" i="1"/>
  <c r="V41" i="1"/>
  <c r="X41" i="1"/>
  <c r="Y41" i="1"/>
  <c r="Z41" i="1"/>
  <c r="J42" i="1"/>
  <c r="K42" i="1"/>
  <c r="L42" i="1"/>
  <c r="N42" i="1"/>
  <c r="O42" i="1"/>
  <c r="Q42" i="1"/>
  <c r="R42" i="1"/>
  <c r="T42" i="1"/>
  <c r="U42" i="1"/>
  <c r="V42" i="1"/>
  <c r="X42" i="1"/>
  <c r="Y42" i="1"/>
  <c r="Z42" i="1"/>
  <c r="J43" i="1"/>
  <c r="K43" i="1"/>
  <c r="L43" i="1"/>
  <c r="N43" i="1"/>
  <c r="O43" i="1"/>
  <c r="Q43" i="1"/>
  <c r="R43" i="1"/>
  <c r="T43" i="1"/>
  <c r="U43" i="1"/>
  <c r="V43" i="1"/>
  <c r="X43" i="1"/>
  <c r="Y43" i="1"/>
  <c r="Z43" i="1"/>
  <c r="J44" i="1"/>
  <c r="K44" i="1"/>
  <c r="L44" i="1"/>
  <c r="N44" i="1"/>
  <c r="O44" i="1"/>
  <c r="Q44" i="1"/>
  <c r="R44" i="1"/>
  <c r="T44" i="1"/>
  <c r="U44" i="1"/>
  <c r="V44" i="1"/>
  <c r="X44" i="1"/>
  <c r="Y44" i="1"/>
  <c r="Z44" i="1"/>
  <c r="J45" i="1"/>
  <c r="K45" i="1"/>
  <c r="L45" i="1"/>
  <c r="N45" i="1"/>
  <c r="O45" i="1"/>
  <c r="Q45" i="1"/>
  <c r="R45" i="1"/>
  <c r="T45" i="1"/>
  <c r="U45" i="1"/>
  <c r="V45" i="1"/>
  <c r="X45" i="1"/>
  <c r="Y45" i="1"/>
  <c r="Z45" i="1"/>
  <c r="J46" i="1"/>
  <c r="K46" i="1"/>
  <c r="L46" i="1"/>
  <c r="N46" i="1"/>
  <c r="O46" i="1"/>
  <c r="Q46" i="1"/>
  <c r="R46" i="1"/>
  <c r="T46" i="1"/>
  <c r="U46" i="1"/>
  <c r="V46" i="1"/>
  <c r="X46" i="1"/>
  <c r="Y46" i="1"/>
  <c r="Z46" i="1"/>
  <c r="J47" i="1"/>
  <c r="K47" i="1"/>
  <c r="L47" i="1"/>
  <c r="N47" i="1"/>
  <c r="O47" i="1"/>
  <c r="Q47" i="1"/>
  <c r="R47" i="1"/>
  <c r="T47" i="1"/>
  <c r="U47" i="1"/>
  <c r="V47" i="1"/>
  <c r="X47" i="1"/>
  <c r="Y47" i="1"/>
  <c r="Z47" i="1"/>
  <c r="J48" i="1"/>
  <c r="K48" i="1"/>
  <c r="L48" i="1"/>
  <c r="N48" i="1"/>
  <c r="O48" i="1"/>
  <c r="Q48" i="1"/>
  <c r="R48" i="1"/>
  <c r="T48" i="1"/>
  <c r="U48" i="1"/>
  <c r="V48" i="1"/>
  <c r="X48" i="1"/>
  <c r="Y48" i="1"/>
  <c r="Z48" i="1"/>
  <c r="J49" i="1"/>
  <c r="K49" i="1"/>
  <c r="L49" i="1"/>
  <c r="N49" i="1"/>
  <c r="O49" i="1"/>
  <c r="Q49" i="1"/>
  <c r="R49" i="1"/>
  <c r="T49" i="1"/>
  <c r="U49" i="1"/>
  <c r="V49" i="1"/>
  <c r="X49" i="1"/>
  <c r="Y49" i="1"/>
  <c r="Z49" i="1"/>
  <c r="J50" i="1"/>
  <c r="K50" i="1"/>
  <c r="L50" i="1"/>
  <c r="N50" i="1"/>
  <c r="O50" i="1"/>
  <c r="Q50" i="1"/>
  <c r="R50" i="1"/>
  <c r="T50" i="1"/>
  <c r="U50" i="1"/>
  <c r="V50" i="1"/>
  <c r="X50" i="1"/>
  <c r="Y50" i="1"/>
  <c r="Z50" i="1"/>
  <c r="J51" i="1"/>
  <c r="K51" i="1"/>
  <c r="L51" i="1"/>
  <c r="N51" i="1"/>
  <c r="O51" i="1"/>
  <c r="Q51" i="1"/>
  <c r="R51" i="1"/>
  <c r="T51" i="1"/>
  <c r="U51" i="1"/>
  <c r="V51" i="1"/>
  <c r="X51" i="1"/>
  <c r="Y51" i="1"/>
  <c r="Z51" i="1"/>
  <c r="J52" i="1"/>
  <c r="K52" i="1"/>
  <c r="L52" i="1"/>
  <c r="N52" i="1"/>
  <c r="O52" i="1"/>
  <c r="Q52" i="1"/>
  <c r="R52" i="1"/>
  <c r="T52" i="1"/>
  <c r="U52" i="1"/>
  <c r="V52" i="1"/>
  <c r="X52" i="1"/>
  <c r="Y52" i="1"/>
  <c r="Z52" i="1"/>
  <c r="J53" i="1"/>
  <c r="K53" i="1"/>
  <c r="L53" i="1"/>
  <c r="N53" i="1"/>
  <c r="O53" i="1"/>
  <c r="Q53" i="1"/>
  <c r="R53" i="1"/>
  <c r="T53" i="1"/>
  <c r="U53" i="1"/>
  <c r="V53" i="1"/>
  <c r="X53" i="1"/>
  <c r="Y53" i="1"/>
  <c r="Z53" i="1"/>
  <c r="J54" i="1"/>
  <c r="K54" i="1"/>
  <c r="L54" i="1"/>
  <c r="N54" i="1"/>
  <c r="O54" i="1"/>
  <c r="Q54" i="1"/>
  <c r="R54" i="1"/>
  <c r="T54" i="1"/>
  <c r="U54" i="1"/>
  <c r="V54" i="1"/>
  <c r="X54" i="1"/>
  <c r="Y54" i="1"/>
  <c r="Z54" i="1"/>
  <c r="J55" i="1"/>
  <c r="K55" i="1"/>
  <c r="L55" i="1"/>
  <c r="N55" i="1"/>
  <c r="O55" i="1"/>
  <c r="Q55" i="1"/>
  <c r="R55" i="1"/>
  <c r="T55" i="1"/>
  <c r="U55" i="1"/>
  <c r="V55" i="1"/>
  <c r="X55" i="1"/>
  <c r="Y55" i="1"/>
  <c r="Z55" i="1"/>
  <c r="J56" i="1"/>
  <c r="K56" i="1"/>
  <c r="L56" i="1"/>
  <c r="N56" i="1"/>
  <c r="O56" i="1"/>
  <c r="Q56" i="1"/>
  <c r="R56" i="1"/>
  <c r="T56" i="1"/>
  <c r="U56" i="1"/>
  <c r="V56" i="1"/>
  <c r="X56" i="1"/>
  <c r="Y56" i="1"/>
  <c r="Z56" i="1"/>
  <c r="J57" i="1"/>
  <c r="K57" i="1"/>
  <c r="L57" i="1"/>
  <c r="N57" i="1"/>
  <c r="O57" i="1"/>
  <c r="Q57" i="1"/>
  <c r="R57" i="1"/>
  <c r="T57" i="1"/>
  <c r="U57" i="1"/>
  <c r="V57" i="1"/>
  <c r="X57" i="1"/>
  <c r="Y57" i="1"/>
  <c r="Z57" i="1"/>
  <c r="J58" i="1"/>
  <c r="K58" i="1"/>
  <c r="L58" i="1"/>
  <c r="N58" i="1"/>
  <c r="O58" i="1"/>
  <c r="Q58" i="1"/>
  <c r="R58" i="1"/>
  <c r="T58" i="1"/>
  <c r="U58" i="1"/>
  <c r="V58" i="1"/>
  <c r="X58" i="1"/>
  <c r="Y58" i="1"/>
  <c r="Z58" i="1"/>
  <c r="J59" i="1"/>
  <c r="K59" i="1"/>
  <c r="L59" i="1"/>
  <c r="N59" i="1"/>
  <c r="O59" i="1"/>
  <c r="Q59" i="1"/>
  <c r="R59" i="1"/>
  <c r="T59" i="1"/>
  <c r="U59" i="1"/>
  <c r="V59" i="1"/>
  <c r="X59" i="1"/>
  <c r="Y59" i="1"/>
  <c r="Z59" i="1"/>
  <c r="J60" i="1"/>
  <c r="K60" i="1"/>
  <c r="L60" i="1"/>
  <c r="N60" i="1"/>
  <c r="O60" i="1"/>
  <c r="Q60" i="1"/>
  <c r="R60" i="1"/>
  <c r="T60" i="1"/>
  <c r="U60" i="1"/>
  <c r="V60" i="1"/>
  <c r="X60" i="1"/>
  <c r="Y60" i="1"/>
  <c r="Z60" i="1"/>
  <c r="J61" i="1"/>
  <c r="K61" i="1"/>
  <c r="L61" i="1"/>
  <c r="N61" i="1"/>
  <c r="O61" i="1"/>
  <c r="Q61" i="1"/>
  <c r="R61" i="1"/>
  <c r="T61" i="1"/>
  <c r="U61" i="1"/>
  <c r="V61" i="1"/>
  <c r="X61" i="1"/>
  <c r="Y61" i="1"/>
  <c r="Z61" i="1"/>
  <c r="J62" i="1"/>
  <c r="K62" i="1"/>
  <c r="L62" i="1"/>
  <c r="N62" i="1"/>
  <c r="O62" i="1"/>
  <c r="Q62" i="1"/>
  <c r="R62" i="1"/>
  <c r="T62" i="1"/>
  <c r="U62" i="1"/>
  <c r="V62" i="1"/>
  <c r="X62" i="1"/>
  <c r="Y62" i="1"/>
  <c r="Z62" i="1"/>
  <c r="J63" i="1"/>
  <c r="K63" i="1"/>
  <c r="L63" i="1"/>
  <c r="N63" i="1"/>
  <c r="O63" i="1"/>
  <c r="Q63" i="1"/>
  <c r="R63" i="1"/>
  <c r="T63" i="1"/>
  <c r="U63" i="1"/>
  <c r="V63" i="1"/>
  <c r="X63" i="1"/>
  <c r="Y63" i="1"/>
  <c r="Z63" i="1"/>
  <c r="J64" i="1"/>
  <c r="K64" i="1"/>
  <c r="L64" i="1"/>
  <c r="N64" i="1"/>
  <c r="O64" i="1"/>
  <c r="Q64" i="1"/>
  <c r="R64" i="1"/>
  <c r="T64" i="1"/>
  <c r="U64" i="1"/>
  <c r="V64" i="1"/>
  <c r="X64" i="1"/>
  <c r="Y64" i="1"/>
  <c r="Z64" i="1"/>
  <c r="J65" i="1"/>
  <c r="K65" i="1"/>
  <c r="L65" i="1"/>
  <c r="N65" i="1"/>
  <c r="O65" i="1"/>
  <c r="Q65" i="1"/>
  <c r="R65" i="1"/>
  <c r="T65" i="1"/>
  <c r="U65" i="1"/>
  <c r="V65" i="1"/>
  <c r="X65" i="1"/>
  <c r="Y65" i="1"/>
  <c r="Z65" i="1"/>
  <c r="J66" i="1"/>
  <c r="K66" i="1"/>
  <c r="L66" i="1"/>
  <c r="N66" i="1"/>
  <c r="O66" i="1"/>
  <c r="Q66" i="1"/>
  <c r="R66" i="1"/>
  <c r="T66" i="1"/>
  <c r="U66" i="1"/>
  <c r="V66" i="1"/>
  <c r="X66" i="1"/>
  <c r="Y66" i="1"/>
  <c r="Z66" i="1"/>
  <c r="J67" i="1"/>
  <c r="K67" i="1"/>
  <c r="L67" i="1"/>
  <c r="N67" i="1"/>
  <c r="O67" i="1"/>
  <c r="Q67" i="1"/>
  <c r="R67" i="1"/>
  <c r="T67" i="1"/>
  <c r="U67" i="1"/>
  <c r="V67" i="1"/>
  <c r="X67" i="1"/>
  <c r="Y67" i="1"/>
  <c r="Z67" i="1"/>
  <c r="J68" i="1"/>
  <c r="K68" i="1"/>
  <c r="L68" i="1"/>
  <c r="N68" i="1"/>
  <c r="O68" i="1"/>
  <c r="Q68" i="1"/>
  <c r="R68" i="1"/>
  <c r="T68" i="1"/>
  <c r="U68" i="1"/>
  <c r="V68" i="1"/>
  <c r="X68" i="1"/>
  <c r="Y68" i="1"/>
  <c r="Z68" i="1"/>
  <c r="J69" i="1"/>
  <c r="K69" i="1"/>
  <c r="L69" i="1"/>
  <c r="N69" i="1"/>
  <c r="O69" i="1"/>
  <c r="Q69" i="1"/>
  <c r="R69" i="1"/>
  <c r="T69" i="1"/>
  <c r="U69" i="1"/>
  <c r="V69" i="1"/>
  <c r="X69" i="1"/>
  <c r="Y69" i="1"/>
  <c r="Z69" i="1"/>
  <c r="J70" i="1"/>
  <c r="K70" i="1"/>
  <c r="L70" i="1"/>
  <c r="N70" i="1"/>
  <c r="O70" i="1"/>
  <c r="Q70" i="1"/>
  <c r="R70" i="1"/>
  <c r="T70" i="1"/>
  <c r="U70" i="1"/>
  <c r="V70" i="1"/>
  <c r="X70" i="1"/>
  <c r="Y70" i="1"/>
  <c r="Z70" i="1"/>
  <c r="J71" i="1"/>
  <c r="K71" i="1"/>
  <c r="L71" i="1"/>
  <c r="N71" i="1"/>
  <c r="O71" i="1"/>
  <c r="Q71" i="1"/>
  <c r="R71" i="1"/>
  <c r="T71" i="1"/>
  <c r="U71" i="1"/>
  <c r="V71" i="1"/>
  <c r="X71" i="1"/>
  <c r="Y71" i="1"/>
  <c r="Z71" i="1"/>
  <c r="J72" i="1"/>
  <c r="K72" i="1"/>
  <c r="L72" i="1"/>
  <c r="N72" i="1"/>
  <c r="O72" i="1"/>
  <c r="Q72" i="1"/>
  <c r="R72" i="1"/>
  <c r="T72" i="1"/>
  <c r="U72" i="1"/>
  <c r="V72" i="1"/>
  <c r="X72" i="1"/>
  <c r="Y72" i="1"/>
  <c r="Z72" i="1"/>
  <c r="J73" i="1"/>
  <c r="K73" i="1"/>
  <c r="L73" i="1"/>
  <c r="N73" i="1"/>
  <c r="O73" i="1"/>
  <c r="Q73" i="1"/>
  <c r="R73" i="1"/>
  <c r="T73" i="1"/>
  <c r="U73" i="1"/>
  <c r="V73" i="1"/>
  <c r="X73" i="1"/>
  <c r="Y73" i="1"/>
  <c r="Z73" i="1"/>
  <c r="J74" i="1"/>
  <c r="K74" i="1"/>
  <c r="L74" i="1"/>
  <c r="N74" i="1"/>
  <c r="O74" i="1"/>
  <c r="Q74" i="1"/>
  <c r="R74" i="1"/>
  <c r="T74" i="1"/>
  <c r="U74" i="1"/>
  <c r="V74" i="1"/>
  <c r="X74" i="1"/>
  <c r="Y74" i="1"/>
  <c r="Z74" i="1"/>
  <c r="J75" i="1"/>
  <c r="K75" i="1"/>
  <c r="L75" i="1"/>
  <c r="N75" i="1"/>
  <c r="O75" i="1"/>
  <c r="Q75" i="1"/>
  <c r="R75" i="1"/>
  <c r="T75" i="1"/>
  <c r="U75" i="1"/>
  <c r="V75" i="1"/>
  <c r="X75" i="1"/>
  <c r="Y75" i="1"/>
  <c r="Z75" i="1"/>
  <c r="J76" i="1"/>
  <c r="K76" i="1"/>
  <c r="L76" i="1"/>
  <c r="N76" i="1"/>
  <c r="O76" i="1"/>
  <c r="Q76" i="1"/>
  <c r="R76" i="1"/>
  <c r="T76" i="1"/>
  <c r="U76" i="1"/>
  <c r="V76" i="1"/>
  <c r="X76" i="1"/>
  <c r="Y76" i="1"/>
  <c r="Z76" i="1"/>
  <c r="J77" i="1"/>
  <c r="K77" i="1"/>
  <c r="L77" i="1"/>
  <c r="N77" i="1"/>
  <c r="O77" i="1"/>
  <c r="Q77" i="1"/>
  <c r="R77" i="1"/>
  <c r="T77" i="1"/>
  <c r="U77" i="1"/>
  <c r="V77" i="1"/>
  <c r="X77" i="1"/>
  <c r="Y77" i="1"/>
  <c r="Z77" i="1"/>
  <c r="J78" i="1"/>
  <c r="K78" i="1"/>
  <c r="L78" i="1"/>
  <c r="N78" i="1"/>
  <c r="O78" i="1"/>
  <c r="Q78" i="1"/>
  <c r="R78" i="1"/>
  <c r="T78" i="1"/>
  <c r="U78" i="1"/>
  <c r="V78" i="1"/>
  <c r="X78" i="1"/>
  <c r="Y78" i="1"/>
  <c r="Z78" i="1"/>
  <c r="J79" i="1"/>
  <c r="K79" i="1"/>
  <c r="L79" i="1"/>
  <c r="N79" i="1"/>
  <c r="O79" i="1"/>
  <c r="Q79" i="1"/>
  <c r="R79" i="1"/>
  <c r="T79" i="1"/>
  <c r="U79" i="1"/>
  <c r="V79" i="1"/>
  <c r="X79" i="1"/>
  <c r="Y79" i="1"/>
  <c r="Z79" i="1"/>
  <c r="J80" i="1"/>
  <c r="K80" i="1"/>
  <c r="L80" i="1"/>
  <c r="N80" i="1"/>
  <c r="O80" i="1"/>
  <c r="Q80" i="1"/>
  <c r="R80" i="1"/>
  <c r="T80" i="1"/>
  <c r="U80" i="1"/>
  <c r="V80" i="1"/>
  <c r="X80" i="1"/>
  <c r="Y80" i="1"/>
  <c r="Z80" i="1"/>
  <c r="J81" i="1"/>
  <c r="K81" i="1"/>
  <c r="L81" i="1"/>
  <c r="N81" i="1"/>
  <c r="O81" i="1"/>
  <c r="Q81" i="1"/>
  <c r="R81" i="1"/>
  <c r="T81" i="1"/>
  <c r="U81" i="1"/>
  <c r="V81" i="1"/>
  <c r="X81" i="1"/>
  <c r="Y81" i="1"/>
  <c r="Z81" i="1"/>
  <c r="J82" i="1"/>
  <c r="K82" i="1"/>
  <c r="L82" i="1"/>
  <c r="N82" i="1"/>
  <c r="O82" i="1"/>
  <c r="Q82" i="1"/>
  <c r="R82" i="1"/>
  <c r="T82" i="1"/>
  <c r="U82" i="1"/>
  <c r="V82" i="1"/>
  <c r="X82" i="1"/>
  <c r="Y82" i="1"/>
  <c r="Z82" i="1"/>
  <c r="J83" i="1"/>
  <c r="K83" i="1"/>
  <c r="L83" i="1"/>
  <c r="N83" i="1"/>
  <c r="O83" i="1"/>
  <c r="Q83" i="1"/>
  <c r="R83" i="1"/>
  <c r="T83" i="1"/>
  <c r="U83" i="1"/>
  <c r="V83" i="1"/>
  <c r="X83" i="1"/>
  <c r="Y83" i="1"/>
  <c r="Z83" i="1"/>
  <c r="J84" i="1"/>
  <c r="K84" i="1"/>
  <c r="L84" i="1"/>
  <c r="N84" i="1"/>
  <c r="O84" i="1"/>
  <c r="Q84" i="1"/>
  <c r="R84" i="1"/>
  <c r="T84" i="1"/>
  <c r="U84" i="1"/>
  <c r="V84" i="1"/>
  <c r="X84" i="1"/>
  <c r="Y84" i="1"/>
  <c r="Z84" i="1"/>
  <c r="J85" i="1"/>
  <c r="K85" i="1"/>
  <c r="L85" i="1"/>
  <c r="N85" i="1"/>
  <c r="O85" i="1"/>
  <c r="Q85" i="1"/>
  <c r="R85" i="1"/>
  <c r="T85" i="1"/>
  <c r="U85" i="1"/>
  <c r="V85" i="1"/>
  <c r="X85" i="1"/>
  <c r="Y85" i="1"/>
  <c r="Z85" i="1"/>
  <c r="J86" i="1"/>
  <c r="K86" i="1"/>
  <c r="L86" i="1"/>
  <c r="N86" i="1"/>
  <c r="O86" i="1"/>
  <c r="Q86" i="1"/>
  <c r="R86" i="1"/>
  <c r="T86" i="1"/>
  <c r="U86" i="1"/>
  <c r="V86" i="1"/>
  <c r="X86" i="1"/>
  <c r="Y86" i="1"/>
  <c r="Z86" i="1"/>
  <c r="J87" i="1"/>
  <c r="K87" i="1"/>
  <c r="L87" i="1"/>
  <c r="N87" i="1"/>
  <c r="O87" i="1"/>
  <c r="Q87" i="1"/>
  <c r="R87" i="1"/>
  <c r="T87" i="1"/>
  <c r="U87" i="1"/>
  <c r="V87" i="1"/>
  <c r="X87" i="1"/>
  <c r="Y87" i="1"/>
  <c r="Z87" i="1"/>
  <c r="J88" i="1"/>
  <c r="K88" i="1"/>
  <c r="L88" i="1"/>
  <c r="N88" i="1"/>
  <c r="O88" i="1"/>
  <c r="Q88" i="1"/>
  <c r="R88" i="1"/>
  <c r="T88" i="1"/>
  <c r="U88" i="1"/>
  <c r="V88" i="1"/>
  <c r="X88" i="1"/>
  <c r="Y88" i="1"/>
  <c r="Z88" i="1"/>
  <c r="J89" i="1"/>
  <c r="K89" i="1"/>
  <c r="L89" i="1"/>
  <c r="N89" i="1"/>
  <c r="O89" i="1"/>
  <c r="Q89" i="1"/>
  <c r="R89" i="1"/>
  <c r="T89" i="1"/>
  <c r="U89" i="1"/>
  <c r="V89" i="1"/>
  <c r="X89" i="1"/>
  <c r="Y89" i="1"/>
  <c r="Z89" i="1"/>
  <c r="J90" i="1"/>
  <c r="K90" i="1"/>
  <c r="L90" i="1"/>
  <c r="N90" i="1"/>
  <c r="O90" i="1"/>
  <c r="Q90" i="1"/>
  <c r="R90" i="1"/>
  <c r="T90" i="1"/>
  <c r="U90" i="1"/>
  <c r="V90" i="1"/>
  <c r="X90" i="1"/>
  <c r="Y90" i="1"/>
  <c r="Z90" i="1"/>
  <c r="J91" i="1"/>
  <c r="K91" i="1"/>
  <c r="L91" i="1"/>
  <c r="N91" i="1"/>
  <c r="O91" i="1"/>
  <c r="Q91" i="1"/>
  <c r="R91" i="1"/>
  <c r="T91" i="1"/>
  <c r="U91" i="1"/>
  <c r="V91" i="1"/>
  <c r="X91" i="1"/>
  <c r="Y91" i="1"/>
  <c r="Z91" i="1"/>
  <c r="J92" i="1"/>
  <c r="K92" i="1"/>
  <c r="L92" i="1"/>
  <c r="N92" i="1"/>
  <c r="O92" i="1"/>
  <c r="Q92" i="1"/>
  <c r="R92" i="1"/>
  <c r="T92" i="1"/>
  <c r="U92" i="1"/>
  <c r="V92" i="1"/>
  <c r="X92" i="1"/>
  <c r="Y92" i="1"/>
  <c r="Z92" i="1"/>
  <c r="J93" i="1"/>
  <c r="K93" i="1"/>
  <c r="L93" i="1"/>
  <c r="N93" i="1"/>
  <c r="O93" i="1"/>
  <c r="Q93" i="1"/>
  <c r="R93" i="1"/>
  <c r="T93" i="1"/>
  <c r="U93" i="1"/>
  <c r="V93" i="1"/>
  <c r="X93" i="1"/>
  <c r="Y93" i="1"/>
  <c r="Z93" i="1"/>
  <c r="J94" i="1"/>
  <c r="K94" i="1"/>
  <c r="L94" i="1"/>
  <c r="N94" i="1"/>
  <c r="O94" i="1"/>
  <c r="Q94" i="1"/>
  <c r="R94" i="1"/>
  <c r="T94" i="1"/>
  <c r="U94" i="1"/>
  <c r="V94" i="1"/>
  <c r="X94" i="1"/>
  <c r="Y94" i="1"/>
  <c r="Z94" i="1"/>
  <c r="J95" i="1"/>
  <c r="K95" i="1"/>
  <c r="L95" i="1"/>
  <c r="N95" i="1"/>
  <c r="O95" i="1"/>
  <c r="Q95" i="1"/>
  <c r="R95" i="1"/>
  <c r="T95" i="1"/>
  <c r="U95" i="1"/>
  <c r="V95" i="1"/>
  <c r="X95" i="1"/>
  <c r="Y95" i="1"/>
  <c r="Z95" i="1"/>
  <c r="J96" i="1"/>
  <c r="K96" i="1"/>
  <c r="L96" i="1"/>
  <c r="N96" i="1"/>
  <c r="O96" i="1"/>
  <c r="Q96" i="1"/>
  <c r="R96" i="1"/>
  <c r="T96" i="1"/>
  <c r="U96" i="1"/>
  <c r="V96" i="1"/>
  <c r="X96" i="1"/>
  <c r="Y96" i="1"/>
  <c r="Z96" i="1"/>
  <c r="J97" i="1"/>
  <c r="K97" i="1"/>
  <c r="L97" i="1"/>
  <c r="N97" i="1"/>
  <c r="O97" i="1"/>
  <c r="Q97" i="1"/>
  <c r="R97" i="1"/>
  <c r="T97" i="1"/>
  <c r="U97" i="1"/>
  <c r="V97" i="1"/>
  <c r="X97" i="1"/>
  <c r="Y97" i="1"/>
  <c r="Z97" i="1"/>
  <c r="J98" i="1"/>
  <c r="K98" i="1"/>
  <c r="L98" i="1"/>
  <c r="N98" i="1"/>
  <c r="O98" i="1"/>
  <c r="Q98" i="1"/>
  <c r="R98" i="1"/>
  <c r="T98" i="1"/>
  <c r="U98" i="1"/>
  <c r="V98" i="1"/>
  <c r="X98" i="1"/>
  <c r="Y98" i="1"/>
  <c r="Z98" i="1"/>
  <c r="J99" i="1"/>
  <c r="K99" i="1"/>
  <c r="L99" i="1"/>
  <c r="N99" i="1"/>
  <c r="O99" i="1"/>
  <c r="Q99" i="1"/>
  <c r="R99" i="1"/>
  <c r="T99" i="1"/>
  <c r="U99" i="1"/>
  <c r="V99" i="1"/>
  <c r="X99" i="1"/>
  <c r="Y99" i="1"/>
  <c r="Z99" i="1"/>
  <c r="J100" i="1"/>
  <c r="K100" i="1"/>
  <c r="L100" i="1"/>
  <c r="N100" i="1"/>
  <c r="O100" i="1"/>
  <c r="Q100" i="1"/>
  <c r="R100" i="1"/>
  <c r="T100" i="1"/>
  <c r="U100" i="1"/>
  <c r="V100" i="1"/>
  <c r="X100" i="1"/>
  <c r="Y100" i="1"/>
  <c r="Z100" i="1"/>
  <c r="J101" i="1"/>
  <c r="K101" i="1"/>
  <c r="L101" i="1"/>
  <c r="N101" i="1"/>
  <c r="O101" i="1"/>
  <c r="Q101" i="1"/>
  <c r="R101" i="1"/>
  <c r="T101" i="1"/>
  <c r="U101" i="1"/>
  <c r="V101" i="1"/>
  <c r="X101" i="1"/>
  <c r="Y101" i="1"/>
  <c r="Z101" i="1"/>
  <c r="J102" i="1"/>
  <c r="K102" i="1"/>
  <c r="L102" i="1"/>
  <c r="N102" i="1"/>
  <c r="O102" i="1"/>
  <c r="Q102" i="1"/>
  <c r="R102" i="1"/>
  <c r="T102" i="1"/>
  <c r="U102" i="1"/>
  <c r="V102" i="1"/>
  <c r="X102" i="1"/>
  <c r="Y102" i="1"/>
  <c r="Z102" i="1"/>
  <c r="J103" i="1"/>
  <c r="K103" i="1"/>
  <c r="L103" i="1"/>
  <c r="N103" i="1"/>
  <c r="O103" i="1"/>
  <c r="Q103" i="1"/>
  <c r="R103" i="1"/>
  <c r="T103" i="1"/>
  <c r="U103" i="1"/>
  <c r="V103" i="1"/>
  <c r="X103" i="1"/>
  <c r="Y103" i="1"/>
  <c r="Z103" i="1"/>
  <c r="J104" i="1"/>
  <c r="K104" i="1"/>
  <c r="L104" i="1"/>
  <c r="N104" i="1"/>
  <c r="O104" i="1"/>
  <c r="Q104" i="1"/>
  <c r="R104" i="1"/>
  <c r="T104" i="1"/>
  <c r="U104" i="1"/>
  <c r="V104" i="1"/>
  <c r="X104" i="1"/>
  <c r="Y104" i="1"/>
  <c r="Z104" i="1"/>
  <c r="J105" i="1"/>
  <c r="K105" i="1"/>
  <c r="L105" i="1"/>
  <c r="N105" i="1"/>
  <c r="O105" i="1"/>
  <c r="Q105" i="1"/>
  <c r="R105" i="1"/>
  <c r="T105" i="1"/>
  <c r="U105" i="1"/>
  <c r="V105" i="1"/>
  <c r="X105" i="1"/>
  <c r="Y105" i="1"/>
  <c r="Z105" i="1"/>
  <c r="J106" i="1"/>
  <c r="K106" i="1"/>
  <c r="L106" i="1"/>
  <c r="N106" i="1"/>
  <c r="O106" i="1"/>
  <c r="Q106" i="1"/>
  <c r="R106" i="1"/>
  <c r="T106" i="1"/>
  <c r="U106" i="1"/>
  <c r="V106" i="1"/>
  <c r="X106" i="1"/>
  <c r="Y106" i="1"/>
  <c r="Z106" i="1"/>
  <c r="J107" i="1"/>
  <c r="K107" i="1"/>
  <c r="L107" i="1"/>
  <c r="N107" i="1"/>
  <c r="O107" i="1"/>
  <c r="Q107" i="1"/>
  <c r="R107" i="1"/>
  <c r="T107" i="1"/>
  <c r="U107" i="1"/>
  <c r="V107" i="1"/>
  <c r="X107" i="1"/>
  <c r="Y107" i="1"/>
  <c r="Z107" i="1"/>
  <c r="J108" i="1"/>
  <c r="K108" i="1"/>
  <c r="L108" i="1"/>
  <c r="N108" i="1"/>
  <c r="O108" i="1"/>
  <c r="Q108" i="1"/>
  <c r="R108" i="1"/>
  <c r="T108" i="1"/>
  <c r="U108" i="1"/>
  <c r="V108" i="1"/>
  <c r="X108" i="1"/>
  <c r="Y108" i="1"/>
  <c r="Z108" i="1"/>
  <c r="J109" i="1"/>
  <c r="K109" i="1"/>
  <c r="L109" i="1"/>
  <c r="N109" i="1"/>
  <c r="O109" i="1"/>
  <c r="Q109" i="1"/>
  <c r="R109" i="1"/>
  <c r="T109" i="1"/>
  <c r="U109" i="1"/>
  <c r="V109" i="1"/>
  <c r="X109" i="1"/>
  <c r="Y109" i="1"/>
  <c r="Z109" i="1"/>
  <c r="J110" i="1"/>
  <c r="K110" i="1"/>
  <c r="L110" i="1"/>
  <c r="N110" i="1"/>
  <c r="O110" i="1"/>
  <c r="Q110" i="1"/>
  <c r="R110" i="1"/>
  <c r="T110" i="1"/>
  <c r="U110" i="1"/>
  <c r="V110" i="1"/>
  <c r="X110" i="1"/>
  <c r="Y110" i="1"/>
  <c r="Z110" i="1"/>
  <c r="J111" i="1"/>
  <c r="K111" i="1"/>
  <c r="L111" i="1"/>
  <c r="N111" i="1"/>
  <c r="O111" i="1"/>
  <c r="Q111" i="1"/>
  <c r="R111" i="1"/>
  <c r="T111" i="1"/>
  <c r="U111" i="1"/>
  <c r="V111" i="1"/>
  <c r="X111" i="1"/>
  <c r="Y111" i="1"/>
  <c r="Z111" i="1"/>
  <c r="J112" i="1"/>
  <c r="K112" i="1"/>
  <c r="L112" i="1"/>
  <c r="N112" i="1"/>
  <c r="O112" i="1"/>
  <c r="Q112" i="1"/>
  <c r="R112" i="1"/>
  <c r="T112" i="1"/>
  <c r="U112" i="1"/>
  <c r="V112" i="1"/>
  <c r="X112" i="1"/>
  <c r="Y112" i="1"/>
  <c r="Z112" i="1"/>
  <c r="J113" i="1"/>
  <c r="K113" i="1"/>
  <c r="L113" i="1"/>
  <c r="N113" i="1"/>
  <c r="O113" i="1"/>
  <c r="Q113" i="1"/>
  <c r="R113" i="1"/>
  <c r="T113" i="1"/>
  <c r="U113" i="1"/>
  <c r="V113" i="1"/>
  <c r="X113" i="1"/>
  <c r="Y113" i="1"/>
  <c r="Z113" i="1"/>
  <c r="J114" i="1"/>
  <c r="K114" i="1"/>
  <c r="L114" i="1"/>
  <c r="N114" i="1"/>
  <c r="O114" i="1"/>
  <c r="Q114" i="1"/>
  <c r="R114" i="1"/>
  <c r="T114" i="1"/>
  <c r="U114" i="1"/>
  <c r="V114" i="1"/>
  <c r="X114" i="1"/>
  <c r="Y114" i="1"/>
  <c r="Z114" i="1"/>
  <c r="J115" i="1"/>
  <c r="K115" i="1"/>
  <c r="L115" i="1"/>
  <c r="N115" i="1"/>
  <c r="O115" i="1"/>
  <c r="Q115" i="1"/>
  <c r="R115" i="1"/>
  <c r="T115" i="1"/>
  <c r="U115" i="1"/>
  <c r="V115" i="1"/>
  <c r="X115" i="1"/>
  <c r="Y115" i="1"/>
  <c r="Z115" i="1"/>
  <c r="J116" i="1"/>
  <c r="K116" i="1"/>
  <c r="L116" i="1"/>
  <c r="N116" i="1"/>
  <c r="O116" i="1"/>
  <c r="Q116" i="1"/>
  <c r="R116" i="1"/>
  <c r="T116" i="1"/>
  <c r="U116" i="1"/>
  <c r="V116" i="1"/>
  <c r="X116" i="1"/>
  <c r="Y116" i="1"/>
  <c r="Z116" i="1"/>
  <c r="J117" i="1"/>
  <c r="K117" i="1"/>
  <c r="L117" i="1"/>
  <c r="N117" i="1"/>
  <c r="O117" i="1"/>
  <c r="Q117" i="1"/>
  <c r="R117" i="1"/>
  <c r="T117" i="1"/>
  <c r="U117" i="1"/>
  <c r="V117" i="1"/>
  <c r="X117" i="1"/>
  <c r="Y117" i="1"/>
  <c r="Z117" i="1"/>
  <c r="J118" i="1"/>
  <c r="K118" i="1"/>
  <c r="L118" i="1"/>
  <c r="N118" i="1"/>
  <c r="O118" i="1"/>
  <c r="Q118" i="1"/>
  <c r="R118" i="1"/>
  <c r="T118" i="1"/>
  <c r="U118" i="1"/>
  <c r="V118" i="1"/>
  <c r="X118" i="1"/>
  <c r="Y118" i="1"/>
  <c r="Z118" i="1"/>
  <c r="J119" i="1"/>
  <c r="K119" i="1"/>
  <c r="L119" i="1"/>
  <c r="N119" i="1"/>
  <c r="O119" i="1"/>
  <c r="Q119" i="1"/>
  <c r="R119" i="1"/>
  <c r="T119" i="1"/>
  <c r="U119" i="1"/>
  <c r="V119" i="1"/>
  <c r="X119" i="1"/>
  <c r="Y119" i="1"/>
  <c r="Z119" i="1"/>
  <c r="J120" i="1"/>
  <c r="K120" i="1"/>
  <c r="L120" i="1"/>
  <c r="N120" i="1"/>
  <c r="O120" i="1"/>
  <c r="Q120" i="1"/>
  <c r="R120" i="1"/>
  <c r="T120" i="1"/>
  <c r="U120" i="1"/>
  <c r="V120" i="1"/>
  <c r="X120" i="1"/>
  <c r="Y120" i="1"/>
  <c r="Z120" i="1"/>
  <c r="J121" i="1"/>
  <c r="K121" i="1"/>
  <c r="L121" i="1"/>
  <c r="N121" i="1"/>
  <c r="O121" i="1"/>
  <c r="Q121" i="1"/>
  <c r="R121" i="1"/>
  <c r="T121" i="1"/>
  <c r="U121" i="1"/>
  <c r="V121" i="1"/>
  <c r="X121" i="1"/>
  <c r="Y121" i="1"/>
  <c r="Z121" i="1"/>
  <c r="J122" i="1"/>
  <c r="K122" i="1"/>
  <c r="L122" i="1"/>
  <c r="N122" i="1"/>
  <c r="O122" i="1"/>
  <c r="Q122" i="1"/>
  <c r="R122" i="1"/>
  <c r="T122" i="1"/>
  <c r="U122" i="1"/>
  <c r="V122" i="1"/>
  <c r="X122" i="1"/>
  <c r="Y122" i="1"/>
  <c r="Z122" i="1"/>
  <c r="J123" i="1"/>
  <c r="K123" i="1"/>
  <c r="L123" i="1"/>
  <c r="N123" i="1"/>
  <c r="O123" i="1"/>
  <c r="Q123" i="1"/>
  <c r="R123" i="1"/>
  <c r="T123" i="1"/>
  <c r="U123" i="1"/>
  <c r="V123" i="1"/>
  <c r="X123" i="1"/>
  <c r="Y123" i="1"/>
  <c r="Z123" i="1"/>
  <c r="J124" i="1"/>
  <c r="K124" i="1"/>
  <c r="L124" i="1"/>
  <c r="N124" i="1"/>
  <c r="O124" i="1"/>
  <c r="Q124" i="1"/>
  <c r="R124" i="1"/>
  <c r="T124" i="1"/>
  <c r="U124" i="1"/>
  <c r="V124" i="1"/>
  <c r="X124" i="1"/>
  <c r="Y124" i="1"/>
  <c r="Z124" i="1"/>
  <c r="J125" i="1"/>
  <c r="K125" i="1"/>
  <c r="L125" i="1"/>
  <c r="N125" i="1"/>
  <c r="O125" i="1"/>
  <c r="Q125" i="1"/>
  <c r="R125" i="1"/>
  <c r="T125" i="1"/>
  <c r="U125" i="1"/>
  <c r="V125" i="1"/>
  <c r="X125" i="1"/>
  <c r="Y125" i="1"/>
  <c r="Z125" i="1"/>
  <c r="J126" i="1"/>
  <c r="K126" i="1"/>
  <c r="L126" i="1"/>
  <c r="N126" i="1"/>
  <c r="O126" i="1"/>
  <c r="Q126" i="1"/>
  <c r="R126" i="1"/>
  <c r="T126" i="1"/>
  <c r="U126" i="1"/>
  <c r="V126" i="1"/>
  <c r="X126" i="1"/>
  <c r="Y126" i="1"/>
  <c r="Z126" i="1"/>
  <c r="J127" i="1"/>
  <c r="K127" i="1"/>
  <c r="L127" i="1"/>
  <c r="N127" i="1"/>
  <c r="O127" i="1"/>
  <c r="Q127" i="1"/>
  <c r="R127" i="1"/>
  <c r="T127" i="1"/>
  <c r="U127" i="1"/>
  <c r="V127" i="1"/>
  <c r="X127" i="1"/>
  <c r="Y127" i="1"/>
  <c r="Z127" i="1"/>
  <c r="J128" i="1"/>
  <c r="K128" i="1"/>
  <c r="L128" i="1"/>
  <c r="N128" i="1"/>
  <c r="O128" i="1"/>
  <c r="Q128" i="1"/>
  <c r="R128" i="1"/>
  <c r="T128" i="1"/>
  <c r="U128" i="1"/>
  <c r="V128" i="1"/>
  <c r="X128" i="1"/>
  <c r="Y128" i="1"/>
  <c r="Z128" i="1"/>
  <c r="J129" i="1"/>
  <c r="K129" i="1"/>
  <c r="L129" i="1"/>
  <c r="N129" i="1"/>
  <c r="O129" i="1"/>
  <c r="Q129" i="1"/>
  <c r="R129" i="1"/>
  <c r="T129" i="1"/>
  <c r="U129" i="1"/>
  <c r="V129" i="1"/>
  <c r="X129" i="1"/>
  <c r="Y129" i="1"/>
  <c r="Z129" i="1"/>
  <c r="J130" i="1"/>
  <c r="K130" i="1"/>
  <c r="L130" i="1"/>
  <c r="N130" i="1"/>
  <c r="O130" i="1"/>
  <c r="Q130" i="1"/>
  <c r="R130" i="1"/>
  <c r="T130" i="1"/>
  <c r="U130" i="1"/>
  <c r="V130" i="1"/>
  <c r="X130" i="1"/>
  <c r="Y130" i="1"/>
  <c r="Z130" i="1"/>
  <c r="J131" i="1"/>
  <c r="K131" i="1"/>
  <c r="L131" i="1"/>
  <c r="N131" i="1"/>
  <c r="O131" i="1"/>
  <c r="Q131" i="1"/>
  <c r="R131" i="1"/>
  <c r="T131" i="1"/>
  <c r="U131" i="1"/>
  <c r="V131" i="1"/>
  <c r="X131" i="1"/>
  <c r="Y131" i="1"/>
  <c r="Z131" i="1"/>
  <c r="J132" i="1"/>
  <c r="K132" i="1"/>
  <c r="L132" i="1"/>
  <c r="N132" i="1"/>
  <c r="O132" i="1"/>
  <c r="Q132" i="1"/>
  <c r="R132" i="1"/>
  <c r="T132" i="1"/>
  <c r="U132" i="1"/>
  <c r="V132" i="1"/>
  <c r="X132" i="1"/>
  <c r="Y132" i="1"/>
  <c r="Z132" i="1"/>
  <c r="J133" i="1"/>
  <c r="K133" i="1"/>
  <c r="L133" i="1"/>
  <c r="N133" i="1"/>
  <c r="O133" i="1"/>
  <c r="Q133" i="1"/>
  <c r="R133" i="1"/>
  <c r="T133" i="1"/>
  <c r="U133" i="1"/>
  <c r="V133" i="1"/>
  <c r="X133" i="1"/>
  <c r="Y133" i="1"/>
  <c r="Z133" i="1"/>
  <c r="J134" i="1"/>
  <c r="K134" i="1"/>
  <c r="L134" i="1"/>
  <c r="N134" i="1"/>
  <c r="O134" i="1"/>
  <c r="Q134" i="1"/>
  <c r="R134" i="1"/>
  <c r="T134" i="1"/>
  <c r="U134" i="1"/>
  <c r="V134" i="1"/>
  <c r="X134" i="1"/>
  <c r="Y134" i="1"/>
  <c r="Z134" i="1"/>
  <c r="J135" i="1"/>
  <c r="K135" i="1"/>
  <c r="L135" i="1"/>
  <c r="N135" i="1"/>
  <c r="O135" i="1"/>
  <c r="Q135" i="1"/>
  <c r="R135" i="1"/>
  <c r="T135" i="1"/>
  <c r="U135" i="1"/>
  <c r="V135" i="1"/>
  <c r="X135" i="1"/>
  <c r="Y135" i="1"/>
  <c r="Z135" i="1"/>
  <c r="J136" i="1"/>
  <c r="K136" i="1"/>
  <c r="L136" i="1"/>
  <c r="N136" i="1"/>
  <c r="O136" i="1"/>
  <c r="Q136" i="1"/>
  <c r="R136" i="1"/>
  <c r="T136" i="1"/>
  <c r="U136" i="1"/>
  <c r="V136" i="1"/>
  <c r="X136" i="1"/>
  <c r="Y136" i="1"/>
  <c r="Z136" i="1"/>
  <c r="J137" i="1"/>
  <c r="K137" i="1"/>
  <c r="L137" i="1"/>
  <c r="N137" i="1"/>
  <c r="O137" i="1"/>
  <c r="Q137" i="1"/>
  <c r="R137" i="1"/>
  <c r="T137" i="1"/>
  <c r="U137" i="1"/>
  <c r="V137" i="1"/>
  <c r="X137" i="1"/>
  <c r="Y137" i="1"/>
  <c r="Z137" i="1"/>
  <c r="J138" i="1"/>
  <c r="K138" i="1"/>
  <c r="L138" i="1"/>
  <c r="N138" i="1"/>
  <c r="O138" i="1"/>
  <c r="Q138" i="1"/>
  <c r="R138" i="1"/>
  <c r="T138" i="1"/>
  <c r="U138" i="1"/>
  <c r="V138" i="1"/>
  <c r="X138" i="1"/>
  <c r="Y138" i="1"/>
  <c r="Z138" i="1"/>
  <c r="J139" i="1"/>
  <c r="K139" i="1"/>
  <c r="L139" i="1"/>
  <c r="N139" i="1"/>
  <c r="O139" i="1"/>
  <c r="Q139" i="1"/>
  <c r="R139" i="1"/>
  <c r="T139" i="1"/>
  <c r="U139" i="1"/>
  <c r="V139" i="1"/>
  <c r="X139" i="1"/>
  <c r="Y139" i="1"/>
  <c r="Z139" i="1"/>
  <c r="J140" i="1"/>
  <c r="K140" i="1"/>
  <c r="L140" i="1"/>
  <c r="N140" i="1"/>
  <c r="O140" i="1"/>
  <c r="Q140" i="1"/>
  <c r="R140" i="1"/>
  <c r="T140" i="1"/>
  <c r="U140" i="1"/>
  <c r="V140" i="1"/>
  <c r="X140" i="1"/>
  <c r="Y140" i="1"/>
  <c r="Z140" i="1"/>
  <c r="J141" i="1"/>
  <c r="K141" i="1"/>
  <c r="L141" i="1"/>
  <c r="N141" i="1"/>
  <c r="O141" i="1"/>
  <c r="Q141" i="1"/>
  <c r="R141" i="1"/>
  <c r="T141" i="1"/>
  <c r="U141" i="1"/>
  <c r="V141" i="1"/>
  <c r="X141" i="1"/>
  <c r="Y141" i="1"/>
  <c r="Z141" i="1"/>
  <c r="J142" i="1"/>
  <c r="K142" i="1"/>
  <c r="L142" i="1"/>
  <c r="N142" i="1"/>
  <c r="O142" i="1"/>
  <c r="Q142" i="1"/>
  <c r="R142" i="1"/>
  <c r="T142" i="1"/>
  <c r="U142" i="1"/>
  <c r="V142" i="1"/>
  <c r="X142" i="1"/>
  <c r="Y142" i="1"/>
  <c r="Z142" i="1"/>
  <c r="J143" i="1"/>
  <c r="K143" i="1"/>
  <c r="L143" i="1"/>
  <c r="N143" i="1"/>
  <c r="O143" i="1"/>
  <c r="Q143" i="1"/>
  <c r="R143" i="1"/>
  <c r="T143" i="1"/>
  <c r="U143" i="1"/>
  <c r="V143" i="1"/>
  <c r="X143" i="1"/>
  <c r="Y143" i="1"/>
  <c r="Z143" i="1"/>
  <c r="J144" i="1"/>
  <c r="K144" i="1"/>
  <c r="L144" i="1"/>
  <c r="N144" i="1"/>
  <c r="O144" i="1"/>
  <c r="Q144" i="1"/>
  <c r="R144" i="1"/>
  <c r="T144" i="1"/>
  <c r="U144" i="1"/>
  <c r="V144" i="1"/>
  <c r="X144" i="1"/>
  <c r="Y144" i="1"/>
  <c r="Z144" i="1"/>
  <c r="J145" i="1"/>
  <c r="K145" i="1"/>
  <c r="L145" i="1"/>
  <c r="N145" i="1"/>
  <c r="O145" i="1"/>
  <c r="Q145" i="1"/>
  <c r="R145" i="1"/>
  <c r="T145" i="1"/>
  <c r="U145" i="1"/>
  <c r="V145" i="1"/>
  <c r="X145" i="1"/>
  <c r="Y145" i="1"/>
  <c r="Z145" i="1"/>
  <c r="J146" i="1"/>
  <c r="K146" i="1"/>
  <c r="L146" i="1"/>
  <c r="N146" i="1"/>
  <c r="O146" i="1"/>
  <c r="Q146" i="1"/>
  <c r="R146" i="1"/>
  <c r="T146" i="1"/>
  <c r="U146" i="1"/>
  <c r="V146" i="1"/>
  <c r="X146" i="1"/>
  <c r="Y146" i="1"/>
  <c r="Z146" i="1"/>
  <c r="J147" i="1"/>
  <c r="K147" i="1"/>
  <c r="L147" i="1"/>
  <c r="N147" i="1"/>
  <c r="O147" i="1"/>
  <c r="Q147" i="1"/>
  <c r="R147" i="1"/>
  <c r="T147" i="1"/>
  <c r="U147" i="1"/>
  <c r="V147" i="1"/>
  <c r="X147" i="1"/>
  <c r="Y147" i="1"/>
  <c r="Z147" i="1"/>
  <c r="J148" i="1"/>
  <c r="K148" i="1"/>
  <c r="L148" i="1"/>
  <c r="N148" i="1"/>
  <c r="O148" i="1"/>
  <c r="Q148" i="1"/>
  <c r="R148" i="1"/>
  <c r="T148" i="1"/>
  <c r="U148" i="1"/>
  <c r="V148" i="1"/>
  <c r="X148" i="1"/>
  <c r="Y148" i="1"/>
  <c r="Z148" i="1"/>
  <c r="J149" i="1"/>
  <c r="K149" i="1"/>
  <c r="L149" i="1"/>
  <c r="N149" i="1"/>
  <c r="O149" i="1"/>
  <c r="Q149" i="1"/>
  <c r="R149" i="1"/>
  <c r="T149" i="1"/>
  <c r="U149" i="1"/>
  <c r="V149" i="1"/>
  <c r="X149" i="1"/>
  <c r="Y149" i="1"/>
  <c r="Z149" i="1"/>
  <c r="J150" i="1"/>
  <c r="K150" i="1"/>
  <c r="L150" i="1"/>
  <c r="N150" i="1"/>
  <c r="O150" i="1"/>
  <c r="Q150" i="1"/>
  <c r="R150" i="1"/>
  <c r="T150" i="1"/>
  <c r="U150" i="1"/>
  <c r="V150" i="1"/>
  <c r="X150" i="1"/>
  <c r="Y150" i="1"/>
  <c r="Z150" i="1"/>
  <c r="J151" i="1"/>
  <c r="K151" i="1"/>
  <c r="L151" i="1"/>
  <c r="N151" i="1"/>
  <c r="O151" i="1"/>
  <c r="Q151" i="1"/>
  <c r="R151" i="1"/>
  <c r="T151" i="1"/>
  <c r="U151" i="1"/>
  <c r="V151" i="1"/>
  <c r="X151" i="1"/>
  <c r="Y151" i="1"/>
  <c r="Z151" i="1"/>
  <c r="J152" i="1"/>
  <c r="K152" i="1"/>
  <c r="L152" i="1"/>
  <c r="N152" i="1"/>
  <c r="O152" i="1"/>
  <c r="Q152" i="1"/>
  <c r="R152" i="1"/>
  <c r="T152" i="1"/>
  <c r="U152" i="1"/>
  <c r="V152" i="1"/>
  <c r="X152" i="1"/>
  <c r="Y152" i="1"/>
  <c r="Z152" i="1"/>
  <c r="J153" i="1"/>
  <c r="K153" i="1"/>
  <c r="L153" i="1"/>
  <c r="N153" i="1"/>
  <c r="O153" i="1"/>
  <c r="Q153" i="1"/>
  <c r="R153" i="1"/>
  <c r="T153" i="1"/>
  <c r="U153" i="1"/>
  <c r="V153" i="1"/>
  <c r="X153" i="1"/>
  <c r="Y153" i="1"/>
  <c r="Z153" i="1"/>
  <c r="J154" i="1"/>
  <c r="K154" i="1"/>
  <c r="L154" i="1"/>
  <c r="N154" i="1"/>
  <c r="O154" i="1"/>
  <c r="Q154" i="1"/>
  <c r="R154" i="1"/>
  <c r="T154" i="1"/>
  <c r="U154" i="1"/>
  <c r="V154" i="1"/>
  <c r="X154" i="1"/>
  <c r="Y154" i="1"/>
  <c r="Z154" i="1"/>
  <c r="J155" i="1"/>
  <c r="K155" i="1"/>
  <c r="L155" i="1"/>
  <c r="N155" i="1"/>
  <c r="O155" i="1"/>
  <c r="Q155" i="1"/>
  <c r="R155" i="1"/>
  <c r="T155" i="1"/>
  <c r="U155" i="1"/>
  <c r="V155" i="1"/>
  <c r="X155" i="1"/>
  <c r="Y155" i="1"/>
  <c r="Z155" i="1"/>
  <c r="J156" i="1"/>
  <c r="K156" i="1"/>
  <c r="L156" i="1"/>
  <c r="N156" i="1"/>
  <c r="O156" i="1"/>
  <c r="Q156" i="1"/>
  <c r="R156" i="1"/>
  <c r="T156" i="1"/>
  <c r="U156" i="1"/>
  <c r="V156" i="1"/>
  <c r="X156" i="1"/>
  <c r="Y156" i="1"/>
  <c r="Z156" i="1"/>
  <c r="J157" i="1"/>
  <c r="K157" i="1"/>
  <c r="L157" i="1"/>
  <c r="N157" i="1"/>
  <c r="O157" i="1"/>
  <c r="Q157" i="1"/>
  <c r="R157" i="1"/>
  <c r="T157" i="1"/>
  <c r="U157" i="1"/>
  <c r="V157" i="1"/>
  <c r="X157" i="1"/>
  <c r="Y157" i="1"/>
  <c r="Z157" i="1"/>
  <c r="J158" i="1"/>
  <c r="K158" i="1"/>
  <c r="L158" i="1"/>
  <c r="N158" i="1"/>
  <c r="O158" i="1"/>
  <c r="Q158" i="1"/>
  <c r="R158" i="1"/>
  <c r="T158" i="1"/>
  <c r="U158" i="1"/>
  <c r="V158" i="1"/>
  <c r="X158" i="1"/>
  <c r="Y158" i="1"/>
  <c r="Z158" i="1"/>
  <c r="J159" i="1"/>
  <c r="K159" i="1"/>
  <c r="L159" i="1"/>
  <c r="N159" i="1"/>
  <c r="O159" i="1"/>
  <c r="Q159" i="1"/>
  <c r="R159" i="1"/>
  <c r="T159" i="1"/>
  <c r="U159" i="1"/>
  <c r="V159" i="1"/>
  <c r="X159" i="1"/>
  <c r="Y159" i="1"/>
  <c r="Z159" i="1"/>
  <c r="J160" i="1"/>
  <c r="K160" i="1"/>
  <c r="L160" i="1"/>
  <c r="N160" i="1"/>
  <c r="O160" i="1"/>
  <c r="Q160" i="1"/>
  <c r="R160" i="1"/>
  <c r="T160" i="1"/>
  <c r="U160" i="1"/>
  <c r="V160" i="1"/>
  <c r="X160" i="1"/>
  <c r="Y160" i="1"/>
  <c r="Z160" i="1"/>
  <c r="J161" i="1"/>
  <c r="K161" i="1"/>
  <c r="L161" i="1"/>
  <c r="N161" i="1"/>
  <c r="O161" i="1"/>
  <c r="Q161" i="1"/>
  <c r="R161" i="1"/>
  <c r="T161" i="1"/>
  <c r="U161" i="1"/>
  <c r="V161" i="1"/>
  <c r="X161" i="1"/>
  <c r="Y161" i="1"/>
  <c r="Z161" i="1"/>
  <c r="J162" i="1"/>
  <c r="K162" i="1"/>
  <c r="L162" i="1"/>
  <c r="N162" i="1"/>
  <c r="O162" i="1"/>
  <c r="Q162" i="1"/>
  <c r="R162" i="1"/>
  <c r="T162" i="1"/>
  <c r="U162" i="1"/>
  <c r="V162" i="1"/>
  <c r="X162" i="1"/>
  <c r="Y162" i="1"/>
  <c r="Z162" i="1"/>
  <c r="J163" i="1"/>
  <c r="K163" i="1"/>
  <c r="L163" i="1"/>
  <c r="N163" i="1"/>
  <c r="O163" i="1"/>
  <c r="Q163" i="1"/>
  <c r="R163" i="1"/>
  <c r="T163" i="1"/>
  <c r="U163" i="1"/>
  <c r="V163" i="1"/>
  <c r="X163" i="1"/>
  <c r="Y163" i="1"/>
  <c r="Z163" i="1"/>
  <c r="J164" i="1"/>
  <c r="K164" i="1"/>
  <c r="L164" i="1"/>
  <c r="N164" i="1"/>
  <c r="O164" i="1"/>
  <c r="Q164" i="1"/>
  <c r="R164" i="1"/>
  <c r="T164" i="1"/>
  <c r="U164" i="1"/>
  <c r="V164" i="1"/>
  <c r="X164" i="1"/>
  <c r="Y164" i="1"/>
  <c r="Z164" i="1"/>
  <c r="J165" i="1"/>
  <c r="K165" i="1"/>
  <c r="L165" i="1"/>
  <c r="N165" i="1"/>
  <c r="O165" i="1"/>
  <c r="Q165" i="1"/>
  <c r="R165" i="1"/>
  <c r="T165" i="1"/>
  <c r="U165" i="1"/>
  <c r="V165" i="1"/>
  <c r="X165" i="1"/>
  <c r="Y165" i="1"/>
  <c r="Z165" i="1"/>
  <c r="J166" i="1"/>
  <c r="K166" i="1"/>
  <c r="L166" i="1"/>
  <c r="N166" i="1"/>
  <c r="O166" i="1"/>
  <c r="Q166" i="1"/>
  <c r="R166" i="1"/>
  <c r="T166" i="1"/>
  <c r="U166" i="1"/>
  <c r="V166" i="1"/>
  <c r="X166" i="1"/>
  <c r="Y166" i="1"/>
  <c r="Z166" i="1"/>
  <c r="J167" i="1"/>
  <c r="K167" i="1"/>
  <c r="L167" i="1"/>
  <c r="N167" i="1"/>
  <c r="O167" i="1"/>
  <c r="Q167" i="1"/>
  <c r="R167" i="1"/>
  <c r="T167" i="1"/>
  <c r="U167" i="1"/>
  <c r="V167" i="1"/>
  <c r="X167" i="1"/>
  <c r="Y167" i="1"/>
  <c r="Z167" i="1"/>
  <c r="J168" i="1"/>
  <c r="K168" i="1"/>
  <c r="L168" i="1"/>
  <c r="N168" i="1"/>
  <c r="O168" i="1"/>
  <c r="Q168" i="1"/>
  <c r="R168" i="1"/>
  <c r="T168" i="1"/>
  <c r="U168" i="1"/>
  <c r="V168" i="1"/>
  <c r="X168" i="1"/>
  <c r="Y168" i="1"/>
  <c r="Z168" i="1"/>
  <c r="J169" i="1"/>
  <c r="K169" i="1"/>
  <c r="L169" i="1"/>
  <c r="N169" i="1"/>
  <c r="O169" i="1"/>
  <c r="Q169" i="1"/>
  <c r="R169" i="1"/>
  <c r="T169" i="1"/>
  <c r="U169" i="1"/>
  <c r="V169" i="1"/>
  <c r="X169" i="1"/>
  <c r="Y169" i="1"/>
  <c r="Z169" i="1"/>
  <c r="J170" i="1"/>
  <c r="K170" i="1"/>
  <c r="L170" i="1"/>
  <c r="N170" i="1"/>
  <c r="O170" i="1"/>
  <c r="Q170" i="1"/>
  <c r="R170" i="1"/>
  <c r="T170" i="1"/>
  <c r="U170" i="1"/>
  <c r="V170" i="1"/>
  <c r="X170" i="1"/>
  <c r="Y170" i="1"/>
  <c r="Z170" i="1"/>
  <c r="J171" i="1"/>
  <c r="K171" i="1"/>
  <c r="L171" i="1"/>
  <c r="N171" i="1"/>
  <c r="O171" i="1"/>
  <c r="Q171" i="1"/>
  <c r="R171" i="1"/>
  <c r="T171" i="1"/>
  <c r="U171" i="1"/>
  <c r="V171" i="1"/>
  <c r="X171" i="1"/>
  <c r="Y171" i="1"/>
  <c r="Z171" i="1"/>
  <c r="J172" i="1"/>
  <c r="K172" i="1"/>
  <c r="L172" i="1"/>
  <c r="N172" i="1"/>
  <c r="O172" i="1"/>
  <c r="Q172" i="1"/>
  <c r="R172" i="1"/>
  <c r="T172" i="1"/>
  <c r="U172" i="1"/>
  <c r="V172" i="1"/>
  <c r="X172" i="1"/>
  <c r="Y172" i="1"/>
  <c r="Z172" i="1"/>
  <c r="J173" i="1"/>
  <c r="K173" i="1"/>
  <c r="L173" i="1"/>
  <c r="N173" i="1"/>
  <c r="O173" i="1"/>
  <c r="Q173" i="1"/>
  <c r="R173" i="1"/>
  <c r="T173" i="1"/>
  <c r="U173" i="1"/>
  <c r="V173" i="1"/>
  <c r="X173" i="1"/>
  <c r="Y173" i="1"/>
  <c r="Z173" i="1"/>
  <c r="J174" i="1"/>
  <c r="K174" i="1"/>
  <c r="L174" i="1"/>
  <c r="N174" i="1"/>
  <c r="O174" i="1"/>
  <c r="Q174" i="1"/>
  <c r="R174" i="1"/>
  <c r="T174" i="1"/>
  <c r="U174" i="1"/>
  <c r="V174" i="1"/>
  <c r="X174" i="1"/>
  <c r="Y174" i="1"/>
  <c r="Z174" i="1"/>
  <c r="J175" i="1"/>
  <c r="K175" i="1"/>
  <c r="L175" i="1"/>
  <c r="N175" i="1"/>
  <c r="O175" i="1"/>
  <c r="Q175" i="1"/>
  <c r="R175" i="1"/>
  <c r="T175" i="1"/>
  <c r="U175" i="1"/>
  <c r="V175" i="1"/>
  <c r="X175" i="1"/>
  <c r="Y175" i="1"/>
  <c r="Z175" i="1"/>
  <c r="J176" i="1"/>
  <c r="K176" i="1"/>
  <c r="L176" i="1"/>
  <c r="N176" i="1"/>
  <c r="O176" i="1"/>
  <c r="Q176" i="1"/>
  <c r="R176" i="1"/>
  <c r="T176" i="1"/>
  <c r="U176" i="1"/>
  <c r="V176" i="1"/>
  <c r="X176" i="1"/>
  <c r="Y176" i="1"/>
  <c r="Z176" i="1"/>
  <c r="J177" i="1"/>
  <c r="K177" i="1"/>
  <c r="L177" i="1"/>
  <c r="N177" i="1"/>
  <c r="O177" i="1"/>
  <c r="Q177" i="1"/>
  <c r="R177" i="1"/>
  <c r="T177" i="1"/>
  <c r="U177" i="1"/>
  <c r="V177" i="1"/>
  <c r="X177" i="1"/>
  <c r="Y177" i="1"/>
  <c r="Z177" i="1"/>
  <c r="J178" i="1"/>
  <c r="K178" i="1"/>
  <c r="L178" i="1"/>
  <c r="N178" i="1"/>
  <c r="O178" i="1"/>
  <c r="Q178" i="1"/>
  <c r="R178" i="1"/>
  <c r="T178" i="1"/>
  <c r="U178" i="1"/>
  <c r="V178" i="1"/>
  <c r="X178" i="1"/>
  <c r="Y178" i="1"/>
  <c r="Z178" i="1"/>
  <c r="J179" i="1"/>
  <c r="K179" i="1"/>
  <c r="L179" i="1"/>
  <c r="N179" i="1"/>
  <c r="O179" i="1"/>
  <c r="Q179" i="1"/>
  <c r="R179" i="1"/>
  <c r="T179" i="1"/>
  <c r="U179" i="1"/>
  <c r="V179" i="1"/>
  <c r="X179" i="1"/>
  <c r="Y179" i="1"/>
  <c r="Z179" i="1"/>
  <c r="J180" i="1"/>
  <c r="K180" i="1"/>
  <c r="L180" i="1"/>
  <c r="N180" i="1"/>
  <c r="O180" i="1"/>
  <c r="Q180" i="1"/>
  <c r="R180" i="1"/>
  <c r="T180" i="1"/>
  <c r="U180" i="1"/>
  <c r="V180" i="1"/>
  <c r="X180" i="1"/>
  <c r="Y180" i="1"/>
  <c r="Z180" i="1"/>
  <c r="J181" i="1"/>
  <c r="K181" i="1"/>
  <c r="L181" i="1"/>
  <c r="N181" i="1"/>
  <c r="O181" i="1"/>
  <c r="Q181" i="1"/>
  <c r="R181" i="1"/>
  <c r="T181" i="1"/>
  <c r="U181" i="1"/>
  <c r="V181" i="1"/>
  <c r="X181" i="1"/>
  <c r="Y181" i="1"/>
  <c r="Z181" i="1"/>
  <c r="J182" i="1"/>
  <c r="K182" i="1"/>
  <c r="L182" i="1"/>
  <c r="N182" i="1"/>
  <c r="O182" i="1"/>
  <c r="Q182" i="1"/>
  <c r="R182" i="1"/>
  <c r="T182" i="1"/>
  <c r="U182" i="1"/>
  <c r="V182" i="1"/>
  <c r="X182" i="1"/>
  <c r="Y182" i="1"/>
  <c r="Z182" i="1"/>
  <c r="J183" i="1"/>
  <c r="K183" i="1"/>
  <c r="L183" i="1"/>
  <c r="N183" i="1"/>
  <c r="O183" i="1"/>
  <c r="Q183" i="1"/>
  <c r="R183" i="1"/>
  <c r="T183" i="1"/>
  <c r="U183" i="1"/>
  <c r="V183" i="1"/>
  <c r="X183" i="1"/>
  <c r="Y183" i="1"/>
  <c r="Z183" i="1"/>
  <c r="J184" i="1"/>
  <c r="K184" i="1"/>
  <c r="L184" i="1"/>
  <c r="N184" i="1"/>
  <c r="O184" i="1"/>
  <c r="Q184" i="1"/>
  <c r="R184" i="1"/>
  <c r="T184" i="1"/>
  <c r="U184" i="1"/>
  <c r="V184" i="1"/>
  <c r="X184" i="1"/>
  <c r="Y184" i="1"/>
  <c r="Z184" i="1"/>
  <c r="J185" i="1"/>
  <c r="K185" i="1"/>
  <c r="L185" i="1"/>
  <c r="N185" i="1"/>
  <c r="O185" i="1"/>
  <c r="Q185" i="1"/>
  <c r="R185" i="1"/>
  <c r="T185" i="1"/>
  <c r="U185" i="1"/>
  <c r="V185" i="1"/>
  <c r="X185" i="1"/>
  <c r="Y185" i="1"/>
  <c r="Z185" i="1"/>
  <c r="J186" i="1"/>
  <c r="K186" i="1"/>
  <c r="L186" i="1"/>
  <c r="N186" i="1"/>
  <c r="O186" i="1"/>
  <c r="Q186" i="1"/>
  <c r="R186" i="1"/>
  <c r="T186" i="1"/>
  <c r="U186" i="1"/>
  <c r="V186" i="1"/>
  <c r="X186" i="1"/>
  <c r="Y186" i="1"/>
  <c r="Z186" i="1"/>
  <c r="J187" i="1"/>
  <c r="K187" i="1"/>
  <c r="L187" i="1"/>
  <c r="N187" i="1"/>
  <c r="O187" i="1"/>
  <c r="Q187" i="1"/>
  <c r="R187" i="1"/>
  <c r="T187" i="1"/>
  <c r="U187" i="1"/>
  <c r="V187" i="1"/>
  <c r="X187" i="1"/>
  <c r="Y187" i="1"/>
  <c r="Z187" i="1"/>
  <c r="J188" i="1"/>
  <c r="K188" i="1"/>
  <c r="L188" i="1"/>
  <c r="N188" i="1"/>
  <c r="O188" i="1"/>
  <c r="Q188" i="1"/>
  <c r="R188" i="1"/>
  <c r="T188" i="1"/>
  <c r="U188" i="1"/>
  <c r="V188" i="1"/>
  <c r="X188" i="1"/>
  <c r="Y188" i="1"/>
  <c r="Z188" i="1"/>
  <c r="J189" i="1"/>
  <c r="K189" i="1"/>
  <c r="L189" i="1"/>
  <c r="N189" i="1"/>
  <c r="O189" i="1"/>
  <c r="Q189" i="1"/>
  <c r="R189" i="1"/>
  <c r="T189" i="1"/>
  <c r="U189" i="1"/>
  <c r="V189" i="1"/>
  <c r="X189" i="1"/>
  <c r="Y189" i="1"/>
  <c r="Z189" i="1"/>
  <c r="J190" i="1"/>
  <c r="K190" i="1"/>
  <c r="L190" i="1"/>
  <c r="N190" i="1"/>
  <c r="O190" i="1"/>
  <c r="Q190" i="1"/>
  <c r="R190" i="1"/>
  <c r="T190" i="1"/>
  <c r="U190" i="1"/>
  <c r="V190" i="1"/>
  <c r="X190" i="1"/>
  <c r="Y190" i="1"/>
  <c r="Z190" i="1"/>
  <c r="J191" i="1"/>
  <c r="K191" i="1"/>
  <c r="L191" i="1"/>
  <c r="N191" i="1"/>
  <c r="O191" i="1"/>
  <c r="Q191" i="1"/>
  <c r="R191" i="1"/>
  <c r="T191" i="1"/>
  <c r="U191" i="1"/>
  <c r="V191" i="1"/>
  <c r="X191" i="1"/>
  <c r="Y191" i="1"/>
  <c r="Z191" i="1"/>
  <c r="J192" i="1"/>
  <c r="K192" i="1"/>
  <c r="L192" i="1"/>
  <c r="N192" i="1"/>
  <c r="O192" i="1"/>
  <c r="Q192" i="1"/>
  <c r="R192" i="1"/>
  <c r="T192" i="1"/>
  <c r="U192" i="1"/>
  <c r="V192" i="1"/>
  <c r="X192" i="1"/>
  <c r="Y192" i="1"/>
  <c r="Z192" i="1"/>
  <c r="J193" i="1"/>
  <c r="K193" i="1"/>
  <c r="L193" i="1"/>
  <c r="N193" i="1"/>
  <c r="O193" i="1"/>
  <c r="Q193" i="1"/>
  <c r="R193" i="1"/>
  <c r="T193" i="1"/>
  <c r="U193" i="1"/>
  <c r="V193" i="1"/>
  <c r="X193" i="1"/>
  <c r="Y193" i="1"/>
  <c r="Z193" i="1"/>
  <c r="J194" i="1"/>
  <c r="K194" i="1"/>
  <c r="L194" i="1"/>
  <c r="N194" i="1"/>
  <c r="O194" i="1"/>
  <c r="Q194" i="1"/>
  <c r="R194" i="1"/>
  <c r="T194" i="1"/>
  <c r="U194" i="1"/>
  <c r="V194" i="1"/>
  <c r="X194" i="1"/>
  <c r="Y194" i="1"/>
  <c r="Z194" i="1"/>
  <c r="J195" i="1"/>
  <c r="K195" i="1"/>
  <c r="L195" i="1"/>
  <c r="N195" i="1"/>
  <c r="O195" i="1"/>
  <c r="Q195" i="1"/>
  <c r="R195" i="1"/>
  <c r="T195" i="1"/>
  <c r="U195" i="1"/>
  <c r="V195" i="1"/>
  <c r="X195" i="1"/>
  <c r="Y195" i="1"/>
  <c r="Z195" i="1"/>
  <c r="J196" i="1"/>
  <c r="K196" i="1"/>
  <c r="L196" i="1"/>
  <c r="N196" i="1"/>
  <c r="O196" i="1"/>
  <c r="Q196" i="1"/>
  <c r="R196" i="1"/>
  <c r="T196" i="1"/>
  <c r="U196" i="1"/>
  <c r="V196" i="1"/>
  <c r="X196" i="1"/>
  <c r="Y196" i="1"/>
  <c r="Z196" i="1"/>
  <c r="J197" i="1"/>
  <c r="K197" i="1"/>
  <c r="L197" i="1"/>
  <c r="N197" i="1"/>
  <c r="O197" i="1"/>
  <c r="Q197" i="1"/>
  <c r="R197" i="1"/>
  <c r="T197" i="1"/>
  <c r="U197" i="1"/>
  <c r="V197" i="1"/>
  <c r="X197" i="1"/>
  <c r="Y197" i="1"/>
  <c r="Z197" i="1"/>
  <c r="J198" i="1"/>
  <c r="K198" i="1"/>
  <c r="L198" i="1"/>
  <c r="N198" i="1"/>
  <c r="O198" i="1"/>
  <c r="Q198" i="1"/>
  <c r="R198" i="1"/>
  <c r="T198" i="1"/>
  <c r="U198" i="1"/>
  <c r="V198" i="1"/>
  <c r="X198" i="1"/>
  <c r="Y198" i="1"/>
  <c r="Z198" i="1"/>
  <c r="J199" i="1"/>
  <c r="K199" i="1"/>
  <c r="L199" i="1"/>
  <c r="N199" i="1"/>
  <c r="O199" i="1"/>
  <c r="Q199" i="1"/>
  <c r="R199" i="1"/>
  <c r="T199" i="1"/>
  <c r="U199" i="1"/>
  <c r="V199" i="1"/>
  <c r="X199" i="1"/>
  <c r="Y199" i="1"/>
  <c r="Z199" i="1"/>
  <c r="J200" i="1"/>
  <c r="K200" i="1"/>
  <c r="L200" i="1"/>
  <c r="N200" i="1"/>
  <c r="O200" i="1"/>
  <c r="Q200" i="1"/>
  <c r="R200" i="1"/>
  <c r="T200" i="1"/>
  <c r="U200" i="1"/>
  <c r="V200" i="1"/>
  <c r="X200" i="1"/>
  <c r="Y200" i="1"/>
  <c r="Z200" i="1"/>
  <c r="J201" i="1"/>
  <c r="K201" i="1"/>
  <c r="L201" i="1"/>
  <c r="N201" i="1"/>
  <c r="O201" i="1"/>
  <c r="Q201" i="1"/>
  <c r="R201" i="1"/>
  <c r="T201" i="1"/>
  <c r="U201" i="1"/>
  <c r="V201" i="1"/>
  <c r="X201" i="1"/>
  <c r="Y201" i="1"/>
  <c r="Z201" i="1"/>
  <c r="J202" i="1"/>
  <c r="K202" i="1"/>
  <c r="L202" i="1"/>
  <c r="N202" i="1"/>
  <c r="O202" i="1"/>
  <c r="Q202" i="1"/>
  <c r="R202" i="1"/>
  <c r="T202" i="1"/>
  <c r="U202" i="1"/>
  <c r="V202" i="1"/>
  <c r="X202" i="1"/>
  <c r="Y202" i="1"/>
  <c r="Z202" i="1"/>
  <c r="Z3" i="1"/>
  <c r="Y3" i="1"/>
  <c r="X3" i="1"/>
  <c r="R3" i="1"/>
  <c r="Q3" i="1"/>
  <c r="O3" i="1"/>
  <c r="N3" i="1"/>
  <c r="L3" i="1"/>
  <c r="K3" i="1"/>
  <c r="J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H3" i="1"/>
  <c r="G3" i="1"/>
  <c r="F3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D3" i="1"/>
  <c r="C3" i="1"/>
  <c r="B3" i="1"/>
  <c r="U3" i="1"/>
  <c r="V3" i="1"/>
  <c r="T3" i="1"/>
</calcChain>
</file>

<file path=xl/sharedStrings.xml><?xml version="1.0" encoding="utf-8"?>
<sst xmlns="http://schemas.openxmlformats.org/spreadsheetml/2006/main" count="129" uniqueCount="68">
  <si>
    <t>n_estimators</t>
  </si>
  <si>
    <t>max_depth</t>
  </si>
  <si>
    <t>learning_rate</t>
  </si>
  <si>
    <t>XGB</t>
  </si>
  <si>
    <t>min_samples_split</t>
  </si>
  <si>
    <t>min_samples_leaf</t>
  </si>
  <si>
    <t>KNNC</t>
  </si>
  <si>
    <t>n_neighbors</t>
  </si>
  <si>
    <t>p</t>
  </si>
  <si>
    <t>leaf_size</t>
  </si>
  <si>
    <t>RFC</t>
  </si>
  <si>
    <t>LR</t>
  </si>
  <si>
    <t>C</t>
  </si>
  <si>
    <t>max_iter</t>
  </si>
  <si>
    <t>DTC/DTR</t>
  </si>
  <si>
    <t>HGBR</t>
  </si>
  <si>
    <t>SVC</t>
  </si>
  <si>
    <t>gamma</t>
  </si>
  <si>
    <t>alpha</t>
  </si>
  <si>
    <t>tol</t>
  </si>
  <si>
    <t>Lasso</t>
  </si>
  <si>
    <t>q</t>
  </si>
  <si>
    <t>QR</t>
  </si>
  <si>
    <t>reg_param</t>
  </si>
  <si>
    <t>QDA</t>
  </si>
  <si>
    <t>num_leaves</t>
  </si>
  <si>
    <t>LGBC</t>
  </si>
  <si>
    <t>max_iter_predict</t>
  </si>
  <si>
    <t>n_restarts_optimizer</t>
  </si>
  <si>
    <t>random_state</t>
  </si>
  <si>
    <t>GPC</t>
  </si>
  <si>
    <t>SGB/GBR/GBC</t>
  </si>
  <si>
    <t>epsilon</t>
  </si>
  <si>
    <t>HR</t>
  </si>
  <si>
    <t>kernel</t>
  </si>
  <si>
    <t>KRR</t>
  </si>
  <si>
    <t>l1_ratio</t>
  </si>
  <si>
    <t>ENR</t>
  </si>
  <si>
    <t>iterations</t>
  </si>
  <si>
    <t>depth</t>
  </si>
  <si>
    <t>CATR</t>
  </si>
  <si>
    <t>GPR</t>
  </si>
  <si>
    <t>alpha_1</t>
  </si>
  <si>
    <t>lambda_1</t>
  </si>
  <si>
    <t>SBR</t>
  </si>
  <si>
    <t>eta0</t>
  </si>
  <si>
    <t>subsample</t>
  </si>
  <si>
    <t>colsample_bytree</t>
  </si>
  <si>
    <t>quantile</t>
  </si>
  <si>
    <t>fit_intercept</t>
  </si>
  <si>
    <t>XGBR</t>
  </si>
  <si>
    <t>degree</t>
  </si>
  <si>
    <t>SVR</t>
  </si>
  <si>
    <t>shrinkage</t>
  </si>
  <si>
    <t>LDA</t>
  </si>
  <si>
    <t>MLR</t>
  </si>
  <si>
    <t>loss</t>
  </si>
  <si>
    <t>ADAR</t>
  </si>
  <si>
    <t>LSSVC</t>
  </si>
  <si>
    <t>ADAC</t>
  </si>
  <si>
    <t>Parameter</t>
  </si>
  <si>
    <t>Type</t>
  </si>
  <si>
    <t>Search Space</t>
  </si>
  <si>
    <t>float</t>
  </si>
  <si>
    <t>0.01, 0.20</t>
  </si>
  <si>
    <t>int</t>
  </si>
  <si>
    <t>50, 300</t>
  </si>
  <si>
    <t>1, 10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</si>
</sst>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 Unicode MS"/>
      <family val="2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9D08E"/>
        <bgColor rgb="FFA9D08E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3" fillId="4" borderId="1" applyNumberFormat="0" applyAlignment="0" applyProtection="0"/>
    <xf numFmtId="0" fontId="1" fillId="2" borderId="0"/>
    <xf numFmtId="0" fontId="2" fillId="3" borderId="0"/>
  </cellStyleXfs>
  <cellXfs count="10">
    <xf numFmtId="0" fontId="0" fillId="0" borderId="0" xfId="0"/>
    <xf numFmtId="0" fontId="4" fillId="0" borderId="0" xfId="0" applyFont="1" applyAlignment="1">
      <alignment vertical="center" wrapText="1"/>
    </xf>
    <xf numFmtId="0" fontId="5" fillId="5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3" fillId="4" borderId="1" xfId="1" applyAlignment="1">
      <alignment horizontal="center"/>
    </xf>
    <xf numFmtId="0" fontId="3" fillId="4" borderId="2" xfId="1" applyBorder="1" applyAlignment="1">
      <alignment horizontal="center"/>
    </xf>
    <xf numFmtId="0" fontId="3" fillId="4" borderId="3" xfId="1" applyBorder="1" applyAlignment="1">
      <alignment horizontal="center"/>
    </xf>
    <xf numFmtId="0" fontId="3" fillId="4" borderId="5" xfId="1" applyBorder="1" applyAlignment="1">
      <alignment horizontal="center"/>
    </xf>
    <xf numFmtId="0" fontId="3" fillId="4" borderId="0" xfId="1" applyBorder="1" applyAlignment="1">
      <alignment horizontal="center"/>
    </xf>
    <xf numFmtId="0" fontId="3" fillId="4" borderId="4" xfId="1" applyBorder="1" applyAlignment="1">
      <alignment horizontal="center"/>
    </xf>
  </cellXfs>
  <cellStyles count="4">
    <cellStyle name="Calculation" xfId="1" builtinId="22"/>
    <cellStyle name="Good 2" xfId="2" xr:uid="{ADA26BFB-D622-446A-91DE-FAA7BF09EC7E}"/>
    <cellStyle name="Neutral 2" xfId="3" xr:uid="{5727AFA4-E9D0-48FA-A088-E47DA4341A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Q202"/>
  <sheetViews>
    <sheetView tabSelected="1" topLeftCell="AR1" zoomScale="70" zoomScaleNormal="70" workbookViewId="0">
      <selection activeCell="BG2" sqref="BG2:BI202"/>
    </sheetView>
  </sheetViews>
  <sheetFormatPr defaultRowHeight="15" x14ac:dyDescent="0.25"/>
  <cols>
    <col min="43" max="43" width="23.85546875" customWidth="1"/>
    <col min="44" max="44" width="25.7109375" customWidth="1"/>
  </cols>
  <sheetData>
    <row r="1" spans="2:121" x14ac:dyDescent="0.25">
      <c r="B1" s="4" t="s">
        <v>3</v>
      </c>
      <c r="C1" s="4"/>
      <c r="D1" s="4"/>
      <c r="F1" s="4" t="s">
        <v>14</v>
      </c>
      <c r="G1" s="4"/>
      <c r="H1" s="4"/>
      <c r="I1" s="1"/>
      <c r="J1" s="4" t="s">
        <v>6</v>
      </c>
      <c r="K1" s="4"/>
      <c r="L1" s="4"/>
      <c r="M1" s="1"/>
      <c r="N1" s="5" t="s">
        <v>10</v>
      </c>
      <c r="O1" s="6"/>
      <c r="P1" s="1"/>
      <c r="Q1" s="5" t="s">
        <v>11</v>
      </c>
      <c r="R1" s="6"/>
      <c r="S1" s="1"/>
      <c r="T1" s="4" t="s">
        <v>15</v>
      </c>
      <c r="U1" s="4"/>
      <c r="V1" s="4"/>
      <c r="W1" s="1"/>
      <c r="X1" s="4" t="s">
        <v>16</v>
      </c>
      <c r="Y1" s="4"/>
      <c r="Z1" s="4"/>
      <c r="AB1" s="4" t="s">
        <v>20</v>
      </c>
      <c r="AC1" s="4"/>
      <c r="AD1" s="4"/>
      <c r="AE1" s="1"/>
      <c r="AF1" s="4" t="s">
        <v>22</v>
      </c>
      <c r="AG1" s="4"/>
      <c r="AH1" s="4"/>
      <c r="AJ1" s="5" t="s">
        <v>24</v>
      </c>
      <c r="AK1" s="6"/>
      <c r="AM1" s="5" t="s">
        <v>26</v>
      </c>
      <c r="AN1" s="9"/>
      <c r="AO1" s="9"/>
      <c r="AQ1" s="5" t="s">
        <v>30</v>
      </c>
      <c r="AR1" s="9"/>
      <c r="AS1" s="9"/>
      <c r="AU1" s="5" t="s">
        <v>31</v>
      </c>
      <c r="AV1" s="9"/>
      <c r="AW1" s="9"/>
      <c r="AY1" s="4" t="s">
        <v>33</v>
      </c>
      <c r="AZ1" s="4"/>
      <c r="BA1" s="4"/>
      <c r="BC1" s="4" t="s">
        <v>35</v>
      </c>
      <c r="BD1" s="4"/>
      <c r="BE1" s="4"/>
      <c r="BG1" s="4" t="s">
        <v>37</v>
      </c>
      <c r="BH1" s="4"/>
      <c r="BI1" s="4"/>
      <c r="BK1" s="4" t="s">
        <v>40</v>
      </c>
      <c r="BL1" s="4"/>
      <c r="BM1" s="4"/>
      <c r="BO1" s="5" t="s">
        <v>41</v>
      </c>
      <c r="BP1" s="6"/>
      <c r="BR1" s="4" t="s">
        <v>44</v>
      </c>
      <c r="BS1" s="4"/>
      <c r="BT1" s="4"/>
      <c r="BV1" s="7" t="s">
        <v>37</v>
      </c>
      <c r="BW1" s="8"/>
      <c r="BX1" s="8"/>
      <c r="BY1" s="8"/>
      <c r="BZ1" s="8"/>
      <c r="CB1" s="7" t="s">
        <v>50</v>
      </c>
      <c r="CC1" s="8"/>
      <c r="CD1" s="8"/>
      <c r="CE1" s="8"/>
      <c r="CF1" s="8"/>
      <c r="CH1" s="7" t="s">
        <v>22</v>
      </c>
      <c r="CI1" s="8"/>
      <c r="CJ1" s="8"/>
      <c r="CK1" s="8"/>
      <c r="CL1" s="8"/>
      <c r="CM1" s="3"/>
      <c r="CN1" s="4" t="s">
        <v>52</v>
      </c>
      <c r="CO1" s="4"/>
      <c r="CP1" s="4"/>
      <c r="CR1" s="4" t="s">
        <v>54</v>
      </c>
      <c r="CS1" s="4"/>
      <c r="CT1" s="4"/>
      <c r="CV1" s="4" t="s">
        <v>55</v>
      </c>
      <c r="CW1" s="4"/>
      <c r="CX1" s="4"/>
      <c r="CZ1" s="4" t="s">
        <v>57</v>
      </c>
      <c r="DA1" s="4"/>
      <c r="DB1" s="4"/>
      <c r="DD1" s="4" t="s">
        <v>58</v>
      </c>
      <c r="DE1" s="4"/>
      <c r="DF1" s="4"/>
      <c r="DH1" s="4" t="s">
        <v>59</v>
      </c>
      <c r="DI1" s="4"/>
      <c r="DJ1" s="4"/>
      <c r="DL1" s="4" t="s">
        <v>15</v>
      </c>
      <c r="DM1" s="4"/>
      <c r="DN1" s="4"/>
    </row>
    <row r="2" spans="2:121" x14ac:dyDescent="0.25">
      <c r="B2" s="2" t="s">
        <v>0</v>
      </c>
      <c r="C2" s="2" t="s">
        <v>1</v>
      </c>
      <c r="D2" s="2" t="s">
        <v>2</v>
      </c>
      <c r="F2" s="2" t="s">
        <v>1</v>
      </c>
      <c r="G2" s="2" t="s">
        <v>4</v>
      </c>
      <c r="H2" s="2" t="s">
        <v>5</v>
      </c>
      <c r="I2" s="1"/>
      <c r="J2" s="2" t="s">
        <v>7</v>
      </c>
      <c r="K2" s="2" t="s">
        <v>8</v>
      </c>
      <c r="L2" s="2" t="s">
        <v>9</v>
      </c>
      <c r="M2" s="1"/>
      <c r="N2" s="2" t="s">
        <v>0</v>
      </c>
      <c r="O2" s="2" t="s">
        <v>1</v>
      </c>
      <c r="P2" s="1"/>
      <c r="Q2" s="2" t="s">
        <v>12</v>
      </c>
      <c r="R2" s="2" t="s">
        <v>13</v>
      </c>
      <c r="S2" s="1"/>
      <c r="T2" s="2" t="s">
        <v>2</v>
      </c>
      <c r="U2" s="2" t="s">
        <v>13</v>
      </c>
      <c r="V2" s="2" t="s">
        <v>1</v>
      </c>
      <c r="W2" s="1"/>
      <c r="X2" s="2" t="s">
        <v>12</v>
      </c>
      <c r="Y2" s="2" t="s">
        <v>17</v>
      </c>
      <c r="Z2" s="2" t="s">
        <v>13</v>
      </c>
      <c r="AB2" s="2" t="s">
        <v>18</v>
      </c>
      <c r="AC2" s="2" t="s">
        <v>13</v>
      </c>
      <c r="AD2" s="2" t="s">
        <v>19</v>
      </c>
      <c r="AE2" s="1"/>
      <c r="AF2" s="2" t="s">
        <v>21</v>
      </c>
      <c r="AG2" s="2" t="s">
        <v>13</v>
      </c>
      <c r="AH2" s="2" t="s">
        <v>19</v>
      </c>
      <c r="AJ2" s="2" t="s">
        <v>23</v>
      </c>
      <c r="AK2" s="2" t="s">
        <v>19</v>
      </c>
      <c r="AM2" s="2" t="s">
        <v>2</v>
      </c>
      <c r="AN2" s="2" t="s">
        <v>25</v>
      </c>
      <c r="AO2" s="2" t="s">
        <v>1</v>
      </c>
      <c r="AQ2" s="2" t="s">
        <v>27</v>
      </c>
      <c r="AR2" s="2" t="s">
        <v>28</v>
      </c>
      <c r="AS2" s="2" t="s">
        <v>29</v>
      </c>
      <c r="AU2" s="2" t="s">
        <v>0</v>
      </c>
      <c r="AV2" s="2" t="s">
        <v>1</v>
      </c>
      <c r="AW2" s="2" t="s">
        <v>2</v>
      </c>
      <c r="AY2" s="2" t="s">
        <v>32</v>
      </c>
      <c r="AZ2" s="2" t="s">
        <v>13</v>
      </c>
      <c r="BA2" s="2" t="s">
        <v>18</v>
      </c>
      <c r="BC2" s="2" t="s">
        <v>18</v>
      </c>
      <c r="BD2" s="2" t="s">
        <v>17</v>
      </c>
      <c r="BE2" s="2" t="s">
        <v>34</v>
      </c>
      <c r="BG2" s="2" t="s">
        <v>18</v>
      </c>
      <c r="BH2" s="2" t="s">
        <v>36</v>
      </c>
      <c r="BI2" s="2" t="s">
        <v>13</v>
      </c>
      <c r="BK2" s="2" t="s">
        <v>38</v>
      </c>
      <c r="BL2" s="2" t="s">
        <v>39</v>
      </c>
      <c r="BM2" s="2" t="s">
        <v>2</v>
      </c>
      <c r="BO2" s="2" t="s">
        <v>18</v>
      </c>
      <c r="BP2" s="2" t="s">
        <v>28</v>
      </c>
      <c r="BR2" s="2" t="s">
        <v>42</v>
      </c>
      <c r="BS2" s="2" t="s">
        <v>43</v>
      </c>
      <c r="BT2" s="2" t="s">
        <v>13</v>
      </c>
      <c r="BV2" s="2" t="s">
        <v>18</v>
      </c>
      <c r="BW2" s="2" t="s">
        <v>13</v>
      </c>
      <c r="BX2" s="2" t="s">
        <v>19</v>
      </c>
      <c r="BY2" s="2" t="s">
        <v>45</v>
      </c>
      <c r="BZ2" s="2" t="s">
        <v>36</v>
      </c>
      <c r="CB2" s="2" t="s">
        <v>0</v>
      </c>
      <c r="CC2" s="2" t="s">
        <v>1</v>
      </c>
      <c r="CD2" s="2" t="s">
        <v>2</v>
      </c>
      <c r="CE2" s="2" t="s">
        <v>46</v>
      </c>
      <c r="CF2" s="2" t="s">
        <v>47</v>
      </c>
      <c r="CH2" s="2" t="s">
        <v>18</v>
      </c>
      <c r="CI2" s="2" t="s">
        <v>48</v>
      </c>
      <c r="CJ2" s="2" t="s">
        <v>13</v>
      </c>
      <c r="CK2" s="2" t="s">
        <v>19</v>
      </c>
      <c r="CL2" s="2" t="s">
        <v>49</v>
      </c>
      <c r="CM2" s="3"/>
      <c r="CN2" s="2" t="s">
        <v>12</v>
      </c>
      <c r="CO2" s="2" t="s">
        <v>32</v>
      </c>
      <c r="CP2" s="2" t="s">
        <v>51</v>
      </c>
      <c r="CR2" s="2"/>
      <c r="CS2" s="2" t="s">
        <v>53</v>
      </c>
      <c r="CT2" s="2" t="s">
        <v>19</v>
      </c>
      <c r="CV2" s="2" t="s">
        <v>12</v>
      </c>
      <c r="CW2" s="2" t="s">
        <v>13</v>
      </c>
      <c r="CX2" s="2" t="s">
        <v>19</v>
      </c>
      <c r="CZ2" s="2" t="s">
        <v>0</v>
      </c>
      <c r="DA2" s="2" t="s">
        <v>2</v>
      </c>
      <c r="DB2" s="2" t="s">
        <v>56</v>
      </c>
      <c r="DD2" s="2" t="s">
        <v>12</v>
      </c>
      <c r="DE2" s="2" t="s">
        <v>17</v>
      </c>
      <c r="DF2" s="2" t="s">
        <v>19</v>
      </c>
      <c r="DH2" s="2" t="s">
        <v>0</v>
      </c>
      <c r="DI2" s="2" t="s">
        <v>2</v>
      </c>
      <c r="DJ2" s="2" t="s">
        <v>1</v>
      </c>
      <c r="DL2" s="2" t="s">
        <v>2</v>
      </c>
      <c r="DM2" s="2" t="s">
        <v>13</v>
      </c>
      <c r="DN2" s="2" t="s">
        <v>1</v>
      </c>
      <c r="DO2" s="2" t="s">
        <v>60</v>
      </c>
      <c r="DP2" s="2" t="s">
        <v>61</v>
      </c>
      <c r="DQ2" s="2" t="s">
        <v>62</v>
      </c>
    </row>
    <row r="3" spans="2:121" x14ac:dyDescent="0.25">
      <c r="B3">
        <f ca="1">RANDBETWEEN(15,1000)</f>
        <v>588</v>
      </c>
      <c r="C3">
        <f ca="1">RANDBETWEEN(2,52)</f>
        <v>44</v>
      </c>
      <c r="D3">
        <f ca="1">RAND()*(0.3-0.01)+0.01</f>
        <v>0.25704979005847817</v>
      </c>
      <c r="F3" s="1">
        <f ca="1">RANDBETWEEN(2,52)</f>
        <v>24</v>
      </c>
      <c r="G3" s="1">
        <f ca="1">RANDBETWEEN(2,30)</f>
        <v>26</v>
      </c>
      <c r="H3" s="1">
        <f ca="1">RANDBETWEEN(1,15)</f>
        <v>5</v>
      </c>
      <c r="I3" s="1"/>
      <c r="J3" s="1">
        <f ca="1">RANDBETWEEN(1,39)</f>
        <v>13</v>
      </c>
      <c r="K3" s="1">
        <f ca="1">RAND()*(3-1)+1</f>
        <v>1.7604860281385633</v>
      </c>
      <c r="L3" s="1">
        <f ca="1">RANDBETWEEN(2,35)</f>
        <v>33</v>
      </c>
      <c r="M3" s="1"/>
      <c r="N3" s="1">
        <f ca="1">RANDBETWEEN(15,1000)</f>
        <v>307</v>
      </c>
      <c r="O3" s="1">
        <f ca="1">RANDBETWEEN(2,52)</f>
        <v>32</v>
      </c>
      <c r="P3" s="1"/>
      <c r="Q3" s="1">
        <f ca="1">RAND()*(5-0.01)+0.01</f>
        <v>3.4407841688840981</v>
      </c>
      <c r="R3" s="1">
        <f ca="1">RANDBETWEEN(200,1200)</f>
        <v>905</v>
      </c>
      <c r="S3" s="1"/>
      <c r="T3" s="1">
        <f ca="1">RAND()*(0.2-0.01)+0.01</f>
        <v>7.8487288509574774E-2</v>
      </c>
      <c r="U3" s="1">
        <f ca="1">RANDBETWEEN(50,450)</f>
        <v>338</v>
      </c>
      <c r="V3" s="1">
        <f ca="1">RANDBETWEEN(2,52)</f>
        <v>18</v>
      </c>
      <c r="W3" s="1"/>
      <c r="X3" s="1">
        <f ca="1">RAND()*(10-0.01)+0.01</f>
        <v>1.7215827222772915</v>
      </c>
      <c r="Y3" s="1">
        <f ca="1">RAND()*(1-0.0001)+0.0001</f>
        <v>0.85305433927059027</v>
      </c>
      <c r="Z3" s="1">
        <f ca="1">RANDBETWEEN(100,2000)</f>
        <v>1754</v>
      </c>
      <c r="AB3" s="1">
        <f ca="1">RAND()*(1-0.0001)+0.0001</f>
        <v>0.49579166163747346</v>
      </c>
      <c r="AC3" s="1">
        <f ca="1">RANDBETWEEN(100,1000)</f>
        <v>713</v>
      </c>
      <c r="AD3" s="1">
        <f ca="1">RAND()*(0.01-0.00001)+0.00001</f>
        <v>8.9905963640745138E-4</v>
      </c>
      <c r="AE3" s="1"/>
      <c r="AF3" s="1">
        <f ca="1">RAND()*(0.9-0.1)+0.1</f>
        <v>0.87836820527831827</v>
      </c>
      <c r="AG3" s="1">
        <f ca="1">RANDBETWEEN(100,1000)</f>
        <v>195</v>
      </c>
      <c r="AH3" s="1">
        <f ca="1">RAND()*(0.01-0.00001)+0.00001</f>
        <v>2.2152869958082522E-3</v>
      </c>
      <c r="AJ3" s="1">
        <f ca="1">RAND()*(1-0)+0</f>
        <v>0.67168473795373806</v>
      </c>
      <c r="AK3" s="1">
        <f ca="1">RAND()*(0.01-0.00001)+0.00001</f>
        <v>2.7408014731620161E-4</v>
      </c>
      <c r="AM3" s="1">
        <f ca="1">RAND()*(0.2-0.005)+0.005</f>
        <v>5.3816105555750098E-3</v>
      </c>
      <c r="AN3" s="1">
        <f ca="1">RANDBETWEEN(10,80)</f>
        <v>43</v>
      </c>
      <c r="AO3" s="1">
        <f ca="1">RANDBETWEEN(-1,20)</f>
        <v>19</v>
      </c>
      <c r="AQ3" s="1">
        <f ca="1">RANDBETWEEN(10,200)</f>
        <v>141</v>
      </c>
      <c r="AR3" s="1">
        <f ca="1">RANDBETWEEN(0,10)</f>
        <v>0</v>
      </c>
      <c r="AS3" s="1">
        <f ca="1">RANDBETWEEN(1,100)</f>
        <v>38</v>
      </c>
      <c r="AU3" s="1">
        <f ca="1">RANDBETWEEN(50,400)</f>
        <v>58</v>
      </c>
      <c r="AV3" s="1">
        <f ca="1">RANDBETWEEN(2,10)</f>
        <v>10</v>
      </c>
      <c r="AW3" s="1">
        <f ca="1">RAND()*(0.2-0.01)+0.01</f>
        <v>7.0036768150734244E-2</v>
      </c>
      <c r="AY3" s="1">
        <f ca="1">RAND()*(2-1.1)+1.1</f>
        <v>1.1912968162358386</v>
      </c>
      <c r="AZ3" s="1">
        <f ca="1">RANDBETWEEN(50,500)</f>
        <v>203</v>
      </c>
      <c r="BA3" s="1">
        <f ca="1">RAND()*(0.01-0.00001)+0.00001</f>
        <v>4.3164210203493758E-3</v>
      </c>
      <c r="BC3" s="1">
        <f ca="1">RAND()*(1-0.0001)+0.0001</f>
        <v>0.32219899066803681</v>
      </c>
      <c r="BD3" s="1">
        <f ca="1">RAND()*(1-0.0001)+0.0001</f>
        <v>0.62777921532244185</v>
      </c>
      <c r="BE3" s="1">
        <f ca="1">RANDBETWEEN(0,2)</f>
        <v>2</v>
      </c>
      <c r="BG3" s="1">
        <f ca="1">RAND()*(1-0.0001)+0.0001</f>
        <v>0.79215668209597123</v>
      </c>
      <c r="BH3" s="1">
        <f ca="1">RAND()*(1-0)+0</f>
        <v>0.95379636948281599</v>
      </c>
      <c r="BI3" s="1">
        <f ca="1">RANDBETWEEN(100,1000)</f>
        <v>449</v>
      </c>
      <c r="BK3" s="1">
        <f ca="1">RANDBETWEEN(100,600)</f>
        <v>466</v>
      </c>
      <c r="BL3" s="1">
        <f ca="1">RANDBETWEEN(3,10)</f>
        <v>5</v>
      </c>
      <c r="BM3" s="1">
        <f ca="1">RAND()*(0.3-0.01)+0.01</f>
        <v>0.14663795426189255</v>
      </c>
      <c r="BO3" s="1">
        <f ca="1">RAND()*(0.1-0.000001)+0.000001</f>
        <v>7.4634571773253638E-2</v>
      </c>
      <c r="BP3" s="1">
        <f ca="1">RANDBETWEEN(0,15)</f>
        <v>5</v>
      </c>
      <c r="BR3" s="1">
        <f ca="1">RAND()*(0.01-0.000001)+0.000001</f>
        <v>8.4862342103146627E-4</v>
      </c>
      <c r="BS3" s="1">
        <f ca="1">RAND()*(0.01-0.000001)+0.000001</f>
        <v>2.8877835342849371E-3</v>
      </c>
      <c r="BT3" s="1">
        <f ca="1">RANDBETWEEN(100,1000)</f>
        <v>440</v>
      </c>
      <c r="BV3" s="1">
        <f ca="1">RAND()*(1-0.0001)+0.0001</f>
        <v>0.24508635980215915</v>
      </c>
      <c r="BW3" s="1">
        <f ca="1">RANDBETWEEN(100,1000)</f>
        <v>407</v>
      </c>
      <c r="BX3" s="1">
        <f ca="1">RAND()*(0.01-0.00001)+0.00001</f>
        <v>6.8236711541986965E-4</v>
      </c>
      <c r="BY3" s="1">
        <f ca="1">RAND()*(0.1-0.0001)+0.0001</f>
        <v>5.912091118958563E-2</v>
      </c>
      <c r="BZ3" s="1">
        <f ca="1">RAND()*(1-0)+0</f>
        <v>0.30281025138026618</v>
      </c>
      <c r="CB3" s="1">
        <f ca="1">RANDBETWEEN(50,500)</f>
        <v>133</v>
      </c>
      <c r="CC3" s="1">
        <f ca="1">RANDBETWEEN(3,15)</f>
        <v>5</v>
      </c>
      <c r="CD3" s="1">
        <f ca="1">RAND()*(0.3-0.01)+0.01</f>
        <v>0.18750099141837034</v>
      </c>
      <c r="CE3" s="1">
        <f ca="1">RAND()*(1-0.5)+0.5</f>
        <v>0.82714870473287583</v>
      </c>
      <c r="CF3" s="1">
        <f ca="1">RAND()*(1-0.5)+0.5</f>
        <v>0.80181878253388572</v>
      </c>
      <c r="CH3" s="3">
        <f ca="1">RAND()*(1-0.0001)+0.0001</f>
        <v>0.43683860401246133</v>
      </c>
      <c r="CI3" s="3">
        <f ca="1">RAND()*(0.99-0.01)+0.01</f>
        <v>0.95172825706488973</v>
      </c>
      <c r="CJ3" s="3">
        <f ca="1">RANDBETWEEN(100,2000)</f>
        <v>227</v>
      </c>
      <c r="CK3" s="3">
        <f ca="1">RAND()*(0.01-0.000001)+0.000001</f>
        <v>2.1453101539948148E-3</v>
      </c>
      <c r="CL3" s="3">
        <f ca="1">RANDBETWEEN(0,1)</f>
        <v>0</v>
      </c>
      <c r="CM3" s="3"/>
      <c r="CN3" s="1">
        <f ca="1">RAND()*(20-0.1)+0.1</f>
        <v>9.7471299382527032</v>
      </c>
      <c r="CO3" s="1">
        <f ca="1">RAND()*(0.5-0.001)+0.001</f>
        <v>0.39502798521331794</v>
      </c>
      <c r="CP3" s="1">
        <f ca="1">RANDBETWEEN(1,5)</f>
        <v>5</v>
      </c>
      <c r="CR3" s="1"/>
      <c r="CS3" s="1">
        <f ca="1">RAND()*(1-0)+0</f>
        <v>0.87240733338233611</v>
      </c>
      <c r="CT3" s="1">
        <f ca="1">RAND()*(0.01-0.000001)+0.000001</f>
        <v>4.3987643019483018E-3</v>
      </c>
      <c r="CV3" s="1">
        <f ca="1">RAND()*(10-0.0001)+0.0001</f>
        <v>6.6770312477140434</v>
      </c>
      <c r="CW3" s="1">
        <f ca="1">RANDBETWEEN(100,2000)</f>
        <v>650</v>
      </c>
      <c r="CX3" s="1">
        <f ca="1">RAND()*(0.01-0.000001)+0.000001</f>
        <v>7.8881368552171024E-3</v>
      </c>
      <c r="CZ3" s="1">
        <f ca="1">RANDBETWEEN(10,500)</f>
        <v>22</v>
      </c>
      <c r="DA3" s="1">
        <f ca="1">RAND()*(1-0.001)+0.001</f>
        <v>0.4319503210103709</v>
      </c>
      <c r="DB3" s="1">
        <f ca="1">RANDBETWEEN(0,2)</f>
        <v>2</v>
      </c>
      <c r="DD3" s="1">
        <f ca="1">RAND()*(10-0.01)+0.01</f>
        <v>8.3793563002697073</v>
      </c>
      <c r="DE3" s="1">
        <f ca="1">RAND()*(1-0.0001)+0.0001</f>
        <v>0.25250290248485302</v>
      </c>
      <c r="DF3" s="1">
        <f ca="1">RAND()*(0.01-0.000001)+0.000001</f>
        <v>4.8922238374352941E-3</v>
      </c>
      <c r="DH3" s="1">
        <f ca="1">RANDBETWEEN(10,900)</f>
        <v>787</v>
      </c>
      <c r="DI3" s="1">
        <f ca="1">RAND()*(1-0.001)+0.001</f>
        <v>0.48599302159417901</v>
      </c>
      <c r="DJ3" s="1">
        <f ca="1">RANDBETWEEN(1,30)</f>
        <v>22</v>
      </c>
      <c r="DL3" s="1">
        <f ca="1">RAND()*(0.2-0.01)+0.01</f>
        <v>0.10243425151290231</v>
      </c>
      <c r="DM3" s="1">
        <f ca="1">RANDBETWEEN(50,300)</f>
        <v>195</v>
      </c>
      <c r="DN3" s="1">
        <f ca="1">RANDBETWEEN(1,10)</f>
        <v>7</v>
      </c>
      <c r="DO3" t="s">
        <v>2</v>
      </c>
      <c r="DP3" t="s">
        <v>63</v>
      </c>
      <c r="DQ3" t="s">
        <v>64</v>
      </c>
    </row>
    <row r="4" spans="2:121" x14ac:dyDescent="0.25">
      <c r="B4">
        <f t="shared" ref="B4:B67" ca="1" si="0">RANDBETWEEN(15,1000)</f>
        <v>865</v>
      </c>
      <c r="C4">
        <f t="shared" ref="C4:C67" ca="1" si="1">RANDBETWEEN(2,52)</f>
        <v>15</v>
      </c>
      <c r="D4">
        <f t="shared" ref="D4:D67" ca="1" si="2">RAND()*(0.3-0.01)+0.01</f>
        <v>0.23594588651684473</v>
      </c>
      <c r="F4" s="1">
        <f t="shared" ref="F4:F67" ca="1" si="3">RANDBETWEEN(2,52)</f>
        <v>17</v>
      </c>
      <c r="G4" s="1">
        <f t="shared" ref="G4:G67" ca="1" si="4">RANDBETWEEN(2,30)</f>
        <v>19</v>
      </c>
      <c r="H4" s="1">
        <f t="shared" ref="H4:H67" ca="1" si="5">RANDBETWEEN(1,15)</f>
        <v>9</v>
      </c>
      <c r="I4" s="1"/>
      <c r="J4" s="1">
        <f t="shared" ref="J4:J67" ca="1" si="6">RANDBETWEEN(1,39)</f>
        <v>32</v>
      </c>
      <c r="K4" s="1">
        <f t="shared" ref="K4:K67" ca="1" si="7">RAND()*(3-1)+1</f>
        <v>2.3391968758843551</v>
      </c>
      <c r="L4" s="1">
        <f t="shared" ref="L4:L67" ca="1" si="8">RANDBETWEEN(2,35)</f>
        <v>25</v>
      </c>
      <c r="M4" s="1"/>
      <c r="N4" s="1">
        <f t="shared" ref="N4:N67" ca="1" si="9">RANDBETWEEN(15,1000)</f>
        <v>741</v>
      </c>
      <c r="O4" s="1">
        <f t="shared" ref="O4:O67" ca="1" si="10">RANDBETWEEN(2,52)</f>
        <v>9</v>
      </c>
      <c r="P4" s="1"/>
      <c r="Q4" s="1">
        <f t="shared" ref="Q4:Q67" ca="1" si="11">RAND()*(5-0.01)+0.01</f>
        <v>0.31265335494155966</v>
      </c>
      <c r="R4" s="1">
        <f t="shared" ref="R4:R67" ca="1" si="12">RANDBETWEEN(200,1200)</f>
        <v>859</v>
      </c>
      <c r="S4" s="1"/>
      <c r="T4" s="1">
        <f t="shared" ref="T4:T67" ca="1" si="13">RAND()*(0.2-0.01)+0.01</f>
        <v>6.5712749554177247E-2</v>
      </c>
      <c r="U4" s="1">
        <f t="shared" ref="U4:U67" ca="1" si="14">RANDBETWEEN(50,450)</f>
        <v>148</v>
      </c>
      <c r="V4" s="1">
        <f t="shared" ref="V4:V67" ca="1" si="15">RANDBETWEEN(2,52)</f>
        <v>49</v>
      </c>
      <c r="W4" s="1"/>
      <c r="X4" s="1">
        <f t="shared" ref="X4:X67" ca="1" si="16">RAND()*(10-0.01)+0.01</f>
        <v>3.439848726729994</v>
      </c>
      <c r="Y4" s="1">
        <f t="shared" ref="Y4:Y67" ca="1" si="17">RAND()*(1-0.0001)+0.0001</f>
        <v>0.4176445690229782</v>
      </c>
      <c r="Z4" s="1">
        <f t="shared" ref="Z4:Z67" ca="1" si="18">RANDBETWEEN(100,2000)</f>
        <v>418</v>
      </c>
      <c r="AB4" s="1">
        <f t="shared" ref="AB4:AB67" ca="1" si="19">RAND()*(1-0.0001)+0.0001</f>
        <v>0.97303648078214622</v>
      </c>
      <c r="AC4" s="1">
        <f t="shared" ref="AC4:AC67" ca="1" si="20">RANDBETWEEN(100,1000)</f>
        <v>826</v>
      </c>
      <c r="AD4" s="1">
        <f t="shared" ref="AD4:AD67" ca="1" si="21">RAND()*(0.01-0.00001)+0.00001</f>
        <v>4.9437887309491707E-4</v>
      </c>
      <c r="AE4" s="1"/>
      <c r="AF4" s="1">
        <f t="shared" ref="AF4:AF67" ca="1" si="22">RAND()*(0.9-0.1)+0.1</f>
        <v>0.11665486702055974</v>
      </c>
      <c r="AG4" s="1">
        <f t="shared" ref="AG4:AG67" ca="1" si="23">RANDBETWEEN(100,1000)</f>
        <v>764</v>
      </c>
      <c r="AH4" s="1">
        <f t="shared" ref="AH4:AH67" ca="1" si="24">RAND()*(0.01-0.00001)+0.00001</f>
        <v>7.6890814139930702E-3</v>
      </c>
      <c r="AJ4" s="1">
        <f t="shared" ref="AJ4:AJ67" ca="1" si="25">RAND()*(1-0)+0</f>
        <v>0.92551965495025867</v>
      </c>
      <c r="AK4" s="1">
        <f t="shared" ref="AK4:AK67" ca="1" si="26">RAND()*(0.01-0.00001)+0.00001</f>
        <v>4.0919001853282734E-3</v>
      </c>
      <c r="AL4" s="1"/>
      <c r="AM4" s="1">
        <f t="shared" ref="AM4:AM67" ca="1" si="27">RAND()*(0.2-0.005)+0.005</f>
        <v>0.1720377340767805</v>
      </c>
      <c r="AN4" s="1">
        <f t="shared" ref="AN4:AN67" ca="1" si="28">RANDBETWEEN(10,80)</f>
        <v>19</v>
      </c>
      <c r="AO4" s="1">
        <f t="shared" ref="AO4:AO67" ca="1" si="29">RANDBETWEEN(-1,20)</f>
        <v>3</v>
      </c>
      <c r="AQ4" s="1">
        <f t="shared" ref="AQ4:AQ67" ca="1" si="30">RANDBETWEEN(10,200)</f>
        <v>126</v>
      </c>
      <c r="AR4" s="1">
        <f t="shared" ref="AR4:AR67" ca="1" si="31">RANDBETWEEN(0,10)</f>
        <v>1</v>
      </c>
      <c r="AS4" s="1">
        <f t="shared" ref="AS4:AS67" ca="1" si="32">RANDBETWEEN(1,100)</f>
        <v>96</v>
      </c>
      <c r="AU4" s="1">
        <f t="shared" ref="AU4:AU67" ca="1" si="33">RANDBETWEEN(50,400)</f>
        <v>59</v>
      </c>
      <c r="AV4" s="1">
        <f t="shared" ref="AV4:AV67" ca="1" si="34">RANDBETWEEN(2,10)</f>
        <v>3</v>
      </c>
      <c r="AW4" s="1">
        <f t="shared" ref="AW4:AW67" ca="1" si="35">RAND()*(0.2-0.01)+0.01</f>
        <v>9.7109868378332395E-2</v>
      </c>
      <c r="AY4" s="1">
        <f t="shared" ref="AY4:AY67" ca="1" si="36">RAND()*(2-1.1)+1.1</f>
        <v>1.4648258461551269</v>
      </c>
      <c r="AZ4" s="1">
        <f t="shared" ref="AZ4:AZ67" ca="1" si="37">RANDBETWEEN(50,500)</f>
        <v>51</v>
      </c>
      <c r="BA4" s="1">
        <f t="shared" ref="BA4:BA67" ca="1" si="38">RAND()*(0.01-0.00001)+0.00001</f>
        <v>1.6929305456744724E-3</v>
      </c>
      <c r="BG4" s="1">
        <f t="shared" ref="BG4:BG67" ca="1" si="39">RAND()*(1-0.0001)+0.0001</f>
        <v>0.39482620040479338</v>
      </c>
      <c r="BH4" s="1">
        <f t="shared" ref="BH4:BH67" ca="1" si="40">RAND()*(1-0)+0</f>
        <v>0.55278186337760793</v>
      </c>
      <c r="BI4" s="1">
        <f t="shared" ref="BI4:BI67" ca="1" si="41">RANDBETWEEN(100,1000)</f>
        <v>277</v>
      </c>
      <c r="BV4" s="1">
        <f t="shared" ref="BV4:BV67" ca="1" si="42">RAND()*(1-0.0001)+0.0001</f>
        <v>2.477980617071281E-2</v>
      </c>
      <c r="BW4" s="1">
        <f t="shared" ref="BW4:BW67" ca="1" si="43">RANDBETWEEN(100,1000)</f>
        <v>610</v>
      </c>
      <c r="BX4" s="1">
        <f t="shared" ref="BX4:BX67" ca="1" si="44">RAND()*(0.01-0.00001)+0.00001</f>
        <v>5.1861935245629352E-3</v>
      </c>
      <c r="BY4" s="1">
        <f t="shared" ref="BY4:BY67" ca="1" si="45">RAND()*(0.1-0.0001)+0.0001</f>
        <v>9.9459927459289166E-2</v>
      </c>
      <c r="BZ4" s="1">
        <f t="shared" ref="BZ4:BZ67" ca="1" si="46">RAND()*(1-0)+0</f>
        <v>0.52182120970804713</v>
      </c>
      <c r="CB4" s="1">
        <f t="shared" ref="CB4:CB67" ca="1" si="47">RANDBETWEEN(50,500)</f>
        <v>74</v>
      </c>
      <c r="CC4" s="1">
        <f t="shared" ref="CC4:CC67" ca="1" si="48">RANDBETWEEN(3,15)</f>
        <v>9</v>
      </c>
      <c r="CD4" s="1">
        <f t="shared" ref="CD4:CD67" ca="1" si="49">RAND()*(0.3-0.01)+0.01</f>
        <v>9.6463291581994806E-2</v>
      </c>
      <c r="CE4" s="1">
        <f t="shared" ref="CE4:CF35" ca="1" si="50">RAND()*(1-0.5)+0.5</f>
        <v>0.9077073262609836</v>
      </c>
      <c r="CF4" s="1">
        <f t="shared" ca="1" si="50"/>
        <v>0.79451098716948665</v>
      </c>
      <c r="CH4" s="3">
        <f t="shared" ref="CH4:CH67" ca="1" si="51">RAND()*(1-0.0001)+0.0001</f>
        <v>8.5515408935152946E-3</v>
      </c>
      <c r="CI4" s="3">
        <f t="shared" ref="CI4:CI67" ca="1" si="52">RAND()*(0.99-0.01)+0.01</f>
        <v>0.2185187291252518</v>
      </c>
      <c r="CJ4" s="3">
        <f t="shared" ref="CJ4:CJ67" ca="1" si="53">RANDBETWEEN(100,2000)</f>
        <v>1391</v>
      </c>
      <c r="CK4" s="3">
        <f t="shared" ref="CK4:CK67" ca="1" si="54">RAND()*(0.01-0.000001)+0.000001</f>
        <v>6.7698338208419945E-3</v>
      </c>
      <c r="CL4" s="3">
        <f t="shared" ref="CL4:CL67" ca="1" si="55">RANDBETWEEN(0,1)</f>
        <v>1</v>
      </c>
      <c r="CM4" s="3"/>
      <c r="CN4" s="1">
        <f t="shared" ref="CN4:CN67" ca="1" si="56">RAND()*(20-0.1)+0.1</f>
        <v>6.6196441221287969</v>
      </c>
      <c r="CO4" s="1">
        <f t="shared" ref="CO4:CO67" ca="1" si="57">RAND()*(0.5-0.001)+0.001</f>
        <v>0.3835825876448119</v>
      </c>
      <c r="CP4" s="1">
        <f t="shared" ref="CP4:CP67" ca="1" si="58">RANDBETWEEN(1,5)</f>
        <v>3</v>
      </c>
      <c r="DH4" s="1">
        <f t="shared" ref="DH4:DH67" ca="1" si="59">RANDBETWEEN(10,900)</f>
        <v>451</v>
      </c>
      <c r="DI4" s="1">
        <f t="shared" ref="DI4:DI67" ca="1" si="60">RAND()*(1-0.001)+0.001</f>
        <v>5.6316444724727945E-2</v>
      </c>
      <c r="DJ4" s="1">
        <f t="shared" ref="DJ4:DJ67" ca="1" si="61">RANDBETWEEN(1,30)</f>
        <v>14</v>
      </c>
      <c r="DL4" s="1">
        <f t="shared" ref="DL4:DL67" ca="1" si="62">RAND()*(0.2-0.01)+0.01</f>
        <v>4.7894092242052287E-2</v>
      </c>
      <c r="DM4" s="1">
        <f t="shared" ref="DM4:DM67" ca="1" si="63">RANDBETWEEN(50,300)</f>
        <v>271</v>
      </c>
      <c r="DN4" s="1">
        <f t="shared" ref="DN4:DN67" ca="1" si="64">RANDBETWEEN(1,10)</f>
        <v>10</v>
      </c>
      <c r="DO4" t="s">
        <v>13</v>
      </c>
      <c r="DP4" t="s">
        <v>65</v>
      </c>
      <c r="DQ4" t="s">
        <v>66</v>
      </c>
    </row>
    <row r="5" spans="2:121" x14ac:dyDescent="0.25">
      <c r="B5">
        <f t="shared" ca="1" si="0"/>
        <v>926</v>
      </c>
      <c r="C5">
        <f t="shared" ca="1" si="1"/>
        <v>6</v>
      </c>
      <c r="D5">
        <f t="shared" ca="1" si="2"/>
        <v>0.15404001774367737</v>
      </c>
      <c r="F5" s="1">
        <f t="shared" ca="1" si="3"/>
        <v>52</v>
      </c>
      <c r="G5" s="1">
        <f t="shared" ca="1" si="4"/>
        <v>9</v>
      </c>
      <c r="H5" s="1">
        <f t="shared" ca="1" si="5"/>
        <v>1</v>
      </c>
      <c r="I5" s="1"/>
      <c r="J5" s="1">
        <f t="shared" ca="1" si="6"/>
        <v>26</v>
      </c>
      <c r="K5" s="1">
        <f t="shared" ca="1" si="7"/>
        <v>2.7313710301966534</v>
      </c>
      <c r="L5" s="1">
        <f t="shared" ca="1" si="8"/>
        <v>26</v>
      </c>
      <c r="M5" s="1"/>
      <c r="N5" s="1">
        <f t="shared" ca="1" si="9"/>
        <v>961</v>
      </c>
      <c r="O5" s="1">
        <f t="shared" ca="1" si="10"/>
        <v>50</v>
      </c>
      <c r="P5" s="1"/>
      <c r="Q5" s="1">
        <f t="shared" ca="1" si="11"/>
        <v>2.5458037658522774</v>
      </c>
      <c r="R5" s="1">
        <f t="shared" ca="1" si="12"/>
        <v>1158</v>
      </c>
      <c r="S5" s="1"/>
      <c r="T5" s="1">
        <f t="shared" ca="1" si="13"/>
        <v>0.10940715297096497</v>
      </c>
      <c r="U5" s="1">
        <f t="shared" ca="1" si="14"/>
        <v>288</v>
      </c>
      <c r="V5" s="1">
        <f t="shared" ca="1" si="15"/>
        <v>45</v>
      </c>
      <c r="W5" s="1"/>
      <c r="X5" s="1">
        <f t="shared" ca="1" si="16"/>
        <v>6.2189541940491688</v>
      </c>
      <c r="Y5" s="1">
        <f t="shared" ca="1" si="17"/>
        <v>0.47645172210305864</v>
      </c>
      <c r="Z5" s="1">
        <f t="shared" ca="1" si="18"/>
        <v>625</v>
      </c>
      <c r="AB5" s="1">
        <f t="shared" ca="1" si="19"/>
        <v>0.14907320763297432</v>
      </c>
      <c r="AC5" s="1">
        <f t="shared" ca="1" si="20"/>
        <v>652</v>
      </c>
      <c r="AD5" s="1">
        <f t="shared" ca="1" si="21"/>
        <v>6.7050049242944817E-3</v>
      </c>
      <c r="AE5" s="1"/>
      <c r="AF5" s="1">
        <f t="shared" ca="1" si="22"/>
        <v>0.48309682418571742</v>
      </c>
      <c r="AG5" s="1">
        <f t="shared" ca="1" si="23"/>
        <v>392</v>
      </c>
      <c r="AH5" s="1">
        <f t="shared" ca="1" si="24"/>
        <v>2.6514151680270164E-4</v>
      </c>
      <c r="AJ5" s="1">
        <f t="shared" ca="1" si="25"/>
        <v>0.42055789154381984</v>
      </c>
      <c r="AK5" s="1">
        <f t="shared" ca="1" si="26"/>
        <v>7.2550273403714392E-3</v>
      </c>
      <c r="AL5" s="1"/>
      <c r="AM5" s="1">
        <f t="shared" ca="1" si="27"/>
        <v>4.4868111065726739E-2</v>
      </c>
      <c r="AN5" s="1">
        <f t="shared" ca="1" si="28"/>
        <v>72</v>
      </c>
      <c r="AO5" s="1">
        <f t="shared" ca="1" si="29"/>
        <v>16</v>
      </c>
      <c r="AQ5" s="1">
        <f t="shared" ca="1" si="30"/>
        <v>146</v>
      </c>
      <c r="AR5" s="1">
        <f t="shared" ca="1" si="31"/>
        <v>6</v>
      </c>
      <c r="AS5" s="1">
        <f t="shared" ca="1" si="32"/>
        <v>73</v>
      </c>
      <c r="AU5" s="1">
        <f t="shared" ca="1" si="33"/>
        <v>259</v>
      </c>
      <c r="AV5" s="1">
        <f t="shared" ca="1" si="34"/>
        <v>2</v>
      </c>
      <c r="AW5" s="1">
        <f t="shared" ca="1" si="35"/>
        <v>0.10318686938490829</v>
      </c>
      <c r="AY5" s="1">
        <f t="shared" ca="1" si="36"/>
        <v>1.9418251544977818</v>
      </c>
      <c r="AZ5" s="1">
        <f t="shared" ca="1" si="37"/>
        <v>225</v>
      </c>
      <c r="BA5" s="1">
        <f t="shared" ca="1" si="38"/>
        <v>4.1015114715665232E-3</v>
      </c>
      <c r="BG5" s="1">
        <f t="shared" ca="1" si="39"/>
        <v>0.74565770789012442</v>
      </c>
      <c r="BH5" s="1">
        <f t="shared" ca="1" si="40"/>
        <v>0.37617672567190319</v>
      </c>
      <c r="BI5" s="1">
        <f t="shared" ca="1" si="41"/>
        <v>190</v>
      </c>
      <c r="BV5" s="1">
        <f t="shared" ca="1" si="42"/>
        <v>0.87019383502915182</v>
      </c>
      <c r="BW5" s="1">
        <f t="shared" ca="1" si="43"/>
        <v>319</v>
      </c>
      <c r="BX5" s="1">
        <f t="shared" ca="1" si="44"/>
        <v>7.2199009136089971E-3</v>
      </c>
      <c r="BY5" s="1">
        <f t="shared" ca="1" si="45"/>
        <v>9.145639550099996E-2</v>
      </c>
      <c r="BZ5" s="1">
        <f t="shared" ca="1" si="46"/>
        <v>0.79768880593607061</v>
      </c>
      <c r="CB5" s="1">
        <f t="shared" ca="1" si="47"/>
        <v>458</v>
      </c>
      <c r="CC5" s="1">
        <f t="shared" ca="1" si="48"/>
        <v>13</v>
      </c>
      <c r="CD5" s="1">
        <f t="shared" ca="1" si="49"/>
        <v>0.24442199875655377</v>
      </c>
      <c r="CE5" s="1">
        <f t="shared" ca="1" si="50"/>
        <v>0.55736239732293069</v>
      </c>
      <c r="CF5" s="1">
        <f t="shared" ca="1" si="50"/>
        <v>0.5636401434035887</v>
      </c>
      <c r="CH5" s="3">
        <f t="shared" ca="1" si="51"/>
        <v>0.60307355181929789</v>
      </c>
      <c r="CI5" s="3">
        <f t="shared" ca="1" si="52"/>
        <v>0.22236954861996222</v>
      </c>
      <c r="CJ5" s="3">
        <f t="shared" ca="1" si="53"/>
        <v>799</v>
      </c>
      <c r="CK5" s="3">
        <f t="shared" ca="1" si="54"/>
        <v>9.7216891702520906E-3</v>
      </c>
      <c r="CL5" s="3">
        <f t="shared" ca="1" si="55"/>
        <v>0</v>
      </c>
      <c r="CM5" s="3"/>
      <c r="CN5" s="1">
        <f t="shared" ca="1" si="56"/>
        <v>7.7251405961654225</v>
      </c>
      <c r="CO5" s="1">
        <f t="shared" ca="1" si="57"/>
        <v>0.43526245953254666</v>
      </c>
      <c r="CP5" s="1">
        <f t="shared" ca="1" si="58"/>
        <v>1</v>
      </c>
      <c r="DH5" s="1">
        <f t="shared" ca="1" si="59"/>
        <v>707</v>
      </c>
      <c r="DI5" s="1">
        <f t="shared" ca="1" si="60"/>
        <v>0.55914685591701674</v>
      </c>
      <c r="DJ5" s="1">
        <f t="shared" ca="1" si="61"/>
        <v>8</v>
      </c>
      <c r="DL5" s="1">
        <f t="shared" ca="1" si="62"/>
        <v>0.18995466723087842</v>
      </c>
      <c r="DM5" s="1">
        <f t="shared" ca="1" si="63"/>
        <v>260</v>
      </c>
      <c r="DN5" s="1">
        <f t="shared" ca="1" si="64"/>
        <v>8</v>
      </c>
      <c r="DO5" t="s">
        <v>1</v>
      </c>
      <c r="DP5" t="s">
        <v>65</v>
      </c>
      <c r="DQ5" t="s">
        <v>67</v>
      </c>
    </row>
    <row r="6" spans="2:121" x14ac:dyDescent="0.25">
      <c r="B6">
        <f t="shared" ca="1" si="0"/>
        <v>462</v>
      </c>
      <c r="C6">
        <f t="shared" ca="1" si="1"/>
        <v>46</v>
      </c>
      <c r="D6">
        <f t="shared" ca="1" si="2"/>
        <v>0.29623717633789204</v>
      </c>
      <c r="F6" s="1">
        <f t="shared" ca="1" si="3"/>
        <v>50</v>
      </c>
      <c r="G6" s="1">
        <f t="shared" ca="1" si="4"/>
        <v>17</v>
      </c>
      <c r="H6" s="1">
        <f t="shared" ca="1" si="5"/>
        <v>4</v>
      </c>
      <c r="I6" s="1"/>
      <c r="J6" s="1">
        <f t="shared" ca="1" si="6"/>
        <v>9</v>
      </c>
      <c r="K6" s="1">
        <f t="shared" ca="1" si="7"/>
        <v>2.1155855325405684</v>
      </c>
      <c r="L6" s="1">
        <f t="shared" ca="1" si="8"/>
        <v>13</v>
      </c>
      <c r="M6" s="1"/>
      <c r="N6" s="1">
        <f t="shared" ca="1" si="9"/>
        <v>892</v>
      </c>
      <c r="O6" s="1">
        <f t="shared" ca="1" si="10"/>
        <v>7</v>
      </c>
      <c r="P6" s="1"/>
      <c r="Q6" s="1">
        <f t="shared" ca="1" si="11"/>
        <v>4.7245848202729528</v>
      </c>
      <c r="R6" s="1">
        <f t="shared" ca="1" si="12"/>
        <v>893</v>
      </c>
      <c r="S6" s="1"/>
      <c r="T6" s="1">
        <f t="shared" ca="1" si="13"/>
        <v>3.7242950693607051E-2</v>
      </c>
      <c r="U6" s="1">
        <f t="shared" ca="1" si="14"/>
        <v>211</v>
      </c>
      <c r="V6" s="1">
        <f t="shared" ca="1" si="15"/>
        <v>31</v>
      </c>
      <c r="W6" s="1"/>
      <c r="X6" s="1">
        <f t="shared" ca="1" si="16"/>
        <v>6.8131260424628914</v>
      </c>
      <c r="Y6" s="1">
        <f t="shared" ca="1" si="17"/>
        <v>0.73636361397936634</v>
      </c>
      <c r="Z6" s="1">
        <f t="shared" ca="1" si="18"/>
        <v>350</v>
      </c>
      <c r="AB6" s="1">
        <f t="shared" ca="1" si="19"/>
        <v>0.41418966953826808</v>
      </c>
      <c r="AC6" s="1">
        <f t="shared" ca="1" si="20"/>
        <v>278</v>
      </c>
      <c r="AD6" s="1">
        <f t="shared" ca="1" si="21"/>
        <v>1.2282576937932817E-4</v>
      </c>
      <c r="AE6" s="1"/>
      <c r="AF6" s="1">
        <f t="shared" ca="1" si="22"/>
        <v>0.63949049076750553</v>
      </c>
      <c r="AG6" s="1">
        <f t="shared" ca="1" si="23"/>
        <v>360</v>
      </c>
      <c r="AH6" s="1">
        <f t="shared" ca="1" si="24"/>
        <v>4.7176192468651752E-3</v>
      </c>
      <c r="AJ6" s="1">
        <f t="shared" ca="1" si="25"/>
        <v>0.28177921431553954</v>
      </c>
      <c r="AK6" s="1">
        <f t="shared" ca="1" si="26"/>
        <v>9.2244595918398731E-3</v>
      </c>
      <c r="AL6" s="1"/>
      <c r="AM6" s="1">
        <f t="shared" ca="1" si="27"/>
        <v>0.13090802523002273</v>
      </c>
      <c r="AN6" s="1">
        <f t="shared" ca="1" si="28"/>
        <v>43</v>
      </c>
      <c r="AO6" s="1">
        <f t="shared" ca="1" si="29"/>
        <v>15</v>
      </c>
      <c r="AQ6" s="1">
        <f t="shared" ca="1" si="30"/>
        <v>149</v>
      </c>
      <c r="AR6" s="1">
        <f t="shared" ca="1" si="31"/>
        <v>9</v>
      </c>
      <c r="AS6" s="1">
        <f t="shared" ca="1" si="32"/>
        <v>38</v>
      </c>
      <c r="AU6" s="1">
        <f t="shared" ca="1" si="33"/>
        <v>205</v>
      </c>
      <c r="AV6" s="1">
        <f t="shared" ca="1" si="34"/>
        <v>2</v>
      </c>
      <c r="AW6" s="1">
        <f t="shared" ca="1" si="35"/>
        <v>0.19599582588445091</v>
      </c>
      <c r="AY6" s="1">
        <f t="shared" ca="1" si="36"/>
        <v>1.8665899319576102</v>
      </c>
      <c r="AZ6" s="1">
        <f t="shared" ca="1" si="37"/>
        <v>241</v>
      </c>
      <c r="BA6" s="1">
        <f t="shared" ca="1" si="38"/>
        <v>9.693300867626542E-3</v>
      </c>
      <c r="BG6" s="1">
        <f t="shared" ca="1" si="39"/>
        <v>0.66981079858560588</v>
      </c>
      <c r="BH6" s="1">
        <f t="shared" ca="1" si="40"/>
        <v>0.91884238159451292</v>
      </c>
      <c r="BI6" s="1">
        <f t="shared" ca="1" si="41"/>
        <v>834</v>
      </c>
      <c r="BV6" s="1">
        <f t="shared" ca="1" si="42"/>
        <v>0.67697121956367279</v>
      </c>
      <c r="BW6" s="1">
        <f t="shared" ca="1" si="43"/>
        <v>930</v>
      </c>
      <c r="BX6" s="1">
        <f t="shared" ca="1" si="44"/>
        <v>6.1747682010103227E-3</v>
      </c>
      <c r="BY6" s="1">
        <f t="shared" ca="1" si="45"/>
        <v>5.1530699335018332E-2</v>
      </c>
      <c r="BZ6" s="1">
        <f t="shared" ca="1" si="46"/>
        <v>0.26659433500030483</v>
      </c>
      <c r="CB6" s="1">
        <f t="shared" ca="1" si="47"/>
        <v>65</v>
      </c>
      <c r="CC6" s="1">
        <f t="shared" ca="1" si="48"/>
        <v>6</v>
      </c>
      <c r="CD6" s="1">
        <f t="shared" ca="1" si="49"/>
        <v>0.28854023205437279</v>
      </c>
      <c r="CE6" s="1">
        <f t="shared" ca="1" si="50"/>
        <v>0.94786851049550092</v>
      </c>
      <c r="CF6" s="1">
        <f t="shared" ca="1" si="50"/>
        <v>0.59279635245660001</v>
      </c>
      <c r="CH6" s="3">
        <f t="shared" ca="1" si="51"/>
        <v>0.61466403467733799</v>
      </c>
      <c r="CI6" s="3">
        <f t="shared" ca="1" si="52"/>
        <v>0.18169538799545379</v>
      </c>
      <c r="CJ6" s="3">
        <f t="shared" ca="1" si="53"/>
        <v>1244</v>
      </c>
      <c r="CK6" s="3">
        <f t="shared" ca="1" si="54"/>
        <v>1.5293222569583858E-3</v>
      </c>
      <c r="CL6" s="3">
        <f t="shared" ca="1" si="55"/>
        <v>1</v>
      </c>
      <c r="CM6" s="3"/>
      <c r="CN6" s="1">
        <f t="shared" ca="1" si="56"/>
        <v>9.9287575252235989</v>
      </c>
      <c r="CO6" s="1">
        <f t="shared" ca="1" si="57"/>
        <v>0.20749877588991783</v>
      </c>
      <c r="CP6" s="1">
        <f t="shared" ca="1" si="58"/>
        <v>2</v>
      </c>
      <c r="DH6" s="1">
        <f t="shared" ca="1" si="59"/>
        <v>150</v>
      </c>
      <c r="DI6" s="1">
        <f t="shared" ca="1" si="60"/>
        <v>0.70384670919110937</v>
      </c>
      <c r="DJ6" s="1">
        <f t="shared" ca="1" si="61"/>
        <v>14</v>
      </c>
      <c r="DL6" s="1">
        <f t="shared" ca="1" si="62"/>
        <v>0.13790937364991276</v>
      </c>
      <c r="DM6" s="1">
        <f t="shared" ca="1" si="63"/>
        <v>230</v>
      </c>
      <c r="DN6" s="1">
        <f t="shared" ca="1" si="64"/>
        <v>8</v>
      </c>
    </row>
    <row r="7" spans="2:121" x14ac:dyDescent="0.25">
      <c r="B7">
        <f t="shared" ca="1" si="0"/>
        <v>360</v>
      </c>
      <c r="C7">
        <f t="shared" ca="1" si="1"/>
        <v>26</v>
      </c>
      <c r="D7">
        <f t="shared" ca="1" si="2"/>
        <v>0.29157141713244006</v>
      </c>
      <c r="F7" s="1">
        <f t="shared" ca="1" si="3"/>
        <v>12</v>
      </c>
      <c r="G7" s="1">
        <f t="shared" ca="1" si="4"/>
        <v>13</v>
      </c>
      <c r="H7" s="1">
        <f t="shared" ca="1" si="5"/>
        <v>2</v>
      </c>
      <c r="I7" s="1"/>
      <c r="J7" s="1">
        <f t="shared" ca="1" si="6"/>
        <v>4</v>
      </c>
      <c r="K7" s="1">
        <f t="shared" ca="1" si="7"/>
        <v>2.6512136614434159</v>
      </c>
      <c r="L7" s="1">
        <f t="shared" ca="1" si="8"/>
        <v>16</v>
      </c>
      <c r="M7" s="1"/>
      <c r="N7" s="1">
        <f t="shared" ca="1" si="9"/>
        <v>187</v>
      </c>
      <c r="O7" s="1">
        <f t="shared" ca="1" si="10"/>
        <v>50</v>
      </c>
      <c r="P7" s="1"/>
      <c r="Q7" s="1">
        <f t="shared" ca="1" si="11"/>
        <v>0.62358002515499777</v>
      </c>
      <c r="R7" s="1">
        <f t="shared" ca="1" si="12"/>
        <v>693</v>
      </c>
      <c r="S7" s="1"/>
      <c r="T7" s="1">
        <f t="shared" ca="1" si="13"/>
        <v>6.8706928159092989E-2</v>
      </c>
      <c r="U7" s="1">
        <f t="shared" ca="1" si="14"/>
        <v>178</v>
      </c>
      <c r="V7" s="1">
        <f t="shared" ca="1" si="15"/>
        <v>41</v>
      </c>
      <c r="W7" s="1"/>
      <c r="X7" s="1">
        <f t="shared" ca="1" si="16"/>
        <v>5.9976771134321476</v>
      </c>
      <c r="Y7" s="1">
        <f t="shared" ca="1" si="17"/>
        <v>0.66855515842193791</v>
      </c>
      <c r="Z7" s="1">
        <f t="shared" ca="1" si="18"/>
        <v>1409</v>
      </c>
      <c r="AB7" s="1">
        <f t="shared" ca="1" si="19"/>
        <v>0.59767720810943115</v>
      </c>
      <c r="AC7" s="1">
        <f t="shared" ca="1" si="20"/>
        <v>170</v>
      </c>
      <c r="AD7" s="1">
        <f t="shared" ca="1" si="21"/>
        <v>4.034164365828527E-3</v>
      </c>
      <c r="AE7" s="1"/>
      <c r="AF7" s="1">
        <f t="shared" ca="1" si="22"/>
        <v>0.50591066760687009</v>
      </c>
      <c r="AG7" s="1">
        <f t="shared" ca="1" si="23"/>
        <v>401</v>
      </c>
      <c r="AH7" s="1">
        <f t="shared" ca="1" si="24"/>
        <v>9.949381414213988E-3</v>
      </c>
      <c r="AJ7" s="1">
        <f t="shared" ca="1" si="25"/>
        <v>0.2615830098676637</v>
      </c>
      <c r="AK7" s="1">
        <f t="shared" ca="1" si="26"/>
        <v>1.1788264916468517E-3</v>
      </c>
      <c r="AL7" s="1"/>
      <c r="AM7" s="1">
        <f t="shared" ca="1" si="27"/>
        <v>0.1568598186886771</v>
      </c>
      <c r="AN7" s="1">
        <f t="shared" ca="1" si="28"/>
        <v>73</v>
      </c>
      <c r="AO7" s="1">
        <f t="shared" ca="1" si="29"/>
        <v>8</v>
      </c>
      <c r="AQ7" s="1">
        <f t="shared" ca="1" si="30"/>
        <v>80</v>
      </c>
      <c r="AR7" s="1">
        <f t="shared" ca="1" si="31"/>
        <v>4</v>
      </c>
      <c r="AS7" s="1">
        <f t="shared" ca="1" si="32"/>
        <v>98</v>
      </c>
      <c r="AU7" s="1">
        <f t="shared" ca="1" si="33"/>
        <v>384</v>
      </c>
      <c r="AV7" s="1">
        <f t="shared" ca="1" si="34"/>
        <v>9</v>
      </c>
      <c r="AW7" s="1">
        <f t="shared" ca="1" si="35"/>
        <v>1.1155386467555239E-2</v>
      </c>
      <c r="AY7" s="1">
        <f t="shared" ca="1" si="36"/>
        <v>1.9359928974441947</v>
      </c>
      <c r="AZ7" s="1">
        <f t="shared" ca="1" si="37"/>
        <v>439</v>
      </c>
      <c r="BA7" s="1">
        <f t="shared" ca="1" si="38"/>
        <v>3.626533155640202E-3</v>
      </c>
      <c r="BG7" s="1">
        <f t="shared" ca="1" si="39"/>
        <v>0.86152422974897069</v>
      </c>
      <c r="BH7" s="1">
        <f t="shared" ca="1" si="40"/>
        <v>0.35468031682273626</v>
      </c>
      <c r="BI7" s="1">
        <f t="shared" ca="1" si="41"/>
        <v>381</v>
      </c>
      <c r="BV7" s="1">
        <f t="shared" ca="1" si="42"/>
        <v>0.68282386898916492</v>
      </c>
      <c r="BW7" s="1">
        <f t="shared" ca="1" si="43"/>
        <v>175</v>
      </c>
      <c r="BX7" s="1">
        <f t="shared" ca="1" si="44"/>
        <v>9.6449941867657821E-3</v>
      </c>
      <c r="BY7" s="1">
        <f t="shared" ca="1" si="45"/>
        <v>4.0799323509243285E-2</v>
      </c>
      <c r="BZ7" s="1">
        <f t="shared" ca="1" si="46"/>
        <v>0.45044196049913943</v>
      </c>
      <c r="CB7" s="1">
        <f t="shared" ca="1" si="47"/>
        <v>335</v>
      </c>
      <c r="CC7" s="1">
        <f t="shared" ca="1" si="48"/>
        <v>11</v>
      </c>
      <c r="CD7" s="1">
        <f t="shared" ca="1" si="49"/>
        <v>6.212788170314601E-2</v>
      </c>
      <c r="CE7" s="1">
        <f t="shared" ca="1" si="50"/>
        <v>0.80706162498278045</v>
      </c>
      <c r="CF7" s="1">
        <f t="shared" ca="1" si="50"/>
        <v>0.58412014842553595</v>
      </c>
      <c r="CH7" s="3">
        <f t="shared" ca="1" si="51"/>
        <v>0.89755242451533057</v>
      </c>
      <c r="CI7" s="3">
        <f t="shared" ca="1" si="52"/>
        <v>0.7242719389262261</v>
      </c>
      <c r="CJ7" s="3">
        <f t="shared" ca="1" si="53"/>
        <v>891</v>
      </c>
      <c r="CK7" s="3">
        <f t="shared" ca="1" si="54"/>
        <v>4.2721007097860676E-3</v>
      </c>
      <c r="CL7" s="3">
        <f t="shared" ca="1" si="55"/>
        <v>1</v>
      </c>
      <c r="CM7" s="3"/>
      <c r="CN7" s="1">
        <f t="shared" ca="1" si="56"/>
        <v>15.868083499698233</v>
      </c>
      <c r="CO7" s="1">
        <f t="shared" ca="1" si="57"/>
        <v>0.35291915598903784</v>
      </c>
      <c r="CP7" s="1">
        <f t="shared" ca="1" si="58"/>
        <v>4</v>
      </c>
      <c r="DH7" s="1">
        <f t="shared" ca="1" si="59"/>
        <v>222</v>
      </c>
      <c r="DI7" s="1">
        <f t="shared" ca="1" si="60"/>
        <v>3.3872646128277388E-2</v>
      </c>
      <c r="DJ7" s="1">
        <f t="shared" ca="1" si="61"/>
        <v>5</v>
      </c>
      <c r="DL7" s="1">
        <f t="shared" ca="1" si="62"/>
        <v>0.12863350809761184</v>
      </c>
      <c r="DM7" s="1">
        <f t="shared" ca="1" si="63"/>
        <v>239</v>
      </c>
      <c r="DN7" s="1">
        <f t="shared" ca="1" si="64"/>
        <v>7</v>
      </c>
    </row>
    <row r="8" spans="2:121" x14ac:dyDescent="0.25">
      <c r="B8">
        <f t="shared" ca="1" si="0"/>
        <v>900</v>
      </c>
      <c r="C8">
        <f t="shared" ca="1" si="1"/>
        <v>22</v>
      </c>
      <c r="D8">
        <f t="shared" ca="1" si="2"/>
        <v>0.28592532443383495</v>
      </c>
      <c r="F8" s="1">
        <f t="shared" ca="1" si="3"/>
        <v>21</v>
      </c>
      <c r="G8" s="1">
        <f t="shared" ca="1" si="4"/>
        <v>27</v>
      </c>
      <c r="H8" s="1">
        <f t="shared" ca="1" si="5"/>
        <v>13</v>
      </c>
      <c r="I8" s="1"/>
      <c r="J8" s="1">
        <f t="shared" ca="1" si="6"/>
        <v>35</v>
      </c>
      <c r="K8" s="1">
        <f t="shared" ca="1" si="7"/>
        <v>1.1996735248677479</v>
      </c>
      <c r="L8" s="1">
        <f t="shared" ca="1" si="8"/>
        <v>28</v>
      </c>
      <c r="M8" s="1"/>
      <c r="N8" s="1">
        <f t="shared" ca="1" si="9"/>
        <v>70</v>
      </c>
      <c r="O8" s="1">
        <f t="shared" ca="1" si="10"/>
        <v>16</v>
      </c>
      <c r="P8" s="1"/>
      <c r="Q8" s="1">
        <f t="shared" ca="1" si="11"/>
        <v>0.83969530754298993</v>
      </c>
      <c r="R8" s="1">
        <f t="shared" ca="1" si="12"/>
        <v>498</v>
      </c>
      <c r="S8" s="1"/>
      <c r="T8" s="1">
        <f t="shared" ca="1" si="13"/>
        <v>0.18569563710422635</v>
      </c>
      <c r="U8" s="1">
        <f t="shared" ca="1" si="14"/>
        <v>136</v>
      </c>
      <c r="V8" s="1">
        <f t="shared" ca="1" si="15"/>
        <v>3</v>
      </c>
      <c r="W8" s="1"/>
      <c r="X8" s="1">
        <f t="shared" ca="1" si="16"/>
        <v>9.3977428265375256</v>
      </c>
      <c r="Y8" s="1">
        <f t="shared" ca="1" si="17"/>
        <v>0.86143055134732371</v>
      </c>
      <c r="Z8" s="1">
        <f t="shared" ca="1" si="18"/>
        <v>362</v>
      </c>
      <c r="AB8" s="1">
        <f t="shared" ca="1" si="19"/>
        <v>0.12342500575192553</v>
      </c>
      <c r="AC8" s="1">
        <f t="shared" ca="1" si="20"/>
        <v>108</v>
      </c>
      <c r="AD8" s="1">
        <f t="shared" ca="1" si="21"/>
        <v>9.2783653435968977E-3</v>
      </c>
      <c r="AE8" s="1"/>
      <c r="AF8" s="1">
        <f t="shared" ca="1" si="22"/>
        <v>0.83130984644892481</v>
      </c>
      <c r="AG8" s="1">
        <f t="shared" ca="1" si="23"/>
        <v>138</v>
      </c>
      <c r="AH8" s="1">
        <f t="shared" ca="1" si="24"/>
        <v>4.3452092393117718E-3</v>
      </c>
      <c r="AJ8" s="1">
        <f t="shared" ca="1" si="25"/>
        <v>0.13070772322110191</v>
      </c>
      <c r="AK8" s="1">
        <f t="shared" ca="1" si="26"/>
        <v>5.8854311499028956E-3</v>
      </c>
      <c r="AL8" s="1"/>
      <c r="AM8" s="1">
        <f t="shared" ca="1" si="27"/>
        <v>9.8985836091701293E-2</v>
      </c>
      <c r="AN8" s="1">
        <f t="shared" ca="1" si="28"/>
        <v>36</v>
      </c>
      <c r="AO8" s="1">
        <f t="shared" ca="1" si="29"/>
        <v>6</v>
      </c>
      <c r="AQ8" s="1">
        <f t="shared" ca="1" si="30"/>
        <v>36</v>
      </c>
      <c r="AR8" s="1">
        <f t="shared" ca="1" si="31"/>
        <v>4</v>
      </c>
      <c r="AS8" s="1">
        <f t="shared" ca="1" si="32"/>
        <v>76</v>
      </c>
      <c r="AU8" s="1">
        <f t="shared" ca="1" si="33"/>
        <v>317</v>
      </c>
      <c r="AV8" s="1">
        <f t="shared" ca="1" si="34"/>
        <v>3</v>
      </c>
      <c r="AW8" s="1">
        <f t="shared" ca="1" si="35"/>
        <v>0.11403297060405938</v>
      </c>
      <c r="AY8" s="1">
        <f t="shared" ca="1" si="36"/>
        <v>1.8650857259136309</v>
      </c>
      <c r="AZ8" s="1">
        <f t="shared" ca="1" si="37"/>
        <v>291</v>
      </c>
      <c r="BA8" s="1">
        <f t="shared" ca="1" si="38"/>
        <v>8.259222805983334E-3</v>
      </c>
      <c r="BG8" s="1">
        <f t="shared" ca="1" si="39"/>
        <v>7.9931811439569664E-2</v>
      </c>
      <c r="BH8" s="1">
        <f t="shared" ca="1" si="40"/>
        <v>0.12095554817684062</v>
      </c>
      <c r="BI8" s="1">
        <f t="shared" ca="1" si="41"/>
        <v>477</v>
      </c>
      <c r="BV8" s="1">
        <f t="shared" ca="1" si="42"/>
        <v>0.71688879704797281</v>
      </c>
      <c r="BW8" s="1">
        <f t="shared" ca="1" si="43"/>
        <v>221</v>
      </c>
      <c r="BX8" s="1">
        <f t="shared" ca="1" si="44"/>
        <v>9.5689468230304772E-3</v>
      </c>
      <c r="BY8" s="1">
        <f t="shared" ca="1" si="45"/>
        <v>8.9743292813983799E-2</v>
      </c>
      <c r="BZ8" s="1">
        <f t="shared" ca="1" si="46"/>
        <v>0.10575802660717015</v>
      </c>
      <c r="CB8" s="1">
        <f t="shared" ca="1" si="47"/>
        <v>138</v>
      </c>
      <c r="CC8" s="1">
        <f t="shared" ca="1" si="48"/>
        <v>7</v>
      </c>
      <c r="CD8" s="1">
        <f t="shared" ca="1" si="49"/>
        <v>0.20508618734280559</v>
      </c>
      <c r="CE8" s="1">
        <f t="shared" ca="1" si="50"/>
        <v>0.86407599728456308</v>
      </c>
      <c r="CF8" s="1">
        <f t="shared" ca="1" si="50"/>
        <v>0.89428454669644197</v>
      </c>
      <c r="CH8" s="3">
        <f t="shared" ca="1" si="51"/>
        <v>0.37669878080374453</v>
      </c>
      <c r="CI8" s="3">
        <f t="shared" ca="1" si="52"/>
        <v>0.27627430946385789</v>
      </c>
      <c r="CJ8" s="3">
        <f t="shared" ca="1" si="53"/>
        <v>327</v>
      </c>
      <c r="CK8" s="3">
        <f t="shared" ca="1" si="54"/>
        <v>3.5527696308501624E-3</v>
      </c>
      <c r="CL8" s="3">
        <f t="shared" ca="1" si="55"/>
        <v>0</v>
      </c>
      <c r="CM8" s="3"/>
      <c r="CN8" s="1">
        <f t="shared" ca="1" si="56"/>
        <v>16.221633872416948</v>
      </c>
      <c r="CO8" s="1">
        <f t="shared" ca="1" si="57"/>
        <v>0.19531825596296418</v>
      </c>
      <c r="CP8" s="1">
        <f t="shared" ca="1" si="58"/>
        <v>5</v>
      </c>
      <c r="DH8" s="1">
        <f t="shared" ca="1" si="59"/>
        <v>307</v>
      </c>
      <c r="DI8" s="1">
        <f t="shared" ca="1" si="60"/>
        <v>0.60503656375000026</v>
      </c>
      <c r="DJ8" s="1">
        <f t="shared" ca="1" si="61"/>
        <v>23</v>
      </c>
      <c r="DL8" s="1">
        <f t="shared" ca="1" si="62"/>
        <v>3.679928326054261E-2</v>
      </c>
      <c r="DM8" s="1">
        <f t="shared" ca="1" si="63"/>
        <v>234</v>
      </c>
      <c r="DN8" s="1">
        <f t="shared" ca="1" si="64"/>
        <v>8</v>
      </c>
    </row>
    <row r="9" spans="2:121" x14ac:dyDescent="0.25">
      <c r="B9">
        <f t="shared" ca="1" si="0"/>
        <v>522</v>
      </c>
      <c r="C9">
        <f t="shared" ca="1" si="1"/>
        <v>16</v>
      </c>
      <c r="D9">
        <f t="shared" ca="1" si="2"/>
        <v>1.9585897852432119E-2</v>
      </c>
      <c r="F9" s="1">
        <f t="shared" ca="1" si="3"/>
        <v>2</v>
      </c>
      <c r="G9" s="1">
        <f t="shared" ca="1" si="4"/>
        <v>20</v>
      </c>
      <c r="H9" s="1">
        <f t="shared" ca="1" si="5"/>
        <v>1</v>
      </c>
      <c r="I9" s="1"/>
      <c r="J9" s="1">
        <f t="shared" ca="1" si="6"/>
        <v>37</v>
      </c>
      <c r="K9" s="1">
        <f t="shared" ca="1" si="7"/>
        <v>2.0012914679061868</v>
      </c>
      <c r="L9" s="1">
        <f t="shared" ca="1" si="8"/>
        <v>26</v>
      </c>
      <c r="M9" s="1"/>
      <c r="N9" s="1">
        <f t="shared" ca="1" si="9"/>
        <v>364</v>
      </c>
      <c r="O9" s="1">
        <f t="shared" ca="1" si="10"/>
        <v>18</v>
      </c>
      <c r="P9" s="1"/>
      <c r="Q9" s="1">
        <f t="shared" ca="1" si="11"/>
        <v>0.90264496106999181</v>
      </c>
      <c r="R9" s="1">
        <f t="shared" ca="1" si="12"/>
        <v>207</v>
      </c>
      <c r="S9" s="1"/>
      <c r="T9" s="1">
        <f t="shared" ca="1" si="13"/>
        <v>0.18506744904360375</v>
      </c>
      <c r="U9" s="1">
        <f t="shared" ca="1" si="14"/>
        <v>239</v>
      </c>
      <c r="V9" s="1">
        <f t="shared" ca="1" si="15"/>
        <v>21</v>
      </c>
      <c r="W9" s="1"/>
      <c r="X9" s="1">
        <f t="shared" ca="1" si="16"/>
        <v>7.8388467780073388</v>
      </c>
      <c r="Y9" s="1">
        <f t="shared" ca="1" si="17"/>
        <v>0.33902610498362901</v>
      </c>
      <c r="Z9" s="1">
        <f t="shared" ca="1" si="18"/>
        <v>939</v>
      </c>
      <c r="AB9" s="1">
        <f t="shared" ca="1" si="19"/>
        <v>0.42269613201247486</v>
      </c>
      <c r="AC9" s="1">
        <f t="shared" ca="1" si="20"/>
        <v>596</v>
      </c>
      <c r="AD9" s="1">
        <f t="shared" ca="1" si="21"/>
        <v>4.1549876442641773E-3</v>
      </c>
      <c r="AE9" s="1"/>
      <c r="AF9" s="1">
        <f t="shared" ca="1" si="22"/>
        <v>0.53428069293360103</v>
      </c>
      <c r="AG9" s="1">
        <f t="shared" ca="1" si="23"/>
        <v>497</v>
      </c>
      <c r="AH9" s="1">
        <f t="shared" ca="1" si="24"/>
        <v>1.7775895287329862E-3</v>
      </c>
      <c r="AJ9" s="1">
        <f t="shared" ca="1" si="25"/>
        <v>0.87704369814450978</v>
      </c>
      <c r="AK9" s="1">
        <f t="shared" ca="1" si="26"/>
        <v>2.6378141506636873E-3</v>
      </c>
      <c r="AL9" s="1"/>
      <c r="AM9" s="1">
        <f t="shared" ca="1" si="27"/>
        <v>0.11755235642649352</v>
      </c>
      <c r="AN9" s="1">
        <f t="shared" ca="1" si="28"/>
        <v>56</v>
      </c>
      <c r="AO9" s="1">
        <f t="shared" ca="1" si="29"/>
        <v>13</v>
      </c>
      <c r="AQ9" s="1">
        <f t="shared" ca="1" si="30"/>
        <v>194</v>
      </c>
      <c r="AR9" s="1">
        <f t="shared" ca="1" si="31"/>
        <v>9</v>
      </c>
      <c r="AS9" s="1">
        <f t="shared" ca="1" si="32"/>
        <v>13</v>
      </c>
      <c r="AU9" s="1">
        <f t="shared" ca="1" si="33"/>
        <v>222</v>
      </c>
      <c r="AV9" s="1">
        <f t="shared" ca="1" si="34"/>
        <v>3</v>
      </c>
      <c r="AW9" s="1">
        <f t="shared" ca="1" si="35"/>
        <v>9.0999695646453688E-2</v>
      </c>
      <c r="AY9" s="1">
        <f t="shared" ca="1" si="36"/>
        <v>1.9403495169372049</v>
      </c>
      <c r="AZ9" s="1">
        <f t="shared" ca="1" si="37"/>
        <v>223</v>
      </c>
      <c r="BA9" s="1">
        <f t="shared" ca="1" si="38"/>
        <v>5.2611441489723082E-3</v>
      </c>
      <c r="BG9" s="1">
        <f t="shared" ca="1" si="39"/>
        <v>0.71231840246304834</v>
      </c>
      <c r="BH9" s="1">
        <f t="shared" ca="1" si="40"/>
        <v>0.5438912048001866</v>
      </c>
      <c r="BI9" s="1">
        <f t="shared" ca="1" si="41"/>
        <v>404</v>
      </c>
      <c r="BV9" s="1">
        <f t="shared" ca="1" si="42"/>
        <v>0.56110687338957299</v>
      </c>
      <c r="BW9" s="1">
        <f t="shared" ca="1" si="43"/>
        <v>741</v>
      </c>
      <c r="BX9" s="1">
        <f t="shared" ca="1" si="44"/>
        <v>3.1893332164767327E-3</v>
      </c>
      <c r="BY9" s="1">
        <f t="shared" ca="1" si="45"/>
        <v>9.3647622535745101E-2</v>
      </c>
      <c r="BZ9" s="1">
        <f t="shared" ca="1" si="46"/>
        <v>0.87404349235785306</v>
      </c>
      <c r="CB9" s="1">
        <f t="shared" ca="1" si="47"/>
        <v>404</v>
      </c>
      <c r="CC9" s="1">
        <f t="shared" ca="1" si="48"/>
        <v>7</v>
      </c>
      <c r="CD9" s="1">
        <f t="shared" ca="1" si="49"/>
        <v>0.27970950430938363</v>
      </c>
      <c r="CE9" s="1">
        <f t="shared" ca="1" si="50"/>
        <v>0.60182573538954354</v>
      </c>
      <c r="CF9" s="1">
        <f t="shared" ca="1" si="50"/>
        <v>0.63958018011431028</v>
      </c>
      <c r="CH9" s="3">
        <f t="shared" ca="1" si="51"/>
        <v>0.9146749961027355</v>
      </c>
      <c r="CI9" s="3">
        <f t="shared" ca="1" si="52"/>
        <v>0.64277044085837109</v>
      </c>
      <c r="CJ9" s="3">
        <f t="shared" ca="1" si="53"/>
        <v>845</v>
      </c>
      <c r="CK9" s="3">
        <f t="shared" ca="1" si="54"/>
        <v>3.1605998910920509E-3</v>
      </c>
      <c r="CL9" s="3">
        <f t="shared" ca="1" si="55"/>
        <v>0</v>
      </c>
      <c r="CM9" s="3"/>
      <c r="CN9" s="1">
        <f t="shared" ca="1" si="56"/>
        <v>11.646158062432489</v>
      </c>
      <c r="CO9" s="1">
        <f t="shared" ca="1" si="57"/>
        <v>0.49019818278973448</v>
      </c>
      <c r="CP9" s="1">
        <f t="shared" ca="1" si="58"/>
        <v>2</v>
      </c>
      <c r="DH9" s="1">
        <f t="shared" ca="1" si="59"/>
        <v>604</v>
      </c>
      <c r="DI9" s="1">
        <f t="shared" ca="1" si="60"/>
        <v>0.86895836414322813</v>
      </c>
      <c r="DJ9" s="1">
        <f t="shared" ca="1" si="61"/>
        <v>29</v>
      </c>
      <c r="DL9" s="1">
        <f t="shared" ca="1" si="62"/>
        <v>0.11703679175417243</v>
      </c>
      <c r="DM9" s="1">
        <f t="shared" ca="1" si="63"/>
        <v>128</v>
      </c>
      <c r="DN9" s="1">
        <f t="shared" ca="1" si="64"/>
        <v>1</v>
      </c>
    </row>
    <row r="10" spans="2:121" x14ac:dyDescent="0.25">
      <c r="B10">
        <f t="shared" ca="1" si="0"/>
        <v>139</v>
      </c>
      <c r="C10">
        <f t="shared" ca="1" si="1"/>
        <v>3</v>
      </c>
      <c r="D10">
        <f t="shared" ca="1" si="2"/>
        <v>0.21491660352280192</v>
      </c>
      <c r="F10" s="1">
        <f t="shared" ca="1" si="3"/>
        <v>36</v>
      </c>
      <c r="G10" s="1">
        <f t="shared" ca="1" si="4"/>
        <v>24</v>
      </c>
      <c r="H10" s="1">
        <f t="shared" ca="1" si="5"/>
        <v>6</v>
      </c>
      <c r="I10" s="1"/>
      <c r="J10" s="1">
        <f t="shared" ca="1" si="6"/>
        <v>32</v>
      </c>
      <c r="K10" s="1">
        <f t="shared" ca="1" si="7"/>
        <v>2.8582455082226894</v>
      </c>
      <c r="L10" s="1">
        <f t="shared" ca="1" si="8"/>
        <v>28</v>
      </c>
      <c r="M10" s="1"/>
      <c r="N10" s="1">
        <f t="shared" ca="1" si="9"/>
        <v>406</v>
      </c>
      <c r="O10" s="1">
        <f t="shared" ca="1" si="10"/>
        <v>41</v>
      </c>
      <c r="P10" s="1"/>
      <c r="Q10" s="1">
        <f t="shared" ca="1" si="11"/>
        <v>2.460182193071172</v>
      </c>
      <c r="R10" s="1">
        <f t="shared" ca="1" si="12"/>
        <v>877</v>
      </c>
      <c r="S10" s="1"/>
      <c r="T10" s="1">
        <f t="shared" ca="1" si="13"/>
        <v>5.4261630906099853E-2</v>
      </c>
      <c r="U10" s="1">
        <f t="shared" ca="1" si="14"/>
        <v>58</v>
      </c>
      <c r="V10" s="1">
        <f t="shared" ca="1" si="15"/>
        <v>5</v>
      </c>
      <c r="W10" s="1"/>
      <c r="X10" s="1">
        <f t="shared" ca="1" si="16"/>
        <v>9.1322373680513049</v>
      </c>
      <c r="Y10" s="1">
        <f t="shared" ca="1" si="17"/>
        <v>5.2488479093377928E-2</v>
      </c>
      <c r="Z10" s="1">
        <f t="shared" ca="1" si="18"/>
        <v>1626</v>
      </c>
      <c r="AB10" s="1">
        <f t="shared" ca="1" si="19"/>
        <v>0.10585784995123335</v>
      </c>
      <c r="AC10" s="1">
        <f t="shared" ca="1" si="20"/>
        <v>995</v>
      </c>
      <c r="AD10" s="1">
        <f t="shared" ca="1" si="21"/>
        <v>2.907776391719707E-3</v>
      </c>
      <c r="AE10" s="1"/>
      <c r="AF10" s="1">
        <f t="shared" ca="1" si="22"/>
        <v>0.84139992156833687</v>
      </c>
      <c r="AG10" s="1">
        <f t="shared" ca="1" si="23"/>
        <v>375</v>
      </c>
      <c r="AH10" s="1">
        <f t="shared" ca="1" si="24"/>
        <v>7.3243654226058219E-4</v>
      </c>
      <c r="AJ10" s="1">
        <f t="shared" ca="1" si="25"/>
        <v>0.23008531892573836</v>
      </c>
      <c r="AK10" s="1">
        <f t="shared" ca="1" si="26"/>
        <v>1.5971060217616427E-3</v>
      </c>
      <c r="AL10" s="1"/>
      <c r="AM10" s="1">
        <f t="shared" ca="1" si="27"/>
        <v>8.3909865285766133E-2</v>
      </c>
      <c r="AN10" s="1">
        <f t="shared" ca="1" si="28"/>
        <v>75</v>
      </c>
      <c r="AO10" s="1">
        <f t="shared" ca="1" si="29"/>
        <v>3</v>
      </c>
      <c r="AQ10" s="1">
        <f t="shared" ca="1" si="30"/>
        <v>74</v>
      </c>
      <c r="AR10" s="1">
        <f t="shared" ca="1" si="31"/>
        <v>8</v>
      </c>
      <c r="AS10" s="1">
        <f t="shared" ca="1" si="32"/>
        <v>73</v>
      </c>
      <c r="AU10" s="1">
        <f t="shared" ca="1" si="33"/>
        <v>370</v>
      </c>
      <c r="AV10" s="1">
        <f t="shared" ca="1" si="34"/>
        <v>9</v>
      </c>
      <c r="AW10" s="1">
        <f t="shared" ca="1" si="35"/>
        <v>5.4228475654510895E-2</v>
      </c>
      <c r="AY10" s="1">
        <f t="shared" ca="1" si="36"/>
        <v>1.3798211659823842</v>
      </c>
      <c r="AZ10" s="1">
        <f t="shared" ca="1" si="37"/>
        <v>67</v>
      </c>
      <c r="BA10" s="1">
        <f t="shared" ca="1" si="38"/>
        <v>3.9753998694762819E-3</v>
      </c>
      <c r="BG10" s="1">
        <f t="shared" ca="1" si="39"/>
        <v>0.38881859702806681</v>
      </c>
      <c r="BH10" s="1">
        <f t="shared" ca="1" si="40"/>
        <v>0.95642334368547655</v>
      </c>
      <c r="BI10" s="1">
        <f t="shared" ca="1" si="41"/>
        <v>541</v>
      </c>
      <c r="BV10" s="1">
        <f t="shared" ca="1" si="42"/>
        <v>0.71710715746649389</v>
      </c>
      <c r="BW10" s="1">
        <f t="shared" ca="1" si="43"/>
        <v>174</v>
      </c>
      <c r="BX10" s="1">
        <f t="shared" ca="1" si="44"/>
        <v>1.4725154149557412E-3</v>
      </c>
      <c r="BY10" s="1">
        <f t="shared" ca="1" si="45"/>
        <v>1.3058779868686286E-2</v>
      </c>
      <c r="BZ10" s="1">
        <f t="shared" ca="1" si="46"/>
        <v>0.93484611872326262</v>
      </c>
      <c r="CB10" s="1">
        <f t="shared" ca="1" si="47"/>
        <v>489</v>
      </c>
      <c r="CC10" s="1">
        <f t="shared" ca="1" si="48"/>
        <v>9</v>
      </c>
      <c r="CD10" s="1">
        <f t="shared" ca="1" si="49"/>
        <v>0.18981286678007483</v>
      </c>
      <c r="CE10" s="1">
        <f t="shared" ca="1" si="50"/>
        <v>0.94610537846676568</v>
      </c>
      <c r="CF10" s="1">
        <f t="shared" ca="1" si="50"/>
        <v>0.85502560006178885</v>
      </c>
      <c r="CH10" s="3">
        <f t="shared" ca="1" si="51"/>
        <v>0.15889858275951987</v>
      </c>
      <c r="CI10" s="3">
        <f t="shared" ca="1" si="52"/>
        <v>0.9389286437752361</v>
      </c>
      <c r="CJ10" s="3">
        <f t="shared" ca="1" si="53"/>
        <v>1919</v>
      </c>
      <c r="CK10" s="3">
        <f t="shared" ca="1" si="54"/>
        <v>7.3439251400053062E-3</v>
      </c>
      <c r="CL10" s="3">
        <f t="shared" ca="1" si="55"/>
        <v>1</v>
      </c>
      <c r="CM10" s="3"/>
      <c r="CN10" s="1">
        <f t="shared" ca="1" si="56"/>
        <v>19.925369475315193</v>
      </c>
      <c r="CO10" s="1">
        <f t="shared" ca="1" si="57"/>
        <v>0.23758313519456573</v>
      </c>
      <c r="CP10" s="1">
        <f t="shared" ca="1" si="58"/>
        <v>5</v>
      </c>
      <c r="DH10" s="1">
        <f t="shared" ca="1" si="59"/>
        <v>503</v>
      </c>
      <c r="DI10" s="1">
        <f t="shared" ca="1" si="60"/>
        <v>0.76035333792811766</v>
      </c>
      <c r="DJ10" s="1">
        <f t="shared" ca="1" si="61"/>
        <v>4</v>
      </c>
      <c r="DL10" s="1">
        <f t="shared" ca="1" si="62"/>
        <v>2.0534027690576506E-2</v>
      </c>
      <c r="DM10" s="1">
        <f t="shared" ca="1" si="63"/>
        <v>164</v>
      </c>
      <c r="DN10" s="1">
        <f t="shared" ca="1" si="64"/>
        <v>9</v>
      </c>
    </row>
    <row r="11" spans="2:121" x14ac:dyDescent="0.25">
      <c r="B11">
        <f t="shared" ca="1" si="0"/>
        <v>322</v>
      </c>
      <c r="C11">
        <f t="shared" ca="1" si="1"/>
        <v>19</v>
      </c>
      <c r="D11">
        <f t="shared" ca="1" si="2"/>
        <v>0.25698753761108151</v>
      </c>
      <c r="F11" s="1">
        <f t="shared" ca="1" si="3"/>
        <v>18</v>
      </c>
      <c r="G11" s="1">
        <f t="shared" ca="1" si="4"/>
        <v>21</v>
      </c>
      <c r="H11" s="1">
        <f t="shared" ca="1" si="5"/>
        <v>4</v>
      </c>
      <c r="I11" s="1"/>
      <c r="J11" s="1">
        <f t="shared" ca="1" si="6"/>
        <v>27</v>
      </c>
      <c r="K11" s="1">
        <f t="shared" ca="1" si="7"/>
        <v>2.9114495936675899</v>
      </c>
      <c r="L11" s="1">
        <f t="shared" ca="1" si="8"/>
        <v>25</v>
      </c>
      <c r="M11" s="1"/>
      <c r="N11" s="1">
        <f t="shared" ca="1" si="9"/>
        <v>41</v>
      </c>
      <c r="O11" s="1">
        <f t="shared" ca="1" si="10"/>
        <v>25</v>
      </c>
      <c r="P11" s="1"/>
      <c r="Q11" s="1">
        <f t="shared" ca="1" si="11"/>
        <v>0.96049267266142091</v>
      </c>
      <c r="R11" s="1">
        <f t="shared" ca="1" si="12"/>
        <v>815</v>
      </c>
      <c r="S11" s="1"/>
      <c r="T11" s="1">
        <f t="shared" ca="1" si="13"/>
        <v>5.5664193313331757E-2</v>
      </c>
      <c r="U11" s="1">
        <f t="shared" ca="1" si="14"/>
        <v>197</v>
      </c>
      <c r="V11" s="1">
        <f t="shared" ca="1" si="15"/>
        <v>34</v>
      </c>
      <c r="W11" s="1"/>
      <c r="X11" s="1">
        <f t="shared" ca="1" si="16"/>
        <v>9.0639308576210151</v>
      </c>
      <c r="Y11" s="1">
        <f t="shared" ca="1" si="17"/>
        <v>0.28981231210790653</v>
      </c>
      <c r="Z11" s="1">
        <f t="shared" ca="1" si="18"/>
        <v>323</v>
      </c>
      <c r="AB11" s="1">
        <f t="shared" ca="1" si="19"/>
        <v>0.34125675244357206</v>
      </c>
      <c r="AC11" s="1">
        <f t="shared" ca="1" si="20"/>
        <v>177</v>
      </c>
      <c r="AD11" s="1">
        <f t="shared" ca="1" si="21"/>
        <v>4.1487790211505379E-3</v>
      </c>
      <c r="AE11" s="1"/>
      <c r="AF11" s="1">
        <f t="shared" ca="1" si="22"/>
        <v>0.11284854892520198</v>
      </c>
      <c r="AG11" s="1">
        <f t="shared" ca="1" si="23"/>
        <v>450</v>
      </c>
      <c r="AH11" s="1">
        <f t="shared" ca="1" si="24"/>
        <v>5.4936897863794884E-4</v>
      </c>
      <c r="AJ11" s="1">
        <f t="shared" ca="1" si="25"/>
        <v>0.24201129180751135</v>
      </c>
      <c r="AK11" s="1">
        <f t="shared" ca="1" si="26"/>
        <v>9.4088508025432036E-3</v>
      </c>
      <c r="AL11" s="1"/>
      <c r="AM11" s="1">
        <f t="shared" ca="1" si="27"/>
        <v>0.18695236321807532</v>
      </c>
      <c r="AN11" s="1">
        <f t="shared" ca="1" si="28"/>
        <v>22</v>
      </c>
      <c r="AO11" s="1">
        <f t="shared" ca="1" si="29"/>
        <v>2</v>
      </c>
      <c r="AQ11" s="1">
        <f t="shared" ca="1" si="30"/>
        <v>151</v>
      </c>
      <c r="AR11" s="1">
        <f t="shared" ca="1" si="31"/>
        <v>10</v>
      </c>
      <c r="AS11" s="1">
        <f t="shared" ca="1" si="32"/>
        <v>64</v>
      </c>
      <c r="AU11" s="1">
        <f t="shared" ca="1" si="33"/>
        <v>152</v>
      </c>
      <c r="AV11" s="1">
        <f t="shared" ca="1" si="34"/>
        <v>10</v>
      </c>
      <c r="AW11" s="1">
        <f t="shared" ca="1" si="35"/>
        <v>5.6713287627701559E-2</v>
      </c>
      <c r="AY11" s="1">
        <f t="shared" ca="1" si="36"/>
        <v>1.4054472508847882</v>
      </c>
      <c r="AZ11" s="1">
        <f t="shared" ca="1" si="37"/>
        <v>74</v>
      </c>
      <c r="BA11" s="1">
        <f t="shared" ca="1" si="38"/>
        <v>3.0633289352558261E-3</v>
      </c>
      <c r="BG11" s="1">
        <f t="shared" ca="1" si="39"/>
        <v>0.68858952874880086</v>
      </c>
      <c r="BH11" s="1">
        <f t="shared" ca="1" si="40"/>
        <v>0.93914237434380432</v>
      </c>
      <c r="BI11" s="1">
        <f t="shared" ca="1" si="41"/>
        <v>328</v>
      </c>
      <c r="BV11" s="1">
        <f t="shared" ca="1" si="42"/>
        <v>0.58072986279712269</v>
      </c>
      <c r="BW11" s="1">
        <f t="shared" ca="1" si="43"/>
        <v>864</v>
      </c>
      <c r="BX11" s="1">
        <f t="shared" ca="1" si="44"/>
        <v>3.7854739981690966E-3</v>
      </c>
      <c r="BY11" s="1">
        <f t="shared" ca="1" si="45"/>
        <v>1.2640312065996105E-2</v>
      </c>
      <c r="BZ11" s="1">
        <f t="shared" ca="1" si="46"/>
        <v>0.46632895514457318</v>
      </c>
      <c r="CB11" s="1">
        <f t="shared" ca="1" si="47"/>
        <v>442</v>
      </c>
      <c r="CC11" s="1">
        <f t="shared" ca="1" si="48"/>
        <v>4</v>
      </c>
      <c r="CD11" s="1">
        <f t="shared" ca="1" si="49"/>
        <v>0.19114772332126648</v>
      </c>
      <c r="CE11" s="1">
        <f t="shared" ca="1" si="50"/>
        <v>0.9765441142634097</v>
      </c>
      <c r="CF11" s="1">
        <f t="shared" ca="1" si="50"/>
        <v>0.63412815326690941</v>
      </c>
      <c r="CH11" s="3">
        <f t="shared" ca="1" si="51"/>
        <v>0.69828895434757399</v>
      </c>
      <c r="CI11" s="3">
        <f t="shared" ca="1" si="52"/>
        <v>0.20272288458173598</v>
      </c>
      <c r="CJ11" s="3">
        <f t="shared" ca="1" si="53"/>
        <v>1481</v>
      </c>
      <c r="CK11" s="3">
        <f t="shared" ca="1" si="54"/>
        <v>7.5200720292213467E-3</v>
      </c>
      <c r="CL11" s="3">
        <f t="shared" ca="1" si="55"/>
        <v>0</v>
      </c>
      <c r="CM11" s="3"/>
      <c r="CN11" s="1">
        <f t="shared" ca="1" si="56"/>
        <v>6.0685652627158975</v>
      </c>
      <c r="CO11" s="1">
        <f t="shared" ca="1" si="57"/>
        <v>1.8080984399617698E-2</v>
      </c>
      <c r="CP11" s="1">
        <f t="shared" ca="1" si="58"/>
        <v>4</v>
      </c>
      <c r="DH11" s="1">
        <f t="shared" ca="1" si="59"/>
        <v>324</v>
      </c>
      <c r="DI11" s="1">
        <f t="shared" ca="1" si="60"/>
        <v>0.99444692816102509</v>
      </c>
      <c r="DJ11" s="1">
        <f t="shared" ca="1" si="61"/>
        <v>7</v>
      </c>
      <c r="DL11" s="1">
        <f t="shared" ca="1" si="62"/>
        <v>8.6602376105515869E-2</v>
      </c>
      <c r="DM11" s="1">
        <f t="shared" ca="1" si="63"/>
        <v>205</v>
      </c>
      <c r="DN11" s="1">
        <f t="shared" ca="1" si="64"/>
        <v>2</v>
      </c>
    </row>
    <row r="12" spans="2:121" x14ac:dyDescent="0.25">
      <c r="B12">
        <f t="shared" ca="1" si="0"/>
        <v>84</v>
      </c>
      <c r="C12">
        <f t="shared" ca="1" si="1"/>
        <v>4</v>
      </c>
      <c r="D12">
        <f t="shared" ca="1" si="2"/>
        <v>8.4423647598010049E-2</v>
      </c>
      <c r="F12" s="1">
        <f t="shared" ca="1" si="3"/>
        <v>38</v>
      </c>
      <c r="G12" s="1">
        <f t="shared" ca="1" si="4"/>
        <v>22</v>
      </c>
      <c r="H12" s="1">
        <f t="shared" ca="1" si="5"/>
        <v>3</v>
      </c>
      <c r="I12" s="1"/>
      <c r="J12" s="1">
        <f t="shared" ca="1" si="6"/>
        <v>29</v>
      </c>
      <c r="K12" s="1">
        <f t="shared" ca="1" si="7"/>
        <v>1.3833988892180675</v>
      </c>
      <c r="L12" s="1">
        <f t="shared" ca="1" si="8"/>
        <v>30</v>
      </c>
      <c r="M12" s="1"/>
      <c r="N12" s="1">
        <f t="shared" ca="1" si="9"/>
        <v>670</v>
      </c>
      <c r="O12" s="1">
        <f t="shared" ca="1" si="10"/>
        <v>43</v>
      </c>
      <c r="P12" s="1"/>
      <c r="Q12" s="1">
        <f t="shared" ca="1" si="11"/>
        <v>2.0597740937181785</v>
      </c>
      <c r="R12" s="1">
        <f t="shared" ca="1" si="12"/>
        <v>287</v>
      </c>
      <c r="S12" s="1"/>
      <c r="T12" s="1">
        <f t="shared" ca="1" si="13"/>
        <v>0.12388342277799162</v>
      </c>
      <c r="U12" s="1">
        <f t="shared" ca="1" si="14"/>
        <v>208</v>
      </c>
      <c r="V12" s="1">
        <f t="shared" ca="1" si="15"/>
        <v>8</v>
      </c>
      <c r="W12" s="1"/>
      <c r="X12" s="1">
        <f t="shared" ca="1" si="16"/>
        <v>2.1652070587779457</v>
      </c>
      <c r="Y12" s="1">
        <f t="shared" ca="1" si="17"/>
        <v>0.44076526462269794</v>
      </c>
      <c r="Z12" s="1">
        <f t="shared" ca="1" si="18"/>
        <v>913</v>
      </c>
      <c r="AB12" s="1">
        <f t="shared" ca="1" si="19"/>
        <v>0.28164595749946553</v>
      </c>
      <c r="AC12" s="1">
        <f t="shared" ca="1" si="20"/>
        <v>664</v>
      </c>
      <c r="AD12" s="1">
        <f t="shared" ca="1" si="21"/>
        <v>8.5957543819279551E-3</v>
      </c>
      <c r="AE12" s="1"/>
      <c r="AF12" s="1">
        <f t="shared" ca="1" si="22"/>
        <v>0.60283995192063355</v>
      </c>
      <c r="AG12" s="1">
        <f t="shared" ca="1" si="23"/>
        <v>361</v>
      </c>
      <c r="AH12" s="1">
        <f t="shared" ca="1" si="24"/>
        <v>6.8322992964591159E-3</v>
      </c>
      <c r="AJ12" s="1">
        <f t="shared" ca="1" si="25"/>
        <v>0.78540367616342077</v>
      </c>
      <c r="AK12" s="1">
        <f t="shared" ca="1" si="26"/>
        <v>1.2494515943778299E-3</v>
      </c>
      <c r="AL12" s="1"/>
      <c r="AM12" s="1">
        <f t="shared" ca="1" si="27"/>
        <v>5.0446176403005631E-2</v>
      </c>
      <c r="AN12" s="1">
        <f t="shared" ca="1" si="28"/>
        <v>68</v>
      </c>
      <c r="AO12" s="1">
        <f t="shared" ca="1" si="29"/>
        <v>-1</v>
      </c>
      <c r="AQ12" s="1">
        <f t="shared" ca="1" si="30"/>
        <v>44</v>
      </c>
      <c r="AR12" s="1">
        <f t="shared" ca="1" si="31"/>
        <v>2</v>
      </c>
      <c r="AS12" s="1">
        <f t="shared" ca="1" si="32"/>
        <v>100</v>
      </c>
      <c r="AU12" s="1">
        <f t="shared" ca="1" si="33"/>
        <v>95</v>
      </c>
      <c r="AV12" s="1">
        <f t="shared" ca="1" si="34"/>
        <v>7</v>
      </c>
      <c r="AW12" s="1">
        <f t="shared" ca="1" si="35"/>
        <v>0.14245361570936022</v>
      </c>
      <c r="AY12" s="1">
        <f t="shared" ca="1" si="36"/>
        <v>1.5248615182994194</v>
      </c>
      <c r="AZ12" s="1">
        <f t="shared" ca="1" si="37"/>
        <v>378</v>
      </c>
      <c r="BA12" s="1">
        <f t="shared" ca="1" si="38"/>
        <v>3.8280448291424228E-3</v>
      </c>
      <c r="BG12" s="1">
        <f t="shared" ca="1" si="39"/>
        <v>0.64248907573175573</v>
      </c>
      <c r="BH12" s="1">
        <f t="shared" ca="1" si="40"/>
        <v>0.20822591598272278</v>
      </c>
      <c r="BI12" s="1">
        <f t="shared" ca="1" si="41"/>
        <v>917</v>
      </c>
      <c r="BV12" s="1">
        <f t="shared" ca="1" si="42"/>
        <v>0.54571639258936333</v>
      </c>
      <c r="BW12" s="1">
        <f t="shared" ca="1" si="43"/>
        <v>615</v>
      </c>
      <c r="BX12" s="1">
        <f t="shared" ca="1" si="44"/>
        <v>7.796192842636069E-3</v>
      </c>
      <c r="BY12" s="1">
        <f t="shared" ca="1" si="45"/>
        <v>9.0024720598328896E-3</v>
      </c>
      <c r="BZ12" s="1">
        <f t="shared" ca="1" si="46"/>
        <v>0.12374840762989048</v>
      </c>
      <c r="CB12" s="1">
        <f t="shared" ca="1" si="47"/>
        <v>471</v>
      </c>
      <c r="CC12" s="1">
        <f t="shared" ca="1" si="48"/>
        <v>5</v>
      </c>
      <c r="CD12" s="1">
        <f t="shared" ca="1" si="49"/>
        <v>0.24551427221769723</v>
      </c>
      <c r="CE12" s="1">
        <f t="shared" ca="1" si="50"/>
        <v>0.53870557462043123</v>
      </c>
      <c r="CF12" s="1">
        <f t="shared" ca="1" si="50"/>
        <v>0.60630090752136889</v>
      </c>
      <c r="CH12" s="3">
        <f t="shared" ca="1" si="51"/>
        <v>0.15405477843099433</v>
      </c>
      <c r="CI12" s="3">
        <f t="shared" ca="1" si="52"/>
        <v>0.64198368284833562</v>
      </c>
      <c r="CJ12" s="3">
        <f t="shared" ca="1" si="53"/>
        <v>1065</v>
      </c>
      <c r="CK12" s="3">
        <f t="shared" ca="1" si="54"/>
        <v>8.3941201603408549E-3</v>
      </c>
      <c r="CL12" s="3">
        <f t="shared" ca="1" si="55"/>
        <v>0</v>
      </c>
      <c r="CM12" s="3"/>
      <c r="CN12" s="1">
        <f t="shared" ca="1" si="56"/>
        <v>6.4201304907431664</v>
      </c>
      <c r="CO12" s="1">
        <f t="shared" ca="1" si="57"/>
        <v>0.3630705973007689</v>
      </c>
      <c r="CP12" s="1">
        <f t="shared" ca="1" si="58"/>
        <v>5</v>
      </c>
      <c r="DH12" s="1">
        <f t="shared" ca="1" si="59"/>
        <v>137</v>
      </c>
      <c r="DI12" s="1">
        <f t="shared" ca="1" si="60"/>
        <v>0.54292869922114784</v>
      </c>
      <c r="DJ12" s="1">
        <f t="shared" ca="1" si="61"/>
        <v>15</v>
      </c>
      <c r="DL12" s="1">
        <f t="shared" ca="1" si="62"/>
        <v>1.4627628580550094E-2</v>
      </c>
      <c r="DM12" s="1">
        <f t="shared" ca="1" si="63"/>
        <v>196</v>
      </c>
      <c r="DN12" s="1">
        <f t="shared" ca="1" si="64"/>
        <v>5</v>
      </c>
    </row>
    <row r="13" spans="2:121" x14ac:dyDescent="0.25">
      <c r="B13">
        <f t="shared" ca="1" si="0"/>
        <v>415</v>
      </c>
      <c r="C13">
        <f t="shared" ca="1" si="1"/>
        <v>27</v>
      </c>
      <c r="D13">
        <f t="shared" ca="1" si="2"/>
        <v>0.1884335490037066</v>
      </c>
      <c r="F13" s="1">
        <f t="shared" ca="1" si="3"/>
        <v>9</v>
      </c>
      <c r="G13" s="1">
        <f t="shared" ca="1" si="4"/>
        <v>3</v>
      </c>
      <c r="H13" s="1">
        <f t="shared" ca="1" si="5"/>
        <v>9</v>
      </c>
      <c r="I13" s="1"/>
      <c r="J13" s="1">
        <f t="shared" ca="1" si="6"/>
        <v>24</v>
      </c>
      <c r="K13" s="1">
        <f t="shared" ca="1" si="7"/>
        <v>1.9621427898454482</v>
      </c>
      <c r="L13" s="1">
        <f t="shared" ca="1" si="8"/>
        <v>10</v>
      </c>
      <c r="M13" s="1"/>
      <c r="N13" s="1">
        <f t="shared" ca="1" si="9"/>
        <v>611</v>
      </c>
      <c r="O13" s="1">
        <f t="shared" ca="1" si="10"/>
        <v>51</v>
      </c>
      <c r="P13" s="1"/>
      <c r="Q13" s="1">
        <f t="shared" ca="1" si="11"/>
        <v>1.0468382748382421</v>
      </c>
      <c r="R13" s="1">
        <f t="shared" ca="1" si="12"/>
        <v>840</v>
      </c>
      <c r="S13" s="1"/>
      <c r="T13" s="1">
        <f t="shared" ca="1" si="13"/>
        <v>3.045844478032169E-2</v>
      </c>
      <c r="U13" s="1">
        <f t="shared" ca="1" si="14"/>
        <v>349</v>
      </c>
      <c r="V13" s="1">
        <f t="shared" ca="1" si="15"/>
        <v>33</v>
      </c>
      <c r="W13" s="1"/>
      <c r="X13" s="1">
        <f t="shared" ca="1" si="16"/>
        <v>0.80364549713642541</v>
      </c>
      <c r="Y13" s="1">
        <f t="shared" ca="1" si="17"/>
        <v>0.56967442950836999</v>
      </c>
      <c r="Z13" s="1">
        <f t="shared" ca="1" si="18"/>
        <v>295</v>
      </c>
      <c r="AB13" s="1">
        <f t="shared" ca="1" si="19"/>
        <v>8.8173600986381648E-2</v>
      </c>
      <c r="AC13" s="1">
        <f t="shared" ca="1" si="20"/>
        <v>498</v>
      </c>
      <c r="AD13" s="1">
        <f t="shared" ca="1" si="21"/>
        <v>3.5402416856081748E-3</v>
      </c>
      <c r="AE13" s="1"/>
      <c r="AF13" s="1">
        <f t="shared" ca="1" si="22"/>
        <v>0.55355029748942008</v>
      </c>
      <c r="AG13" s="1">
        <f t="shared" ca="1" si="23"/>
        <v>513</v>
      </c>
      <c r="AH13" s="1">
        <f t="shared" ca="1" si="24"/>
        <v>1.8613649576560284E-3</v>
      </c>
      <c r="AJ13" s="1">
        <f t="shared" ca="1" si="25"/>
        <v>0.31805707217268209</v>
      </c>
      <c r="AK13" s="1">
        <f t="shared" ca="1" si="26"/>
        <v>8.9527785036828955E-3</v>
      </c>
      <c r="AL13" s="1"/>
      <c r="AM13" s="1">
        <f t="shared" ca="1" si="27"/>
        <v>0.15467120351971195</v>
      </c>
      <c r="AN13" s="1">
        <f t="shared" ca="1" si="28"/>
        <v>65</v>
      </c>
      <c r="AO13" s="1">
        <f t="shared" ca="1" si="29"/>
        <v>15</v>
      </c>
      <c r="AQ13" s="1">
        <f t="shared" ca="1" si="30"/>
        <v>70</v>
      </c>
      <c r="AR13" s="1">
        <f t="shared" ca="1" si="31"/>
        <v>0</v>
      </c>
      <c r="AS13" s="1">
        <f t="shared" ca="1" si="32"/>
        <v>84</v>
      </c>
      <c r="AU13" s="1">
        <f t="shared" ca="1" si="33"/>
        <v>371</v>
      </c>
      <c r="AV13" s="1">
        <f t="shared" ca="1" si="34"/>
        <v>6</v>
      </c>
      <c r="AW13" s="1">
        <f t="shared" ca="1" si="35"/>
        <v>1.5667494246622324E-2</v>
      </c>
      <c r="AY13" s="1">
        <f t="shared" ca="1" si="36"/>
        <v>1.7676908704251435</v>
      </c>
      <c r="AZ13" s="1">
        <f t="shared" ca="1" si="37"/>
        <v>216</v>
      </c>
      <c r="BA13" s="1">
        <f t="shared" ca="1" si="38"/>
        <v>5.9337613925021897E-3</v>
      </c>
      <c r="BG13" s="1">
        <f t="shared" ca="1" si="39"/>
        <v>6.4691333583311333E-2</v>
      </c>
      <c r="BH13" s="1">
        <f t="shared" ca="1" si="40"/>
        <v>0.2093522163066015</v>
      </c>
      <c r="BI13" s="1">
        <f t="shared" ca="1" si="41"/>
        <v>620</v>
      </c>
      <c r="BV13" s="1">
        <f t="shared" ca="1" si="42"/>
        <v>9.0212275419090868E-2</v>
      </c>
      <c r="BW13" s="1">
        <f t="shared" ca="1" si="43"/>
        <v>803</v>
      </c>
      <c r="BX13" s="1">
        <f t="shared" ca="1" si="44"/>
        <v>4.6356475496128272E-3</v>
      </c>
      <c r="BY13" s="1">
        <f t="shared" ca="1" si="45"/>
        <v>2.6050183705211876E-2</v>
      </c>
      <c r="BZ13" s="1">
        <f t="shared" ca="1" si="46"/>
        <v>0.86540964871391624</v>
      </c>
      <c r="CB13" s="1">
        <f t="shared" ca="1" si="47"/>
        <v>456</v>
      </c>
      <c r="CC13" s="1">
        <f t="shared" ca="1" si="48"/>
        <v>8</v>
      </c>
      <c r="CD13" s="1">
        <f t="shared" ca="1" si="49"/>
        <v>0.1436879389301374</v>
      </c>
      <c r="CE13" s="1">
        <f t="shared" ca="1" si="50"/>
        <v>0.55550683491234609</v>
      </c>
      <c r="CF13" s="1">
        <f t="shared" ca="1" si="50"/>
        <v>0.76853576438924687</v>
      </c>
      <c r="CH13" s="3">
        <f t="shared" ca="1" si="51"/>
        <v>0.27381809895471926</v>
      </c>
      <c r="CI13" s="3">
        <f t="shared" ca="1" si="52"/>
        <v>0.59986556141334446</v>
      </c>
      <c r="CJ13" s="3">
        <f t="shared" ca="1" si="53"/>
        <v>1670</v>
      </c>
      <c r="CK13" s="3">
        <f t="shared" ca="1" si="54"/>
        <v>5.821971329665724E-3</v>
      </c>
      <c r="CL13" s="3">
        <f t="shared" ca="1" si="55"/>
        <v>1</v>
      </c>
      <c r="CM13" s="3"/>
      <c r="CN13" s="1">
        <f t="shared" ca="1" si="56"/>
        <v>7.5596303624168231</v>
      </c>
      <c r="CO13" s="1">
        <f t="shared" ca="1" si="57"/>
        <v>0.20374288680088387</v>
      </c>
      <c r="CP13" s="1">
        <f t="shared" ca="1" si="58"/>
        <v>5</v>
      </c>
      <c r="DH13" s="1">
        <f t="shared" ca="1" si="59"/>
        <v>857</v>
      </c>
      <c r="DI13" s="1">
        <f t="shared" ca="1" si="60"/>
        <v>0.13731579966578447</v>
      </c>
      <c r="DJ13" s="1">
        <f t="shared" ca="1" si="61"/>
        <v>18</v>
      </c>
      <c r="DL13" s="1">
        <f t="shared" ca="1" si="62"/>
        <v>6.0244368444861571E-2</v>
      </c>
      <c r="DM13" s="1">
        <f t="shared" ca="1" si="63"/>
        <v>218</v>
      </c>
      <c r="DN13" s="1">
        <f t="shared" ca="1" si="64"/>
        <v>8</v>
      </c>
    </row>
    <row r="14" spans="2:121" x14ac:dyDescent="0.25">
      <c r="B14">
        <f t="shared" ca="1" si="0"/>
        <v>703</v>
      </c>
      <c r="C14">
        <f t="shared" ca="1" si="1"/>
        <v>46</v>
      </c>
      <c r="D14">
        <f t="shared" ca="1" si="2"/>
        <v>9.8673923093310148E-2</v>
      </c>
      <c r="F14" s="1">
        <f t="shared" ca="1" si="3"/>
        <v>5</v>
      </c>
      <c r="G14" s="1">
        <f t="shared" ca="1" si="4"/>
        <v>17</v>
      </c>
      <c r="H14" s="1">
        <f t="shared" ca="1" si="5"/>
        <v>3</v>
      </c>
      <c r="I14" s="1"/>
      <c r="J14" s="1">
        <f t="shared" ca="1" si="6"/>
        <v>13</v>
      </c>
      <c r="K14" s="1">
        <f t="shared" ca="1" si="7"/>
        <v>1.775878072738319</v>
      </c>
      <c r="L14" s="1">
        <f t="shared" ca="1" si="8"/>
        <v>14</v>
      </c>
      <c r="M14" s="1"/>
      <c r="N14" s="1">
        <f t="shared" ca="1" si="9"/>
        <v>289</v>
      </c>
      <c r="O14" s="1">
        <f t="shared" ca="1" si="10"/>
        <v>5</v>
      </c>
      <c r="P14" s="1"/>
      <c r="Q14" s="1">
        <f t="shared" ca="1" si="11"/>
        <v>3.2488059152489317</v>
      </c>
      <c r="R14" s="1">
        <f t="shared" ca="1" si="12"/>
        <v>813</v>
      </c>
      <c r="S14" s="1"/>
      <c r="T14" s="1">
        <f t="shared" ca="1" si="13"/>
        <v>0.15886658583952007</v>
      </c>
      <c r="U14" s="1">
        <f t="shared" ca="1" si="14"/>
        <v>213</v>
      </c>
      <c r="V14" s="1">
        <f t="shared" ca="1" si="15"/>
        <v>25</v>
      </c>
      <c r="W14" s="1"/>
      <c r="X14" s="1">
        <f t="shared" ca="1" si="16"/>
        <v>3.6654000433922347</v>
      </c>
      <c r="Y14" s="1">
        <f t="shared" ca="1" si="17"/>
        <v>0.7646810838193826</v>
      </c>
      <c r="Z14" s="1">
        <f t="shared" ca="1" si="18"/>
        <v>1990</v>
      </c>
      <c r="AB14" s="1">
        <f t="shared" ca="1" si="19"/>
        <v>0.14000523889373231</v>
      </c>
      <c r="AC14" s="1">
        <f t="shared" ca="1" si="20"/>
        <v>681</v>
      </c>
      <c r="AD14" s="1">
        <f t="shared" ca="1" si="21"/>
        <v>2.481947956673483E-3</v>
      </c>
      <c r="AE14" s="1"/>
      <c r="AF14" s="1">
        <f t="shared" ca="1" si="22"/>
        <v>0.24940402396843808</v>
      </c>
      <c r="AG14" s="1">
        <f t="shared" ca="1" si="23"/>
        <v>257</v>
      </c>
      <c r="AH14" s="1">
        <f t="shared" ca="1" si="24"/>
        <v>4.1251378316274042E-3</v>
      </c>
      <c r="AJ14" s="1">
        <f t="shared" ca="1" si="25"/>
        <v>0.24152879918985481</v>
      </c>
      <c r="AK14" s="1">
        <f t="shared" ca="1" si="26"/>
        <v>2.7957203417141702E-3</v>
      </c>
      <c r="AL14" s="1"/>
      <c r="AM14" s="1">
        <f t="shared" ca="1" si="27"/>
        <v>0.16907698193061674</v>
      </c>
      <c r="AN14" s="1">
        <f t="shared" ca="1" si="28"/>
        <v>12</v>
      </c>
      <c r="AO14" s="1">
        <f t="shared" ca="1" si="29"/>
        <v>1</v>
      </c>
      <c r="AQ14" s="1">
        <f t="shared" ca="1" si="30"/>
        <v>195</v>
      </c>
      <c r="AR14" s="1">
        <f t="shared" ca="1" si="31"/>
        <v>10</v>
      </c>
      <c r="AS14" s="1">
        <f t="shared" ca="1" si="32"/>
        <v>54</v>
      </c>
      <c r="AU14" s="1">
        <f t="shared" ca="1" si="33"/>
        <v>147</v>
      </c>
      <c r="AV14" s="1">
        <f t="shared" ca="1" si="34"/>
        <v>5</v>
      </c>
      <c r="AW14" s="1">
        <f t="shared" ca="1" si="35"/>
        <v>8.8210449503236629E-2</v>
      </c>
      <c r="AY14" s="1">
        <f t="shared" ca="1" si="36"/>
        <v>1.7924660483226826</v>
      </c>
      <c r="AZ14" s="1">
        <f t="shared" ca="1" si="37"/>
        <v>225</v>
      </c>
      <c r="BA14" s="1">
        <f t="shared" ca="1" si="38"/>
        <v>3.3963721979251568E-4</v>
      </c>
      <c r="BG14" s="1">
        <f t="shared" ca="1" si="39"/>
        <v>0.46255845223879649</v>
      </c>
      <c r="BH14" s="1">
        <f t="shared" ca="1" si="40"/>
        <v>0.19642434376955586</v>
      </c>
      <c r="BI14" s="1">
        <f t="shared" ca="1" si="41"/>
        <v>625</v>
      </c>
      <c r="BV14" s="1">
        <f t="shared" ca="1" si="42"/>
        <v>0.56148108448240153</v>
      </c>
      <c r="BW14" s="1">
        <f t="shared" ca="1" si="43"/>
        <v>602</v>
      </c>
      <c r="BX14" s="1">
        <f t="shared" ca="1" si="44"/>
        <v>9.492274587131571E-3</v>
      </c>
      <c r="BY14" s="1">
        <f t="shared" ca="1" si="45"/>
        <v>6.0514945914876675E-2</v>
      </c>
      <c r="BZ14" s="1">
        <f t="shared" ca="1" si="46"/>
        <v>0.52270143417879444</v>
      </c>
      <c r="CB14" s="1">
        <f t="shared" ca="1" si="47"/>
        <v>335</v>
      </c>
      <c r="CC14" s="1">
        <f t="shared" ca="1" si="48"/>
        <v>3</v>
      </c>
      <c r="CD14" s="1">
        <f t="shared" ca="1" si="49"/>
        <v>0.21569959738096053</v>
      </c>
      <c r="CE14" s="1">
        <f t="shared" ca="1" si="50"/>
        <v>0.5221763738577907</v>
      </c>
      <c r="CF14" s="1">
        <f t="shared" ca="1" si="50"/>
        <v>0.75135476833525905</v>
      </c>
      <c r="CH14" s="3">
        <f t="shared" ca="1" si="51"/>
        <v>9.9183207127407039E-2</v>
      </c>
      <c r="CI14" s="3">
        <f t="shared" ca="1" si="52"/>
        <v>0.38230098957555508</v>
      </c>
      <c r="CJ14" s="3">
        <f t="shared" ca="1" si="53"/>
        <v>932</v>
      </c>
      <c r="CK14" s="3">
        <f t="shared" ca="1" si="54"/>
        <v>7.4813903111240344E-4</v>
      </c>
      <c r="CL14" s="3">
        <f t="shared" ca="1" si="55"/>
        <v>1</v>
      </c>
      <c r="CM14" s="3"/>
      <c r="CN14" s="1">
        <f t="shared" ca="1" si="56"/>
        <v>18.204282087713025</v>
      </c>
      <c r="CO14" s="1">
        <f t="shared" ca="1" si="57"/>
        <v>0.26883113148831678</v>
      </c>
      <c r="CP14" s="1">
        <f t="shared" ca="1" si="58"/>
        <v>3</v>
      </c>
      <c r="DH14" s="1">
        <f t="shared" ca="1" si="59"/>
        <v>875</v>
      </c>
      <c r="DI14" s="1">
        <f t="shared" ca="1" si="60"/>
        <v>0.75743736852681476</v>
      </c>
      <c r="DJ14" s="1">
        <f t="shared" ca="1" si="61"/>
        <v>22</v>
      </c>
      <c r="DL14" s="1">
        <f t="shared" ca="1" si="62"/>
        <v>0.15723046365744248</v>
      </c>
      <c r="DM14" s="1">
        <f t="shared" ca="1" si="63"/>
        <v>55</v>
      </c>
      <c r="DN14" s="1">
        <f t="shared" ca="1" si="64"/>
        <v>8</v>
      </c>
    </row>
    <row r="15" spans="2:121" x14ac:dyDescent="0.25">
      <c r="B15">
        <f t="shared" ca="1" si="0"/>
        <v>359</v>
      </c>
      <c r="C15">
        <f t="shared" ca="1" si="1"/>
        <v>17</v>
      </c>
      <c r="D15">
        <f t="shared" ca="1" si="2"/>
        <v>0.28548838335909882</v>
      </c>
      <c r="F15" s="1">
        <f t="shared" ca="1" si="3"/>
        <v>8</v>
      </c>
      <c r="G15" s="1">
        <f t="shared" ca="1" si="4"/>
        <v>18</v>
      </c>
      <c r="H15" s="1">
        <f t="shared" ca="1" si="5"/>
        <v>11</v>
      </c>
      <c r="I15" s="1"/>
      <c r="J15" s="1">
        <f t="shared" ca="1" si="6"/>
        <v>10</v>
      </c>
      <c r="K15" s="1">
        <f t="shared" ca="1" si="7"/>
        <v>2.626703001385005</v>
      </c>
      <c r="L15" s="1">
        <f t="shared" ca="1" si="8"/>
        <v>11</v>
      </c>
      <c r="M15" s="1"/>
      <c r="N15" s="1">
        <f t="shared" ca="1" si="9"/>
        <v>507</v>
      </c>
      <c r="O15" s="1">
        <f t="shared" ca="1" si="10"/>
        <v>35</v>
      </c>
      <c r="P15" s="1"/>
      <c r="Q15" s="1">
        <f t="shared" ca="1" si="11"/>
        <v>2.156238487593385E-2</v>
      </c>
      <c r="R15" s="1">
        <f t="shared" ca="1" si="12"/>
        <v>412</v>
      </c>
      <c r="S15" s="1"/>
      <c r="T15" s="1">
        <f t="shared" ca="1" si="13"/>
        <v>0.15931389744467012</v>
      </c>
      <c r="U15" s="1">
        <f t="shared" ca="1" si="14"/>
        <v>275</v>
      </c>
      <c r="V15" s="1">
        <f t="shared" ca="1" si="15"/>
        <v>40</v>
      </c>
      <c r="W15" s="1"/>
      <c r="X15" s="1">
        <f t="shared" ca="1" si="16"/>
        <v>6.0488899229210809</v>
      </c>
      <c r="Y15" s="1">
        <f t="shared" ca="1" si="17"/>
        <v>0.81538860913591915</v>
      </c>
      <c r="Z15" s="1">
        <f t="shared" ca="1" si="18"/>
        <v>272</v>
      </c>
      <c r="AB15" s="1">
        <f t="shared" ca="1" si="19"/>
        <v>0.15010093151748111</v>
      </c>
      <c r="AC15" s="1">
        <f t="shared" ca="1" si="20"/>
        <v>103</v>
      </c>
      <c r="AD15" s="1">
        <f t="shared" ca="1" si="21"/>
        <v>4.8738362177952318E-3</v>
      </c>
      <c r="AE15" s="1"/>
      <c r="AF15" s="1">
        <f t="shared" ca="1" si="22"/>
        <v>0.72370155535371594</v>
      </c>
      <c r="AG15" s="1">
        <f t="shared" ca="1" si="23"/>
        <v>542</v>
      </c>
      <c r="AH15" s="1">
        <f t="shared" ca="1" si="24"/>
        <v>7.8504877749154857E-4</v>
      </c>
      <c r="AJ15" s="1">
        <f t="shared" ca="1" si="25"/>
        <v>0.49435433730609835</v>
      </c>
      <c r="AK15" s="1">
        <f t="shared" ca="1" si="26"/>
        <v>7.4492970992331396E-3</v>
      </c>
      <c r="AL15" s="1"/>
      <c r="AM15" s="1">
        <f t="shared" ca="1" si="27"/>
        <v>0.12494331122537992</v>
      </c>
      <c r="AN15" s="1">
        <f t="shared" ca="1" si="28"/>
        <v>73</v>
      </c>
      <c r="AO15" s="1">
        <f t="shared" ca="1" si="29"/>
        <v>20</v>
      </c>
      <c r="AQ15" s="1">
        <f t="shared" ca="1" si="30"/>
        <v>180</v>
      </c>
      <c r="AR15" s="1">
        <f t="shared" ca="1" si="31"/>
        <v>4</v>
      </c>
      <c r="AS15" s="1">
        <f t="shared" ca="1" si="32"/>
        <v>56</v>
      </c>
      <c r="AU15" s="1">
        <f t="shared" ca="1" si="33"/>
        <v>222</v>
      </c>
      <c r="AV15" s="1">
        <f t="shared" ca="1" si="34"/>
        <v>3</v>
      </c>
      <c r="AW15" s="1">
        <f t="shared" ca="1" si="35"/>
        <v>3.7422108047838694E-2</v>
      </c>
      <c r="AY15" s="1">
        <f t="shared" ca="1" si="36"/>
        <v>1.8131245283365403</v>
      </c>
      <c r="AZ15" s="1">
        <f t="shared" ca="1" si="37"/>
        <v>147</v>
      </c>
      <c r="BA15" s="1">
        <f t="shared" ca="1" si="38"/>
        <v>3.9859749171085616E-3</v>
      </c>
      <c r="BG15" s="1">
        <f t="shared" ca="1" si="39"/>
        <v>0.45068850145116052</v>
      </c>
      <c r="BH15" s="1">
        <f t="shared" ca="1" si="40"/>
        <v>0.1462237278532873</v>
      </c>
      <c r="BI15" s="1">
        <f t="shared" ca="1" si="41"/>
        <v>613</v>
      </c>
      <c r="BV15" s="1">
        <f t="shared" ca="1" si="42"/>
        <v>2.3686965348911175E-2</v>
      </c>
      <c r="BW15" s="1">
        <f t="shared" ca="1" si="43"/>
        <v>313</v>
      </c>
      <c r="BX15" s="1">
        <f t="shared" ca="1" si="44"/>
        <v>2.3679758557764094E-3</v>
      </c>
      <c r="BY15" s="1">
        <f t="shared" ca="1" si="45"/>
        <v>7.1732281362433481E-2</v>
      </c>
      <c r="BZ15" s="1">
        <f t="shared" ca="1" si="46"/>
        <v>8.6176134907226865E-2</v>
      </c>
      <c r="CB15" s="1">
        <f t="shared" ca="1" si="47"/>
        <v>72</v>
      </c>
      <c r="CC15" s="1">
        <f t="shared" ca="1" si="48"/>
        <v>13</v>
      </c>
      <c r="CD15" s="1">
        <f t="shared" ca="1" si="49"/>
        <v>9.0261168973504807E-2</v>
      </c>
      <c r="CE15" s="1">
        <f t="shared" ca="1" si="50"/>
        <v>0.76962429238445518</v>
      </c>
      <c r="CF15" s="1">
        <f t="shared" ca="1" si="50"/>
        <v>0.77082088125410864</v>
      </c>
      <c r="CH15" s="3">
        <f t="shared" ca="1" si="51"/>
        <v>0.28405414964115211</v>
      </c>
      <c r="CI15" s="3">
        <f t="shared" ca="1" si="52"/>
        <v>0.17805552522752027</v>
      </c>
      <c r="CJ15" s="3">
        <f t="shared" ca="1" si="53"/>
        <v>832</v>
      </c>
      <c r="CK15" s="3">
        <f t="shared" ca="1" si="54"/>
        <v>7.8150706939636837E-3</v>
      </c>
      <c r="CL15" s="3">
        <f t="shared" ca="1" si="55"/>
        <v>1</v>
      </c>
      <c r="CM15" s="3"/>
      <c r="CN15" s="1">
        <f t="shared" ca="1" si="56"/>
        <v>10.749928957056499</v>
      </c>
      <c r="CO15" s="1">
        <f t="shared" ca="1" si="57"/>
        <v>0.25157920195283778</v>
      </c>
      <c r="CP15" s="1">
        <f t="shared" ca="1" si="58"/>
        <v>5</v>
      </c>
      <c r="DH15" s="1">
        <f t="shared" ca="1" si="59"/>
        <v>37</v>
      </c>
      <c r="DI15" s="1">
        <f t="shared" ca="1" si="60"/>
        <v>0.85493765660731647</v>
      </c>
      <c r="DJ15" s="1">
        <f t="shared" ca="1" si="61"/>
        <v>5</v>
      </c>
      <c r="DL15" s="1">
        <f t="shared" ca="1" si="62"/>
        <v>0.11700422749525045</v>
      </c>
      <c r="DM15" s="1">
        <f t="shared" ca="1" si="63"/>
        <v>266</v>
      </c>
      <c r="DN15" s="1">
        <f t="shared" ca="1" si="64"/>
        <v>2</v>
      </c>
    </row>
    <row r="16" spans="2:121" x14ac:dyDescent="0.25">
      <c r="B16">
        <f t="shared" ca="1" si="0"/>
        <v>985</v>
      </c>
      <c r="C16">
        <f t="shared" ca="1" si="1"/>
        <v>15</v>
      </c>
      <c r="D16">
        <f t="shared" ca="1" si="2"/>
        <v>0.20324786669937325</v>
      </c>
      <c r="F16" s="1">
        <f t="shared" ca="1" si="3"/>
        <v>49</v>
      </c>
      <c r="G16" s="1">
        <f t="shared" ca="1" si="4"/>
        <v>8</v>
      </c>
      <c r="H16" s="1">
        <f t="shared" ca="1" si="5"/>
        <v>12</v>
      </c>
      <c r="I16" s="1"/>
      <c r="J16" s="1">
        <f t="shared" ca="1" si="6"/>
        <v>21</v>
      </c>
      <c r="K16" s="1">
        <f t="shared" ca="1" si="7"/>
        <v>2.7428755605642836</v>
      </c>
      <c r="L16" s="1">
        <f t="shared" ca="1" si="8"/>
        <v>10</v>
      </c>
      <c r="M16" s="1"/>
      <c r="N16" s="1">
        <f t="shared" ca="1" si="9"/>
        <v>506</v>
      </c>
      <c r="O16" s="1">
        <f t="shared" ca="1" si="10"/>
        <v>33</v>
      </c>
      <c r="P16" s="1"/>
      <c r="Q16" s="1">
        <f t="shared" ca="1" si="11"/>
        <v>1.6793388949237205</v>
      </c>
      <c r="R16" s="1">
        <f t="shared" ca="1" si="12"/>
        <v>1165</v>
      </c>
      <c r="S16" s="1"/>
      <c r="T16" s="1">
        <f t="shared" ca="1" si="13"/>
        <v>0.16518790937069164</v>
      </c>
      <c r="U16" s="1">
        <f t="shared" ca="1" si="14"/>
        <v>412</v>
      </c>
      <c r="V16" s="1">
        <f t="shared" ca="1" si="15"/>
        <v>5</v>
      </c>
      <c r="W16" s="1"/>
      <c r="X16" s="1">
        <f t="shared" ca="1" si="16"/>
        <v>6.8557854829744054</v>
      </c>
      <c r="Y16" s="1">
        <f t="shared" ca="1" si="17"/>
        <v>0.15169386932294657</v>
      </c>
      <c r="Z16" s="1">
        <f t="shared" ca="1" si="18"/>
        <v>1382</v>
      </c>
      <c r="AB16" s="1">
        <f t="shared" ca="1" si="19"/>
        <v>0.7941217096951998</v>
      </c>
      <c r="AC16" s="1">
        <f t="shared" ca="1" si="20"/>
        <v>999</v>
      </c>
      <c r="AD16" s="1">
        <f t="shared" ca="1" si="21"/>
        <v>9.5620998459993688E-3</v>
      </c>
      <c r="AE16" s="1"/>
      <c r="AF16" s="1">
        <f t="shared" ca="1" si="22"/>
        <v>0.67547193725637844</v>
      </c>
      <c r="AG16" s="1">
        <f t="shared" ca="1" si="23"/>
        <v>478</v>
      </c>
      <c r="AH16" s="1">
        <f t="shared" ca="1" si="24"/>
        <v>4.8356547984423999E-3</v>
      </c>
      <c r="AJ16" s="1">
        <f t="shared" ca="1" si="25"/>
        <v>0.51157968995471048</v>
      </c>
      <c r="AK16" s="1">
        <f t="shared" ca="1" si="26"/>
        <v>2.9928524989551546E-4</v>
      </c>
      <c r="AL16" s="1"/>
      <c r="AM16" s="1">
        <f t="shared" ca="1" si="27"/>
        <v>0.17793574250379396</v>
      </c>
      <c r="AN16" s="1">
        <f t="shared" ca="1" si="28"/>
        <v>53</v>
      </c>
      <c r="AO16" s="1">
        <f t="shared" ca="1" si="29"/>
        <v>11</v>
      </c>
      <c r="AQ16" s="1">
        <f t="shared" ca="1" si="30"/>
        <v>96</v>
      </c>
      <c r="AR16" s="1">
        <f t="shared" ca="1" si="31"/>
        <v>10</v>
      </c>
      <c r="AS16" s="1">
        <f t="shared" ca="1" si="32"/>
        <v>28</v>
      </c>
      <c r="AU16" s="1">
        <f t="shared" ca="1" si="33"/>
        <v>302</v>
      </c>
      <c r="AV16" s="1">
        <f t="shared" ca="1" si="34"/>
        <v>6</v>
      </c>
      <c r="AW16" s="1">
        <f t="shared" ca="1" si="35"/>
        <v>0.14140585344129042</v>
      </c>
      <c r="AY16" s="1">
        <f t="shared" ca="1" si="36"/>
        <v>1.4441290889365002</v>
      </c>
      <c r="AZ16" s="1">
        <f t="shared" ca="1" si="37"/>
        <v>290</v>
      </c>
      <c r="BA16" s="1">
        <f t="shared" ca="1" si="38"/>
        <v>8.3293685483761138E-3</v>
      </c>
      <c r="BG16" s="1">
        <f t="shared" ca="1" si="39"/>
        <v>0.79712482461158696</v>
      </c>
      <c r="BH16" s="1">
        <f t="shared" ca="1" si="40"/>
        <v>0.36324003348872025</v>
      </c>
      <c r="BI16" s="1">
        <f t="shared" ca="1" si="41"/>
        <v>646</v>
      </c>
      <c r="BV16" s="1">
        <f t="shared" ca="1" si="42"/>
        <v>0.4852274848539691</v>
      </c>
      <c r="BW16" s="1">
        <f t="shared" ca="1" si="43"/>
        <v>235</v>
      </c>
      <c r="BX16" s="1">
        <f t="shared" ca="1" si="44"/>
        <v>9.1248676718348899E-3</v>
      </c>
      <c r="BY16" s="1">
        <f t="shared" ca="1" si="45"/>
        <v>8.356625503367289E-2</v>
      </c>
      <c r="BZ16" s="1">
        <f t="shared" ca="1" si="46"/>
        <v>0.33576551125729259</v>
      </c>
      <c r="CB16" s="1">
        <f t="shared" ca="1" si="47"/>
        <v>206</v>
      </c>
      <c r="CC16" s="1">
        <f t="shared" ca="1" si="48"/>
        <v>8</v>
      </c>
      <c r="CD16" s="1">
        <f t="shared" ca="1" si="49"/>
        <v>0.23687834369813845</v>
      </c>
      <c r="CE16" s="1">
        <f t="shared" ca="1" si="50"/>
        <v>0.82477361563528617</v>
      </c>
      <c r="CF16" s="1">
        <f t="shared" ca="1" si="50"/>
        <v>0.89082987503146849</v>
      </c>
      <c r="CH16" s="3">
        <f t="shared" ca="1" si="51"/>
        <v>0.7547985645839308</v>
      </c>
      <c r="CI16" s="3">
        <f t="shared" ca="1" si="52"/>
        <v>0.81597651132445759</v>
      </c>
      <c r="CJ16" s="3">
        <f t="shared" ca="1" si="53"/>
        <v>1708</v>
      </c>
      <c r="CK16" s="3">
        <f t="shared" ca="1" si="54"/>
        <v>5.0241861823163432E-4</v>
      </c>
      <c r="CL16" s="3">
        <f t="shared" ca="1" si="55"/>
        <v>0</v>
      </c>
      <c r="CM16" s="3"/>
      <c r="CN16" s="1">
        <f t="shared" ca="1" si="56"/>
        <v>19.585711373443853</v>
      </c>
      <c r="CO16" s="1">
        <f t="shared" ca="1" si="57"/>
        <v>0.40592858997174586</v>
      </c>
      <c r="CP16" s="1">
        <f t="shared" ca="1" si="58"/>
        <v>5</v>
      </c>
      <c r="DH16" s="1">
        <f t="shared" ca="1" si="59"/>
        <v>322</v>
      </c>
      <c r="DI16" s="1">
        <f t="shared" ca="1" si="60"/>
        <v>0.7551765239101309</v>
      </c>
      <c r="DJ16" s="1">
        <f t="shared" ca="1" si="61"/>
        <v>28</v>
      </c>
      <c r="DL16" s="1">
        <f t="shared" ca="1" si="62"/>
        <v>0.16428497675238474</v>
      </c>
      <c r="DM16" s="1">
        <f t="shared" ca="1" si="63"/>
        <v>179</v>
      </c>
      <c r="DN16" s="1">
        <f t="shared" ca="1" si="64"/>
        <v>8</v>
      </c>
    </row>
    <row r="17" spans="2:118" x14ac:dyDescent="0.25">
      <c r="B17">
        <f t="shared" ca="1" si="0"/>
        <v>468</v>
      </c>
      <c r="C17">
        <f t="shared" ca="1" si="1"/>
        <v>36</v>
      </c>
      <c r="D17">
        <f t="shared" ca="1" si="2"/>
        <v>5.602141154463651E-2</v>
      </c>
      <c r="F17" s="1">
        <f t="shared" ca="1" si="3"/>
        <v>45</v>
      </c>
      <c r="G17" s="1">
        <f t="shared" ca="1" si="4"/>
        <v>16</v>
      </c>
      <c r="H17" s="1">
        <f t="shared" ca="1" si="5"/>
        <v>2</v>
      </c>
      <c r="I17" s="1"/>
      <c r="J17" s="1">
        <f t="shared" ca="1" si="6"/>
        <v>13</v>
      </c>
      <c r="K17" s="1">
        <f t="shared" ca="1" si="7"/>
        <v>1.8862878121001292</v>
      </c>
      <c r="L17" s="1">
        <f t="shared" ca="1" si="8"/>
        <v>29</v>
      </c>
      <c r="M17" s="1"/>
      <c r="N17" s="1">
        <f t="shared" ca="1" si="9"/>
        <v>182</v>
      </c>
      <c r="O17" s="1">
        <f t="shared" ca="1" si="10"/>
        <v>18</v>
      </c>
      <c r="P17" s="1"/>
      <c r="Q17" s="1">
        <f t="shared" ca="1" si="11"/>
        <v>3.3884371886170217</v>
      </c>
      <c r="R17" s="1">
        <f t="shared" ca="1" si="12"/>
        <v>725</v>
      </c>
      <c r="S17" s="1"/>
      <c r="T17" s="1">
        <f t="shared" ca="1" si="13"/>
        <v>2.0206474539594108E-2</v>
      </c>
      <c r="U17" s="1">
        <f t="shared" ca="1" si="14"/>
        <v>337</v>
      </c>
      <c r="V17" s="1">
        <f t="shared" ca="1" si="15"/>
        <v>17</v>
      </c>
      <c r="W17" s="1"/>
      <c r="X17" s="1">
        <f t="shared" ca="1" si="16"/>
        <v>4.7456961786174334</v>
      </c>
      <c r="Y17" s="1">
        <f t="shared" ca="1" si="17"/>
        <v>0.27866351033537207</v>
      </c>
      <c r="Z17" s="1">
        <f t="shared" ca="1" si="18"/>
        <v>210</v>
      </c>
      <c r="AB17" s="1">
        <f t="shared" ca="1" si="19"/>
        <v>0.99413193995630833</v>
      </c>
      <c r="AC17" s="1">
        <f t="shared" ca="1" si="20"/>
        <v>967</v>
      </c>
      <c r="AD17" s="1">
        <f t="shared" ca="1" si="21"/>
        <v>1.0776232985281213E-3</v>
      </c>
      <c r="AE17" s="1"/>
      <c r="AF17" s="1">
        <f t="shared" ca="1" si="22"/>
        <v>0.78712177548344464</v>
      </c>
      <c r="AG17" s="1">
        <f t="shared" ca="1" si="23"/>
        <v>607</v>
      </c>
      <c r="AH17" s="1">
        <f t="shared" ca="1" si="24"/>
        <v>4.9804927739747797E-3</v>
      </c>
      <c r="AJ17" s="1">
        <f t="shared" ca="1" si="25"/>
        <v>0.98744296723507197</v>
      </c>
      <c r="AK17" s="1">
        <f t="shared" ca="1" si="26"/>
        <v>2.3310100384153491E-3</v>
      </c>
      <c r="AL17" s="1"/>
      <c r="AM17" s="1">
        <f t="shared" ca="1" si="27"/>
        <v>5.4050966697927152E-2</v>
      </c>
      <c r="AN17" s="1">
        <f t="shared" ca="1" si="28"/>
        <v>42</v>
      </c>
      <c r="AO17" s="1">
        <f t="shared" ca="1" si="29"/>
        <v>17</v>
      </c>
      <c r="AQ17" s="1">
        <f t="shared" ca="1" si="30"/>
        <v>142</v>
      </c>
      <c r="AR17" s="1">
        <f t="shared" ca="1" si="31"/>
        <v>0</v>
      </c>
      <c r="AS17" s="1">
        <f t="shared" ca="1" si="32"/>
        <v>39</v>
      </c>
      <c r="AU17" s="1">
        <f t="shared" ca="1" si="33"/>
        <v>90</v>
      </c>
      <c r="AV17" s="1">
        <f t="shared" ca="1" si="34"/>
        <v>4</v>
      </c>
      <c r="AW17" s="1">
        <f t="shared" ca="1" si="35"/>
        <v>0.12843381100461648</v>
      </c>
      <c r="AY17" s="1">
        <f t="shared" ca="1" si="36"/>
        <v>1.6733449105995271</v>
      </c>
      <c r="AZ17" s="1">
        <f t="shared" ca="1" si="37"/>
        <v>367</v>
      </c>
      <c r="BA17" s="1">
        <f t="shared" ca="1" si="38"/>
        <v>2.6827913696450003E-3</v>
      </c>
      <c r="BG17" s="1">
        <f t="shared" ca="1" si="39"/>
        <v>3.235743063906852E-2</v>
      </c>
      <c r="BH17" s="1">
        <f t="shared" ca="1" si="40"/>
        <v>0.90751849402110518</v>
      </c>
      <c r="BI17" s="1">
        <f t="shared" ca="1" si="41"/>
        <v>178</v>
      </c>
      <c r="BV17" s="1">
        <f t="shared" ca="1" si="42"/>
        <v>0.56648906143075295</v>
      </c>
      <c r="BW17" s="1">
        <f t="shared" ca="1" si="43"/>
        <v>837</v>
      </c>
      <c r="BX17" s="1">
        <f t="shared" ca="1" si="44"/>
        <v>6.2152533109199482E-3</v>
      </c>
      <c r="BY17" s="1">
        <f t="shared" ca="1" si="45"/>
        <v>5.0662692564140056E-2</v>
      </c>
      <c r="BZ17" s="1">
        <f t="shared" ca="1" si="46"/>
        <v>0.72737728922466749</v>
      </c>
      <c r="CB17" s="1">
        <f t="shared" ca="1" si="47"/>
        <v>393</v>
      </c>
      <c r="CC17" s="1">
        <f t="shared" ca="1" si="48"/>
        <v>10</v>
      </c>
      <c r="CD17" s="1">
        <f t="shared" ca="1" si="49"/>
        <v>2.2043010370225904E-2</v>
      </c>
      <c r="CE17" s="1">
        <f t="shared" ca="1" si="50"/>
        <v>0.58338060978375395</v>
      </c>
      <c r="CF17" s="1">
        <f t="shared" ca="1" si="50"/>
        <v>0.63843929785824527</v>
      </c>
      <c r="CH17" s="3">
        <f t="shared" ca="1" si="51"/>
        <v>0.43597054456395712</v>
      </c>
      <c r="CI17" s="3">
        <f t="shared" ca="1" si="52"/>
        <v>0.69765516948273099</v>
      </c>
      <c r="CJ17" s="3">
        <f t="shared" ca="1" si="53"/>
        <v>1341</v>
      </c>
      <c r="CK17" s="3">
        <f t="shared" ca="1" si="54"/>
        <v>4.1728846760448451E-3</v>
      </c>
      <c r="CL17" s="3">
        <f t="shared" ca="1" si="55"/>
        <v>0</v>
      </c>
      <c r="CM17" s="3"/>
      <c r="CN17" s="1">
        <f t="shared" ca="1" si="56"/>
        <v>11.911917861473077</v>
      </c>
      <c r="CO17" s="1">
        <f t="shared" ca="1" si="57"/>
        <v>0.21121617117909883</v>
      </c>
      <c r="CP17" s="1">
        <f t="shared" ca="1" si="58"/>
        <v>2</v>
      </c>
      <c r="DH17" s="1">
        <f t="shared" ca="1" si="59"/>
        <v>10</v>
      </c>
      <c r="DI17" s="1">
        <f t="shared" ca="1" si="60"/>
        <v>0.29334327785651348</v>
      </c>
      <c r="DJ17" s="1">
        <f t="shared" ca="1" si="61"/>
        <v>4</v>
      </c>
      <c r="DL17" s="1">
        <f t="shared" ca="1" si="62"/>
        <v>0.15493483852601608</v>
      </c>
      <c r="DM17" s="1">
        <f t="shared" ca="1" si="63"/>
        <v>198</v>
      </c>
      <c r="DN17" s="1">
        <f t="shared" ca="1" si="64"/>
        <v>9</v>
      </c>
    </row>
    <row r="18" spans="2:118" x14ac:dyDescent="0.25">
      <c r="B18">
        <f t="shared" ca="1" si="0"/>
        <v>636</v>
      </c>
      <c r="C18">
        <f t="shared" ca="1" si="1"/>
        <v>6</v>
      </c>
      <c r="D18">
        <f t="shared" ca="1" si="2"/>
        <v>0.26975724463495826</v>
      </c>
      <c r="F18" s="1">
        <f t="shared" ca="1" si="3"/>
        <v>17</v>
      </c>
      <c r="G18" s="1">
        <f t="shared" ca="1" si="4"/>
        <v>29</v>
      </c>
      <c r="H18" s="1">
        <f t="shared" ca="1" si="5"/>
        <v>7</v>
      </c>
      <c r="I18" s="1"/>
      <c r="J18" s="1">
        <f t="shared" ca="1" si="6"/>
        <v>31</v>
      </c>
      <c r="K18" s="1">
        <f t="shared" ca="1" si="7"/>
        <v>2.8435393120127772</v>
      </c>
      <c r="L18" s="1">
        <f t="shared" ca="1" si="8"/>
        <v>14</v>
      </c>
      <c r="M18" s="1"/>
      <c r="N18" s="1">
        <f t="shared" ca="1" si="9"/>
        <v>638</v>
      </c>
      <c r="O18" s="1">
        <f t="shared" ca="1" si="10"/>
        <v>7</v>
      </c>
      <c r="P18" s="1"/>
      <c r="Q18" s="1">
        <f t="shared" ca="1" si="11"/>
        <v>0.35143882886240896</v>
      </c>
      <c r="R18" s="1">
        <f t="shared" ca="1" si="12"/>
        <v>992</v>
      </c>
      <c r="S18" s="1"/>
      <c r="T18" s="1">
        <f t="shared" ca="1" si="13"/>
        <v>8.9618993126990537E-2</v>
      </c>
      <c r="U18" s="1">
        <f t="shared" ca="1" si="14"/>
        <v>356</v>
      </c>
      <c r="V18" s="1">
        <f t="shared" ca="1" si="15"/>
        <v>50</v>
      </c>
      <c r="W18" s="1"/>
      <c r="X18" s="1">
        <f t="shared" ca="1" si="16"/>
        <v>2.6439445982817023</v>
      </c>
      <c r="Y18" s="1">
        <f t="shared" ca="1" si="17"/>
        <v>0.8065372221562872</v>
      </c>
      <c r="Z18" s="1">
        <f t="shared" ca="1" si="18"/>
        <v>251</v>
      </c>
      <c r="AB18" s="1">
        <f t="shared" ca="1" si="19"/>
        <v>0.88898289768323968</v>
      </c>
      <c r="AC18" s="1">
        <f t="shared" ca="1" si="20"/>
        <v>298</v>
      </c>
      <c r="AD18" s="1">
        <f t="shared" ca="1" si="21"/>
        <v>8.1265601538710406E-3</v>
      </c>
      <c r="AE18" s="1"/>
      <c r="AF18" s="1">
        <f t="shared" ca="1" si="22"/>
        <v>0.64779864450538893</v>
      </c>
      <c r="AG18" s="1">
        <f t="shared" ca="1" si="23"/>
        <v>630</v>
      </c>
      <c r="AH18" s="1">
        <f t="shared" ca="1" si="24"/>
        <v>3.4853641793026221E-3</v>
      </c>
      <c r="AJ18" s="1">
        <f t="shared" ca="1" si="25"/>
        <v>0.99496868837243502</v>
      </c>
      <c r="AK18" s="1">
        <f t="shared" ca="1" si="26"/>
        <v>4.9775809216712815E-3</v>
      </c>
      <c r="AL18" s="1"/>
      <c r="AM18" s="1">
        <f t="shared" ca="1" si="27"/>
        <v>0.10517474808986364</v>
      </c>
      <c r="AN18" s="1">
        <f t="shared" ca="1" si="28"/>
        <v>64</v>
      </c>
      <c r="AO18" s="1">
        <f t="shared" ca="1" si="29"/>
        <v>17</v>
      </c>
      <c r="AQ18" s="1">
        <f t="shared" ca="1" si="30"/>
        <v>84</v>
      </c>
      <c r="AR18" s="1">
        <f t="shared" ca="1" si="31"/>
        <v>0</v>
      </c>
      <c r="AS18" s="1">
        <f t="shared" ca="1" si="32"/>
        <v>94</v>
      </c>
      <c r="AU18" s="1">
        <f t="shared" ca="1" si="33"/>
        <v>147</v>
      </c>
      <c r="AV18" s="1">
        <f t="shared" ca="1" si="34"/>
        <v>5</v>
      </c>
      <c r="AW18" s="1">
        <f t="shared" ca="1" si="35"/>
        <v>0.1579322976971928</v>
      </c>
      <c r="AY18" s="1">
        <f t="shared" ca="1" si="36"/>
        <v>1.7079322722691281</v>
      </c>
      <c r="AZ18" s="1">
        <f t="shared" ca="1" si="37"/>
        <v>442</v>
      </c>
      <c r="BA18" s="1">
        <f t="shared" ca="1" si="38"/>
        <v>6.4647233629776977E-3</v>
      </c>
      <c r="BG18" s="1">
        <f t="shared" ca="1" si="39"/>
        <v>0.81739905547844893</v>
      </c>
      <c r="BH18" s="1">
        <f t="shared" ca="1" si="40"/>
        <v>0.48857204620336292</v>
      </c>
      <c r="BI18" s="1">
        <f t="shared" ca="1" si="41"/>
        <v>179</v>
      </c>
      <c r="BV18" s="1">
        <f t="shared" ca="1" si="42"/>
        <v>0.17542974430294536</v>
      </c>
      <c r="BW18" s="1">
        <f t="shared" ca="1" si="43"/>
        <v>613</v>
      </c>
      <c r="BX18" s="1">
        <f t="shared" ca="1" si="44"/>
        <v>1.9219041814127298E-3</v>
      </c>
      <c r="BY18" s="1">
        <f t="shared" ca="1" si="45"/>
        <v>7.606173479898188E-3</v>
      </c>
      <c r="BZ18" s="1">
        <f t="shared" ca="1" si="46"/>
        <v>0.41939913651813177</v>
      </c>
      <c r="CB18" s="1">
        <f t="shared" ca="1" si="47"/>
        <v>201</v>
      </c>
      <c r="CC18" s="1">
        <f t="shared" ca="1" si="48"/>
        <v>9</v>
      </c>
      <c r="CD18" s="1">
        <f t="shared" ca="1" si="49"/>
        <v>1.9655476201675744E-2</v>
      </c>
      <c r="CE18" s="1">
        <f t="shared" ca="1" si="50"/>
        <v>0.82351100601976435</v>
      </c>
      <c r="CF18" s="1">
        <f t="shared" ca="1" si="50"/>
        <v>0.58004327744781492</v>
      </c>
      <c r="CH18" s="3">
        <f t="shared" ca="1" si="51"/>
        <v>0.72673174241470406</v>
      </c>
      <c r="CI18" s="3">
        <f t="shared" ca="1" si="52"/>
        <v>0.85972821702754965</v>
      </c>
      <c r="CJ18" s="3">
        <f t="shared" ca="1" si="53"/>
        <v>1256</v>
      </c>
      <c r="CK18" s="3">
        <f t="shared" ca="1" si="54"/>
        <v>8.0269904407398417E-3</v>
      </c>
      <c r="CL18" s="3">
        <f t="shared" ca="1" si="55"/>
        <v>1</v>
      </c>
      <c r="CM18" s="3"/>
      <c r="CN18" s="1">
        <f t="shared" ca="1" si="56"/>
        <v>10.734430931497954</v>
      </c>
      <c r="CO18" s="1">
        <f t="shared" ca="1" si="57"/>
        <v>0.46660135552644832</v>
      </c>
      <c r="CP18" s="1">
        <f t="shared" ca="1" si="58"/>
        <v>5</v>
      </c>
      <c r="DH18" s="1">
        <f t="shared" ca="1" si="59"/>
        <v>858</v>
      </c>
      <c r="DI18" s="1">
        <f t="shared" ca="1" si="60"/>
        <v>0.92429031492637148</v>
      </c>
      <c r="DJ18" s="1">
        <f t="shared" ca="1" si="61"/>
        <v>4</v>
      </c>
      <c r="DL18" s="1">
        <f t="shared" ca="1" si="62"/>
        <v>0.14005384690849157</v>
      </c>
      <c r="DM18" s="1">
        <f t="shared" ca="1" si="63"/>
        <v>231</v>
      </c>
      <c r="DN18" s="1">
        <f t="shared" ca="1" si="64"/>
        <v>7</v>
      </c>
    </row>
    <row r="19" spans="2:118" x14ac:dyDescent="0.25">
      <c r="B19">
        <f t="shared" ca="1" si="0"/>
        <v>647</v>
      </c>
      <c r="C19">
        <f t="shared" ca="1" si="1"/>
        <v>6</v>
      </c>
      <c r="D19">
        <f t="shared" ca="1" si="2"/>
        <v>0.12082702122215476</v>
      </c>
      <c r="F19" s="1">
        <f t="shared" ca="1" si="3"/>
        <v>10</v>
      </c>
      <c r="G19" s="1">
        <f t="shared" ca="1" si="4"/>
        <v>25</v>
      </c>
      <c r="H19" s="1">
        <f t="shared" ca="1" si="5"/>
        <v>7</v>
      </c>
      <c r="I19" s="1"/>
      <c r="J19" s="1">
        <f t="shared" ca="1" si="6"/>
        <v>31</v>
      </c>
      <c r="K19" s="1">
        <f t="shared" ca="1" si="7"/>
        <v>1.3724076432203565</v>
      </c>
      <c r="L19" s="1">
        <f t="shared" ca="1" si="8"/>
        <v>34</v>
      </c>
      <c r="M19" s="1"/>
      <c r="N19" s="1">
        <f t="shared" ca="1" si="9"/>
        <v>685</v>
      </c>
      <c r="O19" s="1">
        <f t="shared" ca="1" si="10"/>
        <v>11</v>
      </c>
      <c r="P19" s="1"/>
      <c r="Q19" s="1">
        <f t="shared" ca="1" si="11"/>
        <v>4.502964038638714</v>
      </c>
      <c r="R19" s="1">
        <f t="shared" ca="1" si="12"/>
        <v>576</v>
      </c>
      <c r="S19" s="1"/>
      <c r="T19" s="1">
        <f t="shared" ca="1" si="13"/>
        <v>0.12898084551143499</v>
      </c>
      <c r="U19" s="1">
        <f t="shared" ca="1" si="14"/>
        <v>235</v>
      </c>
      <c r="V19" s="1">
        <f t="shared" ca="1" si="15"/>
        <v>25</v>
      </c>
      <c r="W19" s="1"/>
      <c r="X19" s="1">
        <f t="shared" ca="1" si="16"/>
        <v>5.9497211750944361</v>
      </c>
      <c r="Y19" s="1">
        <f t="shared" ca="1" si="17"/>
        <v>0.2903997285586018</v>
      </c>
      <c r="Z19" s="1">
        <f t="shared" ca="1" si="18"/>
        <v>1637</v>
      </c>
      <c r="AB19" s="1">
        <f t="shared" ca="1" si="19"/>
        <v>0.98852134312687623</v>
      </c>
      <c r="AC19" s="1">
        <f t="shared" ca="1" si="20"/>
        <v>666</v>
      </c>
      <c r="AD19" s="1">
        <f t="shared" ca="1" si="21"/>
        <v>4.916444592862237E-4</v>
      </c>
      <c r="AE19" s="1"/>
      <c r="AF19" s="1">
        <f t="shared" ca="1" si="22"/>
        <v>0.63763686506951944</v>
      </c>
      <c r="AG19" s="1">
        <f t="shared" ca="1" si="23"/>
        <v>217</v>
      </c>
      <c r="AH19" s="1">
        <f t="shared" ca="1" si="24"/>
        <v>3.659847815140207E-3</v>
      </c>
      <c r="AJ19" s="1">
        <f t="shared" ca="1" si="25"/>
        <v>9.0258908059873799E-2</v>
      </c>
      <c r="AK19" s="1">
        <f t="shared" ca="1" si="26"/>
        <v>4.5848984445130995E-3</v>
      </c>
      <c r="AL19" s="1"/>
      <c r="AM19" s="1">
        <f t="shared" ca="1" si="27"/>
        <v>4.9505057780050564E-2</v>
      </c>
      <c r="AN19" s="1">
        <f t="shared" ca="1" si="28"/>
        <v>48</v>
      </c>
      <c r="AO19" s="1">
        <f t="shared" ca="1" si="29"/>
        <v>12</v>
      </c>
      <c r="AQ19" s="1">
        <f t="shared" ca="1" si="30"/>
        <v>180</v>
      </c>
      <c r="AR19" s="1">
        <f t="shared" ca="1" si="31"/>
        <v>0</v>
      </c>
      <c r="AS19" s="1">
        <f t="shared" ca="1" si="32"/>
        <v>93</v>
      </c>
      <c r="AU19" s="1">
        <f t="shared" ca="1" si="33"/>
        <v>320</v>
      </c>
      <c r="AV19" s="1">
        <f t="shared" ca="1" si="34"/>
        <v>5</v>
      </c>
      <c r="AW19" s="1">
        <f t="shared" ca="1" si="35"/>
        <v>3.0349877401634397E-2</v>
      </c>
      <c r="AY19" s="1">
        <f t="shared" ca="1" si="36"/>
        <v>1.4098222162712037</v>
      </c>
      <c r="AZ19" s="1">
        <f t="shared" ca="1" si="37"/>
        <v>238</v>
      </c>
      <c r="BA19" s="1">
        <f t="shared" ca="1" si="38"/>
        <v>3.7957330369241525E-3</v>
      </c>
      <c r="BG19" s="1">
        <f t="shared" ca="1" si="39"/>
        <v>0.11994229959149906</v>
      </c>
      <c r="BH19" s="1">
        <f t="shared" ca="1" si="40"/>
        <v>1.4287809750787916E-2</v>
      </c>
      <c r="BI19" s="1">
        <f t="shared" ca="1" si="41"/>
        <v>110</v>
      </c>
      <c r="BV19" s="1">
        <f t="shared" ca="1" si="42"/>
        <v>0.8562395973360063</v>
      </c>
      <c r="BW19" s="1">
        <f t="shared" ca="1" si="43"/>
        <v>660</v>
      </c>
      <c r="BX19" s="1">
        <f t="shared" ca="1" si="44"/>
        <v>1.9684739690996877E-3</v>
      </c>
      <c r="BY19" s="1">
        <f t="shared" ca="1" si="45"/>
        <v>7.025458640234214E-2</v>
      </c>
      <c r="BZ19" s="1">
        <f t="shared" ca="1" si="46"/>
        <v>0.98907063674253981</v>
      </c>
      <c r="CB19" s="1">
        <f t="shared" ca="1" si="47"/>
        <v>78</v>
      </c>
      <c r="CC19" s="1">
        <f t="shared" ca="1" si="48"/>
        <v>14</v>
      </c>
      <c r="CD19" s="1">
        <f t="shared" ca="1" si="49"/>
        <v>0.20879053605941553</v>
      </c>
      <c r="CE19" s="1">
        <f t="shared" ca="1" si="50"/>
        <v>0.66566015550092872</v>
      </c>
      <c r="CF19" s="1">
        <f t="shared" ca="1" si="50"/>
        <v>0.70800534354661682</v>
      </c>
      <c r="CH19" s="3">
        <f t="shared" ca="1" si="51"/>
        <v>0.72364414265415422</v>
      </c>
      <c r="CI19" s="3">
        <f t="shared" ca="1" si="52"/>
        <v>0.4234799458932571</v>
      </c>
      <c r="CJ19" s="3">
        <f t="shared" ca="1" si="53"/>
        <v>1162</v>
      </c>
      <c r="CK19" s="3">
        <f t="shared" ca="1" si="54"/>
        <v>7.4884283370150297E-3</v>
      </c>
      <c r="CL19" s="3">
        <f t="shared" ca="1" si="55"/>
        <v>1</v>
      </c>
      <c r="CM19" s="3"/>
      <c r="CN19" s="1">
        <f t="shared" ca="1" si="56"/>
        <v>19.633086806053946</v>
      </c>
      <c r="CO19" s="1">
        <f t="shared" ca="1" si="57"/>
        <v>0.29852010621035335</v>
      </c>
      <c r="CP19" s="1">
        <f t="shared" ca="1" si="58"/>
        <v>2</v>
      </c>
      <c r="DH19" s="1">
        <f t="shared" ca="1" si="59"/>
        <v>486</v>
      </c>
      <c r="DI19" s="1">
        <f t="shared" ca="1" si="60"/>
        <v>0.44860319999231263</v>
      </c>
      <c r="DJ19" s="1">
        <f t="shared" ca="1" si="61"/>
        <v>7</v>
      </c>
      <c r="DL19" s="1">
        <f t="shared" ca="1" si="62"/>
        <v>0.1012917020195914</v>
      </c>
      <c r="DM19" s="1">
        <f t="shared" ca="1" si="63"/>
        <v>175</v>
      </c>
      <c r="DN19" s="1">
        <f t="shared" ca="1" si="64"/>
        <v>7</v>
      </c>
    </row>
    <row r="20" spans="2:118" x14ac:dyDescent="0.25">
      <c r="B20">
        <f t="shared" ca="1" si="0"/>
        <v>902</v>
      </c>
      <c r="C20">
        <f t="shared" ca="1" si="1"/>
        <v>31</v>
      </c>
      <c r="D20">
        <f t="shared" ca="1" si="2"/>
        <v>0.13251286459025891</v>
      </c>
      <c r="F20" s="1">
        <f t="shared" ca="1" si="3"/>
        <v>43</v>
      </c>
      <c r="G20" s="1">
        <f t="shared" ca="1" si="4"/>
        <v>14</v>
      </c>
      <c r="H20" s="1">
        <f t="shared" ca="1" si="5"/>
        <v>12</v>
      </c>
      <c r="I20" s="1"/>
      <c r="J20" s="1">
        <f t="shared" ca="1" si="6"/>
        <v>32</v>
      </c>
      <c r="K20" s="1">
        <f t="shared" ca="1" si="7"/>
        <v>2.1687825545948352</v>
      </c>
      <c r="L20" s="1">
        <f t="shared" ca="1" si="8"/>
        <v>2</v>
      </c>
      <c r="M20" s="1"/>
      <c r="N20" s="1">
        <f t="shared" ca="1" si="9"/>
        <v>824</v>
      </c>
      <c r="O20" s="1">
        <f t="shared" ca="1" si="10"/>
        <v>26</v>
      </c>
      <c r="P20" s="1"/>
      <c r="Q20" s="1">
        <f t="shared" ca="1" si="11"/>
        <v>1.0300998374006731</v>
      </c>
      <c r="R20" s="1">
        <f t="shared" ca="1" si="12"/>
        <v>443</v>
      </c>
      <c r="S20" s="1"/>
      <c r="T20" s="1">
        <f t="shared" ca="1" si="13"/>
        <v>0.120636812210816</v>
      </c>
      <c r="U20" s="1">
        <f t="shared" ca="1" si="14"/>
        <v>350</v>
      </c>
      <c r="V20" s="1">
        <f t="shared" ca="1" si="15"/>
        <v>51</v>
      </c>
      <c r="W20" s="1"/>
      <c r="X20" s="1">
        <f t="shared" ca="1" si="16"/>
        <v>0.61924583133848676</v>
      </c>
      <c r="Y20" s="1">
        <f t="shared" ca="1" si="17"/>
        <v>0.9635390819898062</v>
      </c>
      <c r="Z20" s="1">
        <f t="shared" ca="1" si="18"/>
        <v>483</v>
      </c>
      <c r="AB20" s="1">
        <f t="shared" ca="1" si="19"/>
        <v>0.83567845554831266</v>
      </c>
      <c r="AC20" s="1">
        <f t="shared" ca="1" si="20"/>
        <v>637</v>
      </c>
      <c r="AD20" s="1">
        <f t="shared" ca="1" si="21"/>
        <v>9.8838871092343933E-3</v>
      </c>
      <c r="AE20" s="1"/>
      <c r="AF20" s="1">
        <f t="shared" ca="1" si="22"/>
        <v>0.81771426215015419</v>
      </c>
      <c r="AG20" s="1">
        <f t="shared" ca="1" si="23"/>
        <v>363</v>
      </c>
      <c r="AH20" s="1">
        <f t="shared" ca="1" si="24"/>
        <v>5.7566948814499457E-3</v>
      </c>
      <c r="AJ20" s="1">
        <f t="shared" ca="1" si="25"/>
        <v>0.48901200843917003</v>
      </c>
      <c r="AK20" s="1">
        <f t="shared" ca="1" si="26"/>
        <v>8.0810520687665949E-3</v>
      </c>
      <c r="AL20" s="1"/>
      <c r="AM20" s="1">
        <f t="shared" ca="1" si="27"/>
        <v>0.19738999992607201</v>
      </c>
      <c r="AN20" s="1">
        <f t="shared" ca="1" si="28"/>
        <v>22</v>
      </c>
      <c r="AO20" s="1">
        <f t="shared" ca="1" si="29"/>
        <v>18</v>
      </c>
      <c r="AQ20" s="1">
        <f t="shared" ca="1" si="30"/>
        <v>162</v>
      </c>
      <c r="AR20" s="1">
        <f t="shared" ca="1" si="31"/>
        <v>8</v>
      </c>
      <c r="AS20" s="1">
        <f t="shared" ca="1" si="32"/>
        <v>14</v>
      </c>
      <c r="AU20" s="1">
        <f t="shared" ca="1" si="33"/>
        <v>128</v>
      </c>
      <c r="AV20" s="1">
        <f t="shared" ca="1" si="34"/>
        <v>3</v>
      </c>
      <c r="AW20" s="1">
        <f t="shared" ca="1" si="35"/>
        <v>0.16396630157193515</v>
      </c>
      <c r="AY20" s="1">
        <f t="shared" ca="1" si="36"/>
        <v>1.1918608726882554</v>
      </c>
      <c r="AZ20" s="1">
        <f t="shared" ca="1" si="37"/>
        <v>108</v>
      </c>
      <c r="BA20" s="1">
        <f t="shared" ca="1" si="38"/>
        <v>1.1206315482074811E-3</v>
      </c>
      <c r="BG20" s="1">
        <f t="shared" ca="1" si="39"/>
        <v>0.1988181169340304</v>
      </c>
      <c r="BH20" s="1">
        <f t="shared" ca="1" si="40"/>
        <v>0.38769516609615995</v>
      </c>
      <c r="BI20" s="1">
        <f t="shared" ca="1" si="41"/>
        <v>879</v>
      </c>
      <c r="BV20" s="1">
        <f t="shared" ca="1" si="42"/>
        <v>0.31769292358224505</v>
      </c>
      <c r="BW20" s="1">
        <f t="shared" ca="1" si="43"/>
        <v>795</v>
      </c>
      <c r="BX20" s="1">
        <f t="shared" ca="1" si="44"/>
        <v>6.2568826634920157E-3</v>
      </c>
      <c r="BY20" s="1">
        <f t="shared" ca="1" si="45"/>
        <v>4.4792038857119784E-2</v>
      </c>
      <c r="BZ20" s="1">
        <f t="shared" ca="1" si="46"/>
        <v>0.33695317621789334</v>
      </c>
      <c r="CB20" s="1">
        <f t="shared" ca="1" si="47"/>
        <v>55</v>
      </c>
      <c r="CC20" s="1">
        <f t="shared" ca="1" si="48"/>
        <v>6</v>
      </c>
      <c r="CD20" s="1">
        <f t="shared" ca="1" si="49"/>
        <v>2.4896970478457153E-2</v>
      </c>
      <c r="CE20" s="1">
        <f t="shared" ca="1" si="50"/>
        <v>0.5734707903619547</v>
      </c>
      <c r="CF20" s="1">
        <f t="shared" ca="1" si="50"/>
        <v>0.53280068670324576</v>
      </c>
      <c r="CH20" s="3">
        <f t="shared" ca="1" si="51"/>
        <v>0.98561959747172734</v>
      </c>
      <c r="CI20" s="3">
        <f t="shared" ca="1" si="52"/>
        <v>0.41612602698300155</v>
      </c>
      <c r="CJ20" s="3">
        <f t="shared" ca="1" si="53"/>
        <v>931</v>
      </c>
      <c r="CK20" s="3">
        <f t="shared" ca="1" si="54"/>
        <v>5.6111947844133874E-3</v>
      </c>
      <c r="CL20" s="3">
        <f t="shared" ca="1" si="55"/>
        <v>0</v>
      </c>
      <c r="CM20" s="3"/>
      <c r="CN20" s="1">
        <f t="shared" ca="1" si="56"/>
        <v>17.057435311806618</v>
      </c>
      <c r="CO20" s="1">
        <f t="shared" ca="1" si="57"/>
        <v>9.3685752642487727E-2</v>
      </c>
      <c r="CP20" s="1">
        <f t="shared" ca="1" si="58"/>
        <v>3</v>
      </c>
      <c r="DH20" s="1">
        <f t="shared" ca="1" si="59"/>
        <v>455</v>
      </c>
      <c r="DI20" s="1">
        <f t="shared" ca="1" si="60"/>
        <v>0.92196679014129246</v>
      </c>
      <c r="DJ20" s="1">
        <f t="shared" ca="1" si="61"/>
        <v>8</v>
      </c>
      <c r="DL20" s="1">
        <f t="shared" ca="1" si="62"/>
        <v>0.14954061327771717</v>
      </c>
      <c r="DM20" s="1">
        <f t="shared" ca="1" si="63"/>
        <v>183</v>
      </c>
      <c r="DN20" s="1">
        <f t="shared" ca="1" si="64"/>
        <v>4</v>
      </c>
    </row>
    <row r="21" spans="2:118" x14ac:dyDescent="0.25">
      <c r="B21">
        <f t="shared" ca="1" si="0"/>
        <v>133</v>
      </c>
      <c r="C21">
        <f t="shared" ca="1" si="1"/>
        <v>41</v>
      </c>
      <c r="D21">
        <f t="shared" ca="1" si="2"/>
        <v>9.3471315454219633E-2</v>
      </c>
      <c r="F21" s="1">
        <f t="shared" ca="1" si="3"/>
        <v>42</v>
      </c>
      <c r="G21" s="1">
        <f t="shared" ca="1" si="4"/>
        <v>15</v>
      </c>
      <c r="H21" s="1">
        <f t="shared" ca="1" si="5"/>
        <v>2</v>
      </c>
      <c r="I21" s="1"/>
      <c r="J21" s="1">
        <f t="shared" ca="1" si="6"/>
        <v>28</v>
      </c>
      <c r="K21" s="1">
        <f t="shared" ca="1" si="7"/>
        <v>2.0479905019178215</v>
      </c>
      <c r="L21" s="1">
        <f t="shared" ca="1" si="8"/>
        <v>19</v>
      </c>
      <c r="M21" s="1"/>
      <c r="N21" s="1">
        <f t="shared" ca="1" si="9"/>
        <v>777</v>
      </c>
      <c r="O21" s="1">
        <f t="shared" ca="1" si="10"/>
        <v>29</v>
      </c>
      <c r="P21" s="1"/>
      <c r="Q21" s="1">
        <f t="shared" ca="1" si="11"/>
        <v>3.0009899278543699</v>
      </c>
      <c r="R21" s="1">
        <f t="shared" ca="1" si="12"/>
        <v>721</v>
      </c>
      <c r="S21" s="1"/>
      <c r="T21" s="1">
        <f t="shared" ca="1" si="13"/>
        <v>0.19772369567884324</v>
      </c>
      <c r="U21" s="1">
        <f t="shared" ca="1" si="14"/>
        <v>220</v>
      </c>
      <c r="V21" s="1">
        <f t="shared" ca="1" si="15"/>
        <v>38</v>
      </c>
      <c r="W21" s="1"/>
      <c r="X21" s="1">
        <f t="shared" ca="1" si="16"/>
        <v>3.7209948707480009</v>
      </c>
      <c r="Y21" s="1">
        <f t="shared" ca="1" si="17"/>
        <v>0.4545022937688209</v>
      </c>
      <c r="Z21" s="1">
        <f t="shared" ca="1" si="18"/>
        <v>989</v>
      </c>
      <c r="AB21" s="1">
        <f t="shared" ca="1" si="19"/>
        <v>0.6444094952265963</v>
      </c>
      <c r="AC21" s="1">
        <f t="shared" ca="1" si="20"/>
        <v>700</v>
      </c>
      <c r="AD21" s="1">
        <f t="shared" ca="1" si="21"/>
        <v>8.4834360786492872E-3</v>
      </c>
      <c r="AE21" s="1"/>
      <c r="AF21" s="1">
        <f t="shared" ca="1" si="22"/>
        <v>0.5177806033656962</v>
      </c>
      <c r="AG21" s="1">
        <f t="shared" ca="1" si="23"/>
        <v>483</v>
      </c>
      <c r="AH21" s="1">
        <f t="shared" ca="1" si="24"/>
        <v>6.8532651217637491E-3</v>
      </c>
      <c r="AJ21" s="1">
        <f t="shared" ca="1" si="25"/>
        <v>0.6538363990967605</v>
      </c>
      <c r="AK21" s="1">
        <f t="shared" ca="1" si="26"/>
        <v>3.3878325184100466E-3</v>
      </c>
      <c r="AL21" s="1"/>
      <c r="AM21" s="1">
        <f t="shared" ca="1" si="27"/>
        <v>0.16548018624484745</v>
      </c>
      <c r="AN21" s="1">
        <f t="shared" ca="1" si="28"/>
        <v>29</v>
      </c>
      <c r="AO21" s="1">
        <f t="shared" ca="1" si="29"/>
        <v>18</v>
      </c>
      <c r="AQ21" s="1">
        <f t="shared" ca="1" si="30"/>
        <v>145</v>
      </c>
      <c r="AR21" s="1">
        <f t="shared" ca="1" si="31"/>
        <v>0</v>
      </c>
      <c r="AS21" s="1">
        <f t="shared" ca="1" si="32"/>
        <v>82</v>
      </c>
      <c r="AU21" s="1">
        <f t="shared" ca="1" si="33"/>
        <v>210</v>
      </c>
      <c r="AV21" s="1">
        <f t="shared" ca="1" si="34"/>
        <v>7</v>
      </c>
      <c r="AW21" s="1">
        <f t="shared" ca="1" si="35"/>
        <v>0.15012648813651711</v>
      </c>
      <c r="AY21" s="1">
        <f t="shared" ca="1" si="36"/>
        <v>1.1207152703141621</v>
      </c>
      <c r="AZ21" s="1">
        <f t="shared" ca="1" si="37"/>
        <v>272</v>
      </c>
      <c r="BA21" s="1">
        <f t="shared" ca="1" si="38"/>
        <v>9.7304125781079117E-4</v>
      </c>
      <c r="BG21" s="1">
        <f t="shared" ca="1" si="39"/>
        <v>0.62795885612152502</v>
      </c>
      <c r="BH21" s="1">
        <f t="shared" ca="1" si="40"/>
        <v>0.24739113502915056</v>
      </c>
      <c r="BI21" s="1">
        <f t="shared" ca="1" si="41"/>
        <v>326</v>
      </c>
      <c r="BV21" s="1">
        <f t="shared" ca="1" si="42"/>
        <v>0.21195599949087884</v>
      </c>
      <c r="BW21" s="1">
        <f t="shared" ca="1" si="43"/>
        <v>246</v>
      </c>
      <c r="BX21" s="1">
        <f t="shared" ca="1" si="44"/>
        <v>7.3835361373748472E-3</v>
      </c>
      <c r="BY21" s="1">
        <f t="shared" ca="1" si="45"/>
        <v>6.1230929075531418E-2</v>
      </c>
      <c r="BZ21" s="1">
        <f t="shared" ca="1" si="46"/>
        <v>0.52012640695207646</v>
      </c>
      <c r="CB21" s="1">
        <f t="shared" ca="1" si="47"/>
        <v>108</v>
      </c>
      <c r="CC21" s="1">
        <f t="shared" ca="1" si="48"/>
        <v>13</v>
      </c>
      <c r="CD21" s="1">
        <f t="shared" ca="1" si="49"/>
        <v>7.0099858594449949E-2</v>
      </c>
      <c r="CE21" s="1">
        <f t="shared" ca="1" si="50"/>
        <v>0.87080859153214529</v>
      </c>
      <c r="CF21" s="1">
        <f t="shared" ca="1" si="50"/>
        <v>0.77759396712742146</v>
      </c>
      <c r="CH21" s="3">
        <f t="shared" ca="1" si="51"/>
        <v>0.60702039491482107</v>
      </c>
      <c r="CI21" s="3">
        <f t="shared" ca="1" si="52"/>
        <v>9.9831042708921791E-2</v>
      </c>
      <c r="CJ21" s="3">
        <f t="shared" ca="1" si="53"/>
        <v>1212</v>
      </c>
      <c r="CK21" s="3">
        <f t="shared" ca="1" si="54"/>
        <v>4.6686860706341722E-4</v>
      </c>
      <c r="CL21" s="3">
        <f t="shared" ca="1" si="55"/>
        <v>0</v>
      </c>
      <c r="CM21" s="3"/>
      <c r="CN21" s="1">
        <f t="shared" ca="1" si="56"/>
        <v>19.063710887146506</v>
      </c>
      <c r="CO21" s="1">
        <f t="shared" ca="1" si="57"/>
        <v>0.11263361640680525</v>
      </c>
      <c r="CP21" s="1">
        <f t="shared" ca="1" si="58"/>
        <v>2</v>
      </c>
      <c r="DH21" s="1">
        <f t="shared" ca="1" si="59"/>
        <v>105</v>
      </c>
      <c r="DI21" s="1">
        <f t="shared" ca="1" si="60"/>
        <v>0.62829697732661105</v>
      </c>
      <c r="DJ21" s="1">
        <f t="shared" ca="1" si="61"/>
        <v>23</v>
      </c>
      <c r="DL21" s="1">
        <f t="shared" ca="1" si="62"/>
        <v>8.5720666361264783E-2</v>
      </c>
      <c r="DM21" s="1">
        <f t="shared" ca="1" si="63"/>
        <v>281</v>
      </c>
      <c r="DN21" s="1">
        <f t="shared" ca="1" si="64"/>
        <v>5</v>
      </c>
    </row>
    <row r="22" spans="2:118" x14ac:dyDescent="0.25">
      <c r="B22">
        <f t="shared" ca="1" si="0"/>
        <v>644</v>
      </c>
      <c r="C22">
        <f t="shared" ca="1" si="1"/>
        <v>46</v>
      </c>
      <c r="D22">
        <f t="shared" ca="1" si="2"/>
        <v>0.11676458419865914</v>
      </c>
      <c r="F22" s="1">
        <f t="shared" ca="1" si="3"/>
        <v>38</v>
      </c>
      <c r="G22" s="1">
        <f t="shared" ca="1" si="4"/>
        <v>22</v>
      </c>
      <c r="H22" s="1">
        <f t="shared" ca="1" si="5"/>
        <v>5</v>
      </c>
      <c r="I22" s="1"/>
      <c r="J22" s="1">
        <f t="shared" ca="1" si="6"/>
        <v>25</v>
      </c>
      <c r="K22" s="1">
        <f t="shared" ca="1" si="7"/>
        <v>1.5787763163609425</v>
      </c>
      <c r="L22" s="1">
        <f t="shared" ca="1" si="8"/>
        <v>5</v>
      </c>
      <c r="M22" s="1"/>
      <c r="N22" s="1">
        <f t="shared" ca="1" si="9"/>
        <v>29</v>
      </c>
      <c r="O22" s="1">
        <f t="shared" ca="1" si="10"/>
        <v>40</v>
      </c>
      <c r="P22" s="1"/>
      <c r="Q22" s="1">
        <f t="shared" ca="1" si="11"/>
        <v>2.9635754537112917</v>
      </c>
      <c r="R22" s="1">
        <f t="shared" ca="1" si="12"/>
        <v>919</v>
      </c>
      <c r="S22" s="1"/>
      <c r="T22" s="1">
        <f t="shared" ca="1" si="13"/>
        <v>0.18634126594481007</v>
      </c>
      <c r="U22" s="1">
        <f t="shared" ca="1" si="14"/>
        <v>336</v>
      </c>
      <c r="V22" s="1">
        <f t="shared" ca="1" si="15"/>
        <v>2</v>
      </c>
      <c r="W22" s="1"/>
      <c r="X22" s="1">
        <f t="shared" ca="1" si="16"/>
        <v>5.8240437215134202</v>
      </c>
      <c r="Y22" s="1">
        <f t="shared" ca="1" si="17"/>
        <v>0.56584673812426733</v>
      </c>
      <c r="Z22" s="1">
        <f t="shared" ca="1" si="18"/>
        <v>1730</v>
      </c>
      <c r="AB22" s="1">
        <f t="shared" ca="1" si="19"/>
        <v>0.58309246462005382</v>
      </c>
      <c r="AC22" s="1">
        <f t="shared" ca="1" si="20"/>
        <v>980</v>
      </c>
      <c r="AD22" s="1">
        <f t="shared" ca="1" si="21"/>
        <v>8.7807107325408758E-3</v>
      </c>
      <c r="AE22" s="1"/>
      <c r="AF22" s="1">
        <f t="shared" ca="1" si="22"/>
        <v>0.18296968638491506</v>
      </c>
      <c r="AG22" s="1">
        <f t="shared" ca="1" si="23"/>
        <v>565</v>
      </c>
      <c r="AH22" s="1">
        <f t="shared" ca="1" si="24"/>
        <v>1.6547918955603738E-3</v>
      </c>
      <c r="AJ22" s="1">
        <f t="shared" ca="1" si="25"/>
        <v>0.68842629721929594</v>
      </c>
      <c r="AK22" s="1">
        <f t="shared" ca="1" si="26"/>
        <v>6.5155131120996183E-3</v>
      </c>
      <c r="AL22" s="1"/>
      <c r="AM22" s="1">
        <f t="shared" ca="1" si="27"/>
        <v>0.17472646326789998</v>
      </c>
      <c r="AN22" s="1">
        <f t="shared" ca="1" si="28"/>
        <v>11</v>
      </c>
      <c r="AO22" s="1">
        <f t="shared" ca="1" si="29"/>
        <v>7</v>
      </c>
      <c r="AQ22" s="1">
        <f t="shared" ca="1" si="30"/>
        <v>54</v>
      </c>
      <c r="AR22" s="1">
        <f t="shared" ca="1" si="31"/>
        <v>3</v>
      </c>
      <c r="AS22" s="1">
        <f t="shared" ca="1" si="32"/>
        <v>78</v>
      </c>
      <c r="AU22" s="1">
        <f t="shared" ca="1" si="33"/>
        <v>388</v>
      </c>
      <c r="AV22" s="1">
        <f t="shared" ca="1" si="34"/>
        <v>10</v>
      </c>
      <c r="AW22" s="1">
        <f t="shared" ca="1" si="35"/>
        <v>0.18161525486792215</v>
      </c>
      <c r="AY22" s="1">
        <f t="shared" ca="1" si="36"/>
        <v>1.8623095254665738</v>
      </c>
      <c r="AZ22" s="1">
        <f t="shared" ca="1" si="37"/>
        <v>85</v>
      </c>
      <c r="BA22" s="1">
        <f t="shared" ca="1" si="38"/>
        <v>5.7031921186341547E-3</v>
      </c>
      <c r="BG22" s="1">
        <f t="shared" ca="1" si="39"/>
        <v>0.18892770218090457</v>
      </c>
      <c r="BH22" s="1">
        <f t="shared" ca="1" si="40"/>
        <v>2.0599721530195958E-2</v>
      </c>
      <c r="BI22" s="1">
        <f t="shared" ca="1" si="41"/>
        <v>594</v>
      </c>
      <c r="BV22" s="1">
        <f t="shared" ca="1" si="42"/>
        <v>0.98318470605690922</v>
      </c>
      <c r="BW22" s="1">
        <f t="shared" ca="1" si="43"/>
        <v>637</v>
      </c>
      <c r="BX22" s="1">
        <f t="shared" ca="1" si="44"/>
        <v>4.9421859122256197E-3</v>
      </c>
      <c r="BY22" s="1">
        <f t="shared" ca="1" si="45"/>
        <v>7.433960958231367E-2</v>
      </c>
      <c r="BZ22" s="1">
        <f t="shared" ca="1" si="46"/>
        <v>0.57932769871846779</v>
      </c>
      <c r="CB22" s="1">
        <f t="shared" ca="1" si="47"/>
        <v>318</v>
      </c>
      <c r="CC22" s="1">
        <f t="shared" ca="1" si="48"/>
        <v>9</v>
      </c>
      <c r="CD22" s="1">
        <f t="shared" ca="1" si="49"/>
        <v>0.15366693743017207</v>
      </c>
      <c r="CE22" s="1">
        <f t="shared" ca="1" si="50"/>
        <v>0.77110345557330251</v>
      </c>
      <c r="CF22" s="1">
        <f t="shared" ca="1" si="50"/>
        <v>0.65605871515415437</v>
      </c>
      <c r="CH22" s="3">
        <f t="shared" ca="1" si="51"/>
        <v>8.8119644470617334E-2</v>
      </c>
      <c r="CI22" s="3">
        <f t="shared" ca="1" si="52"/>
        <v>0.24152860291450873</v>
      </c>
      <c r="CJ22" s="3">
        <f t="shared" ca="1" si="53"/>
        <v>1944</v>
      </c>
      <c r="CK22" s="3">
        <f t="shared" ca="1" si="54"/>
        <v>5.2015603635762308E-3</v>
      </c>
      <c r="CL22" s="3">
        <f t="shared" ca="1" si="55"/>
        <v>1</v>
      </c>
      <c r="CM22" s="3"/>
      <c r="CN22" s="1">
        <f t="shared" ca="1" si="56"/>
        <v>2.7877755518890512</v>
      </c>
      <c r="CO22" s="1">
        <f t="shared" ca="1" si="57"/>
        <v>0.31175395115848009</v>
      </c>
      <c r="CP22" s="1">
        <f t="shared" ca="1" si="58"/>
        <v>4</v>
      </c>
      <c r="DH22" s="1">
        <f t="shared" ca="1" si="59"/>
        <v>164</v>
      </c>
      <c r="DI22" s="1">
        <f t="shared" ca="1" si="60"/>
        <v>8.4294072132035908E-2</v>
      </c>
      <c r="DJ22" s="1">
        <f t="shared" ca="1" si="61"/>
        <v>15</v>
      </c>
      <c r="DL22" s="1">
        <f t="shared" ca="1" si="62"/>
        <v>0.17418311594616442</v>
      </c>
      <c r="DM22" s="1">
        <f t="shared" ca="1" si="63"/>
        <v>141</v>
      </c>
      <c r="DN22" s="1">
        <f t="shared" ca="1" si="64"/>
        <v>2</v>
      </c>
    </row>
    <row r="23" spans="2:118" x14ac:dyDescent="0.25">
      <c r="B23">
        <f t="shared" ca="1" si="0"/>
        <v>709</v>
      </c>
      <c r="C23">
        <f t="shared" ca="1" si="1"/>
        <v>19</v>
      </c>
      <c r="D23">
        <f t="shared" ca="1" si="2"/>
        <v>0.12520755593660246</v>
      </c>
      <c r="F23" s="1">
        <f t="shared" ca="1" si="3"/>
        <v>36</v>
      </c>
      <c r="G23" s="1">
        <f t="shared" ca="1" si="4"/>
        <v>30</v>
      </c>
      <c r="H23" s="1">
        <f t="shared" ca="1" si="5"/>
        <v>10</v>
      </c>
      <c r="I23" s="1"/>
      <c r="J23" s="1">
        <f t="shared" ca="1" si="6"/>
        <v>36</v>
      </c>
      <c r="K23" s="1">
        <f t="shared" ca="1" si="7"/>
        <v>2.8437760530660618</v>
      </c>
      <c r="L23" s="1">
        <f t="shared" ca="1" si="8"/>
        <v>11</v>
      </c>
      <c r="M23" s="1"/>
      <c r="N23" s="1">
        <f t="shared" ca="1" si="9"/>
        <v>999</v>
      </c>
      <c r="O23" s="1">
        <f t="shared" ca="1" si="10"/>
        <v>27</v>
      </c>
      <c r="P23" s="1"/>
      <c r="Q23" s="1">
        <f t="shared" ca="1" si="11"/>
        <v>2.2041048578985722</v>
      </c>
      <c r="R23" s="1">
        <f t="shared" ca="1" si="12"/>
        <v>391</v>
      </c>
      <c r="S23" s="1"/>
      <c r="T23" s="1">
        <f t="shared" ca="1" si="13"/>
        <v>0.16136414168767693</v>
      </c>
      <c r="U23" s="1">
        <f t="shared" ca="1" si="14"/>
        <v>286</v>
      </c>
      <c r="V23" s="1">
        <f t="shared" ca="1" si="15"/>
        <v>35</v>
      </c>
      <c r="W23" s="1"/>
      <c r="X23" s="1">
        <f t="shared" ca="1" si="16"/>
        <v>5.598816207569258</v>
      </c>
      <c r="Y23" s="1">
        <f t="shared" ca="1" si="17"/>
        <v>0.3116446300864199</v>
      </c>
      <c r="Z23" s="1">
        <f t="shared" ca="1" si="18"/>
        <v>989</v>
      </c>
      <c r="AB23" s="1">
        <f t="shared" ca="1" si="19"/>
        <v>0.29771865233434008</v>
      </c>
      <c r="AC23" s="1">
        <f t="shared" ca="1" si="20"/>
        <v>758</v>
      </c>
      <c r="AD23" s="1">
        <f t="shared" ca="1" si="21"/>
        <v>8.152242260050584E-3</v>
      </c>
      <c r="AE23" s="1"/>
      <c r="AF23" s="1">
        <f t="shared" ca="1" si="22"/>
        <v>0.39824404193405283</v>
      </c>
      <c r="AG23" s="1">
        <f t="shared" ca="1" si="23"/>
        <v>131</v>
      </c>
      <c r="AH23" s="1">
        <f t="shared" ca="1" si="24"/>
        <v>7.2894744148707244E-3</v>
      </c>
      <c r="AJ23" s="1">
        <f t="shared" ca="1" si="25"/>
        <v>0.98702134576089207</v>
      </c>
      <c r="AK23" s="1">
        <f t="shared" ca="1" si="26"/>
        <v>5.8992309436530551E-3</v>
      </c>
      <c r="AL23" s="1"/>
      <c r="AM23" s="1">
        <f t="shared" ca="1" si="27"/>
        <v>5.2751946790121337E-2</v>
      </c>
      <c r="AN23" s="1">
        <f t="shared" ca="1" si="28"/>
        <v>27</v>
      </c>
      <c r="AO23" s="1">
        <f t="shared" ca="1" si="29"/>
        <v>12</v>
      </c>
      <c r="AQ23" s="1">
        <f t="shared" ca="1" si="30"/>
        <v>134</v>
      </c>
      <c r="AR23" s="1">
        <f t="shared" ca="1" si="31"/>
        <v>2</v>
      </c>
      <c r="AS23" s="1">
        <f t="shared" ca="1" si="32"/>
        <v>88</v>
      </c>
      <c r="AU23" s="1">
        <f t="shared" ca="1" si="33"/>
        <v>293</v>
      </c>
      <c r="AV23" s="1">
        <f t="shared" ca="1" si="34"/>
        <v>10</v>
      </c>
      <c r="AW23" s="1">
        <f t="shared" ca="1" si="35"/>
        <v>3.6872852724593418E-2</v>
      </c>
      <c r="AY23" s="1">
        <f t="shared" ca="1" si="36"/>
        <v>1.8998954535584931</v>
      </c>
      <c r="AZ23" s="1">
        <f t="shared" ca="1" si="37"/>
        <v>421</v>
      </c>
      <c r="BA23" s="1">
        <f t="shared" ca="1" si="38"/>
        <v>4.7555187175305873E-3</v>
      </c>
      <c r="BG23" s="1">
        <f t="shared" ca="1" si="39"/>
        <v>0.11821591106842975</v>
      </c>
      <c r="BH23" s="1">
        <f t="shared" ca="1" si="40"/>
        <v>0.41887180686245906</v>
      </c>
      <c r="BI23" s="1">
        <f t="shared" ca="1" si="41"/>
        <v>784</v>
      </c>
      <c r="BV23" s="1">
        <f t="shared" ca="1" si="42"/>
        <v>0.19449918098513763</v>
      </c>
      <c r="BW23" s="1">
        <f t="shared" ca="1" si="43"/>
        <v>272</v>
      </c>
      <c r="BX23" s="1">
        <f t="shared" ca="1" si="44"/>
        <v>9.0347520744076069E-3</v>
      </c>
      <c r="BY23" s="1">
        <f t="shared" ca="1" si="45"/>
        <v>6.7980352141394293E-2</v>
      </c>
      <c r="BZ23" s="1">
        <f t="shared" ca="1" si="46"/>
        <v>0.72048060899633193</v>
      </c>
      <c r="CB23" s="1">
        <f t="shared" ca="1" si="47"/>
        <v>286</v>
      </c>
      <c r="CC23" s="1">
        <f t="shared" ca="1" si="48"/>
        <v>7</v>
      </c>
      <c r="CD23" s="1">
        <f t="shared" ca="1" si="49"/>
        <v>0.2964180933515399</v>
      </c>
      <c r="CE23" s="1">
        <f t="shared" ca="1" si="50"/>
        <v>0.81675980683109717</v>
      </c>
      <c r="CF23" s="1">
        <f t="shared" ca="1" si="50"/>
        <v>0.76363716190588948</v>
      </c>
      <c r="CH23" s="3">
        <f t="shared" ca="1" si="51"/>
        <v>0.25342685400298731</v>
      </c>
      <c r="CI23" s="3">
        <f t="shared" ca="1" si="52"/>
        <v>5.5663442623610566E-2</v>
      </c>
      <c r="CJ23" s="3">
        <f t="shared" ca="1" si="53"/>
        <v>1735</v>
      </c>
      <c r="CK23" s="3">
        <f t="shared" ca="1" si="54"/>
        <v>9.4227146584062655E-4</v>
      </c>
      <c r="CL23" s="3">
        <f t="shared" ca="1" si="55"/>
        <v>1</v>
      </c>
      <c r="CM23" s="3"/>
      <c r="CN23" s="1">
        <f t="shared" ca="1" si="56"/>
        <v>5.7951427019732327</v>
      </c>
      <c r="CO23" s="1">
        <f t="shared" ca="1" si="57"/>
        <v>0.42523574123600377</v>
      </c>
      <c r="CP23" s="1">
        <f t="shared" ca="1" si="58"/>
        <v>2</v>
      </c>
      <c r="DH23" s="1">
        <f t="shared" ca="1" si="59"/>
        <v>212</v>
      </c>
      <c r="DI23" s="1">
        <f t="shared" ca="1" si="60"/>
        <v>0.84384940583289114</v>
      </c>
      <c r="DJ23" s="1">
        <f t="shared" ca="1" si="61"/>
        <v>4</v>
      </c>
      <c r="DL23" s="1">
        <f t="shared" ca="1" si="62"/>
        <v>0.16860217333890382</v>
      </c>
      <c r="DM23" s="1">
        <f t="shared" ca="1" si="63"/>
        <v>131</v>
      </c>
      <c r="DN23" s="1">
        <f t="shared" ca="1" si="64"/>
        <v>6</v>
      </c>
    </row>
    <row r="24" spans="2:118" x14ac:dyDescent="0.25">
      <c r="B24">
        <f t="shared" ca="1" si="0"/>
        <v>752</v>
      </c>
      <c r="C24">
        <f t="shared" ca="1" si="1"/>
        <v>22</v>
      </c>
      <c r="D24">
        <f t="shared" ca="1" si="2"/>
        <v>0.20000526113386763</v>
      </c>
      <c r="F24" s="1">
        <f t="shared" ca="1" si="3"/>
        <v>22</v>
      </c>
      <c r="G24" s="1">
        <f t="shared" ca="1" si="4"/>
        <v>3</v>
      </c>
      <c r="H24" s="1">
        <f t="shared" ca="1" si="5"/>
        <v>15</v>
      </c>
      <c r="I24" s="1"/>
      <c r="J24" s="1">
        <f t="shared" ca="1" si="6"/>
        <v>15</v>
      </c>
      <c r="K24" s="1">
        <f t="shared" ca="1" si="7"/>
        <v>2.3728885994553952</v>
      </c>
      <c r="L24" s="1">
        <f t="shared" ca="1" si="8"/>
        <v>14</v>
      </c>
      <c r="M24" s="1"/>
      <c r="N24" s="1">
        <f t="shared" ca="1" si="9"/>
        <v>64</v>
      </c>
      <c r="O24" s="1">
        <f t="shared" ca="1" si="10"/>
        <v>41</v>
      </c>
      <c r="P24" s="1"/>
      <c r="Q24" s="1">
        <f t="shared" ca="1" si="11"/>
        <v>2.5991896323612247</v>
      </c>
      <c r="R24" s="1">
        <f t="shared" ca="1" si="12"/>
        <v>705</v>
      </c>
      <c r="S24" s="1"/>
      <c r="T24" s="1">
        <f t="shared" ca="1" si="13"/>
        <v>4.2366615813559438E-2</v>
      </c>
      <c r="U24" s="1">
        <f t="shared" ca="1" si="14"/>
        <v>309</v>
      </c>
      <c r="V24" s="1">
        <f t="shared" ca="1" si="15"/>
        <v>28</v>
      </c>
      <c r="W24" s="1"/>
      <c r="X24" s="1">
        <f t="shared" ca="1" si="16"/>
        <v>2.5534149283463021</v>
      </c>
      <c r="Y24" s="1">
        <f t="shared" ca="1" si="17"/>
        <v>0.64361756456859365</v>
      </c>
      <c r="Z24" s="1">
        <f t="shared" ca="1" si="18"/>
        <v>1714</v>
      </c>
      <c r="AB24" s="1">
        <f t="shared" ca="1" si="19"/>
        <v>0.70270158488940548</v>
      </c>
      <c r="AC24" s="1">
        <f t="shared" ca="1" si="20"/>
        <v>808</v>
      </c>
      <c r="AD24" s="1">
        <f t="shared" ca="1" si="21"/>
        <v>4.0448657427403284E-3</v>
      </c>
      <c r="AE24" s="1"/>
      <c r="AF24" s="1">
        <f t="shared" ca="1" si="22"/>
        <v>0.26396421972960954</v>
      </c>
      <c r="AG24" s="1">
        <f t="shared" ca="1" si="23"/>
        <v>328</v>
      </c>
      <c r="AH24" s="1">
        <f t="shared" ca="1" si="24"/>
        <v>1.5183356230765452E-3</v>
      </c>
      <c r="AJ24" s="1">
        <f t="shared" ca="1" si="25"/>
        <v>0.21784629539681954</v>
      </c>
      <c r="AK24" s="1">
        <f t="shared" ca="1" si="26"/>
        <v>4.8081637476496426E-3</v>
      </c>
      <c r="AL24" s="1"/>
      <c r="AM24" s="1">
        <f t="shared" ca="1" si="27"/>
        <v>2.7529511929351703E-2</v>
      </c>
      <c r="AN24" s="1">
        <f t="shared" ca="1" si="28"/>
        <v>76</v>
      </c>
      <c r="AO24" s="1">
        <f t="shared" ca="1" si="29"/>
        <v>7</v>
      </c>
      <c r="AQ24" s="1">
        <f t="shared" ca="1" si="30"/>
        <v>17</v>
      </c>
      <c r="AR24" s="1">
        <f t="shared" ca="1" si="31"/>
        <v>9</v>
      </c>
      <c r="AS24" s="1">
        <f t="shared" ca="1" si="32"/>
        <v>55</v>
      </c>
      <c r="AU24" s="1">
        <f t="shared" ca="1" si="33"/>
        <v>219</v>
      </c>
      <c r="AV24" s="1">
        <f t="shared" ca="1" si="34"/>
        <v>10</v>
      </c>
      <c r="AW24" s="1">
        <f t="shared" ca="1" si="35"/>
        <v>8.4660091213683814E-2</v>
      </c>
      <c r="AY24" s="1">
        <f t="shared" ca="1" si="36"/>
        <v>1.7824644755273731</v>
      </c>
      <c r="AZ24" s="1">
        <f t="shared" ca="1" si="37"/>
        <v>112</v>
      </c>
      <c r="BA24" s="1">
        <f t="shared" ca="1" si="38"/>
        <v>6.7607491918267801E-3</v>
      </c>
      <c r="BG24" s="1">
        <f t="shared" ca="1" si="39"/>
        <v>0.23621788692707107</v>
      </c>
      <c r="BH24" s="1">
        <f t="shared" ca="1" si="40"/>
        <v>0.13091788940367755</v>
      </c>
      <c r="BI24" s="1">
        <f t="shared" ca="1" si="41"/>
        <v>964</v>
      </c>
      <c r="BV24" s="1">
        <f t="shared" ca="1" si="42"/>
        <v>0.29778929859139164</v>
      </c>
      <c r="BW24" s="1">
        <f t="shared" ca="1" si="43"/>
        <v>614</v>
      </c>
      <c r="BX24" s="1">
        <f t="shared" ca="1" si="44"/>
        <v>8.9890757889443569E-3</v>
      </c>
      <c r="BY24" s="1">
        <f t="shared" ca="1" si="45"/>
        <v>3.9813881991759611E-3</v>
      </c>
      <c r="BZ24" s="1">
        <f t="shared" ca="1" si="46"/>
        <v>0.23478591967417184</v>
      </c>
      <c r="CB24" s="1">
        <f t="shared" ca="1" si="47"/>
        <v>497</v>
      </c>
      <c r="CC24" s="1">
        <f t="shared" ca="1" si="48"/>
        <v>3</v>
      </c>
      <c r="CD24" s="1">
        <f t="shared" ca="1" si="49"/>
        <v>0.13760102579422795</v>
      </c>
      <c r="CE24" s="1">
        <f t="shared" ca="1" si="50"/>
        <v>0.92626435428790166</v>
      </c>
      <c r="CF24" s="1">
        <f t="shared" ca="1" si="50"/>
        <v>0.61920386063548061</v>
      </c>
      <c r="CH24" s="3">
        <f t="shared" ca="1" si="51"/>
        <v>0.25978428321361213</v>
      </c>
      <c r="CI24" s="3">
        <f t="shared" ca="1" si="52"/>
        <v>6.9192393733567087E-2</v>
      </c>
      <c r="CJ24" s="3">
        <f t="shared" ca="1" si="53"/>
        <v>245</v>
      </c>
      <c r="CK24" s="3">
        <f t="shared" ca="1" si="54"/>
        <v>2.5138354132355121E-3</v>
      </c>
      <c r="CL24" s="3">
        <f t="shared" ca="1" si="55"/>
        <v>0</v>
      </c>
      <c r="CM24" s="3"/>
      <c r="CN24" s="1">
        <f t="shared" ca="1" si="56"/>
        <v>10.877267059427085</v>
      </c>
      <c r="CO24" s="1">
        <f t="shared" ca="1" si="57"/>
        <v>0.48797315885056858</v>
      </c>
      <c r="CP24" s="1">
        <f t="shared" ca="1" si="58"/>
        <v>4</v>
      </c>
      <c r="DH24" s="1">
        <f t="shared" ca="1" si="59"/>
        <v>666</v>
      </c>
      <c r="DI24" s="1">
        <f t="shared" ca="1" si="60"/>
        <v>0.66879546772233112</v>
      </c>
      <c r="DJ24" s="1">
        <f t="shared" ca="1" si="61"/>
        <v>4</v>
      </c>
      <c r="DL24" s="1">
        <f t="shared" ca="1" si="62"/>
        <v>0.10744124578382519</v>
      </c>
      <c r="DM24" s="1">
        <f t="shared" ca="1" si="63"/>
        <v>113</v>
      </c>
      <c r="DN24" s="1">
        <f t="shared" ca="1" si="64"/>
        <v>5</v>
      </c>
    </row>
    <row r="25" spans="2:118" x14ac:dyDescent="0.25">
      <c r="B25">
        <f t="shared" ca="1" si="0"/>
        <v>25</v>
      </c>
      <c r="C25">
        <f t="shared" ca="1" si="1"/>
        <v>12</v>
      </c>
      <c r="D25">
        <f t="shared" ca="1" si="2"/>
        <v>0.15528290448833745</v>
      </c>
      <c r="F25" s="1">
        <f t="shared" ca="1" si="3"/>
        <v>17</v>
      </c>
      <c r="G25" s="1">
        <f t="shared" ca="1" si="4"/>
        <v>19</v>
      </c>
      <c r="H25" s="1">
        <f t="shared" ca="1" si="5"/>
        <v>10</v>
      </c>
      <c r="I25" s="1"/>
      <c r="J25" s="1">
        <f t="shared" ca="1" si="6"/>
        <v>14</v>
      </c>
      <c r="K25" s="1">
        <f t="shared" ca="1" si="7"/>
        <v>1.8225877481301178</v>
      </c>
      <c r="L25" s="1">
        <f t="shared" ca="1" si="8"/>
        <v>12</v>
      </c>
      <c r="M25" s="1"/>
      <c r="N25" s="1">
        <f t="shared" ca="1" si="9"/>
        <v>530</v>
      </c>
      <c r="O25" s="1">
        <f t="shared" ca="1" si="10"/>
        <v>51</v>
      </c>
      <c r="P25" s="1"/>
      <c r="Q25" s="1">
        <f t="shared" ca="1" si="11"/>
        <v>0.40469017094935938</v>
      </c>
      <c r="R25" s="1">
        <f t="shared" ca="1" si="12"/>
        <v>364</v>
      </c>
      <c r="S25" s="1"/>
      <c r="T25" s="1">
        <f t="shared" ca="1" si="13"/>
        <v>9.5686066733097583E-2</v>
      </c>
      <c r="U25" s="1">
        <f t="shared" ca="1" si="14"/>
        <v>226</v>
      </c>
      <c r="V25" s="1">
        <f t="shared" ca="1" si="15"/>
        <v>15</v>
      </c>
      <c r="W25" s="1"/>
      <c r="X25" s="1">
        <f t="shared" ca="1" si="16"/>
        <v>9.6873484567584587</v>
      </c>
      <c r="Y25" s="1">
        <f t="shared" ca="1" si="17"/>
        <v>0.27028402019298042</v>
      </c>
      <c r="Z25" s="1">
        <f t="shared" ca="1" si="18"/>
        <v>1221</v>
      </c>
      <c r="AB25" s="1">
        <f t="shared" ca="1" si="19"/>
        <v>0.44066248706856653</v>
      </c>
      <c r="AC25" s="1">
        <f t="shared" ca="1" si="20"/>
        <v>851</v>
      </c>
      <c r="AD25" s="1">
        <f t="shared" ca="1" si="21"/>
        <v>2.9688982664972718E-4</v>
      </c>
      <c r="AE25" s="1"/>
      <c r="AF25" s="1">
        <f t="shared" ca="1" si="22"/>
        <v>0.50775760945419945</v>
      </c>
      <c r="AG25" s="1">
        <f t="shared" ca="1" si="23"/>
        <v>236</v>
      </c>
      <c r="AH25" s="1">
        <f t="shared" ca="1" si="24"/>
        <v>9.9195974306990438E-4</v>
      </c>
      <c r="AJ25" s="1">
        <f t="shared" ca="1" si="25"/>
        <v>0.26224274186690144</v>
      </c>
      <c r="AK25" s="1">
        <f t="shared" ca="1" si="26"/>
        <v>7.1185487936289713E-3</v>
      </c>
      <c r="AL25" s="1"/>
      <c r="AM25" s="1">
        <f t="shared" ca="1" si="27"/>
        <v>0.14220997730046958</v>
      </c>
      <c r="AN25" s="1">
        <f t="shared" ca="1" si="28"/>
        <v>35</v>
      </c>
      <c r="AO25" s="1">
        <f t="shared" ca="1" si="29"/>
        <v>14</v>
      </c>
      <c r="AQ25" s="1">
        <f t="shared" ca="1" si="30"/>
        <v>144</v>
      </c>
      <c r="AR25" s="1">
        <f t="shared" ca="1" si="31"/>
        <v>1</v>
      </c>
      <c r="AS25" s="1">
        <f t="shared" ca="1" si="32"/>
        <v>43</v>
      </c>
      <c r="AU25" s="1">
        <f t="shared" ca="1" si="33"/>
        <v>370</v>
      </c>
      <c r="AV25" s="1">
        <f t="shared" ca="1" si="34"/>
        <v>7</v>
      </c>
      <c r="AW25" s="1">
        <f t="shared" ca="1" si="35"/>
        <v>7.6979704156216189E-2</v>
      </c>
      <c r="AY25" s="1">
        <f t="shared" ca="1" si="36"/>
        <v>1.3783259424304408</v>
      </c>
      <c r="AZ25" s="1">
        <f t="shared" ca="1" si="37"/>
        <v>79</v>
      </c>
      <c r="BA25" s="1">
        <f t="shared" ca="1" si="38"/>
        <v>1.1601199896907701E-3</v>
      </c>
      <c r="BG25" s="1">
        <f t="shared" ca="1" si="39"/>
        <v>0.4101091191833578</v>
      </c>
      <c r="BH25" s="1">
        <f t="shared" ca="1" si="40"/>
        <v>0.59926461577911561</v>
      </c>
      <c r="BI25" s="1">
        <f t="shared" ca="1" si="41"/>
        <v>496</v>
      </c>
      <c r="BV25" s="1">
        <f t="shared" ca="1" si="42"/>
        <v>0.33690013967120724</v>
      </c>
      <c r="BW25" s="1">
        <f t="shared" ca="1" si="43"/>
        <v>219</v>
      </c>
      <c r="BX25" s="1">
        <f t="shared" ca="1" si="44"/>
        <v>2.7693179808457942E-3</v>
      </c>
      <c r="BY25" s="1">
        <f t="shared" ca="1" si="45"/>
        <v>9.6473809669116464E-2</v>
      </c>
      <c r="BZ25" s="1">
        <f t="shared" ca="1" si="46"/>
        <v>0.37879402416207242</v>
      </c>
      <c r="CB25" s="1">
        <f t="shared" ca="1" si="47"/>
        <v>291</v>
      </c>
      <c r="CC25" s="1">
        <f t="shared" ca="1" si="48"/>
        <v>7</v>
      </c>
      <c r="CD25" s="1">
        <f t="shared" ca="1" si="49"/>
        <v>0.26544644076695317</v>
      </c>
      <c r="CE25" s="1">
        <f t="shared" ca="1" si="50"/>
        <v>0.91268918790440234</v>
      </c>
      <c r="CF25" s="1">
        <f t="shared" ca="1" si="50"/>
        <v>0.9600455704254155</v>
      </c>
      <c r="CH25" s="3">
        <f t="shared" ca="1" si="51"/>
        <v>0.90465887901496045</v>
      </c>
      <c r="CI25" s="3">
        <f t="shared" ca="1" si="52"/>
        <v>1.60111118625486E-2</v>
      </c>
      <c r="CJ25" s="3">
        <f t="shared" ca="1" si="53"/>
        <v>1886</v>
      </c>
      <c r="CK25" s="3">
        <f t="shared" ca="1" si="54"/>
        <v>9.9857160692526977E-3</v>
      </c>
      <c r="CL25" s="3">
        <f t="shared" ca="1" si="55"/>
        <v>1</v>
      </c>
      <c r="CM25" s="3"/>
      <c r="CN25" s="1">
        <f t="shared" ca="1" si="56"/>
        <v>17.050402915566998</v>
      </c>
      <c r="CO25" s="1">
        <f t="shared" ca="1" si="57"/>
        <v>0.4130941824704934</v>
      </c>
      <c r="CP25" s="1">
        <f t="shared" ca="1" si="58"/>
        <v>2</v>
      </c>
      <c r="DH25" s="1">
        <f t="shared" ca="1" si="59"/>
        <v>696</v>
      </c>
      <c r="DI25" s="1">
        <f t="shared" ca="1" si="60"/>
        <v>0.56635025084955448</v>
      </c>
      <c r="DJ25" s="1">
        <f t="shared" ca="1" si="61"/>
        <v>25</v>
      </c>
      <c r="DL25" s="1">
        <f t="shared" ca="1" si="62"/>
        <v>6.1338476588719819E-2</v>
      </c>
      <c r="DM25" s="1">
        <f t="shared" ca="1" si="63"/>
        <v>163</v>
      </c>
      <c r="DN25" s="1">
        <f t="shared" ca="1" si="64"/>
        <v>5</v>
      </c>
    </row>
    <row r="26" spans="2:118" x14ac:dyDescent="0.25">
      <c r="B26">
        <f t="shared" ca="1" si="0"/>
        <v>378</v>
      </c>
      <c r="C26">
        <f t="shared" ca="1" si="1"/>
        <v>19</v>
      </c>
      <c r="D26">
        <f t="shared" ca="1" si="2"/>
        <v>0.10677428682567831</v>
      </c>
      <c r="F26" s="1">
        <f t="shared" ca="1" si="3"/>
        <v>41</v>
      </c>
      <c r="G26" s="1">
        <f t="shared" ca="1" si="4"/>
        <v>15</v>
      </c>
      <c r="H26" s="1">
        <f t="shared" ca="1" si="5"/>
        <v>5</v>
      </c>
      <c r="I26" s="1"/>
      <c r="J26" s="1">
        <f t="shared" ca="1" si="6"/>
        <v>7</v>
      </c>
      <c r="K26" s="1">
        <f t="shared" ca="1" si="7"/>
        <v>2.7484040385913904</v>
      </c>
      <c r="L26" s="1">
        <f t="shared" ca="1" si="8"/>
        <v>26</v>
      </c>
      <c r="M26" s="1"/>
      <c r="N26" s="1">
        <f t="shared" ca="1" si="9"/>
        <v>615</v>
      </c>
      <c r="O26" s="1">
        <f t="shared" ca="1" si="10"/>
        <v>2</v>
      </c>
      <c r="P26" s="1"/>
      <c r="Q26" s="1">
        <f t="shared" ca="1" si="11"/>
        <v>4.6954607456174644</v>
      </c>
      <c r="R26" s="1">
        <f t="shared" ca="1" si="12"/>
        <v>523</v>
      </c>
      <c r="S26" s="1"/>
      <c r="T26" s="1">
        <f t="shared" ca="1" si="13"/>
        <v>5.7453355983548796E-2</v>
      </c>
      <c r="U26" s="1">
        <f t="shared" ca="1" si="14"/>
        <v>207</v>
      </c>
      <c r="V26" s="1">
        <f t="shared" ca="1" si="15"/>
        <v>10</v>
      </c>
      <c r="W26" s="1"/>
      <c r="X26" s="1">
        <f t="shared" ca="1" si="16"/>
        <v>5.0314617209699284</v>
      </c>
      <c r="Y26" s="1">
        <f t="shared" ca="1" si="17"/>
        <v>0.74777397898369558</v>
      </c>
      <c r="Z26" s="1">
        <f t="shared" ca="1" si="18"/>
        <v>285</v>
      </c>
      <c r="AB26" s="1">
        <f t="shared" ca="1" si="19"/>
        <v>0.63784944524232812</v>
      </c>
      <c r="AC26" s="1">
        <f t="shared" ca="1" si="20"/>
        <v>908</v>
      </c>
      <c r="AD26" s="1">
        <f t="shared" ca="1" si="21"/>
        <v>5.6614759077918313E-3</v>
      </c>
      <c r="AE26" s="1"/>
      <c r="AF26" s="1">
        <f t="shared" ca="1" si="22"/>
        <v>0.51217854617673719</v>
      </c>
      <c r="AG26" s="1">
        <f t="shared" ca="1" si="23"/>
        <v>374</v>
      </c>
      <c r="AH26" s="1">
        <f t="shared" ca="1" si="24"/>
        <v>9.5067829290147992E-3</v>
      </c>
      <c r="AJ26" s="1">
        <f t="shared" ca="1" si="25"/>
        <v>0.50548594324747309</v>
      </c>
      <c r="AK26" s="1">
        <f t="shared" ca="1" si="26"/>
        <v>7.9273508819684823E-3</v>
      </c>
      <c r="AL26" s="1"/>
      <c r="AM26" s="1">
        <f t="shared" ca="1" si="27"/>
        <v>7.0748907904904068E-2</v>
      </c>
      <c r="AN26" s="1">
        <f t="shared" ca="1" si="28"/>
        <v>25</v>
      </c>
      <c r="AO26" s="1">
        <f t="shared" ca="1" si="29"/>
        <v>17</v>
      </c>
      <c r="AQ26" s="1">
        <f t="shared" ca="1" si="30"/>
        <v>54</v>
      </c>
      <c r="AR26" s="1">
        <f t="shared" ca="1" si="31"/>
        <v>7</v>
      </c>
      <c r="AS26" s="1">
        <f t="shared" ca="1" si="32"/>
        <v>3</v>
      </c>
      <c r="AU26" s="1">
        <f t="shared" ca="1" si="33"/>
        <v>257</v>
      </c>
      <c r="AV26" s="1">
        <f t="shared" ca="1" si="34"/>
        <v>5</v>
      </c>
      <c r="AW26" s="1">
        <f t="shared" ca="1" si="35"/>
        <v>1.4693792295656722E-2</v>
      </c>
      <c r="AY26" s="1">
        <f t="shared" ca="1" si="36"/>
        <v>1.3722134308970344</v>
      </c>
      <c r="AZ26" s="1">
        <f t="shared" ca="1" si="37"/>
        <v>314</v>
      </c>
      <c r="BA26" s="1">
        <f t="shared" ca="1" si="38"/>
        <v>5.3534280950569601E-3</v>
      </c>
      <c r="BG26" s="1">
        <f t="shared" ca="1" si="39"/>
        <v>0.48927665010066285</v>
      </c>
      <c r="BH26" s="1">
        <f t="shared" ca="1" si="40"/>
        <v>0.89248259125701612</v>
      </c>
      <c r="BI26" s="1">
        <f t="shared" ca="1" si="41"/>
        <v>556</v>
      </c>
      <c r="BV26" s="1">
        <f t="shared" ca="1" si="42"/>
        <v>0.8862138140239606</v>
      </c>
      <c r="BW26" s="1">
        <f t="shared" ca="1" si="43"/>
        <v>839</v>
      </c>
      <c r="BX26" s="1">
        <f t="shared" ca="1" si="44"/>
        <v>3.1653040067633267E-3</v>
      </c>
      <c r="BY26" s="1">
        <f t="shared" ca="1" si="45"/>
        <v>9.6278778206935714E-2</v>
      </c>
      <c r="BZ26" s="1">
        <f t="shared" ca="1" si="46"/>
        <v>0.3188691859575572</v>
      </c>
      <c r="CB26" s="1">
        <f t="shared" ca="1" si="47"/>
        <v>240</v>
      </c>
      <c r="CC26" s="1">
        <f t="shared" ca="1" si="48"/>
        <v>12</v>
      </c>
      <c r="CD26" s="1">
        <f t="shared" ca="1" si="49"/>
        <v>0.25357555068639565</v>
      </c>
      <c r="CE26" s="1">
        <f t="shared" ca="1" si="50"/>
        <v>0.64738351731730781</v>
      </c>
      <c r="CF26" s="1">
        <f t="shared" ca="1" si="50"/>
        <v>0.86780191781823857</v>
      </c>
      <c r="CH26" s="3">
        <f t="shared" ca="1" si="51"/>
        <v>0.76888540983500642</v>
      </c>
      <c r="CI26" s="3">
        <f t="shared" ca="1" si="52"/>
        <v>0.42596711952160815</v>
      </c>
      <c r="CJ26" s="3">
        <f t="shared" ca="1" si="53"/>
        <v>1707</v>
      </c>
      <c r="CK26" s="3">
        <f t="shared" ca="1" si="54"/>
        <v>1.202857095598228E-3</v>
      </c>
      <c r="CL26" s="3">
        <f t="shared" ca="1" si="55"/>
        <v>0</v>
      </c>
      <c r="CM26" s="3"/>
      <c r="CN26" s="1">
        <f t="shared" ca="1" si="56"/>
        <v>1.928046528044028</v>
      </c>
      <c r="CO26" s="1">
        <f t="shared" ca="1" si="57"/>
        <v>0.39999635746049611</v>
      </c>
      <c r="CP26" s="1">
        <f t="shared" ca="1" si="58"/>
        <v>1</v>
      </c>
      <c r="DH26" s="1">
        <f t="shared" ca="1" si="59"/>
        <v>162</v>
      </c>
      <c r="DI26" s="1">
        <f t="shared" ca="1" si="60"/>
        <v>0.93581470982992598</v>
      </c>
      <c r="DJ26" s="1">
        <f t="shared" ca="1" si="61"/>
        <v>6</v>
      </c>
      <c r="DL26" s="1">
        <f t="shared" ca="1" si="62"/>
        <v>0.18086569044453937</v>
      </c>
      <c r="DM26" s="1">
        <f t="shared" ca="1" si="63"/>
        <v>184</v>
      </c>
      <c r="DN26" s="1">
        <f t="shared" ca="1" si="64"/>
        <v>6</v>
      </c>
    </row>
    <row r="27" spans="2:118" x14ac:dyDescent="0.25">
      <c r="B27">
        <f t="shared" ca="1" si="0"/>
        <v>711</v>
      </c>
      <c r="C27">
        <f t="shared" ca="1" si="1"/>
        <v>41</v>
      </c>
      <c r="D27">
        <f t="shared" ca="1" si="2"/>
        <v>1.0521377244962543E-2</v>
      </c>
      <c r="F27" s="1">
        <f t="shared" ca="1" si="3"/>
        <v>14</v>
      </c>
      <c r="G27" s="1">
        <f t="shared" ca="1" si="4"/>
        <v>19</v>
      </c>
      <c r="H27" s="1">
        <f t="shared" ca="1" si="5"/>
        <v>15</v>
      </c>
      <c r="I27" s="1"/>
      <c r="J27" s="1">
        <f t="shared" ca="1" si="6"/>
        <v>29</v>
      </c>
      <c r="K27" s="1">
        <f t="shared" ca="1" si="7"/>
        <v>2.8302691887056031</v>
      </c>
      <c r="L27" s="1">
        <f t="shared" ca="1" si="8"/>
        <v>11</v>
      </c>
      <c r="M27" s="1"/>
      <c r="N27" s="1">
        <f t="shared" ca="1" si="9"/>
        <v>582</v>
      </c>
      <c r="O27" s="1">
        <f t="shared" ca="1" si="10"/>
        <v>31</v>
      </c>
      <c r="P27" s="1"/>
      <c r="Q27" s="1">
        <f t="shared" ca="1" si="11"/>
        <v>3.7175658058504792</v>
      </c>
      <c r="R27" s="1">
        <f t="shared" ca="1" si="12"/>
        <v>213</v>
      </c>
      <c r="S27" s="1"/>
      <c r="T27" s="1">
        <f t="shared" ca="1" si="13"/>
        <v>0.15048013670759297</v>
      </c>
      <c r="U27" s="1">
        <f t="shared" ca="1" si="14"/>
        <v>299</v>
      </c>
      <c r="V27" s="1">
        <f t="shared" ca="1" si="15"/>
        <v>26</v>
      </c>
      <c r="W27" s="1"/>
      <c r="X27" s="1">
        <f t="shared" ca="1" si="16"/>
        <v>2.0466188605360456</v>
      </c>
      <c r="Y27" s="1">
        <f t="shared" ca="1" si="17"/>
        <v>0.68185235801244959</v>
      </c>
      <c r="Z27" s="1">
        <f t="shared" ca="1" si="18"/>
        <v>1600</v>
      </c>
      <c r="AB27" s="1">
        <f t="shared" ca="1" si="19"/>
        <v>0.29676084018696797</v>
      </c>
      <c r="AC27" s="1">
        <f t="shared" ca="1" si="20"/>
        <v>964</v>
      </c>
      <c r="AD27" s="1">
        <f t="shared" ca="1" si="21"/>
        <v>6.5299888297983488E-4</v>
      </c>
      <c r="AE27" s="1"/>
      <c r="AF27" s="1">
        <f t="shared" ca="1" si="22"/>
        <v>0.87972929553834089</v>
      </c>
      <c r="AG27" s="1">
        <f t="shared" ca="1" si="23"/>
        <v>659</v>
      </c>
      <c r="AH27" s="1">
        <f t="shared" ca="1" si="24"/>
        <v>8.3495358581968052E-3</v>
      </c>
      <c r="AJ27" s="1">
        <f t="shared" ca="1" si="25"/>
        <v>1.9159918919676833E-2</v>
      </c>
      <c r="AK27" s="1">
        <f t="shared" ca="1" si="26"/>
        <v>6.4570540362535807E-4</v>
      </c>
      <c r="AL27" s="1"/>
      <c r="AM27" s="1">
        <f t="shared" ca="1" si="27"/>
        <v>8.3726842675270738E-2</v>
      </c>
      <c r="AN27" s="1">
        <f t="shared" ca="1" si="28"/>
        <v>16</v>
      </c>
      <c r="AO27" s="1">
        <f t="shared" ca="1" si="29"/>
        <v>17</v>
      </c>
      <c r="AQ27" s="1">
        <f t="shared" ca="1" si="30"/>
        <v>36</v>
      </c>
      <c r="AR27" s="1">
        <f t="shared" ca="1" si="31"/>
        <v>0</v>
      </c>
      <c r="AS27" s="1">
        <f t="shared" ca="1" si="32"/>
        <v>30</v>
      </c>
      <c r="AU27" s="1">
        <f t="shared" ca="1" si="33"/>
        <v>343</v>
      </c>
      <c r="AV27" s="1">
        <f t="shared" ca="1" si="34"/>
        <v>4</v>
      </c>
      <c r="AW27" s="1">
        <f t="shared" ca="1" si="35"/>
        <v>0.13908767935516128</v>
      </c>
      <c r="AY27" s="1">
        <f t="shared" ca="1" si="36"/>
        <v>1.800378087117251</v>
      </c>
      <c r="AZ27" s="1">
        <f t="shared" ca="1" si="37"/>
        <v>169</v>
      </c>
      <c r="BA27" s="1">
        <f t="shared" ca="1" si="38"/>
        <v>7.9729769994069683E-3</v>
      </c>
      <c r="BG27" s="1">
        <f t="shared" ca="1" si="39"/>
        <v>0.85309737328245772</v>
      </c>
      <c r="BH27" s="1">
        <f t="shared" ca="1" si="40"/>
        <v>0.26417880813444539</v>
      </c>
      <c r="BI27" s="1">
        <f t="shared" ca="1" si="41"/>
        <v>816</v>
      </c>
      <c r="BV27" s="1">
        <f t="shared" ca="1" si="42"/>
        <v>0.67610090544397872</v>
      </c>
      <c r="BW27" s="1">
        <f t="shared" ca="1" si="43"/>
        <v>561</v>
      </c>
      <c r="BX27" s="1">
        <f t="shared" ca="1" si="44"/>
        <v>1.3040475597380708E-3</v>
      </c>
      <c r="BY27" s="1">
        <f t="shared" ca="1" si="45"/>
        <v>1.3067266800709052E-2</v>
      </c>
      <c r="BZ27" s="1">
        <f t="shared" ca="1" si="46"/>
        <v>0.62673121520413633</v>
      </c>
      <c r="CB27" s="1">
        <f t="shared" ca="1" si="47"/>
        <v>202</v>
      </c>
      <c r="CC27" s="1">
        <f t="shared" ca="1" si="48"/>
        <v>12</v>
      </c>
      <c r="CD27" s="1">
        <f t="shared" ca="1" si="49"/>
        <v>0.21311421159281924</v>
      </c>
      <c r="CE27" s="1">
        <f t="shared" ca="1" si="50"/>
        <v>0.99643928409271676</v>
      </c>
      <c r="CF27" s="1">
        <f t="shared" ca="1" si="50"/>
        <v>0.83086961413706306</v>
      </c>
      <c r="CH27" s="3">
        <f t="shared" ca="1" si="51"/>
        <v>0.47981209155463606</v>
      </c>
      <c r="CI27" s="3">
        <f t="shared" ca="1" si="52"/>
        <v>0.3064971173957059</v>
      </c>
      <c r="CJ27" s="3">
        <f t="shared" ca="1" si="53"/>
        <v>762</v>
      </c>
      <c r="CK27" s="3">
        <f t="shared" ca="1" si="54"/>
        <v>7.9161583181649679E-3</v>
      </c>
      <c r="CL27" s="3">
        <f t="shared" ca="1" si="55"/>
        <v>0</v>
      </c>
      <c r="CM27" s="3"/>
      <c r="CN27" s="1">
        <f t="shared" ca="1" si="56"/>
        <v>19.889767235487753</v>
      </c>
      <c r="CO27" s="1">
        <f t="shared" ca="1" si="57"/>
        <v>0.32849476586383519</v>
      </c>
      <c r="CP27" s="1">
        <f t="shared" ca="1" si="58"/>
        <v>4</v>
      </c>
      <c r="DH27" s="1">
        <f t="shared" ca="1" si="59"/>
        <v>519</v>
      </c>
      <c r="DI27" s="1">
        <f t="shared" ca="1" si="60"/>
        <v>0.55203483485761151</v>
      </c>
      <c r="DJ27" s="1">
        <f t="shared" ca="1" si="61"/>
        <v>14</v>
      </c>
      <c r="DL27" s="1">
        <f t="shared" ca="1" si="62"/>
        <v>0.1898250174173976</v>
      </c>
      <c r="DM27" s="1">
        <f t="shared" ca="1" si="63"/>
        <v>261</v>
      </c>
      <c r="DN27" s="1">
        <f t="shared" ca="1" si="64"/>
        <v>9</v>
      </c>
    </row>
    <row r="28" spans="2:118" x14ac:dyDescent="0.25">
      <c r="B28">
        <f t="shared" ca="1" si="0"/>
        <v>859</v>
      </c>
      <c r="C28">
        <f t="shared" ca="1" si="1"/>
        <v>35</v>
      </c>
      <c r="D28">
        <f t="shared" ca="1" si="2"/>
        <v>0.21552397463077738</v>
      </c>
      <c r="F28" s="1">
        <f t="shared" ca="1" si="3"/>
        <v>4</v>
      </c>
      <c r="G28" s="1">
        <f t="shared" ca="1" si="4"/>
        <v>12</v>
      </c>
      <c r="H28" s="1">
        <f t="shared" ca="1" si="5"/>
        <v>7</v>
      </c>
      <c r="I28" s="1"/>
      <c r="J28" s="1">
        <f t="shared" ca="1" si="6"/>
        <v>39</v>
      </c>
      <c r="K28" s="1">
        <f t="shared" ca="1" si="7"/>
        <v>2.6200511958527084</v>
      </c>
      <c r="L28" s="1">
        <f t="shared" ca="1" si="8"/>
        <v>22</v>
      </c>
      <c r="M28" s="1"/>
      <c r="N28" s="1">
        <f t="shared" ca="1" si="9"/>
        <v>98</v>
      </c>
      <c r="O28" s="1">
        <f t="shared" ca="1" si="10"/>
        <v>41</v>
      </c>
      <c r="P28" s="1"/>
      <c r="Q28" s="1">
        <f t="shared" ca="1" si="11"/>
        <v>4.0332318452438738E-2</v>
      </c>
      <c r="R28" s="1">
        <f t="shared" ca="1" si="12"/>
        <v>499</v>
      </c>
      <c r="S28" s="1"/>
      <c r="T28" s="1">
        <f t="shared" ca="1" si="13"/>
        <v>2.989407511547728E-2</v>
      </c>
      <c r="U28" s="1">
        <f t="shared" ca="1" si="14"/>
        <v>331</v>
      </c>
      <c r="V28" s="1">
        <f t="shared" ca="1" si="15"/>
        <v>30</v>
      </c>
      <c r="W28" s="1"/>
      <c r="X28" s="1">
        <f t="shared" ca="1" si="16"/>
        <v>1.0837264030247056</v>
      </c>
      <c r="Y28" s="1">
        <f t="shared" ca="1" si="17"/>
        <v>0.96966018833002665</v>
      </c>
      <c r="Z28" s="1">
        <f t="shared" ca="1" si="18"/>
        <v>1180</v>
      </c>
      <c r="AB28" s="1">
        <f t="shared" ca="1" si="19"/>
        <v>0.57076140501299799</v>
      </c>
      <c r="AC28" s="1">
        <f t="shared" ca="1" si="20"/>
        <v>499</v>
      </c>
      <c r="AD28" s="1">
        <f t="shared" ca="1" si="21"/>
        <v>1.6187889289376897E-4</v>
      </c>
      <c r="AE28" s="1"/>
      <c r="AF28" s="1">
        <f t="shared" ca="1" si="22"/>
        <v>0.70741605443530786</v>
      </c>
      <c r="AG28" s="1">
        <f t="shared" ca="1" si="23"/>
        <v>591</v>
      </c>
      <c r="AH28" s="1">
        <f t="shared" ca="1" si="24"/>
        <v>5.7892382972613036E-3</v>
      </c>
      <c r="AJ28" s="1">
        <f t="shared" ca="1" si="25"/>
        <v>0.68321839977360788</v>
      </c>
      <c r="AK28" s="1">
        <f t="shared" ca="1" si="26"/>
        <v>5.1218090768066771E-4</v>
      </c>
      <c r="AL28" s="1"/>
      <c r="AM28" s="1">
        <f t="shared" ca="1" si="27"/>
        <v>0.18670034854503714</v>
      </c>
      <c r="AN28" s="1">
        <f t="shared" ca="1" si="28"/>
        <v>12</v>
      </c>
      <c r="AO28" s="1">
        <f t="shared" ca="1" si="29"/>
        <v>6</v>
      </c>
      <c r="AQ28" s="1">
        <f t="shared" ca="1" si="30"/>
        <v>94</v>
      </c>
      <c r="AR28" s="1">
        <f t="shared" ca="1" si="31"/>
        <v>9</v>
      </c>
      <c r="AS28" s="1">
        <f t="shared" ca="1" si="32"/>
        <v>41</v>
      </c>
      <c r="AU28" s="1">
        <f t="shared" ca="1" si="33"/>
        <v>140</v>
      </c>
      <c r="AV28" s="1">
        <f t="shared" ca="1" si="34"/>
        <v>7</v>
      </c>
      <c r="AW28" s="1">
        <f t="shared" ca="1" si="35"/>
        <v>0.10364557236964078</v>
      </c>
      <c r="AY28" s="1">
        <f t="shared" ca="1" si="36"/>
        <v>1.5539776908175251</v>
      </c>
      <c r="AZ28" s="1">
        <f t="shared" ca="1" si="37"/>
        <v>365</v>
      </c>
      <c r="BA28" s="1">
        <f t="shared" ca="1" si="38"/>
        <v>9.9629943063890558E-3</v>
      </c>
      <c r="BG28" s="1">
        <f t="shared" ca="1" si="39"/>
        <v>0.27764941145408006</v>
      </c>
      <c r="BH28" s="1">
        <f t="shared" ca="1" si="40"/>
        <v>0.40592143738026476</v>
      </c>
      <c r="BI28" s="1">
        <f t="shared" ca="1" si="41"/>
        <v>149</v>
      </c>
      <c r="BV28" s="1">
        <f t="shared" ca="1" si="42"/>
        <v>0.62685730331791334</v>
      </c>
      <c r="BW28" s="1">
        <f t="shared" ca="1" si="43"/>
        <v>329</v>
      </c>
      <c r="BX28" s="1">
        <f t="shared" ca="1" si="44"/>
        <v>1.31233887719831E-3</v>
      </c>
      <c r="BY28" s="1">
        <f t="shared" ca="1" si="45"/>
        <v>9.1652445762826051E-2</v>
      </c>
      <c r="BZ28" s="1">
        <f t="shared" ca="1" si="46"/>
        <v>0.30810084514457636</v>
      </c>
      <c r="CB28" s="1">
        <f t="shared" ca="1" si="47"/>
        <v>440</v>
      </c>
      <c r="CC28" s="1">
        <f t="shared" ca="1" si="48"/>
        <v>9</v>
      </c>
      <c r="CD28" s="1">
        <f t="shared" ca="1" si="49"/>
        <v>6.1473447125061621E-2</v>
      </c>
      <c r="CE28" s="1">
        <f t="shared" ca="1" si="50"/>
        <v>0.98781529842856131</v>
      </c>
      <c r="CF28" s="1">
        <f t="shared" ca="1" si="50"/>
        <v>0.5470899809476466</v>
      </c>
      <c r="CH28" s="3">
        <f t="shared" ca="1" si="51"/>
        <v>7.9537985843560977E-2</v>
      </c>
      <c r="CI28" s="3">
        <f t="shared" ca="1" si="52"/>
        <v>9.682005078125959E-2</v>
      </c>
      <c r="CJ28" s="3">
        <f t="shared" ca="1" si="53"/>
        <v>1826</v>
      </c>
      <c r="CK28" s="3">
        <f t="shared" ca="1" si="54"/>
        <v>7.83961403128422E-3</v>
      </c>
      <c r="CL28" s="3">
        <f t="shared" ca="1" si="55"/>
        <v>0</v>
      </c>
      <c r="CM28" s="3"/>
      <c r="CN28" s="1">
        <f t="shared" ca="1" si="56"/>
        <v>10.468107880270349</v>
      </c>
      <c r="CO28" s="1">
        <f t="shared" ca="1" si="57"/>
        <v>0.16110439658124157</v>
      </c>
      <c r="CP28" s="1">
        <f t="shared" ca="1" si="58"/>
        <v>3</v>
      </c>
      <c r="DH28" s="1">
        <f t="shared" ca="1" si="59"/>
        <v>288</v>
      </c>
      <c r="DI28" s="1">
        <f t="shared" ca="1" si="60"/>
        <v>0.89860388653963563</v>
      </c>
      <c r="DJ28" s="1">
        <f t="shared" ca="1" si="61"/>
        <v>21</v>
      </c>
      <c r="DL28" s="1">
        <f t="shared" ca="1" si="62"/>
        <v>0.17808977883583677</v>
      </c>
      <c r="DM28" s="1">
        <f t="shared" ca="1" si="63"/>
        <v>212</v>
      </c>
      <c r="DN28" s="1">
        <f t="shared" ca="1" si="64"/>
        <v>2</v>
      </c>
    </row>
    <row r="29" spans="2:118" x14ac:dyDescent="0.25">
      <c r="B29">
        <f t="shared" ca="1" si="0"/>
        <v>917</v>
      </c>
      <c r="C29">
        <f t="shared" ca="1" si="1"/>
        <v>44</v>
      </c>
      <c r="D29">
        <f t="shared" ca="1" si="2"/>
        <v>0.25902828725693788</v>
      </c>
      <c r="F29" s="1">
        <f t="shared" ca="1" si="3"/>
        <v>6</v>
      </c>
      <c r="G29" s="1">
        <f t="shared" ca="1" si="4"/>
        <v>9</v>
      </c>
      <c r="H29" s="1">
        <f t="shared" ca="1" si="5"/>
        <v>4</v>
      </c>
      <c r="I29" s="1"/>
      <c r="J29" s="1">
        <f t="shared" ca="1" si="6"/>
        <v>35</v>
      </c>
      <c r="K29" s="1">
        <f t="shared" ca="1" si="7"/>
        <v>2.7101449437686438</v>
      </c>
      <c r="L29" s="1">
        <f t="shared" ca="1" si="8"/>
        <v>6</v>
      </c>
      <c r="M29" s="1"/>
      <c r="N29" s="1">
        <f t="shared" ca="1" si="9"/>
        <v>386</v>
      </c>
      <c r="O29" s="1">
        <f t="shared" ca="1" si="10"/>
        <v>23</v>
      </c>
      <c r="P29" s="1"/>
      <c r="Q29" s="1">
        <f t="shared" ca="1" si="11"/>
        <v>1.6445918559503783</v>
      </c>
      <c r="R29" s="1">
        <f t="shared" ca="1" si="12"/>
        <v>600</v>
      </c>
      <c r="S29" s="1"/>
      <c r="T29" s="1">
        <f t="shared" ca="1" si="13"/>
        <v>0.18799523367316384</v>
      </c>
      <c r="U29" s="1">
        <f t="shared" ca="1" si="14"/>
        <v>255</v>
      </c>
      <c r="V29" s="1">
        <f t="shared" ca="1" si="15"/>
        <v>49</v>
      </c>
      <c r="W29" s="1"/>
      <c r="X29" s="1">
        <f t="shared" ca="1" si="16"/>
        <v>7.6320844605402867</v>
      </c>
      <c r="Y29" s="1">
        <f t="shared" ca="1" si="17"/>
        <v>4.6056118185373918E-2</v>
      </c>
      <c r="Z29" s="1">
        <f t="shared" ca="1" si="18"/>
        <v>438</v>
      </c>
      <c r="AB29" s="1">
        <f t="shared" ca="1" si="19"/>
        <v>0.23151497009267535</v>
      </c>
      <c r="AC29" s="1">
        <f t="shared" ca="1" si="20"/>
        <v>848</v>
      </c>
      <c r="AD29" s="1">
        <f t="shared" ca="1" si="21"/>
        <v>4.314106182958832E-3</v>
      </c>
      <c r="AE29" s="1"/>
      <c r="AF29" s="1">
        <f t="shared" ca="1" si="22"/>
        <v>0.76593196549627895</v>
      </c>
      <c r="AG29" s="1">
        <f t="shared" ca="1" si="23"/>
        <v>941</v>
      </c>
      <c r="AH29" s="1">
        <f t="shared" ca="1" si="24"/>
        <v>7.8522634934713384E-3</v>
      </c>
      <c r="AJ29" s="1">
        <f t="shared" ca="1" si="25"/>
        <v>0.6760943194692981</v>
      </c>
      <c r="AK29" s="1">
        <f t="shared" ca="1" si="26"/>
        <v>7.6327916404393828E-3</v>
      </c>
      <c r="AL29" s="1"/>
      <c r="AM29" s="1">
        <f t="shared" ca="1" si="27"/>
        <v>0.1709974039291309</v>
      </c>
      <c r="AN29" s="1">
        <f t="shared" ca="1" si="28"/>
        <v>49</v>
      </c>
      <c r="AO29" s="1">
        <f t="shared" ca="1" si="29"/>
        <v>4</v>
      </c>
      <c r="AQ29" s="1">
        <f t="shared" ca="1" si="30"/>
        <v>124</v>
      </c>
      <c r="AR29" s="1">
        <f t="shared" ca="1" si="31"/>
        <v>6</v>
      </c>
      <c r="AS29" s="1">
        <f t="shared" ca="1" si="32"/>
        <v>55</v>
      </c>
      <c r="AU29" s="1">
        <f t="shared" ca="1" si="33"/>
        <v>324</v>
      </c>
      <c r="AV29" s="1">
        <f t="shared" ca="1" si="34"/>
        <v>6</v>
      </c>
      <c r="AW29" s="1">
        <f t="shared" ca="1" si="35"/>
        <v>1.3214205962772351E-2</v>
      </c>
      <c r="AY29" s="1">
        <f t="shared" ca="1" si="36"/>
        <v>1.350162882392713</v>
      </c>
      <c r="AZ29" s="1">
        <f t="shared" ca="1" si="37"/>
        <v>250</v>
      </c>
      <c r="BA29" s="1">
        <f t="shared" ca="1" si="38"/>
        <v>5.242137622237811E-4</v>
      </c>
      <c r="BG29" s="1">
        <f t="shared" ca="1" si="39"/>
        <v>0.36089898551694738</v>
      </c>
      <c r="BH29" s="1">
        <f t="shared" ca="1" si="40"/>
        <v>0.70354474335290007</v>
      </c>
      <c r="BI29" s="1">
        <f t="shared" ca="1" si="41"/>
        <v>411</v>
      </c>
      <c r="BV29" s="1">
        <f t="shared" ca="1" si="42"/>
        <v>0.67475026862132714</v>
      </c>
      <c r="BW29" s="1">
        <f t="shared" ca="1" si="43"/>
        <v>754</v>
      </c>
      <c r="BX29" s="1">
        <f t="shared" ca="1" si="44"/>
        <v>6.3808594091479499E-3</v>
      </c>
      <c r="BY29" s="1">
        <f t="shared" ca="1" si="45"/>
        <v>8.0015959695386649E-3</v>
      </c>
      <c r="BZ29" s="1">
        <f t="shared" ca="1" si="46"/>
        <v>0.20735397986200166</v>
      </c>
      <c r="CB29" s="1">
        <f t="shared" ca="1" si="47"/>
        <v>438</v>
      </c>
      <c r="CC29" s="1">
        <f t="shared" ca="1" si="48"/>
        <v>6</v>
      </c>
      <c r="CD29" s="1">
        <f t="shared" ca="1" si="49"/>
        <v>0.13293160953369654</v>
      </c>
      <c r="CE29" s="1">
        <f t="shared" ca="1" si="50"/>
        <v>0.65956167315438008</v>
      </c>
      <c r="CF29" s="1">
        <f t="shared" ca="1" si="50"/>
        <v>0.68947771397581192</v>
      </c>
      <c r="CH29" s="3">
        <f t="shared" ca="1" si="51"/>
        <v>0.33112170721420009</v>
      </c>
      <c r="CI29" s="3">
        <f t="shared" ca="1" si="52"/>
        <v>0.30210580664206294</v>
      </c>
      <c r="CJ29" s="3">
        <f t="shared" ca="1" si="53"/>
        <v>1407</v>
      </c>
      <c r="CK29" s="3">
        <f t="shared" ca="1" si="54"/>
        <v>3.6608856725151005E-3</v>
      </c>
      <c r="CL29" s="3">
        <f t="shared" ca="1" si="55"/>
        <v>0</v>
      </c>
      <c r="CM29" s="3"/>
      <c r="CN29" s="1">
        <f t="shared" ca="1" si="56"/>
        <v>3.8437068383289357</v>
      </c>
      <c r="CO29" s="1">
        <f t="shared" ca="1" si="57"/>
        <v>3.2974508868925001E-2</v>
      </c>
      <c r="CP29" s="1">
        <f t="shared" ca="1" si="58"/>
        <v>1</v>
      </c>
      <c r="DH29" s="1">
        <f t="shared" ca="1" si="59"/>
        <v>335</v>
      </c>
      <c r="DI29" s="1">
        <f t="shared" ca="1" si="60"/>
        <v>0.96798122230458339</v>
      </c>
      <c r="DJ29" s="1">
        <f t="shared" ca="1" si="61"/>
        <v>7</v>
      </c>
      <c r="DL29" s="1">
        <f t="shared" ca="1" si="62"/>
        <v>9.2028448389873813E-2</v>
      </c>
      <c r="DM29" s="1">
        <f t="shared" ca="1" si="63"/>
        <v>51</v>
      </c>
      <c r="DN29" s="1">
        <f t="shared" ca="1" si="64"/>
        <v>9</v>
      </c>
    </row>
    <row r="30" spans="2:118" x14ac:dyDescent="0.25">
      <c r="B30">
        <f t="shared" ca="1" si="0"/>
        <v>748</v>
      </c>
      <c r="C30">
        <f t="shared" ca="1" si="1"/>
        <v>40</v>
      </c>
      <c r="D30">
        <f t="shared" ca="1" si="2"/>
        <v>0.16925213798538369</v>
      </c>
      <c r="F30" s="1">
        <f t="shared" ca="1" si="3"/>
        <v>30</v>
      </c>
      <c r="G30" s="1">
        <f t="shared" ca="1" si="4"/>
        <v>29</v>
      </c>
      <c r="H30" s="1">
        <f t="shared" ca="1" si="5"/>
        <v>3</v>
      </c>
      <c r="I30" s="1"/>
      <c r="J30" s="1">
        <f t="shared" ca="1" si="6"/>
        <v>7</v>
      </c>
      <c r="K30" s="1">
        <f t="shared" ca="1" si="7"/>
        <v>2.0214901045404412</v>
      </c>
      <c r="L30" s="1">
        <f t="shared" ca="1" si="8"/>
        <v>17</v>
      </c>
      <c r="M30" s="1"/>
      <c r="N30" s="1">
        <f t="shared" ca="1" si="9"/>
        <v>881</v>
      </c>
      <c r="O30" s="1">
        <f t="shared" ca="1" si="10"/>
        <v>4</v>
      </c>
      <c r="P30" s="1"/>
      <c r="Q30" s="1">
        <f t="shared" ca="1" si="11"/>
        <v>2.0097164047983895</v>
      </c>
      <c r="R30" s="1">
        <f t="shared" ca="1" si="12"/>
        <v>275</v>
      </c>
      <c r="S30" s="1"/>
      <c r="T30" s="1">
        <f t="shared" ca="1" si="13"/>
        <v>3.9450794693872346E-2</v>
      </c>
      <c r="U30" s="1">
        <f t="shared" ca="1" si="14"/>
        <v>337</v>
      </c>
      <c r="V30" s="1">
        <f t="shared" ca="1" si="15"/>
        <v>10</v>
      </c>
      <c r="W30" s="1"/>
      <c r="X30" s="1">
        <f t="shared" ca="1" si="16"/>
        <v>4.1316128806767312</v>
      </c>
      <c r="Y30" s="1">
        <f t="shared" ca="1" si="17"/>
        <v>0.81859458765579807</v>
      </c>
      <c r="Z30" s="1">
        <f t="shared" ca="1" si="18"/>
        <v>1577</v>
      </c>
      <c r="AB30" s="1">
        <f t="shared" ca="1" si="19"/>
        <v>9.6488740450643012E-2</v>
      </c>
      <c r="AC30" s="1">
        <f t="shared" ca="1" si="20"/>
        <v>448</v>
      </c>
      <c r="AD30" s="1">
        <f t="shared" ca="1" si="21"/>
        <v>8.1014704116885074E-3</v>
      </c>
      <c r="AE30" s="1"/>
      <c r="AF30" s="1">
        <f t="shared" ca="1" si="22"/>
        <v>0.31354254403257298</v>
      </c>
      <c r="AG30" s="1">
        <f t="shared" ca="1" si="23"/>
        <v>683</v>
      </c>
      <c r="AH30" s="1">
        <f t="shared" ca="1" si="24"/>
        <v>3.6360328096425153E-3</v>
      </c>
      <c r="AJ30" s="1">
        <f t="shared" ca="1" si="25"/>
        <v>9.5974769628228485E-2</v>
      </c>
      <c r="AK30" s="1">
        <f t="shared" ca="1" si="26"/>
        <v>7.7335286973495418E-3</v>
      </c>
      <c r="AL30" s="1"/>
      <c r="AM30" s="1">
        <f t="shared" ca="1" si="27"/>
        <v>0.15272253191681706</v>
      </c>
      <c r="AN30" s="1">
        <f t="shared" ca="1" si="28"/>
        <v>40</v>
      </c>
      <c r="AO30" s="1">
        <f t="shared" ca="1" si="29"/>
        <v>0</v>
      </c>
      <c r="AQ30" s="1">
        <f t="shared" ca="1" si="30"/>
        <v>118</v>
      </c>
      <c r="AR30" s="1">
        <f t="shared" ca="1" si="31"/>
        <v>1</v>
      </c>
      <c r="AS30" s="1">
        <f t="shared" ca="1" si="32"/>
        <v>9</v>
      </c>
      <c r="AU30" s="1">
        <f t="shared" ca="1" si="33"/>
        <v>151</v>
      </c>
      <c r="AV30" s="1">
        <f t="shared" ca="1" si="34"/>
        <v>10</v>
      </c>
      <c r="AW30" s="1">
        <f t="shared" ca="1" si="35"/>
        <v>1.069765694341762E-2</v>
      </c>
      <c r="AY30" s="1">
        <f t="shared" ca="1" si="36"/>
        <v>1.8050221947700915</v>
      </c>
      <c r="AZ30" s="1">
        <f t="shared" ca="1" si="37"/>
        <v>356</v>
      </c>
      <c r="BA30" s="1">
        <f t="shared" ca="1" si="38"/>
        <v>8.7130393333339565E-3</v>
      </c>
      <c r="BG30" s="1">
        <f t="shared" ca="1" si="39"/>
        <v>0.1305024905889163</v>
      </c>
      <c r="BH30" s="1">
        <f t="shared" ca="1" si="40"/>
        <v>0.54645428441531163</v>
      </c>
      <c r="BI30" s="1">
        <f t="shared" ca="1" si="41"/>
        <v>366</v>
      </c>
      <c r="BV30" s="1">
        <f t="shared" ca="1" si="42"/>
        <v>0.96218560397438302</v>
      </c>
      <c r="BW30" s="1">
        <f t="shared" ca="1" si="43"/>
        <v>198</v>
      </c>
      <c r="BX30" s="1">
        <f t="shared" ca="1" si="44"/>
        <v>3.1827795733244419E-3</v>
      </c>
      <c r="BY30" s="1">
        <f t="shared" ca="1" si="45"/>
        <v>4.3877506840367571E-2</v>
      </c>
      <c r="BZ30" s="1">
        <f t="shared" ca="1" si="46"/>
        <v>0.92230343997627562</v>
      </c>
      <c r="CB30" s="1">
        <f t="shared" ca="1" si="47"/>
        <v>455</v>
      </c>
      <c r="CC30" s="1">
        <f t="shared" ca="1" si="48"/>
        <v>12</v>
      </c>
      <c r="CD30" s="1">
        <f t="shared" ca="1" si="49"/>
        <v>0.19886123495241431</v>
      </c>
      <c r="CE30" s="1">
        <f t="shared" ca="1" si="50"/>
        <v>0.94668311079581513</v>
      </c>
      <c r="CF30" s="1">
        <f t="shared" ca="1" si="50"/>
        <v>0.80446492651344848</v>
      </c>
      <c r="CH30" s="3">
        <f t="shared" ca="1" si="51"/>
        <v>0.33719473340763334</v>
      </c>
      <c r="CI30" s="3">
        <f t="shared" ca="1" si="52"/>
        <v>0.58135133175713349</v>
      </c>
      <c r="CJ30" s="3">
        <f t="shared" ca="1" si="53"/>
        <v>220</v>
      </c>
      <c r="CK30" s="3">
        <f t="shared" ca="1" si="54"/>
        <v>7.9346755632052311E-3</v>
      </c>
      <c r="CL30" s="3">
        <f t="shared" ca="1" si="55"/>
        <v>0</v>
      </c>
      <c r="CM30" s="3"/>
      <c r="CN30" s="1">
        <f t="shared" ca="1" si="56"/>
        <v>13.074569151083907</v>
      </c>
      <c r="CO30" s="1">
        <f t="shared" ca="1" si="57"/>
        <v>7.6291028663578425E-2</v>
      </c>
      <c r="CP30" s="1">
        <f t="shared" ca="1" si="58"/>
        <v>1</v>
      </c>
      <c r="DH30" s="1">
        <f t="shared" ca="1" si="59"/>
        <v>745</v>
      </c>
      <c r="DI30" s="1">
        <f t="shared" ca="1" si="60"/>
        <v>0.23377355109259845</v>
      </c>
      <c r="DJ30" s="1">
        <f t="shared" ca="1" si="61"/>
        <v>11</v>
      </c>
      <c r="DL30" s="1">
        <f t="shared" ca="1" si="62"/>
        <v>1.7937777382465485E-2</v>
      </c>
      <c r="DM30" s="1">
        <f t="shared" ca="1" si="63"/>
        <v>234</v>
      </c>
      <c r="DN30" s="1">
        <f t="shared" ca="1" si="64"/>
        <v>1</v>
      </c>
    </row>
    <row r="31" spans="2:118" x14ac:dyDescent="0.25">
      <c r="B31">
        <f t="shared" ca="1" si="0"/>
        <v>474</v>
      </c>
      <c r="C31">
        <f t="shared" ca="1" si="1"/>
        <v>15</v>
      </c>
      <c r="D31">
        <f t="shared" ca="1" si="2"/>
        <v>0.28951723038049654</v>
      </c>
      <c r="F31" s="1">
        <f t="shared" ca="1" si="3"/>
        <v>21</v>
      </c>
      <c r="G31" s="1">
        <f t="shared" ca="1" si="4"/>
        <v>14</v>
      </c>
      <c r="H31" s="1">
        <f t="shared" ca="1" si="5"/>
        <v>2</v>
      </c>
      <c r="I31" s="1"/>
      <c r="J31" s="1">
        <f t="shared" ca="1" si="6"/>
        <v>14</v>
      </c>
      <c r="K31" s="1">
        <f t="shared" ca="1" si="7"/>
        <v>1.7938158225253902</v>
      </c>
      <c r="L31" s="1">
        <f t="shared" ca="1" si="8"/>
        <v>6</v>
      </c>
      <c r="M31" s="1"/>
      <c r="N31" s="1">
        <f t="shared" ca="1" si="9"/>
        <v>550</v>
      </c>
      <c r="O31" s="1">
        <f t="shared" ca="1" si="10"/>
        <v>30</v>
      </c>
      <c r="P31" s="1"/>
      <c r="Q31" s="1">
        <f t="shared" ca="1" si="11"/>
        <v>2.6969685721719032</v>
      </c>
      <c r="R31" s="1">
        <f t="shared" ca="1" si="12"/>
        <v>719</v>
      </c>
      <c r="S31" s="1"/>
      <c r="T31" s="1">
        <f t="shared" ca="1" si="13"/>
        <v>6.4028195447320288E-2</v>
      </c>
      <c r="U31" s="1">
        <f t="shared" ca="1" si="14"/>
        <v>325</v>
      </c>
      <c r="V31" s="1">
        <f t="shared" ca="1" si="15"/>
        <v>9</v>
      </c>
      <c r="W31" s="1"/>
      <c r="X31" s="1">
        <f t="shared" ca="1" si="16"/>
        <v>2.772102807559047</v>
      </c>
      <c r="Y31" s="1">
        <f t="shared" ca="1" si="17"/>
        <v>0.22431526531091045</v>
      </c>
      <c r="Z31" s="1">
        <f t="shared" ca="1" si="18"/>
        <v>439</v>
      </c>
      <c r="AB31" s="1">
        <f t="shared" ca="1" si="19"/>
        <v>0.42457846522749676</v>
      </c>
      <c r="AC31" s="1">
        <f t="shared" ca="1" si="20"/>
        <v>755</v>
      </c>
      <c r="AD31" s="1">
        <f t="shared" ca="1" si="21"/>
        <v>8.3255249473444971E-3</v>
      </c>
      <c r="AE31" s="1"/>
      <c r="AF31" s="1">
        <f t="shared" ca="1" si="22"/>
        <v>0.8828560627572547</v>
      </c>
      <c r="AG31" s="1">
        <f t="shared" ca="1" si="23"/>
        <v>502</v>
      </c>
      <c r="AH31" s="1">
        <f t="shared" ca="1" si="24"/>
        <v>6.341250746764531E-3</v>
      </c>
      <c r="AJ31" s="1">
        <f t="shared" ca="1" si="25"/>
        <v>0.54455808038892795</v>
      </c>
      <c r="AK31" s="1">
        <f t="shared" ca="1" si="26"/>
        <v>2.5620676257380433E-3</v>
      </c>
      <c r="AL31" s="1"/>
      <c r="AM31" s="1">
        <f t="shared" ca="1" si="27"/>
        <v>0.14805664463771293</v>
      </c>
      <c r="AN31" s="1">
        <f t="shared" ca="1" si="28"/>
        <v>73</v>
      </c>
      <c r="AO31" s="1">
        <f t="shared" ca="1" si="29"/>
        <v>17</v>
      </c>
      <c r="AQ31" s="1">
        <f t="shared" ca="1" si="30"/>
        <v>193</v>
      </c>
      <c r="AR31" s="1">
        <f t="shared" ca="1" si="31"/>
        <v>4</v>
      </c>
      <c r="AS31" s="1">
        <f t="shared" ca="1" si="32"/>
        <v>43</v>
      </c>
      <c r="AU31" s="1">
        <f t="shared" ca="1" si="33"/>
        <v>137</v>
      </c>
      <c r="AV31" s="1">
        <f t="shared" ca="1" si="34"/>
        <v>2</v>
      </c>
      <c r="AW31" s="1">
        <f t="shared" ca="1" si="35"/>
        <v>6.9894049372672157E-2</v>
      </c>
      <c r="AY31" s="1">
        <f t="shared" ca="1" si="36"/>
        <v>1.5530475366666463</v>
      </c>
      <c r="AZ31" s="1">
        <f t="shared" ca="1" si="37"/>
        <v>408</v>
      </c>
      <c r="BA31" s="1">
        <f t="shared" ca="1" si="38"/>
        <v>8.9745707012603062E-3</v>
      </c>
      <c r="BG31" s="1">
        <f t="shared" ca="1" si="39"/>
        <v>0.75015260186029031</v>
      </c>
      <c r="BH31" s="1">
        <f t="shared" ca="1" si="40"/>
        <v>0.22011817702219028</v>
      </c>
      <c r="BI31" s="1">
        <f t="shared" ca="1" si="41"/>
        <v>275</v>
      </c>
      <c r="BV31" s="1">
        <f t="shared" ca="1" si="42"/>
        <v>0.25271529468900317</v>
      </c>
      <c r="BW31" s="1">
        <f t="shared" ca="1" si="43"/>
        <v>362</v>
      </c>
      <c r="BX31" s="1">
        <f t="shared" ca="1" si="44"/>
        <v>3.5982840764469445E-3</v>
      </c>
      <c r="BY31" s="1">
        <f t="shared" ca="1" si="45"/>
        <v>9.3510870770604729E-2</v>
      </c>
      <c r="BZ31" s="1">
        <f t="shared" ca="1" si="46"/>
        <v>0.45697149969212125</v>
      </c>
      <c r="CB31" s="1">
        <f t="shared" ca="1" si="47"/>
        <v>112</v>
      </c>
      <c r="CC31" s="1">
        <f t="shared" ca="1" si="48"/>
        <v>3</v>
      </c>
      <c r="CD31" s="1">
        <f t="shared" ca="1" si="49"/>
        <v>5.9003497809636589E-2</v>
      </c>
      <c r="CE31" s="1">
        <f t="shared" ca="1" si="50"/>
        <v>0.90765398734985769</v>
      </c>
      <c r="CF31" s="1">
        <f t="shared" ca="1" si="50"/>
        <v>0.80203975982371989</v>
      </c>
      <c r="CH31" s="3">
        <f t="shared" ca="1" si="51"/>
        <v>0.27661516313068912</v>
      </c>
      <c r="CI31" s="3">
        <f t="shared" ca="1" si="52"/>
        <v>0.90210937807753877</v>
      </c>
      <c r="CJ31" s="3">
        <f t="shared" ca="1" si="53"/>
        <v>226</v>
      </c>
      <c r="CK31" s="3">
        <f t="shared" ca="1" si="54"/>
        <v>2.5500785092245264E-4</v>
      </c>
      <c r="CL31" s="3">
        <f t="shared" ca="1" si="55"/>
        <v>1</v>
      </c>
      <c r="CM31" s="3"/>
      <c r="CN31" s="1">
        <f t="shared" ca="1" si="56"/>
        <v>7.994979569884948</v>
      </c>
      <c r="CO31" s="1">
        <f t="shared" ca="1" si="57"/>
        <v>0.19984461262638534</v>
      </c>
      <c r="CP31" s="1">
        <f t="shared" ca="1" si="58"/>
        <v>2</v>
      </c>
      <c r="DH31" s="1">
        <f t="shared" ca="1" si="59"/>
        <v>716</v>
      </c>
      <c r="DI31" s="1">
        <f t="shared" ca="1" si="60"/>
        <v>0.82378426329660204</v>
      </c>
      <c r="DJ31" s="1">
        <f t="shared" ca="1" si="61"/>
        <v>23</v>
      </c>
      <c r="DL31" s="1">
        <f t="shared" ca="1" si="62"/>
        <v>0.13084044076625001</v>
      </c>
      <c r="DM31" s="1">
        <f t="shared" ca="1" si="63"/>
        <v>108</v>
      </c>
      <c r="DN31" s="1">
        <f t="shared" ca="1" si="64"/>
        <v>3</v>
      </c>
    </row>
    <row r="32" spans="2:118" x14ac:dyDescent="0.25">
      <c r="B32">
        <f t="shared" ca="1" si="0"/>
        <v>935</v>
      </c>
      <c r="C32">
        <f t="shared" ca="1" si="1"/>
        <v>31</v>
      </c>
      <c r="D32">
        <f t="shared" ca="1" si="2"/>
        <v>0.26276743044188711</v>
      </c>
      <c r="F32" s="1">
        <f t="shared" ca="1" si="3"/>
        <v>17</v>
      </c>
      <c r="G32" s="1">
        <f t="shared" ca="1" si="4"/>
        <v>24</v>
      </c>
      <c r="H32" s="1">
        <f t="shared" ca="1" si="5"/>
        <v>12</v>
      </c>
      <c r="I32" s="1"/>
      <c r="J32" s="1">
        <f t="shared" ca="1" si="6"/>
        <v>39</v>
      </c>
      <c r="K32" s="1">
        <f t="shared" ca="1" si="7"/>
        <v>2.8296370722152178</v>
      </c>
      <c r="L32" s="1">
        <f t="shared" ca="1" si="8"/>
        <v>12</v>
      </c>
      <c r="M32" s="1"/>
      <c r="N32" s="1">
        <f t="shared" ca="1" si="9"/>
        <v>716</v>
      </c>
      <c r="O32" s="1">
        <f t="shared" ca="1" si="10"/>
        <v>28</v>
      </c>
      <c r="P32" s="1"/>
      <c r="Q32" s="1">
        <f t="shared" ca="1" si="11"/>
        <v>3.9272614276815694</v>
      </c>
      <c r="R32" s="1">
        <f t="shared" ca="1" si="12"/>
        <v>1177</v>
      </c>
      <c r="S32" s="1"/>
      <c r="T32" s="1">
        <f t="shared" ca="1" si="13"/>
        <v>0.17329348674078979</v>
      </c>
      <c r="U32" s="1">
        <f t="shared" ca="1" si="14"/>
        <v>423</v>
      </c>
      <c r="V32" s="1">
        <f t="shared" ca="1" si="15"/>
        <v>48</v>
      </c>
      <c r="W32" s="1"/>
      <c r="X32" s="1">
        <f t="shared" ca="1" si="16"/>
        <v>0.89426529917572728</v>
      </c>
      <c r="Y32" s="1">
        <f t="shared" ca="1" si="17"/>
        <v>0.91062890226302595</v>
      </c>
      <c r="Z32" s="1">
        <f t="shared" ca="1" si="18"/>
        <v>1558</v>
      </c>
      <c r="AB32" s="1">
        <f t="shared" ca="1" si="19"/>
        <v>0.50323679098964291</v>
      </c>
      <c r="AC32" s="1">
        <f t="shared" ca="1" si="20"/>
        <v>933</v>
      </c>
      <c r="AD32" s="1">
        <f t="shared" ca="1" si="21"/>
        <v>7.6246534994422474E-3</v>
      </c>
      <c r="AE32" s="1"/>
      <c r="AF32" s="1">
        <f t="shared" ca="1" si="22"/>
        <v>0.23929499226781356</v>
      </c>
      <c r="AG32" s="1">
        <f t="shared" ca="1" si="23"/>
        <v>224</v>
      </c>
      <c r="AH32" s="1">
        <f t="shared" ca="1" si="24"/>
        <v>3.2974115689640335E-3</v>
      </c>
      <c r="AJ32" s="1">
        <f t="shared" ca="1" si="25"/>
        <v>0.59382260291432953</v>
      </c>
      <c r="AK32" s="1">
        <f t="shared" ca="1" si="26"/>
        <v>9.9744445548177046E-3</v>
      </c>
      <c r="AL32" s="1"/>
      <c r="AM32" s="1">
        <f t="shared" ca="1" si="27"/>
        <v>0.13549155086680284</v>
      </c>
      <c r="AN32" s="1">
        <f t="shared" ca="1" si="28"/>
        <v>48</v>
      </c>
      <c r="AO32" s="1">
        <f t="shared" ca="1" si="29"/>
        <v>5</v>
      </c>
      <c r="AQ32" s="1">
        <f t="shared" ca="1" si="30"/>
        <v>86</v>
      </c>
      <c r="AR32" s="1">
        <f t="shared" ca="1" si="31"/>
        <v>9</v>
      </c>
      <c r="AS32" s="1">
        <f t="shared" ca="1" si="32"/>
        <v>63</v>
      </c>
      <c r="AU32" s="1">
        <f t="shared" ca="1" si="33"/>
        <v>225</v>
      </c>
      <c r="AV32" s="1">
        <f t="shared" ca="1" si="34"/>
        <v>6</v>
      </c>
      <c r="AW32" s="1">
        <f t="shared" ca="1" si="35"/>
        <v>1.4133191265065532E-2</v>
      </c>
      <c r="AY32" s="1">
        <f t="shared" ca="1" si="36"/>
        <v>1.7176657567036764</v>
      </c>
      <c r="AZ32" s="1">
        <f t="shared" ca="1" si="37"/>
        <v>220</v>
      </c>
      <c r="BA32" s="1">
        <f t="shared" ca="1" si="38"/>
        <v>4.5545001956951428E-3</v>
      </c>
      <c r="BG32" s="1">
        <f t="shared" ca="1" si="39"/>
        <v>0.35441234581760994</v>
      </c>
      <c r="BH32" s="1">
        <f t="shared" ca="1" si="40"/>
        <v>0.97339717320249042</v>
      </c>
      <c r="BI32" s="1">
        <f t="shared" ca="1" si="41"/>
        <v>393</v>
      </c>
      <c r="BV32" s="1">
        <f t="shared" ca="1" si="42"/>
        <v>0.88495860943116744</v>
      </c>
      <c r="BW32" s="1">
        <f t="shared" ca="1" si="43"/>
        <v>131</v>
      </c>
      <c r="BX32" s="1">
        <f t="shared" ca="1" si="44"/>
        <v>1.0196213406676034E-3</v>
      </c>
      <c r="BY32" s="1">
        <f t="shared" ca="1" si="45"/>
        <v>5.3852253941974147E-2</v>
      </c>
      <c r="BZ32" s="1">
        <f t="shared" ca="1" si="46"/>
        <v>0.6481998623153381</v>
      </c>
      <c r="CB32" s="1">
        <f t="shared" ca="1" si="47"/>
        <v>255</v>
      </c>
      <c r="CC32" s="1">
        <f t="shared" ca="1" si="48"/>
        <v>5</v>
      </c>
      <c r="CD32" s="1">
        <f t="shared" ca="1" si="49"/>
        <v>0.101631070521966</v>
      </c>
      <c r="CE32" s="1">
        <f t="shared" ca="1" si="50"/>
        <v>0.74710943704403976</v>
      </c>
      <c r="CF32" s="1">
        <f t="shared" ca="1" si="50"/>
        <v>0.84846758528277832</v>
      </c>
      <c r="CH32" s="3">
        <f t="shared" ca="1" si="51"/>
        <v>0.19237901412642297</v>
      </c>
      <c r="CI32" s="3">
        <f t="shared" ca="1" si="52"/>
        <v>0.28601247936574853</v>
      </c>
      <c r="CJ32" s="3">
        <f t="shared" ca="1" si="53"/>
        <v>1766</v>
      </c>
      <c r="CK32" s="3">
        <f t="shared" ca="1" si="54"/>
        <v>1.4950312482521133E-3</v>
      </c>
      <c r="CL32" s="3">
        <f t="shared" ca="1" si="55"/>
        <v>1</v>
      </c>
      <c r="CM32" s="3"/>
      <c r="CN32" s="1">
        <f t="shared" ca="1" si="56"/>
        <v>14.019384709377087</v>
      </c>
      <c r="CO32" s="1">
        <f t="shared" ca="1" si="57"/>
        <v>0.30467504603155604</v>
      </c>
      <c r="CP32" s="1">
        <f t="shared" ca="1" si="58"/>
        <v>4</v>
      </c>
      <c r="DH32" s="1">
        <f t="shared" ca="1" si="59"/>
        <v>361</v>
      </c>
      <c r="DI32" s="1">
        <f t="shared" ca="1" si="60"/>
        <v>0.99804331260352375</v>
      </c>
      <c r="DJ32" s="1">
        <f t="shared" ca="1" si="61"/>
        <v>4</v>
      </c>
      <c r="DL32" s="1">
        <f t="shared" ca="1" si="62"/>
        <v>0.11235976566826107</v>
      </c>
      <c r="DM32" s="1">
        <f t="shared" ca="1" si="63"/>
        <v>267</v>
      </c>
      <c r="DN32" s="1">
        <f t="shared" ca="1" si="64"/>
        <v>7</v>
      </c>
    </row>
    <row r="33" spans="2:118" x14ac:dyDescent="0.25">
      <c r="B33">
        <f t="shared" ca="1" si="0"/>
        <v>978</v>
      </c>
      <c r="C33">
        <f t="shared" ca="1" si="1"/>
        <v>37</v>
      </c>
      <c r="D33">
        <f t="shared" ca="1" si="2"/>
        <v>0.16101416610278552</v>
      </c>
      <c r="F33" s="1">
        <f t="shared" ca="1" si="3"/>
        <v>45</v>
      </c>
      <c r="G33" s="1">
        <f t="shared" ca="1" si="4"/>
        <v>5</v>
      </c>
      <c r="H33" s="1">
        <f t="shared" ca="1" si="5"/>
        <v>4</v>
      </c>
      <c r="I33" s="1"/>
      <c r="J33" s="1">
        <f t="shared" ca="1" si="6"/>
        <v>35</v>
      </c>
      <c r="K33" s="1">
        <f t="shared" ca="1" si="7"/>
        <v>1.4770266314334046</v>
      </c>
      <c r="L33" s="1">
        <f t="shared" ca="1" si="8"/>
        <v>16</v>
      </c>
      <c r="M33" s="1"/>
      <c r="N33" s="1">
        <f t="shared" ca="1" si="9"/>
        <v>352</v>
      </c>
      <c r="O33" s="1">
        <f t="shared" ca="1" si="10"/>
        <v>19</v>
      </c>
      <c r="P33" s="1"/>
      <c r="Q33" s="1">
        <f t="shared" ca="1" si="11"/>
        <v>4.6408723195039476</v>
      </c>
      <c r="R33" s="1">
        <f t="shared" ca="1" si="12"/>
        <v>243</v>
      </c>
      <c r="S33" s="1"/>
      <c r="T33" s="1">
        <f t="shared" ca="1" si="13"/>
        <v>2.2232692791896075E-2</v>
      </c>
      <c r="U33" s="1">
        <f t="shared" ca="1" si="14"/>
        <v>153</v>
      </c>
      <c r="V33" s="1">
        <f t="shared" ca="1" si="15"/>
        <v>31</v>
      </c>
      <c r="W33" s="1"/>
      <c r="X33" s="1">
        <f t="shared" ca="1" si="16"/>
        <v>8.4367932624256472</v>
      </c>
      <c r="Y33" s="1">
        <f t="shared" ca="1" si="17"/>
        <v>0.98420813384596384</v>
      </c>
      <c r="Z33" s="1">
        <f t="shared" ca="1" si="18"/>
        <v>330</v>
      </c>
      <c r="AB33" s="1">
        <f t="shared" ca="1" si="19"/>
        <v>0.89907366988509052</v>
      </c>
      <c r="AC33" s="1">
        <f t="shared" ca="1" si="20"/>
        <v>320</v>
      </c>
      <c r="AD33" s="1">
        <f t="shared" ca="1" si="21"/>
        <v>5.048456343119445E-3</v>
      </c>
      <c r="AE33" s="1"/>
      <c r="AF33" s="1">
        <f t="shared" ca="1" si="22"/>
        <v>0.59541813332043203</v>
      </c>
      <c r="AG33" s="1">
        <f t="shared" ca="1" si="23"/>
        <v>191</v>
      </c>
      <c r="AH33" s="1">
        <f t="shared" ca="1" si="24"/>
        <v>7.2070815025634775E-3</v>
      </c>
      <c r="AJ33" s="1">
        <f t="shared" ca="1" si="25"/>
        <v>0.27868261454670762</v>
      </c>
      <c r="AK33" s="1">
        <f t="shared" ca="1" si="26"/>
        <v>7.5807068636348984E-3</v>
      </c>
      <c r="AL33" s="1"/>
      <c r="AM33" s="1">
        <f t="shared" ca="1" si="27"/>
        <v>0.1471508281952304</v>
      </c>
      <c r="AN33" s="1">
        <f t="shared" ca="1" si="28"/>
        <v>67</v>
      </c>
      <c r="AO33" s="1">
        <f t="shared" ca="1" si="29"/>
        <v>-1</v>
      </c>
      <c r="AQ33" s="1">
        <f t="shared" ca="1" si="30"/>
        <v>27</v>
      </c>
      <c r="AR33" s="1">
        <f t="shared" ca="1" si="31"/>
        <v>6</v>
      </c>
      <c r="AS33" s="1">
        <f t="shared" ca="1" si="32"/>
        <v>94</v>
      </c>
      <c r="AU33" s="1">
        <f t="shared" ca="1" si="33"/>
        <v>163</v>
      </c>
      <c r="AV33" s="1">
        <f t="shared" ca="1" si="34"/>
        <v>7</v>
      </c>
      <c r="AW33" s="1">
        <f t="shared" ca="1" si="35"/>
        <v>0.10464703240549515</v>
      </c>
      <c r="AY33" s="1">
        <f t="shared" ca="1" si="36"/>
        <v>1.2787018262699286</v>
      </c>
      <c r="AZ33" s="1">
        <f t="shared" ca="1" si="37"/>
        <v>343</v>
      </c>
      <c r="BA33" s="1">
        <f t="shared" ca="1" si="38"/>
        <v>6.8241887353849735E-4</v>
      </c>
      <c r="BG33" s="1">
        <f t="shared" ca="1" si="39"/>
        <v>0.28010309253159654</v>
      </c>
      <c r="BH33" s="1">
        <f t="shared" ca="1" si="40"/>
        <v>0.18236020452742907</v>
      </c>
      <c r="BI33" s="1">
        <f t="shared" ca="1" si="41"/>
        <v>997</v>
      </c>
      <c r="BV33" s="1">
        <f t="shared" ca="1" si="42"/>
        <v>0.99694936963689607</v>
      </c>
      <c r="BW33" s="1">
        <f t="shared" ca="1" si="43"/>
        <v>785</v>
      </c>
      <c r="BX33" s="1">
        <f t="shared" ca="1" si="44"/>
        <v>2.5668116110545199E-3</v>
      </c>
      <c r="BY33" s="1">
        <f t="shared" ca="1" si="45"/>
        <v>9.8888252170701713E-2</v>
      </c>
      <c r="BZ33" s="1">
        <f t="shared" ca="1" si="46"/>
        <v>0.86413641061976154</v>
      </c>
      <c r="CB33" s="1">
        <f t="shared" ca="1" si="47"/>
        <v>410</v>
      </c>
      <c r="CC33" s="1">
        <f t="shared" ca="1" si="48"/>
        <v>13</v>
      </c>
      <c r="CD33" s="1">
        <f t="shared" ca="1" si="49"/>
        <v>6.3434130638378008E-2</v>
      </c>
      <c r="CE33" s="1">
        <f t="shared" ca="1" si="50"/>
        <v>0.89042254315892944</v>
      </c>
      <c r="CF33" s="1">
        <f t="shared" ca="1" si="50"/>
        <v>0.92486259228574741</v>
      </c>
      <c r="CH33" s="3">
        <f t="shared" ca="1" si="51"/>
        <v>0.55929879556197515</v>
      </c>
      <c r="CI33" s="3">
        <f t="shared" ca="1" si="52"/>
        <v>0.66097339867504945</v>
      </c>
      <c r="CJ33" s="3">
        <f t="shared" ca="1" si="53"/>
        <v>709</v>
      </c>
      <c r="CK33" s="3">
        <f t="shared" ca="1" si="54"/>
        <v>2.2909580577554141E-4</v>
      </c>
      <c r="CL33" s="3">
        <f t="shared" ca="1" si="55"/>
        <v>0</v>
      </c>
      <c r="CM33" s="3"/>
      <c r="CN33" s="1">
        <f t="shared" ca="1" si="56"/>
        <v>15.274612522293426</v>
      </c>
      <c r="CO33" s="1">
        <f t="shared" ca="1" si="57"/>
        <v>0.31061045989224112</v>
      </c>
      <c r="CP33" s="1">
        <f t="shared" ca="1" si="58"/>
        <v>1</v>
      </c>
      <c r="DH33" s="1">
        <f t="shared" ca="1" si="59"/>
        <v>736</v>
      </c>
      <c r="DI33" s="1">
        <f t="shared" ca="1" si="60"/>
        <v>0.29419877568552344</v>
      </c>
      <c r="DJ33" s="1">
        <f t="shared" ca="1" si="61"/>
        <v>15</v>
      </c>
      <c r="DL33" s="1">
        <f t="shared" ca="1" si="62"/>
        <v>0.10889060214251002</v>
      </c>
      <c r="DM33" s="1">
        <f t="shared" ca="1" si="63"/>
        <v>133</v>
      </c>
      <c r="DN33" s="1">
        <f t="shared" ca="1" si="64"/>
        <v>9</v>
      </c>
    </row>
    <row r="34" spans="2:118" x14ac:dyDescent="0.25">
      <c r="B34">
        <f t="shared" ca="1" si="0"/>
        <v>259</v>
      </c>
      <c r="C34">
        <f t="shared" ca="1" si="1"/>
        <v>10</v>
      </c>
      <c r="D34">
        <f t="shared" ca="1" si="2"/>
        <v>3.3546034823441144E-2</v>
      </c>
      <c r="F34" s="1">
        <f t="shared" ca="1" si="3"/>
        <v>30</v>
      </c>
      <c r="G34" s="1">
        <f t="shared" ca="1" si="4"/>
        <v>30</v>
      </c>
      <c r="H34" s="1">
        <f t="shared" ca="1" si="5"/>
        <v>11</v>
      </c>
      <c r="I34" s="1"/>
      <c r="J34" s="1">
        <f t="shared" ca="1" si="6"/>
        <v>13</v>
      </c>
      <c r="K34" s="1">
        <f t="shared" ca="1" si="7"/>
        <v>2.6892527475088359</v>
      </c>
      <c r="L34" s="1">
        <f t="shared" ca="1" si="8"/>
        <v>16</v>
      </c>
      <c r="M34" s="1"/>
      <c r="N34" s="1">
        <f t="shared" ca="1" si="9"/>
        <v>550</v>
      </c>
      <c r="O34" s="1">
        <f t="shared" ca="1" si="10"/>
        <v>6</v>
      </c>
      <c r="P34" s="1"/>
      <c r="Q34" s="1">
        <f t="shared" ca="1" si="11"/>
        <v>2.5949664027031392</v>
      </c>
      <c r="R34" s="1">
        <f t="shared" ca="1" si="12"/>
        <v>433</v>
      </c>
      <c r="S34" s="1"/>
      <c r="T34" s="1">
        <f t="shared" ca="1" si="13"/>
        <v>9.5775569822889289E-2</v>
      </c>
      <c r="U34" s="1">
        <f t="shared" ca="1" si="14"/>
        <v>227</v>
      </c>
      <c r="V34" s="1">
        <f t="shared" ca="1" si="15"/>
        <v>35</v>
      </c>
      <c r="W34" s="1"/>
      <c r="X34" s="1">
        <f t="shared" ca="1" si="16"/>
        <v>1.5580847287802206</v>
      </c>
      <c r="Y34" s="1">
        <f t="shared" ca="1" si="17"/>
        <v>0.59267262769869111</v>
      </c>
      <c r="Z34" s="1">
        <f t="shared" ca="1" si="18"/>
        <v>157</v>
      </c>
      <c r="AB34" s="1">
        <f t="shared" ca="1" si="19"/>
        <v>0.50437367097338004</v>
      </c>
      <c r="AC34" s="1">
        <f t="shared" ca="1" si="20"/>
        <v>687</v>
      </c>
      <c r="AD34" s="1">
        <f t="shared" ca="1" si="21"/>
        <v>7.7266936045998699E-3</v>
      </c>
      <c r="AE34" s="1"/>
      <c r="AF34" s="1">
        <f t="shared" ca="1" si="22"/>
        <v>0.84939866247810414</v>
      </c>
      <c r="AG34" s="1">
        <f t="shared" ca="1" si="23"/>
        <v>279</v>
      </c>
      <c r="AH34" s="1">
        <f t="shared" ca="1" si="24"/>
        <v>5.4128153472938192E-3</v>
      </c>
      <c r="AJ34" s="1">
        <f t="shared" ca="1" si="25"/>
        <v>0.18038935014640733</v>
      </c>
      <c r="AK34" s="1">
        <f t="shared" ca="1" si="26"/>
        <v>5.7435975247174106E-3</v>
      </c>
      <c r="AL34" s="1"/>
      <c r="AM34" s="1">
        <f t="shared" ca="1" si="27"/>
        <v>0.10911149283886144</v>
      </c>
      <c r="AN34" s="1">
        <f t="shared" ca="1" si="28"/>
        <v>12</v>
      </c>
      <c r="AO34" s="1">
        <f t="shared" ca="1" si="29"/>
        <v>9</v>
      </c>
      <c r="AQ34" s="1">
        <f t="shared" ca="1" si="30"/>
        <v>37</v>
      </c>
      <c r="AR34" s="1">
        <f t="shared" ca="1" si="31"/>
        <v>3</v>
      </c>
      <c r="AS34" s="1">
        <f t="shared" ca="1" si="32"/>
        <v>73</v>
      </c>
      <c r="AU34" s="1">
        <f t="shared" ca="1" si="33"/>
        <v>80</v>
      </c>
      <c r="AV34" s="1">
        <f t="shared" ca="1" si="34"/>
        <v>7</v>
      </c>
      <c r="AW34" s="1">
        <f t="shared" ca="1" si="35"/>
        <v>0.19915203228175696</v>
      </c>
      <c r="AY34" s="1">
        <f t="shared" ca="1" si="36"/>
        <v>1.2416015151332325</v>
      </c>
      <c r="AZ34" s="1">
        <f t="shared" ca="1" si="37"/>
        <v>364</v>
      </c>
      <c r="BA34" s="1">
        <f t="shared" ca="1" si="38"/>
        <v>9.7373625406343989E-4</v>
      </c>
      <c r="BG34" s="1">
        <f t="shared" ca="1" si="39"/>
        <v>0.45181336630347174</v>
      </c>
      <c r="BH34" s="1">
        <f t="shared" ca="1" si="40"/>
        <v>0.99974333802393245</v>
      </c>
      <c r="BI34" s="1">
        <f t="shared" ca="1" si="41"/>
        <v>494</v>
      </c>
      <c r="BV34" s="1">
        <f t="shared" ca="1" si="42"/>
        <v>0.25054471120745053</v>
      </c>
      <c r="BW34" s="1">
        <f t="shared" ca="1" si="43"/>
        <v>494</v>
      </c>
      <c r="BX34" s="1">
        <f t="shared" ca="1" si="44"/>
        <v>7.9563284025558883E-3</v>
      </c>
      <c r="BY34" s="1">
        <f t="shared" ca="1" si="45"/>
        <v>2.6679564807534752E-3</v>
      </c>
      <c r="BZ34" s="1">
        <f t="shared" ca="1" si="46"/>
        <v>0.19947289557817494</v>
      </c>
      <c r="CB34" s="1">
        <f t="shared" ca="1" si="47"/>
        <v>339</v>
      </c>
      <c r="CC34" s="1">
        <f t="shared" ca="1" si="48"/>
        <v>6</v>
      </c>
      <c r="CD34" s="1">
        <f t="shared" ca="1" si="49"/>
        <v>0.13951239525519524</v>
      </c>
      <c r="CE34" s="1">
        <f t="shared" ca="1" si="50"/>
        <v>0.88272290970743206</v>
      </c>
      <c r="CF34" s="1">
        <f t="shared" ca="1" si="50"/>
        <v>0.88721877814767769</v>
      </c>
      <c r="CH34" s="3">
        <f t="shared" ca="1" si="51"/>
        <v>0.4629676892748264</v>
      </c>
      <c r="CI34" s="3">
        <f t="shared" ca="1" si="52"/>
        <v>0.88968423374779382</v>
      </c>
      <c r="CJ34" s="3">
        <f t="shared" ca="1" si="53"/>
        <v>1459</v>
      </c>
      <c r="CK34" s="3">
        <f t="shared" ca="1" si="54"/>
        <v>9.5259458133249084E-3</v>
      </c>
      <c r="CL34" s="3">
        <f t="shared" ca="1" si="55"/>
        <v>1</v>
      </c>
      <c r="CM34" s="3"/>
      <c r="CN34" s="1">
        <f t="shared" ca="1" si="56"/>
        <v>4.0388613206954798</v>
      </c>
      <c r="CO34" s="1">
        <f t="shared" ca="1" si="57"/>
        <v>0.29240773672763332</v>
      </c>
      <c r="CP34" s="1">
        <f t="shared" ca="1" si="58"/>
        <v>1</v>
      </c>
      <c r="DH34" s="1">
        <f t="shared" ca="1" si="59"/>
        <v>465</v>
      </c>
      <c r="DI34" s="1">
        <f t="shared" ca="1" si="60"/>
        <v>0.50337479868591073</v>
      </c>
      <c r="DJ34" s="1">
        <f t="shared" ca="1" si="61"/>
        <v>29</v>
      </c>
      <c r="DL34" s="1">
        <f t="shared" ca="1" si="62"/>
        <v>2.5485125633059789E-2</v>
      </c>
      <c r="DM34" s="1">
        <f t="shared" ca="1" si="63"/>
        <v>192</v>
      </c>
      <c r="DN34" s="1">
        <f t="shared" ca="1" si="64"/>
        <v>9</v>
      </c>
    </row>
    <row r="35" spans="2:118" x14ac:dyDescent="0.25">
      <c r="B35">
        <f t="shared" ca="1" si="0"/>
        <v>473</v>
      </c>
      <c r="C35">
        <f t="shared" ca="1" si="1"/>
        <v>24</v>
      </c>
      <c r="D35">
        <f t="shared" ca="1" si="2"/>
        <v>0.26934183479780971</v>
      </c>
      <c r="F35" s="1">
        <f t="shared" ca="1" si="3"/>
        <v>51</v>
      </c>
      <c r="G35" s="1">
        <f t="shared" ca="1" si="4"/>
        <v>6</v>
      </c>
      <c r="H35" s="1">
        <f t="shared" ca="1" si="5"/>
        <v>12</v>
      </c>
      <c r="I35" s="1"/>
      <c r="J35" s="1">
        <f t="shared" ca="1" si="6"/>
        <v>29</v>
      </c>
      <c r="K35" s="1">
        <f t="shared" ca="1" si="7"/>
        <v>1.8623531168551131</v>
      </c>
      <c r="L35" s="1">
        <f t="shared" ca="1" si="8"/>
        <v>10</v>
      </c>
      <c r="M35" s="1"/>
      <c r="N35" s="1">
        <f t="shared" ca="1" si="9"/>
        <v>337</v>
      </c>
      <c r="O35" s="1">
        <f t="shared" ca="1" si="10"/>
        <v>21</v>
      </c>
      <c r="P35" s="1"/>
      <c r="Q35" s="1">
        <f t="shared" ca="1" si="11"/>
        <v>1.0556195011780631</v>
      </c>
      <c r="R35" s="1">
        <f t="shared" ca="1" si="12"/>
        <v>360</v>
      </c>
      <c r="S35" s="1"/>
      <c r="T35" s="1">
        <f t="shared" ca="1" si="13"/>
        <v>5.9953504532547088E-2</v>
      </c>
      <c r="U35" s="1">
        <f t="shared" ca="1" si="14"/>
        <v>360</v>
      </c>
      <c r="V35" s="1">
        <f t="shared" ca="1" si="15"/>
        <v>15</v>
      </c>
      <c r="W35" s="1"/>
      <c r="X35" s="1">
        <f t="shared" ca="1" si="16"/>
        <v>2.7199466820930609</v>
      </c>
      <c r="Y35" s="1">
        <f t="shared" ca="1" si="17"/>
        <v>0.12963986646907646</v>
      </c>
      <c r="Z35" s="1">
        <f t="shared" ca="1" si="18"/>
        <v>1165</v>
      </c>
      <c r="AB35" s="1">
        <f t="shared" ca="1" si="19"/>
        <v>0.32165106049464742</v>
      </c>
      <c r="AC35" s="1">
        <f t="shared" ca="1" si="20"/>
        <v>109</v>
      </c>
      <c r="AD35" s="1">
        <f t="shared" ca="1" si="21"/>
        <v>5.4882177908029258E-3</v>
      </c>
      <c r="AE35" s="1"/>
      <c r="AF35" s="1">
        <f t="shared" ca="1" si="22"/>
        <v>0.75819056669327312</v>
      </c>
      <c r="AG35" s="1">
        <f t="shared" ca="1" si="23"/>
        <v>203</v>
      </c>
      <c r="AH35" s="1">
        <f t="shared" ca="1" si="24"/>
        <v>7.1557488697741498E-4</v>
      </c>
      <c r="AJ35" s="1">
        <f t="shared" ca="1" si="25"/>
        <v>0.79725324529908059</v>
      </c>
      <c r="AK35" s="1">
        <f t="shared" ca="1" si="26"/>
        <v>2.8868009906341716E-3</v>
      </c>
      <c r="AL35" s="1"/>
      <c r="AM35" s="1">
        <f t="shared" ca="1" si="27"/>
        <v>8.3275379527590704E-2</v>
      </c>
      <c r="AN35" s="1">
        <f t="shared" ca="1" si="28"/>
        <v>34</v>
      </c>
      <c r="AO35" s="1">
        <f t="shared" ca="1" si="29"/>
        <v>0</v>
      </c>
      <c r="AQ35" s="1">
        <f t="shared" ca="1" si="30"/>
        <v>14</v>
      </c>
      <c r="AR35" s="1">
        <f t="shared" ca="1" si="31"/>
        <v>5</v>
      </c>
      <c r="AS35" s="1">
        <f t="shared" ca="1" si="32"/>
        <v>50</v>
      </c>
      <c r="AU35" s="1">
        <f t="shared" ca="1" si="33"/>
        <v>300</v>
      </c>
      <c r="AV35" s="1">
        <f t="shared" ca="1" si="34"/>
        <v>3</v>
      </c>
      <c r="AW35" s="1">
        <f t="shared" ca="1" si="35"/>
        <v>0.15526185621285912</v>
      </c>
      <c r="AY35" s="1">
        <f t="shared" ca="1" si="36"/>
        <v>1.6444600174712141</v>
      </c>
      <c r="AZ35" s="1">
        <f t="shared" ca="1" si="37"/>
        <v>452</v>
      </c>
      <c r="BA35" s="1">
        <f t="shared" ca="1" si="38"/>
        <v>1.2421494410170099E-3</v>
      </c>
      <c r="BG35" s="1">
        <f t="shared" ca="1" si="39"/>
        <v>0.6481988944778776</v>
      </c>
      <c r="BH35" s="1">
        <f t="shared" ca="1" si="40"/>
        <v>0.68918248783787528</v>
      </c>
      <c r="BI35" s="1">
        <f t="shared" ca="1" si="41"/>
        <v>317</v>
      </c>
      <c r="BV35" s="1">
        <f t="shared" ca="1" si="42"/>
        <v>0.70634628733486615</v>
      </c>
      <c r="BW35" s="1">
        <f t="shared" ca="1" si="43"/>
        <v>604</v>
      </c>
      <c r="BX35" s="1">
        <f t="shared" ca="1" si="44"/>
        <v>1.4683186760122303E-3</v>
      </c>
      <c r="BY35" s="1">
        <f t="shared" ca="1" si="45"/>
        <v>6.5591455318068717E-2</v>
      </c>
      <c r="BZ35" s="1">
        <f t="shared" ca="1" si="46"/>
        <v>0.85543487921596961</v>
      </c>
      <c r="CB35" s="1">
        <f t="shared" ca="1" si="47"/>
        <v>320</v>
      </c>
      <c r="CC35" s="1">
        <f t="shared" ca="1" si="48"/>
        <v>8</v>
      </c>
      <c r="CD35" s="1">
        <f t="shared" ca="1" si="49"/>
        <v>8.6601740799629456E-2</v>
      </c>
      <c r="CE35" s="1">
        <f t="shared" ca="1" si="50"/>
        <v>0.9551358295435044</v>
      </c>
      <c r="CF35" s="1">
        <f t="shared" ca="1" si="50"/>
        <v>0.73531946199931375</v>
      </c>
      <c r="CH35" s="3">
        <f t="shared" ca="1" si="51"/>
        <v>0.56475692958636081</v>
      </c>
      <c r="CI35" s="3">
        <f t="shared" ca="1" si="52"/>
        <v>0.6141665818756924</v>
      </c>
      <c r="CJ35" s="3">
        <f t="shared" ca="1" si="53"/>
        <v>1409</v>
      </c>
      <c r="CK35" s="3">
        <f t="shared" ca="1" si="54"/>
        <v>5.7626802067106226E-3</v>
      </c>
      <c r="CL35" s="3">
        <f t="shared" ca="1" si="55"/>
        <v>0</v>
      </c>
      <c r="CM35" s="3"/>
      <c r="CN35" s="1">
        <f t="shared" ca="1" si="56"/>
        <v>16.204277020130412</v>
      </c>
      <c r="CO35" s="1">
        <f t="shared" ca="1" si="57"/>
        <v>1.3417132779191567E-2</v>
      </c>
      <c r="CP35" s="1">
        <f t="shared" ca="1" si="58"/>
        <v>1</v>
      </c>
      <c r="DH35" s="1">
        <f t="shared" ca="1" si="59"/>
        <v>798</v>
      </c>
      <c r="DI35" s="1">
        <f t="shared" ca="1" si="60"/>
        <v>0.17542512257908915</v>
      </c>
      <c r="DJ35" s="1">
        <f t="shared" ca="1" si="61"/>
        <v>10</v>
      </c>
      <c r="DL35" s="1">
        <f t="shared" ca="1" si="62"/>
        <v>0.13034050026588739</v>
      </c>
      <c r="DM35" s="1">
        <f t="shared" ca="1" si="63"/>
        <v>246</v>
      </c>
      <c r="DN35" s="1">
        <f t="shared" ca="1" si="64"/>
        <v>1</v>
      </c>
    </row>
    <row r="36" spans="2:118" x14ac:dyDescent="0.25">
      <c r="B36">
        <f t="shared" ca="1" si="0"/>
        <v>911</v>
      </c>
      <c r="C36">
        <f t="shared" ca="1" si="1"/>
        <v>13</v>
      </c>
      <c r="D36">
        <f t="shared" ca="1" si="2"/>
        <v>0.19294993497084051</v>
      </c>
      <c r="F36" s="1">
        <f t="shared" ca="1" si="3"/>
        <v>43</v>
      </c>
      <c r="G36" s="1">
        <f t="shared" ca="1" si="4"/>
        <v>21</v>
      </c>
      <c r="H36" s="1">
        <f t="shared" ca="1" si="5"/>
        <v>4</v>
      </c>
      <c r="I36" s="1"/>
      <c r="J36" s="1">
        <f t="shared" ca="1" si="6"/>
        <v>25</v>
      </c>
      <c r="K36" s="1">
        <f t="shared" ca="1" si="7"/>
        <v>1.8266869017496132</v>
      </c>
      <c r="L36" s="1">
        <f t="shared" ca="1" si="8"/>
        <v>30</v>
      </c>
      <c r="M36" s="1"/>
      <c r="N36" s="1">
        <f t="shared" ca="1" si="9"/>
        <v>911</v>
      </c>
      <c r="O36" s="1">
        <f t="shared" ca="1" si="10"/>
        <v>45</v>
      </c>
      <c r="P36" s="1"/>
      <c r="Q36" s="1">
        <f t="shared" ca="1" si="11"/>
        <v>3.1078831197512122</v>
      </c>
      <c r="R36" s="1">
        <f t="shared" ca="1" si="12"/>
        <v>688</v>
      </c>
      <c r="S36" s="1"/>
      <c r="T36" s="1">
        <f t="shared" ca="1" si="13"/>
        <v>8.5169661946953454E-2</v>
      </c>
      <c r="U36" s="1">
        <f t="shared" ca="1" si="14"/>
        <v>150</v>
      </c>
      <c r="V36" s="1">
        <f t="shared" ca="1" si="15"/>
        <v>51</v>
      </c>
      <c r="W36" s="1"/>
      <c r="X36" s="1">
        <f t="shared" ca="1" si="16"/>
        <v>1.7357452377969431</v>
      </c>
      <c r="Y36" s="1">
        <f t="shared" ca="1" si="17"/>
        <v>0.85533080303689057</v>
      </c>
      <c r="Z36" s="1">
        <f t="shared" ca="1" si="18"/>
        <v>216</v>
      </c>
      <c r="AB36" s="1">
        <f t="shared" ca="1" si="19"/>
        <v>0.58553256709118728</v>
      </c>
      <c r="AC36" s="1">
        <f t="shared" ca="1" si="20"/>
        <v>972</v>
      </c>
      <c r="AD36" s="1">
        <f t="shared" ca="1" si="21"/>
        <v>2.1249202706722461E-3</v>
      </c>
      <c r="AE36" s="1"/>
      <c r="AF36" s="1">
        <f t="shared" ca="1" si="22"/>
        <v>0.10514816830560454</v>
      </c>
      <c r="AG36" s="1">
        <f t="shared" ca="1" si="23"/>
        <v>570</v>
      </c>
      <c r="AH36" s="1">
        <f t="shared" ca="1" si="24"/>
        <v>5.1305419036118301E-3</v>
      </c>
      <c r="AJ36" s="1">
        <f t="shared" ca="1" si="25"/>
        <v>0.6233977660167247</v>
      </c>
      <c r="AK36" s="1">
        <f t="shared" ca="1" si="26"/>
        <v>3.6642230858749529E-3</v>
      </c>
      <c r="AL36" s="1"/>
      <c r="AM36" s="1">
        <f t="shared" ca="1" si="27"/>
        <v>0.13648749734035057</v>
      </c>
      <c r="AN36" s="1">
        <f t="shared" ca="1" si="28"/>
        <v>31</v>
      </c>
      <c r="AO36" s="1">
        <f t="shared" ca="1" si="29"/>
        <v>14</v>
      </c>
      <c r="AQ36" s="1">
        <f t="shared" ca="1" si="30"/>
        <v>133</v>
      </c>
      <c r="AR36" s="1">
        <f t="shared" ca="1" si="31"/>
        <v>4</v>
      </c>
      <c r="AS36" s="1">
        <f t="shared" ca="1" si="32"/>
        <v>15</v>
      </c>
      <c r="AU36" s="1">
        <f t="shared" ca="1" si="33"/>
        <v>289</v>
      </c>
      <c r="AV36" s="1">
        <f t="shared" ca="1" si="34"/>
        <v>9</v>
      </c>
      <c r="AW36" s="1">
        <f t="shared" ca="1" si="35"/>
        <v>0.14156416846075953</v>
      </c>
      <c r="AY36" s="1">
        <f t="shared" ca="1" si="36"/>
        <v>1.3197033015465833</v>
      </c>
      <c r="AZ36" s="1">
        <f t="shared" ca="1" si="37"/>
        <v>262</v>
      </c>
      <c r="BA36" s="1">
        <f t="shared" ca="1" si="38"/>
        <v>2.1834974057666928E-3</v>
      </c>
      <c r="BG36" s="1">
        <f t="shared" ca="1" si="39"/>
        <v>0.16614408110687762</v>
      </c>
      <c r="BH36" s="1">
        <f t="shared" ca="1" si="40"/>
        <v>0.13091344336899624</v>
      </c>
      <c r="BI36" s="1">
        <f t="shared" ca="1" si="41"/>
        <v>666</v>
      </c>
      <c r="BV36" s="1">
        <f t="shared" ca="1" si="42"/>
        <v>0.20471674454387007</v>
      </c>
      <c r="BW36" s="1">
        <f t="shared" ca="1" si="43"/>
        <v>730</v>
      </c>
      <c r="BX36" s="1">
        <f t="shared" ca="1" si="44"/>
        <v>3.2818005943294408E-3</v>
      </c>
      <c r="BY36" s="1">
        <f t="shared" ca="1" si="45"/>
        <v>5.1968714022507696E-2</v>
      </c>
      <c r="BZ36" s="1">
        <f t="shared" ca="1" si="46"/>
        <v>0.78599321317031401</v>
      </c>
      <c r="CB36" s="1">
        <f t="shared" ca="1" si="47"/>
        <v>480</v>
      </c>
      <c r="CC36" s="1">
        <f t="shared" ca="1" si="48"/>
        <v>14</v>
      </c>
      <c r="CD36" s="1">
        <f t="shared" ca="1" si="49"/>
        <v>1.3577825220317105E-2</v>
      </c>
      <c r="CE36" s="1">
        <f t="shared" ref="CE36:CF67" ca="1" si="65">RAND()*(1-0.5)+0.5</f>
        <v>0.97715406012982364</v>
      </c>
      <c r="CF36" s="1">
        <f t="shared" ca="1" si="65"/>
        <v>0.65870559865547129</v>
      </c>
      <c r="CH36" s="3">
        <f t="shared" ca="1" si="51"/>
        <v>0.70603071347863255</v>
      </c>
      <c r="CI36" s="3">
        <f t="shared" ca="1" si="52"/>
        <v>0.71502801274660444</v>
      </c>
      <c r="CJ36" s="3">
        <f t="shared" ca="1" si="53"/>
        <v>802</v>
      </c>
      <c r="CK36" s="3">
        <f t="shared" ca="1" si="54"/>
        <v>6.805423369738905E-3</v>
      </c>
      <c r="CL36" s="3">
        <f t="shared" ca="1" si="55"/>
        <v>0</v>
      </c>
      <c r="CM36" s="3"/>
      <c r="CN36" s="1">
        <f t="shared" ca="1" si="56"/>
        <v>12.600324261114718</v>
      </c>
      <c r="CO36" s="1">
        <f t="shared" ca="1" si="57"/>
        <v>0.44323531174909198</v>
      </c>
      <c r="CP36" s="1">
        <f t="shared" ca="1" si="58"/>
        <v>1</v>
      </c>
      <c r="DH36" s="1">
        <f t="shared" ca="1" si="59"/>
        <v>535</v>
      </c>
      <c r="DI36" s="1">
        <f t="shared" ca="1" si="60"/>
        <v>0.80990609452661444</v>
      </c>
      <c r="DJ36" s="1">
        <f t="shared" ca="1" si="61"/>
        <v>29</v>
      </c>
      <c r="DL36" s="1">
        <f t="shared" ca="1" si="62"/>
        <v>0.12151554558768024</v>
      </c>
      <c r="DM36" s="1">
        <f t="shared" ca="1" si="63"/>
        <v>146</v>
      </c>
      <c r="DN36" s="1">
        <f t="shared" ca="1" si="64"/>
        <v>4</v>
      </c>
    </row>
    <row r="37" spans="2:118" x14ac:dyDescent="0.25">
      <c r="B37">
        <f t="shared" ca="1" si="0"/>
        <v>317</v>
      </c>
      <c r="C37">
        <f t="shared" ca="1" si="1"/>
        <v>27</v>
      </c>
      <c r="D37">
        <f t="shared" ca="1" si="2"/>
        <v>0.27679880176935995</v>
      </c>
      <c r="F37" s="1">
        <f t="shared" ca="1" si="3"/>
        <v>29</v>
      </c>
      <c r="G37" s="1">
        <f t="shared" ca="1" si="4"/>
        <v>18</v>
      </c>
      <c r="H37" s="1">
        <f t="shared" ca="1" si="5"/>
        <v>8</v>
      </c>
      <c r="I37" s="1"/>
      <c r="J37" s="1">
        <f t="shared" ca="1" si="6"/>
        <v>7</v>
      </c>
      <c r="K37" s="1">
        <f t="shared" ca="1" si="7"/>
        <v>2.2614726273652712</v>
      </c>
      <c r="L37" s="1">
        <f t="shared" ca="1" si="8"/>
        <v>11</v>
      </c>
      <c r="M37" s="1"/>
      <c r="N37" s="1">
        <f t="shared" ca="1" si="9"/>
        <v>571</v>
      </c>
      <c r="O37" s="1">
        <f t="shared" ca="1" si="10"/>
        <v>24</v>
      </c>
      <c r="P37" s="1"/>
      <c r="Q37" s="1">
        <f t="shared" ca="1" si="11"/>
        <v>4.364677646789306</v>
      </c>
      <c r="R37" s="1">
        <f t="shared" ca="1" si="12"/>
        <v>791</v>
      </c>
      <c r="S37" s="1"/>
      <c r="T37" s="1">
        <f t="shared" ca="1" si="13"/>
        <v>6.5438728549465933E-2</v>
      </c>
      <c r="U37" s="1">
        <f t="shared" ca="1" si="14"/>
        <v>247</v>
      </c>
      <c r="V37" s="1">
        <f t="shared" ca="1" si="15"/>
        <v>24</v>
      </c>
      <c r="W37" s="1"/>
      <c r="X37" s="1">
        <f t="shared" ca="1" si="16"/>
        <v>3.5029177031221863</v>
      </c>
      <c r="Y37" s="1">
        <f t="shared" ca="1" si="17"/>
        <v>0.84893052034427496</v>
      </c>
      <c r="Z37" s="1">
        <f t="shared" ca="1" si="18"/>
        <v>314</v>
      </c>
      <c r="AB37" s="1">
        <f t="shared" ca="1" si="19"/>
        <v>0.34563846535103682</v>
      </c>
      <c r="AC37" s="1">
        <f t="shared" ca="1" si="20"/>
        <v>783</v>
      </c>
      <c r="AD37" s="1">
        <f t="shared" ca="1" si="21"/>
        <v>1.4248351638254152E-3</v>
      </c>
      <c r="AE37" s="1"/>
      <c r="AF37" s="1">
        <f t="shared" ca="1" si="22"/>
        <v>0.75166488657951491</v>
      </c>
      <c r="AG37" s="1">
        <f t="shared" ca="1" si="23"/>
        <v>540</v>
      </c>
      <c r="AH37" s="1">
        <f t="shared" ca="1" si="24"/>
        <v>3.0721060959604425E-3</v>
      </c>
      <c r="AJ37" s="1">
        <f t="shared" ca="1" si="25"/>
        <v>0.99321311940075296</v>
      </c>
      <c r="AK37" s="1">
        <f t="shared" ca="1" si="26"/>
        <v>5.7354506645176054E-3</v>
      </c>
      <c r="AL37" s="1"/>
      <c r="AM37" s="1">
        <f t="shared" ca="1" si="27"/>
        <v>0.11056938056193751</v>
      </c>
      <c r="AN37" s="1">
        <f t="shared" ca="1" si="28"/>
        <v>12</v>
      </c>
      <c r="AO37" s="1">
        <f t="shared" ca="1" si="29"/>
        <v>6</v>
      </c>
      <c r="AQ37" s="1">
        <f t="shared" ca="1" si="30"/>
        <v>170</v>
      </c>
      <c r="AR37" s="1">
        <f t="shared" ca="1" si="31"/>
        <v>5</v>
      </c>
      <c r="AS37" s="1">
        <f t="shared" ca="1" si="32"/>
        <v>74</v>
      </c>
      <c r="AU37" s="1">
        <f t="shared" ca="1" si="33"/>
        <v>381</v>
      </c>
      <c r="AV37" s="1">
        <f t="shared" ca="1" si="34"/>
        <v>5</v>
      </c>
      <c r="AW37" s="1">
        <f t="shared" ca="1" si="35"/>
        <v>4.4777791465273831E-2</v>
      </c>
      <c r="AY37" s="1">
        <f t="shared" ca="1" si="36"/>
        <v>1.8766626278077303</v>
      </c>
      <c r="AZ37" s="1">
        <f t="shared" ca="1" si="37"/>
        <v>93</v>
      </c>
      <c r="BA37" s="1">
        <f t="shared" ca="1" si="38"/>
        <v>7.1539654414379012E-4</v>
      </c>
      <c r="BG37" s="1">
        <f t="shared" ca="1" si="39"/>
        <v>0.74928393327105536</v>
      </c>
      <c r="BH37" s="1">
        <f t="shared" ca="1" si="40"/>
        <v>0.40607849904145732</v>
      </c>
      <c r="BI37" s="1">
        <f t="shared" ca="1" si="41"/>
        <v>841</v>
      </c>
      <c r="BV37" s="1">
        <f t="shared" ca="1" si="42"/>
        <v>0.64313509022607529</v>
      </c>
      <c r="BW37" s="1">
        <f t="shared" ca="1" si="43"/>
        <v>150</v>
      </c>
      <c r="BX37" s="1">
        <f t="shared" ca="1" si="44"/>
        <v>2.1603182285736943E-3</v>
      </c>
      <c r="BY37" s="1">
        <f t="shared" ca="1" si="45"/>
        <v>5.1837204662157611E-2</v>
      </c>
      <c r="BZ37" s="1">
        <f t="shared" ca="1" si="46"/>
        <v>0.67332521217224695</v>
      </c>
      <c r="CB37" s="1">
        <f t="shared" ca="1" si="47"/>
        <v>301</v>
      </c>
      <c r="CC37" s="1">
        <f t="shared" ca="1" si="48"/>
        <v>10</v>
      </c>
      <c r="CD37" s="1">
        <f t="shared" ca="1" si="49"/>
        <v>0.25023531731953624</v>
      </c>
      <c r="CE37" s="1">
        <f t="shared" ca="1" si="65"/>
        <v>0.75457327522149686</v>
      </c>
      <c r="CF37" s="1">
        <f t="shared" ca="1" si="65"/>
        <v>0.6908823327005702</v>
      </c>
      <c r="CH37" s="3">
        <f t="shared" ca="1" si="51"/>
        <v>0.11582557259075847</v>
      </c>
      <c r="CI37" s="3">
        <f t="shared" ca="1" si="52"/>
        <v>0.2579722448624438</v>
      </c>
      <c r="CJ37" s="3">
        <f t="shared" ca="1" si="53"/>
        <v>1305</v>
      </c>
      <c r="CK37" s="3">
        <f t="shared" ca="1" si="54"/>
        <v>9.9590939504781862E-3</v>
      </c>
      <c r="CL37" s="3">
        <f t="shared" ca="1" si="55"/>
        <v>1</v>
      </c>
      <c r="CM37" s="3"/>
      <c r="CN37" s="1">
        <f t="shared" ca="1" si="56"/>
        <v>11.401178226077576</v>
      </c>
      <c r="CO37" s="1">
        <f t="shared" ca="1" si="57"/>
        <v>0.16540544448056638</v>
      </c>
      <c r="CP37" s="1">
        <f t="shared" ca="1" si="58"/>
        <v>3</v>
      </c>
      <c r="DH37" s="1">
        <f t="shared" ca="1" si="59"/>
        <v>100</v>
      </c>
      <c r="DI37" s="1">
        <f t="shared" ca="1" si="60"/>
        <v>0.17306568115838045</v>
      </c>
      <c r="DJ37" s="1">
        <f t="shared" ca="1" si="61"/>
        <v>23</v>
      </c>
      <c r="DL37" s="1">
        <f t="shared" ca="1" si="62"/>
        <v>8.0389820750737112E-2</v>
      </c>
      <c r="DM37" s="1">
        <f t="shared" ca="1" si="63"/>
        <v>233</v>
      </c>
      <c r="DN37" s="1">
        <f t="shared" ca="1" si="64"/>
        <v>1</v>
      </c>
    </row>
    <row r="38" spans="2:118" x14ac:dyDescent="0.25">
      <c r="B38">
        <f t="shared" ca="1" si="0"/>
        <v>601</v>
      </c>
      <c r="C38">
        <f t="shared" ca="1" si="1"/>
        <v>37</v>
      </c>
      <c r="D38">
        <f t="shared" ca="1" si="2"/>
        <v>0.236946357493523</v>
      </c>
      <c r="F38" s="1">
        <f t="shared" ca="1" si="3"/>
        <v>25</v>
      </c>
      <c r="G38" s="1">
        <f t="shared" ca="1" si="4"/>
        <v>22</v>
      </c>
      <c r="H38" s="1">
        <f t="shared" ca="1" si="5"/>
        <v>3</v>
      </c>
      <c r="I38" s="1"/>
      <c r="J38" s="1">
        <f t="shared" ca="1" si="6"/>
        <v>32</v>
      </c>
      <c r="K38" s="1">
        <f t="shared" ca="1" si="7"/>
        <v>2.4013046681692689</v>
      </c>
      <c r="L38" s="1">
        <f t="shared" ca="1" si="8"/>
        <v>4</v>
      </c>
      <c r="M38" s="1"/>
      <c r="N38" s="1">
        <f t="shared" ca="1" si="9"/>
        <v>205</v>
      </c>
      <c r="O38" s="1">
        <f t="shared" ca="1" si="10"/>
        <v>23</v>
      </c>
      <c r="P38" s="1"/>
      <c r="Q38" s="1">
        <f t="shared" ca="1" si="11"/>
        <v>3.2065857606492401</v>
      </c>
      <c r="R38" s="1">
        <f t="shared" ca="1" si="12"/>
        <v>446</v>
      </c>
      <c r="S38" s="1"/>
      <c r="T38" s="1">
        <f t="shared" ca="1" si="13"/>
        <v>8.0217256707694196E-2</v>
      </c>
      <c r="U38" s="1">
        <f t="shared" ca="1" si="14"/>
        <v>151</v>
      </c>
      <c r="V38" s="1">
        <f t="shared" ca="1" si="15"/>
        <v>18</v>
      </c>
      <c r="W38" s="1"/>
      <c r="X38" s="1">
        <f t="shared" ca="1" si="16"/>
        <v>7.1147733814574563</v>
      </c>
      <c r="Y38" s="1">
        <f t="shared" ca="1" si="17"/>
        <v>0.67393571857363421</v>
      </c>
      <c r="Z38" s="1">
        <f t="shared" ca="1" si="18"/>
        <v>1487</v>
      </c>
      <c r="AB38" s="1">
        <f t="shared" ca="1" si="19"/>
        <v>0.38337298361870376</v>
      </c>
      <c r="AC38" s="1">
        <f t="shared" ca="1" si="20"/>
        <v>139</v>
      </c>
      <c r="AD38" s="1">
        <f t="shared" ca="1" si="21"/>
        <v>7.266447703203633E-3</v>
      </c>
      <c r="AE38" s="1"/>
      <c r="AF38" s="1">
        <f t="shared" ca="1" si="22"/>
        <v>0.2162210240702172</v>
      </c>
      <c r="AG38" s="1">
        <f t="shared" ca="1" si="23"/>
        <v>333</v>
      </c>
      <c r="AH38" s="1">
        <f t="shared" ca="1" si="24"/>
        <v>3.6153776856470629E-3</v>
      </c>
      <c r="AJ38" s="1">
        <f t="shared" ca="1" si="25"/>
        <v>0.63111833577152532</v>
      </c>
      <c r="AK38" s="1">
        <f t="shared" ca="1" si="26"/>
        <v>7.9624150505183122E-3</v>
      </c>
      <c r="AL38" s="1"/>
      <c r="AM38" s="1">
        <f t="shared" ca="1" si="27"/>
        <v>9.7342463384359756E-2</v>
      </c>
      <c r="AN38" s="1">
        <f t="shared" ca="1" si="28"/>
        <v>31</v>
      </c>
      <c r="AO38" s="1">
        <f t="shared" ca="1" si="29"/>
        <v>5</v>
      </c>
      <c r="AQ38" s="1">
        <f t="shared" ca="1" si="30"/>
        <v>118</v>
      </c>
      <c r="AR38" s="1">
        <f t="shared" ca="1" si="31"/>
        <v>5</v>
      </c>
      <c r="AS38" s="1">
        <f t="shared" ca="1" si="32"/>
        <v>7</v>
      </c>
      <c r="AU38" s="1">
        <f t="shared" ca="1" si="33"/>
        <v>69</v>
      </c>
      <c r="AV38" s="1">
        <f t="shared" ca="1" si="34"/>
        <v>8</v>
      </c>
      <c r="AW38" s="1">
        <f t="shared" ca="1" si="35"/>
        <v>0.14665551209591493</v>
      </c>
      <c r="AY38" s="1">
        <f t="shared" ca="1" si="36"/>
        <v>1.4758518227367776</v>
      </c>
      <c r="AZ38" s="1">
        <f t="shared" ca="1" si="37"/>
        <v>215</v>
      </c>
      <c r="BA38" s="1">
        <f t="shared" ca="1" si="38"/>
        <v>1.9605698582952778E-3</v>
      </c>
      <c r="BG38" s="1">
        <f t="shared" ca="1" si="39"/>
        <v>0.31126173141947427</v>
      </c>
      <c r="BH38" s="1">
        <f t="shared" ca="1" si="40"/>
        <v>0.9216040472651561</v>
      </c>
      <c r="BI38" s="1">
        <f t="shared" ca="1" si="41"/>
        <v>282</v>
      </c>
      <c r="BV38" s="1">
        <f t="shared" ca="1" si="42"/>
        <v>0.66356706960685941</v>
      </c>
      <c r="BW38" s="1">
        <f t="shared" ca="1" si="43"/>
        <v>279</v>
      </c>
      <c r="BX38" s="1">
        <f t="shared" ca="1" si="44"/>
        <v>7.257667725270543E-3</v>
      </c>
      <c r="BY38" s="1">
        <f t="shared" ca="1" si="45"/>
        <v>1.3045315678713455E-2</v>
      </c>
      <c r="BZ38" s="1">
        <f t="shared" ca="1" si="46"/>
        <v>0.39547370615973143</v>
      </c>
      <c r="CB38" s="1">
        <f t="shared" ca="1" si="47"/>
        <v>246</v>
      </c>
      <c r="CC38" s="1">
        <f t="shared" ca="1" si="48"/>
        <v>5</v>
      </c>
      <c r="CD38" s="1">
        <f t="shared" ca="1" si="49"/>
        <v>0.27682847857630766</v>
      </c>
      <c r="CE38" s="1">
        <f t="shared" ca="1" si="65"/>
        <v>0.78804584550230738</v>
      </c>
      <c r="CF38" s="1">
        <f t="shared" ca="1" si="65"/>
        <v>0.98861647179539003</v>
      </c>
      <c r="CH38" s="3">
        <f t="shared" ca="1" si="51"/>
        <v>7.0624840905257294E-2</v>
      </c>
      <c r="CI38" s="3">
        <f t="shared" ca="1" si="52"/>
        <v>0.90065402755332724</v>
      </c>
      <c r="CJ38" s="3">
        <f t="shared" ca="1" si="53"/>
        <v>164</v>
      </c>
      <c r="CK38" s="3">
        <f t="shared" ca="1" si="54"/>
        <v>7.5623425367244432E-4</v>
      </c>
      <c r="CL38" s="3">
        <f t="shared" ca="1" si="55"/>
        <v>0</v>
      </c>
      <c r="CM38" s="3"/>
      <c r="CN38" s="1">
        <f t="shared" ca="1" si="56"/>
        <v>10.349645197335201</v>
      </c>
      <c r="CO38" s="1">
        <f t="shared" ca="1" si="57"/>
        <v>0.43746104352132198</v>
      </c>
      <c r="CP38" s="1">
        <f t="shared" ca="1" si="58"/>
        <v>1</v>
      </c>
      <c r="DH38" s="1">
        <f t="shared" ca="1" si="59"/>
        <v>84</v>
      </c>
      <c r="DI38" s="1">
        <f t="shared" ca="1" si="60"/>
        <v>3.0970576104326523E-2</v>
      </c>
      <c r="DJ38" s="1">
        <f t="shared" ca="1" si="61"/>
        <v>26</v>
      </c>
      <c r="DL38" s="1">
        <f t="shared" ca="1" si="62"/>
        <v>6.8413527067036406E-2</v>
      </c>
      <c r="DM38" s="1">
        <f t="shared" ca="1" si="63"/>
        <v>171</v>
      </c>
      <c r="DN38" s="1">
        <f t="shared" ca="1" si="64"/>
        <v>1</v>
      </c>
    </row>
    <row r="39" spans="2:118" x14ac:dyDescent="0.25">
      <c r="B39">
        <f t="shared" ca="1" si="0"/>
        <v>535</v>
      </c>
      <c r="C39">
        <f t="shared" ca="1" si="1"/>
        <v>25</v>
      </c>
      <c r="D39">
        <f t="shared" ca="1" si="2"/>
        <v>7.877102809779514E-2</v>
      </c>
      <c r="F39" s="1">
        <f t="shared" ca="1" si="3"/>
        <v>37</v>
      </c>
      <c r="G39" s="1">
        <f t="shared" ca="1" si="4"/>
        <v>15</v>
      </c>
      <c r="H39" s="1">
        <f t="shared" ca="1" si="5"/>
        <v>5</v>
      </c>
      <c r="I39" s="1"/>
      <c r="J39" s="1">
        <f t="shared" ca="1" si="6"/>
        <v>24</v>
      </c>
      <c r="K39" s="1">
        <f t="shared" ca="1" si="7"/>
        <v>1.426746615061727</v>
      </c>
      <c r="L39" s="1">
        <f t="shared" ca="1" si="8"/>
        <v>17</v>
      </c>
      <c r="M39" s="1"/>
      <c r="N39" s="1">
        <f t="shared" ca="1" si="9"/>
        <v>843</v>
      </c>
      <c r="O39" s="1">
        <f t="shared" ca="1" si="10"/>
        <v>10</v>
      </c>
      <c r="P39" s="1"/>
      <c r="Q39" s="1">
        <f t="shared" ca="1" si="11"/>
        <v>3.2012580606691459</v>
      </c>
      <c r="R39" s="1">
        <f t="shared" ca="1" si="12"/>
        <v>866</v>
      </c>
      <c r="S39" s="1"/>
      <c r="T39" s="1">
        <f t="shared" ca="1" si="13"/>
        <v>3.5649270057249258E-2</v>
      </c>
      <c r="U39" s="1">
        <f t="shared" ca="1" si="14"/>
        <v>129</v>
      </c>
      <c r="V39" s="1">
        <f t="shared" ca="1" si="15"/>
        <v>43</v>
      </c>
      <c r="W39" s="1"/>
      <c r="X39" s="1">
        <f t="shared" ca="1" si="16"/>
        <v>9.4892414568152343</v>
      </c>
      <c r="Y39" s="1">
        <f t="shared" ca="1" si="17"/>
        <v>0.67202338760072011</v>
      </c>
      <c r="Z39" s="1">
        <f t="shared" ca="1" si="18"/>
        <v>1706</v>
      </c>
      <c r="AB39" s="1">
        <f t="shared" ca="1" si="19"/>
        <v>0.81838555801805468</v>
      </c>
      <c r="AC39" s="1">
        <f t="shared" ca="1" si="20"/>
        <v>266</v>
      </c>
      <c r="AD39" s="1">
        <f t="shared" ca="1" si="21"/>
        <v>5.7817540767074E-3</v>
      </c>
      <c r="AE39" s="1"/>
      <c r="AF39" s="1">
        <f t="shared" ca="1" si="22"/>
        <v>0.89744238963993384</v>
      </c>
      <c r="AG39" s="1">
        <f t="shared" ca="1" si="23"/>
        <v>969</v>
      </c>
      <c r="AH39" s="1">
        <f t="shared" ca="1" si="24"/>
        <v>6.4702875727552034E-3</v>
      </c>
      <c r="AJ39" s="1">
        <f t="shared" ca="1" si="25"/>
        <v>0.44277662559770292</v>
      </c>
      <c r="AK39" s="1">
        <f t="shared" ca="1" si="26"/>
        <v>9.8440072854348096E-3</v>
      </c>
      <c r="AL39" s="1"/>
      <c r="AM39" s="1">
        <f t="shared" ca="1" si="27"/>
        <v>4.1434061676989764E-2</v>
      </c>
      <c r="AN39" s="1">
        <f t="shared" ca="1" si="28"/>
        <v>48</v>
      </c>
      <c r="AO39" s="1">
        <f t="shared" ca="1" si="29"/>
        <v>7</v>
      </c>
      <c r="AQ39" s="1">
        <f t="shared" ca="1" si="30"/>
        <v>156</v>
      </c>
      <c r="AR39" s="1">
        <f t="shared" ca="1" si="31"/>
        <v>7</v>
      </c>
      <c r="AS39" s="1">
        <f t="shared" ca="1" si="32"/>
        <v>12</v>
      </c>
      <c r="AU39" s="1">
        <f t="shared" ca="1" si="33"/>
        <v>205</v>
      </c>
      <c r="AV39" s="1">
        <f t="shared" ca="1" si="34"/>
        <v>5</v>
      </c>
      <c r="AW39" s="1">
        <f t="shared" ca="1" si="35"/>
        <v>1.2627998904393634E-2</v>
      </c>
      <c r="AY39" s="1">
        <f t="shared" ca="1" si="36"/>
        <v>1.4406034670771735</v>
      </c>
      <c r="AZ39" s="1">
        <f t="shared" ca="1" si="37"/>
        <v>190</v>
      </c>
      <c r="BA39" s="1">
        <f t="shared" ca="1" si="38"/>
        <v>9.663377969897944E-3</v>
      </c>
      <c r="BG39" s="1">
        <f t="shared" ca="1" si="39"/>
        <v>0.16586989842902741</v>
      </c>
      <c r="BH39" s="1">
        <f t="shared" ca="1" si="40"/>
        <v>0.51426508982175645</v>
      </c>
      <c r="BI39" s="1">
        <f t="shared" ca="1" si="41"/>
        <v>883</v>
      </c>
      <c r="BV39" s="1">
        <f t="shared" ca="1" si="42"/>
        <v>0.86619803085011582</v>
      </c>
      <c r="BW39" s="1">
        <f t="shared" ca="1" si="43"/>
        <v>683</v>
      </c>
      <c r="BX39" s="1">
        <f t="shared" ca="1" si="44"/>
        <v>6.386506164713133E-3</v>
      </c>
      <c r="BY39" s="1">
        <f t="shared" ca="1" si="45"/>
        <v>4.2708273722861533E-2</v>
      </c>
      <c r="BZ39" s="1">
        <f t="shared" ca="1" si="46"/>
        <v>0.47273332672573531</v>
      </c>
      <c r="CB39" s="1">
        <f t="shared" ca="1" si="47"/>
        <v>205</v>
      </c>
      <c r="CC39" s="1">
        <f t="shared" ca="1" si="48"/>
        <v>7</v>
      </c>
      <c r="CD39" s="1">
        <f t="shared" ca="1" si="49"/>
        <v>0.12435096689859743</v>
      </c>
      <c r="CE39" s="1">
        <f t="shared" ca="1" si="65"/>
        <v>0.53158471507586458</v>
      </c>
      <c r="CF39" s="1">
        <f t="shared" ca="1" si="65"/>
        <v>0.57887452669751527</v>
      </c>
      <c r="CH39" s="3">
        <f t="shared" ca="1" si="51"/>
        <v>0.7042943410695176</v>
      </c>
      <c r="CI39" s="3">
        <f t="shared" ca="1" si="52"/>
        <v>0.76883156916728512</v>
      </c>
      <c r="CJ39" s="3">
        <f t="shared" ca="1" si="53"/>
        <v>1775</v>
      </c>
      <c r="CK39" s="3">
        <f t="shared" ca="1" si="54"/>
        <v>5.2908025810235529E-3</v>
      </c>
      <c r="CL39" s="3">
        <f t="shared" ca="1" si="55"/>
        <v>0</v>
      </c>
      <c r="CM39" s="3"/>
      <c r="CN39" s="1">
        <f t="shared" ca="1" si="56"/>
        <v>17.196363985399678</v>
      </c>
      <c r="CO39" s="1">
        <f t="shared" ca="1" si="57"/>
        <v>0.48575593120074045</v>
      </c>
      <c r="CP39" s="1">
        <f t="shared" ca="1" si="58"/>
        <v>2</v>
      </c>
      <c r="DH39" s="1">
        <f t="shared" ca="1" si="59"/>
        <v>431</v>
      </c>
      <c r="DI39" s="1">
        <f t="shared" ca="1" si="60"/>
        <v>0.49142289465350902</v>
      </c>
      <c r="DJ39" s="1">
        <f t="shared" ca="1" si="61"/>
        <v>30</v>
      </c>
      <c r="DL39" s="1">
        <f t="shared" ca="1" si="62"/>
        <v>8.4383657400086867E-2</v>
      </c>
      <c r="DM39" s="1">
        <f t="shared" ca="1" si="63"/>
        <v>109</v>
      </c>
      <c r="DN39" s="1">
        <f t="shared" ca="1" si="64"/>
        <v>9</v>
      </c>
    </row>
    <row r="40" spans="2:118" x14ac:dyDescent="0.25">
      <c r="B40">
        <f t="shared" ca="1" si="0"/>
        <v>142</v>
      </c>
      <c r="C40">
        <f t="shared" ca="1" si="1"/>
        <v>52</v>
      </c>
      <c r="D40">
        <f t="shared" ca="1" si="2"/>
        <v>0.15727541059106342</v>
      </c>
      <c r="F40" s="1">
        <f t="shared" ca="1" si="3"/>
        <v>32</v>
      </c>
      <c r="G40" s="1">
        <f t="shared" ca="1" si="4"/>
        <v>25</v>
      </c>
      <c r="H40" s="1">
        <f t="shared" ca="1" si="5"/>
        <v>8</v>
      </c>
      <c r="I40" s="1"/>
      <c r="J40" s="1">
        <f t="shared" ca="1" si="6"/>
        <v>17</v>
      </c>
      <c r="K40" s="1">
        <f t="shared" ca="1" si="7"/>
        <v>1.7460467557946071</v>
      </c>
      <c r="L40" s="1">
        <f t="shared" ca="1" si="8"/>
        <v>31</v>
      </c>
      <c r="M40" s="1"/>
      <c r="N40" s="1">
        <f t="shared" ca="1" si="9"/>
        <v>897</v>
      </c>
      <c r="O40" s="1">
        <f t="shared" ca="1" si="10"/>
        <v>52</v>
      </c>
      <c r="P40" s="1"/>
      <c r="Q40" s="1">
        <f t="shared" ca="1" si="11"/>
        <v>2.7692584470370334</v>
      </c>
      <c r="R40" s="1">
        <f t="shared" ca="1" si="12"/>
        <v>641</v>
      </c>
      <c r="S40" s="1"/>
      <c r="T40" s="1">
        <f t="shared" ca="1" si="13"/>
        <v>8.831817970834617E-2</v>
      </c>
      <c r="U40" s="1">
        <f t="shared" ca="1" si="14"/>
        <v>277</v>
      </c>
      <c r="V40" s="1">
        <f t="shared" ca="1" si="15"/>
        <v>36</v>
      </c>
      <c r="W40" s="1"/>
      <c r="X40" s="1">
        <f t="shared" ca="1" si="16"/>
        <v>2.0796994163349769</v>
      </c>
      <c r="Y40" s="1">
        <f t="shared" ca="1" si="17"/>
        <v>0.38199267280649701</v>
      </c>
      <c r="Z40" s="1">
        <f t="shared" ca="1" si="18"/>
        <v>1772</v>
      </c>
      <c r="AB40" s="1">
        <f t="shared" ca="1" si="19"/>
        <v>0.85041868590134828</v>
      </c>
      <c r="AC40" s="1">
        <f t="shared" ca="1" si="20"/>
        <v>392</v>
      </c>
      <c r="AD40" s="1">
        <f t="shared" ca="1" si="21"/>
        <v>7.7152531414178835E-3</v>
      </c>
      <c r="AE40" s="1"/>
      <c r="AF40" s="1">
        <f t="shared" ca="1" si="22"/>
        <v>0.89107559883831455</v>
      </c>
      <c r="AG40" s="1">
        <f t="shared" ca="1" si="23"/>
        <v>980</v>
      </c>
      <c r="AH40" s="1">
        <f t="shared" ca="1" si="24"/>
        <v>2.7901641126437757E-3</v>
      </c>
      <c r="AJ40" s="1">
        <f t="shared" ca="1" si="25"/>
        <v>0.46982278801707289</v>
      </c>
      <c r="AK40" s="1">
        <f t="shared" ca="1" si="26"/>
        <v>9.7644271354893255E-3</v>
      </c>
      <c r="AL40" s="1"/>
      <c r="AM40" s="1">
        <f t="shared" ca="1" si="27"/>
        <v>4.3281256801396897E-2</v>
      </c>
      <c r="AN40" s="1">
        <f t="shared" ca="1" si="28"/>
        <v>53</v>
      </c>
      <c r="AO40" s="1">
        <f t="shared" ca="1" si="29"/>
        <v>3</v>
      </c>
      <c r="AQ40" s="1">
        <f t="shared" ca="1" si="30"/>
        <v>159</v>
      </c>
      <c r="AR40" s="1">
        <f t="shared" ca="1" si="31"/>
        <v>4</v>
      </c>
      <c r="AS40" s="1">
        <f t="shared" ca="1" si="32"/>
        <v>57</v>
      </c>
      <c r="AU40" s="1">
        <f t="shared" ca="1" si="33"/>
        <v>131</v>
      </c>
      <c r="AV40" s="1">
        <f t="shared" ca="1" si="34"/>
        <v>7</v>
      </c>
      <c r="AW40" s="1">
        <f t="shared" ca="1" si="35"/>
        <v>0.17981512790017709</v>
      </c>
      <c r="AY40" s="1">
        <f t="shared" ca="1" si="36"/>
        <v>1.762017995981878</v>
      </c>
      <c r="AZ40" s="1">
        <f t="shared" ca="1" si="37"/>
        <v>92</v>
      </c>
      <c r="BA40" s="1">
        <f t="shared" ca="1" si="38"/>
        <v>4.4163710876158414E-4</v>
      </c>
      <c r="BG40" s="1">
        <f t="shared" ca="1" si="39"/>
        <v>0.89368043503336181</v>
      </c>
      <c r="BH40" s="1">
        <f t="shared" ca="1" si="40"/>
        <v>0.5670743239173498</v>
      </c>
      <c r="BI40" s="1">
        <f t="shared" ca="1" si="41"/>
        <v>959</v>
      </c>
      <c r="BV40" s="1">
        <f t="shared" ca="1" si="42"/>
        <v>0.11257635802301026</v>
      </c>
      <c r="BW40" s="1">
        <f t="shared" ca="1" si="43"/>
        <v>837</v>
      </c>
      <c r="BX40" s="1">
        <f t="shared" ca="1" si="44"/>
        <v>9.9880984695028454E-3</v>
      </c>
      <c r="BY40" s="1">
        <f t="shared" ca="1" si="45"/>
        <v>5.0074939098032421E-2</v>
      </c>
      <c r="BZ40" s="1">
        <f t="shared" ca="1" si="46"/>
        <v>0.51202030308948132</v>
      </c>
      <c r="CB40" s="1">
        <f t="shared" ca="1" si="47"/>
        <v>451</v>
      </c>
      <c r="CC40" s="1">
        <f t="shared" ca="1" si="48"/>
        <v>4</v>
      </c>
      <c r="CD40" s="1">
        <f t="shared" ca="1" si="49"/>
        <v>0.14042302228715034</v>
      </c>
      <c r="CE40" s="1">
        <f t="shared" ca="1" si="65"/>
        <v>0.58972114879540372</v>
      </c>
      <c r="CF40" s="1">
        <f t="shared" ca="1" si="65"/>
        <v>0.76611123355099031</v>
      </c>
      <c r="CH40" s="3">
        <f t="shared" ca="1" si="51"/>
        <v>0.48874748469427304</v>
      </c>
      <c r="CI40" s="3">
        <f t="shared" ca="1" si="52"/>
        <v>0.12526190962474673</v>
      </c>
      <c r="CJ40" s="3">
        <f t="shared" ca="1" si="53"/>
        <v>1088</v>
      </c>
      <c r="CK40" s="3">
        <f t="shared" ca="1" si="54"/>
        <v>2.3962449618480906E-4</v>
      </c>
      <c r="CL40" s="3">
        <f t="shared" ca="1" si="55"/>
        <v>0</v>
      </c>
      <c r="CM40" s="3"/>
      <c r="CN40" s="1">
        <f t="shared" ca="1" si="56"/>
        <v>5.8422356351781293</v>
      </c>
      <c r="CO40" s="1">
        <f t="shared" ca="1" si="57"/>
        <v>0.27405814228838493</v>
      </c>
      <c r="CP40" s="1">
        <f t="shared" ca="1" si="58"/>
        <v>3</v>
      </c>
      <c r="DH40" s="1">
        <f t="shared" ca="1" si="59"/>
        <v>576</v>
      </c>
      <c r="DI40" s="1">
        <f t="shared" ca="1" si="60"/>
        <v>0.57228395339575544</v>
      </c>
      <c r="DJ40" s="1">
        <f t="shared" ca="1" si="61"/>
        <v>23</v>
      </c>
      <c r="DL40" s="1">
        <f t="shared" ca="1" si="62"/>
        <v>0.14148973361614794</v>
      </c>
      <c r="DM40" s="1">
        <f t="shared" ca="1" si="63"/>
        <v>73</v>
      </c>
      <c r="DN40" s="1">
        <f t="shared" ca="1" si="64"/>
        <v>8</v>
      </c>
    </row>
    <row r="41" spans="2:118" x14ac:dyDescent="0.25">
      <c r="B41">
        <f t="shared" ca="1" si="0"/>
        <v>991</v>
      </c>
      <c r="C41">
        <f t="shared" ca="1" si="1"/>
        <v>8</v>
      </c>
      <c r="D41">
        <f t="shared" ca="1" si="2"/>
        <v>3.3292484260827426E-2</v>
      </c>
      <c r="F41" s="1">
        <f t="shared" ca="1" si="3"/>
        <v>47</v>
      </c>
      <c r="G41" s="1">
        <f t="shared" ca="1" si="4"/>
        <v>15</v>
      </c>
      <c r="H41" s="1">
        <f t="shared" ca="1" si="5"/>
        <v>6</v>
      </c>
      <c r="I41" s="1"/>
      <c r="J41" s="1">
        <f t="shared" ca="1" si="6"/>
        <v>7</v>
      </c>
      <c r="K41" s="1">
        <f t="shared" ca="1" si="7"/>
        <v>2.1888369198104076</v>
      </c>
      <c r="L41" s="1">
        <f t="shared" ca="1" si="8"/>
        <v>31</v>
      </c>
      <c r="M41" s="1"/>
      <c r="N41" s="1">
        <f t="shared" ca="1" si="9"/>
        <v>514</v>
      </c>
      <c r="O41" s="1">
        <f t="shared" ca="1" si="10"/>
        <v>32</v>
      </c>
      <c r="P41" s="1"/>
      <c r="Q41" s="1">
        <f t="shared" ca="1" si="11"/>
        <v>4.8159362932444161</v>
      </c>
      <c r="R41" s="1">
        <f t="shared" ca="1" si="12"/>
        <v>548</v>
      </c>
      <c r="S41" s="1"/>
      <c r="T41" s="1">
        <f t="shared" ca="1" si="13"/>
        <v>3.6030324532309373E-2</v>
      </c>
      <c r="U41" s="1">
        <f t="shared" ca="1" si="14"/>
        <v>290</v>
      </c>
      <c r="V41" s="1">
        <f t="shared" ca="1" si="15"/>
        <v>16</v>
      </c>
      <c r="W41" s="1"/>
      <c r="X41" s="1">
        <f t="shared" ca="1" si="16"/>
        <v>3.3725517240816814</v>
      </c>
      <c r="Y41" s="1">
        <f t="shared" ca="1" si="17"/>
        <v>0.55956483936130164</v>
      </c>
      <c r="Z41" s="1">
        <f t="shared" ca="1" si="18"/>
        <v>1312</v>
      </c>
      <c r="AB41" s="1">
        <f t="shared" ca="1" si="19"/>
        <v>0.64245737637483802</v>
      </c>
      <c r="AC41" s="1">
        <f t="shared" ca="1" si="20"/>
        <v>758</v>
      </c>
      <c r="AD41" s="1">
        <f t="shared" ca="1" si="21"/>
        <v>9.8956274952343073E-3</v>
      </c>
      <c r="AE41" s="1"/>
      <c r="AF41" s="1">
        <f t="shared" ca="1" si="22"/>
        <v>0.67271130720207284</v>
      </c>
      <c r="AG41" s="1">
        <f t="shared" ca="1" si="23"/>
        <v>898</v>
      </c>
      <c r="AH41" s="1">
        <f t="shared" ca="1" si="24"/>
        <v>3.9093270477068062E-3</v>
      </c>
      <c r="AJ41" s="1">
        <f t="shared" ca="1" si="25"/>
        <v>0.72184741210663361</v>
      </c>
      <c r="AK41" s="1">
        <f t="shared" ca="1" si="26"/>
        <v>6.0502931199800623E-3</v>
      </c>
      <c r="AL41" s="1"/>
      <c r="AM41" s="1">
        <f t="shared" ca="1" si="27"/>
        <v>0.16491340713371114</v>
      </c>
      <c r="AN41" s="1">
        <f t="shared" ca="1" si="28"/>
        <v>44</v>
      </c>
      <c r="AO41" s="1">
        <f t="shared" ca="1" si="29"/>
        <v>2</v>
      </c>
      <c r="AQ41" s="1">
        <f t="shared" ca="1" si="30"/>
        <v>62</v>
      </c>
      <c r="AR41" s="1">
        <f t="shared" ca="1" si="31"/>
        <v>5</v>
      </c>
      <c r="AS41" s="1">
        <f t="shared" ca="1" si="32"/>
        <v>98</v>
      </c>
      <c r="AU41" s="1">
        <f t="shared" ca="1" si="33"/>
        <v>119</v>
      </c>
      <c r="AV41" s="1">
        <f t="shared" ca="1" si="34"/>
        <v>3</v>
      </c>
      <c r="AW41" s="1">
        <f t="shared" ca="1" si="35"/>
        <v>0.11145361867355046</v>
      </c>
      <c r="AY41" s="1">
        <f t="shared" ca="1" si="36"/>
        <v>1.8998718067982794</v>
      </c>
      <c r="AZ41" s="1">
        <f t="shared" ca="1" si="37"/>
        <v>329</v>
      </c>
      <c r="BA41" s="1">
        <f t="shared" ca="1" si="38"/>
        <v>6.9515153968559701E-3</v>
      </c>
      <c r="BG41" s="1">
        <f t="shared" ca="1" si="39"/>
        <v>0.18438879385301987</v>
      </c>
      <c r="BH41" s="1">
        <f t="shared" ca="1" si="40"/>
        <v>0.69092399581484076</v>
      </c>
      <c r="BI41" s="1">
        <f t="shared" ca="1" si="41"/>
        <v>722</v>
      </c>
      <c r="BV41" s="1">
        <f t="shared" ca="1" si="42"/>
        <v>0.30453905096429396</v>
      </c>
      <c r="BW41" s="1">
        <f t="shared" ca="1" si="43"/>
        <v>652</v>
      </c>
      <c r="BX41" s="1">
        <f t="shared" ca="1" si="44"/>
        <v>9.6657544745562141E-3</v>
      </c>
      <c r="BY41" s="1">
        <f t="shared" ca="1" si="45"/>
        <v>2.6537148280391793E-2</v>
      </c>
      <c r="BZ41" s="1">
        <f t="shared" ca="1" si="46"/>
        <v>9.5838411862291917E-2</v>
      </c>
      <c r="CB41" s="1">
        <f t="shared" ca="1" si="47"/>
        <v>191</v>
      </c>
      <c r="CC41" s="1">
        <f t="shared" ca="1" si="48"/>
        <v>9</v>
      </c>
      <c r="CD41" s="1">
        <f t="shared" ca="1" si="49"/>
        <v>0.2768384139319961</v>
      </c>
      <c r="CE41" s="1">
        <f t="shared" ca="1" si="65"/>
        <v>0.90499982299206705</v>
      </c>
      <c r="CF41" s="1">
        <f t="shared" ca="1" si="65"/>
        <v>0.76030197465303817</v>
      </c>
      <c r="CH41" s="3">
        <f t="shared" ca="1" si="51"/>
        <v>0.23259863159496624</v>
      </c>
      <c r="CI41" s="3">
        <f t="shared" ca="1" si="52"/>
        <v>0.5033526303759629</v>
      </c>
      <c r="CJ41" s="3">
        <f t="shared" ca="1" si="53"/>
        <v>849</v>
      </c>
      <c r="CK41" s="3">
        <f t="shared" ca="1" si="54"/>
        <v>8.5273200913855273E-3</v>
      </c>
      <c r="CL41" s="3">
        <f t="shared" ca="1" si="55"/>
        <v>1</v>
      </c>
      <c r="CM41" s="3"/>
      <c r="CN41" s="1">
        <f t="shared" ca="1" si="56"/>
        <v>17.369463895580306</v>
      </c>
      <c r="CO41" s="1">
        <f t="shared" ca="1" si="57"/>
        <v>0.36427684795446191</v>
      </c>
      <c r="CP41" s="1">
        <f t="shared" ca="1" si="58"/>
        <v>5</v>
      </c>
      <c r="DH41" s="1">
        <f t="shared" ca="1" si="59"/>
        <v>205</v>
      </c>
      <c r="DI41" s="1">
        <f t="shared" ca="1" si="60"/>
        <v>0.14377213737677613</v>
      </c>
      <c r="DJ41" s="1">
        <f t="shared" ca="1" si="61"/>
        <v>28</v>
      </c>
      <c r="DL41" s="1">
        <f t="shared" ca="1" si="62"/>
        <v>0.11266073561824932</v>
      </c>
      <c r="DM41" s="1">
        <f t="shared" ca="1" si="63"/>
        <v>252</v>
      </c>
      <c r="DN41" s="1">
        <f t="shared" ca="1" si="64"/>
        <v>4</v>
      </c>
    </row>
    <row r="42" spans="2:118" x14ac:dyDescent="0.25">
      <c r="B42">
        <f t="shared" ca="1" si="0"/>
        <v>129</v>
      </c>
      <c r="C42">
        <f t="shared" ca="1" si="1"/>
        <v>14</v>
      </c>
      <c r="D42">
        <f t="shared" ca="1" si="2"/>
        <v>0.18117324563979842</v>
      </c>
      <c r="F42" s="1">
        <f t="shared" ca="1" si="3"/>
        <v>5</v>
      </c>
      <c r="G42" s="1">
        <f t="shared" ca="1" si="4"/>
        <v>20</v>
      </c>
      <c r="H42" s="1">
        <f t="shared" ca="1" si="5"/>
        <v>4</v>
      </c>
      <c r="I42" s="1"/>
      <c r="J42" s="1">
        <f t="shared" ca="1" si="6"/>
        <v>33</v>
      </c>
      <c r="K42" s="1">
        <f t="shared" ca="1" si="7"/>
        <v>2.751013102301691</v>
      </c>
      <c r="L42" s="1">
        <f t="shared" ca="1" si="8"/>
        <v>17</v>
      </c>
      <c r="M42" s="1"/>
      <c r="N42" s="1">
        <f t="shared" ca="1" si="9"/>
        <v>26</v>
      </c>
      <c r="O42" s="1">
        <f t="shared" ca="1" si="10"/>
        <v>38</v>
      </c>
      <c r="P42" s="1"/>
      <c r="Q42" s="1">
        <f t="shared" ca="1" si="11"/>
        <v>2.0596579142218676</v>
      </c>
      <c r="R42" s="1">
        <f t="shared" ca="1" si="12"/>
        <v>453</v>
      </c>
      <c r="S42" s="1"/>
      <c r="T42" s="1">
        <f t="shared" ca="1" si="13"/>
        <v>3.7579604983641102E-2</v>
      </c>
      <c r="U42" s="1">
        <f t="shared" ca="1" si="14"/>
        <v>173</v>
      </c>
      <c r="V42" s="1">
        <f t="shared" ca="1" si="15"/>
        <v>26</v>
      </c>
      <c r="W42" s="1"/>
      <c r="X42" s="1">
        <f t="shared" ca="1" si="16"/>
        <v>7.4472436847860415</v>
      </c>
      <c r="Y42" s="1">
        <f t="shared" ca="1" si="17"/>
        <v>0.45026552281745535</v>
      </c>
      <c r="Z42" s="1">
        <f t="shared" ca="1" si="18"/>
        <v>1272</v>
      </c>
      <c r="AB42" s="1">
        <f t="shared" ca="1" si="19"/>
        <v>0.87499655568536261</v>
      </c>
      <c r="AC42" s="1">
        <f t="shared" ca="1" si="20"/>
        <v>961</v>
      </c>
      <c r="AD42" s="1">
        <f t="shared" ca="1" si="21"/>
        <v>5.4359087807926961E-4</v>
      </c>
      <c r="AE42" s="1"/>
      <c r="AF42" s="1">
        <f t="shared" ca="1" si="22"/>
        <v>0.13549212628095975</v>
      </c>
      <c r="AG42" s="1">
        <f t="shared" ca="1" si="23"/>
        <v>771</v>
      </c>
      <c r="AH42" s="1">
        <f t="shared" ca="1" si="24"/>
        <v>6.6166162249311246E-3</v>
      </c>
      <c r="AJ42" s="1">
        <f t="shared" ca="1" si="25"/>
        <v>0.6581124020723903</v>
      </c>
      <c r="AK42" s="1">
        <f t="shared" ca="1" si="26"/>
        <v>4.8564045381333035E-3</v>
      </c>
      <c r="AL42" s="1"/>
      <c r="AM42" s="1">
        <f t="shared" ca="1" si="27"/>
        <v>0.18170461002435981</v>
      </c>
      <c r="AN42" s="1">
        <f t="shared" ca="1" si="28"/>
        <v>63</v>
      </c>
      <c r="AO42" s="1">
        <f t="shared" ca="1" si="29"/>
        <v>14</v>
      </c>
      <c r="AQ42" s="1">
        <f t="shared" ca="1" si="30"/>
        <v>186</v>
      </c>
      <c r="AR42" s="1">
        <f t="shared" ca="1" si="31"/>
        <v>0</v>
      </c>
      <c r="AS42" s="1">
        <f t="shared" ca="1" si="32"/>
        <v>65</v>
      </c>
      <c r="AU42" s="1">
        <f t="shared" ca="1" si="33"/>
        <v>306</v>
      </c>
      <c r="AV42" s="1">
        <f t="shared" ca="1" si="34"/>
        <v>2</v>
      </c>
      <c r="AW42" s="1">
        <f t="shared" ca="1" si="35"/>
        <v>0.14782842056590731</v>
      </c>
      <c r="AY42" s="1">
        <f t="shared" ca="1" si="36"/>
        <v>1.9487323680598001</v>
      </c>
      <c r="AZ42" s="1">
        <f t="shared" ca="1" si="37"/>
        <v>434</v>
      </c>
      <c r="BA42" s="1">
        <f t="shared" ca="1" si="38"/>
        <v>8.4048445685619907E-3</v>
      </c>
      <c r="BG42" s="1">
        <f t="shared" ca="1" si="39"/>
        <v>0.95396431969105089</v>
      </c>
      <c r="BH42" s="1">
        <f t="shared" ca="1" si="40"/>
        <v>0.517227741290193</v>
      </c>
      <c r="BI42" s="1">
        <f t="shared" ca="1" si="41"/>
        <v>696</v>
      </c>
      <c r="BV42" s="1">
        <f t="shared" ca="1" si="42"/>
        <v>0.30444105967023705</v>
      </c>
      <c r="BW42" s="1">
        <f t="shared" ca="1" si="43"/>
        <v>535</v>
      </c>
      <c r="BX42" s="1">
        <f t="shared" ca="1" si="44"/>
        <v>7.2527939353654635E-3</v>
      </c>
      <c r="BY42" s="1">
        <f t="shared" ca="1" si="45"/>
        <v>8.9094276436905248E-2</v>
      </c>
      <c r="BZ42" s="1">
        <f t="shared" ca="1" si="46"/>
        <v>0.11122910579210665</v>
      </c>
      <c r="CB42" s="1">
        <f t="shared" ca="1" si="47"/>
        <v>487</v>
      </c>
      <c r="CC42" s="1">
        <f t="shared" ca="1" si="48"/>
        <v>10</v>
      </c>
      <c r="CD42" s="1">
        <f t="shared" ca="1" si="49"/>
        <v>6.1363254809377231E-2</v>
      </c>
      <c r="CE42" s="1">
        <f t="shared" ca="1" si="65"/>
        <v>0.93897488383355143</v>
      </c>
      <c r="CF42" s="1">
        <f t="shared" ca="1" si="65"/>
        <v>0.7330641696689757</v>
      </c>
      <c r="CH42" s="3">
        <f t="shared" ca="1" si="51"/>
        <v>0.61873218724569157</v>
      </c>
      <c r="CI42" s="3">
        <f t="shared" ca="1" si="52"/>
        <v>0.9275117779962907</v>
      </c>
      <c r="CJ42" s="3">
        <f t="shared" ca="1" si="53"/>
        <v>1294</v>
      </c>
      <c r="CK42" s="3">
        <f t="shared" ca="1" si="54"/>
        <v>9.0524518955966936E-3</v>
      </c>
      <c r="CL42" s="3">
        <f t="shared" ca="1" si="55"/>
        <v>0</v>
      </c>
      <c r="CM42" s="3"/>
      <c r="CN42" s="1">
        <f t="shared" ca="1" si="56"/>
        <v>12.675714121158808</v>
      </c>
      <c r="CO42" s="1">
        <f t="shared" ca="1" si="57"/>
        <v>7.1231135657780817E-2</v>
      </c>
      <c r="CP42" s="1">
        <f t="shared" ca="1" si="58"/>
        <v>5</v>
      </c>
      <c r="DH42" s="1">
        <f t="shared" ca="1" si="59"/>
        <v>281</v>
      </c>
      <c r="DI42" s="1">
        <f t="shared" ca="1" si="60"/>
        <v>2.9780831032015297E-2</v>
      </c>
      <c r="DJ42" s="1">
        <f t="shared" ca="1" si="61"/>
        <v>29</v>
      </c>
      <c r="DL42" s="1">
        <f t="shared" ca="1" si="62"/>
        <v>0.17248589571161735</v>
      </c>
      <c r="DM42" s="1">
        <f t="shared" ca="1" si="63"/>
        <v>187</v>
      </c>
      <c r="DN42" s="1">
        <f t="shared" ca="1" si="64"/>
        <v>6</v>
      </c>
    </row>
    <row r="43" spans="2:118" x14ac:dyDescent="0.25">
      <c r="B43">
        <f t="shared" ca="1" si="0"/>
        <v>698</v>
      </c>
      <c r="C43">
        <f t="shared" ca="1" si="1"/>
        <v>18</v>
      </c>
      <c r="D43">
        <f t="shared" ca="1" si="2"/>
        <v>0.12709519559969074</v>
      </c>
      <c r="F43" s="1">
        <f t="shared" ca="1" si="3"/>
        <v>13</v>
      </c>
      <c r="G43" s="1">
        <f t="shared" ca="1" si="4"/>
        <v>17</v>
      </c>
      <c r="H43" s="1">
        <f t="shared" ca="1" si="5"/>
        <v>6</v>
      </c>
      <c r="I43" s="1"/>
      <c r="J43" s="1">
        <f t="shared" ca="1" si="6"/>
        <v>12</v>
      </c>
      <c r="K43" s="1">
        <f t="shared" ca="1" si="7"/>
        <v>2.0696777924006353</v>
      </c>
      <c r="L43" s="1">
        <f t="shared" ca="1" si="8"/>
        <v>27</v>
      </c>
      <c r="M43" s="1"/>
      <c r="N43" s="1">
        <f t="shared" ca="1" si="9"/>
        <v>273</v>
      </c>
      <c r="O43" s="1">
        <f t="shared" ca="1" si="10"/>
        <v>30</v>
      </c>
      <c r="P43" s="1"/>
      <c r="Q43" s="1">
        <f t="shared" ca="1" si="11"/>
        <v>1.6237981956849654</v>
      </c>
      <c r="R43" s="1">
        <f t="shared" ca="1" si="12"/>
        <v>437</v>
      </c>
      <c r="S43" s="1"/>
      <c r="T43" s="1">
        <f t="shared" ca="1" si="13"/>
        <v>9.1207738276173511E-2</v>
      </c>
      <c r="U43" s="1">
        <f t="shared" ca="1" si="14"/>
        <v>411</v>
      </c>
      <c r="V43" s="1">
        <f t="shared" ca="1" si="15"/>
        <v>39</v>
      </c>
      <c r="W43" s="1"/>
      <c r="X43" s="1">
        <f t="shared" ca="1" si="16"/>
        <v>7.3868715366578321</v>
      </c>
      <c r="Y43" s="1">
        <f t="shared" ca="1" si="17"/>
        <v>0.78535423088862655</v>
      </c>
      <c r="Z43" s="1">
        <f t="shared" ca="1" si="18"/>
        <v>1583</v>
      </c>
      <c r="AB43" s="1">
        <f t="shared" ca="1" si="19"/>
        <v>0.51132154100210847</v>
      </c>
      <c r="AC43" s="1">
        <f t="shared" ca="1" si="20"/>
        <v>922</v>
      </c>
      <c r="AD43" s="1">
        <f t="shared" ca="1" si="21"/>
        <v>6.1652481412633768E-3</v>
      </c>
      <c r="AE43" s="1"/>
      <c r="AF43" s="1">
        <f t="shared" ca="1" si="22"/>
        <v>0.17533358447465766</v>
      </c>
      <c r="AG43" s="1">
        <f t="shared" ca="1" si="23"/>
        <v>742</v>
      </c>
      <c r="AH43" s="1">
        <f t="shared" ca="1" si="24"/>
        <v>8.9393071611498526E-3</v>
      </c>
      <c r="AJ43" s="1">
        <f t="shared" ca="1" si="25"/>
        <v>0.94086479344828367</v>
      </c>
      <c r="AK43" s="1">
        <f t="shared" ca="1" si="26"/>
        <v>1.5072331746840772E-4</v>
      </c>
      <c r="AL43" s="1"/>
      <c r="AM43" s="1">
        <f t="shared" ca="1" si="27"/>
        <v>6.2633284803550057E-2</v>
      </c>
      <c r="AN43" s="1">
        <f t="shared" ca="1" si="28"/>
        <v>25</v>
      </c>
      <c r="AO43" s="1">
        <f t="shared" ca="1" si="29"/>
        <v>12</v>
      </c>
      <c r="AQ43" s="1">
        <f t="shared" ca="1" si="30"/>
        <v>192</v>
      </c>
      <c r="AR43" s="1">
        <f t="shared" ca="1" si="31"/>
        <v>6</v>
      </c>
      <c r="AS43" s="1">
        <f t="shared" ca="1" si="32"/>
        <v>70</v>
      </c>
      <c r="AU43" s="1">
        <f t="shared" ca="1" si="33"/>
        <v>134</v>
      </c>
      <c r="AV43" s="1">
        <f t="shared" ca="1" si="34"/>
        <v>6</v>
      </c>
      <c r="AW43" s="1">
        <f t="shared" ca="1" si="35"/>
        <v>0.11267155155966231</v>
      </c>
      <c r="AY43" s="1">
        <f t="shared" ca="1" si="36"/>
        <v>1.5124965623184308</v>
      </c>
      <c r="AZ43" s="1">
        <f t="shared" ca="1" si="37"/>
        <v>382</v>
      </c>
      <c r="BA43" s="1">
        <f t="shared" ca="1" si="38"/>
        <v>5.3729129986727431E-3</v>
      </c>
      <c r="BG43" s="1">
        <f t="shared" ca="1" si="39"/>
        <v>0.92632452468070448</v>
      </c>
      <c r="BH43" s="1">
        <f t="shared" ca="1" si="40"/>
        <v>0.436447426123583</v>
      </c>
      <c r="BI43" s="1">
        <f t="shared" ca="1" si="41"/>
        <v>275</v>
      </c>
      <c r="BV43" s="1">
        <f t="shared" ca="1" si="42"/>
        <v>0.51840060682958278</v>
      </c>
      <c r="BW43" s="1">
        <f t="shared" ca="1" si="43"/>
        <v>437</v>
      </c>
      <c r="BX43" s="1">
        <f t="shared" ca="1" si="44"/>
        <v>7.7029762863966178E-4</v>
      </c>
      <c r="BY43" s="1">
        <f t="shared" ca="1" si="45"/>
        <v>5.6143154344904932E-2</v>
      </c>
      <c r="BZ43" s="1">
        <f t="shared" ca="1" si="46"/>
        <v>0.48326717287201104</v>
      </c>
      <c r="CB43" s="1">
        <f t="shared" ca="1" si="47"/>
        <v>152</v>
      </c>
      <c r="CC43" s="1">
        <f t="shared" ca="1" si="48"/>
        <v>11</v>
      </c>
      <c r="CD43" s="1">
        <f t="shared" ca="1" si="49"/>
        <v>6.7747234631598208E-2</v>
      </c>
      <c r="CE43" s="1">
        <f t="shared" ca="1" si="65"/>
        <v>0.93151012294695668</v>
      </c>
      <c r="CF43" s="1">
        <f t="shared" ca="1" si="65"/>
        <v>0.79714790868464447</v>
      </c>
      <c r="CH43" s="3">
        <f t="shared" ca="1" si="51"/>
        <v>0.95640055789215139</v>
      </c>
      <c r="CI43" s="3">
        <f t="shared" ca="1" si="52"/>
        <v>0.42344433931884945</v>
      </c>
      <c r="CJ43" s="3">
        <f t="shared" ca="1" si="53"/>
        <v>1434</v>
      </c>
      <c r="CK43" s="3">
        <f t="shared" ca="1" si="54"/>
        <v>9.1125132312024036E-3</v>
      </c>
      <c r="CL43" s="3">
        <f t="shared" ca="1" si="55"/>
        <v>0</v>
      </c>
      <c r="CM43" s="3"/>
      <c r="CN43" s="1">
        <f t="shared" ca="1" si="56"/>
        <v>11.372010089488699</v>
      </c>
      <c r="CO43" s="1">
        <f t="shared" ca="1" si="57"/>
        <v>0.42444554356829034</v>
      </c>
      <c r="CP43" s="1">
        <f t="shared" ca="1" si="58"/>
        <v>2</v>
      </c>
      <c r="DH43" s="1">
        <f t="shared" ca="1" si="59"/>
        <v>628</v>
      </c>
      <c r="DI43" s="1">
        <f t="shared" ca="1" si="60"/>
        <v>0.21537050332746976</v>
      </c>
      <c r="DJ43" s="1">
        <f t="shared" ca="1" si="61"/>
        <v>25</v>
      </c>
      <c r="DL43" s="1">
        <f t="shared" ca="1" si="62"/>
        <v>0.18101287497534729</v>
      </c>
      <c r="DM43" s="1">
        <f t="shared" ca="1" si="63"/>
        <v>88</v>
      </c>
      <c r="DN43" s="1">
        <f t="shared" ca="1" si="64"/>
        <v>3</v>
      </c>
    </row>
    <row r="44" spans="2:118" x14ac:dyDescent="0.25">
      <c r="B44">
        <f t="shared" ca="1" si="0"/>
        <v>755</v>
      </c>
      <c r="C44">
        <f t="shared" ca="1" si="1"/>
        <v>40</v>
      </c>
      <c r="D44">
        <f t="shared" ca="1" si="2"/>
        <v>0.13256503644856021</v>
      </c>
      <c r="F44" s="1">
        <f t="shared" ca="1" si="3"/>
        <v>33</v>
      </c>
      <c r="G44" s="1">
        <f t="shared" ca="1" si="4"/>
        <v>19</v>
      </c>
      <c r="H44" s="1">
        <f t="shared" ca="1" si="5"/>
        <v>1</v>
      </c>
      <c r="I44" s="1"/>
      <c r="J44" s="1">
        <f t="shared" ca="1" si="6"/>
        <v>10</v>
      </c>
      <c r="K44" s="1">
        <f t="shared" ca="1" si="7"/>
        <v>2.5349949189313428</v>
      </c>
      <c r="L44" s="1">
        <f t="shared" ca="1" si="8"/>
        <v>26</v>
      </c>
      <c r="M44" s="1"/>
      <c r="N44" s="1">
        <f t="shared" ca="1" si="9"/>
        <v>741</v>
      </c>
      <c r="O44" s="1">
        <f t="shared" ca="1" si="10"/>
        <v>3</v>
      </c>
      <c r="P44" s="1"/>
      <c r="Q44" s="1">
        <f t="shared" ca="1" si="11"/>
        <v>1.8752376619818338</v>
      </c>
      <c r="R44" s="1">
        <f t="shared" ca="1" si="12"/>
        <v>843</v>
      </c>
      <c r="S44" s="1"/>
      <c r="T44" s="1">
        <f t="shared" ca="1" si="13"/>
        <v>0.1340535560867164</v>
      </c>
      <c r="U44" s="1">
        <f t="shared" ca="1" si="14"/>
        <v>110</v>
      </c>
      <c r="V44" s="1">
        <f t="shared" ca="1" si="15"/>
        <v>17</v>
      </c>
      <c r="W44" s="1"/>
      <c r="X44" s="1">
        <f t="shared" ca="1" si="16"/>
        <v>5.3769792831764383</v>
      </c>
      <c r="Y44" s="1">
        <f t="shared" ca="1" si="17"/>
        <v>1.7038705666980465E-2</v>
      </c>
      <c r="Z44" s="1">
        <f t="shared" ca="1" si="18"/>
        <v>723</v>
      </c>
      <c r="AB44" s="1">
        <f t="shared" ca="1" si="19"/>
        <v>0.69100729524054882</v>
      </c>
      <c r="AC44" s="1">
        <f t="shared" ca="1" si="20"/>
        <v>318</v>
      </c>
      <c r="AD44" s="1">
        <f t="shared" ca="1" si="21"/>
        <v>1.6234486746083804E-3</v>
      </c>
      <c r="AE44" s="1"/>
      <c r="AF44" s="1">
        <f t="shared" ca="1" si="22"/>
        <v>0.34852008141212237</v>
      </c>
      <c r="AG44" s="1">
        <f t="shared" ca="1" si="23"/>
        <v>335</v>
      </c>
      <c r="AH44" s="1">
        <f t="shared" ca="1" si="24"/>
        <v>7.4140989033101672E-3</v>
      </c>
      <c r="AJ44" s="1">
        <f t="shared" ca="1" si="25"/>
        <v>0.67151045700791456</v>
      </c>
      <c r="AK44" s="1">
        <f t="shared" ca="1" si="26"/>
        <v>7.7900467942689639E-4</v>
      </c>
      <c r="AL44" s="1"/>
      <c r="AM44" s="1">
        <f t="shared" ca="1" si="27"/>
        <v>0.13196929331502577</v>
      </c>
      <c r="AN44" s="1">
        <f t="shared" ca="1" si="28"/>
        <v>51</v>
      </c>
      <c r="AO44" s="1">
        <f t="shared" ca="1" si="29"/>
        <v>0</v>
      </c>
      <c r="AQ44" s="1">
        <f t="shared" ca="1" si="30"/>
        <v>165</v>
      </c>
      <c r="AR44" s="1">
        <f t="shared" ca="1" si="31"/>
        <v>5</v>
      </c>
      <c r="AS44" s="1">
        <f t="shared" ca="1" si="32"/>
        <v>7</v>
      </c>
      <c r="AU44" s="1">
        <f t="shared" ca="1" si="33"/>
        <v>390</v>
      </c>
      <c r="AV44" s="1">
        <f t="shared" ca="1" si="34"/>
        <v>3</v>
      </c>
      <c r="AW44" s="1">
        <f t="shared" ca="1" si="35"/>
        <v>0.15565154118666832</v>
      </c>
      <c r="AY44" s="1">
        <f t="shared" ca="1" si="36"/>
        <v>1.8345214442199511</v>
      </c>
      <c r="AZ44" s="1">
        <f t="shared" ca="1" si="37"/>
        <v>126</v>
      </c>
      <c r="BA44" s="1">
        <f t="shared" ca="1" si="38"/>
        <v>8.2884929015542234E-3</v>
      </c>
      <c r="BG44" s="1">
        <f t="shared" ca="1" si="39"/>
        <v>0.38719185679652512</v>
      </c>
      <c r="BH44" s="1">
        <f t="shared" ca="1" si="40"/>
        <v>0.39488392783012494</v>
      </c>
      <c r="BI44" s="1">
        <f t="shared" ca="1" si="41"/>
        <v>789</v>
      </c>
      <c r="BV44" s="1">
        <f t="shared" ca="1" si="42"/>
        <v>0.68853563375852733</v>
      </c>
      <c r="BW44" s="1">
        <f t="shared" ca="1" si="43"/>
        <v>510</v>
      </c>
      <c r="BX44" s="1">
        <f t="shared" ca="1" si="44"/>
        <v>6.997372947754074E-3</v>
      </c>
      <c r="BY44" s="1">
        <f t="shared" ca="1" si="45"/>
        <v>7.5075124946463817E-2</v>
      </c>
      <c r="BZ44" s="1">
        <f t="shared" ca="1" si="46"/>
        <v>0.20710761475878248</v>
      </c>
      <c r="CB44" s="1">
        <f t="shared" ca="1" si="47"/>
        <v>405</v>
      </c>
      <c r="CC44" s="1">
        <f t="shared" ca="1" si="48"/>
        <v>9</v>
      </c>
      <c r="CD44" s="1">
        <f t="shared" ca="1" si="49"/>
        <v>0.13504922612489198</v>
      </c>
      <c r="CE44" s="1">
        <f t="shared" ca="1" si="65"/>
        <v>0.67585252964754394</v>
      </c>
      <c r="CF44" s="1">
        <f t="shared" ca="1" si="65"/>
        <v>0.86666473548338019</v>
      </c>
      <c r="CH44" s="3">
        <f t="shared" ca="1" si="51"/>
        <v>0.84688815060476663</v>
      </c>
      <c r="CI44" s="3">
        <f t="shared" ca="1" si="52"/>
        <v>0.65265019166456761</v>
      </c>
      <c r="CJ44" s="3">
        <f t="shared" ca="1" si="53"/>
        <v>889</v>
      </c>
      <c r="CK44" s="3">
        <f t="shared" ca="1" si="54"/>
        <v>8.2707234828186572E-3</v>
      </c>
      <c r="CL44" s="3">
        <f t="shared" ca="1" si="55"/>
        <v>0</v>
      </c>
      <c r="CM44" s="3"/>
      <c r="CN44" s="1">
        <f t="shared" ca="1" si="56"/>
        <v>0.55094834135599091</v>
      </c>
      <c r="CO44" s="1">
        <f t="shared" ca="1" si="57"/>
        <v>0.35135298850009367</v>
      </c>
      <c r="CP44" s="1">
        <f t="shared" ca="1" si="58"/>
        <v>5</v>
      </c>
      <c r="DH44" s="1">
        <f t="shared" ca="1" si="59"/>
        <v>504</v>
      </c>
      <c r="DI44" s="1">
        <f t="shared" ca="1" si="60"/>
        <v>0.15013062030574645</v>
      </c>
      <c r="DJ44" s="1">
        <f t="shared" ca="1" si="61"/>
        <v>11</v>
      </c>
      <c r="DL44" s="1">
        <f t="shared" ca="1" si="62"/>
        <v>8.1787847758088256E-2</v>
      </c>
      <c r="DM44" s="1">
        <f t="shared" ca="1" si="63"/>
        <v>84</v>
      </c>
      <c r="DN44" s="1">
        <f t="shared" ca="1" si="64"/>
        <v>9</v>
      </c>
    </row>
    <row r="45" spans="2:118" x14ac:dyDescent="0.25">
      <c r="B45">
        <f t="shared" ca="1" si="0"/>
        <v>299</v>
      </c>
      <c r="C45">
        <f t="shared" ca="1" si="1"/>
        <v>34</v>
      </c>
      <c r="D45">
        <f t="shared" ca="1" si="2"/>
        <v>0.21550811421091645</v>
      </c>
      <c r="F45" s="1">
        <f t="shared" ca="1" si="3"/>
        <v>31</v>
      </c>
      <c r="G45" s="1">
        <f t="shared" ca="1" si="4"/>
        <v>17</v>
      </c>
      <c r="H45" s="1">
        <f t="shared" ca="1" si="5"/>
        <v>7</v>
      </c>
      <c r="I45" s="1"/>
      <c r="J45" s="1">
        <f t="shared" ca="1" si="6"/>
        <v>12</v>
      </c>
      <c r="K45" s="1">
        <f t="shared" ca="1" si="7"/>
        <v>1.3138512255873591</v>
      </c>
      <c r="L45" s="1">
        <f t="shared" ca="1" si="8"/>
        <v>33</v>
      </c>
      <c r="M45" s="1"/>
      <c r="N45" s="1">
        <f t="shared" ca="1" si="9"/>
        <v>92</v>
      </c>
      <c r="O45" s="1">
        <f t="shared" ca="1" si="10"/>
        <v>4</v>
      </c>
      <c r="P45" s="1"/>
      <c r="Q45" s="1">
        <f t="shared" ca="1" si="11"/>
        <v>2.9141821157187815</v>
      </c>
      <c r="R45" s="1">
        <f t="shared" ca="1" si="12"/>
        <v>236</v>
      </c>
      <c r="S45" s="1"/>
      <c r="T45" s="1">
        <f t="shared" ca="1" si="13"/>
        <v>9.9190751023426005E-2</v>
      </c>
      <c r="U45" s="1">
        <f t="shared" ca="1" si="14"/>
        <v>348</v>
      </c>
      <c r="V45" s="1">
        <f t="shared" ca="1" si="15"/>
        <v>2</v>
      </c>
      <c r="W45" s="1"/>
      <c r="X45" s="1">
        <f t="shared" ca="1" si="16"/>
        <v>3.052402652510235</v>
      </c>
      <c r="Y45" s="1">
        <f t="shared" ca="1" si="17"/>
        <v>0.29696809538987595</v>
      </c>
      <c r="Z45" s="1">
        <f t="shared" ca="1" si="18"/>
        <v>1889</v>
      </c>
      <c r="AB45" s="1">
        <f t="shared" ca="1" si="19"/>
        <v>0.34389245409835328</v>
      </c>
      <c r="AC45" s="1">
        <f t="shared" ca="1" si="20"/>
        <v>814</v>
      </c>
      <c r="AD45" s="1">
        <f t="shared" ca="1" si="21"/>
        <v>9.6754966999307926E-3</v>
      </c>
      <c r="AE45" s="1"/>
      <c r="AF45" s="1">
        <f t="shared" ca="1" si="22"/>
        <v>0.20262833344533002</v>
      </c>
      <c r="AG45" s="1">
        <f t="shared" ca="1" si="23"/>
        <v>293</v>
      </c>
      <c r="AH45" s="1">
        <f t="shared" ca="1" si="24"/>
        <v>6.7316832982270199E-3</v>
      </c>
      <c r="AJ45" s="1">
        <f t="shared" ca="1" si="25"/>
        <v>0.17723571220145418</v>
      </c>
      <c r="AK45" s="1">
        <f t="shared" ca="1" si="26"/>
        <v>6.537239559360435E-3</v>
      </c>
      <c r="AL45" s="1"/>
      <c r="AM45" s="1">
        <f t="shared" ca="1" si="27"/>
        <v>0.16091513380375908</v>
      </c>
      <c r="AN45" s="1">
        <f t="shared" ca="1" si="28"/>
        <v>46</v>
      </c>
      <c r="AO45" s="1">
        <f t="shared" ca="1" si="29"/>
        <v>6</v>
      </c>
      <c r="AQ45" s="1">
        <f t="shared" ca="1" si="30"/>
        <v>93</v>
      </c>
      <c r="AR45" s="1">
        <f t="shared" ca="1" si="31"/>
        <v>10</v>
      </c>
      <c r="AS45" s="1">
        <f t="shared" ca="1" si="32"/>
        <v>55</v>
      </c>
      <c r="AU45" s="1">
        <f t="shared" ca="1" si="33"/>
        <v>91</v>
      </c>
      <c r="AV45" s="1">
        <f t="shared" ca="1" si="34"/>
        <v>4</v>
      </c>
      <c r="AW45" s="1">
        <f t="shared" ca="1" si="35"/>
        <v>8.893417802253778E-2</v>
      </c>
      <c r="AY45" s="1">
        <f t="shared" ca="1" si="36"/>
        <v>1.15218688971872</v>
      </c>
      <c r="AZ45" s="1">
        <f t="shared" ca="1" si="37"/>
        <v>475</v>
      </c>
      <c r="BA45" s="1">
        <f t="shared" ca="1" si="38"/>
        <v>8.0767671506530962E-3</v>
      </c>
      <c r="BG45" s="1">
        <f t="shared" ca="1" si="39"/>
        <v>0.26963799508096342</v>
      </c>
      <c r="BH45" s="1">
        <f t="shared" ca="1" si="40"/>
        <v>0.80929536748807784</v>
      </c>
      <c r="BI45" s="1">
        <f t="shared" ca="1" si="41"/>
        <v>969</v>
      </c>
      <c r="BV45" s="1">
        <f t="shared" ca="1" si="42"/>
        <v>0.24976982089494359</v>
      </c>
      <c r="BW45" s="1">
        <f t="shared" ca="1" si="43"/>
        <v>683</v>
      </c>
      <c r="BX45" s="1">
        <f t="shared" ca="1" si="44"/>
        <v>9.3398529280593957E-4</v>
      </c>
      <c r="BY45" s="1">
        <f t="shared" ca="1" si="45"/>
        <v>4.7217959342231698E-2</v>
      </c>
      <c r="BZ45" s="1">
        <f t="shared" ca="1" si="46"/>
        <v>0.20768916450868036</v>
      </c>
      <c r="CB45" s="1">
        <f t="shared" ca="1" si="47"/>
        <v>229</v>
      </c>
      <c r="CC45" s="1">
        <f t="shared" ca="1" si="48"/>
        <v>11</v>
      </c>
      <c r="CD45" s="1">
        <f t="shared" ca="1" si="49"/>
        <v>0.27102506698800022</v>
      </c>
      <c r="CE45" s="1">
        <f t="shared" ca="1" si="65"/>
        <v>0.57523486614059371</v>
      </c>
      <c r="CF45" s="1">
        <f t="shared" ca="1" si="65"/>
        <v>0.75320449606005313</v>
      </c>
      <c r="CH45" s="3">
        <f t="shared" ca="1" si="51"/>
        <v>0.81261441707773663</v>
      </c>
      <c r="CI45" s="3">
        <f t="shared" ca="1" si="52"/>
        <v>0.96938640921755426</v>
      </c>
      <c r="CJ45" s="3">
        <f t="shared" ca="1" si="53"/>
        <v>264</v>
      </c>
      <c r="CK45" s="3">
        <f t="shared" ca="1" si="54"/>
        <v>1.7146647067801913E-3</v>
      </c>
      <c r="CL45" s="3">
        <f t="shared" ca="1" si="55"/>
        <v>0</v>
      </c>
      <c r="CM45" s="3"/>
      <c r="CN45" s="1">
        <f t="shared" ca="1" si="56"/>
        <v>5.6961335986731756</v>
      </c>
      <c r="CO45" s="1">
        <f t="shared" ca="1" si="57"/>
        <v>0.1198302442959527</v>
      </c>
      <c r="CP45" s="1">
        <f t="shared" ca="1" si="58"/>
        <v>5</v>
      </c>
      <c r="DH45" s="1">
        <f t="shared" ca="1" si="59"/>
        <v>112</v>
      </c>
      <c r="DI45" s="1">
        <f t="shared" ca="1" si="60"/>
        <v>0.49465563670191581</v>
      </c>
      <c r="DJ45" s="1">
        <f t="shared" ca="1" si="61"/>
        <v>23</v>
      </c>
      <c r="DL45" s="1">
        <f t="shared" ca="1" si="62"/>
        <v>0.11130592796329275</v>
      </c>
      <c r="DM45" s="1">
        <f t="shared" ca="1" si="63"/>
        <v>199</v>
      </c>
      <c r="DN45" s="1">
        <f t="shared" ca="1" si="64"/>
        <v>6</v>
      </c>
    </row>
    <row r="46" spans="2:118" x14ac:dyDescent="0.25">
      <c r="B46">
        <f t="shared" ca="1" si="0"/>
        <v>740</v>
      </c>
      <c r="C46">
        <f t="shared" ca="1" si="1"/>
        <v>38</v>
      </c>
      <c r="D46">
        <f t="shared" ca="1" si="2"/>
        <v>0.29344811719331182</v>
      </c>
      <c r="F46" s="1">
        <f t="shared" ca="1" si="3"/>
        <v>22</v>
      </c>
      <c r="G46" s="1">
        <f t="shared" ca="1" si="4"/>
        <v>4</v>
      </c>
      <c r="H46" s="1">
        <f t="shared" ca="1" si="5"/>
        <v>12</v>
      </c>
      <c r="I46" s="1"/>
      <c r="J46" s="1">
        <f t="shared" ca="1" si="6"/>
        <v>10</v>
      </c>
      <c r="K46" s="1">
        <f t="shared" ca="1" si="7"/>
        <v>2.415476713595071</v>
      </c>
      <c r="L46" s="1">
        <f t="shared" ca="1" si="8"/>
        <v>30</v>
      </c>
      <c r="M46" s="1"/>
      <c r="N46" s="1">
        <f t="shared" ca="1" si="9"/>
        <v>428</v>
      </c>
      <c r="O46" s="1">
        <f t="shared" ca="1" si="10"/>
        <v>10</v>
      </c>
      <c r="P46" s="1"/>
      <c r="Q46" s="1">
        <f t="shared" ca="1" si="11"/>
        <v>0.62060041906617869</v>
      </c>
      <c r="R46" s="1">
        <f t="shared" ca="1" si="12"/>
        <v>954</v>
      </c>
      <c r="S46" s="1"/>
      <c r="T46" s="1">
        <f t="shared" ca="1" si="13"/>
        <v>0.12782217226068882</v>
      </c>
      <c r="U46" s="1">
        <f t="shared" ca="1" si="14"/>
        <v>399</v>
      </c>
      <c r="V46" s="1">
        <f t="shared" ca="1" si="15"/>
        <v>16</v>
      </c>
      <c r="W46" s="1"/>
      <c r="X46" s="1">
        <f t="shared" ca="1" si="16"/>
        <v>3.1303780531689074</v>
      </c>
      <c r="Y46" s="1">
        <f t="shared" ca="1" si="17"/>
        <v>0.77262132223454405</v>
      </c>
      <c r="Z46" s="1">
        <f t="shared" ca="1" si="18"/>
        <v>842</v>
      </c>
      <c r="AB46" s="1">
        <f t="shared" ca="1" si="19"/>
        <v>0.82090304340567688</v>
      </c>
      <c r="AC46" s="1">
        <f t="shared" ca="1" si="20"/>
        <v>473</v>
      </c>
      <c r="AD46" s="1">
        <f t="shared" ca="1" si="21"/>
        <v>5.397932731151178E-3</v>
      </c>
      <c r="AE46" s="1"/>
      <c r="AF46" s="1">
        <f t="shared" ca="1" si="22"/>
        <v>0.45972847142941287</v>
      </c>
      <c r="AG46" s="1">
        <f t="shared" ca="1" si="23"/>
        <v>488</v>
      </c>
      <c r="AH46" s="1">
        <f t="shared" ca="1" si="24"/>
        <v>7.8685763558565963E-3</v>
      </c>
      <c r="AJ46" s="1">
        <f t="shared" ca="1" si="25"/>
        <v>0.48083989599105847</v>
      </c>
      <c r="AK46" s="1">
        <f t="shared" ca="1" si="26"/>
        <v>2.2107818694363669E-3</v>
      </c>
      <c r="AL46" s="1"/>
      <c r="AM46" s="1">
        <f t="shared" ca="1" si="27"/>
        <v>0.10950792951044426</v>
      </c>
      <c r="AN46" s="1">
        <f t="shared" ca="1" si="28"/>
        <v>12</v>
      </c>
      <c r="AO46" s="1">
        <f t="shared" ca="1" si="29"/>
        <v>9</v>
      </c>
      <c r="AQ46" s="1">
        <f t="shared" ca="1" si="30"/>
        <v>117</v>
      </c>
      <c r="AR46" s="1">
        <f t="shared" ca="1" si="31"/>
        <v>7</v>
      </c>
      <c r="AS46" s="1">
        <f t="shared" ca="1" si="32"/>
        <v>10</v>
      </c>
      <c r="AU46" s="1">
        <f t="shared" ca="1" si="33"/>
        <v>353</v>
      </c>
      <c r="AV46" s="1">
        <f t="shared" ca="1" si="34"/>
        <v>9</v>
      </c>
      <c r="AW46" s="1">
        <f t="shared" ca="1" si="35"/>
        <v>0.10550019317412165</v>
      </c>
      <c r="AY46" s="1">
        <f t="shared" ca="1" si="36"/>
        <v>1.9946773182501545</v>
      </c>
      <c r="AZ46" s="1">
        <f t="shared" ca="1" si="37"/>
        <v>169</v>
      </c>
      <c r="BA46" s="1">
        <f t="shared" ca="1" si="38"/>
        <v>2.865679993129163E-3</v>
      </c>
      <c r="BG46" s="1">
        <f t="shared" ca="1" si="39"/>
        <v>0.5295416262568895</v>
      </c>
      <c r="BH46" s="1">
        <f t="shared" ca="1" si="40"/>
        <v>0.48002323537199632</v>
      </c>
      <c r="BI46" s="1">
        <f t="shared" ca="1" si="41"/>
        <v>180</v>
      </c>
      <c r="BV46" s="1">
        <f t="shared" ca="1" si="42"/>
        <v>0.69263475984922696</v>
      </c>
      <c r="BW46" s="1">
        <f t="shared" ca="1" si="43"/>
        <v>893</v>
      </c>
      <c r="BX46" s="1">
        <f t="shared" ca="1" si="44"/>
        <v>3.5172753834288818E-3</v>
      </c>
      <c r="BY46" s="1">
        <f t="shared" ca="1" si="45"/>
        <v>8.8950417682138738E-2</v>
      </c>
      <c r="BZ46" s="1">
        <f t="shared" ca="1" si="46"/>
        <v>0.30892569409720827</v>
      </c>
      <c r="CB46" s="1">
        <f t="shared" ca="1" si="47"/>
        <v>382</v>
      </c>
      <c r="CC46" s="1">
        <f t="shared" ca="1" si="48"/>
        <v>14</v>
      </c>
      <c r="CD46" s="1">
        <f t="shared" ca="1" si="49"/>
        <v>5.0263077085250546E-2</v>
      </c>
      <c r="CE46" s="1">
        <f t="shared" ca="1" si="65"/>
        <v>0.71026376970702076</v>
      </c>
      <c r="CF46" s="1">
        <f t="shared" ca="1" si="65"/>
        <v>0.64350377994231522</v>
      </c>
      <c r="CH46" s="3">
        <f t="shared" ca="1" si="51"/>
        <v>0.74288772641471446</v>
      </c>
      <c r="CI46" s="3">
        <f t="shared" ca="1" si="52"/>
        <v>0.39626200158842395</v>
      </c>
      <c r="CJ46" s="3">
        <f t="shared" ca="1" si="53"/>
        <v>1128</v>
      </c>
      <c r="CK46" s="3">
        <f t="shared" ca="1" si="54"/>
        <v>8.2642080554404408E-3</v>
      </c>
      <c r="CL46" s="3">
        <f t="shared" ca="1" si="55"/>
        <v>0</v>
      </c>
      <c r="CM46" s="3"/>
      <c r="CN46" s="1">
        <f t="shared" ca="1" si="56"/>
        <v>16.556833105428073</v>
      </c>
      <c r="CO46" s="1">
        <f t="shared" ca="1" si="57"/>
        <v>0.4776562394301222</v>
      </c>
      <c r="CP46" s="1">
        <f t="shared" ca="1" si="58"/>
        <v>1</v>
      </c>
      <c r="DH46" s="1">
        <f t="shared" ca="1" si="59"/>
        <v>98</v>
      </c>
      <c r="DI46" s="1">
        <f t="shared" ca="1" si="60"/>
        <v>0.29916947581429215</v>
      </c>
      <c r="DJ46" s="1">
        <f t="shared" ca="1" si="61"/>
        <v>16</v>
      </c>
      <c r="DL46" s="1">
        <f t="shared" ca="1" si="62"/>
        <v>8.3698845435627237E-2</v>
      </c>
      <c r="DM46" s="1">
        <f t="shared" ca="1" si="63"/>
        <v>71</v>
      </c>
      <c r="DN46" s="1">
        <f t="shared" ca="1" si="64"/>
        <v>3</v>
      </c>
    </row>
    <row r="47" spans="2:118" x14ac:dyDescent="0.25">
      <c r="B47">
        <f t="shared" ca="1" si="0"/>
        <v>82</v>
      </c>
      <c r="C47">
        <f t="shared" ca="1" si="1"/>
        <v>17</v>
      </c>
      <c r="D47">
        <f t="shared" ca="1" si="2"/>
        <v>0.19967632036322136</v>
      </c>
      <c r="F47" s="1">
        <f t="shared" ca="1" si="3"/>
        <v>47</v>
      </c>
      <c r="G47" s="1">
        <f t="shared" ca="1" si="4"/>
        <v>3</v>
      </c>
      <c r="H47" s="1">
        <f t="shared" ca="1" si="5"/>
        <v>8</v>
      </c>
      <c r="I47" s="1"/>
      <c r="J47" s="1">
        <f t="shared" ca="1" si="6"/>
        <v>13</v>
      </c>
      <c r="K47" s="1">
        <f t="shared" ca="1" si="7"/>
        <v>1.7517861039806606</v>
      </c>
      <c r="L47" s="1">
        <f t="shared" ca="1" si="8"/>
        <v>6</v>
      </c>
      <c r="M47" s="1"/>
      <c r="N47" s="1">
        <f t="shared" ca="1" si="9"/>
        <v>978</v>
      </c>
      <c r="O47" s="1">
        <f t="shared" ca="1" si="10"/>
        <v>8</v>
      </c>
      <c r="P47" s="1"/>
      <c r="Q47" s="1">
        <f t="shared" ca="1" si="11"/>
        <v>4.668147977220622</v>
      </c>
      <c r="R47" s="1">
        <f t="shared" ca="1" si="12"/>
        <v>910</v>
      </c>
      <c r="S47" s="1"/>
      <c r="T47" s="1">
        <f t="shared" ca="1" si="13"/>
        <v>0.17156412856993167</v>
      </c>
      <c r="U47" s="1">
        <f t="shared" ca="1" si="14"/>
        <v>355</v>
      </c>
      <c r="V47" s="1">
        <f t="shared" ca="1" si="15"/>
        <v>34</v>
      </c>
      <c r="W47" s="1"/>
      <c r="X47" s="1">
        <f t="shared" ca="1" si="16"/>
        <v>5.2314553645168989</v>
      </c>
      <c r="Y47" s="1">
        <f t="shared" ca="1" si="17"/>
        <v>0.35106533084165115</v>
      </c>
      <c r="Z47" s="1">
        <f t="shared" ca="1" si="18"/>
        <v>1534</v>
      </c>
      <c r="AB47" s="1">
        <f t="shared" ca="1" si="19"/>
        <v>0.28274381246139274</v>
      </c>
      <c r="AC47" s="1">
        <f t="shared" ca="1" si="20"/>
        <v>116</v>
      </c>
      <c r="AD47" s="1">
        <f t="shared" ca="1" si="21"/>
        <v>2.8133751971971196E-3</v>
      </c>
      <c r="AE47" s="1"/>
      <c r="AF47" s="1">
        <f t="shared" ca="1" si="22"/>
        <v>0.47544884379492314</v>
      </c>
      <c r="AG47" s="1">
        <f t="shared" ca="1" si="23"/>
        <v>759</v>
      </c>
      <c r="AH47" s="1">
        <f t="shared" ca="1" si="24"/>
        <v>6.5783477350189106E-4</v>
      </c>
      <c r="AJ47" s="1">
        <f t="shared" ca="1" si="25"/>
        <v>0.7701471023024854</v>
      </c>
      <c r="AK47" s="1">
        <f t="shared" ca="1" si="26"/>
        <v>3.8935025962506921E-3</v>
      </c>
      <c r="AL47" s="1"/>
      <c r="AM47" s="1">
        <f t="shared" ca="1" si="27"/>
        <v>3.7755441000607147E-2</v>
      </c>
      <c r="AN47" s="1">
        <f t="shared" ca="1" si="28"/>
        <v>37</v>
      </c>
      <c r="AO47" s="1">
        <f t="shared" ca="1" si="29"/>
        <v>10</v>
      </c>
      <c r="AQ47" s="1">
        <f t="shared" ca="1" si="30"/>
        <v>122</v>
      </c>
      <c r="AR47" s="1">
        <f t="shared" ca="1" si="31"/>
        <v>5</v>
      </c>
      <c r="AS47" s="1">
        <f t="shared" ca="1" si="32"/>
        <v>35</v>
      </c>
      <c r="AU47" s="1">
        <f t="shared" ca="1" si="33"/>
        <v>228</v>
      </c>
      <c r="AV47" s="1">
        <f t="shared" ca="1" si="34"/>
        <v>5</v>
      </c>
      <c r="AW47" s="1">
        <f t="shared" ca="1" si="35"/>
        <v>8.3849612410322724E-2</v>
      </c>
      <c r="AY47" s="1">
        <f t="shared" ca="1" si="36"/>
        <v>1.7734701680711866</v>
      </c>
      <c r="AZ47" s="1">
        <f t="shared" ca="1" si="37"/>
        <v>466</v>
      </c>
      <c r="BA47" s="1">
        <f t="shared" ca="1" si="38"/>
        <v>8.5781252278574662E-3</v>
      </c>
      <c r="BG47" s="1">
        <f t="shared" ca="1" si="39"/>
        <v>0.77294587393168412</v>
      </c>
      <c r="BH47" s="1">
        <f t="shared" ca="1" si="40"/>
        <v>0.86432770453709395</v>
      </c>
      <c r="BI47" s="1">
        <f t="shared" ca="1" si="41"/>
        <v>795</v>
      </c>
      <c r="BV47" s="1">
        <f t="shared" ca="1" si="42"/>
        <v>0.78458574593745933</v>
      </c>
      <c r="BW47" s="1">
        <f t="shared" ca="1" si="43"/>
        <v>215</v>
      </c>
      <c r="BX47" s="1">
        <f t="shared" ca="1" si="44"/>
        <v>8.5356568014089296E-3</v>
      </c>
      <c r="BY47" s="1">
        <f t="shared" ca="1" si="45"/>
        <v>9.8283314471570529E-2</v>
      </c>
      <c r="BZ47" s="1">
        <f t="shared" ca="1" si="46"/>
        <v>0.52687269160808636</v>
      </c>
      <c r="CB47" s="1">
        <f t="shared" ca="1" si="47"/>
        <v>206</v>
      </c>
      <c r="CC47" s="1">
        <f t="shared" ca="1" si="48"/>
        <v>4</v>
      </c>
      <c r="CD47" s="1">
        <f t="shared" ca="1" si="49"/>
        <v>0.19643542218583565</v>
      </c>
      <c r="CE47" s="1">
        <f t="shared" ca="1" si="65"/>
        <v>0.55829745760136595</v>
      </c>
      <c r="CF47" s="1">
        <f t="shared" ca="1" si="65"/>
        <v>0.76470976106388067</v>
      </c>
      <c r="CH47" s="3">
        <f t="shared" ca="1" si="51"/>
        <v>0.64718833088971384</v>
      </c>
      <c r="CI47" s="3">
        <f t="shared" ca="1" si="52"/>
        <v>5.5843702100274457E-2</v>
      </c>
      <c r="CJ47" s="3">
        <f t="shared" ca="1" si="53"/>
        <v>423</v>
      </c>
      <c r="CK47" s="3">
        <f t="shared" ca="1" si="54"/>
        <v>1.7047085445872491E-3</v>
      </c>
      <c r="CL47" s="3">
        <f t="shared" ca="1" si="55"/>
        <v>0</v>
      </c>
      <c r="CM47" s="3"/>
      <c r="CN47" s="1">
        <f t="shared" ca="1" si="56"/>
        <v>14.592611247672622</v>
      </c>
      <c r="CO47" s="1">
        <f t="shared" ca="1" si="57"/>
        <v>0.14510992981284532</v>
      </c>
      <c r="CP47" s="1">
        <f t="shared" ca="1" si="58"/>
        <v>3</v>
      </c>
      <c r="DH47" s="1">
        <f t="shared" ca="1" si="59"/>
        <v>385</v>
      </c>
      <c r="DI47" s="1">
        <f t="shared" ca="1" si="60"/>
        <v>0.43673630828762205</v>
      </c>
      <c r="DJ47" s="1">
        <f t="shared" ca="1" si="61"/>
        <v>30</v>
      </c>
      <c r="DL47" s="1">
        <f t="shared" ca="1" si="62"/>
        <v>0.11123955680168054</v>
      </c>
      <c r="DM47" s="1">
        <f t="shared" ca="1" si="63"/>
        <v>263</v>
      </c>
      <c r="DN47" s="1">
        <f t="shared" ca="1" si="64"/>
        <v>2</v>
      </c>
    </row>
    <row r="48" spans="2:118" x14ac:dyDescent="0.25">
      <c r="B48">
        <f t="shared" ca="1" si="0"/>
        <v>729</v>
      </c>
      <c r="C48">
        <f t="shared" ca="1" si="1"/>
        <v>16</v>
      </c>
      <c r="D48">
        <f t="shared" ca="1" si="2"/>
        <v>0.12640625392219204</v>
      </c>
      <c r="F48" s="1">
        <f t="shared" ca="1" si="3"/>
        <v>40</v>
      </c>
      <c r="G48" s="1">
        <f t="shared" ca="1" si="4"/>
        <v>28</v>
      </c>
      <c r="H48" s="1">
        <f t="shared" ca="1" si="5"/>
        <v>15</v>
      </c>
      <c r="I48" s="1"/>
      <c r="J48" s="1">
        <f t="shared" ca="1" si="6"/>
        <v>21</v>
      </c>
      <c r="K48" s="1">
        <f t="shared" ca="1" si="7"/>
        <v>2.1635546730185271</v>
      </c>
      <c r="L48" s="1">
        <f t="shared" ca="1" si="8"/>
        <v>24</v>
      </c>
      <c r="M48" s="1"/>
      <c r="N48" s="1">
        <f t="shared" ca="1" si="9"/>
        <v>590</v>
      </c>
      <c r="O48" s="1">
        <f t="shared" ca="1" si="10"/>
        <v>36</v>
      </c>
      <c r="P48" s="1"/>
      <c r="Q48" s="1">
        <f t="shared" ca="1" si="11"/>
        <v>1.285344223492729</v>
      </c>
      <c r="R48" s="1">
        <f t="shared" ca="1" si="12"/>
        <v>915</v>
      </c>
      <c r="S48" s="1"/>
      <c r="T48" s="1">
        <f t="shared" ca="1" si="13"/>
        <v>2.6124031376033793E-2</v>
      </c>
      <c r="U48" s="1">
        <f t="shared" ca="1" si="14"/>
        <v>410</v>
      </c>
      <c r="V48" s="1">
        <f t="shared" ca="1" si="15"/>
        <v>6</v>
      </c>
      <c r="W48" s="1"/>
      <c r="X48" s="1">
        <f t="shared" ca="1" si="16"/>
        <v>5.1581926433970695</v>
      </c>
      <c r="Y48" s="1">
        <f t="shared" ca="1" si="17"/>
        <v>0.87937944233441001</v>
      </c>
      <c r="Z48" s="1">
        <f t="shared" ca="1" si="18"/>
        <v>1018</v>
      </c>
      <c r="AB48" s="1">
        <f t="shared" ca="1" si="19"/>
        <v>0.91701462769907527</v>
      </c>
      <c r="AC48" s="1">
        <f t="shared" ca="1" si="20"/>
        <v>184</v>
      </c>
      <c r="AD48" s="1">
        <f t="shared" ca="1" si="21"/>
        <v>1.8320448690228594E-3</v>
      </c>
      <c r="AE48" s="1"/>
      <c r="AF48" s="1">
        <f t="shared" ca="1" si="22"/>
        <v>0.5788418383130135</v>
      </c>
      <c r="AG48" s="1">
        <f t="shared" ca="1" si="23"/>
        <v>632</v>
      </c>
      <c r="AH48" s="1">
        <f t="shared" ca="1" si="24"/>
        <v>2.9156836666585336E-3</v>
      </c>
      <c r="AJ48" s="1">
        <f t="shared" ca="1" si="25"/>
        <v>0.66425091055619023</v>
      </c>
      <c r="AK48" s="1">
        <f t="shared" ca="1" si="26"/>
        <v>4.0600890160876844E-3</v>
      </c>
      <c r="AL48" s="1"/>
      <c r="AM48" s="1">
        <f t="shared" ca="1" si="27"/>
        <v>8.0516784114780263E-2</v>
      </c>
      <c r="AN48" s="1">
        <f t="shared" ca="1" si="28"/>
        <v>18</v>
      </c>
      <c r="AO48" s="1">
        <f t="shared" ca="1" si="29"/>
        <v>0</v>
      </c>
      <c r="AQ48" s="1">
        <f t="shared" ca="1" si="30"/>
        <v>113</v>
      </c>
      <c r="AR48" s="1">
        <f t="shared" ca="1" si="31"/>
        <v>5</v>
      </c>
      <c r="AS48" s="1">
        <f t="shared" ca="1" si="32"/>
        <v>98</v>
      </c>
      <c r="AU48" s="1">
        <f t="shared" ca="1" si="33"/>
        <v>394</v>
      </c>
      <c r="AV48" s="1">
        <f t="shared" ca="1" si="34"/>
        <v>8</v>
      </c>
      <c r="AW48" s="1">
        <f t="shared" ca="1" si="35"/>
        <v>8.334906630761596E-2</v>
      </c>
      <c r="AY48" s="1">
        <f t="shared" ca="1" si="36"/>
        <v>1.7245586991398341</v>
      </c>
      <c r="AZ48" s="1">
        <f t="shared" ca="1" si="37"/>
        <v>233</v>
      </c>
      <c r="BA48" s="1">
        <f t="shared" ca="1" si="38"/>
        <v>4.8563041904144929E-3</v>
      </c>
      <c r="BG48" s="1">
        <f t="shared" ca="1" si="39"/>
        <v>0.75477362132878068</v>
      </c>
      <c r="BH48" s="1">
        <f t="shared" ca="1" si="40"/>
        <v>0.22315875199582891</v>
      </c>
      <c r="BI48" s="1">
        <f t="shared" ca="1" si="41"/>
        <v>208</v>
      </c>
      <c r="BV48" s="1">
        <f t="shared" ca="1" si="42"/>
        <v>0.77530152778113048</v>
      </c>
      <c r="BW48" s="1">
        <f t="shared" ca="1" si="43"/>
        <v>257</v>
      </c>
      <c r="BX48" s="1">
        <f t="shared" ca="1" si="44"/>
        <v>3.3095066817530054E-3</v>
      </c>
      <c r="BY48" s="1">
        <f t="shared" ca="1" si="45"/>
        <v>9.110353337445215E-2</v>
      </c>
      <c r="BZ48" s="1">
        <f t="shared" ca="1" si="46"/>
        <v>0.89919173963609045</v>
      </c>
      <c r="CB48" s="1">
        <f t="shared" ca="1" si="47"/>
        <v>171</v>
      </c>
      <c r="CC48" s="1">
        <f t="shared" ca="1" si="48"/>
        <v>9</v>
      </c>
      <c r="CD48" s="1">
        <f t="shared" ca="1" si="49"/>
        <v>0.10937390413171655</v>
      </c>
      <c r="CE48" s="1">
        <f t="shared" ca="1" si="65"/>
        <v>0.93290405164200019</v>
      </c>
      <c r="CF48" s="1">
        <f t="shared" ca="1" si="65"/>
        <v>0.54051068388298873</v>
      </c>
      <c r="CH48" s="3">
        <f t="shared" ca="1" si="51"/>
        <v>0.41892776948302379</v>
      </c>
      <c r="CI48" s="3">
        <f t="shared" ca="1" si="52"/>
        <v>0.75726498001208831</v>
      </c>
      <c r="CJ48" s="3">
        <f t="shared" ca="1" si="53"/>
        <v>238</v>
      </c>
      <c r="CK48" s="3">
        <f t="shared" ca="1" si="54"/>
        <v>5.9368718380367709E-3</v>
      </c>
      <c r="CL48" s="3">
        <f t="shared" ca="1" si="55"/>
        <v>1</v>
      </c>
      <c r="CM48" s="3"/>
      <c r="CN48" s="1">
        <f t="shared" ca="1" si="56"/>
        <v>0.36669543554466566</v>
      </c>
      <c r="CO48" s="1">
        <f t="shared" ca="1" si="57"/>
        <v>0.45542509329188463</v>
      </c>
      <c r="CP48" s="1">
        <f t="shared" ca="1" si="58"/>
        <v>3</v>
      </c>
      <c r="DH48" s="1">
        <f t="shared" ca="1" si="59"/>
        <v>75</v>
      </c>
      <c r="DI48" s="1">
        <f t="shared" ca="1" si="60"/>
        <v>0.84567314444187069</v>
      </c>
      <c r="DJ48" s="1">
        <f t="shared" ca="1" si="61"/>
        <v>24</v>
      </c>
      <c r="DL48" s="1">
        <f t="shared" ca="1" si="62"/>
        <v>4.0046465015178688E-2</v>
      </c>
      <c r="DM48" s="1">
        <f t="shared" ca="1" si="63"/>
        <v>203</v>
      </c>
      <c r="DN48" s="1">
        <f t="shared" ca="1" si="64"/>
        <v>9</v>
      </c>
    </row>
    <row r="49" spans="2:118" x14ac:dyDescent="0.25">
      <c r="B49">
        <f t="shared" ca="1" si="0"/>
        <v>638</v>
      </c>
      <c r="C49">
        <f t="shared" ca="1" si="1"/>
        <v>14</v>
      </c>
      <c r="D49">
        <f t="shared" ca="1" si="2"/>
        <v>0.13831623579733604</v>
      </c>
      <c r="F49" s="1">
        <f t="shared" ca="1" si="3"/>
        <v>34</v>
      </c>
      <c r="G49" s="1">
        <f t="shared" ca="1" si="4"/>
        <v>6</v>
      </c>
      <c r="H49" s="1">
        <f t="shared" ca="1" si="5"/>
        <v>8</v>
      </c>
      <c r="I49" s="1"/>
      <c r="J49" s="1">
        <f t="shared" ca="1" si="6"/>
        <v>26</v>
      </c>
      <c r="K49" s="1">
        <f t="shared" ca="1" si="7"/>
        <v>2.6218465652490792</v>
      </c>
      <c r="L49" s="1">
        <f t="shared" ca="1" si="8"/>
        <v>22</v>
      </c>
      <c r="M49" s="1"/>
      <c r="N49" s="1">
        <f t="shared" ca="1" si="9"/>
        <v>307</v>
      </c>
      <c r="O49" s="1">
        <f t="shared" ca="1" si="10"/>
        <v>23</v>
      </c>
      <c r="P49" s="1"/>
      <c r="Q49" s="1">
        <f t="shared" ca="1" si="11"/>
        <v>0.79627087897269322</v>
      </c>
      <c r="R49" s="1">
        <f t="shared" ca="1" si="12"/>
        <v>647</v>
      </c>
      <c r="S49" s="1"/>
      <c r="T49" s="1">
        <f t="shared" ca="1" si="13"/>
        <v>0.16866502145077542</v>
      </c>
      <c r="U49" s="1">
        <f t="shared" ca="1" si="14"/>
        <v>118</v>
      </c>
      <c r="V49" s="1">
        <f t="shared" ca="1" si="15"/>
        <v>41</v>
      </c>
      <c r="W49" s="1"/>
      <c r="X49" s="1">
        <f t="shared" ca="1" si="16"/>
        <v>5.4356467352076576</v>
      </c>
      <c r="Y49" s="1">
        <f t="shared" ca="1" si="17"/>
        <v>0.370602126906379</v>
      </c>
      <c r="Z49" s="1">
        <f t="shared" ca="1" si="18"/>
        <v>1836</v>
      </c>
      <c r="AB49" s="1">
        <f t="shared" ca="1" si="19"/>
        <v>0.98069012359352936</v>
      </c>
      <c r="AC49" s="1">
        <f t="shared" ca="1" si="20"/>
        <v>223</v>
      </c>
      <c r="AD49" s="1">
        <f t="shared" ca="1" si="21"/>
        <v>8.3932271285652952E-3</v>
      </c>
      <c r="AE49" s="1"/>
      <c r="AF49" s="1">
        <f t="shared" ca="1" si="22"/>
        <v>0.77095256772427478</v>
      </c>
      <c r="AG49" s="1">
        <f t="shared" ca="1" si="23"/>
        <v>792</v>
      </c>
      <c r="AH49" s="1">
        <f t="shared" ca="1" si="24"/>
        <v>2.2839660165269258E-3</v>
      </c>
      <c r="AJ49" s="1">
        <f t="shared" ca="1" si="25"/>
        <v>0.34244338889673109</v>
      </c>
      <c r="AK49" s="1">
        <f t="shared" ca="1" si="26"/>
        <v>5.0880383083033651E-3</v>
      </c>
      <c r="AL49" s="1"/>
      <c r="AM49" s="1">
        <f t="shared" ca="1" si="27"/>
        <v>0.18613098438717532</v>
      </c>
      <c r="AN49" s="1">
        <f t="shared" ca="1" si="28"/>
        <v>52</v>
      </c>
      <c r="AO49" s="1">
        <f t="shared" ca="1" si="29"/>
        <v>10</v>
      </c>
      <c r="AQ49" s="1">
        <f t="shared" ca="1" si="30"/>
        <v>151</v>
      </c>
      <c r="AR49" s="1">
        <f t="shared" ca="1" si="31"/>
        <v>2</v>
      </c>
      <c r="AS49" s="1">
        <f t="shared" ca="1" si="32"/>
        <v>43</v>
      </c>
      <c r="AU49" s="1">
        <f t="shared" ca="1" si="33"/>
        <v>345</v>
      </c>
      <c r="AV49" s="1">
        <f t="shared" ca="1" si="34"/>
        <v>8</v>
      </c>
      <c r="AW49" s="1">
        <f t="shared" ca="1" si="35"/>
        <v>0.10535347458738008</v>
      </c>
      <c r="AY49" s="1">
        <f t="shared" ca="1" si="36"/>
        <v>1.9901789733661821</v>
      </c>
      <c r="AZ49" s="1">
        <f t="shared" ca="1" si="37"/>
        <v>435</v>
      </c>
      <c r="BA49" s="1">
        <f t="shared" ca="1" si="38"/>
        <v>2.1020187082173639E-3</v>
      </c>
      <c r="BG49" s="1">
        <f t="shared" ca="1" si="39"/>
        <v>0.99660456260472341</v>
      </c>
      <c r="BH49" s="1">
        <f t="shared" ca="1" si="40"/>
        <v>0.37581327024053079</v>
      </c>
      <c r="BI49" s="1">
        <f t="shared" ca="1" si="41"/>
        <v>254</v>
      </c>
      <c r="BV49" s="1">
        <f t="shared" ca="1" si="42"/>
        <v>1.915394984098134E-2</v>
      </c>
      <c r="BW49" s="1">
        <f t="shared" ca="1" si="43"/>
        <v>742</v>
      </c>
      <c r="BX49" s="1">
        <f t="shared" ca="1" si="44"/>
        <v>9.3398965275674761E-3</v>
      </c>
      <c r="BY49" s="1">
        <f t="shared" ca="1" si="45"/>
        <v>6.9886922332046018E-4</v>
      </c>
      <c r="BZ49" s="1">
        <f t="shared" ca="1" si="46"/>
        <v>0.90089557851997681</v>
      </c>
      <c r="CB49" s="1">
        <f t="shared" ca="1" si="47"/>
        <v>200</v>
      </c>
      <c r="CC49" s="1">
        <f t="shared" ca="1" si="48"/>
        <v>12</v>
      </c>
      <c r="CD49" s="1">
        <f t="shared" ca="1" si="49"/>
        <v>0.18354657124840409</v>
      </c>
      <c r="CE49" s="1">
        <f t="shared" ca="1" si="65"/>
        <v>0.58179556122045017</v>
      </c>
      <c r="CF49" s="1">
        <f t="shared" ca="1" si="65"/>
        <v>0.70651025253101962</v>
      </c>
      <c r="CH49" s="3">
        <f t="shared" ca="1" si="51"/>
        <v>0.74320624262638368</v>
      </c>
      <c r="CI49" s="3">
        <f t="shared" ca="1" si="52"/>
        <v>0.24157271967718169</v>
      </c>
      <c r="CJ49" s="3">
        <f t="shared" ca="1" si="53"/>
        <v>1341</v>
      </c>
      <c r="CK49" s="3">
        <f t="shared" ca="1" si="54"/>
        <v>3.2378461135146642E-3</v>
      </c>
      <c r="CL49" s="3">
        <f t="shared" ca="1" si="55"/>
        <v>1</v>
      </c>
      <c r="CM49" s="3"/>
      <c r="CN49" s="1">
        <f t="shared" ca="1" si="56"/>
        <v>6.7604507180287472</v>
      </c>
      <c r="CO49" s="1">
        <f t="shared" ca="1" si="57"/>
        <v>0.49295715539327933</v>
      </c>
      <c r="CP49" s="1">
        <f t="shared" ca="1" si="58"/>
        <v>2</v>
      </c>
      <c r="DH49" s="1">
        <f t="shared" ca="1" si="59"/>
        <v>796</v>
      </c>
      <c r="DI49" s="1">
        <f t="shared" ca="1" si="60"/>
        <v>0.98057649800290181</v>
      </c>
      <c r="DJ49" s="1">
        <f t="shared" ca="1" si="61"/>
        <v>21</v>
      </c>
      <c r="DL49" s="1">
        <f t="shared" ca="1" si="62"/>
        <v>0.12009930728897066</v>
      </c>
      <c r="DM49" s="1">
        <f t="shared" ca="1" si="63"/>
        <v>194</v>
      </c>
      <c r="DN49" s="1">
        <f t="shared" ca="1" si="64"/>
        <v>3</v>
      </c>
    </row>
    <row r="50" spans="2:118" x14ac:dyDescent="0.25">
      <c r="B50">
        <f t="shared" ca="1" si="0"/>
        <v>880</v>
      </c>
      <c r="C50">
        <f t="shared" ca="1" si="1"/>
        <v>51</v>
      </c>
      <c r="D50">
        <f t="shared" ca="1" si="2"/>
        <v>0.13368311801273333</v>
      </c>
      <c r="F50" s="1">
        <f t="shared" ca="1" si="3"/>
        <v>47</v>
      </c>
      <c r="G50" s="1">
        <f t="shared" ca="1" si="4"/>
        <v>15</v>
      </c>
      <c r="H50" s="1">
        <f t="shared" ca="1" si="5"/>
        <v>9</v>
      </c>
      <c r="I50" s="1"/>
      <c r="J50" s="1">
        <f t="shared" ca="1" si="6"/>
        <v>27</v>
      </c>
      <c r="K50" s="1">
        <f t="shared" ca="1" si="7"/>
        <v>2.6451756302784881</v>
      </c>
      <c r="L50" s="1">
        <f t="shared" ca="1" si="8"/>
        <v>16</v>
      </c>
      <c r="M50" s="1"/>
      <c r="N50" s="1">
        <f t="shared" ca="1" si="9"/>
        <v>802</v>
      </c>
      <c r="O50" s="1">
        <f t="shared" ca="1" si="10"/>
        <v>35</v>
      </c>
      <c r="P50" s="1"/>
      <c r="Q50" s="1">
        <f t="shared" ca="1" si="11"/>
        <v>2.9443286980063328</v>
      </c>
      <c r="R50" s="1">
        <f t="shared" ca="1" si="12"/>
        <v>824</v>
      </c>
      <c r="S50" s="1"/>
      <c r="T50" s="1">
        <f t="shared" ca="1" si="13"/>
        <v>0.17505786649195682</v>
      </c>
      <c r="U50" s="1">
        <f t="shared" ca="1" si="14"/>
        <v>99</v>
      </c>
      <c r="V50" s="1">
        <f t="shared" ca="1" si="15"/>
        <v>4</v>
      </c>
      <c r="W50" s="1"/>
      <c r="X50" s="1">
        <f t="shared" ca="1" si="16"/>
        <v>2.0889013420959679</v>
      </c>
      <c r="Y50" s="1">
        <f t="shared" ca="1" si="17"/>
        <v>4.3723610668736444E-2</v>
      </c>
      <c r="Z50" s="1">
        <f t="shared" ca="1" si="18"/>
        <v>1582</v>
      </c>
      <c r="AB50" s="1">
        <f t="shared" ca="1" si="19"/>
        <v>0.16628544174785831</v>
      </c>
      <c r="AC50" s="1">
        <f t="shared" ca="1" si="20"/>
        <v>777</v>
      </c>
      <c r="AD50" s="1">
        <f t="shared" ca="1" si="21"/>
        <v>5.6910604529308729E-3</v>
      </c>
      <c r="AE50" s="1"/>
      <c r="AF50" s="1">
        <f t="shared" ca="1" si="22"/>
        <v>0.25075032221922139</v>
      </c>
      <c r="AG50" s="1">
        <f t="shared" ca="1" si="23"/>
        <v>133</v>
      </c>
      <c r="AH50" s="1">
        <f t="shared" ca="1" si="24"/>
        <v>7.344375433410552E-4</v>
      </c>
      <c r="AJ50" s="1">
        <f t="shared" ca="1" si="25"/>
        <v>0.98935178213344055</v>
      </c>
      <c r="AK50" s="1">
        <f t="shared" ca="1" si="26"/>
        <v>8.626638508330892E-3</v>
      </c>
      <c r="AL50" s="1"/>
      <c r="AM50" s="1">
        <f t="shared" ca="1" si="27"/>
        <v>7.6742279636823549E-2</v>
      </c>
      <c r="AN50" s="1">
        <f t="shared" ca="1" si="28"/>
        <v>62</v>
      </c>
      <c r="AO50" s="1">
        <f t="shared" ca="1" si="29"/>
        <v>19</v>
      </c>
      <c r="AQ50" s="1">
        <f t="shared" ca="1" si="30"/>
        <v>186</v>
      </c>
      <c r="AR50" s="1">
        <f t="shared" ca="1" si="31"/>
        <v>5</v>
      </c>
      <c r="AS50" s="1">
        <f t="shared" ca="1" si="32"/>
        <v>81</v>
      </c>
      <c r="AU50" s="1">
        <f t="shared" ca="1" si="33"/>
        <v>196</v>
      </c>
      <c r="AV50" s="1">
        <f t="shared" ca="1" si="34"/>
        <v>7</v>
      </c>
      <c r="AW50" s="1">
        <f t="shared" ca="1" si="35"/>
        <v>3.6732596146085032E-2</v>
      </c>
      <c r="AY50" s="1">
        <f t="shared" ca="1" si="36"/>
        <v>1.185007649638659</v>
      </c>
      <c r="AZ50" s="1">
        <f t="shared" ca="1" si="37"/>
        <v>216</v>
      </c>
      <c r="BA50" s="1">
        <f t="shared" ca="1" si="38"/>
        <v>8.0254551859309329E-3</v>
      </c>
      <c r="BG50" s="1">
        <f t="shared" ca="1" si="39"/>
        <v>0.7621834067712252</v>
      </c>
      <c r="BH50" s="1">
        <f t="shared" ca="1" si="40"/>
        <v>0.79629432490251117</v>
      </c>
      <c r="BI50" s="1">
        <f t="shared" ca="1" si="41"/>
        <v>996</v>
      </c>
      <c r="BV50" s="1">
        <f t="shared" ca="1" si="42"/>
        <v>0.23242070117543245</v>
      </c>
      <c r="BW50" s="1">
        <f t="shared" ca="1" si="43"/>
        <v>318</v>
      </c>
      <c r="BX50" s="1">
        <f t="shared" ca="1" si="44"/>
        <v>8.8430908433502452E-3</v>
      </c>
      <c r="BY50" s="1">
        <f t="shared" ca="1" si="45"/>
        <v>4.6860379827001884E-2</v>
      </c>
      <c r="BZ50" s="1">
        <f t="shared" ca="1" si="46"/>
        <v>0.52058745772590165</v>
      </c>
      <c r="CB50" s="1">
        <f t="shared" ca="1" si="47"/>
        <v>312</v>
      </c>
      <c r="CC50" s="1">
        <f t="shared" ca="1" si="48"/>
        <v>4</v>
      </c>
      <c r="CD50" s="1">
        <f t="shared" ca="1" si="49"/>
        <v>8.9041175141513912E-2</v>
      </c>
      <c r="CE50" s="1">
        <f t="shared" ca="1" si="65"/>
        <v>0.55133173869915408</v>
      </c>
      <c r="CF50" s="1">
        <f t="shared" ca="1" si="65"/>
        <v>0.71154111554647304</v>
      </c>
      <c r="CH50" s="3">
        <f t="shared" ca="1" si="51"/>
        <v>0.72343506520645673</v>
      </c>
      <c r="CI50" s="3">
        <f t="shared" ca="1" si="52"/>
        <v>0.86730399838737493</v>
      </c>
      <c r="CJ50" s="3">
        <f t="shared" ca="1" si="53"/>
        <v>880</v>
      </c>
      <c r="CK50" s="3">
        <f t="shared" ca="1" si="54"/>
        <v>6.0494290798707015E-3</v>
      </c>
      <c r="CL50" s="3">
        <f t="shared" ca="1" si="55"/>
        <v>0</v>
      </c>
      <c r="CM50" s="3"/>
      <c r="CN50" s="1">
        <f t="shared" ca="1" si="56"/>
        <v>16.796841995743346</v>
      </c>
      <c r="CO50" s="1">
        <f t="shared" ca="1" si="57"/>
        <v>0.26636109574963374</v>
      </c>
      <c r="CP50" s="1">
        <f t="shared" ca="1" si="58"/>
        <v>5</v>
      </c>
      <c r="DH50" s="1">
        <f t="shared" ca="1" si="59"/>
        <v>309</v>
      </c>
      <c r="DI50" s="1">
        <f t="shared" ca="1" si="60"/>
        <v>9.3856511961879774E-2</v>
      </c>
      <c r="DJ50" s="1">
        <f t="shared" ca="1" si="61"/>
        <v>21</v>
      </c>
      <c r="DL50" s="1">
        <f t="shared" ca="1" si="62"/>
        <v>9.787726463734979E-2</v>
      </c>
      <c r="DM50" s="1">
        <f t="shared" ca="1" si="63"/>
        <v>183</v>
      </c>
      <c r="DN50" s="1">
        <f t="shared" ca="1" si="64"/>
        <v>10</v>
      </c>
    </row>
    <row r="51" spans="2:118" x14ac:dyDescent="0.25">
      <c r="B51">
        <f t="shared" ca="1" si="0"/>
        <v>288</v>
      </c>
      <c r="C51">
        <f t="shared" ca="1" si="1"/>
        <v>31</v>
      </c>
      <c r="D51">
        <f t="shared" ca="1" si="2"/>
        <v>0.17943150555142759</v>
      </c>
      <c r="F51" s="1">
        <f t="shared" ca="1" si="3"/>
        <v>44</v>
      </c>
      <c r="G51" s="1">
        <f t="shared" ca="1" si="4"/>
        <v>11</v>
      </c>
      <c r="H51" s="1">
        <f t="shared" ca="1" si="5"/>
        <v>12</v>
      </c>
      <c r="I51" s="1"/>
      <c r="J51" s="1">
        <f t="shared" ca="1" si="6"/>
        <v>24</v>
      </c>
      <c r="K51" s="1">
        <f t="shared" ca="1" si="7"/>
        <v>2.8684463147109547</v>
      </c>
      <c r="L51" s="1">
        <f t="shared" ca="1" si="8"/>
        <v>27</v>
      </c>
      <c r="M51" s="1"/>
      <c r="N51" s="1">
        <f t="shared" ca="1" si="9"/>
        <v>750</v>
      </c>
      <c r="O51" s="1">
        <f t="shared" ca="1" si="10"/>
        <v>51</v>
      </c>
      <c r="P51" s="1"/>
      <c r="Q51" s="1">
        <f t="shared" ca="1" si="11"/>
        <v>1.6413589995917481</v>
      </c>
      <c r="R51" s="1">
        <f t="shared" ca="1" si="12"/>
        <v>301</v>
      </c>
      <c r="S51" s="1"/>
      <c r="T51" s="1">
        <f t="shared" ca="1" si="13"/>
        <v>1.4344009125436184E-2</v>
      </c>
      <c r="U51" s="1">
        <f t="shared" ca="1" si="14"/>
        <v>248</v>
      </c>
      <c r="V51" s="1">
        <f t="shared" ca="1" si="15"/>
        <v>26</v>
      </c>
      <c r="W51" s="1"/>
      <c r="X51" s="1">
        <f t="shared" ca="1" si="16"/>
        <v>2.1364714582973861</v>
      </c>
      <c r="Y51" s="1">
        <f t="shared" ca="1" si="17"/>
        <v>1.8465659845484848E-2</v>
      </c>
      <c r="Z51" s="1">
        <f t="shared" ca="1" si="18"/>
        <v>465</v>
      </c>
      <c r="AB51" s="1">
        <f t="shared" ca="1" si="19"/>
        <v>0.57346120706347858</v>
      </c>
      <c r="AC51" s="1">
        <f t="shared" ca="1" si="20"/>
        <v>519</v>
      </c>
      <c r="AD51" s="1">
        <f t="shared" ca="1" si="21"/>
        <v>1.8166079180379536E-3</v>
      </c>
      <c r="AE51" s="1"/>
      <c r="AF51" s="1">
        <f t="shared" ca="1" si="22"/>
        <v>0.55833545158040654</v>
      </c>
      <c r="AG51" s="1">
        <f t="shared" ca="1" si="23"/>
        <v>885</v>
      </c>
      <c r="AH51" s="1">
        <f t="shared" ca="1" si="24"/>
        <v>9.6289759871363567E-3</v>
      </c>
      <c r="AJ51" s="1">
        <f t="shared" ca="1" si="25"/>
        <v>0.89339733176305858</v>
      </c>
      <c r="AK51" s="1">
        <f t="shared" ca="1" si="26"/>
        <v>9.2621188258976903E-3</v>
      </c>
      <c r="AL51" s="1"/>
      <c r="AM51" s="1">
        <f t="shared" ca="1" si="27"/>
        <v>9.9380728048502925E-2</v>
      </c>
      <c r="AN51" s="1">
        <f t="shared" ca="1" si="28"/>
        <v>40</v>
      </c>
      <c r="AO51" s="1">
        <f t="shared" ca="1" si="29"/>
        <v>3</v>
      </c>
      <c r="AQ51" s="1">
        <f t="shared" ca="1" si="30"/>
        <v>157</v>
      </c>
      <c r="AR51" s="1">
        <f t="shared" ca="1" si="31"/>
        <v>9</v>
      </c>
      <c r="AS51" s="1">
        <f t="shared" ca="1" si="32"/>
        <v>61</v>
      </c>
      <c r="AU51" s="1">
        <f t="shared" ca="1" si="33"/>
        <v>177</v>
      </c>
      <c r="AV51" s="1">
        <f t="shared" ca="1" si="34"/>
        <v>2</v>
      </c>
      <c r="AW51" s="1">
        <f t="shared" ca="1" si="35"/>
        <v>0.13614173024638132</v>
      </c>
      <c r="AY51" s="1">
        <f t="shared" ca="1" si="36"/>
        <v>1.9721419257497614</v>
      </c>
      <c r="AZ51" s="1">
        <f t="shared" ca="1" si="37"/>
        <v>449</v>
      </c>
      <c r="BA51" s="1">
        <f t="shared" ca="1" si="38"/>
        <v>6.7524793197487132E-3</v>
      </c>
      <c r="BG51" s="1">
        <f t="shared" ca="1" si="39"/>
        <v>9.8204675567572716E-2</v>
      </c>
      <c r="BH51" s="1">
        <f t="shared" ca="1" si="40"/>
        <v>0.72853123367834893</v>
      </c>
      <c r="BI51" s="1">
        <f t="shared" ca="1" si="41"/>
        <v>396</v>
      </c>
      <c r="BV51" s="1">
        <f t="shared" ca="1" si="42"/>
        <v>0.34275539367079932</v>
      </c>
      <c r="BW51" s="1">
        <f t="shared" ca="1" si="43"/>
        <v>691</v>
      </c>
      <c r="BX51" s="1">
        <f t="shared" ca="1" si="44"/>
        <v>8.1793542149858969E-3</v>
      </c>
      <c r="BY51" s="1">
        <f t="shared" ca="1" si="45"/>
        <v>1.1490565276174791E-2</v>
      </c>
      <c r="BZ51" s="1">
        <f t="shared" ca="1" si="46"/>
        <v>0.6208557135133721</v>
      </c>
      <c r="CB51" s="1">
        <f t="shared" ca="1" si="47"/>
        <v>324</v>
      </c>
      <c r="CC51" s="1">
        <f t="shared" ca="1" si="48"/>
        <v>12</v>
      </c>
      <c r="CD51" s="1">
        <f t="shared" ca="1" si="49"/>
        <v>0.13663579366691286</v>
      </c>
      <c r="CE51" s="1">
        <f t="shared" ca="1" si="65"/>
        <v>0.53371206013611838</v>
      </c>
      <c r="CF51" s="1">
        <f t="shared" ca="1" si="65"/>
        <v>0.89097209961672941</v>
      </c>
      <c r="CH51" s="3">
        <f t="shared" ca="1" si="51"/>
        <v>0.50834764607722227</v>
      </c>
      <c r="CI51" s="3">
        <f t="shared" ca="1" si="52"/>
        <v>0.74696884705157007</v>
      </c>
      <c r="CJ51" s="3">
        <f t="shared" ca="1" si="53"/>
        <v>1489</v>
      </c>
      <c r="CK51" s="3">
        <f t="shared" ca="1" si="54"/>
        <v>5.7448011460452227E-3</v>
      </c>
      <c r="CL51" s="3">
        <f t="shared" ca="1" si="55"/>
        <v>1</v>
      </c>
      <c r="CM51" s="3"/>
      <c r="CN51" s="1">
        <f t="shared" ca="1" si="56"/>
        <v>9.776624670940933</v>
      </c>
      <c r="CO51" s="1">
        <f t="shared" ca="1" si="57"/>
        <v>0.19852543898487574</v>
      </c>
      <c r="CP51" s="1">
        <f t="shared" ca="1" si="58"/>
        <v>2</v>
      </c>
      <c r="DH51" s="1">
        <f t="shared" ca="1" si="59"/>
        <v>608</v>
      </c>
      <c r="DI51" s="1">
        <f t="shared" ca="1" si="60"/>
        <v>0.87614363240804016</v>
      </c>
      <c r="DJ51" s="1">
        <f t="shared" ca="1" si="61"/>
        <v>17</v>
      </c>
      <c r="DL51" s="1">
        <f t="shared" ca="1" si="62"/>
        <v>0.16884028643331994</v>
      </c>
      <c r="DM51" s="1">
        <f t="shared" ca="1" si="63"/>
        <v>72</v>
      </c>
      <c r="DN51" s="1">
        <f t="shared" ca="1" si="64"/>
        <v>4</v>
      </c>
    </row>
    <row r="52" spans="2:118" x14ac:dyDescent="0.25">
      <c r="B52">
        <f t="shared" ca="1" si="0"/>
        <v>138</v>
      </c>
      <c r="C52">
        <f t="shared" ca="1" si="1"/>
        <v>14</v>
      </c>
      <c r="D52">
        <f t="shared" ca="1" si="2"/>
        <v>3.8030264106784548E-2</v>
      </c>
      <c r="F52" s="1">
        <f t="shared" ca="1" si="3"/>
        <v>52</v>
      </c>
      <c r="G52" s="1">
        <f t="shared" ca="1" si="4"/>
        <v>20</v>
      </c>
      <c r="H52" s="1">
        <f t="shared" ca="1" si="5"/>
        <v>9</v>
      </c>
      <c r="I52" s="1"/>
      <c r="J52" s="1">
        <f t="shared" ca="1" si="6"/>
        <v>32</v>
      </c>
      <c r="K52" s="1">
        <f t="shared" ca="1" si="7"/>
        <v>2.2239372900973642</v>
      </c>
      <c r="L52" s="1">
        <f t="shared" ca="1" si="8"/>
        <v>7</v>
      </c>
      <c r="M52" s="1"/>
      <c r="N52" s="1">
        <f t="shared" ca="1" si="9"/>
        <v>631</v>
      </c>
      <c r="O52" s="1">
        <f t="shared" ca="1" si="10"/>
        <v>34</v>
      </c>
      <c r="P52" s="1"/>
      <c r="Q52" s="1">
        <f t="shared" ca="1" si="11"/>
        <v>2.8894084428657947</v>
      </c>
      <c r="R52" s="1">
        <f t="shared" ca="1" si="12"/>
        <v>654</v>
      </c>
      <c r="S52" s="1"/>
      <c r="T52" s="1">
        <f t="shared" ca="1" si="13"/>
        <v>0.14575997934098464</v>
      </c>
      <c r="U52" s="1">
        <f t="shared" ca="1" si="14"/>
        <v>162</v>
      </c>
      <c r="V52" s="1">
        <f t="shared" ca="1" si="15"/>
        <v>27</v>
      </c>
      <c r="W52" s="1"/>
      <c r="X52" s="1">
        <f t="shared" ca="1" si="16"/>
        <v>4.5451118366877115</v>
      </c>
      <c r="Y52" s="1">
        <f t="shared" ca="1" si="17"/>
        <v>1.0291286332034615E-2</v>
      </c>
      <c r="Z52" s="1">
        <f t="shared" ca="1" si="18"/>
        <v>113</v>
      </c>
      <c r="AB52" s="1">
        <f t="shared" ca="1" si="19"/>
        <v>0.17005726806055688</v>
      </c>
      <c r="AC52" s="1">
        <f t="shared" ca="1" si="20"/>
        <v>189</v>
      </c>
      <c r="AD52" s="1">
        <f t="shared" ca="1" si="21"/>
        <v>8.1760431538934475E-3</v>
      </c>
      <c r="AE52" s="1"/>
      <c r="AF52" s="1">
        <f t="shared" ca="1" si="22"/>
        <v>0.48265517277354231</v>
      </c>
      <c r="AG52" s="1">
        <f t="shared" ca="1" si="23"/>
        <v>628</v>
      </c>
      <c r="AH52" s="1">
        <f t="shared" ca="1" si="24"/>
        <v>9.9988026435152561E-3</v>
      </c>
      <c r="AJ52" s="1">
        <f t="shared" ca="1" si="25"/>
        <v>0.34083083337008746</v>
      </c>
      <c r="AK52" s="1">
        <f t="shared" ca="1" si="26"/>
        <v>9.9091070758474033E-3</v>
      </c>
      <c r="AL52" s="1"/>
      <c r="AM52" s="1">
        <f t="shared" ca="1" si="27"/>
        <v>4.9977345147438297E-2</v>
      </c>
      <c r="AN52" s="1">
        <f t="shared" ca="1" si="28"/>
        <v>36</v>
      </c>
      <c r="AO52" s="1">
        <f t="shared" ca="1" si="29"/>
        <v>5</v>
      </c>
      <c r="AQ52" s="1">
        <f t="shared" ca="1" si="30"/>
        <v>96</v>
      </c>
      <c r="AR52" s="1">
        <f t="shared" ca="1" si="31"/>
        <v>0</v>
      </c>
      <c r="AS52" s="1">
        <f t="shared" ca="1" si="32"/>
        <v>54</v>
      </c>
      <c r="AU52" s="1">
        <f t="shared" ca="1" si="33"/>
        <v>342</v>
      </c>
      <c r="AV52" s="1">
        <f t="shared" ca="1" si="34"/>
        <v>6</v>
      </c>
      <c r="AW52" s="1">
        <f t="shared" ca="1" si="35"/>
        <v>1.2016273813359069E-2</v>
      </c>
      <c r="AY52" s="1">
        <f t="shared" ca="1" si="36"/>
        <v>1.6177070544223229</v>
      </c>
      <c r="AZ52" s="1">
        <f t="shared" ca="1" si="37"/>
        <v>404</v>
      </c>
      <c r="BA52" s="1">
        <f t="shared" ca="1" si="38"/>
        <v>5.6275422252421211E-3</v>
      </c>
      <c r="BG52" s="1">
        <f t="shared" ca="1" si="39"/>
        <v>0.50065498143249842</v>
      </c>
      <c r="BH52" s="1">
        <f t="shared" ca="1" si="40"/>
        <v>0.513310691559828</v>
      </c>
      <c r="BI52" s="1">
        <f t="shared" ca="1" si="41"/>
        <v>537</v>
      </c>
      <c r="BV52" s="1">
        <f t="shared" ca="1" si="42"/>
        <v>0.6030122523531346</v>
      </c>
      <c r="BW52" s="1">
        <f t="shared" ca="1" si="43"/>
        <v>862</v>
      </c>
      <c r="BX52" s="1">
        <f t="shared" ca="1" si="44"/>
        <v>1.5225211135773125E-3</v>
      </c>
      <c r="BY52" s="1">
        <f t="shared" ca="1" si="45"/>
        <v>3.8545701382614955E-2</v>
      </c>
      <c r="BZ52" s="1">
        <f t="shared" ca="1" si="46"/>
        <v>0.28534504659199522</v>
      </c>
      <c r="CB52" s="1">
        <f t="shared" ca="1" si="47"/>
        <v>451</v>
      </c>
      <c r="CC52" s="1">
        <f t="shared" ca="1" si="48"/>
        <v>7</v>
      </c>
      <c r="CD52" s="1">
        <f t="shared" ca="1" si="49"/>
        <v>0.2730640992057663</v>
      </c>
      <c r="CE52" s="1">
        <f t="shared" ca="1" si="65"/>
        <v>0.92000678289069926</v>
      </c>
      <c r="CF52" s="1">
        <f t="shared" ca="1" si="65"/>
        <v>0.87577917529795746</v>
      </c>
      <c r="CH52" s="3">
        <f t="shared" ca="1" si="51"/>
        <v>0.32466389291783637</v>
      </c>
      <c r="CI52" s="3">
        <f t="shared" ca="1" si="52"/>
        <v>0.77531736054041833</v>
      </c>
      <c r="CJ52" s="3">
        <f t="shared" ca="1" si="53"/>
        <v>1246</v>
      </c>
      <c r="CK52" s="3">
        <f t="shared" ca="1" si="54"/>
        <v>6.7270560845095256E-3</v>
      </c>
      <c r="CL52" s="3">
        <f t="shared" ca="1" si="55"/>
        <v>0</v>
      </c>
      <c r="CM52" s="3"/>
      <c r="CN52" s="1">
        <f t="shared" ca="1" si="56"/>
        <v>16.052975831005703</v>
      </c>
      <c r="CO52" s="1">
        <f t="shared" ca="1" si="57"/>
        <v>0.39056409908586615</v>
      </c>
      <c r="CP52" s="1">
        <f t="shared" ca="1" si="58"/>
        <v>2</v>
      </c>
      <c r="DH52" s="1">
        <f t="shared" ca="1" si="59"/>
        <v>455</v>
      </c>
      <c r="DI52" s="1">
        <f t="shared" ca="1" si="60"/>
        <v>0.27152957998229132</v>
      </c>
      <c r="DJ52" s="1">
        <f t="shared" ca="1" si="61"/>
        <v>4</v>
      </c>
      <c r="DL52" s="1">
        <f t="shared" ca="1" si="62"/>
        <v>8.4780220395652084E-2</v>
      </c>
      <c r="DM52" s="1">
        <f t="shared" ca="1" si="63"/>
        <v>86</v>
      </c>
      <c r="DN52" s="1">
        <f t="shared" ca="1" si="64"/>
        <v>5</v>
      </c>
    </row>
    <row r="53" spans="2:118" x14ac:dyDescent="0.25">
      <c r="B53">
        <f t="shared" ca="1" si="0"/>
        <v>458</v>
      </c>
      <c r="C53">
        <f t="shared" ca="1" si="1"/>
        <v>6</v>
      </c>
      <c r="D53">
        <f t="shared" ca="1" si="2"/>
        <v>0.1222257658318289</v>
      </c>
      <c r="F53" s="1">
        <f t="shared" ca="1" si="3"/>
        <v>38</v>
      </c>
      <c r="G53" s="1">
        <f t="shared" ca="1" si="4"/>
        <v>21</v>
      </c>
      <c r="H53" s="1">
        <f t="shared" ca="1" si="5"/>
        <v>6</v>
      </c>
      <c r="I53" s="1"/>
      <c r="J53" s="1">
        <f t="shared" ca="1" si="6"/>
        <v>28</v>
      </c>
      <c r="K53" s="1">
        <f t="shared" ca="1" si="7"/>
        <v>1.2324916237817551</v>
      </c>
      <c r="L53" s="1">
        <f t="shared" ca="1" si="8"/>
        <v>34</v>
      </c>
      <c r="M53" s="1"/>
      <c r="N53" s="1">
        <f t="shared" ca="1" si="9"/>
        <v>234</v>
      </c>
      <c r="O53" s="1">
        <f t="shared" ca="1" si="10"/>
        <v>7</v>
      </c>
      <c r="P53" s="1"/>
      <c r="Q53" s="1">
        <f t="shared" ca="1" si="11"/>
        <v>2.6658677791599348</v>
      </c>
      <c r="R53" s="1">
        <f t="shared" ca="1" si="12"/>
        <v>375</v>
      </c>
      <c r="S53" s="1"/>
      <c r="T53" s="1">
        <f t="shared" ca="1" si="13"/>
        <v>9.9684130096381954E-2</v>
      </c>
      <c r="U53" s="1">
        <f t="shared" ca="1" si="14"/>
        <v>160</v>
      </c>
      <c r="V53" s="1">
        <f t="shared" ca="1" si="15"/>
        <v>21</v>
      </c>
      <c r="W53" s="1"/>
      <c r="X53" s="1">
        <f t="shared" ca="1" si="16"/>
        <v>5.9121366136034048</v>
      </c>
      <c r="Y53" s="1">
        <f t="shared" ca="1" si="17"/>
        <v>0.69492675886195177</v>
      </c>
      <c r="Z53" s="1">
        <f t="shared" ca="1" si="18"/>
        <v>1661</v>
      </c>
      <c r="AB53" s="1">
        <f t="shared" ca="1" si="19"/>
        <v>0.57798250515400085</v>
      </c>
      <c r="AC53" s="1">
        <f t="shared" ca="1" si="20"/>
        <v>114</v>
      </c>
      <c r="AD53" s="1">
        <f t="shared" ca="1" si="21"/>
        <v>7.4979111793095276E-3</v>
      </c>
      <c r="AE53" s="1"/>
      <c r="AF53" s="1">
        <f t="shared" ca="1" si="22"/>
        <v>0.79630539610760465</v>
      </c>
      <c r="AG53" s="1">
        <f t="shared" ca="1" si="23"/>
        <v>837</v>
      </c>
      <c r="AH53" s="1">
        <f t="shared" ca="1" si="24"/>
        <v>6.29076729142794E-3</v>
      </c>
      <c r="AJ53" s="1">
        <f t="shared" ca="1" si="25"/>
        <v>0.89397818917211946</v>
      </c>
      <c r="AK53" s="1">
        <f t="shared" ca="1" si="26"/>
        <v>3.7784891039751209E-3</v>
      </c>
      <c r="AL53" s="1"/>
      <c r="AM53" s="1">
        <f t="shared" ca="1" si="27"/>
        <v>0.10705317442659659</v>
      </c>
      <c r="AN53" s="1">
        <f t="shared" ca="1" si="28"/>
        <v>10</v>
      </c>
      <c r="AO53" s="1">
        <f t="shared" ca="1" si="29"/>
        <v>12</v>
      </c>
      <c r="AQ53" s="1">
        <f t="shared" ca="1" si="30"/>
        <v>120</v>
      </c>
      <c r="AR53" s="1">
        <f t="shared" ca="1" si="31"/>
        <v>8</v>
      </c>
      <c r="AS53" s="1">
        <f t="shared" ca="1" si="32"/>
        <v>35</v>
      </c>
      <c r="AU53" s="1">
        <f t="shared" ca="1" si="33"/>
        <v>245</v>
      </c>
      <c r="AV53" s="1">
        <f t="shared" ca="1" si="34"/>
        <v>10</v>
      </c>
      <c r="AW53" s="1">
        <f t="shared" ca="1" si="35"/>
        <v>0.11783827329615824</v>
      </c>
      <c r="AY53" s="1">
        <f t="shared" ca="1" si="36"/>
        <v>1.9649429980329522</v>
      </c>
      <c r="AZ53" s="1">
        <f t="shared" ca="1" si="37"/>
        <v>468</v>
      </c>
      <c r="BA53" s="1">
        <f t="shared" ca="1" si="38"/>
        <v>7.3010940966752591E-3</v>
      </c>
      <c r="BG53" s="1">
        <f t="shared" ca="1" si="39"/>
        <v>0.85454446822140917</v>
      </c>
      <c r="BH53" s="1">
        <f t="shared" ca="1" si="40"/>
        <v>2.856852376585195E-2</v>
      </c>
      <c r="BI53" s="1">
        <f t="shared" ca="1" si="41"/>
        <v>178</v>
      </c>
      <c r="BV53" s="1">
        <f t="shared" ca="1" si="42"/>
        <v>0.20521614998490645</v>
      </c>
      <c r="BW53" s="1">
        <f t="shared" ca="1" si="43"/>
        <v>980</v>
      </c>
      <c r="BX53" s="1">
        <f t="shared" ca="1" si="44"/>
        <v>1.6628457487947207E-3</v>
      </c>
      <c r="BY53" s="1">
        <f t="shared" ca="1" si="45"/>
        <v>9.7559176302011191E-2</v>
      </c>
      <c r="BZ53" s="1">
        <f t="shared" ca="1" si="46"/>
        <v>0.27685219329801747</v>
      </c>
      <c r="CB53" s="1">
        <f t="shared" ca="1" si="47"/>
        <v>55</v>
      </c>
      <c r="CC53" s="1">
        <f t="shared" ca="1" si="48"/>
        <v>8</v>
      </c>
      <c r="CD53" s="1">
        <f t="shared" ca="1" si="49"/>
        <v>4.3958264549488847E-2</v>
      </c>
      <c r="CE53" s="1">
        <f t="shared" ca="1" si="65"/>
        <v>0.62164125316811136</v>
      </c>
      <c r="CF53" s="1">
        <f t="shared" ca="1" si="65"/>
        <v>0.83501645137506619</v>
      </c>
      <c r="CH53" s="3">
        <f t="shared" ca="1" si="51"/>
        <v>0.85051258628157134</v>
      </c>
      <c r="CI53" s="3">
        <f t="shared" ca="1" si="52"/>
        <v>0.50648113173731135</v>
      </c>
      <c r="CJ53" s="3">
        <f t="shared" ca="1" si="53"/>
        <v>169</v>
      </c>
      <c r="CK53" s="3">
        <f t="shared" ca="1" si="54"/>
        <v>8.5270107131539263E-3</v>
      </c>
      <c r="CL53" s="3">
        <f t="shared" ca="1" si="55"/>
        <v>1</v>
      </c>
      <c r="CM53" s="3"/>
      <c r="CN53" s="1">
        <f t="shared" ca="1" si="56"/>
        <v>18.161233208409058</v>
      </c>
      <c r="CO53" s="1">
        <f t="shared" ca="1" si="57"/>
        <v>0.23240999012542726</v>
      </c>
      <c r="CP53" s="1">
        <f t="shared" ca="1" si="58"/>
        <v>1</v>
      </c>
      <c r="DH53" s="1">
        <f t="shared" ca="1" si="59"/>
        <v>21</v>
      </c>
      <c r="DI53" s="1">
        <f t="shared" ca="1" si="60"/>
        <v>0.43602697160387416</v>
      </c>
      <c r="DJ53" s="1">
        <f t="shared" ca="1" si="61"/>
        <v>19</v>
      </c>
      <c r="DL53" s="1">
        <f t="shared" ca="1" si="62"/>
        <v>0.18799626435300684</v>
      </c>
      <c r="DM53" s="1">
        <f t="shared" ca="1" si="63"/>
        <v>297</v>
      </c>
      <c r="DN53" s="1">
        <f t="shared" ca="1" si="64"/>
        <v>4</v>
      </c>
    </row>
    <row r="54" spans="2:118" x14ac:dyDescent="0.25">
      <c r="B54">
        <f t="shared" ca="1" si="0"/>
        <v>402</v>
      </c>
      <c r="C54">
        <f t="shared" ca="1" si="1"/>
        <v>3</v>
      </c>
      <c r="D54">
        <f t="shared" ca="1" si="2"/>
        <v>0.18805237324972349</v>
      </c>
      <c r="F54" s="1">
        <f t="shared" ca="1" si="3"/>
        <v>27</v>
      </c>
      <c r="G54" s="1">
        <f t="shared" ca="1" si="4"/>
        <v>2</v>
      </c>
      <c r="H54" s="1">
        <f t="shared" ca="1" si="5"/>
        <v>11</v>
      </c>
      <c r="I54" s="1"/>
      <c r="J54" s="1">
        <f t="shared" ca="1" si="6"/>
        <v>17</v>
      </c>
      <c r="K54" s="1">
        <f t="shared" ca="1" si="7"/>
        <v>1.9109425726178964</v>
      </c>
      <c r="L54" s="1">
        <f t="shared" ca="1" si="8"/>
        <v>19</v>
      </c>
      <c r="M54" s="1"/>
      <c r="N54" s="1">
        <f t="shared" ca="1" si="9"/>
        <v>925</v>
      </c>
      <c r="O54" s="1">
        <f t="shared" ca="1" si="10"/>
        <v>39</v>
      </c>
      <c r="P54" s="1"/>
      <c r="Q54" s="1">
        <f t="shared" ca="1" si="11"/>
        <v>1.1175629498527271</v>
      </c>
      <c r="R54" s="1">
        <f t="shared" ca="1" si="12"/>
        <v>832</v>
      </c>
      <c r="S54" s="1"/>
      <c r="T54" s="1">
        <f t="shared" ca="1" si="13"/>
        <v>1.4762475872821847E-2</v>
      </c>
      <c r="U54" s="1">
        <f t="shared" ca="1" si="14"/>
        <v>410</v>
      </c>
      <c r="V54" s="1">
        <f t="shared" ca="1" si="15"/>
        <v>7</v>
      </c>
      <c r="W54" s="1"/>
      <c r="X54" s="1">
        <f t="shared" ca="1" si="16"/>
        <v>6.238340752309032</v>
      </c>
      <c r="Y54" s="1">
        <f t="shared" ca="1" si="17"/>
        <v>0.91568914201217078</v>
      </c>
      <c r="Z54" s="1">
        <f t="shared" ca="1" si="18"/>
        <v>255</v>
      </c>
      <c r="AB54" s="1">
        <f t="shared" ca="1" si="19"/>
        <v>0.48747836522525456</v>
      </c>
      <c r="AC54" s="1">
        <f t="shared" ca="1" si="20"/>
        <v>523</v>
      </c>
      <c r="AD54" s="1">
        <f t="shared" ca="1" si="21"/>
        <v>2.2629101024020703E-3</v>
      </c>
      <c r="AE54" s="1"/>
      <c r="AF54" s="1">
        <f t="shared" ca="1" si="22"/>
        <v>0.82760202723053722</v>
      </c>
      <c r="AG54" s="1">
        <f t="shared" ca="1" si="23"/>
        <v>298</v>
      </c>
      <c r="AH54" s="1">
        <f t="shared" ca="1" si="24"/>
        <v>4.3350181279483788E-3</v>
      </c>
      <c r="AJ54" s="1">
        <f t="shared" ca="1" si="25"/>
        <v>0.91851697807740773</v>
      </c>
      <c r="AK54" s="1">
        <f t="shared" ca="1" si="26"/>
        <v>3.9606767945788227E-3</v>
      </c>
      <c r="AL54" s="1"/>
      <c r="AM54" s="1">
        <f t="shared" ca="1" si="27"/>
        <v>1.9097431715519069E-2</v>
      </c>
      <c r="AN54" s="1">
        <f t="shared" ca="1" si="28"/>
        <v>59</v>
      </c>
      <c r="AO54" s="1">
        <f t="shared" ca="1" si="29"/>
        <v>4</v>
      </c>
      <c r="AQ54" s="1">
        <f t="shared" ca="1" si="30"/>
        <v>175</v>
      </c>
      <c r="AR54" s="1">
        <f t="shared" ca="1" si="31"/>
        <v>0</v>
      </c>
      <c r="AS54" s="1">
        <f t="shared" ca="1" si="32"/>
        <v>11</v>
      </c>
      <c r="AU54" s="1">
        <f t="shared" ca="1" si="33"/>
        <v>141</v>
      </c>
      <c r="AV54" s="1">
        <f t="shared" ca="1" si="34"/>
        <v>10</v>
      </c>
      <c r="AW54" s="1">
        <f t="shared" ca="1" si="35"/>
        <v>4.3521849464829995E-2</v>
      </c>
      <c r="AY54" s="1">
        <f t="shared" ca="1" si="36"/>
        <v>1.475341324946936</v>
      </c>
      <c r="AZ54" s="1">
        <f t="shared" ca="1" si="37"/>
        <v>151</v>
      </c>
      <c r="BA54" s="1">
        <f t="shared" ca="1" si="38"/>
        <v>8.1916406871681349E-3</v>
      </c>
      <c r="BG54" s="1">
        <f t="shared" ca="1" si="39"/>
        <v>0.14299931352057496</v>
      </c>
      <c r="BH54" s="1">
        <f t="shared" ca="1" si="40"/>
        <v>0.63479672111950625</v>
      </c>
      <c r="BI54" s="1">
        <f t="shared" ca="1" si="41"/>
        <v>930</v>
      </c>
      <c r="BV54" s="1">
        <f t="shared" ca="1" si="42"/>
        <v>4.4261229878153473E-2</v>
      </c>
      <c r="BW54" s="1">
        <f t="shared" ca="1" si="43"/>
        <v>291</v>
      </c>
      <c r="BX54" s="1">
        <f t="shared" ca="1" si="44"/>
        <v>3.6404171863680954E-3</v>
      </c>
      <c r="BY54" s="1">
        <f t="shared" ca="1" si="45"/>
        <v>5.5197182037120186E-2</v>
      </c>
      <c r="BZ54" s="1">
        <f t="shared" ca="1" si="46"/>
        <v>0.50853508830504668</v>
      </c>
      <c r="CB54" s="1">
        <f t="shared" ca="1" si="47"/>
        <v>158</v>
      </c>
      <c r="CC54" s="1">
        <f t="shared" ca="1" si="48"/>
        <v>11</v>
      </c>
      <c r="CD54" s="1">
        <f t="shared" ca="1" si="49"/>
        <v>1.112807760896368E-2</v>
      </c>
      <c r="CE54" s="1">
        <f t="shared" ca="1" si="65"/>
        <v>0.73047240124235047</v>
      </c>
      <c r="CF54" s="1">
        <f t="shared" ca="1" si="65"/>
        <v>0.6195110028894677</v>
      </c>
      <c r="CH54" s="3">
        <f t="shared" ca="1" si="51"/>
        <v>0.11701484399916076</v>
      </c>
      <c r="CI54" s="3">
        <f t="shared" ca="1" si="52"/>
        <v>0.89172266554349555</v>
      </c>
      <c r="CJ54" s="3">
        <f t="shared" ca="1" si="53"/>
        <v>499</v>
      </c>
      <c r="CK54" s="3">
        <f t="shared" ca="1" si="54"/>
        <v>2.4573965516368366E-3</v>
      </c>
      <c r="CL54" s="3">
        <f t="shared" ca="1" si="55"/>
        <v>1</v>
      </c>
      <c r="CM54" s="3"/>
      <c r="CN54" s="1">
        <f t="shared" ca="1" si="56"/>
        <v>4.5344044857968981</v>
      </c>
      <c r="CO54" s="1">
        <f t="shared" ca="1" si="57"/>
        <v>4.1612957148675869E-2</v>
      </c>
      <c r="CP54" s="1">
        <f t="shared" ca="1" si="58"/>
        <v>1</v>
      </c>
      <c r="DH54" s="1">
        <f t="shared" ca="1" si="59"/>
        <v>516</v>
      </c>
      <c r="DI54" s="1">
        <f t="shared" ca="1" si="60"/>
        <v>0.78319530848044439</v>
      </c>
      <c r="DJ54" s="1">
        <f t="shared" ca="1" si="61"/>
        <v>14</v>
      </c>
      <c r="DL54" s="1">
        <f t="shared" ca="1" si="62"/>
        <v>5.5599647342507323E-2</v>
      </c>
      <c r="DM54" s="1">
        <f t="shared" ca="1" si="63"/>
        <v>100</v>
      </c>
      <c r="DN54" s="1">
        <f t="shared" ca="1" si="64"/>
        <v>6</v>
      </c>
    </row>
    <row r="55" spans="2:118" x14ac:dyDescent="0.25">
      <c r="B55">
        <f t="shared" ca="1" si="0"/>
        <v>746</v>
      </c>
      <c r="C55">
        <f t="shared" ca="1" si="1"/>
        <v>45</v>
      </c>
      <c r="D55">
        <f t="shared" ca="1" si="2"/>
        <v>6.8776971014620547E-2</v>
      </c>
      <c r="F55" s="1">
        <f t="shared" ca="1" si="3"/>
        <v>50</v>
      </c>
      <c r="G55" s="1">
        <f t="shared" ca="1" si="4"/>
        <v>13</v>
      </c>
      <c r="H55" s="1">
        <f t="shared" ca="1" si="5"/>
        <v>2</v>
      </c>
      <c r="I55" s="1"/>
      <c r="J55" s="1">
        <f t="shared" ca="1" si="6"/>
        <v>25</v>
      </c>
      <c r="K55" s="1">
        <f t="shared" ca="1" si="7"/>
        <v>1.1790910842696849</v>
      </c>
      <c r="L55" s="1">
        <f t="shared" ca="1" si="8"/>
        <v>31</v>
      </c>
      <c r="M55" s="1"/>
      <c r="N55" s="1">
        <f t="shared" ca="1" si="9"/>
        <v>953</v>
      </c>
      <c r="O55" s="1">
        <f t="shared" ca="1" si="10"/>
        <v>6</v>
      </c>
      <c r="P55" s="1"/>
      <c r="Q55" s="1">
        <f t="shared" ca="1" si="11"/>
        <v>1.0707610389248161</v>
      </c>
      <c r="R55" s="1">
        <f t="shared" ca="1" si="12"/>
        <v>302</v>
      </c>
      <c r="S55" s="1"/>
      <c r="T55" s="1">
        <f t="shared" ca="1" si="13"/>
        <v>7.4276227581494089E-2</v>
      </c>
      <c r="U55" s="1">
        <f t="shared" ca="1" si="14"/>
        <v>192</v>
      </c>
      <c r="V55" s="1">
        <f t="shared" ca="1" si="15"/>
        <v>21</v>
      </c>
      <c r="W55" s="1"/>
      <c r="X55" s="1">
        <f t="shared" ca="1" si="16"/>
        <v>4.2372857903950418</v>
      </c>
      <c r="Y55" s="1">
        <f t="shared" ca="1" si="17"/>
        <v>0.62483505686287466</v>
      </c>
      <c r="Z55" s="1">
        <f t="shared" ca="1" si="18"/>
        <v>839</v>
      </c>
      <c r="AB55" s="1">
        <f t="shared" ca="1" si="19"/>
        <v>0.72821974591198946</v>
      </c>
      <c r="AC55" s="1">
        <f t="shared" ca="1" si="20"/>
        <v>279</v>
      </c>
      <c r="AD55" s="1">
        <f t="shared" ca="1" si="21"/>
        <v>3.2300650147202642E-4</v>
      </c>
      <c r="AE55" s="1"/>
      <c r="AF55" s="1">
        <f t="shared" ca="1" si="22"/>
        <v>0.16701807722943024</v>
      </c>
      <c r="AG55" s="1">
        <f t="shared" ca="1" si="23"/>
        <v>281</v>
      </c>
      <c r="AH55" s="1">
        <f t="shared" ca="1" si="24"/>
        <v>6.6128001966467608E-3</v>
      </c>
      <c r="AJ55" s="1">
        <f t="shared" ca="1" si="25"/>
        <v>0.623171872441452</v>
      </c>
      <c r="AK55" s="1">
        <f t="shared" ca="1" si="26"/>
        <v>6.3349553705849522E-3</v>
      </c>
      <c r="AL55" s="1"/>
      <c r="AM55" s="1">
        <f t="shared" ca="1" si="27"/>
        <v>1.2453226586569388E-2</v>
      </c>
      <c r="AN55" s="1">
        <f t="shared" ca="1" si="28"/>
        <v>23</v>
      </c>
      <c r="AO55" s="1">
        <f t="shared" ca="1" si="29"/>
        <v>1</v>
      </c>
      <c r="AQ55" s="1">
        <f t="shared" ca="1" si="30"/>
        <v>108</v>
      </c>
      <c r="AR55" s="1">
        <f t="shared" ca="1" si="31"/>
        <v>10</v>
      </c>
      <c r="AS55" s="1">
        <f t="shared" ca="1" si="32"/>
        <v>7</v>
      </c>
      <c r="AU55" s="1">
        <f t="shared" ca="1" si="33"/>
        <v>72</v>
      </c>
      <c r="AV55" s="1">
        <f t="shared" ca="1" si="34"/>
        <v>9</v>
      </c>
      <c r="AW55" s="1">
        <f t="shared" ca="1" si="35"/>
        <v>0.17213041897322054</v>
      </c>
      <c r="AY55" s="1">
        <f t="shared" ca="1" si="36"/>
        <v>1.4278029571928939</v>
      </c>
      <c r="AZ55" s="1">
        <f t="shared" ca="1" si="37"/>
        <v>461</v>
      </c>
      <c r="BA55" s="1">
        <f t="shared" ca="1" si="38"/>
        <v>7.5207565187906293E-3</v>
      </c>
      <c r="BG55" s="1">
        <f t="shared" ca="1" si="39"/>
        <v>0.73162883050227479</v>
      </c>
      <c r="BH55" s="1">
        <f t="shared" ca="1" si="40"/>
        <v>0.46968210217466355</v>
      </c>
      <c r="BI55" s="1">
        <f t="shared" ca="1" si="41"/>
        <v>449</v>
      </c>
      <c r="BV55" s="1">
        <f t="shared" ca="1" si="42"/>
        <v>6.2877110337726957E-2</v>
      </c>
      <c r="BW55" s="1">
        <f t="shared" ca="1" si="43"/>
        <v>432</v>
      </c>
      <c r="BX55" s="1">
        <f t="shared" ca="1" si="44"/>
        <v>5.1195616595534022E-4</v>
      </c>
      <c r="BY55" s="1">
        <f t="shared" ca="1" si="45"/>
        <v>2.7186137068691385E-2</v>
      </c>
      <c r="BZ55" s="1">
        <f t="shared" ca="1" si="46"/>
        <v>0.36349221749188843</v>
      </c>
      <c r="CB55" s="1">
        <f t="shared" ca="1" si="47"/>
        <v>383</v>
      </c>
      <c r="CC55" s="1">
        <f t="shared" ca="1" si="48"/>
        <v>15</v>
      </c>
      <c r="CD55" s="1">
        <f t="shared" ca="1" si="49"/>
        <v>0.24564948001383308</v>
      </c>
      <c r="CE55" s="1">
        <f t="shared" ca="1" si="65"/>
        <v>0.84982788172489165</v>
      </c>
      <c r="CF55" s="1">
        <f t="shared" ca="1" si="65"/>
        <v>0.68555568599876204</v>
      </c>
      <c r="CH55" s="3">
        <f t="shared" ca="1" si="51"/>
        <v>3.756077771868347E-2</v>
      </c>
      <c r="CI55" s="3">
        <f t="shared" ca="1" si="52"/>
        <v>0.90840757256896709</v>
      </c>
      <c r="CJ55" s="3">
        <f t="shared" ca="1" si="53"/>
        <v>472</v>
      </c>
      <c r="CK55" s="3">
        <f t="shared" ca="1" si="54"/>
        <v>1.1969845465916577E-3</v>
      </c>
      <c r="CL55" s="3">
        <f t="shared" ca="1" si="55"/>
        <v>0</v>
      </c>
      <c r="CM55" s="3"/>
      <c r="CN55" s="1">
        <f t="shared" ca="1" si="56"/>
        <v>7.2659444031458049</v>
      </c>
      <c r="CO55" s="1">
        <f t="shared" ca="1" si="57"/>
        <v>0.37629834106017829</v>
      </c>
      <c r="CP55" s="1">
        <f t="shared" ca="1" si="58"/>
        <v>3</v>
      </c>
      <c r="DH55" s="1">
        <f t="shared" ca="1" si="59"/>
        <v>824</v>
      </c>
      <c r="DI55" s="1">
        <f t="shared" ca="1" si="60"/>
        <v>0.53442588241758626</v>
      </c>
      <c r="DJ55" s="1">
        <f t="shared" ca="1" si="61"/>
        <v>28</v>
      </c>
      <c r="DL55" s="1">
        <f t="shared" ca="1" si="62"/>
        <v>2.9843994700376804E-2</v>
      </c>
      <c r="DM55" s="1">
        <f t="shared" ca="1" si="63"/>
        <v>131</v>
      </c>
      <c r="DN55" s="1">
        <f t="shared" ca="1" si="64"/>
        <v>2</v>
      </c>
    </row>
    <row r="56" spans="2:118" x14ac:dyDescent="0.25">
      <c r="B56">
        <f t="shared" ca="1" si="0"/>
        <v>103</v>
      </c>
      <c r="C56">
        <f t="shared" ca="1" si="1"/>
        <v>10</v>
      </c>
      <c r="D56">
        <f t="shared" ca="1" si="2"/>
        <v>9.2176785072431322E-2</v>
      </c>
      <c r="F56" s="1">
        <f t="shared" ca="1" si="3"/>
        <v>18</v>
      </c>
      <c r="G56" s="1">
        <f t="shared" ca="1" si="4"/>
        <v>14</v>
      </c>
      <c r="H56" s="1">
        <f t="shared" ca="1" si="5"/>
        <v>14</v>
      </c>
      <c r="I56" s="1"/>
      <c r="J56" s="1">
        <f t="shared" ca="1" si="6"/>
        <v>10</v>
      </c>
      <c r="K56" s="1">
        <f t="shared" ca="1" si="7"/>
        <v>1.4636605800951226</v>
      </c>
      <c r="L56" s="1">
        <f t="shared" ca="1" si="8"/>
        <v>24</v>
      </c>
      <c r="M56" s="1"/>
      <c r="N56" s="1">
        <f t="shared" ca="1" si="9"/>
        <v>318</v>
      </c>
      <c r="O56" s="1">
        <f t="shared" ca="1" si="10"/>
        <v>21</v>
      </c>
      <c r="P56" s="1"/>
      <c r="Q56" s="1">
        <f t="shared" ca="1" si="11"/>
        <v>2.0374684889192602</v>
      </c>
      <c r="R56" s="1">
        <f t="shared" ca="1" si="12"/>
        <v>1176</v>
      </c>
      <c r="S56" s="1"/>
      <c r="T56" s="1">
        <f t="shared" ca="1" si="13"/>
        <v>8.7942687667122113E-2</v>
      </c>
      <c r="U56" s="1">
        <f t="shared" ca="1" si="14"/>
        <v>438</v>
      </c>
      <c r="V56" s="1">
        <f t="shared" ca="1" si="15"/>
        <v>31</v>
      </c>
      <c r="W56" s="1"/>
      <c r="X56" s="1">
        <f t="shared" ca="1" si="16"/>
        <v>9.1349807298722006</v>
      </c>
      <c r="Y56" s="1">
        <f t="shared" ca="1" si="17"/>
        <v>0.72670659116740643</v>
      </c>
      <c r="Z56" s="1">
        <f t="shared" ca="1" si="18"/>
        <v>1257</v>
      </c>
      <c r="AB56" s="1">
        <f t="shared" ca="1" si="19"/>
        <v>0.51254728968532981</v>
      </c>
      <c r="AC56" s="1">
        <f t="shared" ca="1" si="20"/>
        <v>496</v>
      </c>
      <c r="AD56" s="1">
        <f t="shared" ca="1" si="21"/>
        <v>2.7172023633697932E-3</v>
      </c>
      <c r="AE56" s="1"/>
      <c r="AF56" s="1">
        <f t="shared" ca="1" si="22"/>
        <v>0.14454225400824097</v>
      </c>
      <c r="AG56" s="1">
        <f t="shared" ca="1" si="23"/>
        <v>203</v>
      </c>
      <c r="AH56" s="1">
        <f t="shared" ca="1" si="24"/>
        <v>9.5884646554516076E-3</v>
      </c>
      <c r="AJ56" s="1">
        <f t="shared" ca="1" si="25"/>
        <v>0.18992113402400967</v>
      </c>
      <c r="AK56" s="1">
        <f t="shared" ca="1" si="26"/>
        <v>7.1353619104026038E-3</v>
      </c>
      <c r="AL56" s="1"/>
      <c r="AM56" s="1">
        <f t="shared" ca="1" si="27"/>
        <v>8.7264573321179824E-3</v>
      </c>
      <c r="AN56" s="1">
        <f t="shared" ca="1" si="28"/>
        <v>65</v>
      </c>
      <c r="AO56" s="1">
        <f t="shared" ca="1" si="29"/>
        <v>17</v>
      </c>
      <c r="AQ56" s="1">
        <f t="shared" ca="1" si="30"/>
        <v>156</v>
      </c>
      <c r="AR56" s="1">
        <f t="shared" ca="1" si="31"/>
        <v>9</v>
      </c>
      <c r="AS56" s="1">
        <f t="shared" ca="1" si="32"/>
        <v>97</v>
      </c>
      <c r="AU56" s="1">
        <f t="shared" ca="1" si="33"/>
        <v>144</v>
      </c>
      <c r="AV56" s="1">
        <f t="shared" ca="1" si="34"/>
        <v>7</v>
      </c>
      <c r="AW56" s="1">
        <f t="shared" ca="1" si="35"/>
        <v>1.0487944859080736E-2</v>
      </c>
      <c r="AY56" s="1">
        <f t="shared" ca="1" si="36"/>
        <v>1.8591382060852204</v>
      </c>
      <c r="AZ56" s="1">
        <f t="shared" ca="1" si="37"/>
        <v>58</v>
      </c>
      <c r="BA56" s="1">
        <f t="shared" ca="1" si="38"/>
        <v>9.5893714626124199E-3</v>
      </c>
      <c r="BG56" s="1">
        <f t="shared" ca="1" si="39"/>
        <v>0.90401254925144792</v>
      </c>
      <c r="BH56" s="1">
        <f t="shared" ca="1" si="40"/>
        <v>0.55478971613423267</v>
      </c>
      <c r="BI56" s="1">
        <f t="shared" ca="1" si="41"/>
        <v>681</v>
      </c>
      <c r="BV56" s="1">
        <f t="shared" ca="1" si="42"/>
        <v>0.58527272741118352</v>
      </c>
      <c r="BW56" s="1">
        <f t="shared" ca="1" si="43"/>
        <v>203</v>
      </c>
      <c r="BX56" s="1">
        <f t="shared" ca="1" si="44"/>
        <v>2.5175655702872088E-3</v>
      </c>
      <c r="BY56" s="1">
        <f t="shared" ca="1" si="45"/>
        <v>4.0571509708324474E-2</v>
      </c>
      <c r="BZ56" s="1">
        <f t="shared" ca="1" si="46"/>
        <v>0.77362175060663252</v>
      </c>
      <c r="CB56" s="1">
        <f t="shared" ca="1" si="47"/>
        <v>433</v>
      </c>
      <c r="CC56" s="1">
        <f t="shared" ca="1" si="48"/>
        <v>4</v>
      </c>
      <c r="CD56" s="1">
        <f t="shared" ca="1" si="49"/>
        <v>8.7142132433061084E-2</v>
      </c>
      <c r="CE56" s="1">
        <f t="shared" ca="1" si="65"/>
        <v>0.64842811002458411</v>
      </c>
      <c r="CF56" s="1">
        <f t="shared" ca="1" si="65"/>
        <v>0.76618826176195642</v>
      </c>
      <c r="CH56" s="3">
        <f t="shared" ca="1" si="51"/>
        <v>0.60212872278719487</v>
      </c>
      <c r="CI56" s="3">
        <f t="shared" ca="1" si="52"/>
        <v>0.95488487042066805</v>
      </c>
      <c r="CJ56" s="3">
        <f t="shared" ca="1" si="53"/>
        <v>1850</v>
      </c>
      <c r="CK56" s="3">
        <f t="shared" ca="1" si="54"/>
        <v>3.6982889387177074E-3</v>
      </c>
      <c r="CL56" s="3">
        <f t="shared" ca="1" si="55"/>
        <v>0</v>
      </c>
      <c r="CM56" s="3"/>
      <c r="CN56" s="1">
        <f t="shared" ca="1" si="56"/>
        <v>16.585704560545583</v>
      </c>
      <c r="CO56" s="1">
        <f t="shared" ca="1" si="57"/>
        <v>0.47200148682468823</v>
      </c>
      <c r="CP56" s="1">
        <f t="shared" ca="1" si="58"/>
        <v>1</v>
      </c>
      <c r="DH56" s="1">
        <f t="shared" ca="1" si="59"/>
        <v>71</v>
      </c>
      <c r="DI56" s="1">
        <f t="shared" ca="1" si="60"/>
        <v>0.83375137739985561</v>
      </c>
      <c r="DJ56" s="1">
        <f t="shared" ca="1" si="61"/>
        <v>21</v>
      </c>
      <c r="DL56" s="1">
        <f t="shared" ca="1" si="62"/>
        <v>0.17125814647991192</v>
      </c>
      <c r="DM56" s="1">
        <f t="shared" ca="1" si="63"/>
        <v>255</v>
      </c>
      <c r="DN56" s="1">
        <f t="shared" ca="1" si="64"/>
        <v>4</v>
      </c>
    </row>
    <row r="57" spans="2:118" x14ac:dyDescent="0.25">
      <c r="B57">
        <f t="shared" ca="1" si="0"/>
        <v>31</v>
      </c>
      <c r="C57">
        <f t="shared" ca="1" si="1"/>
        <v>30</v>
      </c>
      <c r="D57">
        <f t="shared" ca="1" si="2"/>
        <v>0.16283938869421258</v>
      </c>
      <c r="F57" s="1">
        <f t="shared" ca="1" si="3"/>
        <v>34</v>
      </c>
      <c r="G57" s="1">
        <f t="shared" ca="1" si="4"/>
        <v>21</v>
      </c>
      <c r="H57" s="1">
        <f t="shared" ca="1" si="5"/>
        <v>1</v>
      </c>
      <c r="I57" s="1"/>
      <c r="J57" s="1">
        <f t="shared" ca="1" si="6"/>
        <v>34</v>
      </c>
      <c r="K57" s="1">
        <f t="shared" ca="1" si="7"/>
        <v>1.4390259620806602</v>
      </c>
      <c r="L57" s="1">
        <f t="shared" ca="1" si="8"/>
        <v>3</v>
      </c>
      <c r="M57" s="1"/>
      <c r="N57" s="1">
        <f t="shared" ca="1" si="9"/>
        <v>83</v>
      </c>
      <c r="O57" s="1">
        <f t="shared" ca="1" si="10"/>
        <v>33</v>
      </c>
      <c r="P57" s="1"/>
      <c r="Q57" s="1">
        <f t="shared" ca="1" si="11"/>
        <v>2.0967531894483051</v>
      </c>
      <c r="R57" s="1">
        <f t="shared" ca="1" si="12"/>
        <v>739</v>
      </c>
      <c r="S57" s="1"/>
      <c r="T57" s="1">
        <f t="shared" ca="1" si="13"/>
        <v>1.5325349264596399E-2</v>
      </c>
      <c r="U57" s="1">
        <f t="shared" ca="1" si="14"/>
        <v>301</v>
      </c>
      <c r="V57" s="1">
        <f t="shared" ca="1" si="15"/>
        <v>40</v>
      </c>
      <c r="W57" s="1"/>
      <c r="X57" s="1">
        <f t="shared" ca="1" si="16"/>
        <v>5.0385453209566222</v>
      </c>
      <c r="Y57" s="1">
        <f t="shared" ca="1" si="17"/>
        <v>0.30109768484760452</v>
      </c>
      <c r="Z57" s="1">
        <f t="shared" ca="1" si="18"/>
        <v>1241</v>
      </c>
      <c r="AB57" s="1">
        <f t="shared" ca="1" si="19"/>
        <v>0.50127567638348824</v>
      </c>
      <c r="AC57" s="1">
        <f t="shared" ca="1" si="20"/>
        <v>541</v>
      </c>
      <c r="AD57" s="1">
        <f t="shared" ca="1" si="21"/>
        <v>1.4684438998135614E-3</v>
      </c>
      <c r="AE57" s="1"/>
      <c r="AF57" s="1">
        <f t="shared" ca="1" si="22"/>
        <v>0.48492836347226609</v>
      </c>
      <c r="AG57" s="1">
        <f t="shared" ca="1" si="23"/>
        <v>342</v>
      </c>
      <c r="AH57" s="1">
        <f t="shared" ca="1" si="24"/>
        <v>5.1950407720878309E-3</v>
      </c>
      <c r="AJ57" s="1">
        <f t="shared" ca="1" si="25"/>
        <v>0.84164563174517237</v>
      </c>
      <c r="AK57" s="1">
        <f t="shared" ca="1" si="26"/>
        <v>1.7507490632927497E-3</v>
      </c>
      <c r="AL57" s="1"/>
      <c r="AM57" s="1">
        <f t="shared" ca="1" si="27"/>
        <v>8.2274522365527861E-2</v>
      </c>
      <c r="AN57" s="1">
        <f t="shared" ca="1" si="28"/>
        <v>77</v>
      </c>
      <c r="AO57" s="1">
        <f t="shared" ca="1" si="29"/>
        <v>6</v>
      </c>
      <c r="AQ57" s="1">
        <f t="shared" ca="1" si="30"/>
        <v>30</v>
      </c>
      <c r="AR57" s="1">
        <f t="shared" ca="1" si="31"/>
        <v>4</v>
      </c>
      <c r="AS57" s="1">
        <f t="shared" ca="1" si="32"/>
        <v>75</v>
      </c>
      <c r="AU57" s="1">
        <f t="shared" ca="1" si="33"/>
        <v>355</v>
      </c>
      <c r="AV57" s="1">
        <f t="shared" ca="1" si="34"/>
        <v>8</v>
      </c>
      <c r="AW57" s="1">
        <f t="shared" ca="1" si="35"/>
        <v>4.8799442766412272E-2</v>
      </c>
      <c r="AY57" s="1">
        <f t="shared" ca="1" si="36"/>
        <v>1.10896819974139</v>
      </c>
      <c r="AZ57" s="1">
        <f t="shared" ca="1" si="37"/>
        <v>162</v>
      </c>
      <c r="BA57" s="1">
        <f t="shared" ca="1" si="38"/>
        <v>3.9501055140168419E-4</v>
      </c>
      <c r="BG57" s="1">
        <f t="shared" ca="1" si="39"/>
        <v>6.8039899881506827E-2</v>
      </c>
      <c r="BH57" s="1">
        <f t="shared" ca="1" si="40"/>
        <v>0.66164254069746398</v>
      </c>
      <c r="BI57" s="1">
        <f t="shared" ca="1" si="41"/>
        <v>685</v>
      </c>
      <c r="BV57" s="1">
        <f t="shared" ca="1" si="42"/>
        <v>0.90326402699020958</v>
      </c>
      <c r="BW57" s="1">
        <f t="shared" ca="1" si="43"/>
        <v>811</v>
      </c>
      <c r="BX57" s="1">
        <f t="shared" ca="1" si="44"/>
        <v>1.9509290684352267E-4</v>
      </c>
      <c r="BY57" s="1">
        <f t="shared" ca="1" si="45"/>
        <v>8.2596462831080297E-2</v>
      </c>
      <c r="BZ57" s="1">
        <f t="shared" ca="1" si="46"/>
        <v>0.82944484583067402</v>
      </c>
      <c r="CB57" s="1">
        <f t="shared" ca="1" si="47"/>
        <v>171</v>
      </c>
      <c r="CC57" s="1">
        <f t="shared" ca="1" si="48"/>
        <v>11</v>
      </c>
      <c r="CD57" s="1">
        <f t="shared" ca="1" si="49"/>
        <v>1.4856071536668748E-2</v>
      </c>
      <c r="CE57" s="1">
        <f t="shared" ca="1" si="65"/>
        <v>0.72946126909200293</v>
      </c>
      <c r="CF57" s="1">
        <f t="shared" ca="1" si="65"/>
        <v>0.60664627428082674</v>
      </c>
      <c r="CH57" s="3">
        <f t="shared" ca="1" si="51"/>
        <v>0.72179393356146138</v>
      </c>
      <c r="CI57" s="3">
        <f t="shared" ca="1" si="52"/>
        <v>0.86175953336393873</v>
      </c>
      <c r="CJ57" s="3">
        <f t="shared" ca="1" si="53"/>
        <v>1538</v>
      </c>
      <c r="CK57" s="3">
        <f t="shared" ca="1" si="54"/>
        <v>5.3557044639449521E-3</v>
      </c>
      <c r="CL57" s="3">
        <f t="shared" ca="1" si="55"/>
        <v>0</v>
      </c>
      <c r="CM57" s="3"/>
      <c r="CN57" s="1">
        <f t="shared" ca="1" si="56"/>
        <v>10.619651691066505</v>
      </c>
      <c r="CO57" s="1">
        <f t="shared" ca="1" si="57"/>
        <v>0.37085086763690339</v>
      </c>
      <c r="CP57" s="1">
        <f t="shared" ca="1" si="58"/>
        <v>4</v>
      </c>
      <c r="DH57" s="1">
        <f t="shared" ca="1" si="59"/>
        <v>285</v>
      </c>
      <c r="DI57" s="1">
        <f t="shared" ca="1" si="60"/>
        <v>0.10533081884346426</v>
      </c>
      <c r="DJ57" s="1">
        <f t="shared" ca="1" si="61"/>
        <v>22</v>
      </c>
      <c r="DL57" s="1">
        <f t="shared" ca="1" si="62"/>
        <v>8.0294258688909978E-2</v>
      </c>
      <c r="DM57" s="1">
        <f t="shared" ca="1" si="63"/>
        <v>234</v>
      </c>
      <c r="DN57" s="1">
        <f t="shared" ca="1" si="64"/>
        <v>10</v>
      </c>
    </row>
    <row r="58" spans="2:118" x14ac:dyDescent="0.25">
      <c r="B58">
        <f t="shared" ca="1" si="0"/>
        <v>173</v>
      </c>
      <c r="C58">
        <f t="shared" ca="1" si="1"/>
        <v>25</v>
      </c>
      <c r="D58">
        <f t="shared" ca="1" si="2"/>
        <v>0.25585926835236744</v>
      </c>
      <c r="F58" s="1">
        <f t="shared" ca="1" si="3"/>
        <v>49</v>
      </c>
      <c r="G58" s="1">
        <f t="shared" ca="1" si="4"/>
        <v>27</v>
      </c>
      <c r="H58" s="1">
        <f t="shared" ca="1" si="5"/>
        <v>11</v>
      </c>
      <c r="I58" s="1"/>
      <c r="J58" s="1">
        <f t="shared" ca="1" si="6"/>
        <v>35</v>
      </c>
      <c r="K58" s="1">
        <f t="shared" ca="1" si="7"/>
        <v>1.0879142476494437</v>
      </c>
      <c r="L58" s="1">
        <f t="shared" ca="1" si="8"/>
        <v>3</v>
      </c>
      <c r="M58" s="1"/>
      <c r="N58" s="1">
        <f t="shared" ca="1" si="9"/>
        <v>50</v>
      </c>
      <c r="O58" s="1">
        <f t="shared" ca="1" si="10"/>
        <v>48</v>
      </c>
      <c r="P58" s="1"/>
      <c r="Q58" s="1">
        <f t="shared" ca="1" si="11"/>
        <v>0.26045734274862131</v>
      </c>
      <c r="R58" s="1">
        <f t="shared" ca="1" si="12"/>
        <v>258</v>
      </c>
      <c r="S58" s="1"/>
      <c r="T58" s="1">
        <f t="shared" ca="1" si="13"/>
        <v>6.9329618647971353E-2</v>
      </c>
      <c r="U58" s="1">
        <f t="shared" ca="1" si="14"/>
        <v>326</v>
      </c>
      <c r="V58" s="1">
        <f t="shared" ca="1" si="15"/>
        <v>26</v>
      </c>
      <c r="W58" s="1"/>
      <c r="X58" s="1">
        <f t="shared" ca="1" si="16"/>
        <v>3.842400645879088</v>
      </c>
      <c r="Y58" s="1">
        <f t="shared" ca="1" si="17"/>
        <v>2.4064372615551957E-2</v>
      </c>
      <c r="Z58" s="1">
        <f t="shared" ca="1" si="18"/>
        <v>1782</v>
      </c>
      <c r="AB58" s="1">
        <f t="shared" ca="1" si="19"/>
        <v>0.87986089962596514</v>
      </c>
      <c r="AC58" s="1">
        <f t="shared" ca="1" si="20"/>
        <v>249</v>
      </c>
      <c r="AD58" s="1">
        <f t="shared" ca="1" si="21"/>
        <v>3.9636831101650993E-4</v>
      </c>
      <c r="AE58" s="1"/>
      <c r="AF58" s="1">
        <f t="shared" ca="1" si="22"/>
        <v>0.20743626557507408</v>
      </c>
      <c r="AG58" s="1">
        <f t="shared" ca="1" si="23"/>
        <v>746</v>
      </c>
      <c r="AH58" s="1">
        <f t="shared" ca="1" si="24"/>
        <v>3.4939560169285548E-3</v>
      </c>
      <c r="AJ58" s="1">
        <f t="shared" ca="1" si="25"/>
        <v>0.62353741029345433</v>
      </c>
      <c r="AK58" s="1">
        <f t="shared" ca="1" si="26"/>
        <v>7.0380346229192365E-3</v>
      </c>
      <c r="AL58" s="1"/>
      <c r="AM58" s="1">
        <f t="shared" ca="1" si="27"/>
        <v>5.3809428529842447E-2</v>
      </c>
      <c r="AN58" s="1">
        <f t="shared" ca="1" si="28"/>
        <v>47</v>
      </c>
      <c r="AO58" s="1">
        <f t="shared" ca="1" si="29"/>
        <v>13</v>
      </c>
      <c r="AQ58" s="1">
        <f t="shared" ca="1" si="30"/>
        <v>56</v>
      </c>
      <c r="AR58" s="1">
        <f t="shared" ca="1" si="31"/>
        <v>4</v>
      </c>
      <c r="AS58" s="1">
        <f t="shared" ca="1" si="32"/>
        <v>21</v>
      </c>
      <c r="AU58" s="1">
        <f t="shared" ca="1" si="33"/>
        <v>205</v>
      </c>
      <c r="AV58" s="1">
        <f t="shared" ca="1" si="34"/>
        <v>7</v>
      </c>
      <c r="AW58" s="1">
        <f t="shared" ca="1" si="35"/>
        <v>8.8970620096444977E-2</v>
      </c>
      <c r="AY58" s="1">
        <f t="shared" ca="1" si="36"/>
        <v>1.5134743917438302</v>
      </c>
      <c r="AZ58" s="1">
        <f t="shared" ca="1" si="37"/>
        <v>123</v>
      </c>
      <c r="BA58" s="1">
        <f t="shared" ca="1" si="38"/>
        <v>3.3673775042469571E-3</v>
      </c>
      <c r="BG58" s="1">
        <f t="shared" ca="1" si="39"/>
        <v>0.15349729351921024</v>
      </c>
      <c r="BH58" s="1">
        <f t="shared" ca="1" si="40"/>
        <v>0.83774239365545788</v>
      </c>
      <c r="BI58" s="1">
        <f t="shared" ca="1" si="41"/>
        <v>806</v>
      </c>
      <c r="BV58" s="1">
        <f t="shared" ca="1" si="42"/>
        <v>0.18327756729534447</v>
      </c>
      <c r="BW58" s="1">
        <f t="shared" ca="1" si="43"/>
        <v>707</v>
      </c>
      <c r="BX58" s="1">
        <f t="shared" ca="1" si="44"/>
        <v>5.5418535222265738E-3</v>
      </c>
      <c r="BY58" s="1">
        <f t="shared" ca="1" si="45"/>
        <v>9.1657188041168444E-2</v>
      </c>
      <c r="BZ58" s="1">
        <f t="shared" ca="1" si="46"/>
        <v>0.69105533568176336</v>
      </c>
      <c r="CB58" s="1">
        <f t="shared" ca="1" si="47"/>
        <v>212</v>
      </c>
      <c r="CC58" s="1">
        <f t="shared" ca="1" si="48"/>
        <v>13</v>
      </c>
      <c r="CD58" s="1">
        <f t="shared" ca="1" si="49"/>
        <v>0.1546716080734995</v>
      </c>
      <c r="CE58" s="1">
        <f t="shared" ca="1" si="65"/>
        <v>0.86737626711988935</v>
      </c>
      <c r="CF58" s="1">
        <f t="shared" ca="1" si="65"/>
        <v>0.84309656097764529</v>
      </c>
      <c r="CH58" s="3">
        <f t="shared" ca="1" si="51"/>
        <v>0.97973339245420166</v>
      </c>
      <c r="CI58" s="3">
        <f t="shared" ca="1" si="52"/>
        <v>0.72407932920105422</v>
      </c>
      <c r="CJ58" s="3">
        <f t="shared" ca="1" si="53"/>
        <v>1078</v>
      </c>
      <c r="CK58" s="3">
        <f t="shared" ca="1" si="54"/>
        <v>1.137948778638274E-3</v>
      </c>
      <c r="CL58" s="3">
        <f t="shared" ca="1" si="55"/>
        <v>1</v>
      </c>
      <c r="CM58" s="3"/>
      <c r="CN58" s="1">
        <f t="shared" ca="1" si="56"/>
        <v>12.11705943083701</v>
      </c>
      <c r="CO58" s="1">
        <f t="shared" ca="1" si="57"/>
        <v>0.29736446589293086</v>
      </c>
      <c r="CP58" s="1">
        <f t="shared" ca="1" si="58"/>
        <v>5</v>
      </c>
      <c r="DH58" s="1">
        <f t="shared" ca="1" si="59"/>
        <v>444</v>
      </c>
      <c r="DI58" s="1">
        <f t="shared" ca="1" si="60"/>
        <v>0.49716635279147658</v>
      </c>
      <c r="DJ58" s="1">
        <f t="shared" ca="1" si="61"/>
        <v>18</v>
      </c>
      <c r="DL58" s="1">
        <f t="shared" ca="1" si="62"/>
        <v>0.14511317148261774</v>
      </c>
      <c r="DM58" s="1">
        <f t="shared" ca="1" si="63"/>
        <v>228</v>
      </c>
      <c r="DN58" s="1">
        <f t="shared" ca="1" si="64"/>
        <v>7</v>
      </c>
    </row>
    <row r="59" spans="2:118" x14ac:dyDescent="0.25">
      <c r="B59">
        <f t="shared" ca="1" si="0"/>
        <v>291</v>
      </c>
      <c r="C59">
        <f t="shared" ca="1" si="1"/>
        <v>7</v>
      </c>
      <c r="D59">
        <f t="shared" ca="1" si="2"/>
        <v>0.28625365363474292</v>
      </c>
      <c r="F59" s="1">
        <f t="shared" ca="1" si="3"/>
        <v>26</v>
      </c>
      <c r="G59" s="1">
        <f t="shared" ca="1" si="4"/>
        <v>10</v>
      </c>
      <c r="H59" s="1">
        <f t="shared" ca="1" si="5"/>
        <v>4</v>
      </c>
      <c r="I59" s="1"/>
      <c r="J59" s="1">
        <f t="shared" ca="1" si="6"/>
        <v>6</v>
      </c>
      <c r="K59" s="1">
        <f t="shared" ca="1" si="7"/>
        <v>2.6744215672254255</v>
      </c>
      <c r="L59" s="1">
        <f t="shared" ca="1" si="8"/>
        <v>24</v>
      </c>
      <c r="M59" s="1"/>
      <c r="N59" s="1">
        <f t="shared" ca="1" si="9"/>
        <v>71</v>
      </c>
      <c r="O59" s="1">
        <f t="shared" ca="1" si="10"/>
        <v>38</v>
      </c>
      <c r="P59" s="1"/>
      <c r="Q59" s="1">
        <f t="shared" ca="1" si="11"/>
        <v>0.30867529795690057</v>
      </c>
      <c r="R59" s="1">
        <f t="shared" ca="1" si="12"/>
        <v>591</v>
      </c>
      <c r="S59" s="1"/>
      <c r="T59" s="1">
        <f t="shared" ca="1" si="13"/>
        <v>0.19873631123029536</v>
      </c>
      <c r="U59" s="1">
        <f t="shared" ca="1" si="14"/>
        <v>335</v>
      </c>
      <c r="V59" s="1">
        <f t="shared" ca="1" si="15"/>
        <v>11</v>
      </c>
      <c r="W59" s="1"/>
      <c r="X59" s="1">
        <f t="shared" ca="1" si="16"/>
        <v>5.9564046119331628</v>
      </c>
      <c r="Y59" s="1">
        <f t="shared" ca="1" si="17"/>
        <v>0.19369300231682335</v>
      </c>
      <c r="Z59" s="1">
        <f t="shared" ca="1" si="18"/>
        <v>650</v>
      </c>
      <c r="AB59" s="1">
        <f t="shared" ca="1" si="19"/>
        <v>0.92548463425701089</v>
      </c>
      <c r="AC59" s="1">
        <f t="shared" ca="1" si="20"/>
        <v>610</v>
      </c>
      <c r="AD59" s="1">
        <f t="shared" ca="1" si="21"/>
        <v>8.5610685843366056E-4</v>
      </c>
      <c r="AE59" s="1"/>
      <c r="AF59" s="1">
        <f t="shared" ca="1" si="22"/>
        <v>0.71907562833056904</v>
      </c>
      <c r="AG59" s="1">
        <f t="shared" ca="1" si="23"/>
        <v>681</v>
      </c>
      <c r="AH59" s="1">
        <f t="shared" ca="1" si="24"/>
        <v>6.1200659644475679E-3</v>
      </c>
      <c r="AJ59" s="1">
        <f t="shared" ca="1" si="25"/>
        <v>0.92117565685600733</v>
      </c>
      <c r="AK59" s="1">
        <f t="shared" ca="1" si="26"/>
        <v>7.4685118101038605E-3</v>
      </c>
      <c r="AL59" s="1"/>
      <c r="AM59" s="1">
        <f t="shared" ca="1" si="27"/>
        <v>5.3625937786204329E-2</v>
      </c>
      <c r="AN59" s="1">
        <f t="shared" ca="1" si="28"/>
        <v>13</v>
      </c>
      <c r="AO59" s="1">
        <f t="shared" ca="1" si="29"/>
        <v>6</v>
      </c>
      <c r="AQ59" s="1">
        <f t="shared" ca="1" si="30"/>
        <v>181</v>
      </c>
      <c r="AR59" s="1">
        <f t="shared" ca="1" si="31"/>
        <v>6</v>
      </c>
      <c r="AS59" s="1">
        <f t="shared" ca="1" si="32"/>
        <v>58</v>
      </c>
      <c r="AU59" s="1">
        <f t="shared" ca="1" si="33"/>
        <v>199</v>
      </c>
      <c r="AV59" s="1">
        <f t="shared" ca="1" si="34"/>
        <v>7</v>
      </c>
      <c r="AW59" s="1">
        <f t="shared" ca="1" si="35"/>
        <v>3.4113184130383556E-2</v>
      </c>
      <c r="AY59" s="1">
        <f t="shared" ca="1" si="36"/>
        <v>1.2405650404784643</v>
      </c>
      <c r="AZ59" s="1">
        <f t="shared" ca="1" si="37"/>
        <v>102</v>
      </c>
      <c r="BA59" s="1">
        <f t="shared" ca="1" si="38"/>
        <v>5.3301750044517501E-3</v>
      </c>
      <c r="BG59" s="1">
        <f t="shared" ca="1" si="39"/>
        <v>0.56422403752278205</v>
      </c>
      <c r="BH59" s="1">
        <f t="shared" ca="1" si="40"/>
        <v>0.34184296253495106</v>
      </c>
      <c r="BI59" s="1">
        <f t="shared" ca="1" si="41"/>
        <v>269</v>
      </c>
      <c r="BV59" s="1">
        <f t="shared" ca="1" si="42"/>
        <v>0.71793390257589751</v>
      </c>
      <c r="BW59" s="1">
        <f t="shared" ca="1" si="43"/>
        <v>158</v>
      </c>
      <c r="BX59" s="1">
        <f t="shared" ca="1" si="44"/>
        <v>4.394881911929556E-3</v>
      </c>
      <c r="BY59" s="1">
        <f t="shared" ca="1" si="45"/>
        <v>5.8280846427992902E-2</v>
      </c>
      <c r="BZ59" s="1">
        <f t="shared" ca="1" si="46"/>
        <v>0.34194363692911611</v>
      </c>
      <c r="CB59" s="1">
        <f t="shared" ca="1" si="47"/>
        <v>416</v>
      </c>
      <c r="CC59" s="1">
        <f t="shared" ca="1" si="48"/>
        <v>3</v>
      </c>
      <c r="CD59" s="1">
        <f t="shared" ca="1" si="49"/>
        <v>0.17619301946287502</v>
      </c>
      <c r="CE59" s="1">
        <f t="shared" ca="1" si="65"/>
        <v>0.76793400795086497</v>
      </c>
      <c r="CF59" s="1">
        <f t="shared" ca="1" si="65"/>
        <v>0.74633932606420117</v>
      </c>
      <c r="CH59" s="3">
        <f t="shared" ca="1" si="51"/>
        <v>0.32333419072481445</v>
      </c>
      <c r="CI59" s="3">
        <f t="shared" ca="1" si="52"/>
        <v>0.15895241551972145</v>
      </c>
      <c r="CJ59" s="3">
        <f t="shared" ca="1" si="53"/>
        <v>740</v>
      </c>
      <c r="CK59" s="3">
        <f t="shared" ca="1" si="54"/>
        <v>4.3056145799068189E-3</v>
      </c>
      <c r="CL59" s="3">
        <f t="shared" ca="1" si="55"/>
        <v>1</v>
      </c>
      <c r="CM59" s="3"/>
      <c r="CN59" s="1">
        <f t="shared" ca="1" si="56"/>
        <v>12.458666413917735</v>
      </c>
      <c r="CO59" s="1">
        <f t="shared" ca="1" si="57"/>
        <v>9.1523764327889501E-2</v>
      </c>
      <c r="CP59" s="1">
        <f t="shared" ca="1" si="58"/>
        <v>1</v>
      </c>
      <c r="DH59" s="1">
        <f t="shared" ca="1" si="59"/>
        <v>563</v>
      </c>
      <c r="DI59" s="1">
        <f t="shared" ca="1" si="60"/>
        <v>0.65063971981447177</v>
      </c>
      <c r="DJ59" s="1">
        <f t="shared" ca="1" si="61"/>
        <v>2</v>
      </c>
      <c r="DL59" s="1">
        <f t="shared" ca="1" si="62"/>
        <v>0.1183551801963625</v>
      </c>
      <c r="DM59" s="1">
        <f t="shared" ca="1" si="63"/>
        <v>81</v>
      </c>
      <c r="DN59" s="1">
        <f t="shared" ca="1" si="64"/>
        <v>4</v>
      </c>
    </row>
    <row r="60" spans="2:118" x14ac:dyDescent="0.25">
      <c r="B60">
        <f t="shared" ca="1" si="0"/>
        <v>231</v>
      </c>
      <c r="C60">
        <f t="shared" ca="1" si="1"/>
        <v>46</v>
      </c>
      <c r="D60">
        <f t="shared" ca="1" si="2"/>
        <v>8.3732934082234575E-2</v>
      </c>
      <c r="F60" s="1">
        <f t="shared" ca="1" si="3"/>
        <v>40</v>
      </c>
      <c r="G60" s="1">
        <f t="shared" ca="1" si="4"/>
        <v>28</v>
      </c>
      <c r="H60" s="1">
        <f t="shared" ca="1" si="5"/>
        <v>5</v>
      </c>
      <c r="I60" s="1"/>
      <c r="J60" s="1">
        <f t="shared" ca="1" si="6"/>
        <v>35</v>
      </c>
      <c r="K60" s="1">
        <f t="shared" ca="1" si="7"/>
        <v>2.1543326673367726</v>
      </c>
      <c r="L60" s="1">
        <f t="shared" ca="1" si="8"/>
        <v>15</v>
      </c>
      <c r="M60" s="1"/>
      <c r="N60" s="1">
        <f t="shared" ca="1" si="9"/>
        <v>58</v>
      </c>
      <c r="O60" s="1">
        <f t="shared" ca="1" si="10"/>
        <v>47</v>
      </c>
      <c r="P60" s="1"/>
      <c r="Q60" s="1">
        <f t="shared" ca="1" si="11"/>
        <v>5.8370221155630758E-2</v>
      </c>
      <c r="R60" s="1">
        <f t="shared" ca="1" si="12"/>
        <v>517</v>
      </c>
      <c r="S60" s="1"/>
      <c r="T60" s="1">
        <f t="shared" ca="1" si="13"/>
        <v>0.12562107431249508</v>
      </c>
      <c r="U60" s="1">
        <f t="shared" ca="1" si="14"/>
        <v>324</v>
      </c>
      <c r="V60" s="1">
        <f t="shared" ca="1" si="15"/>
        <v>44</v>
      </c>
      <c r="W60" s="1"/>
      <c r="X60" s="1">
        <f t="shared" ca="1" si="16"/>
        <v>3.1371768622699774</v>
      </c>
      <c r="Y60" s="1">
        <f t="shared" ca="1" si="17"/>
        <v>0.83384419868208992</v>
      </c>
      <c r="Z60" s="1">
        <f t="shared" ca="1" si="18"/>
        <v>757</v>
      </c>
      <c r="AB60" s="1">
        <f t="shared" ca="1" si="19"/>
        <v>0.16628734165923531</v>
      </c>
      <c r="AC60" s="1">
        <f t="shared" ca="1" si="20"/>
        <v>389</v>
      </c>
      <c r="AD60" s="1">
        <f t="shared" ca="1" si="21"/>
        <v>1.7470842211905139E-3</v>
      </c>
      <c r="AE60" s="1"/>
      <c r="AF60" s="1">
        <f t="shared" ca="1" si="22"/>
        <v>0.47059943608717869</v>
      </c>
      <c r="AG60" s="1">
        <f t="shared" ca="1" si="23"/>
        <v>629</v>
      </c>
      <c r="AH60" s="1">
        <f t="shared" ca="1" si="24"/>
        <v>3.2789057570169005E-3</v>
      </c>
      <c r="AJ60" s="1">
        <f t="shared" ca="1" si="25"/>
        <v>0.63008888267977348</v>
      </c>
      <c r="AK60" s="1">
        <f t="shared" ca="1" si="26"/>
        <v>8.9307725200104462E-3</v>
      </c>
      <c r="AL60" s="1"/>
      <c r="AM60" s="1">
        <f t="shared" ca="1" si="27"/>
        <v>0.13226292764351616</v>
      </c>
      <c r="AN60" s="1">
        <f t="shared" ca="1" si="28"/>
        <v>14</v>
      </c>
      <c r="AO60" s="1">
        <f t="shared" ca="1" si="29"/>
        <v>3</v>
      </c>
      <c r="AQ60" s="1">
        <f t="shared" ca="1" si="30"/>
        <v>18</v>
      </c>
      <c r="AR60" s="1">
        <f t="shared" ca="1" si="31"/>
        <v>5</v>
      </c>
      <c r="AS60" s="1">
        <f t="shared" ca="1" si="32"/>
        <v>54</v>
      </c>
      <c r="AU60" s="1">
        <f t="shared" ca="1" si="33"/>
        <v>87</v>
      </c>
      <c r="AV60" s="1">
        <f t="shared" ca="1" si="34"/>
        <v>10</v>
      </c>
      <c r="AW60" s="1">
        <f t="shared" ca="1" si="35"/>
        <v>4.6739042618477181E-2</v>
      </c>
      <c r="AY60" s="1">
        <f t="shared" ca="1" si="36"/>
        <v>1.9736031053887153</v>
      </c>
      <c r="AZ60" s="1">
        <f t="shared" ca="1" si="37"/>
        <v>219</v>
      </c>
      <c r="BA60" s="1">
        <f t="shared" ca="1" si="38"/>
        <v>9.0149991233842656E-3</v>
      </c>
      <c r="BG60" s="1">
        <f t="shared" ca="1" si="39"/>
        <v>4.4536677789760185E-2</v>
      </c>
      <c r="BH60" s="1">
        <f t="shared" ca="1" si="40"/>
        <v>0.34364743926917996</v>
      </c>
      <c r="BI60" s="1">
        <f t="shared" ca="1" si="41"/>
        <v>534</v>
      </c>
      <c r="BV60" s="1">
        <f t="shared" ca="1" si="42"/>
        <v>0.99500318342224003</v>
      </c>
      <c r="BW60" s="1">
        <f t="shared" ca="1" si="43"/>
        <v>457</v>
      </c>
      <c r="BX60" s="1">
        <f t="shared" ca="1" si="44"/>
        <v>8.3185571303207931E-3</v>
      </c>
      <c r="BY60" s="1">
        <f t="shared" ca="1" si="45"/>
        <v>2.94753426754534E-2</v>
      </c>
      <c r="BZ60" s="1">
        <f t="shared" ca="1" si="46"/>
        <v>0.46577096392778883</v>
      </c>
      <c r="CB60" s="1">
        <f t="shared" ca="1" si="47"/>
        <v>350</v>
      </c>
      <c r="CC60" s="1">
        <f t="shared" ca="1" si="48"/>
        <v>4</v>
      </c>
      <c r="CD60" s="1">
        <f t="shared" ca="1" si="49"/>
        <v>0.17669872786809093</v>
      </c>
      <c r="CE60" s="1">
        <f t="shared" ca="1" si="65"/>
        <v>0.66306840585082194</v>
      </c>
      <c r="CF60" s="1">
        <f t="shared" ca="1" si="65"/>
        <v>0.56714933409704815</v>
      </c>
      <c r="CH60" s="3">
        <f t="shared" ca="1" si="51"/>
        <v>0.71609864733532858</v>
      </c>
      <c r="CI60" s="3">
        <f t="shared" ca="1" si="52"/>
        <v>0.27047857617138549</v>
      </c>
      <c r="CJ60" s="3">
        <f t="shared" ca="1" si="53"/>
        <v>1614</v>
      </c>
      <c r="CK60" s="3">
        <f t="shared" ca="1" si="54"/>
        <v>4.9982361403282766E-4</v>
      </c>
      <c r="CL60" s="3">
        <f t="shared" ca="1" si="55"/>
        <v>0</v>
      </c>
      <c r="CM60" s="3"/>
      <c r="CN60" s="1">
        <f t="shared" ca="1" si="56"/>
        <v>16.461093545394373</v>
      </c>
      <c r="CO60" s="1">
        <f t="shared" ca="1" si="57"/>
        <v>0.49648041106691948</v>
      </c>
      <c r="CP60" s="1">
        <f t="shared" ca="1" si="58"/>
        <v>1</v>
      </c>
      <c r="DH60" s="1">
        <f t="shared" ca="1" si="59"/>
        <v>751</v>
      </c>
      <c r="DI60" s="1">
        <f t="shared" ca="1" si="60"/>
        <v>0.45440492382881564</v>
      </c>
      <c r="DJ60" s="1">
        <f t="shared" ca="1" si="61"/>
        <v>23</v>
      </c>
      <c r="DL60" s="1">
        <f t="shared" ca="1" si="62"/>
        <v>0.13783342772852647</v>
      </c>
      <c r="DM60" s="1">
        <f t="shared" ca="1" si="63"/>
        <v>162</v>
      </c>
      <c r="DN60" s="1">
        <f t="shared" ca="1" si="64"/>
        <v>5</v>
      </c>
    </row>
    <row r="61" spans="2:118" x14ac:dyDescent="0.25">
      <c r="B61">
        <f t="shared" ca="1" si="0"/>
        <v>925</v>
      </c>
      <c r="C61">
        <f t="shared" ca="1" si="1"/>
        <v>40</v>
      </c>
      <c r="D61">
        <f t="shared" ca="1" si="2"/>
        <v>0.12297042354163708</v>
      </c>
      <c r="F61" s="1">
        <f t="shared" ca="1" si="3"/>
        <v>15</v>
      </c>
      <c r="G61" s="1">
        <f t="shared" ca="1" si="4"/>
        <v>15</v>
      </c>
      <c r="H61" s="1">
        <f t="shared" ca="1" si="5"/>
        <v>1</v>
      </c>
      <c r="I61" s="1"/>
      <c r="J61" s="1">
        <f t="shared" ca="1" si="6"/>
        <v>25</v>
      </c>
      <c r="K61" s="1">
        <f t="shared" ca="1" si="7"/>
        <v>1.5690549311525022</v>
      </c>
      <c r="L61" s="1">
        <f t="shared" ca="1" si="8"/>
        <v>15</v>
      </c>
      <c r="M61" s="1"/>
      <c r="N61" s="1">
        <f t="shared" ca="1" si="9"/>
        <v>736</v>
      </c>
      <c r="O61" s="1">
        <f t="shared" ca="1" si="10"/>
        <v>41</v>
      </c>
      <c r="P61" s="1"/>
      <c r="Q61" s="1">
        <f t="shared" ca="1" si="11"/>
        <v>2.5932058556034163</v>
      </c>
      <c r="R61" s="1">
        <f t="shared" ca="1" si="12"/>
        <v>274</v>
      </c>
      <c r="S61" s="1"/>
      <c r="T61" s="1">
        <f t="shared" ca="1" si="13"/>
        <v>8.9190763442345444E-2</v>
      </c>
      <c r="U61" s="1">
        <f t="shared" ca="1" si="14"/>
        <v>151</v>
      </c>
      <c r="V61" s="1">
        <f t="shared" ca="1" si="15"/>
        <v>3</v>
      </c>
      <c r="W61" s="1"/>
      <c r="X61" s="1">
        <f t="shared" ca="1" si="16"/>
        <v>2.1297073914203151</v>
      </c>
      <c r="Y61" s="1">
        <f t="shared" ca="1" si="17"/>
        <v>0.41403085201491757</v>
      </c>
      <c r="Z61" s="1">
        <f t="shared" ca="1" si="18"/>
        <v>1341</v>
      </c>
      <c r="AB61" s="1">
        <f t="shared" ca="1" si="19"/>
        <v>0.61546541071150884</v>
      </c>
      <c r="AC61" s="1">
        <f t="shared" ca="1" si="20"/>
        <v>372</v>
      </c>
      <c r="AD61" s="1">
        <f t="shared" ca="1" si="21"/>
        <v>1.160726008898856E-3</v>
      </c>
      <c r="AE61" s="1"/>
      <c r="AF61" s="1">
        <f t="shared" ca="1" si="22"/>
        <v>0.24691076266921119</v>
      </c>
      <c r="AG61" s="1">
        <f t="shared" ca="1" si="23"/>
        <v>379</v>
      </c>
      <c r="AH61" s="1">
        <f t="shared" ca="1" si="24"/>
        <v>2.4013478718875152E-3</v>
      </c>
      <c r="AJ61" s="1">
        <f t="shared" ca="1" si="25"/>
        <v>0.18172611347094159</v>
      </c>
      <c r="AK61" s="1">
        <f t="shared" ca="1" si="26"/>
        <v>9.2684613049389005E-4</v>
      </c>
      <c r="AL61" s="1"/>
      <c r="AM61" s="1">
        <f t="shared" ca="1" si="27"/>
        <v>0.1476893041303898</v>
      </c>
      <c r="AN61" s="1">
        <f t="shared" ca="1" si="28"/>
        <v>66</v>
      </c>
      <c r="AO61" s="1">
        <f t="shared" ca="1" si="29"/>
        <v>8</v>
      </c>
      <c r="AQ61" s="1">
        <f t="shared" ca="1" si="30"/>
        <v>91</v>
      </c>
      <c r="AR61" s="1">
        <f t="shared" ca="1" si="31"/>
        <v>10</v>
      </c>
      <c r="AS61" s="1">
        <f t="shared" ca="1" si="32"/>
        <v>35</v>
      </c>
      <c r="AU61" s="1">
        <f t="shared" ca="1" si="33"/>
        <v>270</v>
      </c>
      <c r="AV61" s="1">
        <f t="shared" ca="1" si="34"/>
        <v>5</v>
      </c>
      <c r="AW61" s="1">
        <f t="shared" ca="1" si="35"/>
        <v>0.15992775591125702</v>
      </c>
      <c r="AY61" s="1">
        <f t="shared" ca="1" si="36"/>
        <v>1.2168941699520637</v>
      </c>
      <c r="AZ61" s="1">
        <f t="shared" ca="1" si="37"/>
        <v>419</v>
      </c>
      <c r="BA61" s="1">
        <f t="shared" ca="1" si="38"/>
        <v>4.5797756105127665E-3</v>
      </c>
      <c r="BG61" s="1">
        <f t="shared" ca="1" si="39"/>
        <v>0.84915598940713644</v>
      </c>
      <c r="BH61" s="1">
        <f t="shared" ca="1" si="40"/>
        <v>0.92082453522326679</v>
      </c>
      <c r="BI61" s="1">
        <f t="shared" ca="1" si="41"/>
        <v>505</v>
      </c>
      <c r="BV61" s="1">
        <f t="shared" ca="1" si="42"/>
        <v>0.26095444920916644</v>
      </c>
      <c r="BW61" s="1">
        <f t="shared" ca="1" si="43"/>
        <v>235</v>
      </c>
      <c r="BX61" s="1">
        <f t="shared" ca="1" si="44"/>
        <v>6.6676353983821104E-4</v>
      </c>
      <c r="BY61" s="1">
        <f t="shared" ca="1" si="45"/>
        <v>1.5992380235798026E-4</v>
      </c>
      <c r="BZ61" s="1">
        <f t="shared" ca="1" si="46"/>
        <v>0.63163615191633904</v>
      </c>
      <c r="CB61" s="1">
        <f t="shared" ca="1" si="47"/>
        <v>198</v>
      </c>
      <c r="CC61" s="1">
        <f t="shared" ca="1" si="48"/>
        <v>8</v>
      </c>
      <c r="CD61" s="1">
        <f t="shared" ca="1" si="49"/>
        <v>0.20487329674536139</v>
      </c>
      <c r="CE61" s="1">
        <f t="shared" ca="1" si="65"/>
        <v>0.77812632823770866</v>
      </c>
      <c r="CF61" s="1">
        <f t="shared" ca="1" si="65"/>
        <v>0.84913500027150401</v>
      </c>
      <c r="CH61" s="3">
        <f t="shared" ca="1" si="51"/>
        <v>0.16879637038571677</v>
      </c>
      <c r="CI61" s="3">
        <f t="shared" ca="1" si="52"/>
        <v>3.5888617767769769E-2</v>
      </c>
      <c r="CJ61" s="3">
        <f t="shared" ca="1" si="53"/>
        <v>695</v>
      </c>
      <c r="CK61" s="3">
        <f t="shared" ca="1" si="54"/>
        <v>2.3629311396502076E-3</v>
      </c>
      <c r="CL61" s="3">
        <f t="shared" ca="1" si="55"/>
        <v>0</v>
      </c>
      <c r="CM61" s="3"/>
      <c r="CN61" s="1">
        <f t="shared" ca="1" si="56"/>
        <v>1.5792083394805088</v>
      </c>
      <c r="CO61" s="1">
        <f t="shared" ca="1" si="57"/>
        <v>0.30830486085024539</v>
      </c>
      <c r="CP61" s="1">
        <f t="shared" ca="1" si="58"/>
        <v>3</v>
      </c>
      <c r="DH61" s="1">
        <f t="shared" ca="1" si="59"/>
        <v>551</v>
      </c>
      <c r="DI61" s="1">
        <f t="shared" ca="1" si="60"/>
        <v>0.26713842964389067</v>
      </c>
      <c r="DJ61" s="1">
        <f t="shared" ca="1" si="61"/>
        <v>12</v>
      </c>
      <c r="DL61" s="1">
        <f t="shared" ca="1" si="62"/>
        <v>0.18162443865053443</v>
      </c>
      <c r="DM61" s="1">
        <f t="shared" ca="1" si="63"/>
        <v>181</v>
      </c>
      <c r="DN61" s="1">
        <f t="shared" ca="1" si="64"/>
        <v>4</v>
      </c>
    </row>
    <row r="62" spans="2:118" x14ac:dyDescent="0.25">
      <c r="B62">
        <f t="shared" ca="1" si="0"/>
        <v>860</v>
      </c>
      <c r="C62">
        <f t="shared" ca="1" si="1"/>
        <v>18</v>
      </c>
      <c r="D62">
        <f t="shared" ca="1" si="2"/>
        <v>7.3039708501067765E-2</v>
      </c>
      <c r="F62" s="1">
        <f t="shared" ca="1" si="3"/>
        <v>24</v>
      </c>
      <c r="G62" s="1">
        <f t="shared" ca="1" si="4"/>
        <v>16</v>
      </c>
      <c r="H62" s="1">
        <f t="shared" ca="1" si="5"/>
        <v>10</v>
      </c>
      <c r="I62" s="1"/>
      <c r="J62" s="1">
        <f t="shared" ca="1" si="6"/>
        <v>39</v>
      </c>
      <c r="K62" s="1">
        <f t="shared" ca="1" si="7"/>
        <v>1.2817249842611282</v>
      </c>
      <c r="L62" s="1">
        <f t="shared" ca="1" si="8"/>
        <v>4</v>
      </c>
      <c r="M62" s="1"/>
      <c r="N62" s="1">
        <f t="shared" ca="1" si="9"/>
        <v>370</v>
      </c>
      <c r="O62" s="1">
        <f t="shared" ca="1" si="10"/>
        <v>22</v>
      </c>
      <c r="P62" s="1"/>
      <c r="Q62" s="1">
        <f t="shared" ca="1" si="11"/>
        <v>0.22949800514094088</v>
      </c>
      <c r="R62" s="1">
        <f t="shared" ca="1" si="12"/>
        <v>877</v>
      </c>
      <c r="S62" s="1"/>
      <c r="T62" s="1">
        <f t="shared" ca="1" si="13"/>
        <v>6.9280573405845258E-2</v>
      </c>
      <c r="U62" s="1">
        <f t="shared" ca="1" si="14"/>
        <v>83</v>
      </c>
      <c r="V62" s="1">
        <f t="shared" ca="1" si="15"/>
        <v>19</v>
      </c>
      <c r="W62" s="1"/>
      <c r="X62" s="1">
        <f t="shared" ca="1" si="16"/>
        <v>7.6292916228082035</v>
      </c>
      <c r="Y62" s="1">
        <f t="shared" ca="1" si="17"/>
        <v>0.95114221347720873</v>
      </c>
      <c r="Z62" s="1">
        <f t="shared" ca="1" si="18"/>
        <v>1442</v>
      </c>
      <c r="AB62" s="1">
        <f t="shared" ca="1" si="19"/>
        <v>0.94535682872767801</v>
      </c>
      <c r="AC62" s="1">
        <f t="shared" ca="1" si="20"/>
        <v>587</v>
      </c>
      <c r="AD62" s="1">
        <f t="shared" ca="1" si="21"/>
        <v>6.5250432187013586E-3</v>
      </c>
      <c r="AE62" s="1"/>
      <c r="AF62" s="1">
        <f t="shared" ca="1" si="22"/>
        <v>0.66282274414140119</v>
      </c>
      <c r="AG62" s="1">
        <f t="shared" ca="1" si="23"/>
        <v>717</v>
      </c>
      <c r="AH62" s="1">
        <f t="shared" ca="1" si="24"/>
        <v>8.0412542006364439E-4</v>
      </c>
      <c r="AJ62" s="1">
        <f t="shared" ca="1" si="25"/>
        <v>0.66177793957098385</v>
      </c>
      <c r="AK62" s="1">
        <f t="shared" ca="1" si="26"/>
        <v>9.7168729198942299E-3</v>
      </c>
      <c r="AL62" s="1"/>
      <c r="AM62" s="1">
        <f t="shared" ca="1" si="27"/>
        <v>2.5208270699631431E-2</v>
      </c>
      <c r="AN62" s="1">
        <f t="shared" ca="1" si="28"/>
        <v>59</v>
      </c>
      <c r="AO62" s="1">
        <f t="shared" ca="1" si="29"/>
        <v>20</v>
      </c>
      <c r="AQ62" s="1">
        <f t="shared" ca="1" si="30"/>
        <v>145</v>
      </c>
      <c r="AR62" s="1">
        <f t="shared" ca="1" si="31"/>
        <v>7</v>
      </c>
      <c r="AS62" s="1">
        <f t="shared" ca="1" si="32"/>
        <v>6</v>
      </c>
      <c r="AU62" s="1">
        <f t="shared" ca="1" si="33"/>
        <v>301</v>
      </c>
      <c r="AV62" s="1">
        <f t="shared" ca="1" si="34"/>
        <v>6</v>
      </c>
      <c r="AW62" s="1">
        <f t="shared" ca="1" si="35"/>
        <v>0.17071478828073533</v>
      </c>
      <c r="AY62" s="1">
        <f t="shared" ca="1" si="36"/>
        <v>1.6959596832541681</v>
      </c>
      <c r="AZ62" s="1">
        <f t="shared" ca="1" si="37"/>
        <v>231</v>
      </c>
      <c r="BA62" s="1">
        <f t="shared" ca="1" si="38"/>
        <v>6.3867812438782529E-3</v>
      </c>
      <c r="BG62" s="1">
        <f t="shared" ca="1" si="39"/>
        <v>0.77277763919445208</v>
      </c>
      <c r="BH62" s="1">
        <f t="shared" ca="1" si="40"/>
        <v>0.99378073761618824</v>
      </c>
      <c r="BI62" s="1">
        <f t="shared" ca="1" si="41"/>
        <v>290</v>
      </c>
      <c r="BV62" s="1">
        <f t="shared" ca="1" si="42"/>
        <v>1.6942310977256028E-2</v>
      </c>
      <c r="BW62" s="1">
        <f t="shared" ca="1" si="43"/>
        <v>995</v>
      </c>
      <c r="BX62" s="1">
        <f t="shared" ca="1" si="44"/>
        <v>2.8533585371208962E-3</v>
      </c>
      <c r="BY62" s="1">
        <f t="shared" ca="1" si="45"/>
        <v>9.5653506242148204E-2</v>
      </c>
      <c r="BZ62" s="1">
        <f t="shared" ca="1" si="46"/>
        <v>0.9729288732228708</v>
      </c>
      <c r="CB62" s="1">
        <f t="shared" ca="1" si="47"/>
        <v>186</v>
      </c>
      <c r="CC62" s="1">
        <f t="shared" ca="1" si="48"/>
        <v>9</v>
      </c>
      <c r="CD62" s="1">
        <f t="shared" ca="1" si="49"/>
        <v>0.18266065393133021</v>
      </c>
      <c r="CE62" s="1">
        <f t="shared" ca="1" si="65"/>
        <v>0.54949472783497144</v>
      </c>
      <c r="CF62" s="1">
        <f t="shared" ca="1" si="65"/>
        <v>0.8148008483121878</v>
      </c>
      <c r="CH62" s="3">
        <f t="shared" ca="1" si="51"/>
        <v>0.75181706225198652</v>
      </c>
      <c r="CI62" s="3">
        <f t="shared" ca="1" si="52"/>
        <v>0.49803616698430908</v>
      </c>
      <c r="CJ62" s="3">
        <f t="shared" ca="1" si="53"/>
        <v>897</v>
      </c>
      <c r="CK62" s="3">
        <f t="shared" ca="1" si="54"/>
        <v>5.7479533400625069E-3</v>
      </c>
      <c r="CL62" s="3">
        <f t="shared" ca="1" si="55"/>
        <v>0</v>
      </c>
      <c r="CM62" s="3"/>
      <c r="CN62" s="1">
        <f t="shared" ca="1" si="56"/>
        <v>16.626142840201627</v>
      </c>
      <c r="CO62" s="1">
        <f t="shared" ca="1" si="57"/>
        <v>0.24243097882651898</v>
      </c>
      <c r="CP62" s="1">
        <f t="shared" ca="1" si="58"/>
        <v>5</v>
      </c>
      <c r="DH62" s="1">
        <f t="shared" ca="1" si="59"/>
        <v>285</v>
      </c>
      <c r="DI62" s="1">
        <f t="shared" ca="1" si="60"/>
        <v>2.8770902669227105E-2</v>
      </c>
      <c r="DJ62" s="1">
        <f t="shared" ca="1" si="61"/>
        <v>2</v>
      </c>
      <c r="DL62" s="1">
        <f t="shared" ca="1" si="62"/>
        <v>0.1383129468951021</v>
      </c>
      <c r="DM62" s="1">
        <f t="shared" ca="1" si="63"/>
        <v>125</v>
      </c>
      <c r="DN62" s="1">
        <f t="shared" ca="1" si="64"/>
        <v>10</v>
      </c>
    </row>
    <row r="63" spans="2:118" x14ac:dyDescent="0.25">
      <c r="B63">
        <f t="shared" ca="1" si="0"/>
        <v>809</v>
      </c>
      <c r="C63">
        <f t="shared" ca="1" si="1"/>
        <v>7</v>
      </c>
      <c r="D63">
        <f t="shared" ca="1" si="2"/>
        <v>8.6273644094087762E-2</v>
      </c>
      <c r="F63" s="1">
        <f t="shared" ca="1" si="3"/>
        <v>30</v>
      </c>
      <c r="G63" s="1">
        <f t="shared" ca="1" si="4"/>
        <v>18</v>
      </c>
      <c r="H63" s="1">
        <f t="shared" ca="1" si="5"/>
        <v>8</v>
      </c>
      <c r="I63" s="1"/>
      <c r="J63" s="1">
        <f t="shared" ca="1" si="6"/>
        <v>28</v>
      </c>
      <c r="K63" s="1">
        <f t="shared" ca="1" si="7"/>
        <v>1.6647968224458733</v>
      </c>
      <c r="L63" s="1">
        <f t="shared" ca="1" si="8"/>
        <v>33</v>
      </c>
      <c r="M63" s="1"/>
      <c r="N63" s="1">
        <f t="shared" ca="1" si="9"/>
        <v>465</v>
      </c>
      <c r="O63" s="1">
        <f t="shared" ca="1" si="10"/>
        <v>23</v>
      </c>
      <c r="P63" s="1"/>
      <c r="Q63" s="1">
        <f t="shared" ca="1" si="11"/>
        <v>9.5100583894246346E-2</v>
      </c>
      <c r="R63" s="1">
        <f t="shared" ca="1" si="12"/>
        <v>630</v>
      </c>
      <c r="S63" s="1"/>
      <c r="T63" s="1">
        <f t="shared" ca="1" si="13"/>
        <v>0.12514914271332644</v>
      </c>
      <c r="U63" s="1">
        <f t="shared" ca="1" si="14"/>
        <v>272</v>
      </c>
      <c r="V63" s="1">
        <f t="shared" ca="1" si="15"/>
        <v>13</v>
      </c>
      <c r="W63" s="1"/>
      <c r="X63" s="1">
        <f t="shared" ca="1" si="16"/>
        <v>6.2005182943189654</v>
      </c>
      <c r="Y63" s="1">
        <f t="shared" ca="1" si="17"/>
        <v>0.31630566209734723</v>
      </c>
      <c r="Z63" s="1">
        <f t="shared" ca="1" si="18"/>
        <v>958</v>
      </c>
      <c r="AB63" s="1">
        <f t="shared" ca="1" si="19"/>
        <v>0.69195362404189731</v>
      </c>
      <c r="AC63" s="1">
        <f t="shared" ca="1" si="20"/>
        <v>885</v>
      </c>
      <c r="AD63" s="1">
        <f t="shared" ca="1" si="21"/>
        <v>5.2242436391388E-3</v>
      </c>
      <c r="AE63" s="1"/>
      <c r="AF63" s="1">
        <f t="shared" ca="1" si="22"/>
        <v>0.87118876747071783</v>
      </c>
      <c r="AG63" s="1">
        <f t="shared" ca="1" si="23"/>
        <v>619</v>
      </c>
      <c r="AH63" s="1">
        <f t="shared" ca="1" si="24"/>
        <v>4.9683943705321016E-3</v>
      </c>
      <c r="AJ63" s="1">
        <f t="shared" ca="1" si="25"/>
        <v>0.16577139349804204</v>
      </c>
      <c r="AK63" s="1">
        <f t="shared" ca="1" si="26"/>
        <v>4.5574229353997448E-3</v>
      </c>
      <c r="AL63" s="1"/>
      <c r="AM63" s="1">
        <f t="shared" ca="1" si="27"/>
        <v>3.4821174578476735E-2</v>
      </c>
      <c r="AN63" s="1">
        <f t="shared" ca="1" si="28"/>
        <v>80</v>
      </c>
      <c r="AO63" s="1">
        <f t="shared" ca="1" si="29"/>
        <v>13</v>
      </c>
      <c r="AQ63" s="1">
        <f t="shared" ca="1" si="30"/>
        <v>74</v>
      </c>
      <c r="AR63" s="1">
        <f t="shared" ca="1" si="31"/>
        <v>8</v>
      </c>
      <c r="AS63" s="1">
        <f t="shared" ca="1" si="32"/>
        <v>22</v>
      </c>
      <c r="AU63" s="1">
        <f t="shared" ca="1" si="33"/>
        <v>375</v>
      </c>
      <c r="AV63" s="1">
        <f t="shared" ca="1" si="34"/>
        <v>6</v>
      </c>
      <c r="AW63" s="1">
        <f t="shared" ca="1" si="35"/>
        <v>0.18507506868477749</v>
      </c>
      <c r="AY63" s="1">
        <f t="shared" ca="1" si="36"/>
        <v>1.2161327506821564</v>
      </c>
      <c r="AZ63" s="1">
        <f t="shared" ca="1" si="37"/>
        <v>235</v>
      </c>
      <c r="BA63" s="1">
        <f t="shared" ca="1" si="38"/>
        <v>9.5100220738719831E-3</v>
      </c>
      <c r="BG63" s="1">
        <f t="shared" ca="1" si="39"/>
        <v>5.8820641722126893E-2</v>
      </c>
      <c r="BH63" s="1">
        <f t="shared" ca="1" si="40"/>
        <v>0.2110361882989692</v>
      </c>
      <c r="BI63" s="1">
        <f t="shared" ca="1" si="41"/>
        <v>635</v>
      </c>
      <c r="BV63" s="1">
        <f t="shared" ca="1" si="42"/>
        <v>0.74971971114266489</v>
      </c>
      <c r="BW63" s="1">
        <f t="shared" ca="1" si="43"/>
        <v>992</v>
      </c>
      <c r="BX63" s="1">
        <f t="shared" ca="1" si="44"/>
        <v>1.550766811420102E-3</v>
      </c>
      <c r="BY63" s="1">
        <f t="shared" ca="1" si="45"/>
        <v>3.3544007095387733E-2</v>
      </c>
      <c r="BZ63" s="1">
        <f t="shared" ca="1" si="46"/>
        <v>0.98675585324127113</v>
      </c>
      <c r="CB63" s="1">
        <f t="shared" ca="1" si="47"/>
        <v>343</v>
      </c>
      <c r="CC63" s="1">
        <f t="shared" ca="1" si="48"/>
        <v>7</v>
      </c>
      <c r="CD63" s="1">
        <f t="shared" ca="1" si="49"/>
        <v>4.2246528952461677E-2</v>
      </c>
      <c r="CE63" s="1">
        <f t="shared" ca="1" si="65"/>
        <v>0.82507507298021487</v>
      </c>
      <c r="CF63" s="1">
        <f t="shared" ca="1" si="65"/>
        <v>0.7174397249925788</v>
      </c>
      <c r="CH63" s="3">
        <f t="shared" ca="1" si="51"/>
        <v>0.62757732815390355</v>
      </c>
      <c r="CI63" s="3">
        <f t="shared" ca="1" si="52"/>
        <v>0.10099978324772969</v>
      </c>
      <c r="CJ63" s="3">
        <f t="shared" ca="1" si="53"/>
        <v>1936</v>
      </c>
      <c r="CK63" s="3">
        <f t="shared" ca="1" si="54"/>
        <v>7.2937407858952117E-3</v>
      </c>
      <c r="CL63" s="3">
        <f t="shared" ca="1" si="55"/>
        <v>0</v>
      </c>
      <c r="CM63" s="3"/>
      <c r="CN63" s="1">
        <f t="shared" ca="1" si="56"/>
        <v>0.76671457635138407</v>
      </c>
      <c r="CO63" s="1">
        <f t="shared" ca="1" si="57"/>
        <v>0.44478302737797087</v>
      </c>
      <c r="CP63" s="1">
        <f t="shared" ca="1" si="58"/>
        <v>5</v>
      </c>
      <c r="DH63" s="1">
        <f t="shared" ca="1" si="59"/>
        <v>762</v>
      </c>
      <c r="DI63" s="1">
        <f t="shared" ca="1" si="60"/>
        <v>0.57303939804634385</v>
      </c>
      <c r="DJ63" s="1">
        <f t="shared" ca="1" si="61"/>
        <v>11</v>
      </c>
      <c r="DL63" s="1">
        <f t="shared" ca="1" si="62"/>
        <v>0.16580552524263828</v>
      </c>
      <c r="DM63" s="1">
        <f t="shared" ca="1" si="63"/>
        <v>189</v>
      </c>
      <c r="DN63" s="1">
        <f t="shared" ca="1" si="64"/>
        <v>4</v>
      </c>
    </row>
    <row r="64" spans="2:118" x14ac:dyDescent="0.25">
      <c r="B64">
        <f t="shared" ca="1" si="0"/>
        <v>555</v>
      </c>
      <c r="C64">
        <f t="shared" ca="1" si="1"/>
        <v>7</v>
      </c>
      <c r="D64">
        <f t="shared" ca="1" si="2"/>
        <v>0.23019205696840123</v>
      </c>
      <c r="F64" s="1">
        <f t="shared" ca="1" si="3"/>
        <v>35</v>
      </c>
      <c r="G64" s="1">
        <f t="shared" ca="1" si="4"/>
        <v>22</v>
      </c>
      <c r="H64" s="1">
        <f t="shared" ca="1" si="5"/>
        <v>3</v>
      </c>
      <c r="I64" s="1"/>
      <c r="J64" s="1">
        <f t="shared" ca="1" si="6"/>
        <v>33</v>
      </c>
      <c r="K64" s="1">
        <f t="shared" ca="1" si="7"/>
        <v>1.5081301569298915</v>
      </c>
      <c r="L64" s="1">
        <f t="shared" ca="1" si="8"/>
        <v>13</v>
      </c>
      <c r="M64" s="1"/>
      <c r="N64" s="1">
        <f t="shared" ca="1" si="9"/>
        <v>667</v>
      </c>
      <c r="O64" s="1">
        <f t="shared" ca="1" si="10"/>
        <v>39</v>
      </c>
      <c r="P64" s="1"/>
      <c r="Q64" s="1">
        <f t="shared" ca="1" si="11"/>
        <v>3.8509418379276195</v>
      </c>
      <c r="R64" s="1">
        <f t="shared" ca="1" si="12"/>
        <v>981</v>
      </c>
      <c r="S64" s="1"/>
      <c r="T64" s="1">
        <f t="shared" ca="1" si="13"/>
        <v>2.390855031385887E-2</v>
      </c>
      <c r="U64" s="1">
        <f t="shared" ca="1" si="14"/>
        <v>171</v>
      </c>
      <c r="V64" s="1">
        <f t="shared" ca="1" si="15"/>
        <v>44</v>
      </c>
      <c r="W64" s="1"/>
      <c r="X64" s="1">
        <f t="shared" ca="1" si="16"/>
        <v>5.196386803370185</v>
      </c>
      <c r="Y64" s="1">
        <f t="shared" ca="1" si="17"/>
        <v>0.77016767056928648</v>
      </c>
      <c r="Z64" s="1">
        <f t="shared" ca="1" si="18"/>
        <v>428</v>
      </c>
      <c r="AB64" s="1">
        <f t="shared" ca="1" si="19"/>
        <v>0.62439072436342191</v>
      </c>
      <c r="AC64" s="1">
        <f t="shared" ca="1" si="20"/>
        <v>242</v>
      </c>
      <c r="AD64" s="1">
        <f t="shared" ca="1" si="21"/>
        <v>6.5333198941901587E-3</v>
      </c>
      <c r="AE64" s="1"/>
      <c r="AF64" s="1">
        <f t="shared" ca="1" si="22"/>
        <v>0.8920443119803132</v>
      </c>
      <c r="AG64" s="1">
        <f t="shared" ca="1" si="23"/>
        <v>157</v>
      </c>
      <c r="AH64" s="1">
        <f t="shared" ca="1" si="24"/>
        <v>7.2656128410669299E-3</v>
      </c>
      <c r="AJ64" s="1">
        <f t="shared" ca="1" si="25"/>
        <v>0.40040182328082607</v>
      </c>
      <c r="AK64" s="1">
        <f t="shared" ca="1" si="26"/>
        <v>3.5348132801730869E-3</v>
      </c>
      <c r="AL64" s="1"/>
      <c r="AM64" s="1">
        <f t="shared" ca="1" si="27"/>
        <v>0.1524008447679778</v>
      </c>
      <c r="AN64" s="1">
        <f t="shared" ca="1" si="28"/>
        <v>58</v>
      </c>
      <c r="AO64" s="1">
        <f t="shared" ca="1" si="29"/>
        <v>14</v>
      </c>
      <c r="AQ64" s="1">
        <f t="shared" ca="1" si="30"/>
        <v>104</v>
      </c>
      <c r="AR64" s="1">
        <f t="shared" ca="1" si="31"/>
        <v>0</v>
      </c>
      <c r="AS64" s="1">
        <f t="shared" ca="1" si="32"/>
        <v>6</v>
      </c>
      <c r="AU64" s="1">
        <f t="shared" ca="1" si="33"/>
        <v>144</v>
      </c>
      <c r="AV64" s="1">
        <f t="shared" ca="1" si="34"/>
        <v>8</v>
      </c>
      <c r="AW64" s="1">
        <f t="shared" ca="1" si="35"/>
        <v>0.16925198096306035</v>
      </c>
      <c r="AY64" s="1">
        <f t="shared" ca="1" si="36"/>
        <v>1.5224660830145642</v>
      </c>
      <c r="AZ64" s="1">
        <f t="shared" ca="1" si="37"/>
        <v>479</v>
      </c>
      <c r="BA64" s="1">
        <f t="shared" ca="1" si="38"/>
        <v>1.5198453851469154E-3</v>
      </c>
      <c r="BG64" s="1">
        <f t="shared" ca="1" si="39"/>
        <v>0.86975283118386004</v>
      </c>
      <c r="BH64" s="1">
        <f t="shared" ca="1" si="40"/>
        <v>0.33806266599590762</v>
      </c>
      <c r="BI64" s="1">
        <f t="shared" ca="1" si="41"/>
        <v>781</v>
      </c>
      <c r="BV64" s="1">
        <f t="shared" ca="1" si="42"/>
        <v>0.86893605428720022</v>
      </c>
      <c r="BW64" s="1">
        <f t="shared" ca="1" si="43"/>
        <v>990</v>
      </c>
      <c r="BX64" s="1">
        <f t="shared" ca="1" si="44"/>
        <v>9.4108859549050482E-3</v>
      </c>
      <c r="BY64" s="1">
        <f t="shared" ca="1" si="45"/>
        <v>5.3632270298984406E-4</v>
      </c>
      <c r="BZ64" s="1">
        <f t="shared" ca="1" si="46"/>
        <v>0.76484880705750335</v>
      </c>
      <c r="CB64" s="1">
        <f t="shared" ca="1" si="47"/>
        <v>62</v>
      </c>
      <c r="CC64" s="1">
        <f t="shared" ca="1" si="48"/>
        <v>10</v>
      </c>
      <c r="CD64" s="1">
        <f t="shared" ca="1" si="49"/>
        <v>0.20250889596044117</v>
      </c>
      <c r="CE64" s="1">
        <f t="shared" ca="1" si="65"/>
        <v>0.94751161180975119</v>
      </c>
      <c r="CF64" s="1">
        <f t="shared" ca="1" si="65"/>
        <v>0.70087441392681049</v>
      </c>
      <c r="CH64" s="3">
        <f t="shared" ca="1" si="51"/>
        <v>0.80889666143525008</v>
      </c>
      <c r="CI64" s="3">
        <f t="shared" ca="1" si="52"/>
        <v>0.56804868341101378</v>
      </c>
      <c r="CJ64" s="3">
        <f t="shared" ca="1" si="53"/>
        <v>1055</v>
      </c>
      <c r="CK64" s="3">
        <f t="shared" ca="1" si="54"/>
        <v>1.817232181180283E-3</v>
      </c>
      <c r="CL64" s="3">
        <f t="shared" ca="1" si="55"/>
        <v>0</v>
      </c>
      <c r="CM64" s="3"/>
      <c r="CN64" s="1">
        <f t="shared" ca="1" si="56"/>
        <v>14.249409255796467</v>
      </c>
      <c r="CO64" s="1">
        <f t="shared" ca="1" si="57"/>
        <v>0.48862569641957176</v>
      </c>
      <c r="CP64" s="1">
        <f t="shared" ca="1" si="58"/>
        <v>5</v>
      </c>
      <c r="DH64" s="1">
        <f t="shared" ca="1" si="59"/>
        <v>771</v>
      </c>
      <c r="DI64" s="1">
        <f t="shared" ca="1" si="60"/>
        <v>0.81713800543077642</v>
      </c>
      <c r="DJ64" s="1">
        <f t="shared" ca="1" si="61"/>
        <v>21</v>
      </c>
      <c r="DL64" s="1">
        <f t="shared" ca="1" si="62"/>
        <v>0.18676732132408999</v>
      </c>
      <c r="DM64" s="1">
        <f t="shared" ca="1" si="63"/>
        <v>268</v>
      </c>
      <c r="DN64" s="1">
        <f t="shared" ca="1" si="64"/>
        <v>2</v>
      </c>
    </row>
    <row r="65" spans="2:118" x14ac:dyDescent="0.25">
      <c r="B65">
        <f t="shared" ca="1" si="0"/>
        <v>983</v>
      </c>
      <c r="C65">
        <f t="shared" ca="1" si="1"/>
        <v>47</v>
      </c>
      <c r="D65">
        <f t="shared" ca="1" si="2"/>
        <v>0.25257833735293062</v>
      </c>
      <c r="F65" s="1">
        <f t="shared" ca="1" si="3"/>
        <v>26</v>
      </c>
      <c r="G65" s="1">
        <f t="shared" ca="1" si="4"/>
        <v>4</v>
      </c>
      <c r="H65" s="1">
        <f t="shared" ca="1" si="5"/>
        <v>14</v>
      </c>
      <c r="I65" s="1"/>
      <c r="J65" s="1">
        <f t="shared" ca="1" si="6"/>
        <v>18</v>
      </c>
      <c r="K65" s="1">
        <f t="shared" ca="1" si="7"/>
        <v>2.7021992386860507</v>
      </c>
      <c r="L65" s="1">
        <f t="shared" ca="1" si="8"/>
        <v>13</v>
      </c>
      <c r="M65" s="1"/>
      <c r="N65" s="1">
        <f t="shared" ca="1" si="9"/>
        <v>601</v>
      </c>
      <c r="O65" s="1">
        <f t="shared" ca="1" si="10"/>
        <v>39</v>
      </c>
      <c r="P65" s="1"/>
      <c r="Q65" s="1">
        <f t="shared" ca="1" si="11"/>
        <v>4.5584591510568941</v>
      </c>
      <c r="R65" s="1">
        <f t="shared" ca="1" si="12"/>
        <v>304</v>
      </c>
      <c r="S65" s="1"/>
      <c r="T65" s="1">
        <f t="shared" ca="1" si="13"/>
        <v>0.13450294039195759</v>
      </c>
      <c r="U65" s="1">
        <f t="shared" ca="1" si="14"/>
        <v>159</v>
      </c>
      <c r="V65" s="1">
        <f t="shared" ca="1" si="15"/>
        <v>17</v>
      </c>
      <c r="W65" s="1"/>
      <c r="X65" s="1">
        <f t="shared" ca="1" si="16"/>
        <v>2.305796525737422</v>
      </c>
      <c r="Y65" s="1">
        <f t="shared" ca="1" si="17"/>
        <v>2.1692851406659958E-2</v>
      </c>
      <c r="Z65" s="1">
        <f t="shared" ca="1" si="18"/>
        <v>1240</v>
      </c>
      <c r="AB65" s="1">
        <f t="shared" ca="1" si="19"/>
        <v>0.85599686603443126</v>
      </c>
      <c r="AC65" s="1">
        <f t="shared" ca="1" si="20"/>
        <v>484</v>
      </c>
      <c r="AD65" s="1">
        <f t="shared" ca="1" si="21"/>
        <v>8.3056845497776251E-3</v>
      </c>
      <c r="AE65" s="1"/>
      <c r="AF65" s="1">
        <f t="shared" ca="1" si="22"/>
        <v>0.51101831714480905</v>
      </c>
      <c r="AG65" s="1">
        <f t="shared" ca="1" si="23"/>
        <v>948</v>
      </c>
      <c r="AH65" s="1">
        <f t="shared" ca="1" si="24"/>
        <v>9.6855483129992242E-3</v>
      </c>
      <c r="AJ65" s="1">
        <f t="shared" ca="1" si="25"/>
        <v>0.83265354707513606</v>
      </c>
      <c r="AK65" s="1">
        <f t="shared" ca="1" si="26"/>
        <v>2.909365549807065E-3</v>
      </c>
      <c r="AL65" s="1"/>
      <c r="AM65" s="1">
        <f t="shared" ca="1" si="27"/>
        <v>0.19556967562250063</v>
      </c>
      <c r="AN65" s="1">
        <f t="shared" ca="1" si="28"/>
        <v>80</v>
      </c>
      <c r="AO65" s="1">
        <f t="shared" ca="1" si="29"/>
        <v>12</v>
      </c>
      <c r="AQ65" s="1">
        <f t="shared" ca="1" si="30"/>
        <v>192</v>
      </c>
      <c r="AR65" s="1">
        <f t="shared" ca="1" si="31"/>
        <v>2</v>
      </c>
      <c r="AS65" s="1">
        <f t="shared" ca="1" si="32"/>
        <v>15</v>
      </c>
      <c r="AU65" s="1">
        <f t="shared" ca="1" si="33"/>
        <v>400</v>
      </c>
      <c r="AV65" s="1">
        <f t="shared" ca="1" si="34"/>
        <v>2</v>
      </c>
      <c r="AW65" s="1">
        <f t="shared" ca="1" si="35"/>
        <v>0.15017774260852393</v>
      </c>
      <c r="AY65" s="1">
        <f t="shared" ca="1" si="36"/>
        <v>1.3093424413422843</v>
      </c>
      <c r="AZ65" s="1">
        <f t="shared" ca="1" si="37"/>
        <v>263</v>
      </c>
      <c r="BA65" s="1">
        <f t="shared" ca="1" si="38"/>
        <v>4.954121560437879E-3</v>
      </c>
      <c r="BG65" s="1">
        <f t="shared" ca="1" si="39"/>
        <v>0.20655710322086462</v>
      </c>
      <c r="BH65" s="1">
        <f t="shared" ca="1" si="40"/>
        <v>0.17989674568506553</v>
      </c>
      <c r="BI65" s="1">
        <f t="shared" ca="1" si="41"/>
        <v>753</v>
      </c>
      <c r="BV65" s="1">
        <f t="shared" ca="1" si="42"/>
        <v>0.68012683362405291</v>
      </c>
      <c r="BW65" s="1">
        <f t="shared" ca="1" si="43"/>
        <v>558</v>
      </c>
      <c r="BX65" s="1">
        <f t="shared" ca="1" si="44"/>
        <v>5.9145744046469459E-3</v>
      </c>
      <c r="BY65" s="1">
        <f t="shared" ca="1" si="45"/>
        <v>6.4270824019614723E-4</v>
      </c>
      <c r="BZ65" s="1">
        <f t="shared" ca="1" si="46"/>
        <v>0.66894556118726733</v>
      </c>
      <c r="CB65" s="1">
        <f t="shared" ca="1" si="47"/>
        <v>266</v>
      </c>
      <c r="CC65" s="1">
        <f t="shared" ca="1" si="48"/>
        <v>10</v>
      </c>
      <c r="CD65" s="1">
        <f t="shared" ca="1" si="49"/>
        <v>4.5404625526600059E-2</v>
      </c>
      <c r="CE65" s="1">
        <f t="shared" ca="1" si="65"/>
        <v>0.61744820834030378</v>
      </c>
      <c r="CF65" s="1">
        <f t="shared" ca="1" si="65"/>
        <v>0.56060351338019454</v>
      </c>
      <c r="CH65" s="3">
        <f t="shared" ca="1" si="51"/>
        <v>0.30336581478887598</v>
      </c>
      <c r="CI65" s="3">
        <f t="shared" ca="1" si="52"/>
        <v>9.6698470045967475E-2</v>
      </c>
      <c r="CJ65" s="3">
        <f t="shared" ca="1" si="53"/>
        <v>1987</v>
      </c>
      <c r="CK65" s="3">
        <f t="shared" ca="1" si="54"/>
        <v>2.9443086468489178E-3</v>
      </c>
      <c r="CL65" s="3">
        <f t="shared" ca="1" si="55"/>
        <v>0</v>
      </c>
      <c r="CM65" s="3"/>
      <c r="CN65" s="1">
        <f t="shared" ca="1" si="56"/>
        <v>17.109226739281553</v>
      </c>
      <c r="CO65" s="1">
        <f t="shared" ca="1" si="57"/>
        <v>4.3858457455085535E-2</v>
      </c>
      <c r="CP65" s="1">
        <f t="shared" ca="1" si="58"/>
        <v>4</v>
      </c>
      <c r="DH65" s="1">
        <f t="shared" ca="1" si="59"/>
        <v>754</v>
      </c>
      <c r="DI65" s="1">
        <f t="shared" ca="1" si="60"/>
        <v>0.61845130496519396</v>
      </c>
      <c r="DJ65" s="1">
        <f t="shared" ca="1" si="61"/>
        <v>23</v>
      </c>
      <c r="DL65" s="1">
        <f t="shared" ca="1" si="62"/>
        <v>4.1785845757095465E-2</v>
      </c>
      <c r="DM65" s="1">
        <f t="shared" ca="1" si="63"/>
        <v>113</v>
      </c>
      <c r="DN65" s="1">
        <f t="shared" ca="1" si="64"/>
        <v>7</v>
      </c>
    </row>
    <row r="66" spans="2:118" x14ac:dyDescent="0.25">
      <c r="B66">
        <f t="shared" ca="1" si="0"/>
        <v>141</v>
      </c>
      <c r="C66">
        <f t="shared" ca="1" si="1"/>
        <v>41</v>
      </c>
      <c r="D66">
        <f t="shared" ca="1" si="2"/>
        <v>0.17917459144437542</v>
      </c>
      <c r="F66" s="1">
        <f t="shared" ca="1" si="3"/>
        <v>8</v>
      </c>
      <c r="G66" s="1">
        <f t="shared" ca="1" si="4"/>
        <v>8</v>
      </c>
      <c r="H66" s="1">
        <f t="shared" ca="1" si="5"/>
        <v>11</v>
      </c>
      <c r="I66" s="1"/>
      <c r="J66" s="1">
        <f t="shared" ca="1" si="6"/>
        <v>19</v>
      </c>
      <c r="K66" s="1">
        <f t="shared" ca="1" si="7"/>
        <v>2.8420917328664128</v>
      </c>
      <c r="L66" s="1">
        <f t="shared" ca="1" si="8"/>
        <v>2</v>
      </c>
      <c r="M66" s="1"/>
      <c r="N66" s="1">
        <f t="shared" ca="1" si="9"/>
        <v>388</v>
      </c>
      <c r="O66" s="1">
        <f t="shared" ca="1" si="10"/>
        <v>44</v>
      </c>
      <c r="P66" s="1"/>
      <c r="Q66" s="1">
        <f t="shared" ca="1" si="11"/>
        <v>4.9832391466508836</v>
      </c>
      <c r="R66" s="1">
        <f t="shared" ca="1" si="12"/>
        <v>995</v>
      </c>
      <c r="S66" s="1"/>
      <c r="T66" s="1">
        <f t="shared" ca="1" si="13"/>
        <v>0.1919631177016527</v>
      </c>
      <c r="U66" s="1">
        <f t="shared" ca="1" si="14"/>
        <v>241</v>
      </c>
      <c r="V66" s="1">
        <f t="shared" ca="1" si="15"/>
        <v>32</v>
      </c>
      <c r="W66" s="1"/>
      <c r="X66" s="1">
        <f t="shared" ca="1" si="16"/>
        <v>2.685266070096199</v>
      </c>
      <c r="Y66" s="1">
        <f t="shared" ca="1" si="17"/>
        <v>7.7952004644170236E-2</v>
      </c>
      <c r="Z66" s="1">
        <f t="shared" ca="1" si="18"/>
        <v>1459</v>
      </c>
      <c r="AB66" s="1">
        <f t="shared" ca="1" si="19"/>
        <v>0.55750313817562747</v>
      </c>
      <c r="AC66" s="1">
        <f t="shared" ca="1" si="20"/>
        <v>706</v>
      </c>
      <c r="AD66" s="1">
        <f t="shared" ca="1" si="21"/>
        <v>7.5830363526213466E-3</v>
      </c>
      <c r="AE66" s="1"/>
      <c r="AF66" s="1">
        <f t="shared" ca="1" si="22"/>
        <v>0.17611648424237691</v>
      </c>
      <c r="AG66" s="1">
        <f t="shared" ca="1" si="23"/>
        <v>828</v>
      </c>
      <c r="AH66" s="1">
        <f t="shared" ca="1" si="24"/>
        <v>2.8007318860991783E-3</v>
      </c>
      <c r="AJ66" s="1">
        <f t="shared" ca="1" si="25"/>
        <v>0.4403704653674988</v>
      </c>
      <c r="AK66" s="1">
        <f t="shared" ca="1" si="26"/>
        <v>9.567863027352028E-3</v>
      </c>
      <c r="AL66" s="1"/>
      <c r="AM66" s="1">
        <f t="shared" ca="1" si="27"/>
        <v>0.12507977256022704</v>
      </c>
      <c r="AN66" s="1">
        <f t="shared" ca="1" si="28"/>
        <v>56</v>
      </c>
      <c r="AO66" s="1">
        <f t="shared" ca="1" si="29"/>
        <v>18</v>
      </c>
      <c r="AQ66" s="1">
        <f t="shared" ca="1" si="30"/>
        <v>83</v>
      </c>
      <c r="AR66" s="1">
        <f t="shared" ca="1" si="31"/>
        <v>10</v>
      </c>
      <c r="AS66" s="1">
        <f t="shared" ca="1" si="32"/>
        <v>25</v>
      </c>
      <c r="AU66" s="1">
        <f t="shared" ca="1" si="33"/>
        <v>373</v>
      </c>
      <c r="AV66" s="1">
        <f t="shared" ca="1" si="34"/>
        <v>7</v>
      </c>
      <c r="AW66" s="1">
        <f t="shared" ca="1" si="35"/>
        <v>0.10240496934578915</v>
      </c>
      <c r="AY66" s="1">
        <f t="shared" ca="1" si="36"/>
        <v>1.2557673762194832</v>
      </c>
      <c r="AZ66" s="1">
        <f t="shared" ca="1" si="37"/>
        <v>117</v>
      </c>
      <c r="BA66" s="1">
        <f t="shared" ca="1" si="38"/>
        <v>6.9442611338571564E-3</v>
      </c>
      <c r="BG66" s="1">
        <f t="shared" ca="1" si="39"/>
        <v>6.3372207699115446E-2</v>
      </c>
      <c r="BH66" s="1">
        <f t="shared" ca="1" si="40"/>
        <v>0.25530399647604574</v>
      </c>
      <c r="BI66" s="1">
        <f t="shared" ca="1" si="41"/>
        <v>475</v>
      </c>
      <c r="BV66" s="1">
        <f t="shared" ca="1" si="42"/>
        <v>0.1329120019066235</v>
      </c>
      <c r="BW66" s="1">
        <f t="shared" ca="1" si="43"/>
        <v>780</v>
      </c>
      <c r="BX66" s="1">
        <f t="shared" ca="1" si="44"/>
        <v>8.1107402068609866E-3</v>
      </c>
      <c r="BY66" s="1">
        <f t="shared" ca="1" si="45"/>
        <v>6.648595221488332E-2</v>
      </c>
      <c r="BZ66" s="1">
        <f t="shared" ca="1" si="46"/>
        <v>0.80334259420244303</v>
      </c>
      <c r="CB66" s="1">
        <f t="shared" ca="1" si="47"/>
        <v>193</v>
      </c>
      <c r="CC66" s="1">
        <f t="shared" ca="1" si="48"/>
        <v>9</v>
      </c>
      <c r="CD66" s="1">
        <f t="shared" ca="1" si="49"/>
        <v>8.9842084626259824E-2</v>
      </c>
      <c r="CE66" s="1">
        <f t="shared" ca="1" si="65"/>
        <v>0.83580325360245089</v>
      </c>
      <c r="CF66" s="1">
        <f t="shared" ca="1" si="65"/>
        <v>0.92433625352076698</v>
      </c>
      <c r="CH66" s="3">
        <f t="shared" ca="1" si="51"/>
        <v>0.90179014423338533</v>
      </c>
      <c r="CI66" s="3">
        <f t="shared" ca="1" si="52"/>
        <v>0.8768370575464739</v>
      </c>
      <c r="CJ66" s="3">
        <f t="shared" ca="1" si="53"/>
        <v>321</v>
      </c>
      <c r="CK66" s="3">
        <f t="shared" ca="1" si="54"/>
        <v>3.5906487667381457E-3</v>
      </c>
      <c r="CL66" s="3">
        <f t="shared" ca="1" si="55"/>
        <v>1</v>
      </c>
      <c r="CM66" s="3"/>
      <c r="CN66" s="1">
        <f t="shared" ca="1" si="56"/>
        <v>6.8967925878114933</v>
      </c>
      <c r="CO66" s="1">
        <f t="shared" ca="1" si="57"/>
        <v>0.10704038343928364</v>
      </c>
      <c r="CP66" s="1">
        <f t="shared" ca="1" si="58"/>
        <v>4</v>
      </c>
      <c r="DH66" s="1">
        <f t="shared" ca="1" si="59"/>
        <v>440</v>
      </c>
      <c r="DI66" s="1">
        <f t="shared" ca="1" si="60"/>
        <v>0.38279272598998437</v>
      </c>
      <c r="DJ66" s="1">
        <f t="shared" ca="1" si="61"/>
        <v>12</v>
      </c>
      <c r="DL66" s="1">
        <f t="shared" ca="1" si="62"/>
        <v>0.14768633674939682</v>
      </c>
      <c r="DM66" s="1">
        <f t="shared" ca="1" si="63"/>
        <v>194</v>
      </c>
      <c r="DN66" s="1">
        <f t="shared" ca="1" si="64"/>
        <v>8</v>
      </c>
    </row>
    <row r="67" spans="2:118" x14ac:dyDescent="0.25">
      <c r="B67">
        <f t="shared" ca="1" si="0"/>
        <v>383</v>
      </c>
      <c r="C67">
        <f t="shared" ca="1" si="1"/>
        <v>24</v>
      </c>
      <c r="D67">
        <f t="shared" ca="1" si="2"/>
        <v>0.16073833401999282</v>
      </c>
      <c r="F67" s="1">
        <f t="shared" ca="1" si="3"/>
        <v>14</v>
      </c>
      <c r="G67" s="1">
        <f t="shared" ca="1" si="4"/>
        <v>13</v>
      </c>
      <c r="H67" s="1">
        <f t="shared" ca="1" si="5"/>
        <v>11</v>
      </c>
      <c r="I67" s="1"/>
      <c r="J67" s="1">
        <f t="shared" ca="1" si="6"/>
        <v>30</v>
      </c>
      <c r="K67" s="1">
        <f t="shared" ca="1" si="7"/>
        <v>1.2945753660731596</v>
      </c>
      <c r="L67" s="1">
        <f t="shared" ca="1" si="8"/>
        <v>16</v>
      </c>
      <c r="M67" s="1"/>
      <c r="N67" s="1">
        <f t="shared" ca="1" si="9"/>
        <v>907</v>
      </c>
      <c r="O67" s="1">
        <f t="shared" ca="1" si="10"/>
        <v>50</v>
      </c>
      <c r="P67" s="1"/>
      <c r="Q67" s="1">
        <f t="shared" ca="1" si="11"/>
        <v>3.5651308816447091</v>
      </c>
      <c r="R67" s="1">
        <f t="shared" ca="1" si="12"/>
        <v>351</v>
      </c>
      <c r="S67" s="1"/>
      <c r="T67" s="1">
        <f t="shared" ca="1" si="13"/>
        <v>3.7359330494569229E-2</v>
      </c>
      <c r="U67" s="1">
        <f t="shared" ca="1" si="14"/>
        <v>75</v>
      </c>
      <c r="V67" s="1">
        <f t="shared" ca="1" si="15"/>
        <v>19</v>
      </c>
      <c r="W67" s="1"/>
      <c r="X67" s="1">
        <f t="shared" ca="1" si="16"/>
        <v>3.3948022943342577</v>
      </c>
      <c r="Y67" s="1">
        <f t="shared" ca="1" si="17"/>
        <v>0.82046919354572345</v>
      </c>
      <c r="Z67" s="1">
        <f t="shared" ca="1" si="18"/>
        <v>499</v>
      </c>
      <c r="AB67" s="1">
        <f t="shared" ca="1" si="19"/>
        <v>0.22465004224470139</v>
      </c>
      <c r="AC67" s="1">
        <f t="shared" ca="1" si="20"/>
        <v>360</v>
      </c>
      <c r="AD67" s="1">
        <f t="shared" ca="1" si="21"/>
        <v>9.2819263142001392E-3</v>
      </c>
      <c r="AE67" s="1"/>
      <c r="AF67" s="1">
        <f t="shared" ca="1" si="22"/>
        <v>0.48645182618188898</v>
      </c>
      <c r="AG67" s="1">
        <f t="shared" ca="1" si="23"/>
        <v>192</v>
      </c>
      <c r="AH67" s="1">
        <f t="shared" ca="1" si="24"/>
        <v>8.5593089363122082E-3</v>
      </c>
      <c r="AJ67" s="1">
        <f t="shared" ca="1" si="25"/>
        <v>5.8996305427136297E-2</v>
      </c>
      <c r="AK67" s="1">
        <f t="shared" ca="1" si="26"/>
        <v>3.6210338440392843E-3</v>
      </c>
      <c r="AL67" s="1"/>
      <c r="AM67" s="1">
        <f t="shared" ca="1" si="27"/>
        <v>8.886798613077096E-2</v>
      </c>
      <c r="AN67" s="1">
        <f t="shared" ca="1" si="28"/>
        <v>57</v>
      </c>
      <c r="AO67" s="1">
        <f t="shared" ca="1" si="29"/>
        <v>2</v>
      </c>
      <c r="AQ67" s="1">
        <f t="shared" ca="1" si="30"/>
        <v>53</v>
      </c>
      <c r="AR67" s="1">
        <f t="shared" ca="1" si="31"/>
        <v>4</v>
      </c>
      <c r="AS67" s="1">
        <f t="shared" ca="1" si="32"/>
        <v>84</v>
      </c>
      <c r="AU67" s="1">
        <f t="shared" ca="1" si="33"/>
        <v>93</v>
      </c>
      <c r="AV67" s="1">
        <f t="shared" ca="1" si="34"/>
        <v>6</v>
      </c>
      <c r="AW67" s="1">
        <f t="shared" ca="1" si="35"/>
        <v>9.4999614441522467E-2</v>
      </c>
      <c r="AY67" s="1">
        <f t="shared" ca="1" si="36"/>
        <v>1.8509672636257517</v>
      </c>
      <c r="AZ67" s="1">
        <f t="shared" ca="1" si="37"/>
        <v>326</v>
      </c>
      <c r="BA67" s="1">
        <f t="shared" ca="1" si="38"/>
        <v>2.5539742685670016E-3</v>
      </c>
      <c r="BG67" s="1">
        <f t="shared" ca="1" si="39"/>
        <v>0.58258662722932997</v>
      </c>
      <c r="BH67" s="1">
        <f t="shared" ca="1" si="40"/>
        <v>0.16376452016776277</v>
      </c>
      <c r="BI67" s="1">
        <f t="shared" ca="1" si="41"/>
        <v>141</v>
      </c>
      <c r="BV67" s="1">
        <f t="shared" ca="1" si="42"/>
        <v>0.83906762313619077</v>
      </c>
      <c r="BW67" s="1">
        <f t="shared" ca="1" si="43"/>
        <v>287</v>
      </c>
      <c r="BX67" s="1">
        <f t="shared" ca="1" si="44"/>
        <v>4.0290733318976354E-3</v>
      </c>
      <c r="BY67" s="1">
        <f t="shared" ca="1" si="45"/>
        <v>5.161784490487626E-2</v>
      </c>
      <c r="BZ67" s="1">
        <f t="shared" ca="1" si="46"/>
        <v>0.85942233586078187</v>
      </c>
      <c r="CB67" s="1">
        <f t="shared" ca="1" si="47"/>
        <v>328</v>
      </c>
      <c r="CC67" s="1">
        <f t="shared" ca="1" si="48"/>
        <v>8</v>
      </c>
      <c r="CD67" s="1">
        <f t="shared" ca="1" si="49"/>
        <v>0.15343841429494209</v>
      </c>
      <c r="CE67" s="1">
        <f t="shared" ca="1" si="65"/>
        <v>0.66736505542884905</v>
      </c>
      <c r="CF67" s="1">
        <f t="shared" ca="1" si="65"/>
        <v>0.5894973196268567</v>
      </c>
      <c r="CH67" s="3">
        <f t="shared" ca="1" si="51"/>
        <v>0.72508148463525002</v>
      </c>
      <c r="CI67" s="3">
        <f t="shared" ca="1" si="52"/>
        <v>0.50915403323886521</v>
      </c>
      <c r="CJ67" s="3">
        <f t="shared" ca="1" si="53"/>
        <v>822</v>
      </c>
      <c r="CK67" s="3">
        <f t="shared" ca="1" si="54"/>
        <v>9.1600571910424502E-3</v>
      </c>
      <c r="CL67" s="3">
        <f t="shared" ca="1" si="55"/>
        <v>1</v>
      </c>
      <c r="CM67" s="3"/>
      <c r="CN67" s="1">
        <f t="shared" ca="1" si="56"/>
        <v>5.4324837568135074</v>
      </c>
      <c r="CO67" s="1">
        <f t="shared" ca="1" si="57"/>
        <v>0.30363979944081915</v>
      </c>
      <c r="CP67" s="1">
        <f t="shared" ca="1" si="58"/>
        <v>2</v>
      </c>
      <c r="DH67" s="1">
        <f t="shared" ca="1" si="59"/>
        <v>439</v>
      </c>
      <c r="DI67" s="1">
        <f t="shared" ca="1" si="60"/>
        <v>0.96193448807296089</v>
      </c>
      <c r="DJ67" s="1">
        <f t="shared" ca="1" si="61"/>
        <v>7</v>
      </c>
      <c r="DL67" s="1">
        <f t="shared" ca="1" si="62"/>
        <v>0.10895359473095183</v>
      </c>
      <c r="DM67" s="1">
        <f t="shared" ca="1" si="63"/>
        <v>278</v>
      </c>
      <c r="DN67" s="1">
        <f t="shared" ca="1" si="64"/>
        <v>1</v>
      </c>
    </row>
    <row r="68" spans="2:118" x14ac:dyDescent="0.25">
      <c r="B68">
        <f t="shared" ref="B68:B131" ca="1" si="66">RANDBETWEEN(15,1000)</f>
        <v>999</v>
      </c>
      <c r="C68">
        <f t="shared" ref="C68:C131" ca="1" si="67">RANDBETWEEN(2,52)</f>
        <v>28</v>
      </c>
      <c r="D68">
        <f t="shared" ref="D68:D131" ca="1" si="68">RAND()*(0.3-0.01)+0.01</f>
        <v>0.24548839252453442</v>
      </c>
      <c r="F68" s="1">
        <f t="shared" ref="F68:F131" ca="1" si="69">RANDBETWEEN(2,52)</f>
        <v>39</v>
      </c>
      <c r="G68" s="1">
        <f t="shared" ref="G68:G131" ca="1" si="70">RANDBETWEEN(2,30)</f>
        <v>4</v>
      </c>
      <c r="H68" s="1">
        <f t="shared" ref="H68:H131" ca="1" si="71">RANDBETWEEN(1,15)</f>
        <v>15</v>
      </c>
      <c r="I68" s="1"/>
      <c r="J68" s="1">
        <f t="shared" ref="J68:J131" ca="1" si="72">RANDBETWEEN(1,39)</f>
        <v>12</v>
      </c>
      <c r="K68" s="1">
        <f t="shared" ref="K68:K131" ca="1" si="73">RAND()*(3-1)+1</f>
        <v>1.8758187920780285</v>
      </c>
      <c r="L68" s="1">
        <f t="shared" ref="L68:L131" ca="1" si="74">RANDBETWEEN(2,35)</f>
        <v>16</v>
      </c>
      <c r="M68" s="1"/>
      <c r="N68" s="1">
        <f t="shared" ref="N68:N131" ca="1" si="75">RANDBETWEEN(15,1000)</f>
        <v>262</v>
      </c>
      <c r="O68" s="1">
        <f t="shared" ref="O68:O131" ca="1" si="76">RANDBETWEEN(2,52)</f>
        <v>8</v>
      </c>
      <c r="P68" s="1"/>
      <c r="Q68" s="1">
        <f t="shared" ref="Q68:Q131" ca="1" si="77">RAND()*(5-0.01)+0.01</f>
        <v>3.727327760493524</v>
      </c>
      <c r="R68" s="1">
        <f t="shared" ref="R68:R131" ca="1" si="78">RANDBETWEEN(200,1200)</f>
        <v>510</v>
      </c>
      <c r="S68" s="1"/>
      <c r="T68" s="1">
        <f t="shared" ref="T68:T131" ca="1" si="79">RAND()*(0.2-0.01)+0.01</f>
        <v>4.727723553478471E-2</v>
      </c>
      <c r="U68" s="1">
        <f t="shared" ref="U68:U131" ca="1" si="80">RANDBETWEEN(50,450)</f>
        <v>369</v>
      </c>
      <c r="V68" s="1">
        <f t="shared" ref="V68:V131" ca="1" si="81">RANDBETWEEN(2,52)</f>
        <v>52</v>
      </c>
      <c r="W68" s="1"/>
      <c r="X68" s="1">
        <f t="shared" ref="X68:X131" ca="1" si="82">RAND()*(10-0.01)+0.01</f>
        <v>5.5923937754973627</v>
      </c>
      <c r="Y68" s="1">
        <f t="shared" ref="Y68:Y131" ca="1" si="83">RAND()*(1-0.0001)+0.0001</f>
        <v>0.55360370400516168</v>
      </c>
      <c r="Z68" s="1">
        <f t="shared" ref="Z68:Z131" ca="1" si="84">RANDBETWEEN(100,2000)</f>
        <v>1397</v>
      </c>
      <c r="AB68" s="1">
        <f t="shared" ref="AB68:AB131" ca="1" si="85">RAND()*(1-0.0001)+0.0001</f>
        <v>0.32267586066613774</v>
      </c>
      <c r="AC68" s="1">
        <f t="shared" ref="AC68:AC131" ca="1" si="86">RANDBETWEEN(100,1000)</f>
        <v>888</v>
      </c>
      <c r="AD68" s="1">
        <f t="shared" ref="AD68:AD131" ca="1" si="87">RAND()*(0.01-0.00001)+0.00001</f>
        <v>1.1987144615176373E-3</v>
      </c>
      <c r="AE68" s="1"/>
      <c r="AF68" s="1">
        <f t="shared" ref="AF68:AF131" ca="1" si="88">RAND()*(0.9-0.1)+0.1</f>
        <v>0.21139994866138415</v>
      </c>
      <c r="AG68" s="1">
        <f t="shared" ref="AG68:AG131" ca="1" si="89">RANDBETWEEN(100,1000)</f>
        <v>786</v>
      </c>
      <c r="AH68" s="1">
        <f t="shared" ref="AH68:AH131" ca="1" si="90">RAND()*(0.01-0.00001)+0.00001</f>
        <v>6.706983830542571E-4</v>
      </c>
      <c r="AJ68" s="1">
        <f t="shared" ref="AJ68:AJ131" ca="1" si="91">RAND()*(1-0)+0</f>
        <v>0.84022576066167198</v>
      </c>
      <c r="AK68" s="1">
        <f t="shared" ref="AK68:AK131" ca="1" si="92">RAND()*(0.01-0.00001)+0.00001</f>
        <v>2.4442735915829842E-5</v>
      </c>
      <c r="AL68" s="1"/>
      <c r="AM68" s="1">
        <f t="shared" ref="AM68:AM131" ca="1" si="93">RAND()*(0.2-0.005)+0.005</f>
        <v>4.1828579484292146E-2</v>
      </c>
      <c r="AN68" s="1">
        <f t="shared" ref="AN68:AN131" ca="1" si="94">RANDBETWEEN(10,80)</f>
        <v>64</v>
      </c>
      <c r="AO68" s="1">
        <f t="shared" ref="AO68:AO131" ca="1" si="95">RANDBETWEEN(-1,20)</f>
        <v>4</v>
      </c>
      <c r="AQ68" s="1">
        <f t="shared" ref="AQ68:AQ131" ca="1" si="96">RANDBETWEEN(10,200)</f>
        <v>143</v>
      </c>
      <c r="AR68" s="1">
        <f t="shared" ref="AR68:AR131" ca="1" si="97">RANDBETWEEN(0,10)</f>
        <v>3</v>
      </c>
      <c r="AS68" s="1">
        <f t="shared" ref="AS68:AS131" ca="1" si="98">RANDBETWEEN(1,100)</f>
        <v>68</v>
      </c>
      <c r="AU68" s="1">
        <f t="shared" ref="AU68:AU131" ca="1" si="99">RANDBETWEEN(50,400)</f>
        <v>92</v>
      </c>
      <c r="AV68" s="1">
        <f t="shared" ref="AV68:AV131" ca="1" si="100">RANDBETWEEN(2,10)</f>
        <v>10</v>
      </c>
      <c r="AW68" s="1">
        <f t="shared" ref="AW68:AW131" ca="1" si="101">RAND()*(0.2-0.01)+0.01</f>
        <v>9.82164637806823E-2</v>
      </c>
      <c r="AY68" s="1">
        <f t="shared" ref="AY68:AY131" ca="1" si="102">RAND()*(2-1.1)+1.1</f>
        <v>1.4538211560290597</v>
      </c>
      <c r="AZ68" s="1">
        <f t="shared" ref="AZ68:AZ131" ca="1" si="103">RANDBETWEEN(50,500)</f>
        <v>230</v>
      </c>
      <c r="BA68" s="1">
        <f t="shared" ref="BA68:BA131" ca="1" si="104">RAND()*(0.01-0.00001)+0.00001</f>
        <v>7.323964599825681E-3</v>
      </c>
      <c r="BG68" s="1">
        <f t="shared" ref="BG68:BG131" ca="1" si="105">RAND()*(1-0.0001)+0.0001</f>
        <v>0.36531662357036809</v>
      </c>
      <c r="BH68" s="1">
        <f t="shared" ref="BH68:BH131" ca="1" si="106">RAND()*(1-0)+0</f>
        <v>0.81758387871127802</v>
      </c>
      <c r="BI68" s="1">
        <f t="shared" ref="BI68:BI131" ca="1" si="107">RANDBETWEEN(100,1000)</f>
        <v>114</v>
      </c>
      <c r="BV68" s="1">
        <f t="shared" ref="BV68:BV131" ca="1" si="108">RAND()*(1-0.0001)+0.0001</f>
        <v>0.50069522393032873</v>
      </c>
      <c r="BW68" s="1">
        <f t="shared" ref="BW68:BW131" ca="1" si="109">RANDBETWEEN(100,1000)</f>
        <v>844</v>
      </c>
      <c r="BX68" s="1">
        <f t="shared" ref="BX68:BX131" ca="1" si="110">RAND()*(0.01-0.00001)+0.00001</f>
        <v>1.5011453932248179E-3</v>
      </c>
      <c r="BY68" s="1">
        <f t="shared" ref="BY68:BY131" ca="1" si="111">RAND()*(0.1-0.0001)+0.0001</f>
        <v>2.8828439726086445E-2</v>
      </c>
      <c r="BZ68" s="1">
        <f t="shared" ref="BZ68:BZ131" ca="1" si="112">RAND()*(1-0)+0</f>
        <v>0.67045064390906961</v>
      </c>
      <c r="CB68" s="1">
        <f t="shared" ref="CB68:CB131" ca="1" si="113">RANDBETWEEN(50,500)</f>
        <v>478</v>
      </c>
      <c r="CC68" s="1">
        <f t="shared" ref="CC68:CC131" ca="1" si="114">RANDBETWEEN(3,15)</f>
        <v>13</v>
      </c>
      <c r="CD68" s="1">
        <f t="shared" ref="CD68:CD131" ca="1" si="115">RAND()*(0.3-0.01)+0.01</f>
        <v>0.10656249246952926</v>
      </c>
      <c r="CE68" s="1">
        <f t="shared" ref="CE68:CF99" ca="1" si="116">RAND()*(1-0.5)+0.5</f>
        <v>0.88128863043434091</v>
      </c>
      <c r="CF68" s="1">
        <f t="shared" ca="1" si="116"/>
        <v>0.96062009636195522</v>
      </c>
      <c r="CH68" s="3">
        <f t="shared" ref="CH68:CH131" ca="1" si="117">RAND()*(1-0.0001)+0.0001</f>
        <v>0.85710436990855332</v>
      </c>
      <c r="CI68" s="3">
        <f t="shared" ref="CI68:CI131" ca="1" si="118">RAND()*(0.99-0.01)+0.01</f>
        <v>0.55936052461815156</v>
      </c>
      <c r="CJ68" s="3">
        <f t="shared" ref="CJ68:CJ131" ca="1" si="119">RANDBETWEEN(100,2000)</f>
        <v>1659</v>
      </c>
      <c r="CK68" s="3">
        <f t="shared" ref="CK68:CK131" ca="1" si="120">RAND()*(0.01-0.000001)+0.000001</f>
        <v>5.5408988374880787E-3</v>
      </c>
      <c r="CL68" s="3">
        <f t="shared" ref="CL68:CL131" ca="1" si="121">RANDBETWEEN(0,1)</f>
        <v>0</v>
      </c>
      <c r="CM68" s="3"/>
      <c r="CN68" s="1">
        <f t="shared" ref="CN68:CN131" ca="1" si="122">RAND()*(20-0.1)+0.1</f>
        <v>7.2141679213008452</v>
      </c>
      <c r="CO68" s="1">
        <f t="shared" ref="CO68:CO131" ca="1" si="123">RAND()*(0.5-0.001)+0.001</f>
        <v>0.22514278792520698</v>
      </c>
      <c r="CP68" s="1">
        <f t="shared" ref="CP68:CP131" ca="1" si="124">RANDBETWEEN(1,5)</f>
        <v>1</v>
      </c>
      <c r="DH68" s="1">
        <f t="shared" ref="DH68:DH131" ca="1" si="125">RANDBETWEEN(10,900)</f>
        <v>593</v>
      </c>
      <c r="DI68" s="1">
        <f t="shared" ref="DI68:DI131" ca="1" si="126">RAND()*(1-0.001)+0.001</f>
        <v>0.8627382101704878</v>
      </c>
      <c r="DJ68" s="1">
        <f t="shared" ref="DJ68:DJ131" ca="1" si="127">RANDBETWEEN(1,30)</f>
        <v>17</v>
      </c>
      <c r="DL68" s="1">
        <f t="shared" ref="DL68:DL131" ca="1" si="128">RAND()*(0.2-0.01)+0.01</f>
        <v>2.1058013990565332E-2</v>
      </c>
      <c r="DM68" s="1">
        <f t="shared" ref="DM68:DM131" ca="1" si="129">RANDBETWEEN(50,300)</f>
        <v>208</v>
      </c>
      <c r="DN68" s="1">
        <f t="shared" ref="DN68:DN131" ca="1" si="130">RANDBETWEEN(1,10)</f>
        <v>9</v>
      </c>
    </row>
    <row r="69" spans="2:118" x14ac:dyDescent="0.25">
      <c r="B69">
        <f t="shared" ca="1" si="66"/>
        <v>31</v>
      </c>
      <c r="C69">
        <f t="shared" ca="1" si="67"/>
        <v>48</v>
      </c>
      <c r="D69">
        <f t="shared" ca="1" si="68"/>
        <v>0.15721816313763518</v>
      </c>
      <c r="F69" s="1">
        <f t="shared" ca="1" si="69"/>
        <v>30</v>
      </c>
      <c r="G69" s="1">
        <f t="shared" ca="1" si="70"/>
        <v>8</v>
      </c>
      <c r="H69" s="1">
        <f t="shared" ca="1" si="71"/>
        <v>9</v>
      </c>
      <c r="I69" s="1"/>
      <c r="J69" s="1">
        <f t="shared" ca="1" si="72"/>
        <v>17</v>
      </c>
      <c r="K69" s="1">
        <f t="shared" ca="1" si="73"/>
        <v>1.539645086330248</v>
      </c>
      <c r="L69" s="1">
        <f t="shared" ca="1" si="74"/>
        <v>3</v>
      </c>
      <c r="M69" s="1"/>
      <c r="N69" s="1">
        <f t="shared" ca="1" si="75"/>
        <v>538</v>
      </c>
      <c r="O69" s="1">
        <f t="shared" ca="1" si="76"/>
        <v>14</v>
      </c>
      <c r="P69" s="1"/>
      <c r="Q69" s="1">
        <f t="shared" ca="1" si="77"/>
        <v>0.27221788074486941</v>
      </c>
      <c r="R69" s="1">
        <f t="shared" ca="1" si="78"/>
        <v>299</v>
      </c>
      <c r="S69" s="1"/>
      <c r="T69" s="1">
        <f t="shared" ca="1" si="79"/>
        <v>0.10877693438734144</v>
      </c>
      <c r="U69" s="1">
        <f t="shared" ca="1" si="80"/>
        <v>256</v>
      </c>
      <c r="V69" s="1">
        <f t="shared" ca="1" si="81"/>
        <v>50</v>
      </c>
      <c r="W69" s="1"/>
      <c r="X69" s="1">
        <f t="shared" ca="1" si="82"/>
        <v>8.2086886020938969</v>
      </c>
      <c r="Y69" s="1">
        <f t="shared" ca="1" si="83"/>
        <v>6.2535004380014608E-2</v>
      </c>
      <c r="Z69" s="1">
        <f t="shared" ca="1" si="84"/>
        <v>1478</v>
      </c>
      <c r="AB69" s="1">
        <f t="shared" ca="1" si="85"/>
        <v>0.64294151609826145</v>
      </c>
      <c r="AC69" s="1">
        <f t="shared" ca="1" si="86"/>
        <v>224</v>
      </c>
      <c r="AD69" s="1">
        <f t="shared" ca="1" si="87"/>
        <v>9.1667958927384042E-3</v>
      </c>
      <c r="AE69" s="1"/>
      <c r="AF69" s="1">
        <f t="shared" ca="1" si="88"/>
        <v>0.2863239642772486</v>
      </c>
      <c r="AG69" s="1">
        <f t="shared" ca="1" si="89"/>
        <v>554</v>
      </c>
      <c r="AH69" s="1">
        <f t="shared" ca="1" si="90"/>
        <v>8.3576476548202633E-3</v>
      </c>
      <c r="AJ69" s="1">
        <f t="shared" ca="1" si="91"/>
        <v>0.13684525138027703</v>
      </c>
      <c r="AK69" s="1">
        <f t="shared" ca="1" si="92"/>
        <v>5.8805674982466581E-3</v>
      </c>
      <c r="AL69" s="1"/>
      <c r="AM69" s="1">
        <f t="shared" ca="1" si="93"/>
        <v>3.829856959864579E-2</v>
      </c>
      <c r="AN69" s="1">
        <f t="shared" ca="1" si="94"/>
        <v>75</v>
      </c>
      <c r="AO69" s="1">
        <f t="shared" ca="1" si="95"/>
        <v>18</v>
      </c>
      <c r="AQ69" s="1">
        <f t="shared" ca="1" si="96"/>
        <v>57</v>
      </c>
      <c r="AR69" s="1">
        <f t="shared" ca="1" si="97"/>
        <v>2</v>
      </c>
      <c r="AS69" s="1">
        <f t="shared" ca="1" si="98"/>
        <v>75</v>
      </c>
      <c r="AU69" s="1">
        <f t="shared" ca="1" si="99"/>
        <v>334</v>
      </c>
      <c r="AV69" s="1">
        <f t="shared" ca="1" si="100"/>
        <v>4</v>
      </c>
      <c r="AW69" s="1">
        <f t="shared" ca="1" si="101"/>
        <v>9.893690694578533E-2</v>
      </c>
      <c r="AY69" s="1">
        <f t="shared" ca="1" si="102"/>
        <v>1.3714797011766779</v>
      </c>
      <c r="AZ69" s="1">
        <f t="shared" ca="1" si="103"/>
        <v>220</v>
      </c>
      <c r="BA69" s="1">
        <f t="shared" ca="1" si="104"/>
        <v>1.8884000168915768E-3</v>
      </c>
      <c r="BG69" s="1">
        <f t="shared" ca="1" si="105"/>
        <v>0.12059515560758573</v>
      </c>
      <c r="BH69" s="1">
        <f t="shared" ca="1" si="106"/>
        <v>0.37798700200941637</v>
      </c>
      <c r="BI69" s="1">
        <f t="shared" ca="1" si="107"/>
        <v>373</v>
      </c>
      <c r="BV69" s="1">
        <f t="shared" ca="1" si="108"/>
        <v>0.64096174290336561</v>
      </c>
      <c r="BW69" s="1">
        <f t="shared" ca="1" si="109"/>
        <v>675</v>
      </c>
      <c r="BX69" s="1">
        <f t="shared" ca="1" si="110"/>
        <v>9.5164172542212919E-4</v>
      </c>
      <c r="BY69" s="1">
        <f t="shared" ca="1" si="111"/>
        <v>8.7950373876809249E-2</v>
      </c>
      <c r="BZ69" s="1">
        <f t="shared" ca="1" si="112"/>
        <v>0.48719492544111531</v>
      </c>
      <c r="CB69" s="1">
        <f t="shared" ca="1" si="113"/>
        <v>401</v>
      </c>
      <c r="CC69" s="1">
        <f t="shared" ca="1" si="114"/>
        <v>15</v>
      </c>
      <c r="CD69" s="1">
        <f t="shared" ca="1" si="115"/>
        <v>0.19922798161241925</v>
      </c>
      <c r="CE69" s="1">
        <f t="shared" ca="1" si="116"/>
        <v>0.85987390075524561</v>
      </c>
      <c r="CF69" s="1">
        <f t="shared" ca="1" si="116"/>
        <v>0.73318343221218529</v>
      </c>
      <c r="CH69" s="3">
        <f t="shared" ca="1" si="117"/>
        <v>1.8562766178057043E-2</v>
      </c>
      <c r="CI69" s="3">
        <f t="shared" ca="1" si="118"/>
        <v>0.31515213347721482</v>
      </c>
      <c r="CJ69" s="3">
        <f t="shared" ca="1" si="119"/>
        <v>523</v>
      </c>
      <c r="CK69" s="3">
        <f t="shared" ca="1" si="120"/>
        <v>7.9151970405796706E-4</v>
      </c>
      <c r="CL69" s="3">
        <f t="shared" ca="1" si="121"/>
        <v>1</v>
      </c>
      <c r="CM69" s="3"/>
      <c r="CN69" s="1">
        <f t="shared" ca="1" si="122"/>
        <v>0.67571148003852666</v>
      </c>
      <c r="CO69" s="1">
        <f t="shared" ca="1" si="123"/>
        <v>0.41036698409553818</v>
      </c>
      <c r="CP69" s="1">
        <f t="shared" ca="1" si="124"/>
        <v>1</v>
      </c>
      <c r="DH69" s="1">
        <f t="shared" ca="1" si="125"/>
        <v>378</v>
      </c>
      <c r="DI69" s="1">
        <f t="shared" ca="1" si="126"/>
        <v>0.59546462514975484</v>
      </c>
      <c r="DJ69" s="1">
        <f t="shared" ca="1" si="127"/>
        <v>19</v>
      </c>
      <c r="DL69" s="1">
        <f t="shared" ca="1" si="128"/>
        <v>6.5231745628351642E-2</v>
      </c>
      <c r="DM69" s="1">
        <f t="shared" ca="1" si="129"/>
        <v>59</v>
      </c>
      <c r="DN69" s="1">
        <f t="shared" ca="1" si="130"/>
        <v>3</v>
      </c>
    </row>
    <row r="70" spans="2:118" x14ac:dyDescent="0.25">
      <c r="B70">
        <f t="shared" ca="1" si="66"/>
        <v>496</v>
      </c>
      <c r="C70">
        <f t="shared" ca="1" si="67"/>
        <v>52</v>
      </c>
      <c r="D70">
        <f t="shared" ca="1" si="68"/>
        <v>0.13350277071274241</v>
      </c>
      <c r="F70" s="1">
        <f t="shared" ca="1" si="69"/>
        <v>50</v>
      </c>
      <c r="G70" s="1">
        <f t="shared" ca="1" si="70"/>
        <v>15</v>
      </c>
      <c r="H70" s="1">
        <f t="shared" ca="1" si="71"/>
        <v>11</v>
      </c>
      <c r="I70" s="1"/>
      <c r="J70" s="1">
        <f t="shared" ca="1" si="72"/>
        <v>18</v>
      </c>
      <c r="K70" s="1">
        <f t="shared" ca="1" si="73"/>
        <v>2.9371068320759131</v>
      </c>
      <c r="L70" s="1">
        <f t="shared" ca="1" si="74"/>
        <v>12</v>
      </c>
      <c r="M70" s="1"/>
      <c r="N70" s="1">
        <f t="shared" ca="1" si="75"/>
        <v>587</v>
      </c>
      <c r="O70" s="1">
        <f t="shared" ca="1" si="76"/>
        <v>20</v>
      </c>
      <c r="P70" s="1"/>
      <c r="Q70" s="1">
        <f t="shared" ca="1" si="77"/>
        <v>2.9982898384812535</v>
      </c>
      <c r="R70" s="1">
        <f t="shared" ca="1" si="78"/>
        <v>581</v>
      </c>
      <c r="S70" s="1"/>
      <c r="T70" s="1">
        <f t="shared" ca="1" si="79"/>
        <v>0.16920604312166415</v>
      </c>
      <c r="U70" s="1">
        <f t="shared" ca="1" si="80"/>
        <v>54</v>
      </c>
      <c r="V70" s="1">
        <f t="shared" ca="1" si="81"/>
        <v>50</v>
      </c>
      <c r="W70" s="1"/>
      <c r="X70" s="1">
        <f t="shared" ca="1" si="82"/>
        <v>7.1911184375354713</v>
      </c>
      <c r="Y70" s="1">
        <f t="shared" ca="1" si="83"/>
        <v>0.68739778423582909</v>
      </c>
      <c r="Z70" s="1">
        <f t="shared" ca="1" si="84"/>
        <v>720</v>
      </c>
      <c r="AB70" s="1">
        <f t="shared" ca="1" si="85"/>
        <v>0.27262672648514014</v>
      </c>
      <c r="AC70" s="1">
        <f t="shared" ca="1" si="86"/>
        <v>362</v>
      </c>
      <c r="AD70" s="1">
        <f t="shared" ca="1" si="87"/>
        <v>6.1848392386289397E-3</v>
      </c>
      <c r="AE70" s="1"/>
      <c r="AF70" s="1">
        <f t="shared" ca="1" si="88"/>
        <v>0.29577824706341871</v>
      </c>
      <c r="AG70" s="1">
        <f t="shared" ca="1" si="89"/>
        <v>192</v>
      </c>
      <c r="AH70" s="1">
        <f t="shared" ca="1" si="90"/>
        <v>7.2873120043559121E-3</v>
      </c>
      <c r="AJ70" s="1">
        <f t="shared" ca="1" si="91"/>
        <v>3.5070279519696212E-2</v>
      </c>
      <c r="AK70" s="1">
        <f t="shared" ca="1" si="92"/>
        <v>5.9395950500555081E-3</v>
      </c>
      <c r="AL70" s="1"/>
      <c r="AM70" s="1">
        <f t="shared" ca="1" si="93"/>
        <v>0.11812082640153594</v>
      </c>
      <c r="AN70" s="1">
        <f t="shared" ca="1" si="94"/>
        <v>57</v>
      </c>
      <c r="AO70" s="1">
        <f t="shared" ca="1" si="95"/>
        <v>5</v>
      </c>
      <c r="AQ70" s="1">
        <f t="shared" ca="1" si="96"/>
        <v>114</v>
      </c>
      <c r="AR70" s="1">
        <f t="shared" ca="1" si="97"/>
        <v>10</v>
      </c>
      <c r="AS70" s="1">
        <f t="shared" ca="1" si="98"/>
        <v>21</v>
      </c>
      <c r="AU70" s="1">
        <f t="shared" ca="1" si="99"/>
        <v>239</v>
      </c>
      <c r="AV70" s="1">
        <f t="shared" ca="1" si="100"/>
        <v>8</v>
      </c>
      <c r="AW70" s="1">
        <f t="shared" ca="1" si="101"/>
        <v>0.13696718374600184</v>
      </c>
      <c r="AY70" s="1">
        <f t="shared" ca="1" si="102"/>
        <v>1.1815069436601986</v>
      </c>
      <c r="AZ70" s="1">
        <f t="shared" ca="1" si="103"/>
        <v>334</v>
      </c>
      <c r="BA70" s="1">
        <f t="shared" ca="1" si="104"/>
        <v>4.5972418789365158E-3</v>
      </c>
      <c r="BG70" s="1">
        <f t="shared" ca="1" si="105"/>
        <v>0.26113556076845645</v>
      </c>
      <c r="BH70" s="1">
        <f t="shared" ca="1" si="106"/>
        <v>0.93697626031990122</v>
      </c>
      <c r="BI70" s="1">
        <f t="shared" ca="1" si="107"/>
        <v>129</v>
      </c>
      <c r="BV70" s="1">
        <f t="shared" ca="1" si="108"/>
        <v>0.51329565940113409</v>
      </c>
      <c r="BW70" s="1">
        <f t="shared" ca="1" si="109"/>
        <v>237</v>
      </c>
      <c r="BX70" s="1">
        <f t="shared" ca="1" si="110"/>
        <v>8.3694026565905872E-3</v>
      </c>
      <c r="BY70" s="1">
        <f t="shared" ca="1" si="111"/>
        <v>5.2440840882108888E-2</v>
      </c>
      <c r="BZ70" s="1">
        <f t="shared" ca="1" si="112"/>
        <v>3.981523580933588E-2</v>
      </c>
      <c r="CB70" s="1">
        <f t="shared" ca="1" si="113"/>
        <v>272</v>
      </c>
      <c r="CC70" s="1">
        <f t="shared" ca="1" si="114"/>
        <v>14</v>
      </c>
      <c r="CD70" s="1">
        <f t="shared" ca="1" si="115"/>
        <v>0.23061094455873407</v>
      </c>
      <c r="CE70" s="1">
        <f t="shared" ca="1" si="116"/>
        <v>0.82421752999210218</v>
      </c>
      <c r="CF70" s="1">
        <f t="shared" ca="1" si="116"/>
        <v>0.9091733490200844</v>
      </c>
      <c r="CH70" s="3">
        <f t="shared" ca="1" si="117"/>
        <v>0.70779469714667786</v>
      </c>
      <c r="CI70" s="3">
        <f t="shared" ca="1" si="118"/>
        <v>3.1762332432919843E-2</v>
      </c>
      <c r="CJ70" s="3">
        <f t="shared" ca="1" si="119"/>
        <v>1030</v>
      </c>
      <c r="CK70" s="3">
        <f t="shared" ca="1" si="120"/>
        <v>6.4514751872460113E-6</v>
      </c>
      <c r="CL70" s="3">
        <f t="shared" ca="1" si="121"/>
        <v>1</v>
      </c>
      <c r="CM70" s="3"/>
      <c r="CN70" s="1">
        <f t="shared" ca="1" si="122"/>
        <v>0.11335803193931561</v>
      </c>
      <c r="CO70" s="1">
        <f t="shared" ca="1" si="123"/>
        <v>0.47620058609592764</v>
      </c>
      <c r="CP70" s="1">
        <f t="shared" ca="1" si="124"/>
        <v>3</v>
      </c>
      <c r="DH70" s="1">
        <f t="shared" ca="1" si="125"/>
        <v>205</v>
      </c>
      <c r="DI70" s="1">
        <f t="shared" ca="1" si="126"/>
        <v>0.79895643871910427</v>
      </c>
      <c r="DJ70" s="1">
        <f t="shared" ca="1" si="127"/>
        <v>8</v>
      </c>
      <c r="DL70" s="1">
        <f t="shared" ca="1" si="128"/>
        <v>2.394635608826003E-2</v>
      </c>
      <c r="DM70" s="1">
        <f t="shared" ca="1" si="129"/>
        <v>52</v>
      </c>
      <c r="DN70" s="1">
        <f t="shared" ca="1" si="130"/>
        <v>4</v>
      </c>
    </row>
    <row r="71" spans="2:118" x14ac:dyDescent="0.25">
      <c r="B71">
        <f t="shared" ca="1" si="66"/>
        <v>879</v>
      </c>
      <c r="C71">
        <f t="shared" ca="1" si="67"/>
        <v>39</v>
      </c>
      <c r="D71">
        <f t="shared" ca="1" si="68"/>
        <v>0.20387282262985892</v>
      </c>
      <c r="F71" s="1">
        <f t="shared" ca="1" si="69"/>
        <v>25</v>
      </c>
      <c r="G71" s="1">
        <f t="shared" ca="1" si="70"/>
        <v>24</v>
      </c>
      <c r="H71" s="1">
        <f t="shared" ca="1" si="71"/>
        <v>4</v>
      </c>
      <c r="I71" s="1"/>
      <c r="J71" s="1">
        <f t="shared" ca="1" si="72"/>
        <v>4</v>
      </c>
      <c r="K71" s="1">
        <f t="shared" ca="1" si="73"/>
        <v>1.0992736932013161</v>
      </c>
      <c r="L71" s="1">
        <f t="shared" ca="1" si="74"/>
        <v>27</v>
      </c>
      <c r="M71" s="1"/>
      <c r="N71" s="1">
        <f t="shared" ca="1" si="75"/>
        <v>822</v>
      </c>
      <c r="O71" s="1">
        <f t="shared" ca="1" si="76"/>
        <v>12</v>
      </c>
      <c r="P71" s="1"/>
      <c r="Q71" s="1">
        <f t="shared" ca="1" si="77"/>
        <v>1.8510528920297915</v>
      </c>
      <c r="R71" s="1">
        <f t="shared" ca="1" si="78"/>
        <v>648</v>
      </c>
      <c r="S71" s="1"/>
      <c r="T71" s="1">
        <f t="shared" ca="1" si="79"/>
        <v>8.7390435534838579E-2</v>
      </c>
      <c r="U71" s="1">
        <f t="shared" ca="1" si="80"/>
        <v>59</v>
      </c>
      <c r="V71" s="1">
        <f t="shared" ca="1" si="81"/>
        <v>16</v>
      </c>
      <c r="W71" s="1"/>
      <c r="X71" s="1">
        <f t="shared" ca="1" si="82"/>
        <v>9.4630351550159375</v>
      </c>
      <c r="Y71" s="1">
        <f t="shared" ca="1" si="83"/>
        <v>0.32453312313893984</v>
      </c>
      <c r="Z71" s="1">
        <f t="shared" ca="1" si="84"/>
        <v>1596</v>
      </c>
      <c r="AB71" s="1">
        <f t="shared" ca="1" si="85"/>
        <v>6.656533801387482E-2</v>
      </c>
      <c r="AC71" s="1">
        <f t="shared" ca="1" si="86"/>
        <v>180</v>
      </c>
      <c r="AD71" s="1">
        <f t="shared" ca="1" si="87"/>
        <v>7.066796425851579E-3</v>
      </c>
      <c r="AE71" s="1"/>
      <c r="AF71" s="1">
        <f t="shared" ca="1" si="88"/>
        <v>0.11291913566405035</v>
      </c>
      <c r="AG71" s="1">
        <f t="shared" ca="1" si="89"/>
        <v>618</v>
      </c>
      <c r="AH71" s="1">
        <f t="shared" ca="1" si="90"/>
        <v>1.7645033087225126E-3</v>
      </c>
      <c r="AJ71" s="1">
        <f t="shared" ca="1" si="91"/>
        <v>0.39698721571764595</v>
      </c>
      <c r="AK71" s="1">
        <f t="shared" ca="1" si="92"/>
        <v>1.1085753500991772E-3</v>
      </c>
      <c r="AL71" s="1"/>
      <c r="AM71" s="1">
        <f t="shared" ca="1" si="93"/>
        <v>0.18342249641852665</v>
      </c>
      <c r="AN71" s="1">
        <f t="shared" ca="1" si="94"/>
        <v>25</v>
      </c>
      <c r="AO71" s="1">
        <f t="shared" ca="1" si="95"/>
        <v>8</v>
      </c>
      <c r="AQ71" s="1">
        <f t="shared" ca="1" si="96"/>
        <v>110</v>
      </c>
      <c r="AR71" s="1">
        <f t="shared" ca="1" si="97"/>
        <v>5</v>
      </c>
      <c r="AS71" s="1">
        <f t="shared" ca="1" si="98"/>
        <v>37</v>
      </c>
      <c r="AU71" s="1">
        <f t="shared" ca="1" si="99"/>
        <v>94</v>
      </c>
      <c r="AV71" s="1">
        <f t="shared" ca="1" si="100"/>
        <v>2</v>
      </c>
      <c r="AW71" s="1">
        <f t="shared" ca="1" si="101"/>
        <v>0.10793606290471926</v>
      </c>
      <c r="AY71" s="1">
        <f t="shared" ca="1" si="102"/>
        <v>1.335206469014024</v>
      </c>
      <c r="AZ71" s="1">
        <f t="shared" ca="1" si="103"/>
        <v>442</v>
      </c>
      <c r="BA71" s="1">
        <f t="shared" ca="1" si="104"/>
        <v>1.4327038757180647E-3</v>
      </c>
      <c r="BG71" s="1">
        <f t="shared" ca="1" si="105"/>
        <v>0.88510251103564153</v>
      </c>
      <c r="BH71" s="1">
        <f t="shared" ca="1" si="106"/>
        <v>0.61293620617050171</v>
      </c>
      <c r="BI71" s="1">
        <f t="shared" ca="1" si="107"/>
        <v>329</v>
      </c>
      <c r="BV71" s="1">
        <f t="shared" ca="1" si="108"/>
        <v>0.72094918505619099</v>
      </c>
      <c r="BW71" s="1">
        <f t="shared" ca="1" si="109"/>
        <v>579</v>
      </c>
      <c r="BX71" s="1">
        <f t="shared" ca="1" si="110"/>
        <v>9.1537326898328848E-3</v>
      </c>
      <c r="BY71" s="1">
        <f t="shared" ca="1" si="111"/>
        <v>3.0219461476641129E-2</v>
      </c>
      <c r="BZ71" s="1">
        <f t="shared" ca="1" si="112"/>
        <v>4.9306260511980282E-2</v>
      </c>
      <c r="CB71" s="1">
        <f t="shared" ca="1" si="113"/>
        <v>71</v>
      </c>
      <c r="CC71" s="1">
        <f t="shared" ca="1" si="114"/>
        <v>10</v>
      </c>
      <c r="CD71" s="1">
        <f t="shared" ca="1" si="115"/>
        <v>6.8616075229735202E-2</v>
      </c>
      <c r="CE71" s="1">
        <f t="shared" ca="1" si="116"/>
        <v>0.90886784424074696</v>
      </c>
      <c r="CF71" s="1">
        <f t="shared" ca="1" si="116"/>
        <v>0.69172012746038902</v>
      </c>
      <c r="CH71" s="3">
        <f t="shared" ca="1" si="117"/>
        <v>0.90936463436415471</v>
      </c>
      <c r="CI71" s="3">
        <f t="shared" ca="1" si="118"/>
        <v>0.84089096170185607</v>
      </c>
      <c r="CJ71" s="3">
        <f t="shared" ca="1" si="119"/>
        <v>830</v>
      </c>
      <c r="CK71" s="3">
        <f t="shared" ca="1" si="120"/>
        <v>3.9576292672158847E-3</v>
      </c>
      <c r="CL71" s="3">
        <f t="shared" ca="1" si="121"/>
        <v>0</v>
      </c>
      <c r="CM71" s="3"/>
      <c r="CN71" s="1">
        <f t="shared" ca="1" si="122"/>
        <v>6.5113294181525507</v>
      </c>
      <c r="CO71" s="1">
        <f t="shared" ca="1" si="123"/>
        <v>7.1597167210449883E-2</v>
      </c>
      <c r="CP71" s="1">
        <f t="shared" ca="1" si="124"/>
        <v>5</v>
      </c>
      <c r="DH71" s="1">
        <f t="shared" ca="1" si="125"/>
        <v>688</v>
      </c>
      <c r="DI71" s="1">
        <f t="shared" ca="1" si="126"/>
        <v>0.46471961771236664</v>
      </c>
      <c r="DJ71" s="1">
        <f t="shared" ca="1" si="127"/>
        <v>28</v>
      </c>
      <c r="DL71" s="1">
        <f t="shared" ca="1" si="128"/>
        <v>7.7837521044796132E-2</v>
      </c>
      <c r="DM71" s="1">
        <f t="shared" ca="1" si="129"/>
        <v>207</v>
      </c>
      <c r="DN71" s="1">
        <f t="shared" ca="1" si="130"/>
        <v>6</v>
      </c>
    </row>
    <row r="72" spans="2:118" x14ac:dyDescent="0.25">
      <c r="B72">
        <f t="shared" ca="1" si="66"/>
        <v>515</v>
      </c>
      <c r="C72">
        <f t="shared" ca="1" si="67"/>
        <v>19</v>
      </c>
      <c r="D72">
        <f t="shared" ca="1" si="68"/>
        <v>0.21858558735624078</v>
      </c>
      <c r="F72" s="1">
        <f t="shared" ca="1" si="69"/>
        <v>46</v>
      </c>
      <c r="G72" s="1">
        <f t="shared" ca="1" si="70"/>
        <v>28</v>
      </c>
      <c r="H72" s="1">
        <f t="shared" ca="1" si="71"/>
        <v>3</v>
      </c>
      <c r="I72" s="1"/>
      <c r="J72" s="1">
        <f t="shared" ca="1" si="72"/>
        <v>19</v>
      </c>
      <c r="K72" s="1">
        <f t="shared" ca="1" si="73"/>
        <v>1.0335295654490124</v>
      </c>
      <c r="L72" s="1">
        <f t="shared" ca="1" si="74"/>
        <v>18</v>
      </c>
      <c r="M72" s="1"/>
      <c r="N72" s="1">
        <f t="shared" ca="1" si="75"/>
        <v>767</v>
      </c>
      <c r="O72" s="1">
        <f t="shared" ca="1" si="76"/>
        <v>47</v>
      </c>
      <c r="P72" s="1"/>
      <c r="Q72" s="1">
        <f t="shared" ca="1" si="77"/>
        <v>3.9092575207784317</v>
      </c>
      <c r="R72" s="1">
        <f t="shared" ca="1" si="78"/>
        <v>763</v>
      </c>
      <c r="S72" s="1"/>
      <c r="T72" s="1">
        <f t="shared" ca="1" si="79"/>
        <v>0.10391322337460061</v>
      </c>
      <c r="U72" s="1">
        <f t="shared" ca="1" si="80"/>
        <v>128</v>
      </c>
      <c r="V72" s="1">
        <f t="shared" ca="1" si="81"/>
        <v>7</v>
      </c>
      <c r="W72" s="1"/>
      <c r="X72" s="1">
        <f t="shared" ca="1" si="82"/>
        <v>3.4836183890542691</v>
      </c>
      <c r="Y72" s="1">
        <f t="shared" ca="1" si="83"/>
        <v>0.38191519165223792</v>
      </c>
      <c r="Z72" s="1">
        <f t="shared" ca="1" si="84"/>
        <v>967</v>
      </c>
      <c r="AB72" s="1">
        <f t="shared" ca="1" si="85"/>
        <v>4.2343522953259168E-2</v>
      </c>
      <c r="AC72" s="1">
        <f t="shared" ca="1" si="86"/>
        <v>902</v>
      </c>
      <c r="AD72" s="1">
        <f t="shared" ca="1" si="87"/>
        <v>5.3159636614473951E-3</v>
      </c>
      <c r="AE72" s="1"/>
      <c r="AF72" s="1">
        <f t="shared" ca="1" si="88"/>
        <v>0.82946470892535396</v>
      </c>
      <c r="AG72" s="1">
        <f t="shared" ca="1" si="89"/>
        <v>558</v>
      </c>
      <c r="AH72" s="1">
        <f t="shared" ca="1" si="90"/>
        <v>7.7614933173676742E-3</v>
      </c>
      <c r="AJ72" s="1">
        <f t="shared" ca="1" si="91"/>
        <v>0.9291059339815797</v>
      </c>
      <c r="AK72" s="1">
        <f t="shared" ca="1" si="92"/>
        <v>3.1386887085921231E-3</v>
      </c>
      <c r="AL72" s="1"/>
      <c r="AM72" s="1">
        <f t="shared" ca="1" si="93"/>
        <v>1.7576521528204138E-2</v>
      </c>
      <c r="AN72" s="1">
        <f t="shared" ca="1" si="94"/>
        <v>33</v>
      </c>
      <c r="AO72" s="1">
        <f t="shared" ca="1" si="95"/>
        <v>16</v>
      </c>
      <c r="AQ72" s="1">
        <f t="shared" ca="1" si="96"/>
        <v>162</v>
      </c>
      <c r="AR72" s="1">
        <f t="shared" ca="1" si="97"/>
        <v>4</v>
      </c>
      <c r="AS72" s="1">
        <f t="shared" ca="1" si="98"/>
        <v>79</v>
      </c>
      <c r="AU72" s="1">
        <f t="shared" ca="1" si="99"/>
        <v>117</v>
      </c>
      <c r="AV72" s="1">
        <f t="shared" ca="1" si="100"/>
        <v>7</v>
      </c>
      <c r="AW72" s="1">
        <f t="shared" ca="1" si="101"/>
        <v>0.14068888517327088</v>
      </c>
      <c r="AY72" s="1">
        <f t="shared" ca="1" si="102"/>
        <v>1.8850276411703519</v>
      </c>
      <c r="AZ72" s="1">
        <f t="shared" ca="1" si="103"/>
        <v>159</v>
      </c>
      <c r="BA72" s="1">
        <f t="shared" ca="1" si="104"/>
        <v>1.9462887812893397E-3</v>
      </c>
      <c r="BG72" s="1">
        <f t="shared" ca="1" si="105"/>
        <v>5.4140091321884083E-2</v>
      </c>
      <c r="BH72" s="1">
        <f t="shared" ca="1" si="106"/>
        <v>2.570839172899575E-2</v>
      </c>
      <c r="BI72" s="1">
        <f t="shared" ca="1" si="107"/>
        <v>404</v>
      </c>
      <c r="BV72" s="1">
        <f t="shared" ca="1" si="108"/>
        <v>8.9766314079528467E-2</v>
      </c>
      <c r="BW72" s="1">
        <f t="shared" ca="1" si="109"/>
        <v>699</v>
      </c>
      <c r="BX72" s="1">
        <f t="shared" ca="1" si="110"/>
        <v>6.3969828401516902E-3</v>
      </c>
      <c r="BY72" s="1">
        <f t="shared" ca="1" si="111"/>
        <v>7.3128832601881705E-3</v>
      </c>
      <c r="BZ72" s="1">
        <f t="shared" ca="1" si="112"/>
        <v>0.19855375809699927</v>
      </c>
      <c r="CB72" s="1">
        <f t="shared" ca="1" si="113"/>
        <v>289</v>
      </c>
      <c r="CC72" s="1">
        <f t="shared" ca="1" si="114"/>
        <v>13</v>
      </c>
      <c r="CD72" s="1">
        <f t="shared" ca="1" si="115"/>
        <v>0.21918102457170127</v>
      </c>
      <c r="CE72" s="1">
        <f t="shared" ca="1" si="116"/>
        <v>0.63859862418821634</v>
      </c>
      <c r="CF72" s="1">
        <f t="shared" ca="1" si="116"/>
        <v>0.58961390942075331</v>
      </c>
      <c r="CH72" s="3">
        <f t="shared" ca="1" si="117"/>
        <v>0.76660089357802952</v>
      </c>
      <c r="CI72" s="3">
        <f t="shared" ca="1" si="118"/>
        <v>0.39949770605260748</v>
      </c>
      <c r="CJ72" s="3">
        <f t="shared" ca="1" si="119"/>
        <v>1985</v>
      </c>
      <c r="CK72" s="3">
        <f t="shared" ca="1" si="120"/>
        <v>7.8620389134763727E-3</v>
      </c>
      <c r="CL72" s="3">
        <f t="shared" ca="1" si="121"/>
        <v>1</v>
      </c>
      <c r="CM72" s="3"/>
      <c r="CN72" s="1">
        <f t="shared" ca="1" si="122"/>
        <v>11.147728305185698</v>
      </c>
      <c r="CO72" s="1">
        <f t="shared" ca="1" si="123"/>
        <v>0.34116629859609199</v>
      </c>
      <c r="CP72" s="1">
        <f t="shared" ca="1" si="124"/>
        <v>3</v>
      </c>
      <c r="DH72" s="1">
        <f t="shared" ca="1" si="125"/>
        <v>767</v>
      </c>
      <c r="DI72" s="1">
        <f t="shared" ca="1" si="126"/>
        <v>0.55782061925643756</v>
      </c>
      <c r="DJ72" s="1">
        <f t="shared" ca="1" si="127"/>
        <v>28</v>
      </c>
      <c r="DL72" s="1">
        <f t="shared" ca="1" si="128"/>
        <v>0.1709674749175108</v>
      </c>
      <c r="DM72" s="1">
        <f t="shared" ca="1" si="129"/>
        <v>157</v>
      </c>
      <c r="DN72" s="1">
        <f t="shared" ca="1" si="130"/>
        <v>7</v>
      </c>
    </row>
    <row r="73" spans="2:118" x14ac:dyDescent="0.25">
      <c r="B73">
        <f t="shared" ca="1" si="66"/>
        <v>376</v>
      </c>
      <c r="C73">
        <f t="shared" ca="1" si="67"/>
        <v>11</v>
      </c>
      <c r="D73">
        <f t="shared" ca="1" si="68"/>
        <v>0.17019650447368123</v>
      </c>
      <c r="F73" s="1">
        <f t="shared" ca="1" si="69"/>
        <v>31</v>
      </c>
      <c r="G73" s="1">
        <f t="shared" ca="1" si="70"/>
        <v>4</v>
      </c>
      <c r="H73" s="1">
        <f t="shared" ca="1" si="71"/>
        <v>9</v>
      </c>
      <c r="I73" s="1"/>
      <c r="J73" s="1">
        <f t="shared" ca="1" si="72"/>
        <v>4</v>
      </c>
      <c r="K73" s="1">
        <f t="shared" ca="1" si="73"/>
        <v>1.1818011107831965</v>
      </c>
      <c r="L73" s="1">
        <f t="shared" ca="1" si="74"/>
        <v>27</v>
      </c>
      <c r="M73" s="1"/>
      <c r="N73" s="1">
        <f t="shared" ca="1" si="75"/>
        <v>903</v>
      </c>
      <c r="O73" s="1">
        <f t="shared" ca="1" si="76"/>
        <v>32</v>
      </c>
      <c r="P73" s="1"/>
      <c r="Q73" s="1">
        <f t="shared" ca="1" si="77"/>
        <v>0.50607213955662067</v>
      </c>
      <c r="R73" s="1">
        <f t="shared" ca="1" si="78"/>
        <v>730</v>
      </c>
      <c r="S73" s="1"/>
      <c r="T73" s="1">
        <f t="shared" ca="1" si="79"/>
        <v>8.5451503987925295E-2</v>
      </c>
      <c r="U73" s="1">
        <f t="shared" ca="1" si="80"/>
        <v>86</v>
      </c>
      <c r="V73" s="1">
        <f t="shared" ca="1" si="81"/>
        <v>11</v>
      </c>
      <c r="W73" s="1"/>
      <c r="X73" s="1">
        <f t="shared" ca="1" si="82"/>
        <v>3.0471737390196898</v>
      </c>
      <c r="Y73" s="1">
        <f t="shared" ca="1" si="83"/>
        <v>2.9983952302227418E-2</v>
      </c>
      <c r="Z73" s="1">
        <f t="shared" ca="1" si="84"/>
        <v>1114</v>
      </c>
      <c r="AB73" s="1">
        <f t="shared" ca="1" si="85"/>
        <v>0.80305841451502602</v>
      </c>
      <c r="AC73" s="1">
        <f t="shared" ca="1" si="86"/>
        <v>525</v>
      </c>
      <c r="AD73" s="1">
        <f t="shared" ca="1" si="87"/>
        <v>3.4524296685678542E-3</v>
      </c>
      <c r="AE73" s="1"/>
      <c r="AF73" s="1">
        <f t="shared" ca="1" si="88"/>
        <v>0.86301027105772199</v>
      </c>
      <c r="AG73" s="1">
        <f t="shared" ca="1" si="89"/>
        <v>790</v>
      </c>
      <c r="AH73" s="1">
        <f t="shared" ca="1" si="90"/>
        <v>1.2948521292958392E-3</v>
      </c>
      <c r="AJ73" s="1">
        <f t="shared" ca="1" si="91"/>
        <v>0.64705361601899425</v>
      </c>
      <c r="AK73" s="1">
        <f t="shared" ca="1" si="92"/>
        <v>3.7513602766110184E-3</v>
      </c>
      <c r="AL73" s="1"/>
      <c r="AM73" s="1">
        <f t="shared" ca="1" si="93"/>
        <v>0.17742715484735339</v>
      </c>
      <c r="AN73" s="1">
        <f t="shared" ca="1" si="94"/>
        <v>65</v>
      </c>
      <c r="AO73" s="1">
        <f t="shared" ca="1" si="95"/>
        <v>3</v>
      </c>
      <c r="AQ73" s="1">
        <f t="shared" ca="1" si="96"/>
        <v>31</v>
      </c>
      <c r="AR73" s="1">
        <f t="shared" ca="1" si="97"/>
        <v>4</v>
      </c>
      <c r="AS73" s="1">
        <f t="shared" ca="1" si="98"/>
        <v>26</v>
      </c>
      <c r="AU73" s="1">
        <f t="shared" ca="1" si="99"/>
        <v>190</v>
      </c>
      <c r="AV73" s="1">
        <f t="shared" ca="1" si="100"/>
        <v>6</v>
      </c>
      <c r="AW73" s="1">
        <f t="shared" ca="1" si="101"/>
        <v>0.127374720849082</v>
      </c>
      <c r="AY73" s="1">
        <f t="shared" ca="1" si="102"/>
        <v>1.3727765945180948</v>
      </c>
      <c r="AZ73" s="1">
        <f t="shared" ca="1" si="103"/>
        <v>417</v>
      </c>
      <c r="BA73" s="1">
        <f t="shared" ca="1" si="104"/>
        <v>1.0670574464822164E-3</v>
      </c>
      <c r="BG73" s="1">
        <f t="shared" ca="1" si="105"/>
        <v>0.76752140796587542</v>
      </c>
      <c r="BH73" s="1">
        <f t="shared" ca="1" si="106"/>
        <v>3.1004692651722343E-2</v>
      </c>
      <c r="BI73" s="1">
        <f t="shared" ca="1" si="107"/>
        <v>307</v>
      </c>
      <c r="BV73" s="1">
        <f t="shared" ca="1" si="108"/>
        <v>4.6077302416359628E-2</v>
      </c>
      <c r="BW73" s="1">
        <f t="shared" ca="1" si="109"/>
        <v>994</v>
      </c>
      <c r="BX73" s="1">
        <f t="shared" ca="1" si="110"/>
        <v>1.6988893204472066E-3</v>
      </c>
      <c r="BY73" s="1">
        <f t="shared" ca="1" si="111"/>
        <v>6.5306842960486194E-2</v>
      </c>
      <c r="BZ73" s="1">
        <f t="shared" ca="1" si="112"/>
        <v>0.32031767249371013</v>
      </c>
      <c r="CB73" s="1">
        <f t="shared" ca="1" si="113"/>
        <v>119</v>
      </c>
      <c r="CC73" s="1">
        <f t="shared" ca="1" si="114"/>
        <v>10</v>
      </c>
      <c r="CD73" s="1">
        <f t="shared" ca="1" si="115"/>
        <v>0.14426864084466562</v>
      </c>
      <c r="CE73" s="1">
        <f t="shared" ca="1" si="116"/>
        <v>0.78199846549365781</v>
      </c>
      <c r="CF73" s="1">
        <f t="shared" ca="1" si="116"/>
        <v>0.65293579717437988</v>
      </c>
      <c r="CH73" s="3">
        <f t="shared" ca="1" si="117"/>
        <v>0.4696185208299698</v>
      </c>
      <c r="CI73" s="3">
        <f t="shared" ca="1" si="118"/>
        <v>0.64589274076780723</v>
      </c>
      <c r="CJ73" s="3">
        <f t="shared" ca="1" si="119"/>
        <v>173</v>
      </c>
      <c r="CK73" s="3">
        <f t="shared" ca="1" si="120"/>
        <v>8.3974835121824031E-3</v>
      </c>
      <c r="CL73" s="3">
        <f t="shared" ca="1" si="121"/>
        <v>1</v>
      </c>
      <c r="CM73" s="3"/>
      <c r="CN73" s="1">
        <f t="shared" ca="1" si="122"/>
        <v>5.5801177243402273</v>
      </c>
      <c r="CO73" s="1">
        <f t="shared" ca="1" si="123"/>
        <v>0.16929022866855858</v>
      </c>
      <c r="CP73" s="1">
        <f t="shared" ca="1" si="124"/>
        <v>3</v>
      </c>
      <c r="DH73" s="1">
        <f t="shared" ca="1" si="125"/>
        <v>37</v>
      </c>
      <c r="DI73" s="1">
        <f t="shared" ca="1" si="126"/>
        <v>0.89970631263369516</v>
      </c>
      <c r="DJ73" s="1">
        <f t="shared" ca="1" si="127"/>
        <v>13</v>
      </c>
      <c r="DL73" s="1">
        <f t="shared" ca="1" si="128"/>
        <v>3.26408479380828E-2</v>
      </c>
      <c r="DM73" s="1">
        <f t="shared" ca="1" si="129"/>
        <v>141</v>
      </c>
      <c r="DN73" s="1">
        <f t="shared" ca="1" si="130"/>
        <v>3</v>
      </c>
    </row>
    <row r="74" spans="2:118" x14ac:dyDescent="0.25">
      <c r="B74">
        <f t="shared" ca="1" si="66"/>
        <v>652</v>
      </c>
      <c r="C74">
        <f t="shared" ca="1" si="67"/>
        <v>48</v>
      </c>
      <c r="D74">
        <f t="shared" ca="1" si="68"/>
        <v>1.6861506992749749E-2</v>
      </c>
      <c r="F74" s="1">
        <f t="shared" ca="1" si="69"/>
        <v>51</v>
      </c>
      <c r="G74" s="1">
        <f t="shared" ca="1" si="70"/>
        <v>26</v>
      </c>
      <c r="H74" s="1">
        <f t="shared" ca="1" si="71"/>
        <v>6</v>
      </c>
      <c r="I74" s="1"/>
      <c r="J74" s="1">
        <f t="shared" ca="1" si="72"/>
        <v>25</v>
      </c>
      <c r="K74" s="1">
        <f t="shared" ca="1" si="73"/>
        <v>2.0337851398780078</v>
      </c>
      <c r="L74" s="1">
        <f t="shared" ca="1" si="74"/>
        <v>24</v>
      </c>
      <c r="M74" s="1"/>
      <c r="N74" s="1">
        <f t="shared" ca="1" si="75"/>
        <v>691</v>
      </c>
      <c r="O74" s="1">
        <f t="shared" ca="1" si="76"/>
        <v>50</v>
      </c>
      <c r="P74" s="1"/>
      <c r="Q74" s="1">
        <f t="shared" ca="1" si="77"/>
        <v>1.459844580185879</v>
      </c>
      <c r="R74" s="1">
        <f t="shared" ca="1" si="78"/>
        <v>739</v>
      </c>
      <c r="S74" s="1"/>
      <c r="T74" s="1">
        <f t="shared" ca="1" si="79"/>
        <v>0.10898992070952232</v>
      </c>
      <c r="U74" s="1">
        <f t="shared" ca="1" si="80"/>
        <v>358</v>
      </c>
      <c r="V74" s="1">
        <f t="shared" ca="1" si="81"/>
        <v>16</v>
      </c>
      <c r="W74" s="1"/>
      <c r="X74" s="1">
        <f t="shared" ca="1" si="82"/>
        <v>2.324397764340123</v>
      </c>
      <c r="Y74" s="1">
        <f t="shared" ca="1" si="83"/>
        <v>0.16922184647812011</v>
      </c>
      <c r="Z74" s="1">
        <f t="shared" ca="1" si="84"/>
        <v>568</v>
      </c>
      <c r="AB74" s="1">
        <f t="shared" ca="1" si="85"/>
        <v>0.8008732071154897</v>
      </c>
      <c r="AC74" s="1">
        <f t="shared" ca="1" si="86"/>
        <v>337</v>
      </c>
      <c r="AD74" s="1">
        <f t="shared" ca="1" si="87"/>
        <v>3.0673808427912983E-3</v>
      </c>
      <c r="AE74" s="1"/>
      <c r="AF74" s="1">
        <f t="shared" ca="1" si="88"/>
        <v>0.21256243135628541</v>
      </c>
      <c r="AG74" s="1">
        <f t="shared" ca="1" si="89"/>
        <v>184</v>
      </c>
      <c r="AH74" s="1">
        <f t="shared" ca="1" si="90"/>
        <v>9.9913970224566693E-3</v>
      </c>
      <c r="AJ74" s="1">
        <f t="shared" ca="1" si="91"/>
        <v>0.35532733995813004</v>
      </c>
      <c r="AK74" s="1">
        <f t="shared" ca="1" si="92"/>
        <v>2.8278782893249518E-4</v>
      </c>
      <c r="AL74" s="1"/>
      <c r="AM74" s="1">
        <f t="shared" ca="1" si="93"/>
        <v>0.1523052094453021</v>
      </c>
      <c r="AN74" s="1">
        <f t="shared" ca="1" si="94"/>
        <v>18</v>
      </c>
      <c r="AO74" s="1">
        <f t="shared" ca="1" si="95"/>
        <v>5</v>
      </c>
      <c r="AQ74" s="1">
        <f t="shared" ca="1" si="96"/>
        <v>120</v>
      </c>
      <c r="AR74" s="1">
        <f t="shared" ca="1" si="97"/>
        <v>0</v>
      </c>
      <c r="AS74" s="1">
        <f t="shared" ca="1" si="98"/>
        <v>42</v>
      </c>
      <c r="AU74" s="1">
        <f t="shared" ca="1" si="99"/>
        <v>260</v>
      </c>
      <c r="AV74" s="1">
        <f t="shared" ca="1" si="100"/>
        <v>7</v>
      </c>
      <c r="AW74" s="1">
        <f t="shared" ca="1" si="101"/>
        <v>0.10617100920932543</v>
      </c>
      <c r="AY74" s="1">
        <f t="shared" ca="1" si="102"/>
        <v>1.5571466794378581</v>
      </c>
      <c r="AZ74" s="1">
        <f t="shared" ca="1" si="103"/>
        <v>455</v>
      </c>
      <c r="BA74" s="1">
        <f t="shared" ca="1" si="104"/>
        <v>8.741217454584194E-3</v>
      </c>
      <c r="BG74" s="1">
        <f t="shared" ca="1" si="105"/>
        <v>0.91100799308885572</v>
      </c>
      <c r="BH74" s="1">
        <f t="shared" ca="1" si="106"/>
        <v>0.66077797285536644</v>
      </c>
      <c r="BI74" s="1">
        <f t="shared" ca="1" si="107"/>
        <v>253</v>
      </c>
      <c r="BV74" s="1">
        <f t="shared" ca="1" si="108"/>
        <v>0.96576822703902609</v>
      </c>
      <c r="BW74" s="1">
        <f t="shared" ca="1" si="109"/>
        <v>651</v>
      </c>
      <c r="BX74" s="1">
        <f t="shared" ca="1" si="110"/>
        <v>1.218254751147334E-3</v>
      </c>
      <c r="BY74" s="1">
        <f t="shared" ca="1" si="111"/>
        <v>2.1394130355230044E-2</v>
      </c>
      <c r="BZ74" s="1">
        <f t="shared" ca="1" si="112"/>
        <v>0.32603103585700544</v>
      </c>
      <c r="CB74" s="1">
        <f t="shared" ca="1" si="113"/>
        <v>443</v>
      </c>
      <c r="CC74" s="1">
        <f t="shared" ca="1" si="114"/>
        <v>9</v>
      </c>
      <c r="CD74" s="1">
        <f t="shared" ca="1" si="115"/>
        <v>4.7735453617380338E-2</v>
      </c>
      <c r="CE74" s="1">
        <f t="shared" ca="1" si="116"/>
        <v>0.58204554610600612</v>
      </c>
      <c r="CF74" s="1">
        <f t="shared" ca="1" si="116"/>
        <v>0.7018333966411473</v>
      </c>
      <c r="CH74" s="3">
        <f t="shared" ca="1" si="117"/>
        <v>0.38682354005629782</v>
      </c>
      <c r="CI74" s="3">
        <f t="shared" ca="1" si="118"/>
        <v>0.45644530760316238</v>
      </c>
      <c r="CJ74" s="3">
        <f t="shared" ca="1" si="119"/>
        <v>1959</v>
      </c>
      <c r="CK74" s="3">
        <f t="shared" ca="1" si="120"/>
        <v>8.9881089156441888E-3</v>
      </c>
      <c r="CL74" s="3">
        <f t="shared" ca="1" si="121"/>
        <v>0</v>
      </c>
      <c r="CM74" s="3"/>
      <c r="CN74" s="1">
        <f t="shared" ca="1" si="122"/>
        <v>9.364583706217255</v>
      </c>
      <c r="CO74" s="1">
        <f t="shared" ca="1" si="123"/>
        <v>0.17913937776862446</v>
      </c>
      <c r="CP74" s="1">
        <f t="shared" ca="1" si="124"/>
        <v>3</v>
      </c>
      <c r="DH74" s="1">
        <f t="shared" ca="1" si="125"/>
        <v>159</v>
      </c>
      <c r="DI74" s="1">
        <f t="shared" ca="1" si="126"/>
        <v>0.83120324706474702</v>
      </c>
      <c r="DJ74" s="1">
        <f t="shared" ca="1" si="127"/>
        <v>8</v>
      </c>
      <c r="DL74" s="1">
        <f t="shared" ca="1" si="128"/>
        <v>1.5552017184787062E-2</v>
      </c>
      <c r="DM74" s="1">
        <f t="shared" ca="1" si="129"/>
        <v>143</v>
      </c>
      <c r="DN74" s="1">
        <f t="shared" ca="1" si="130"/>
        <v>3</v>
      </c>
    </row>
    <row r="75" spans="2:118" x14ac:dyDescent="0.25">
      <c r="B75">
        <f t="shared" ca="1" si="66"/>
        <v>811</v>
      </c>
      <c r="C75">
        <f t="shared" ca="1" si="67"/>
        <v>8</v>
      </c>
      <c r="D75">
        <f t="shared" ca="1" si="68"/>
        <v>9.3028571183947403E-2</v>
      </c>
      <c r="F75" s="1">
        <f t="shared" ca="1" si="69"/>
        <v>40</v>
      </c>
      <c r="G75" s="1">
        <f t="shared" ca="1" si="70"/>
        <v>24</v>
      </c>
      <c r="H75" s="1">
        <f t="shared" ca="1" si="71"/>
        <v>12</v>
      </c>
      <c r="I75" s="1"/>
      <c r="J75" s="1">
        <f t="shared" ca="1" si="72"/>
        <v>7</v>
      </c>
      <c r="K75" s="1">
        <f t="shared" ca="1" si="73"/>
        <v>1.8397904718072595</v>
      </c>
      <c r="L75" s="1">
        <f t="shared" ca="1" si="74"/>
        <v>17</v>
      </c>
      <c r="M75" s="1"/>
      <c r="N75" s="1">
        <f t="shared" ca="1" si="75"/>
        <v>460</v>
      </c>
      <c r="O75" s="1">
        <f t="shared" ca="1" si="76"/>
        <v>24</v>
      </c>
      <c r="P75" s="1"/>
      <c r="Q75" s="1">
        <f t="shared" ca="1" si="77"/>
        <v>2.8105138560296874</v>
      </c>
      <c r="R75" s="1">
        <f t="shared" ca="1" si="78"/>
        <v>330</v>
      </c>
      <c r="S75" s="1"/>
      <c r="T75" s="1">
        <f t="shared" ca="1" si="79"/>
        <v>7.776330476576182E-2</v>
      </c>
      <c r="U75" s="1">
        <f t="shared" ca="1" si="80"/>
        <v>289</v>
      </c>
      <c r="V75" s="1">
        <f t="shared" ca="1" si="81"/>
        <v>30</v>
      </c>
      <c r="W75" s="1"/>
      <c r="X75" s="1">
        <f t="shared" ca="1" si="82"/>
        <v>6.4925759633334303</v>
      </c>
      <c r="Y75" s="1">
        <f t="shared" ca="1" si="83"/>
        <v>0.98239597421484692</v>
      </c>
      <c r="Z75" s="1">
        <f t="shared" ca="1" si="84"/>
        <v>1375</v>
      </c>
      <c r="AB75" s="1">
        <f t="shared" ca="1" si="85"/>
        <v>0.46483845878231894</v>
      </c>
      <c r="AC75" s="1">
        <f t="shared" ca="1" si="86"/>
        <v>876</v>
      </c>
      <c r="AD75" s="1">
        <f t="shared" ca="1" si="87"/>
        <v>9.0240513443686013E-3</v>
      </c>
      <c r="AE75" s="1"/>
      <c r="AF75" s="1">
        <f t="shared" ca="1" si="88"/>
        <v>0.7408655916855964</v>
      </c>
      <c r="AG75" s="1">
        <f t="shared" ca="1" si="89"/>
        <v>932</v>
      </c>
      <c r="AH75" s="1">
        <f t="shared" ca="1" si="90"/>
        <v>3.4626428593464982E-3</v>
      </c>
      <c r="AJ75" s="1">
        <f t="shared" ca="1" si="91"/>
        <v>0.5471698959762149</v>
      </c>
      <c r="AK75" s="1">
        <f t="shared" ca="1" si="92"/>
        <v>7.837254710424674E-3</v>
      </c>
      <c r="AL75" s="1"/>
      <c r="AM75" s="1">
        <f t="shared" ca="1" si="93"/>
        <v>0.13457737406643105</v>
      </c>
      <c r="AN75" s="1">
        <f t="shared" ca="1" si="94"/>
        <v>51</v>
      </c>
      <c r="AO75" s="1">
        <f t="shared" ca="1" si="95"/>
        <v>3</v>
      </c>
      <c r="AQ75" s="1">
        <f t="shared" ca="1" si="96"/>
        <v>11</v>
      </c>
      <c r="AR75" s="1">
        <f t="shared" ca="1" si="97"/>
        <v>3</v>
      </c>
      <c r="AS75" s="1">
        <f t="shared" ca="1" si="98"/>
        <v>15</v>
      </c>
      <c r="AU75" s="1">
        <f t="shared" ca="1" si="99"/>
        <v>83</v>
      </c>
      <c r="AV75" s="1">
        <f t="shared" ca="1" si="100"/>
        <v>6</v>
      </c>
      <c r="AW75" s="1">
        <f t="shared" ca="1" si="101"/>
        <v>0.17841986346278543</v>
      </c>
      <c r="AY75" s="1">
        <f t="shared" ca="1" si="102"/>
        <v>1.5074001241136452</v>
      </c>
      <c r="AZ75" s="1">
        <f t="shared" ca="1" si="103"/>
        <v>312</v>
      </c>
      <c r="BA75" s="1">
        <f t="shared" ca="1" si="104"/>
        <v>8.5240979315490528E-3</v>
      </c>
      <c r="BG75" s="1">
        <f t="shared" ca="1" si="105"/>
        <v>0.53978243959423022</v>
      </c>
      <c r="BH75" s="1">
        <f t="shared" ca="1" si="106"/>
        <v>0.12543250187930255</v>
      </c>
      <c r="BI75" s="1">
        <f t="shared" ca="1" si="107"/>
        <v>755</v>
      </c>
      <c r="BV75" s="1">
        <f t="shared" ca="1" si="108"/>
        <v>0.95155576004906273</v>
      </c>
      <c r="BW75" s="1">
        <f t="shared" ca="1" si="109"/>
        <v>730</v>
      </c>
      <c r="BX75" s="1">
        <f t="shared" ca="1" si="110"/>
        <v>7.4968749015448454E-3</v>
      </c>
      <c r="BY75" s="1">
        <f t="shared" ca="1" si="111"/>
        <v>8.8600398277413894E-2</v>
      </c>
      <c r="BZ75" s="1">
        <f t="shared" ca="1" si="112"/>
        <v>0.4147640449422304</v>
      </c>
      <c r="CB75" s="1">
        <f t="shared" ca="1" si="113"/>
        <v>302</v>
      </c>
      <c r="CC75" s="1">
        <f t="shared" ca="1" si="114"/>
        <v>3</v>
      </c>
      <c r="CD75" s="1">
        <f t="shared" ca="1" si="115"/>
        <v>0.22263432065859126</v>
      </c>
      <c r="CE75" s="1">
        <f t="shared" ca="1" si="116"/>
        <v>0.71697408120109152</v>
      </c>
      <c r="CF75" s="1">
        <f t="shared" ca="1" si="116"/>
        <v>0.76414830682274171</v>
      </c>
      <c r="CH75" s="3">
        <f t="shared" ca="1" si="117"/>
        <v>0.7257430316365775</v>
      </c>
      <c r="CI75" s="3">
        <f t="shared" ca="1" si="118"/>
        <v>0.35291712595084362</v>
      </c>
      <c r="CJ75" s="3">
        <f t="shared" ca="1" si="119"/>
        <v>1231</v>
      </c>
      <c r="CK75" s="3">
        <f t="shared" ca="1" si="120"/>
        <v>5.1177692040689929E-3</v>
      </c>
      <c r="CL75" s="3">
        <f t="shared" ca="1" si="121"/>
        <v>0</v>
      </c>
      <c r="CM75" s="3"/>
      <c r="CN75" s="1">
        <f t="shared" ca="1" si="122"/>
        <v>1.0284423984891684</v>
      </c>
      <c r="CO75" s="1">
        <f t="shared" ca="1" si="123"/>
        <v>0.35610294522337843</v>
      </c>
      <c r="CP75" s="1">
        <f t="shared" ca="1" si="124"/>
        <v>4</v>
      </c>
      <c r="DH75" s="1">
        <f t="shared" ca="1" si="125"/>
        <v>151</v>
      </c>
      <c r="DI75" s="1">
        <f t="shared" ca="1" si="126"/>
        <v>0.64184907291343907</v>
      </c>
      <c r="DJ75" s="1">
        <f t="shared" ca="1" si="127"/>
        <v>16</v>
      </c>
      <c r="DL75" s="1">
        <f t="shared" ca="1" si="128"/>
        <v>6.4513865284662186E-2</v>
      </c>
      <c r="DM75" s="1">
        <f t="shared" ca="1" si="129"/>
        <v>243</v>
      </c>
      <c r="DN75" s="1">
        <f t="shared" ca="1" si="130"/>
        <v>9</v>
      </c>
    </row>
    <row r="76" spans="2:118" x14ac:dyDescent="0.25">
      <c r="B76">
        <f t="shared" ca="1" si="66"/>
        <v>584</v>
      </c>
      <c r="C76">
        <f t="shared" ca="1" si="67"/>
        <v>17</v>
      </c>
      <c r="D76">
        <f t="shared" ca="1" si="68"/>
        <v>0.26297587678211415</v>
      </c>
      <c r="F76" s="1">
        <f t="shared" ca="1" si="69"/>
        <v>2</v>
      </c>
      <c r="G76" s="1">
        <f t="shared" ca="1" si="70"/>
        <v>4</v>
      </c>
      <c r="H76" s="1">
        <f t="shared" ca="1" si="71"/>
        <v>14</v>
      </c>
      <c r="I76" s="1"/>
      <c r="J76" s="1">
        <f t="shared" ca="1" si="72"/>
        <v>1</v>
      </c>
      <c r="K76" s="1">
        <f t="shared" ca="1" si="73"/>
        <v>2.3733225078323357</v>
      </c>
      <c r="L76" s="1">
        <f t="shared" ca="1" si="74"/>
        <v>35</v>
      </c>
      <c r="M76" s="1"/>
      <c r="N76" s="1">
        <f t="shared" ca="1" si="75"/>
        <v>145</v>
      </c>
      <c r="O76" s="1">
        <f t="shared" ca="1" si="76"/>
        <v>42</v>
      </c>
      <c r="P76" s="1"/>
      <c r="Q76" s="1">
        <f t="shared" ca="1" si="77"/>
        <v>4.5086486608006933</v>
      </c>
      <c r="R76" s="1">
        <f t="shared" ca="1" si="78"/>
        <v>329</v>
      </c>
      <c r="S76" s="1"/>
      <c r="T76" s="1">
        <f t="shared" ca="1" si="79"/>
        <v>7.1890228969159864E-2</v>
      </c>
      <c r="U76" s="1">
        <f t="shared" ca="1" si="80"/>
        <v>408</v>
      </c>
      <c r="V76" s="1">
        <f t="shared" ca="1" si="81"/>
        <v>2</v>
      </c>
      <c r="W76" s="1"/>
      <c r="X76" s="1">
        <f t="shared" ca="1" si="82"/>
        <v>1.1961506695816655</v>
      </c>
      <c r="Y76" s="1">
        <f t="shared" ca="1" si="83"/>
        <v>0.71035461048094839</v>
      </c>
      <c r="Z76" s="1">
        <f t="shared" ca="1" si="84"/>
        <v>357</v>
      </c>
      <c r="AB76" s="1">
        <f t="shared" ca="1" si="85"/>
        <v>0.19518478422727184</v>
      </c>
      <c r="AC76" s="1">
        <f t="shared" ca="1" si="86"/>
        <v>300</v>
      </c>
      <c r="AD76" s="1">
        <f t="shared" ca="1" si="87"/>
        <v>3.2326521227220104E-3</v>
      </c>
      <c r="AE76" s="1"/>
      <c r="AF76" s="1">
        <f t="shared" ca="1" si="88"/>
        <v>0.31241178853531104</v>
      </c>
      <c r="AG76" s="1">
        <f t="shared" ca="1" si="89"/>
        <v>277</v>
      </c>
      <c r="AH76" s="1">
        <f t="shared" ca="1" si="90"/>
        <v>1.2942656493058799E-4</v>
      </c>
      <c r="AJ76" s="1">
        <f t="shared" ca="1" si="91"/>
        <v>0.28187807254333552</v>
      </c>
      <c r="AK76" s="1">
        <f t="shared" ca="1" si="92"/>
        <v>8.2390502195879654E-4</v>
      </c>
      <c r="AL76" s="1"/>
      <c r="AM76" s="1">
        <f t="shared" ca="1" si="93"/>
        <v>5.724233317470984E-3</v>
      </c>
      <c r="AN76" s="1">
        <f t="shared" ca="1" si="94"/>
        <v>75</v>
      </c>
      <c r="AO76" s="1">
        <f t="shared" ca="1" si="95"/>
        <v>7</v>
      </c>
      <c r="AQ76" s="1">
        <f t="shared" ca="1" si="96"/>
        <v>28</v>
      </c>
      <c r="AR76" s="1">
        <f t="shared" ca="1" si="97"/>
        <v>8</v>
      </c>
      <c r="AS76" s="1">
        <f t="shared" ca="1" si="98"/>
        <v>47</v>
      </c>
      <c r="AU76" s="1">
        <f t="shared" ca="1" si="99"/>
        <v>330</v>
      </c>
      <c r="AV76" s="1">
        <f t="shared" ca="1" si="100"/>
        <v>6</v>
      </c>
      <c r="AW76" s="1">
        <f t="shared" ca="1" si="101"/>
        <v>0.16456305537535831</v>
      </c>
      <c r="AY76" s="1">
        <f t="shared" ca="1" si="102"/>
        <v>1.3735382199438546</v>
      </c>
      <c r="AZ76" s="1">
        <f t="shared" ca="1" si="103"/>
        <v>466</v>
      </c>
      <c r="BA76" s="1">
        <f t="shared" ca="1" si="104"/>
        <v>9.6681739939549691E-3</v>
      </c>
      <c r="BG76" s="1">
        <f t="shared" ca="1" si="105"/>
        <v>0.27664287965177964</v>
      </c>
      <c r="BH76" s="1">
        <f t="shared" ca="1" si="106"/>
        <v>0.75126044585871188</v>
      </c>
      <c r="BI76" s="1">
        <f t="shared" ca="1" si="107"/>
        <v>409</v>
      </c>
      <c r="BV76" s="1">
        <f t="shared" ca="1" si="108"/>
        <v>0.99861281751919362</v>
      </c>
      <c r="BW76" s="1">
        <f t="shared" ca="1" si="109"/>
        <v>159</v>
      </c>
      <c r="BX76" s="1">
        <f t="shared" ca="1" si="110"/>
        <v>5.4735431863083125E-3</v>
      </c>
      <c r="BY76" s="1">
        <f t="shared" ca="1" si="111"/>
        <v>3.4695679516862157E-2</v>
      </c>
      <c r="BZ76" s="1">
        <f t="shared" ca="1" si="112"/>
        <v>0.92516935775075093</v>
      </c>
      <c r="CB76" s="1">
        <f t="shared" ca="1" si="113"/>
        <v>460</v>
      </c>
      <c r="CC76" s="1">
        <f t="shared" ca="1" si="114"/>
        <v>5</v>
      </c>
      <c r="CD76" s="1">
        <f t="shared" ca="1" si="115"/>
        <v>0.24954721848979733</v>
      </c>
      <c r="CE76" s="1">
        <f t="shared" ca="1" si="116"/>
        <v>0.709973888644849</v>
      </c>
      <c r="CF76" s="1">
        <f t="shared" ca="1" si="116"/>
        <v>0.99477896362345442</v>
      </c>
      <c r="CH76" s="3">
        <f t="shared" ca="1" si="117"/>
        <v>0.10708533409160152</v>
      </c>
      <c r="CI76" s="3">
        <f t="shared" ca="1" si="118"/>
        <v>0.49407197645651363</v>
      </c>
      <c r="CJ76" s="3">
        <f t="shared" ca="1" si="119"/>
        <v>947</v>
      </c>
      <c r="CK76" s="3">
        <f t="shared" ca="1" si="120"/>
        <v>1.6520534541950313E-3</v>
      </c>
      <c r="CL76" s="3">
        <f t="shared" ca="1" si="121"/>
        <v>1</v>
      </c>
      <c r="CM76" s="3"/>
      <c r="CN76" s="1">
        <f t="shared" ca="1" si="122"/>
        <v>0.92953779732094199</v>
      </c>
      <c r="CO76" s="1">
        <f t="shared" ca="1" si="123"/>
        <v>0.26800923969587542</v>
      </c>
      <c r="CP76" s="1">
        <f t="shared" ca="1" si="124"/>
        <v>2</v>
      </c>
      <c r="DH76" s="1">
        <f t="shared" ca="1" si="125"/>
        <v>568</v>
      </c>
      <c r="DI76" s="1">
        <f t="shared" ca="1" si="126"/>
        <v>0.45732014342370753</v>
      </c>
      <c r="DJ76" s="1">
        <f t="shared" ca="1" si="127"/>
        <v>11</v>
      </c>
      <c r="DL76" s="1">
        <f t="shared" ca="1" si="128"/>
        <v>0.12832687957996303</v>
      </c>
      <c r="DM76" s="1">
        <f t="shared" ca="1" si="129"/>
        <v>218</v>
      </c>
      <c r="DN76" s="1">
        <f t="shared" ca="1" si="130"/>
        <v>3</v>
      </c>
    </row>
    <row r="77" spans="2:118" x14ac:dyDescent="0.25">
      <c r="B77">
        <f t="shared" ca="1" si="66"/>
        <v>417</v>
      </c>
      <c r="C77">
        <f t="shared" ca="1" si="67"/>
        <v>36</v>
      </c>
      <c r="D77">
        <f t="shared" ca="1" si="68"/>
        <v>9.3721923644607186E-2</v>
      </c>
      <c r="F77" s="1">
        <f t="shared" ca="1" si="69"/>
        <v>48</v>
      </c>
      <c r="G77" s="1">
        <f t="shared" ca="1" si="70"/>
        <v>12</v>
      </c>
      <c r="H77" s="1">
        <f t="shared" ca="1" si="71"/>
        <v>11</v>
      </c>
      <c r="I77" s="1"/>
      <c r="J77" s="1">
        <f t="shared" ca="1" si="72"/>
        <v>19</v>
      </c>
      <c r="K77" s="1">
        <f t="shared" ca="1" si="73"/>
        <v>2.6118277153770642</v>
      </c>
      <c r="L77" s="1">
        <f t="shared" ca="1" si="74"/>
        <v>16</v>
      </c>
      <c r="M77" s="1"/>
      <c r="N77" s="1">
        <f t="shared" ca="1" si="75"/>
        <v>540</v>
      </c>
      <c r="O77" s="1">
        <f t="shared" ca="1" si="76"/>
        <v>26</v>
      </c>
      <c r="P77" s="1"/>
      <c r="Q77" s="1">
        <f t="shared" ca="1" si="77"/>
        <v>1.7088046005431248</v>
      </c>
      <c r="R77" s="1">
        <f t="shared" ca="1" si="78"/>
        <v>1015</v>
      </c>
      <c r="S77" s="1"/>
      <c r="T77" s="1">
        <f t="shared" ca="1" si="79"/>
        <v>8.6115266848344141E-2</v>
      </c>
      <c r="U77" s="1">
        <f t="shared" ca="1" si="80"/>
        <v>391</v>
      </c>
      <c r="V77" s="1">
        <f t="shared" ca="1" si="81"/>
        <v>37</v>
      </c>
      <c r="W77" s="1"/>
      <c r="X77" s="1">
        <f t="shared" ca="1" si="82"/>
        <v>7.2001962793940812</v>
      </c>
      <c r="Y77" s="1">
        <f t="shared" ca="1" si="83"/>
        <v>0.13222764167629641</v>
      </c>
      <c r="Z77" s="1">
        <f t="shared" ca="1" si="84"/>
        <v>1541</v>
      </c>
      <c r="AB77" s="1">
        <f t="shared" ca="1" si="85"/>
        <v>0.56269646179951249</v>
      </c>
      <c r="AC77" s="1">
        <f t="shared" ca="1" si="86"/>
        <v>766</v>
      </c>
      <c r="AD77" s="1">
        <f t="shared" ca="1" si="87"/>
        <v>9.8953429858207702E-3</v>
      </c>
      <c r="AE77" s="1"/>
      <c r="AF77" s="1">
        <f t="shared" ca="1" si="88"/>
        <v>0.82312043699432424</v>
      </c>
      <c r="AG77" s="1">
        <f t="shared" ca="1" si="89"/>
        <v>470</v>
      </c>
      <c r="AH77" s="1">
        <f t="shared" ca="1" si="90"/>
        <v>9.4679737187881204E-3</v>
      </c>
      <c r="AJ77" s="1">
        <f t="shared" ca="1" si="91"/>
        <v>0.90096205197437096</v>
      </c>
      <c r="AK77" s="1">
        <f t="shared" ca="1" si="92"/>
        <v>9.1753581675813444E-3</v>
      </c>
      <c r="AL77" s="1"/>
      <c r="AM77" s="1">
        <f t="shared" ca="1" si="93"/>
        <v>2.9192984631182625E-2</v>
      </c>
      <c r="AN77" s="1">
        <f t="shared" ca="1" si="94"/>
        <v>73</v>
      </c>
      <c r="AO77" s="1">
        <f t="shared" ca="1" si="95"/>
        <v>9</v>
      </c>
      <c r="AQ77" s="1">
        <f t="shared" ca="1" si="96"/>
        <v>14</v>
      </c>
      <c r="AR77" s="1">
        <f t="shared" ca="1" si="97"/>
        <v>5</v>
      </c>
      <c r="AS77" s="1">
        <f t="shared" ca="1" si="98"/>
        <v>35</v>
      </c>
      <c r="AU77" s="1">
        <f t="shared" ca="1" si="99"/>
        <v>375</v>
      </c>
      <c r="AV77" s="1">
        <f t="shared" ca="1" si="100"/>
        <v>2</v>
      </c>
      <c r="AW77" s="1">
        <f t="shared" ca="1" si="101"/>
        <v>0.14349793407935912</v>
      </c>
      <c r="AY77" s="1">
        <f t="shared" ca="1" si="102"/>
        <v>1.3208896324810755</v>
      </c>
      <c r="AZ77" s="1">
        <f t="shared" ca="1" si="103"/>
        <v>333</v>
      </c>
      <c r="BA77" s="1">
        <f t="shared" ca="1" si="104"/>
        <v>2.1650200042877916E-3</v>
      </c>
      <c r="BG77" s="1">
        <f t="shared" ca="1" si="105"/>
        <v>0.99427775992064527</v>
      </c>
      <c r="BH77" s="1">
        <f t="shared" ca="1" si="106"/>
        <v>4.6228653460469449E-3</v>
      </c>
      <c r="BI77" s="1">
        <f t="shared" ca="1" si="107"/>
        <v>148</v>
      </c>
      <c r="BV77" s="1">
        <f t="shared" ca="1" si="108"/>
        <v>0.25043995452796775</v>
      </c>
      <c r="BW77" s="1">
        <f t="shared" ca="1" si="109"/>
        <v>841</v>
      </c>
      <c r="BX77" s="1">
        <f t="shared" ca="1" si="110"/>
        <v>7.8663780927853786E-3</v>
      </c>
      <c r="BY77" s="1">
        <f t="shared" ca="1" si="111"/>
        <v>4.5350365377122559E-2</v>
      </c>
      <c r="BZ77" s="1">
        <f t="shared" ca="1" si="112"/>
        <v>0.96277905773575723</v>
      </c>
      <c r="CB77" s="1">
        <f t="shared" ca="1" si="113"/>
        <v>271</v>
      </c>
      <c r="CC77" s="1">
        <f t="shared" ca="1" si="114"/>
        <v>3</v>
      </c>
      <c r="CD77" s="1">
        <f t="shared" ca="1" si="115"/>
        <v>2.2197779536852858E-2</v>
      </c>
      <c r="CE77" s="1">
        <f t="shared" ca="1" si="116"/>
        <v>0.92085240107184907</v>
      </c>
      <c r="CF77" s="1">
        <f t="shared" ca="1" si="116"/>
        <v>0.60402162716905439</v>
      </c>
      <c r="CH77" s="3">
        <f t="shared" ca="1" si="117"/>
        <v>0.71437962081269102</v>
      </c>
      <c r="CI77" s="3">
        <f t="shared" ca="1" si="118"/>
        <v>0.70179428954337519</v>
      </c>
      <c r="CJ77" s="3">
        <f t="shared" ca="1" si="119"/>
        <v>1544</v>
      </c>
      <c r="CK77" s="3">
        <f t="shared" ca="1" si="120"/>
        <v>8.9573249224875699E-3</v>
      </c>
      <c r="CL77" s="3">
        <f t="shared" ca="1" si="121"/>
        <v>1</v>
      </c>
      <c r="CM77" s="3"/>
      <c r="CN77" s="1">
        <f t="shared" ca="1" si="122"/>
        <v>5.006075700653084</v>
      </c>
      <c r="CO77" s="1">
        <f t="shared" ca="1" si="123"/>
        <v>0.37491938774160338</v>
      </c>
      <c r="CP77" s="1">
        <f t="shared" ca="1" si="124"/>
        <v>4</v>
      </c>
      <c r="DH77" s="1">
        <f t="shared" ca="1" si="125"/>
        <v>163</v>
      </c>
      <c r="DI77" s="1">
        <f t="shared" ca="1" si="126"/>
        <v>0.98848405486194546</v>
      </c>
      <c r="DJ77" s="1">
        <f t="shared" ca="1" si="127"/>
        <v>15</v>
      </c>
      <c r="DL77" s="1">
        <f t="shared" ca="1" si="128"/>
        <v>0.16061276771773106</v>
      </c>
      <c r="DM77" s="1">
        <f t="shared" ca="1" si="129"/>
        <v>288</v>
      </c>
      <c r="DN77" s="1">
        <f t="shared" ca="1" si="130"/>
        <v>1</v>
      </c>
    </row>
    <row r="78" spans="2:118" x14ac:dyDescent="0.25">
      <c r="B78">
        <f t="shared" ca="1" si="66"/>
        <v>812</v>
      </c>
      <c r="C78">
        <f t="shared" ca="1" si="67"/>
        <v>42</v>
      </c>
      <c r="D78">
        <f t="shared" ca="1" si="68"/>
        <v>0.22567719432421765</v>
      </c>
      <c r="F78" s="1">
        <f t="shared" ca="1" si="69"/>
        <v>43</v>
      </c>
      <c r="G78" s="1">
        <f t="shared" ca="1" si="70"/>
        <v>2</v>
      </c>
      <c r="H78" s="1">
        <f t="shared" ca="1" si="71"/>
        <v>6</v>
      </c>
      <c r="I78" s="1"/>
      <c r="J78" s="1">
        <f t="shared" ca="1" si="72"/>
        <v>17</v>
      </c>
      <c r="K78" s="1">
        <f t="shared" ca="1" si="73"/>
        <v>1.7654457719840571</v>
      </c>
      <c r="L78" s="1">
        <f t="shared" ca="1" si="74"/>
        <v>18</v>
      </c>
      <c r="M78" s="1"/>
      <c r="N78" s="1">
        <f t="shared" ca="1" si="75"/>
        <v>93</v>
      </c>
      <c r="O78" s="1">
        <f t="shared" ca="1" si="76"/>
        <v>18</v>
      </c>
      <c r="P78" s="1"/>
      <c r="Q78" s="1">
        <f t="shared" ca="1" si="77"/>
        <v>1.5417682492659752</v>
      </c>
      <c r="R78" s="1">
        <f t="shared" ca="1" si="78"/>
        <v>751</v>
      </c>
      <c r="S78" s="1"/>
      <c r="T78" s="1">
        <f t="shared" ca="1" si="79"/>
        <v>5.4482015902261996E-2</v>
      </c>
      <c r="U78" s="1">
        <f t="shared" ca="1" si="80"/>
        <v>370</v>
      </c>
      <c r="V78" s="1">
        <f t="shared" ca="1" si="81"/>
        <v>47</v>
      </c>
      <c r="W78" s="1"/>
      <c r="X78" s="1">
        <f t="shared" ca="1" si="82"/>
        <v>1.4961467752236672</v>
      </c>
      <c r="Y78" s="1">
        <f t="shared" ca="1" si="83"/>
        <v>9.8014086507514905E-2</v>
      </c>
      <c r="Z78" s="1">
        <f t="shared" ca="1" si="84"/>
        <v>1120</v>
      </c>
      <c r="AB78" s="1">
        <f t="shared" ca="1" si="85"/>
        <v>0.7646681188751997</v>
      </c>
      <c r="AC78" s="1">
        <f t="shared" ca="1" si="86"/>
        <v>198</v>
      </c>
      <c r="AD78" s="1">
        <f t="shared" ca="1" si="87"/>
        <v>9.1139050211025037E-3</v>
      </c>
      <c r="AE78" s="1"/>
      <c r="AF78" s="1">
        <f t="shared" ca="1" si="88"/>
        <v>0.43451063678064406</v>
      </c>
      <c r="AG78" s="1">
        <f t="shared" ca="1" si="89"/>
        <v>956</v>
      </c>
      <c r="AH78" s="1">
        <f t="shared" ca="1" si="90"/>
        <v>5.2817233756471552E-3</v>
      </c>
      <c r="AJ78" s="1">
        <f t="shared" ca="1" si="91"/>
        <v>0.48844597771215192</v>
      </c>
      <c r="AK78" s="1">
        <f t="shared" ca="1" si="92"/>
        <v>6.8378623019819985E-3</v>
      </c>
      <c r="AL78" s="1"/>
      <c r="AM78" s="1">
        <f t="shared" ca="1" si="93"/>
        <v>0.14204024771159912</v>
      </c>
      <c r="AN78" s="1">
        <f t="shared" ca="1" si="94"/>
        <v>47</v>
      </c>
      <c r="AO78" s="1">
        <f t="shared" ca="1" si="95"/>
        <v>20</v>
      </c>
      <c r="AQ78" s="1">
        <f t="shared" ca="1" si="96"/>
        <v>146</v>
      </c>
      <c r="AR78" s="1">
        <f t="shared" ca="1" si="97"/>
        <v>3</v>
      </c>
      <c r="AS78" s="1">
        <f t="shared" ca="1" si="98"/>
        <v>72</v>
      </c>
      <c r="AU78" s="1">
        <f t="shared" ca="1" si="99"/>
        <v>228</v>
      </c>
      <c r="AV78" s="1">
        <f t="shared" ca="1" si="100"/>
        <v>9</v>
      </c>
      <c r="AW78" s="1">
        <f t="shared" ca="1" si="101"/>
        <v>5.1394658672231093E-2</v>
      </c>
      <c r="AY78" s="1">
        <f t="shared" ca="1" si="102"/>
        <v>1.9855469623488542</v>
      </c>
      <c r="AZ78" s="1">
        <f t="shared" ca="1" si="103"/>
        <v>240</v>
      </c>
      <c r="BA78" s="1">
        <f t="shared" ca="1" si="104"/>
        <v>3.8510544997943422E-3</v>
      </c>
      <c r="BG78" s="1">
        <f t="shared" ca="1" si="105"/>
        <v>0.38807022151270987</v>
      </c>
      <c r="BH78" s="1">
        <f t="shared" ca="1" si="106"/>
        <v>0.85142450831007688</v>
      </c>
      <c r="BI78" s="1">
        <f t="shared" ca="1" si="107"/>
        <v>547</v>
      </c>
      <c r="BV78" s="1">
        <f t="shared" ca="1" si="108"/>
        <v>0.16166106193424434</v>
      </c>
      <c r="BW78" s="1">
        <f t="shared" ca="1" si="109"/>
        <v>347</v>
      </c>
      <c r="BX78" s="1">
        <f t="shared" ca="1" si="110"/>
        <v>9.9803230409968875E-3</v>
      </c>
      <c r="BY78" s="1">
        <f t="shared" ca="1" si="111"/>
        <v>9.4078882912669831E-2</v>
      </c>
      <c r="BZ78" s="1">
        <f t="shared" ca="1" si="112"/>
        <v>0.85987616148108403</v>
      </c>
      <c r="CB78" s="1">
        <f t="shared" ca="1" si="113"/>
        <v>353</v>
      </c>
      <c r="CC78" s="1">
        <f t="shared" ca="1" si="114"/>
        <v>5</v>
      </c>
      <c r="CD78" s="1">
        <f t="shared" ca="1" si="115"/>
        <v>4.8231913997471135E-2</v>
      </c>
      <c r="CE78" s="1">
        <f t="shared" ca="1" si="116"/>
        <v>0.53330201455897364</v>
      </c>
      <c r="CF78" s="1">
        <f t="shared" ca="1" si="116"/>
        <v>0.96744761689496828</v>
      </c>
      <c r="CH78" s="3">
        <f t="shared" ca="1" si="117"/>
        <v>0.86534569909691317</v>
      </c>
      <c r="CI78" s="3">
        <f t="shared" ca="1" si="118"/>
        <v>0.53286654340446205</v>
      </c>
      <c r="CJ78" s="3">
        <f t="shared" ca="1" si="119"/>
        <v>826</v>
      </c>
      <c r="CK78" s="3">
        <f t="shared" ca="1" si="120"/>
        <v>3.7760713326022942E-4</v>
      </c>
      <c r="CL78" s="3">
        <f t="shared" ca="1" si="121"/>
        <v>1</v>
      </c>
      <c r="CM78" s="3"/>
      <c r="CN78" s="1">
        <f t="shared" ca="1" si="122"/>
        <v>12.984068315977881</v>
      </c>
      <c r="CO78" s="1">
        <f t="shared" ca="1" si="123"/>
        <v>3.0982583786556245E-2</v>
      </c>
      <c r="CP78" s="1">
        <f t="shared" ca="1" si="124"/>
        <v>4</v>
      </c>
      <c r="DH78" s="1">
        <f t="shared" ca="1" si="125"/>
        <v>452</v>
      </c>
      <c r="DI78" s="1">
        <f t="shared" ca="1" si="126"/>
        <v>1.5896468334881734E-2</v>
      </c>
      <c r="DJ78" s="1">
        <f t="shared" ca="1" si="127"/>
        <v>19</v>
      </c>
      <c r="DL78" s="1">
        <f t="shared" ca="1" si="128"/>
        <v>6.3809424878882109E-2</v>
      </c>
      <c r="DM78" s="1">
        <f t="shared" ca="1" si="129"/>
        <v>215</v>
      </c>
      <c r="DN78" s="1">
        <f t="shared" ca="1" si="130"/>
        <v>10</v>
      </c>
    </row>
    <row r="79" spans="2:118" x14ac:dyDescent="0.25">
      <c r="B79">
        <f t="shared" ca="1" si="66"/>
        <v>865</v>
      </c>
      <c r="C79">
        <f t="shared" ca="1" si="67"/>
        <v>9</v>
      </c>
      <c r="D79">
        <f t="shared" ca="1" si="68"/>
        <v>0.25567407686554527</v>
      </c>
      <c r="F79" s="1">
        <f t="shared" ca="1" si="69"/>
        <v>43</v>
      </c>
      <c r="G79" s="1">
        <f t="shared" ca="1" si="70"/>
        <v>3</v>
      </c>
      <c r="H79" s="1">
        <f t="shared" ca="1" si="71"/>
        <v>3</v>
      </c>
      <c r="I79" s="1"/>
      <c r="J79" s="1">
        <f t="shared" ca="1" si="72"/>
        <v>39</v>
      </c>
      <c r="K79" s="1">
        <f t="shared" ca="1" si="73"/>
        <v>1.4316704690432025</v>
      </c>
      <c r="L79" s="1">
        <f t="shared" ca="1" si="74"/>
        <v>3</v>
      </c>
      <c r="M79" s="1"/>
      <c r="N79" s="1">
        <f t="shared" ca="1" si="75"/>
        <v>712</v>
      </c>
      <c r="O79" s="1">
        <f t="shared" ca="1" si="76"/>
        <v>39</v>
      </c>
      <c r="P79" s="1"/>
      <c r="Q79" s="1">
        <f t="shared" ca="1" si="77"/>
        <v>4.7017065830883427</v>
      </c>
      <c r="R79" s="1">
        <f t="shared" ca="1" si="78"/>
        <v>1159</v>
      </c>
      <c r="S79" s="1"/>
      <c r="T79" s="1">
        <f t="shared" ca="1" si="79"/>
        <v>0.11807423755339494</v>
      </c>
      <c r="U79" s="1">
        <f t="shared" ca="1" si="80"/>
        <v>385</v>
      </c>
      <c r="V79" s="1">
        <f t="shared" ca="1" si="81"/>
        <v>39</v>
      </c>
      <c r="W79" s="1"/>
      <c r="X79" s="1">
        <f t="shared" ca="1" si="82"/>
        <v>4.8944303302275332</v>
      </c>
      <c r="Y79" s="1">
        <f t="shared" ca="1" si="83"/>
        <v>0.47540501652889555</v>
      </c>
      <c r="Z79" s="1">
        <f t="shared" ca="1" si="84"/>
        <v>731</v>
      </c>
      <c r="AB79" s="1">
        <f t="shared" ca="1" si="85"/>
        <v>0.89404210261924633</v>
      </c>
      <c r="AC79" s="1">
        <f t="shared" ca="1" si="86"/>
        <v>431</v>
      </c>
      <c r="AD79" s="1">
        <f t="shared" ca="1" si="87"/>
        <v>4.2176766886702901E-3</v>
      </c>
      <c r="AE79" s="1"/>
      <c r="AF79" s="1">
        <f t="shared" ca="1" si="88"/>
        <v>0.31124298005140505</v>
      </c>
      <c r="AG79" s="1">
        <f t="shared" ca="1" si="89"/>
        <v>915</v>
      </c>
      <c r="AH79" s="1">
        <f t="shared" ca="1" si="90"/>
        <v>8.8754442941504606E-3</v>
      </c>
      <c r="AJ79" s="1">
        <f t="shared" ca="1" si="91"/>
        <v>0.69937360077003874</v>
      </c>
      <c r="AK79" s="1">
        <f t="shared" ca="1" si="92"/>
        <v>9.3378054553394131E-3</v>
      </c>
      <c r="AL79" s="1"/>
      <c r="AM79" s="1">
        <f t="shared" ca="1" si="93"/>
        <v>0.17277354592200042</v>
      </c>
      <c r="AN79" s="1">
        <f t="shared" ca="1" si="94"/>
        <v>26</v>
      </c>
      <c r="AO79" s="1">
        <f t="shared" ca="1" si="95"/>
        <v>10</v>
      </c>
      <c r="AQ79" s="1">
        <f t="shared" ca="1" si="96"/>
        <v>194</v>
      </c>
      <c r="AR79" s="1">
        <f t="shared" ca="1" si="97"/>
        <v>0</v>
      </c>
      <c r="AS79" s="1">
        <f t="shared" ca="1" si="98"/>
        <v>69</v>
      </c>
      <c r="AU79" s="1">
        <f t="shared" ca="1" si="99"/>
        <v>245</v>
      </c>
      <c r="AV79" s="1">
        <f t="shared" ca="1" si="100"/>
        <v>5</v>
      </c>
      <c r="AW79" s="1">
        <f t="shared" ca="1" si="101"/>
        <v>0.1956507359726761</v>
      </c>
      <c r="AY79" s="1">
        <f t="shared" ca="1" si="102"/>
        <v>1.2026808172349679</v>
      </c>
      <c r="AZ79" s="1">
        <f t="shared" ca="1" si="103"/>
        <v>78</v>
      </c>
      <c r="BA79" s="1">
        <f t="shared" ca="1" si="104"/>
        <v>3.8635578755522974E-3</v>
      </c>
      <c r="BG79" s="1">
        <f t="shared" ca="1" si="105"/>
        <v>0.37158701350972434</v>
      </c>
      <c r="BH79" s="1">
        <f t="shared" ca="1" si="106"/>
        <v>0.62549063631764024</v>
      </c>
      <c r="BI79" s="1">
        <f t="shared" ca="1" si="107"/>
        <v>490</v>
      </c>
      <c r="BV79" s="1">
        <f t="shared" ca="1" si="108"/>
        <v>2.7062971781856651E-2</v>
      </c>
      <c r="BW79" s="1">
        <f t="shared" ca="1" si="109"/>
        <v>279</v>
      </c>
      <c r="BX79" s="1">
        <f t="shared" ca="1" si="110"/>
        <v>6.4284170637197713E-3</v>
      </c>
      <c r="BY79" s="1">
        <f t="shared" ca="1" si="111"/>
        <v>4.6692684736441309E-2</v>
      </c>
      <c r="BZ79" s="1">
        <f t="shared" ca="1" si="112"/>
        <v>0.88861773317020099</v>
      </c>
      <c r="CB79" s="1">
        <f t="shared" ca="1" si="113"/>
        <v>68</v>
      </c>
      <c r="CC79" s="1">
        <f t="shared" ca="1" si="114"/>
        <v>14</v>
      </c>
      <c r="CD79" s="1">
        <f t="shared" ca="1" si="115"/>
        <v>0.14410779247845726</v>
      </c>
      <c r="CE79" s="1">
        <f t="shared" ca="1" si="116"/>
        <v>0.859489001715118</v>
      </c>
      <c r="CF79" s="1">
        <f t="shared" ca="1" si="116"/>
        <v>0.84816189955431553</v>
      </c>
      <c r="CH79" s="3">
        <f t="shared" ca="1" si="117"/>
        <v>0.19534297720253391</v>
      </c>
      <c r="CI79" s="3">
        <f t="shared" ca="1" si="118"/>
        <v>0.80220157474131526</v>
      </c>
      <c r="CJ79" s="3">
        <f t="shared" ca="1" si="119"/>
        <v>833</v>
      </c>
      <c r="CK79" s="3">
        <f t="shared" ca="1" si="120"/>
        <v>9.5417794329959674E-3</v>
      </c>
      <c r="CL79" s="3">
        <f t="shared" ca="1" si="121"/>
        <v>0</v>
      </c>
      <c r="CM79" s="3"/>
      <c r="CN79" s="1">
        <f t="shared" ca="1" si="122"/>
        <v>13.180303913966775</v>
      </c>
      <c r="CO79" s="1">
        <f t="shared" ca="1" si="123"/>
        <v>0.21256319984961602</v>
      </c>
      <c r="CP79" s="1">
        <f t="shared" ca="1" si="124"/>
        <v>1</v>
      </c>
      <c r="DH79" s="1">
        <f t="shared" ca="1" si="125"/>
        <v>105</v>
      </c>
      <c r="DI79" s="1">
        <f t="shared" ca="1" si="126"/>
        <v>0.47647143263744141</v>
      </c>
      <c r="DJ79" s="1">
        <f t="shared" ca="1" si="127"/>
        <v>22</v>
      </c>
      <c r="DL79" s="1">
        <f t="shared" ca="1" si="128"/>
        <v>0.11103553376782366</v>
      </c>
      <c r="DM79" s="1">
        <f t="shared" ca="1" si="129"/>
        <v>271</v>
      </c>
      <c r="DN79" s="1">
        <f t="shared" ca="1" si="130"/>
        <v>6</v>
      </c>
    </row>
    <row r="80" spans="2:118" x14ac:dyDescent="0.25">
      <c r="B80">
        <f t="shared" ca="1" si="66"/>
        <v>642</v>
      </c>
      <c r="C80">
        <f t="shared" ca="1" si="67"/>
        <v>2</v>
      </c>
      <c r="D80">
        <f t="shared" ca="1" si="68"/>
        <v>0.15558211007141487</v>
      </c>
      <c r="F80" s="1">
        <f t="shared" ca="1" si="69"/>
        <v>32</v>
      </c>
      <c r="G80" s="1">
        <f t="shared" ca="1" si="70"/>
        <v>27</v>
      </c>
      <c r="H80" s="1">
        <f t="shared" ca="1" si="71"/>
        <v>8</v>
      </c>
      <c r="I80" s="1"/>
      <c r="J80" s="1">
        <f t="shared" ca="1" si="72"/>
        <v>21</v>
      </c>
      <c r="K80" s="1">
        <f t="shared" ca="1" si="73"/>
        <v>1.9350859337038164</v>
      </c>
      <c r="L80" s="1">
        <f t="shared" ca="1" si="74"/>
        <v>26</v>
      </c>
      <c r="M80" s="1"/>
      <c r="N80" s="1">
        <f t="shared" ca="1" si="75"/>
        <v>712</v>
      </c>
      <c r="O80" s="1">
        <f t="shared" ca="1" si="76"/>
        <v>46</v>
      </c>
      <c r="P80" s="1"/>
      <c r="Q80" s="1">
        <f t="shared" ca="1" si="77"/>
        <v>2.3244789117598752</v>
      </c>
      <c r="R80" s="1">
        <f t="shared" ca="1" si="78"/>
        <v>939</v>
      </c>
      <c r="S80" s="1"/>
      <c r="T80" s="1">
        <f t="shared" ca="1" si="79"/>
        <v>2.0470499640141714E-2</v>
      </c>
      <c r="U80" s="1">
        <f t="shared" ca="1" si="80"/>
        <v>136</v>
      </c>
      <c r="V80" s="1">
        <f t="shared" ca="1" si="81"/>
        <v>6</v>
      </c>
      <c r="W80" s="1"/>
      <c r="X80" s="1">
        <f t="shared" ca="1" si="82"/>
        <v>2.244206491334797</v>
      </c>
      <c r="Y80" s="1">
        <f t="shared" ca="1" si="83"/>
        <v>0.5267648432193538</v>
      </c>
      <c r="Z80" s="1">
        <f t="shared" ca="1" si="84"/>
        <v>1601</v>
      </c>
      <c r="AB80" s="1">
        <f t="shared" ca="1" si="85"/>
        <v>0.93376425967555099</v>
      </c>
      <c r="AC80" s="1">
        <f t="shared" ca="1" si="86"/>
        <v>740</v>
      </c>
      <c r="AD80" s="1">
        <f t="shared" ca="1" si="87"/>
        <v>3.8625356798228042E-3</v>
      </c>
      <c r="AE80" s="1"/>
      <c r="AF80" s="1">
        <f t="shared" ca="1" si="88"/>
        <v>0.85827480784939858</v>
      </c>
      <c r="AG80" s="1">
        <f t="shared" ca="1" si="89"/>
        <v>251</v>
      </c>
      <c r="AH80" s="1">
        <f t="shared" ca="1" si="90"/>
        <v>6.8111749435815203E-4</v>
      </c>
      <c r="AJ80" s="1">
        <f t="shared" ca="1" si="91"/>
        <v>0.31458699666646339</v>
      </c>
      <c r="AK80" s="1">
        <f t="shared" ca="1" si="92"/>
        <v>4.3472646040242351E-3</v>
      </c>
      <c r="AL80" s="1"/>
      <c r="AM80" s="1">
        <f t="shared" ca="1" si="93"/>
        <v>9.7236943565969222E-2</v>
      </c>
      <c r="AN80" s="1">
        <f t="shared" ca="1" si="94"/>
        <v>17</v>
      </c>
      <c r="AO80" s="1">
        <f t="shared" ca="1" si="95"/>
        <v>2</v>
      </c>
      <c r="AQ80" s="1">
        <f t="shared" ca="1" si="96"/>
        <v>17</v>
      </c>
      <c r="AR80" s="1">
        <f t="shared" ca="1" si="97"/>
        <v>9</v>
      </c>
      <c r="AS80" s="1">
        <f t="shared" ca="1" si="98"/>
        <v>87</v>
      </c>
      <c r="AU80" s="1">
        <f t="shared" ca="1" si="99"/>
        <v>124</v>
      </c>
      <c r="AV80" s="1">
        <f t="shared" ca="1" si="100"/>
        <v>3</v>
      </c>
      <c r="AW80" s="1">
        <f t="shared" ca="1" si="101"/>
        <v>0.17023116885869241</v>
      </c>
      <c r="AY80" s="1">
        <f t="shared" ca="1" si="102"/>
        <v>1.1418577533559289</v>
      </c>
      <c r="AZ80" s="1">
        <f t="shared" ca="1" si="103"/>
        <v>158</v>
      </c>
      <c r="BA80" s="1">
        <f t="shared" ca="1" si="104"/>
        <v>6.2318747863271502E-3</v>
      </c>
      <c r="BG80" s="1">
        <f t="shared" ca="1" si="105"/>
        <v>0.50895175732799791</v>
      </c>
      <c r="BH80" s="1">
        <f t="shared" ca="1" si="106"/>
        <v>8.3051595167072834E-2</v>
      </c>
      <c r="BI80" s="1">
        <f t="shared" ca="1" si="107"/>
        <v>432</v>
      </c>
      <c r="BV80" s="1">
        <f t="shared" ca="1" si="108"/>
        <v>0.66647243861524919</v>
      </c>
      <c r="BW80" s="1">
        <f t="shared" ca="1" si="109"/>
        <v>790</v>
      </c>
      <c r="BX80" s="1">
        <f t="shared" ca="1" si="110"/>
        <v>5.7023176140140099E-3</v>
      </c>
      <c r="BY80" s="1">
        <f t="shared" ca="1" si="111"/>
        <v>6.2492364920893675E-2</v>
      </c>
      <c r="BZ80" s="1">
        <f t="shared" ca="1" si="112"/>
        <v>0.56105821256044974</v>
      </c>
      <c r="CB80" s="1">
        <f t="shared" ca="1" si="113"/>
        <v>351</v>
      </c>
      <c r="CC80" s="1">
        <f t="shared" ca="1" si="114"/>
        <v>4</v>
      </c>
      <c r="CD80" s="1">
        <f t="shared" ca="1" si="115"/>
        <v>1.7129680115066454E-2</v>
      </c>
      <c r="CE80" s="1">
        <f t="shared" ca="1" si="116"/>
        <v>0.81677814515407721</v>
      </c>
      <c r="CF80" s="1">
        <f t="shared" ca="1" si="116"/>
        <v>0.52470356966542342</v>
      </c>
      <c r="CH80" s="3">
        <f t="shared" ca="1" si="117"/>
        <v>0.89091301159160974</v>
      </c>
      <c r="CI80" s="3">
        <f t="shared" ca="1" si="118"/>
        <v>0.24432092453695403</v>
      </c>
      <c r="CJ80" s="3">
        <f t="shared" ca="1" si="119"/>
        <v>1832</v>
      </c>
      <c r="CK80" s="3">
        <f t="shared" ca="1" si="120"/>
        <v>7.4688940107893115E-3</v>
      </c>
      <c r="CL80" s="3">
        <f t="shared" ca="1" si="121"/>
        <v>1</v>
      </c>
      <c r="CM80" s="3"/>
      <c r="CN80" s="1">
        <f t="shared" ca="1" si="122"/>
        <v>9.9089091803539322</v>
      </c>
      <c r="CO80" s="1">
        <f t="shared" ca="1" si="123"/>
        <v>0.37749814309382118</v>
      </c>
      <c r="CP80" s="1">
        <f t="shared" ca="1" si="124"/>
        <v>5</v>
      </c>
      <c r="DH80" s="1">
        <f t="shared" ca="1" si="125"/>
        <v>332</v>
      </c>
      <c r="DI80" s="1">
        <f t="shared" ca="1" si="126"/>
        <v>0.66840706299384678</v>
      </c>
      <c r="DJ80" s="1">
        <f t="shared" ca="1" si="127"/>
        <v>29</v>
      </c>
      <c r="DL80" s="1">
        <f t="shared" ca="1" si="128"/>
        <v>3.7132641825689261E-2</v>
      </c>
      <c r="DM80" s="1">
        <f t="shared" ca="1" si="129"/>
        <v>242</v>
      </c>
      <c r="DN80" s="1">
        <f t="shared" ca="1" si="130"/>
        <v>3</v>
      </c>
    </row>
    <row r="81" spans="2:118" x14ac:dyDescent="0.25">
      <c r="B81">
        <f t="shared" ca="1" si="66"/>
        <v>24</v>
      </c>
      <c r="C81">
        <f t="shared" ca="1" si="67"/>
        <v>7</v>
      </c>
      <c r="D81">
        <f t="shared" ca="1" si="68"/>
        <v>2.959924541027846E-2</v>
      </c>
      <c r="F81" s="1">
        <f t="shared" ca="1" si="69"/>
        <v>17</v>
      </c>
      <c r="G81" s="1">
        <f t="shared" ca="1" si="70"/>
        <v>21</v>
      </c>
      <c r="H81" s="1">
        <f t="shared" ca="1" si="71"/>
        <v>1</v>
      </c>
      <c r="I81" s="1"/>
      <c r="J81" s="1">
        <f t="shared" ca="1" si="72"/>
        <v>11</v>
      </c>
      <c r="K81" s="1">
        <f t="shared" ca="1" si="73"/>
        <v>1.790105006417507</v>
      </c>
      <c r="L81" s="1">
        <f t="shared" ca="1" si="74"/>
        <v>12</v>
      </c>
      <c r="M81" s="1"/>
      <c r="N81" s="1">
        <f t="shared" ca="1" si="75"/>
        <v>285</v>
      </c>
      <c r="O81" s="1">
        <f t="shared" ca="1" si="76"/>
        <v>39</v>
      </c>
      <c r="P81" s="1"/>
      <c r="Q81" s="1">
        <f t="shared" ca="1" si="77"/>
        <v>1.027564463165745</v>
      </c>
      <c r="R81" s="1">
        <f t="shared" ca="1" si="78"/>
        <v>718</v>
      </c>
      <c r="S81" s="1"/>
      <c r="T81" s="1">
        <f t="shared" ca="1" si="79"/>
        <v>3.5838353544733879E-2</v>
      </c>
      <c r="U81" s="1">
        <f t="shared" ca="1" si="80"/>
        <v>343</v>
      </c>
      <c r="V81" s="1">
        <f t="shared" ca="1" si="81"/>
        <v>29</v>
      </c>
      <c r="W81" s="1"/>
      <c r="X81" s="1">
        <f t="shared" ca="1" si="82"/>
        <v>7.6151409861311885</v>
      </c>
      <c r="Y81" s="1">
        <f t="shared" ca="1" si="83"/>
        <v>0.94134650732211766</v>
      </c>
      <c r="Z81" s="1">
        <f t="shared" ca="1" si="84"/>
        <v>1121</v>
      </c>
      <c r="AB81" s="1">
        <f t="shared" ca="1" si="85"/>
        <v>0.57051764845880149</v>
      </c>
      <c r="AC81" s="1">
        <f t="shared" ca="1" si="86"/>
        <v>274</v>
      </c>
      <c r="AD81" s="1">
        <f t="shared" ca="1" si="87"/>
        <v>9.8807648837033694E-3</v>
      </c>
      <c r="AE81" s="1"/>
      <c r="AF81" s="1">
        <f t="shared" ca="1" si="88"/>
        <v>0.44305792644042741</v>
      </c>
      <c r="AG81" s="1">
        <f t="shared" ca="1" si="89"/>
        <v>389</v>
      </c>
      <c r="AH81" s="1">
        <f t="shared" ca="1" si="90"/>
        <v>4.5245878726073301E-5</v>
      </c>
      <c r="AJ81" s="1">
        <f t="shared" ca="1" si="91"/>
        <v>0.15384796692532698</v>
      </c>
      <c r="AK81" s="1">
        <f t="shared" ca="1" si="92"/>
        <v>4.3858953108895406E-3</v>
      </c>
      <c r="AL81" s="1"/>
      <c r="AM81" s="1">
        <f t="shared" ca="1" si="93"/>
        <v>0.16425776642671391</v>
      </c>
      <c r="AN81" s="1">
        <f t="shared" ca="1" si="94"/>
        <v>54</v>
      </c>
      <c r="AO81" s="1">
        <f t="shared" ca="1" si="95"/>
        <v>-1</v>
      </c>
      <c r="AQ81" s="1">
        <f t="shared" ca="1" si="96"/>
        <v>37</v>
      </c>
      <c r="AR81" s="1">
        <f t="shared" ca="1" si="97"/>
        <v>6</v>
      </c>
      <c r="AS81" s="1">
        <f t="shared" ca="1" si="98"/>
        <v>18</v>
      </c>
      <c r="AU81" s="1">
        <f t="shared" ca="1" si="99"/>
        <v>139</v>
      </c>
      <c r="AV81" s="1">
        <f t="shared" ca="1" si="100"/>
        <v>8</v>
      </c>
      <c r="AW81" s="1">
        <f t="shared" ca="1" si="101"/>
        <v>5.4028013607726876E-2</v>
      </c>
      <c r="AY81" s="1">
        <f t="shared" ca="1" si="102"/>
        <v>1.809640491471479</v>
      </c>
      <c r="AZ81" s="1">
        <f t="shared" ca="1" si="103"/>
        <v>336</v>
      </c>
      <c r="BA81" s="1">
        <f t="shared" ca="1" si="104"/>
        <v>2.2879754079900881E-3</v>
      </c>
      <c r="BG81" s="1">
        <f t="shared" ca="1" si="105"/>
        <v>0.34992767426673455</v>
      </c>
      <c r="BH81" s="1">
        <f t="shared" ca="1" si="106"/>
        <v>0.53118274064904847</v>
      </c>
      <c r="BI81" s="1">
        <f t="shared" ca="1" si="107"/>
        <v>175</v>
      </c>
      <c r="BV81" s="1">
        <f t="shared" ca="1" si="108"/>
        <v>0.4849002155024314</v>
      </c>
      <c r="BW81" s="1">
        <f t="shared" ca="1" si="109"/>
        <v>908</v>
      </c>
      <c r="BX81" s="1">
        <f t="shared" ca="1" si="110"/>
        <v>3.3366177964024146E-3</v>
      </c>
      <c r="BY81" s="1">
        <f t="shared" ca="1" si="111"/>
        <v>1.2065433235710809E-2</v>
      </c>
      <c r="BZ81" s="1">
        <f t="shared" ca="1" si="112"/>
        <v>0.76957589656121883</v>
      </c>
      <c r="CB81" s="1">
        <f t="shared" ca="1" si="113"/>
        <v>268</v>
      </c>
      <c r="CC81" s="1">
        <f t="shared" ca="1" si="114"/>
        <v>7</v>
      </c>
      <c r="CD81" s="1">
        <f t="shared" ca="1" si="115"/>
        <v>0.13862847496441125</v>
      </c>
      <c r="CE81" s="1">
        <f t="shared" ca="1" si="116"/>
        <v>0.56439748252391575</v>
      </c>
      <c r="CF81" s="1">
        <f t="shared" ca="1" si="116"/>
        <v>0.71528443203626335</v>
      </c>
      <c r="CH81" s="3">
        <f t="shared" ca="1" si="117"/>
        <v>0.38781758311218456</v>
      </c>
      <c r="CI81" s="3">
        <f t="shared" ca="1" si="118"/>
        <v>0.76003352043986427</v>
      </c>
      <c r="CJ81" s="3">
        <f t="shared" ca="1" si="119"/>
        <v>837</v>
      </c>
      <c r="CK81" s="3">
        <f t="shared" ca="1" si="120"/>
        <v>3.311102515280751E-3</v>
      </c>
      <c r="CL81" s="3">
        <f t="shared" ca="1" si="121"/>
        <v>0</v>
      </c>
      <c r="CM81" s="3"/>
      <c r="CN81" s="1">
        <f t="shared" ca="1" si="122"/>
        <v>15.419266986198572</v>
      </c>
      <c r="CO81" s="1">
        <f t="shared" ca="1" si="123"/>
        <v>7.3060254714121475E-2</v>
      </c>
      <c r="CP81" s="1">
        <f t="shared" ca="1" si="124"/>
        <v>4</v>
      </c>
      <c r="DH81" s="1">
        <f t="shared" ca="1" si="125"/>
        <v>184</v>
      </c>
      <c r="DI81" s="1">
        <f t="shared" ca="1" si="126"/>
        <v>0.78815530107833875</v>
      </c>
      <c r="DJ81" s="1">
        <f t="shared" ca="1" si="127"/>
        <v>13</v>
      </c>
      <c r="DL81" s="1">
        <f t="shared" ca="1" si="128"/>
        <v>6.133395822330967E-2</v>
      </c>
      <c r="DM81" s="1">
        <f t="shared" ca="1" si="129"/>
        <v>271</v>
      </c>
      <c r="DN81" s="1">
        <f t="shared" ca="1" si="130"/>
        <v>9</v>
      </c>
    </row>
    <row r="82" spans="2:118" x14ac:dyDescent="0.25">
      <c r="B82">
        <f t="shared" ca="1" si="66"/>
        <v>591</v>
      </c>
      <c r="C82">
        <f t="shared" ca="1" si="67"/>
        <v>32</v>
      </c>
      <c r="D82">
        <f t="shared" ca="1" si="68"/>
        <v>8.0202040973926123E-2</v>
      </c>
      <c r="F82" s="1">
        <f t="shared" ca="1" si="69"/>
        <v>13</v>
      </c>
      <c r="G82" s="1">
        <f t="shared" ca="1" si="70"/>
        <v>19</v>
      </c>
      <c r="H82" s="1">
        <f t="shared" ca="1" si="71"/>
        <v>5</v>
      </c>
      <c r="I82" s="1"/>
      <c r="J82" s="1">
        <f t="shared" ca="1" si="72"/>
        <v>25</v>
      </c>
      <c r="K82" s="1">
        <f t="shared" ca="1" si="73"/>
        <v>2.2108337722174882</v>
      </c>
      <c r="L82" s="1">
        <f t="shared" ca="1" si="74"/>
        <v>24</v>
      </c>
      <c r="M82" s="1"/>
      <c r="N82" s="1">
        <f t="shared" ca="1" si="75"/>
        <v>124</v>
      </c>
      <c r="O82" s="1">
        <f t="shared" ca="1" si="76"/>
        <v>39</v>
      </c>
      <c r="P82" s="1"/>
      <c r="Q82" s="1">
        <f t="shared" ca="1" si="77"/>
        <v>3.8870075242945701</v>
      </c>
      <c r="R82" s="1">
        <f t="shared" ca="1" si="78"/>
        <v>456</v>
      </c>
      <c r="S82" s="1"/>
      <c r="T82" s="1">
        <f t="shared" ca="1" si="79"/>
        <v>8.5225362466361004E-2</v>
      </c>
      <c r="U82" s="1">
        <f t="shared" ca="1" si="80"/>
        <v>336</v>
      </c>
      <c r="V82" s="1">
        <f t="shared" ca="1" si="81"/>
        <v>52</v>
      </c>
      <c r="W82" s="1"/>
      <c r="X82" s="1">
        <f t="shared" ca="1" si="82"/>
        <v>4.9106071199284873</v>
      </c>
      <c r="Y82" s="1">
        <f t="shared" ca="1" si="83"/>
        <v>0.50545731841758512</v>
      </c>
      <c r="Z82" s="1">
        <f t="shared" ca="1" si="84"/>
        <v>1196</v>
      </c>
      <c r="AB82" s="1">
        <f t="shared" ca="1" si="85"/>
        <v>0.6044288619829693</v>
      </c>
      <c r="AC82" s="1">
        <f t="shared" ca="1" si="86"/>
        <v>802</v>
      </c>
      <c r="AD82" s="1">
        <f t="shared" ca="1" si="87"/>
        <v>6.6431843766929267E-3</v>
      </c>
      <c r="AE82" s="1"/>
      <c r="AF82" s="1">
        <f t="shared" ca="1" si="88"/>
        <v>0.88382229429424475</v>
      </c>
      <c r="AG82" s="1">
        <f t="shared" ca="1" si="89"/>
        <v>470</v>
      </c>
      <c r="AH82" s="1">
        <f t="shared" ca="1" si="90"/>
        <v>2.1920402289729484E-3</v>
      </c>
      <c r="AJ82" s="1">
        <f t="shared" ca="1" si="91"/>
        <v>0.13329689436329162</v>
      </c>
      <c r="AK82" s="1">
        <f t="shared" ca="1" si="92"/>
        <v>6.0989520313261339E-3</v>
      </c>
      <c r="AL82" s="1"/>
      <c r="AM82" s="1">
        <f t="shared" ca="1" si="93"/>
        <v>2.2837917802795971E-2</v>
      </c>
      <c r="AN82" s="1">
        <f t="shared" ca="1" si="94"/>
        <v>34</v>
      </c>
      <c r="AO82" s="1">
        <f t="shared" ca="1" si="95"/>
        <v>5</v>
      </c>
      <c r="AQ82" s="1">
        <f t="shared" ca="1" si="96"/>
        <v>26</v>
      </c>
      <c r="AR82" s="1">
        <f t="shared" ca="1" si="97"/>
        <v>0</v>
      </c>
      <c r="AS82" s="1">
        <f t="shared" ca="1" si="98"/>
        <v>97</v>
      </c>
      <c r="AU82" s="1">
        <f t="shared" ca="1" si="99"/>
        <v>385</v>
      </c>
      <c r="AV82" s="1">
        <f t="shared" ca="1" si="100"/>
        <v>7</v>
      </c>
      <c r="AW82" s="1">
        <f t="shared" ca="1" si="101"/>
        <v>6.8282630401066594E-2</v>
      </c>
      <c r="AY82" s="1">
        <f t="shared" ca="1" si="102"/>
        <v>1.2248174763963826</v>
      </c>
      <c r="AZ82" s="1">
        <f t="shared" ca="1" si="103"/>
        <v>390</v>
      </c>
      <c r="BA82" s="1">
        <f t="shared" ca="1" si="104"/>
        <v>6.5525611090166448E-3</v>
      </c>
      <c r="BG82" s="1">
        <f t="shared" ca="1" si="105"/>
        <v>0.834860198917728</v>
      </c>
      <c r="BH82" s="1">
        <f t="shared" ca="1" si="106"/>
        <v>0.85495380113537767</v>
      </c>
      <c r="BI82" s="1">
        <f t="shared" ca="1" si="107"/>
        <v>448</v>
      </c>
      <c r="BV82" s="1">
        <f t="shared" ca="1" si="108"/>
        <v>0.8885199262831136</v>
      </c>
      <c r="BW82" s="1">
        <f t="shared" ca="1" si="109"/>
        <v>634</v>
      </c>
      <c r="BX82" s="1">
        <f t="shared" ca="1" si="110"/>
        <v>5.0949007217679105E-3</v>
      </c>
      <c r="BY82" s="1">
        <f t="shared" ca="1" si="111"/>
        <v>8.3274102642240638E-2</v>
      </c>
      <c r="BZ82" s="1">
        <f t="shared" ca="1" si="112"/>
        <v>0.9588446709867271</v>
      </c>
      <c r="CB82" s="1">
        <f t="shared" ca="1" si="113"/>
        <v>449</v>
      </c>
      <c r="CC82" s="1">
        <f t="shared" ca="1" si="114"/>
        <v>15</v>
      </c>
      <c r="CD82" s="1">
        <f t="shared" ca="1" si="115"/>
        <v>0.26776845810241762</v>
      </c>
      <c r="CE82" s="1">
        <f t="shared" ca="1" si="116"/>
        <v>0.91604162782881215</v>
      </c>
      <c r="CF82" s="1">
        <f t="shared" ca="1" si="116"/>
        <v>0.84077906493842058</v>
      </c>
      <c r="CH82" s="3">
        <f t="shared" ca="1" si="117"/>
        <v>0.48696496856314425</v>
      </c>
      <c r="CI82" s="3">
        <f t="shared" ca="1" si="118"/>
        <v>0.43541587054581671</v>
      </c>
      <c r="CJ82" s="3">
        <f t="shared" ca="1" si="119"/>
        <v>214</v>
      </c>
      <c r="CK82" s="3">
        <f t="shared" ca="1" si="120"/>
        <v>8.4642579896749559E-3</v>
      </c>
      <c r="CL82" s="3">
        <f t="shared" ca="1" si="121"/>
        <v>0</v>
      </c>
      <c r="CM82" s="3"/>
      <c r="CN82" s="1">
        <f t="shared" ca="1" si="122"/>
        <v>15.31236100183358</v>
      </c>
      <c r="CO82" s="1">
        <f t="shared" ca="1" si="123"/>
        <v>0.21112993615389211</v>
      </c>
      <c r="CP82" s="1">
        <f t="shared" ca="1" si="124"/>
        <v>5</v>
      </c>
      <c r="DH82" s="1">
        <f t="shared" ca="1" si="125"/>
        <v>884</v>
      </c>
      <c r="DI82" s="1">
        <f t="shared" ca="1" si="126"/>
        <v>0.13351684910359723</v>
      </c>
      <c r="DJ82" s="1">
        <f t="shared" ca="1" si="127"/>
        <v>13</v>
      </c>
      <c r="DL82" s="1">
        <f t="shared" ca="1" si="128"/>
        <v>4.6818314395811911E-2</v>
      </c>
      <c r="DM82" s="1">
        <f t="shared" ca="1" si="129"/>
        <v>227</v>
      </c>
      <c r="DN82" s="1">
        <f t="shared" ca="1" si="130"/>
        <v>6</v>
      </c>
    </row>
    <row r="83" spans="2:118" x14ac:dyDescent="0.25">
      <c r="B83">
        <f t="shared" ca="1" si="66"/>
        <v>151</v>
      </c>
      <c r="C83">
        <f t="shared" ca="1" si="67"/>
        <v>14</v>
      </c>
      <c r="D83">
        <f t="shared" ca="1" si="68"/>
        <v>1.3280784317409176E-2</v>
      </c>
      <c r="F83" s="1">
        <f t="shared" ca="1" si="69"/>
        <v>23</v>
      </c>
      <c r="G83" s="1">
        <f t="shared" ca="1" si="70"/>
        <v>27</v>
      </c>
      <c r="H83" s="1">
        <f t="shared" ca="1" si="71"/>
        <v>2</v>
      </c>
      <c r="I83" s="1"/>
      <c r="J83" s="1">
        <f t="shared" ca="1" si="72"/>
        <v>20</v>
      </c>
      <c r="K83" s="1">
        <f t="shared" ca="1" si="73"/>
        <v>2.8043310224971627</v>
      </c>
      <c r="L83" s="1">
        <f t="shared" ca="1" si="74"/>
        <v>23</v>
      </c>
      <c r="M83" s="1"/>
      <c r="N83" s="1">
        <f t="shared" ca="1" si="75"/>
        <v>17</v>
      </c>
      <c r="O83" s="1">
        <f t="shared" ca="1" si="76"/>
        <v>16</v>
      </c>
      <c r="P83" s="1"/>
      <c r="Q83" s="1">
        <f t="shared" ca="1" si="77"/>
        <v>1.5298276510381357</v>
      </c>
      <c r="R83" s="1">
        <f t="shared" ca="1" si="78"/>
        <v>889</v>
      </c>
      <c r="S83" s="1"/>
      <c r="T83" s="1">
        <f t="shared" ca="1" si="79"/>
        <v>0.19978043001411463</v>
      </c>
      <c r="U83" s="1">
        <f t="shared" ca="1" si="80"/>
        <v>299</v>
      </c>
      <c r="V83" s="1">
        <f t="shared" ca="1" si="81"/>
        <v>30</v>
      </c>
      <c r="W83" s="1"/>
      <c r="X83" s="1">
        <f t="shared" ca="1" si="82"/>
        <v>7.1544450174681575</v>
      </c>
      <c r="Y83" s="1">
        <f t="shared" ca="1" si="83"/>
        <v>0.19568825438165249</v>
      </c>
      <c r="Z83" s="1">
        <f t="shared" ca="1" si="84"/>
        <v>839</v>
      </c>
      <c r="AB83" s="1">
        <f t="shared" ca="1" si="85"/>
        <v>0.81814166444900727</v>
      </c>
      <c r="AC83" s="1">
        <f t="shared" ca="1" si="86"/>
        <v>375</v>
      </c>
      <c r="AD83" s="1">
        <f t="shared" ca="1" si="87"/>
        <v>4.4851505783309745E-3</v>
      </c>
      <c r="AE83" s="1"/>
      <c r="AF83" s="1">
        <f t="shared" ca="1" si="88"/>
        <v>0.33600926328902259</v>
      </c>
      <c r="AG83" s="1">
        <f t="shared" ca="1" si="89"/>
        <v>509</v>
      </c>
      <c r="AH83" s="1">
        <f t="shared" ca="1" si="90"/>
        <v>5.8106105353889475E-3</v>
      </c>
      <c r="AJ83" s="1">
        <f t="shared" ca="1" si="91"/>
        <v>0.45351255384657085</v>
      </c>
      <c r="AK83" s="1">
        <f t="shared" ca="1" si="92"/>
        <v>8.8877334169018742E-3</v>
      </c>
      <c r="AL83" s="1"/>
      <c r="AM83" s="1">
        <f t="shared" ca="1" si="93"/>
        <v>0.17709274058565658</v>
      </c>
      <c r="AN83" s="1">
        <f t="shared" ca="1" si="94"/>
        <v>48</v>
      </c>
      <c r="AO83" s="1">
        <f t="shared" ca="1" si="95"/>
        <v>7</v>
      </c>
      <c r="AQ83" s="1">
        <f t="shared" ca="1" si="96"/>
        <v>189</v>
      </c>
      <c r="AR83" s="1">
        <f t="shared" ca="1" si="97"/>
        <v>8</v>
      </c>
      <c r="AS83" s="1">
        <f t="shared" ca="1" si="98"/>
        <v>39</v>
      </c>
      <c r="AU83" s="1">
        <f t="shared" ca="1" si="99"/>
        <v>74</v>
      </c>
      <c r="AV83" s="1">
        <f t="shared" ca="1" si="100"/>
        <v>8</v>
      </c>
      <c r="AW83" s="1">
        <f t="shared" ca="1" si="101"/>
        <v>0.13686677909046743</v>
      </c>
      <c r="AY83" s="1">
        <f t="shared" ca="1" si="102"/>
        <v>1.975035791306498</v>
      </c>
      <c r="AZ83" s="1">
        <f t="shared" ca="1" si="103"/>
        <v>208</v>
      </c>
      <c r="BA83" s="1">
        <f t="shared" ca="1" si="104"/>
        <v>5.029862258353889E-3</v>
      </c>
      <c r="BG83" s="1">
        <f t="shared" ca="1" si="105"/>
        <v>0.96832634322466504</v>
      </c>
      <c r="BH83" s="1">
        <f t="shared" ca="1" si="106"/>
        <v>0.63594586693275845</v>
      </c>
      <c r="BI83" s="1">
        <f t="shared" ca="1" si="107"/>
        <v>684</v>
      </c>
      <c r="BV83" s="1">
        <f t="shared" ca="1" si="108"/>
        <v>0.28023492311414677</v>
      </c>
      <c r="BW83" s="1">
        <f t="shared" ca="1" si="109"/>
        <v>918</v>
      </c>
      <c r="BX83" s="1">
        <f t="shared" ca="1" si="110"/>
        <v>7.7155360685382084E-3</v>
      </c>
      <c r="BY83" s="1">
        <f t="shared" ca="1" si="111"/>
        <v>8.5100922940338133E-3</v>
      </c>
      <c r="BZ83" s="1">
        <f t="shared" ca="1" si="112"/>
        <v>0.32605133442547241</v>
      </c>
      <c r="CB83" s="1">
        <f t="shared" ca="1" si="113"/>
        <v>223</v>
      </c>
      <c r="CC83" s="1">
        <f t="shared" ca="1" si="114"/>
        <v>5</v>
      </c>
      <c r="CD83" s="1">
        <f t="shared" ca="1" si="115"/>
        <v>0.25503628770329312</v>
      </c>
      <c r="CE83" s="1">
        <f t="shared" ca="1" si="116"/>
        <v>0.99640028903806277</v>
      </c>
      <c r="CF83" s="1">
        <f t="shared" ca="1" si="116"/>
        <v>0.56242458820113006</v>
      </c>
      <c r="CH83" s="3">
        <f t="shared" ca="1" si="117"/>
        <v>0.74676564517493316</v>
      </c>
      <c r="CI83" s="3">
        <f t="shared" ca="1" si="118"/>
        <v>0.2365147858246007</v>
      </c>
      <c r="CJ83" s="3">
        <f t="shared" ca="1" si="119"/>
        <v>305</v>
      </c>
      <c r="CK83" s="3">
        <f t="shared" ca="1" si="120"/>
        <v>5.8405203375378953E-3</v>
      </c>
      <c r="CL83" s="3">
        <f t="shared" ca="1" si="121"/>
        <v>0</v>
      </c>
      <c r="CM83" s="3"/>
      <c r="CN83" s="1">
        <f t="shared" ca="1" si="122"/>
        <v>11.816087441544425</v>
      </c>
      <c r="CO83" s="1">
        <f t="shared" ca="1" si="123"/>
        <v>2.7635032000486545E-2</v>
      </c>
      <c r="CP83" s="1">
        <f t="shared" ca="1" si="124"/>
        <v>4</v>
      </c>
      <c r="DH83" s="1">
        <f t="shared" ca="1" si="125"/>
        <v>680</v>
      </c>
      <c r="DI83" s="1">
        <f t="shared" ca="1" si="126"/>
        <v>0.95883758918267847</v>
      </c>
      <c r="DJ83" s="1">
        <f t="shared" ca="1" si="127"/>
        <v>21</v>
      </c>
      <c r="DL83" s="1">
        <f t="shared" ca="1" si="128"/>
        <v>1.2476172978196254E-2</v>
      </c>
      <c r="DM83" s="1">
        <f t="shared" ca="1" si="129"/>
        <v>59</v>
      </c>
      <c r="DN83" s="1">
        <f t="shared" ca="1" si="130"/>
        <v>9</v>
      </c>
    </row>
    <row r="84" spans="2:118" x14ac:dyDescent="0.25">
      <c r="B84">
        <f t="shared" ca="1" si="66"/>
        <v>347</v>
      </c>
      <c r="C84">
        <f t="shared" ca="1" si="67"/>
        <v>17</v>
      </c>
      <c r="D84">
        <f t="shared" ca="1" si="68"/>
        <v>0.26758807786288685</v>
      </c>
      <c r="F84" s="1">
        <f t="shared" ca="1" si="69"/>
        <v>45</v>
      </c>
      <c r="G84" s="1">
        <f t="shared" ca="1" si="70"/>
        <v>26</v>
      </c>
      <c r="H84" s="1">
        <f t="shared" ca="1" si="71"/>
        <v>1</v>
      </c>
      <c r="I84" s="1"/>
      <c r="J84" s="1">
        <f t="shared" ca="1" si="72"/>
        <v>15</v>
      </c>
      <c r="K84" s="1">
        <f t="shared" ca="1" si="73"/>
        <v>1.3227777273580525</v>
      </c>
      <c r="L84" s="1">
        <f t="shared" ca="1" si="74"/>
        <v>21</v>
      </c>
      <c r="M84" s="1"/>
      <c r="N84" s="1">
        <f t="shared" ca="1" si="75"/>
        <v>784</v>
      </c>
      <c r="O84" s="1">
        <f t="shared" ca="1" si="76"/>
        <v>3</v>
      </c>
      <c r="P84" s="1"/>
      <c r="Q84" s="1">
        <f t="shared" ca="1" si="77"/>
        <v>4.5300584871566629</v>
      </c>
      <c r="R84" s="1">
        <f t="shared" ca="1" si="78"/>
        <v>393</v>
      </c>
      <c r="S84" s="1"/>
      <c r="T84" s="1">
        <f t="shared" ca="1" si="79"/>
        <v>0.17677818214925828</v>
      </c>
      <c r="U84" s="1">
        <f t="shared" ca="1" si="80"/>
        <v>343</v>
      </c>
      <c r="V84" s="1">
        <f t="shared" ca="1" si="81"/>
        <v>43</v>
      </c>
      <c r="W84" s="1"/>
      <c r="X84" s="1">
        <f t="shared" ca="1" si="82"/>
        <v>4.6198378706003123</v>
      </c>
      <c r="Y84" s="1">
        <f t="shared" ca="1" si="83"/>
        <v>0.90692141491852196</v>
      </c>
      <c r="Z84" s="1">
        <f t="shared" ca="1" si="84"/>
        <v>671</v>
      </c>
      <c r="AB84" s="1">
        <f t="shared" ca="1" si="85"/>
        <v>0.97250351574096239</v>
      </c>
      <c r="AC84" s="1">
        <f t="shared" ca="1" si="86"/>
        <v>262</v>
      </c>
      <c r="AD84" s="1">
        <f t="shared" ca="1" si="87"/>
        <v>4.8972616057933684E-4</v>
      </c>
      <c r="AE84" s="1"/>
      <c r="AF84" s="1">
        <f t="shared" ca="1" si="88"/>
        <v>0.27374498724192653</v>
      </c>
      <c r="AG84" s="1">
        <f t="shared" ca="1" si="89"/>
        <v>688</v>
      </c>
      <c r="AH84" s="1">
        <f t="shared" ca="1" si="90"/>
        <v>2.3895932108793541E-3</v>
      </c>
      <c r="AJ84" s="1">
        <f t="shared" ca="1" si="91"/>
        <v>0.59552023092178086</v>
      </c>
      <c r="AK84" s="1">
        <f t="shared" ca="1" si="92"/>
        <v>6.2271074736206704E-3</v>
      </c>
      <c r="AL84" s="1"/>
      <c r="AM84" s="1">
        <f t="shared" ca="1" si="93"/>
        <v>1.5894398765096691E-2</v>
      </c>
      <c r="AN84" s="1">
        <f t="shared" ca="1" si="94"/>
        <v>15</v>
      </c>
      <c r="AO84" s="1">
        <f t="shared" ca="1" si="95"/>
        <v>15</v>
      </c>
      <c r="AQ84" s="1">
        <f t="shared" ca="1" si="96"/>
        <v>140</v>
      </c>
      <c r="AR84" s="1">
        <f t="shared" ca="1" si="97"/>
        <v>0</v>
      </c>
      <c r="AS84" s="1">
        <f t="shared" ca="1" si="98"/>
        <v>56</v>
      </c>
      <c r="AU84" s="1">
        <f t="shared" ca="1" si="99"/>
        <v>177</v>
      </c>
      <c r="AV84" s="1">
        <f t="shared" ca="1" si="100"/>
        <v>5</v>
      </c>
      <c r="AW84" s="1">
        <f t="shared" ca="1" si="101"/>
        <v>3.739524828033744E-2</v>
      </c>
      <c r="AY84" s="1">
        <f t="shared" ca="1" si="102"/>
        <v>1.3062082915090882</v>
      </c>
      <c r="AZ84" s="1">
        <f t="shared" ca="1" si="103"/>
        <v>254</v>
      </c>
      <c r="BA84" s="1">
        <f t="shared" ca="1" si="104"/>
        <v>1.7458395968660968E-3</v>
      </c>
      <c r="BG84" s="1">
        <f t="shared" ca="1" si="105"/>
        <v>0.38473516946492903</v>
      </c>
      <c r="BH84" s="1">
        <f t="shared" ca="1" si="106"/>
        <v>0.60598847941247758</v>
      </c>
      <c r="BI84" s="1">
        <f t="shared" ca="1" si="107"/>
        <v>487</v>
      </c>
      <c r="BV84" s="1">
        <f t="shared" ca="1" si="108"/>
        <v>0.80944690426651189</v>
      </c>
      <c r="BW84" s="1">
        <f t="shared" ca="1" si="109"/>
        <v>659</v>
      </c>
      <c r="BX84" s="1">
        <f t="shared" ca="1" si="110"/>
        <v>3.5122849382174888E-4</v>
      </c>
      <c r="BY84" s="1">
        <f t="shared" ca="1" si="111"/>
        <v>1.464038633956917E-2</v>
      </c>
      <c r="BZ84" s="1">
        <f t="shared" ca="1" si="112"/>
        <v>0.40708256158089373</v>
      </c>
      <c r="CB84" s="1">
        <f t="shared" ca="1" si="113"/>
        <v>55</v>
      </c>
      <c r="CC84" s="1">
        <f t="shared" ca="1" si="114"/>
        <v>9</v>
      </c>
      <c r="CD84" s="1">
        <f t="shared" ca="1" si="115"/>
        <v>0.22027934238960128</v>
      </c>
      <c r="CE84" s="1">
        <f t="shared" ca="1" si="116"/>
        <v>0.8454161552202345</v>
      </c>
      <c r="CF84" s="1">
        <f t="shared" ca="1" si="116"/>
        <v>0.57747019058098981</v>
      </c>
      <c r="CH84" s="3">
        <f t="shared" ca="1" si="117"/>
        <v>0.20255950530554132</v>
      </c>
      <c r="CI84" s="3">
        <f t="shared" ca="1" si="118"/>
        <v>0.38944426164683454</v>
      </c>
      <c r="CJ84" s="3">
        <f t="shared" ca="1" si="119"/>
        <v>402</v>
      </c>
      <c r="CK84" s="3">
        <f t="shared" ca="1" si="120"/>
        <v>6.0347516817034833E-3</v>
      </c>
      <c r="CL84" s="3">
        <f t="shared" ca="1" si="121"/>
        <v>1</v>
      </c>
      <c r="CM84" s="3"/>
      <c r="CN84" s="1">
        <f t="shared" ca="1" si="122"/>
        <v>3.0569226525460071</v>
      </c>
      <c r="CO84" s="1">
        <f t="shared" ca="1" si="123"/>
        <v>5.423982016444668E-2</v>
      </c>
      <c r="CP84" s="1">
        <f t="shared" ca="1" si="124"/>
        <v>4</v>
      </c>
      <c r="DH84" s="1">
        <f t="shared" ca="1" si="125"/>
        <v>664</v>
      </c>
      <c r="DI84" s="1">
        <f t="shared" ca="1" si="126"/>
        <v>0.84331210678677937</v>
      </c>
      <c r="DJ84" s="1">
        <f t="shared" ca="1" si="127"/>
        <v>7</v>
      </c>
      <c r="DL84" s="1">
        <f t="shared" ca="1" si="128"/>
        <v>0.10770875590856706</v>
      </c>
      <c r="DM84" s="1">
        <f t="shared" ca="1" si="129"/>
        <v>226</v>
      </c>
      <c r="DN84" s="1">
        <f t="shared" ca="1" si="130"/>
        <v>10</v>
      </c>
    </row>
    <row r="85" spans="2:118" x14ac:dyDescent="0.25">
      <c r="B85">
        <f t="shared" ca="1" si="66"/>
        <v>965</v>
      </c>
      <c r="C85">
        <f t="shared" ca="1" si="67"/>
        <v>34</v>
      </c>
      <c r="D85">
        <f t="shared" ca="1" si="68"/>
        <v>0.10291138019375548</v>
      </c>
      <c r="F85" s="1">
        <f t="shared" ca="1" si="69"/>
        <v>52</v>
      </c>
      <c r="G85" s="1">
        <f t="shared" ca="1" si="70"/>
        <v>25</v>
      </c>
      <c r="H85" s="1">
        <f t="shared" ca="1" si="71"/>
        <v>5</v>
      </c>
      <c r="I85" s="1"/>
      <c r="J85" s="1">
        <f t="shared" ca="1" si="72"/>
        <v>18</v>
      </c>
      <c r="K85" s="1">
        <f t="shared" ca="1" si="73"/>
        <v>2.6372727156555831</v>
      </c>
      <c r="L85" s="1">
        <f t="shared" ca="1" si="74"/>
        <v>3</v>
      </c>
      <c r="M85" s="1"/>
      <c r="N85" s="1">
        <f t="shared" ca="1" si="75"/>
        <v>684</v>
      </c>
      <c r="O85" s="1">
        <f t="shared" ca="1" si="76"/>
        <v>32</v>
      </c>
      <c r="P85" s="1"/>
      <c r="Q85" s="1">
        <f t="shared" ca="1" si="77"/>
        <v>4.3810027831169478</v>
      </c>
      <c r="R85" s="1">
        <f t="shared" ca="1" si="78"/>
        <v>860</v>
      </c>
      <c r="S85" s="1"/>
      <c r="T85" s="1">
        <f t="shared" ca="1" si="79"/>
        <v>0.14512608833511675</v>
      </c>
      <c r="U85" s="1">
        <f t="shared" ca="1" si="80"/>
        <v>198</v>
      </c>
      <c r="V85" s="1">
        <f t="shared" ca="1" si="81"/>
        <v>11</v>
      </c>
      <c r="W85" s="1"/>
      <c r="X85" s="1">
        <f t="shared" ca="1" si="82"/>
        <v>6.2374511753939084</v>
      </c>
      <c r="Y85" s="1">
        <f t="shared" ca="1" si="83"/>
        <v>0.45675315786349119</v>
      </c>
      <c r="Z85" s="1">
        <f t="shared" ca="1" si="84"/>
        <v>811</v>
      </c>
      <c r="AB85" s="1">
        <f t="shared" ca="1" si="85"/>
        <v>2.9679223126307792E-2</v>
      </c>
      <c r="AC85" s="1">
        <f t="shared" ca="1" si="86"/>
        <v>223</v>
      </c>
      <c r="AD85" s="1">
        <f t="shared" ca="1" si="87"/>
        <v>3.4218526519302545E-3</v>
      </c>
      <c r="AE85" s="1"/>
      <c r="AF85" s="1">
        <f t="shared" ca="1" si="88"/>
        <v>0.70489723583831443</v>
      </c>
      <c r="AG85" s="1">
        <f t="shared" ca="1" si="89"/>
        <v>965</v>
      </c>
      <c r="AH85" s="1">
        <f t="shared" ca="1" si="90"/>
        <v>5.9931449165497187E-3</v>
      </c>
      <c r="AJ85" s="1">
        <f t="shared" ca="1" si="91"/>
        <v>0.89490390714104395</v>
      </c>
      <c r="AK85" s="1">
        <f t="shared" ca="1" si="92"/>
        <v>4.6968945992042904E-3</v>
      </c>
      <c r="AL85" s="1"/>
      <c r="AM85" s="1">
        <f t="shared" ca="1" si="93"/>
        <v>0.12264976404164535</v>
      </c>
      <c r="AN85" s="1">
        <f t="shared" ca="1" si="94"/>
        <v>49</v>
      </c>
      <c r="AO85" s="1">
        <f t="shared" ca="1" si="95"/>
        <v>7</v>
      </c>
      <c r="AQ85" s="1">
        <f t="shared" ca="1" si="96"/>
        <v>74</v>
      </c>
      <c r="AR85" s="1">
        <f t="shared" ca="1" si="97"/>
        <v>9</v>
      </c>
      <c r="AS85" s="1">
        <f t="shared" ca="1" si="98"/>
        <v>80</v>
      </c>
      <c r="AU85" s="1">
        <f t="shared" ca="1" si="99"/>
        <v>235</v>
      </c>
      <c r="AV85" s="1">
        <f t="shared" ca="1" si="100"/>
        <v>5</v>
      </c>
      <c r="AW85" s="1">
        <f t="shared" ca="1" si="101"/>
        <v>0.15661337410076259</v>
      </c>
      <c r="AY85" s="1">
        <f t="shared" ca="1" si="102"/>
        <v>1.4298195486046748</v>
      </c>
      <c r="AZ85" s="1">
        <f t="shared" ca="1" si="103"/>
        <v>439</v>
      </c>
      <c r="BA85" s="1">
        <f t="shared" ca="1" si="104"/>
        <v>1.498311406943109E-3</v>
      </c>
      <c r="BG85" s="1">
        <f t="shared" ca="1" si="105"/>
        <v>0.30495421207020146</v>
      </c>
      <c r="BH85" s="1">
        <f t="shared" ca="1" si="106"/>
        <v>0.77231171254857045</v>
      </c>
      <c r="BI85" s="1">
        <f t="shared" ca="1" si="107"/>
        <v>368</v>
      </c>
      <c r="BV85" s="1">
        <f t="shared" ca="1" si="108"/>
        <v>0.61591172380306192</v>
      </c>
      <c r="BW85" s="1">
        <f t="shared" ca="1" si="109"/>
        <v>668</v>
      </c>
      <c r="BX85" s="1">
        <f t="shared" ca="1" si="110"/>
        <v>5.1242338745246122E-3</v>
      </c>
      <c r="BY85" s="1">
        <f t="shared" ca="1" si="111"/>
        <v>6.6351578439695788E-2</v>
      </c>
      <c r="BZ85" s="1">
        <f t="shared" ca="1" si="112"/>
        <v>0.43608794645144133</v>
      </c>
      <c r="CB85" s="1">
        <f t="shared" ca="1" si="113"/>
        <v>299</v>
      </c>
      <c r="CC85" s="1">
        <f t="shared" ca="1" si="114"/>
        <v>7</v>
      </c>
      <c r="CD85" s="1">
        <f t="shared" ca="1" si="115"/>
        <v>0.12700997047762239</v>
      </c>
      <c r="CE85" s="1">
        <f t="shared" ca="1" si="116"/>
        <v>0.64841760818430294</v>
      </c>
      <c r="CF85" s="1">
        <f t="shared" ca="1" si="116"/>
        <v>0.86265853893152222</v>
      </c>
      <c r="CH85" s="3">
        <f t="shared" ca="1" si="117"/>
        <v>0.97160284387746931</v>
      </c>
      <c r="CI85" s="3">
        <f t="shared" ca="1" si="118"/>
        <v>0.45554876306172198</v>
      </c>
      <c r="CJ85" s="3">
        <f t="shared" ca="1" si="119"/>
        <v>603</v>
      </c>
      <c r="CK85" s="3">
        <f t="shared" ca="1" si="120"/>
        <v>8.8237025723642958E-3</v>
      </c>
      <c r="CL85" s="3">
        <f t="shared" ca="1" si="121"/>
        <v>0</v>
      </c>
      <c r="CM85" s="3"/>
      <c r="CN85" s="1">
        <f t="shared" ca="1" si="122"/>
        <v>16.185672246048966</v>
      </c>
      <c r="CO85" s="1">
        <f t="shared" ca="1" si="123"/>
        <v>0.45528705743369219</v>
      </c>
      <c r="CP85" s="1">
        <f t="shared" ca="1" si="124"/>
        <v>4</v>
      </c>
      <c r="DH85" s="1">
        <f t="shared" ca="1" si="125"/>
        <v>178</v>
      </c>
      <c r="DI85" s="1">
        <f t="shared" ca="1" si="126"/>
        <v>0.84118989054887727</v>
      </c>
      <c r="DJ85" s="1">
        <f t="shared" ca="1" si="127"/>
        <v>23</v>
      </c>
      <c r="DL85" s="1">
        <f t="shared" ca="1" si="128"/>
        <v>4.0058191404918599E-2</v>
      </c>
      <c r="DM85" s="1">
        <f t="shared" ca="1" si="129"/>
        <v>54</v>
      </c>
      <c r="DN85" s="1">
        <f t="shared" ca="1" si="130"/>
        <v>4</v>
      </c>
    </row>
    <row r="86" spans="2:118" x14ac:dyDescent="0.25">
      <c r="B86">
        <f t="shared" ca="1" si="66"/>
        <v>495</v>
      </c>
      <c r="C86">
        <f t="shared" ca="1" si="67"/>
        <v>5</v>
      </c>
      <c r="D86">
        <f t="shared" ca="1" si="68"/>
        <v>0.29297087064945843</v>
      </c>
      <c r="F86" s="1">
        <f t="shared" ca="1" si="69"/>
        <v>9</v>
      </c>
      <c r="G86" s="1">
        <f t="shared" ca="1" si="70"/>
        <v>15</v>
      </c>
      <c r="H86" s="1">
        <f t="shared" ca="1" si="71"/>
        <v>1</v>
      </c>
      <c r="I86" s="1"/>
      <c r="J86" s="1">
        <f t="shared" ca="1" si="72"/>
        <v>28</v>
      </c>
      <c r="K86" s="1">
        <f t="shared" ca="1" si="73"/>
        <v>2.8832634248823954</v>
      </c>
      <c r="L86" s="1">
        <f t="shared" ca="1" si="74"/>
        <v>3</v>
      </c>
      <c r="M86" s="1"/>
      <c r="N86" s="1">
        <f t="shared" ca="1" si="75"/>
        <v>867</v>
      </c>
      <c r="O86" s="1">
        <f t="shared" ca="1" si="76"/>
        <v>48</v>
      </c>
      <c r="P86" s="1"/>
      <c r="Q86" s="1">
        <f t="shared" ca="1" si="77"/>
        <v>0.38788533963014982</v>
      </c>
      <c r="R86" s="1">
        <f t="shared" ca="1" si="78"/>
        <v>440</v>
      </c>
      <c r="S86" s="1"/>
      <c r="T86" s="1">
        <f t="shared" ca="1" si="79"/>
        <v>0.16800174468369553</v>
      </c>
      <c r="U86" s="1">
        <f t="shared" ca="1" si="80"/>
        <v>278</v>
      </c>
      <c r="V86" s="1">
        <f t="shared" ca="1" si="81"/>
        <v>11</v>
      </c>
      <c r="W86" s="1"/>
      <c r="X86" s="1">
        <f t="shared" ca="1" si="82"/>
        <v>6.6307430521304616</v>
      </c>
      <c r="Y86" s="1">
        <f t="shared" ca="1" si="83"/>
        <v>0.73731664590141488</v>
      </c>
      <c r="Z86" s="1">
        <f t="shared" ca="1" si="84"/>
        <v>1981</v>
      </c>
      <c r="AB86" s="1">
        <f t="shared" ca="1" si="85"/>
        <v>0.79240308340212162</v>
      </c>
      <c r="AC86" s="1">
        <f t="shared" ca="1" si="86"/>
        <v>949</v>
      </c>
      <c r="AD86" s="1">
        <f t="shared" ca="1" si="87"/>
        <v>3.7254799266479865E-3</v>
      </c>
      <c r="AE86" s="1"/>
      <c r="AF86" s="1">
        <f t="shared" ca="1" si="88"/>
        <v>0.4825173291301571</v>
      </c>
      <c r="AG86" s="1">
        <f t="shared" ca="1" si="89"/>
        <v>865</v>
      </c>
      <c r="AH86" s="1">
        <f t="shared" ca="1" si="90"/>
        <v>7.8557468879757626E-3</v>
      </c>
      <c r="AJ86" s="1">
        <f t="shared" ca="1" si="91"/>
        <v>0.31195585107075241</v>
      </c>
      <c r="AK86" s="1">
        <f t="shared" ca="1" si="92"/>
        <v>6.7657872903357464E-3</v>
      </c>
      <c r="AL86" s="1"/>
      <c r="AM86" s="1">
        <f t="shared" ca="1" si="93"/>
        <v>0.15411499041165627</v>
      </c>
      <c r="AN86" s="1">
        <f t="shared" ca="1" si="94"/>
        <v>78</v>
      </c>
      <c r="AO86" s="1">
        <f t="shared" ca="1" si="95"/>
        <v>10</v>
      </c>
      <c r="AQ86" s="1">
        <f t="shared" ca="1" si="96"/>
        <v>174</v>
      </c>
      <c r="AR86" s="1">
        <f t="shared" ca="1" si="97"/>
        <v>4</v>
      </c>
      <c r="AS86" s="1">
        <f t="shared" ca="1" si="98"/>
        <v>57</v>
      </c>
      <c r="AU86" s="1">
        <f t="shared" ca="1" si="99"/>
        <v>127</v>
      </c>
      <c r="AV86" s="1">
        <f t="shared" ca="1" si="100"/>
        <v>5</v>
      </c>
      <c r="AW86" s="1">
        <f t="shared" ca="1" si="101"/>
        <v>4.3010321408431966E-2</v>
      </c>
      <c r="AY86" s="1">
        <f t="shared" ca="1" si="102"/>
        <v>1.669196028362157</v>
      </c>
      <c r="AZ86" s="1">
        <f t="shared" ca="1" si="103"/>
        <v>127</v>
      </c>
      <c r="BA86" s="1">
        <f t="shared" ca="1" si="104"/>
        <v>2.2167231447640986E-3</v>
      </c>
      <c r="BG86" s="1">
        <f t="shared" ca="1" si="105"/>
        <v>0.69720384107677114</v>
      </c>
      <c r="BH86" s="1">
        <f t="shared" ca="1" si="106"/>
        <v>0.53368308094428674</v>
      </c>
      <c r="BI86" s="1">
        <f t="shared" ca="1" si="107"/>
        <v>803</v>
      </c>
      <c r="BV86" s="1">
        <f t="shared" ca="1" si="108"/>
        <v>0.5782465731031966</v>
      </c>
      <c r="BW86" s="1">
        <f t="shared" ca="1" si="109"/>
        <v>183</v>
      </c>
      <c r="BX86" s="1">
        <f t="shared" ca="1" si="110"/>
        <v>9.439192178952633E-3</v>
      </c>
      <c r="BY86" s="1">
        <f t="shared" ca="1" si="111"/>
        <v>8.8662320659315369E-2</v>
      </c>
      <c r="BZ86" s="1">
        <f t="shared" ca="1" si="112"/>
        <v>0.69648297505855239</v>
      </c>
      <c r="CB86" s="1">
        <f t="shared" ca="1" si="113"/>
        <v>275</v>
      </c>
      <c r="CC86" s="1">
        <f t="shared" ca="1" si="114"/>
        <v>6</v>
      </c>
      <c r="CD86" s="1">
        <f t="shared" ca="1" si="115"/>
        <v>0.19932753995086513</v>
      </c>
      <c r="CE86" s="1">
        <f t="shared" ca="1" si="116"/>
        <v>0.67121695443908924</v>
      </c>
      <c r="CF86" s="1">
        <f t="shared" ca="1" si="116"/>
        <v>0.80291600386331385</v>
      </c>
      <c r="CH86" s="3">
        <f t="shared" ca="1" si="117"/>
        <v>0.26013146201860099</v>
      </c>
      <c r="CI86" s="3">
        <f t="shared" ca="1" si="118"/>
        <v>0.33013904834179053</v>
      </c>
      <c r="CJ86" s="3">
        <f t="shared" ca="1" si="119"/>
        <v>1062</v>
      </c>
      <c r="CK86" s="3">
        <f t="shared" ca="1" si="120"/>
        <v>8.9277620250906176E-3</v>
      </c>
      <c r="CL86" s="3">
        <f t="shared" ca="1" si="121"/>
        <v>1</v>
      </c>
      <c r="CM86" s="3"/>
      <c r="CN86" s="1">
        <f t="shared" ca="1" si="122"/>
        <v>13.45783286111997</v>
      </c>
      <c r="CO86" s="1">
        <f t="shared" ca="1" si="123"/>
        <v>2.4559296468658984E-3</v>
      </c>
      <c r="CP86" s="1">
        <f t="shared" ca="1" si="124"/>
        <v>1</v>
      </c>
      <c r="DH86" s="1">
        <f t="shared" ca="1" si="125"/>
        <v>289</v>
      </c>
      <c r="DI86" s="1">
        <f t="shared" ca="1" si="126"/>
        <v>0.14940922906274415</v>
      </c>
      <c r="DJ86" s="1">
        <f t="shared" ca="1" si="127"/>
        <v>13</v>
      </c>
      <c r="DL86" s="1">
        <f t="shared" ca="1" si="128"/>
        <v>0.15835424423746297</v>
      </c>
      <c r="DM86" s="1">
        <f t="shared" ca="1" si="129"/>
        <v>112</v>
      </c>
      <c r="DN86" s="1">
        <f t="shared" ca="1" si="130"/>
        <v>4</v>
      </c>
    </row>
    <row r="87" spans="2:118" x14ac:dyDescent="0.25">
      <c r="B87">
        <f t="shared" ca="1" si="66"/>
        <v>665</v>
      </c>
      <c r="C87">
        <f t="shared" ca="1" si="67"/>
        <v>23</v>
      </c>
      <c r="D87">
        <f t="shared" ca="1" si="68"/>
        <v>6.9664055762663629E-2</v>
      </c>
      <c r="F87" s="1">
        <f t="shared" ca="1" si="69"/>
        <v>25</v>
      </c>
      <c r="G87" s="1">
        <f t="shared" ca="1" si="70"/>
        <v>8</v>
      </c>
      <c r="H87" s="1">
        <f t="shared" ca="1" si="71"/>
        <v>3</v>
      </c>
      <c r="I87" s="1"/>
      <c r="J87" s="1">
        <f t="shared" ca="1" si="72"/>
        <v>17</v>
      </c>
      <c r="K87" s="1">
        <f t="shared" ca="1" si="73"/>
        <v>1.527901162506019</v>
      </c>
      <c r="L87" s="1">
        <f t="shared" ca="1" si="74"/>
        <v>5</v>
      </c>
      <c r="M87" s="1"/>
      <c r="N87" s="1">
        <f t="shared" ca="1" si="75"/>
        <v>195</v>
      </c>
      <c r="O87" s="1">
        <f t="shared" ca="1" si="76"/>
        <v>24</v>
      </c>
      <c r="P87" s="1"/>
      <c r="Q87" s="1">
        <f t="shared" ca="1" si="77"/>
        <v>1.2770704786806151</v>
      </c>
      <c r="R87" s="1">
        <f t="shared" ca="1" si="78"/>
        <v>387</v>
      </c>
      <c r="S87" s="1"/>
      <c r="T87" s="1">
        <f t="shared" ca="1" si="79"/>
        <v>0.15802344787233555</v>
      </c>
      <c r="U87" s="1">
        <f t="shared" ca="1" si="80"/>
        <v>120</v>
      </c>
      <c r="V87" s="1">
        <f t="shared" ca="1" si="81"/>
        <v>11</v>
      </c>
      <c r="W87" s="1"/>
      <c r="X87" s="1">
        <f t="shared" ca="1" si="82"/>
        <v>4.0766755981548561</v>
      </c>
      <c r="Y87" s="1">
        <f t="shared" ca="1" si="83"/>
        <v>0.51301548742791758</v>
      </c>
      <c r="Z87" s="1">
        <f t="shared" ca="1" si="84"/>
        <v>870</v>
      </c>
      <c r="AB87" s="1">
        <f t="shared" ca="1" si="85"/>
        <v>0.7427449036834548</v>
      </c>
      <c r="AC87" s="1">
        <f t="shared" ca="1" si="86"/>
        <v>115</v>
      </c>
      <c r="AD87" s="1">
        <f t="shared" ca="1" si="87"/>
        <v>9.0262411785938801E-3</v>
      </c>
      <c r="AE87" s="1"/>
      <c r="AF87" s="1">
        <f t="shared" ca="1" si="88"/>
        <v>0.83265810762113712</v>
      </c>
      <c r="AG87" s="1">
        <f t="shared" ca="1" si="89"/>
        <v>795</v>
      </c>
      <c r="AH87" s="1">
        <f t="shared" ca="1" si="90"/>
        <v>2.9705696717851364E-3</v>
      </c>
      <c r="AJ87" s="1">
        <f t="shared" ca="1" si="91"/>
        <v>0.5645054047107757</v>
      </c>
      <c r="AK87" s="1">
        <f t="shared" ca="1" si="92"/>
        <v>3.0288569347229621E-3</v>
      </c>
      <c r="AL87" s="1"/>
      <c r="AM87" s="1">
        <f t="shared" ca="1" si="93"/>
        <v>0.16928577149342097</v>
      </c>
      <c r="AN87" s="1">
        <f t="shared" ca="1" si="94"/>
        <v>57</v>
      </c>
      <c r="AO87" s="1">
        <f t="shared" ca="1" si="95"/>
        <v>7</v>
      </c>
      <c r="AQ87" s="1">
        <f t="shared" ca="1" si="96"/>
        <v>93</v>
      </c>
      <c r="AR87" s="1">
        <f t="shared" ca="1" si="97"/>
        <v>0</v>
      </c>
      <c r="AS87" s="1">
        <f t="shared" ca="1" si="98"/>
        <v>17</v>
      </c>
      <c r="AU87" s="1">
        <f t="shared" ca="1" si="99"/>
        <v>93</v>
      </c>
      <c r="AV87" s="1">
        <f t="shared" ca="1" si="100"/>
        <v>3</v>
      </c>
      <c r="AW87" s="1">
        <f t="shared" ca="1" si="101"/>
        <v>0.10999699716460355</v>
      </c>
      <c r="AY87" s="1">
        <f t="shared" ca="1" si="102"/>
        <v>1.353056122599722</v>
      </c>
      <c r="AZ87" s="1">
        <f t="shared" ca="1" si="103"/>
        <v>405</v>
      </c>
      <c r="BA87" s="1">
        <f t="shared" ca="1" si="104"/>
        <v>2.4307154756533084E-3</v>
      </c>
      <c r="BG87" s="1">
        <f t="shared" ca="1" si="105"/>
        <v>0.10224733527920825</v>
      </c>
      <c r="BH87" s="1">
        <f t="shared" ca="1" si="106"/>
        <v>0.27779407194631933</v>
      </c>
      <c r="BI87" s="1">
        <f t="shared" ca="1" si="107"/>
        <v>119</v>
      </c>
      <c r="BV87" s="1">
        <f t="shared" ca="1" si="108"/>
        <v>0.59231189909684667</v>
      </c>
      <c r="BW87" s="1">
        <f t="shared" ca="1" si="109"/>
        <v>289</v>
      </c>
      <c r="BX87" s="1">
        <f t="shared" ca="1" si="110"/>
        <v>1.6022312672403344E-3</v>
      </c>
      <c r="BY87" s="1">
        <f t="shared" ca="1" si="111"/>
        <v>5.2282345003324342E-2</v>
      </c>
      <c r="BZ87" s="1">
        <f t="shared" ca="1" si="112"/>
        <v>9.5958846952718169E-2</v>
      </c>
      <c r="CB87" s="1">
        <f t="shared" ca="1" si="113"/>
        <v>423</v>
      </c>
      <c r="CC87" s="1">
        <f t="shared" ca="1" si="114"/>
        <v>11</v>
      </c>
      <c r="CD87" s="1">
        <f t="shared" ca="1" si="115"/>
        <v>0.1775921662385192</v>
      </c>
      <c r="CE87" s="1">
        <f t="shared" ca="1" si="116"/>
        <v>0.94934236177223541</v>
      </c>
      <c r="CF87" s="1">
        <f t="shared" ca="1" si="116"/>
        <v>0.57510694538380003</v>
      </c>
      <c r="CH87" s="3">
        <f t="shared" ca="1" si="117"/>
        <v>9.8230610386257883E-2</v>
      </c>
      <c r="CI87" s="3">
        <f t="shared" ca="1" si="118"/>
        <v>0.82806431215284515</v>
      </c>
      <c r="CJ87" s="3">
        <f t="shared" ca="1" si="119"/>
        <v>581</v>
      </c>
      <c r="CK87" s="3">
        <f t="shared" ca="1" si="120"/>
        <v>1.0784418305541635E-3</v>
      </c>
      <c r="CL87" s="3">
        <f t="shared" ca="1" si="121"/>
        <v>0</v>
      </c>
      <c r="CM87" s="3"/>
      <c r="CN87" s="1">
        <f t="shared" ca="1" si="122"/>
        <v>7.615070567012153</v>
      </c>
      <c r="CO87" s="1">
        <f t="shared" ca="1" si="123"/>
        <v>1.7744953883374194E-2</v>
      </c>
      <c r="CP87" s="1">
        <f t="shared" ca="1" si="124"/>
        <v>2</v>
      </c>
      <c r="DH87" s="1">
        <f t="shared" ca="1" si="125"/>
        <v>14</v>
      </c>
      <c r="DI87" s="1">
        <f t="shared" ca="1" si="126"/>
        <v>0.39202902445143978</v>
      </c>
      <c r="DJ87" s="1">
        <f t="shared" ca="1" si="127"/>
        <v>3</v>
      </c>
      <c r="DL87" s="1">
        <f t="shared" ca="1" si="128"/>
        <v>1.9714472642885696E-2</v>
      </c>
      <c r="DM87" s="1">
        <f t="shared" ca="1" si="129"/>
        <v>145</v>
      </c>
      <c r="DN87" s="1">
        <f t="shared" ca="1" si="130"/>
        <v>4</v>
      </c>
    </row>
    <row r="88" spans="2:118" x14ac:dyDescent="0.25">
      <c r="B88">
        <f t="shared" ca="1" si="66"/>
        <v>881</v>
      </c>
      <c r="C88">
        <f t="shared" ca="1" si="67"/>
        <v>8</v>
      </c>
      <c r="D88">
        <f t="shared" ca="1" si="68"/>
        <v>0.17556035402366349</v>
      </c>
      <c r="F88" s="1">
        <f t="shared" ca="1" si="69"/>
        <v>2</v>
      </c>
      <c r="G88" s="1">
        <f t="shared" ca="1" si="70"/>
        <v>17</v>
      </c>
      <c r="H88" s="1">
        <f t="shared" ca="1" si="71"/>
        <v>7</v>
      </c>
      <c r="I88" s="1"/>
      <c r="J88" s="1">
        <f t="shared" ca="1" si="72"/>
        <v>28</v>
      </c>
      <c r="K88" s="1">
        <f t="shared" ca="1" si="73"/>
        <v>2.392989162622551</v>
      </c>
      <c r="L88" s="1">
        <f t="shared" ca="1" si="74"/>
        <v>35</v>
      </c>
      <c r="M88" s="1"/>
      <c r="N88" s="1">
        <f t="shared" ca="1" si="75"/>
        <v>664</v>
      </c>
      <c r="O88" s="1">
        <f t="shared" ca="1" si="76"/>
        <v>21</v>
      </c>
      <c r="P88" s="1"/>
      <c r="Q88" s="1">
        <f t="shared" ca="1" si="77"/>
        <v>1.8521721606312502</v>
      </c>
      <c r="R88" s="1">
        <f t="shared" ca="1" si="78"/>
        <v>918</v>
      </c>
      <c r="S88" s="1"/>
      <c r="T88" s="1">
        <f t="shared" ca="1" si="79"/>
        <v>2.5048229672355909E-2</v>
      </c>
      <c r="U88" s="1">
        <f t="shared" ca="1" si="80"/>
        <v>312</v>
      </c>
      <c r="V88" s="1">
        <f t="shared" ca="1" si="81"/>
        <v>52</v>
      </c>
      <c r="W88" s="1"/>
      <c r="X88" s="1">
        <f t="shared" ca="1" si="82"/>
        <v>6.0673911145717083</v>
      </c>
      <c r="Y88" s="1">
        <f t="shared" ca="1" si="83"/>
        <v>0.81850913254029745</v>
      </c>
      <c r="Z88" s="1">
        <f t="shared" ca="1" si="84"/>
        <v>1370</v>
      </c>
      <c r="AB88" s="1">
        <f t="shared" ca="1" si="85"/>
        <v>0.16435903976378594</v>
      </c>
      <c r="AC88" s="1">
        <f t="shared" ca="1" si="86"/>
        <v>794</v>
      </c>
      <c r="AD88" s="1">
        <f t="shared" ca="1" si="87"/>
        <v>1.1711901260412784E-3</v>
      </c>
      <c r="AE88" s="1"/>
      <c r="AF88" s="1">
        <f t="shared" ca="1" si="88"/>
        <v>0.24285442414123948</v>
      </c>
      <c r="AG88" s="1">
        <f t="shared" ca="1" si="89"/>
        <v>892</v>
      </c>
      <c r="AH88" s="1">
        <f t="shared" ca="1" si="90"/>
        <v>1.3923319253872522E-3</v>
      </c>
      <c r="AJ88" s="1">
        <f t="shared" ca="1" si="91"/>
        <v>8.7254099348902381E-2</v>
      </c>
      <c r="AK88" s="1">
        <f t="shared" ca="1" si="92"/>
        <v>8.9302078977912501E-3</v>
      </c>
      <c r="AL88" s="1"/>
      <c r="AM88" s="1">
        <f t="shared" ca="1" si="93"/>
        <v>2.0612884179921853E-2</v>
      </c>
      <c r="AN88" s="1">
        <f t="shared" ca="1" si="94"/>
        <v>24</v>
      </c>
      <c r="AO88" s="1">
        <f t="shared" ca="1" si="95"/>
        <v>2</v>
      </c>
      <c r="AQ88" s="1">
        <f t="shared" ca="1" si="96"/>
        <v>32</v>
      </c>
      <c r="AR88" s="1">
        <f t="shared" ca="1" si="97"/>
        <v>7</v>
      </c>
      <c r="AS88" s="1">
        <f t="shared" ca="1" si="98"/>
        <v>23</v>
      </c>
      <c r="AU88" s="1">
        <f t="shared" ca="1" si="99"/>
        <v>361</v>
      </c>
      <c r="AV88" s="1">
        <f t="shared" ca="1" si="100"/>
        <v>9</v>
      </c>
      <c r="AW88" s="1">
        <f t="shared" ca="1" si="101"/>
        <v>0.12610802021723427</v>
      </c>
      <c r="AY88" s="1">
        <f t="shared" ca="1" si="102"/>
        <v>1.3876535666875855</v>
      </c>
      <c r="AZ88" s="1">
        <f t="shared" ca="1" si="103"/>
        <v>410</v>
      </c>
      <c r="BA88" s="1">
        <f t="shared" ca="1" si="104"/>
        <v>8.8844798488083056E-3</v>
      </c>
      <c r="BG88" s="1">
        <f t="shared" ca="1" si="105"/>
        <v>0.95240741361927261</v>
      </c>
      <c r="BH88" s="1">
        <f t="shared" ca="1" si="106"/>
        <v>0.30798299562929909</v>
      </c>
      <c r="BI88" s="1">
        <f t="shared" ca="1" si="107"/>
        <v>608</v>
      </c>
      <c r="BV88" s="1">
        <f t="shared" ca="1" si="108"/>
        <v>0.8173932506208772</v>
      </c>
      <c r="BW88" s="1">
        <f t="shared" ca="1" si="109"/>
        <v>584</v>
      </c>
      <c r="BX88" s="1">
        <f t="shared" ca="1" si="110"/>
        <v>8.2989879763200915E-3</v>
      </c>
      <c r="BY88" s="1">
        <f t="shared" ca="1" si="111"/>
        <v>2.6514981620365741E-2</v>
      </c>
      <c r="BZ88" s="1">
        <f t="shared" ca="1" si="112"/>
        <v>4.4277823197320654E-3</v>
      </c>
      <c r="CB88" s="1">
        <f t="shared" ca="1" si="113"/>
        <v>402</v>
      </c>
      <c r="CC88" s="1">
        <f t="shared" ca="1" si="114"/>
        <v>5</v>
      </c>
      <c r="CD88" s="1">
        <f t="shared" ca="1" si="115"/>
        <v>0.25182037543430275</v>
      </c>
      <c r="CE88" s="1">
        <f t="shared" ca="1" si="116"/>
        <v>0.9054166983988039</v>
      </c>
      <c r="CF88" s="1">
        <f t="shared" ca="1" si="116"/>
        <v>0.521798553567556</v>
      </c>
      <c r="CH88" s="3">
        <f t="shared" ca="1" si="117"/>
        <v>0.95256088900869318</v>
      </c>
      <c r="CI88" s="3">
        <f t="shared" ca="1" si="118"/>
        <v>0.2291914414790612</v>
      </c>
      <c r="CJ88" s="3">
        <f t="shared" ca="1" si="119"/>
        <v>411</v>
      </c>
      <c r="CK88" s="3">
        <f t="shared" ca="1" si="120"/>
        <v>2.7466569632616203E-3</v>
      </c>
      <c r="CL88" s="3">
        <f t="shared" ca="1" si="121"/>
        <v>0</v>
      </c>
      <c r="CM88" s="3"/>
      <c r="CN88" s="1">
        <f t="shared" ca="1" si="122"/>
        <v>4.1054960941297827</v>
      </c>
      <c r="CO88" s="1">
        <f t="shared" ca="1" si="123"/>
        <v>0.31132036514400002</v>
      </c>
      <c r="CP88" s="1">
        <f t="shared" ca="1" si="124"/>
        <v>5</v>
      </c>
      <c r="DH88" s="1">
        <f t="shared" ca="1" si="125"/>
        <v>278</v>
      </c>
      <c r="DI88" s="1">
        <f t="shared" ca="1" si="126"/>
        <v>2.1407208920345262E-2</v>
      </c>
      <c r="DJ88" s="1">
        <f t="shared" ca="1" si="127"/>
        <v>9</v>
      </c>
      <c r="DL88" s="1">
        <f t="shared" ca="1" si="128"/>
        <v>0.14600357564332533</v>
      </c>
      <c r="DM88" s="1">
        <f t="shared" ca="1" si="129"/>
        <v>237</v>
      </c>
      <c r="DN88" s="1">
        <f t="shared" ca="1" si="130"/>
        <v>9</v>
      </c>
    </row>
    <row r="89" spans="2:118" x14ac:dyDescent="0.25">
      <c r="B89">
        <f t="shared" ca="1" si="66"/>
        <v>665</v>
      </c>
      <c r="C89">
        <f t="shared" ca="1" si="67"/>
        <v>19</v>
      </c>
      <c r="D89">
        <f t="shared" ca="1" si="68"/>
        <v>1.1285814241525121E-2</v>
      </c>
      <c r="F89" s="1">
        <f t="shared" ca="1" si="69"/>
        <v>41</v>
      </c>
      <c r="G89" s="1">
        <f t="shared" ca="1" si="70"/>
        <v>25</v>
      </c>
      <c r="H89" s="1">
        <f t="shared" ca="1" si="71"/>
        <v>8</v>
      </c>
      <c r="I89" s="1"/>
      <c r="J89" s="1">
        <f t="shared" ca="1" si="72"/>
        <v>30</v>
      </c>
      <c r="K89" s="1">
        <f t="shared" ca="1" si="73"/>
        <v>2.4939346510387423</v>
      </c>
      <c r="L89" s="1">
        <f t="shared" ca="1" si="74"/>
        <v>29</v>
      </c>
      <c r="M89" s="1"/>
      <c r="N89" s="1">
        <f t="shared" ca="1" si="75"/>
        <v>93</v>
      </c>
      <c r="O89" s="1">
        <f t="shared" ca="1" si="76"/>
        <v>51</v>
      </c>
      <c r="P89" s="1"/>
      <c r="Q89" s="1">
        <f t="shared" ca="1" si="77"/>
        <v>2.5908623501089076</v>
      </c>
      <c r="R89" s="1">
        <f t="shared" ca="1" si="78"/>
        <v>223</v>
      </c>
      <c r="S89" s="1"/>
      <c r="T89" s="1">
        <f t="shared" ca="1" si="79"/>
        <v>1.1824079893452693E-2</v>
      </c>
      <c r="U89" s="1">
        <f t="shared" ca="1" si="80"/>
        <v>365</v>
      </c>
      <c r="V89" s="1">
        <f t="shared" ca="1" si="81"/>
        <v>51</v>
      </c>
      <c r="W89" s="1"/>
      <c r="X89" s="1">
        <f t="shared" ca="1" si="82"/>
        <v>0.91129903303496618</v>
      </c>
      <c r="Y89" s="1">
        <f t="shared" ca="1" si="83"/>
        <v>0.19471398971962989</v>
      </c>
      <c r="Z89" s="1">
        <f t="shared" ca="1" si="84"/>
        <v>1551</v>
      </c>
      <c r="AB89" s="1">
        <f t="shared" ca="1" si="85"/>
        <v>0.53158784071665066</v>
      </c>
      <c r="AC89" s="1">
        <f t="shared" ca="1" si="86"/>
        <v>935</v>
      </c>
      <c r="AD89" s="1">
        <f t="shared" ca="1" si="87"/>
        <v>7.7129064735323178E-3</v>
      </c>
      <c r="AE89" s="1"/>
      <c r="AF89" s="1">
        <f t="shared" ca="1" si="88"/>
        <v>0.71522154427800844</v>
      </c>
      <c r="AG89" s="1">
        <f t="shared" ca="1" si="89"/>
        <v>839</v>
      </c>
      <c r="AH89" s="1">
        <f t="shared" ca="1" si="90"/>
        <v>5.4257966389214384E-3</v>
      </c>
      <c r="AJ89" s="1">
        <f t="shared" ca="1" si="91"/>
        <v>2.0987450220937731E-2</v>
      </c>
      <c r="AK89" s="1">
        <f t="shared" ca="1" si="92"/>
        <v>9.5144752175397619E-3</v>
      </c>
      <c r="AL89" s="1"/>
      <c r="AM89" s="1">
        <f t="shared" ca="1" si="93"/>
        <v>0.13212878522258709</v>
      </c>
      <c r="AN89" s="1">
        <f t="shared" ca="1" si="94"/>
        <v>72</v>
      </c>
      <c r="AO89" s="1">
        <f t="shared" ca="1" si="95"/>
        <v>3</v>
      </c>
      <c r="AQ89" s="1">
        <f t="shared" ca="1" si="96"/>
        <v>68</v>
      </c>
      <c r="AR89" s="1">
        <f t="shared" ca="1" si="97"/>
        <v>9</v>
      </c>
      <c r="AS89" s="1">
        <f t="shared" ca="1" si="98"/>
        <v>6</v>
      </c>
      <c r="AU89" s="1">
        <f t="shared" ca="1" si="99"/>
        <v>186</v>
      </c>
      <c r="AV89" s="1">
        <f t="shared" ca="1" si="100"/>
        <v>6</v>
      </c>
      <c r="AW89" s="1">
        <f t="shared" ca="1" si="101"/>
        <v>0.19051655082803623</v>
      </c>
      <c r="AY89" s="1">
        <f t="shared" ca="1" si="102"/>
        <v>1.4622728667257645</v>
      </c>
      <c r="AZ89" s="1">
        <f t="shared" ca="1" si="103"/>
        <v>258</v>
      </c>
      <c r="BA89" s="1">
        <f t="shared" ca="1" si="104"/>
        <v>7.6875287829306204E-3</v>
      </c>
      <c r="BG89" s="1">
        <f t="shared" ca="1" si="105"/>
        <v>0.60341398007388014</v>
      </c>
      <c r="BH89" s="1">
        <f t="shared" ca="1" si="106"/>
        <v>0.67267872150208829</v>
      </c>
      <c r="BI89" s="1">
        <f t="shared" ca="1" si="107"/>
        <v>671</v>
      </c>
      <c r="BV89" s="1">
        <f t="shared" ca="1" si="108"/>
        <v>0.22491045084667596</v>
      </c>
      <c r="BW89" s="1">
        <f t="shared" ca="1" si="109"/>
        <v>544</v>
      </c>
      <c r="BX89" s="1">
        <f t="shared" ca="1" si="110"/>
        <v>8.4025173049889872E-3</v>
      </c>
      <c r="BY89" s="1">
        <f t="shared" ca="1" si="111"/>
        <v>7.2536874197998119E-2</v>
      </c>
      <c r="BZ89" s="1">
        <f t="shared" ca="1" si="112"/>
        <v>0.97446150180954072</v>
      </c>
      <c r="CB89" s="1">
        <f t="shared" ca="1" si="113"/>
        <v>77</v>
      </c>
      <c r="CC89" s="1">
        <f t="shared" ca="1" si="114"/>
        <v>7</v>
      </c>
      <c r="CD89" s="1">
        <f t="shared" ca="1" si="115"/>
        <v>0.16577602876216488</v>
      </c>
      <c r="CE89" s="1">
        <f t="shared" ca="1" si="116"/>
        <v>0.82295022550683106</v>
      </c>
      <c r="CF89" s="1">
        <f t="shared" ca="1" si="116"/>
        <v>0.81629332143352507</v>
      </c>
      <c r="CH89" s="3">
        <f t="shared" ca="1" si="117"/>
        <v>0.13044581569572725</v>
      </c>
      <c r="CI89" s="3">
        <f t="shared" ca="1" si="118"/>
        <v>0.61602604430014263</v>
      </c>
      <c r="CJ89" s="3">
        <f t="shared" ca="1" si="119"/>
        <v>1224</v>
      </c>
      <c r="CK89" s="3">
        <f t="shared" ca="1" si="120"/>
        <v>8.5907666577025327E-3</v>
      </c>
      <c r="CL89" s="3">
        <f t="shared" ca="1" si="121"/>
        <v>0</v>
      </c>
      <c r="CM89" s="3"/>
      <c r="CN89" s="1">
        <f t="shared" ca="1" si="122"/>
        <v>6.3880674511736801</v>
      </c>
      <c r="CO89" s="1">
        <f t="shared" ca="1" si="123"/>
        <v>0.4246904527828454</v>
      </c>
      <c r="CP89" s="1">
        <f t="shared" ca="1" si="124"/>
        <v>4</v>
      </c>
      <c r="DH89" s="1">
        <f t="shared" ca="1" si="125"/>
        <v>156</v>
      </c>
      <c r="DI89" s="1">
        <f t="shared" ca="1" si="126"/>
        <v>0.29590409994822953</v>
      </c>
      <c r="DJ89" s="1">
        <f t="shared" ca="1" si="127"/>
        <v>29</v>
      </c>
      <c r="DL89" s="1">
        <f t="shared" ca="1" si="128"/>
        <v>0.19816818526114821</v>
      </c>
      <c r="DM89" s="1">
        <f t="shared" ca="1" si="129"/>
        <v>122</v>
      </c>
      <c r="DN89" s="1">
        <f t="shared" ca="1" si="130"/>
        <v>2</v>
      </c>
    </row>
    <row r="90" spans="2:118" x14ac:dyDescent="0.25">
      <c r="B90">
        <f t="shared" ca="1" si="66"/>
        <v>105</v>
      </c>
      <c r="C90">
        <f t="shared" ca="1" si="67"/>
        <v>38</v>
      </c>
      <c r="D90">
        <f t="shared" ca="1" si="68"/>
        <v>0.14592191120194373</v>
      </c>
      <c r="F90" s="1">
        <f t="shared" ca="1" si="69"/>
        <v>49</v>
      </c>
      <c r="G90" s="1">
        <f t="shared" ca="1" si="70"/>
        <v>26</v>
      </c>
      <c r="H90" s="1">
        <f t="shared" ca="1" si="71"/>
        <v>9</v>
      </c>
      <c r="I90" s="1"/>
      <c r="J90" s="1">
        <f t="shared" ca="1" si="72"/>
        <v>8</v>
      </c>
      <c r="K90" s="1">
        <f t="shared" ca="1" si="73"/>
        <v>1.6081374238472148</v>
      </c>
      <c r="L90" s="1">
        <f t="shared" ca="1" si="74"/>
        <v>7</v>
      </c>
      <c r="M90" s="1"/>
      <c r="N90" s="1">
        <f t="shared" ca="1" si="75"/>
        <v>213</v>
      </c>
      <c r="O90" s="1">
        <f t="shared" ca="1" si="76"/>
        <v>16</v>
      </c>
      <c r="P90" s="1"/>
      <c r="Q90" s="1">
        <f t="shared" ca="1" si="77"/>
        <v>1.9288128351386202</v>
      </c>
      <c r="R90" s="1">
        <f t="shared" ca="1" si="78"/>
        <v>692</v>
      </c>
      <c r="S90" s="1"/>
      <c r="T90" s="1">
        <f t="shared" ca="1" si="79"/>
        <v>0.1382078850376616</v>
      </c>
      <c r="U90" s="1">
        <f t="shared" ca="1" si="80"/>
        <v>279</v>
      </c>
      <c r="V90" s="1">
        <f t="shared" ca="1" si="81"/>
        <v>40</v>
      </c>
      <c r="W90" s="1"/>
      <c r="X90" s="1">
        <f t="shared" ca="1" si="82"/>
        <v>0.57120830157051705</v>
      </c>
      <c r="Y90" s="1">
        <f t="shared" ca="1" si="83"/>
        <v>0.76286504934542809</v>
      </c>
      <c r="Z90" s="1">
        <f t="shared" ca="1" si="84"/>
        <v>960</v>
      </c>
      <c r="AB90" s="1">
        <f t="shared" ca="1" si="85"/>
        <v>0.43842171242845435</v>
      </c>
      <c r="AC90" s="1">
        <f t="shared" ca="1" si="86"/>
        <v>337</v>
      </c>
      <c r="AD90" s="1">
        <f t="shared" ca="1" si="87"/>
        <v>2.8105947460299002E-3</v>
      </c>
      <c r="AE90" s="1"/>
      <c r="AF90" s="1">
        <f t="shared" ca="1" si="88"/>
        <v>0.67123669916758222</v>
      </c>
      <c r="AG90" s="1">
        <f t="shared" ca="1" si="89"/>
        <v>297</v>
      </c>
      <c r="AH90" s="1">
        <f t="shared" ca="1" si="90"/>
        <v>3.0041520666953688E-3</v>
      </c>
      <c r="AJ90" s="1">
        <f t="shared" ca="1" si="91"/>
        <v>0.52116539177422283</v>
      </c>
      <c r="AK90" s="1">
        <f t="shared" ca="1" si="92"/>
        <v>8.1023948779035491E-3</v>
      </c>
      <c r="AL90" s="1"/>
      <c r="AM90" s="1">
        <f t="shared" ca="1" si="93"/>
        <v>0.1508155085856783</v>
      </c>
      <c r="AN90" s="1">
        <f t="shared" ca="1" si="94"/>
        <v>63</v>
      </c>
      <c r="AO90" s="1">
        <f t="shared" ca="1" si="95"/>
        <v>2</v>
      </c>
      <c r="AQ90" s="1">
        <f t="shared" ca="1" si="96"/>
        <v>138</v>
      </c>
      <c r="AR90" s="1">
        <f t="shared" ca="1" si="97"/>
        <v>2</v>
      </c>
      <c r="AS90" s="1">
        <f t="shared" ca="1" si="98"/>
        <v>8</v>
      </c>
      <c r="AU90" s="1">
        <f t="shared" ca="1" si="99"/>
        <v>216</v>
      </c>
      <c r="AV90" s="1">
        <f t="shared" ca="1" si="100"/>
        <v>6</v>
      </c>
      <c r="AW90" s="1">
        <f t="shared" ca="1" si="101"/>
        <v>0.11370060723521286</v>
      </c>
      <c r="AY90" s="1">
        <f t="shared" ca="1" si="102"/>
        <v>1.1410781930817449</v>
      </c>
      <c r="AZ90" s="1">
        <f t="shared" ca="1" si="103"/>
        <v>89</v>
      </c>
      <c r="BA90" s="1">
        <f t="shared" ca="1" si="104"/>
        <v>7.0344608414770948E-3</v>
      </c>
      <c r="BG90" s="1">
        <f t="shared" ca="1" si="105"/>
        <v>0.26190610042466572</v>
      </c>
      <c r="BH90" s="1">
        <f t="shared" ca="1" si="106"/>
        <v>0.99303469351626505</v>
      </c>
      <c r="BI90" s="1">
        <f t="shared" ca="1" si="107"/>
        <v>836</v>
      </c>
      <c r="BV90" s="1">
        <f t="shared" ca="1" si="108"/>
        <v>0.25591636546476965</v>
      </c>
      <c r="BW90" s="1">
        <f t="shared" ca="1" si="109"/>
        <v>612</v>
      </c>
      <c r="BX90" s="1">
        <f t="shared" ca="1" si="110"/>
        <v>6.5997666544901695E-3</v>
      </c>
      <c r="BY90" s="1">
        <f t="shared" ca="1" si="111"/>
        <v>8.7047702591375731E-2</v>
      </c>
      <c r="BZ90" s="1">
        <f t="shared" ca="1" si="112"/>
        <v>0.60831504586033924</v>
      </c>
      <c r="CB90" s="1">
        <f t="shared" ca="1" si="113"/>
        <v>320</v>
      </c>
      <c r="CC90" s="1">
        <f t="shared" ca="1" si="114"/>
        <v>8</v>
      </c>
      <c r="CD90" s="1">
        <f t="shared" ca="1" si="115"/>
        <v>0.13661965700235681</v>
      </c>
      <c r="CE90" s="1">
        <f t="shared" ca="1" si="116"/>
        <v>0.81201343021350447</v>
      </c>
      <c r="CF90" s="1">
        <f t="shared" ca="1" si="116"/>
        <v>0.76644409561207638</v>
      </c>
      <c r="CH90" s="3">
        <f t="shared" ca="1" si="117"/>
        <v>0.86690842508205468</v>
      </c>
      <c r="CI90" s="3">
        <f t="shared" ca="1" si="118"/>
        <v>0.64454704556204001</v>
      </c>
      <c r="CJ90" s="3">
        <f t="shared" ca="1" si="119"/>
        <v>1958</v>
      </c>
      <c r="CK90" s="3">
        <f t="shared" ca="1" si="120"/>
        <v>8.9650733645623929E-3</v>
      </c>
      <c r="CL90" s="3">
        <f t="shared" ca="1" si="121"/>
        <v>0</v>
      </c>
      <c r="CM90" s="3"/>
      <c r="CN90" s="1">
        <f t="shared" ca="1" si="122"/>
        <v>1.7857363415957099</v>
      </c>
      <c r="CO90" s="1">
        <f t="shared" ca="1" si="123"/>
        <v>0.46177332828215273</v>
      </c>
      <c r="CP90" s="1">
        <f t="shared" ca="1" si="124"/>
        <v>5</v>
      </c>
      <c r="DH90" s="1">
        <f t="shared" ca="1" si="125"/>
        <v>700</v>
      </c>
      <c r="DI90" s="1">
        <f t="shared" ca="1" si="126"/>
        <v>0.77419484259947913</v>
      </c>
      <c r="DJ90" s="1">
        <f t="shared" ca="1" si="127"/>
        <v>3</v>
      </c>
      <c r="DL90" s="1">
        <f t="shared" ca="1" si="128"/>
        <v>2.9416493146472759E-2</v>
      </c>
      <c r="DM90" s="1">
        <f t="shared" ca="1" si="129"/>
        <v>125</v>
      </c>
      <c r="DN90" s="1">
        <f t="shared" ca="1" si="130"/>
        <v>1</v>
      </c>
    </row>
    <row r="91" spans="2:118" x14ac:dyDescent="0.25">
      <c r="B91">
        <f t="shared" ca="1" si="66"/>
        <v>632</v>
      </c>
      <c r="C91">
        <f t="shared" ca="1" si="67"/>
        <v>52</v>
      </c>
      <c r="D91">
        <f t="shared" ca="1" si="68"/>
        <v>0.28210501649723047</v>
      </c>
      <c r="F91" s="1">
        <f t="shared" ca="1" si="69"/>
        <v>48</v>
      </c>
      <c r="G91" s="1">
        <f t="shared" ca="1" si="70"/>
        <v>22</v>
      </c>
      <c r="H91" s="1">
        <f t="shared" ca="1" si="71"/>
        <v>11</v>
      </c>
      <c r="I91" s="1"/>
      <c r="J91" s="1">
        <f t="shared" ca="1" si="72"/>
        <v>24</v>
      </c>
      <c r="K91" s="1">
        <f t="shared" ca="1" si="73"/>
        <v>1.2825738906689783</v>
      </c>
      <c r="L91" s="1">
        <f t="shared" ca="1" si="74"/>
        <v>17</v>
      </c>
      <c r="M91" s="1"/>
      <c r="N91" s="1">
        <f t="shared" ca="1" si="75"/>
        <v>45</v>
      </c>
      <c r="O91" s="1">
        <f t="shared" ca="1" si="76"/>
        <v>30</v>
      </c>
      <c r="P91" s="1"/>
      <c r="Q91" s="1">
        <f t="shared" ca="1" si="77"/>
        <v>2.3566540967631435</v>
      </c>
      <c r="R91" s="1">
        <f t="shared" ca="1" si="78"/>
        <v>1069</v>
      </c>
      <c r="S91" s="1"/>
      <c r="T91" s="1">
        <f t="shared" ca="1" si="79"/>
        <v>5.5193478195365235E-2</v>
      </c>
      <c r="U91" s="1">
        <f t="shared" ca="1" si="80"/>
        <v>264</v>
      </c>
      <c r="V91" s="1">
        <f t="shared" ca="1" si="81"/>
        <v>13</v>
      </c>
      <c r="W91" s="1"/>
      <c r="X91" s="1">
        <f t="shared" ca="1" si="82"/>
        <v>8.898946966552872</v>
      </c>
      <c r="Y91" s="1">
        <f t="shared" ca="1" si="83"/>
        <v>0.57020185371556031</v>
      </c>
      <c r="Z91" s="1">
        <f t="shared" ca="1" si="84"/>
        <v>356</v>
      </c>
      <c r="AB91" s="1">
        <f t="shared" ca="1" si="85"/>
        <v>0.84159100432112455</v>
      </c>
      <c r="AC91" s="1">
        <f t="shared" ca="1" si="86"/>
        <v>703</v>
      </c>
      <c r="AD91" s="1">
        <f t="shared" ca="1" si="87"/>
        <v>8.2286831269222822E-3</v>
      </c>
      <c r="AE91" s="1"/>
      <c r="AF91" s="1">
        <f t="shared" ca="1" si="88"/>
        <v>0.75949015861268154</v>
      </c>
      <c r="AG91" s="1">
        <f t="shared" ca="1" si="89"/>
        <v>175</v>
      </c>
      <c r="AH91" s="1">
        <f t="shared" ca="1" si="90"/>
        <v>3.4191858885641584E-3</v>
      </c>
      <c r="AJ91" s="1">
        <f t="shared" ca="1" si="91"/>
        <v>0.90837901174053171</v>
      </c>
      <c r="AK91" s="1">
        <f t="shared" ca="1" si="92"/>
        <v>7.1488107479632885E-4</v>
      </c>
      <c r="AL91" s="1"/>
      <c r="AM91" s="1">
        <f t="shared" ca="1" si="93"/>
        <v>4.9021668212490634E-2</v>
      </c>
      <c r="AN91" s="1">
        <f t="shared" ca="1" si="94"/>
        <v>24</v>
      </c>
      <c r="AO91" s="1">
        <f t="shared" ca="1" si="95"/>
        <v>6</v>
      </c>
      <c r="AQ91" s="1">
        <f t="shared" ca="1" si="96"/>
        <v>93</v>
      </c>
      <c r="AR91" s="1">
        <f t="shared" ca="1" si="97"/>
        <v>6</v>
      </c>
      <c r="AS91" s="1">
        <f t="shared" ca="1" si="98"/>
        <v>83</v>
      </c>
      <c r="AU91" s="1">
        <f t="shared" ca="1" si="99"/>
        <v>191</v>
      </c>
      <c r="AV91" s="1">
        <f t="shared" ca="1" si="100"/>
        <v>7</v>
      </c>
      <c r="AW91" s="1">
        <f t="shared" ca="1" si="101"/>
        <v>0.14534351403146289</v>
      </c>
      <c r="AY91" s="1">
        <f t="shared" ca="1" si="102"/>
        <v>1.8383166780294231</v>
      </c>
      <c r="AZ91" s="1">
        <f t="shared" ca="1" si="103"/>
        <v>343</v>
      </c>
      <c r="BA91" s="1">
        <f t="shared" ca="1" si="104"/>
        <v>8.5895692105126611E-3</v>
      </c>
      <c r="BG91" s="1">
        <f t="shared" ca="1" si="105"/>
        <v>0.30901805997582499</v>
      </c>
      <c r="BH91" s="1">
        <f t="shared" ca="1" si="106"/>
        <v>0.84666365012947209</v>
      </c>
      <c r="BI91" s="1">
        <f t="shared" ca="1" si="107"/>
        <v>464</v>
      </c>
      <c r="BV91" s="1">
        <f t="shared" ca="1" si="108"/>
        <v>0.47107357510504733</v>
      </c>
      <c r="BW91" s="1">
        <f t="shared" ca="1" si="109"/>
        <v>909</v>
      </c>
      <c r="BX91" s="1">
        <f t="shared" ca="1" si="110"/>
        <v>2.2622599660733394E-3</v>
      </c>
      <c r="BY91" s="1">
        <f t="shared" ca="1" si="111"/>
        <v>8.5766218776869393E-2</v>
      </c>
      <c r="BZ91" s="1">
        <f t="shared" ca="1" si="112"/>
        <v>0.13198625480382464</v>
      </c>
      <c r="CB91" s="1">
        <f t="shared" ca="1" si="113"/>
        <v>275</v>
      </c>
      <c r="CC91" s="1">
        <f t="shared" ca="1" si="114"/>
        <v>14</v>
      </c>
      <c r="CD91" s="1">
        <f t="shared" ca="1" si="115"/>
        <v>0.16622843533916321</v>
      </c>
      <c r="CE91" s="1">
        <f t="shared" ca="1" si="116"/>
        <v>0.93188565818840152</v>
      </c>
      <c r="CF91" s="1">
        <f t="shared" ca="1" si="116"/>
        <v>0.75455938167196446</v>
      </c>
      <c r="CH91" s="3">
        <f t="shared" ca="1" si="117"/>
        <v>0.52709149919891563</v>
      </c>
      <c r="CI91" s="3">
        <f t="shared" ca="1" si="118"/>
        <v>0.30626215823881725</v>
      </c>
      <c r="CJ91" s="3">
        <f t="shared" ca="1" si="119"/>
        <v>179</v>
      </c>
      <c r="CK91" s="3">
        <f t="shared" ca="1" si="120"/>
        <v>7.4447765404695382E-3</v>
      </c>
      <c r="CL91" s="3">
        <f t="shared" ca="1" si="121"/>
        <v>0</v>
      </c>
      <c r="CM91" s="3"/>
      <c r="CN91" s="1">
        <f t="shared" ca="1" si="122"/>
        <v>0.40604670594712244</v>
      </c>
      <c r="CO91" s="1">
        <f t="shared" ca="1" si="123"/>
        <v>0.47965746655306241</v>
      </c>
      <c r="CP91" s="1">
        <f t="shared" ca="1" si="124"/>
        <v>5</v>
      </c>
      <c r="DH91" s="1">
        <f t="shared" ca="1" si="125"/>
        <v>357</v>
      </c>
      <c r="DI91" s="1">
        <f t="shared" ca="1" si="126"/>
        <v>0.25781237048575828</v>
      </c>
      <c r="DJ91" s="1">
        <f t="shared" ca="1" si="127"/>
        <v>25</v>
      </c>
      <c r="DL91" s="1">
        <f t="shared" ca="1" si="128"/>
        <v>0.16747531651591888</v>
      </c>
      <c r="DM91" s="1">
        <f t="shared" ca="1" si="129"/>
        <v>111</v>
      </c>
      <c r="DN91" s="1">
        <f t="shared" ca="1" si="130"/>
        <v>5</v>
      </c>
    </row>
    <row r="92" spans="2:118" x14ac:dyDescent="0.25">
      <c r="B92">
        <f t="shared" ca="1" si="66"/>
        <v>464</v>
      </c>
      <c r="C92">
        <f t="shared" ca="1" si="67"/>
        <v>36</v>
      </c>
      <c r="D92">
        <f t="shared" ca="1" si="68"/>
        <v>2.5615978813434134E-2</v>
      </c>
      <c r="F92" s="1">
        <f t="shared" ca="1" si="69"/>
        <v>4</v>
      </c>
      <c r="G92" s="1">
        <f t="shared" ca="1" si="70"/>
        <v>26</v>
      </c>
      <c r="H92" s="1">
        <f t="shared" ca="1" si="71"/>
        <v>13</v>
      </c>
      <c r="I92" s="1"/>
      <c r="J92" s="1">
        <f t="shared" ca="1" si="72"/>
        <v>7</v>
      </c>
      <c r="K92" s="1">
        <f t="shared" ca="1" si="73"/>
        <v>1.8251664513136534</v>
      </c>
      <c r="L92" s="1">
        <f t="shared" ca="1" si="74"/>
        <v>35</v>
      </c>
      <c r="M92" s="1"/>
      <c r="N92" s="1">
        <f t="shared" ca="1" si="75"/>
        <v>93</v>
      </c>
      <c r="O92" s="1">
        <f t="shared" ca="1" si="76"/>
        <v>32</v>
      </c>
      <c r="P92" s="1"/>
      <c r="Q92" s="1">
        <f t="shared" ca="1" si="77"/>
        <v>4.7026433749665335</v>
      </c>
      <c r="R92" s="1">
        <f t="shared" ca="1" si="78"/>
        <v>716</v>
      </c>
      <c r="S92" s="1"/>
      <c r="T92" s="1">
        <f t="shared" ca="1" si="79"/>
        <v>0.16206844390793393</v>
      </c>
      <c r="U92" s="1">
        <f t="shared" ca="1" si="80"/>
        <v>311</v>
      </c>
      <c r="V92" s="1">
        <f t="shared" ca="1" si="81"/>
        <v>25</v>
      </c>
      <c r="W92" s="1"/>
      <c r="X92" s="1">
        <f t="shared" ca="1" si="82"/>
        <v>2.5915441181628758</v>
      </c>
      <c r="Y92" s="1">
        <f t="shared" ca="1" si="83"/>
        <v>0.52261982968296294</v>
      </c>
      <c r="Z92" s="1">
        <f t="shared" ca="1" si="84"/>
        <v>1407</v>
      </c>
      <c r="AB92" s="1">
        <f t="shared" ca="1" si="85"/>
        <v>0.31876491121181294</v>
      </c>
      <c r="AC92" s="1">
        <f t="shared" ca="1" si="86"/>
        <v>153</v>
      </c>
      <c r="AD92" s="1">
        <f t="shared" ca="1" si="87"/>
        <v>1.0585022356627779E-3</v>
      </c>
      <c r="AE92" s="1"/>
      <c r="AF92" s="1">
        <f t="shared" ca="1" si="88"/>
        <v>0.66939952882261688</v>
      </c>
      <c r="AG92" s="1">
        <f t="shared" ca="1" si="89"/>
        <v>851</v>
      </c>
      <c r="AH92" s="1">
        <f t="shared" ca="1" si="90"/>
        <v>8.0104071821911586E-3</v>
      </c>
      <c r="AJ92" s="1">
        <f t="shared" ca="1" si="91"/>
        <v>0.64488505857564349</v>
      </c>
      <c r="AK92" s="1">
        <f t="shared" ca="1" si="92"/>
        <v>8.8714235517219926E-3</v>
      </c>
      <c r="AL92" s="1"/>
      <c r="AM92" s="1">
        <f t="shared" ca="1" si="93"/>
        <v>0.15409855329990066</v>
      </c>
      <c r="AN92" s="1">
        <f t="shared" ca="1" si="94"/>
        <v>29</v>
      </c>
      <c r="AO92" s="1">
        <f t="shared" ca="1" si="95"/>
        <v>3</v>
      </c>
      <c r="AQ92" s="1">
        <f t="shared" ca="1" si="96"/>
        <v>19</v>
      </c>
      <c r="AR92" s="1">
        <f t="shared" ca="1" si="97"/>
        <v>4</v>
      </c>
      <c r="AS92" s="1">
        <f t="shared" ca="1" si="98"/>
        <v>86</v>
      </c>
      <c r="AU92" s="1">
        <f t="shared" ca="1" si="99"/>
        <v>56</v>
      </c>
      <c r="AV92" s="1">
        <f t="shared" ca="1" si="100"/>
        <v>6</v>
      </c>
      <c r="AW92" s="1">
        <f t="shared" ca="1" si="101"/>
        <v>4.063227584235668E-2</v>
      </c>
      <c r="AY92" s="1">
        <f t="shared" ca="1" si="102"/>
        <v>1.7994581465059807</v>
      </c>
      <c r="AZ92" s="1">
        <f t="shared" ca="1" si="103"/>
        <v>178</v>
      </c>
      <c r="BA92" s="1">
        <f t="shared" ca="1" si="104"/>
        <v>1.2006582143157666E-3</v>
      </c>
      <c r="BG92" s="1">
        <f t="shared" ca="1" si="105"/>
        <v>0.94972113872613317</v>
      </c>
      <c r="BH92" s="1">
        <f t="shared" ca="1" si="106"/>
        <v>0.77770978919508826</v>
      </c>
      <c r="BI92" s="1">
        <f t="shared" ca="1" si="107"/>
        <v>553</v>
      </c>
      <c r="BV92" s="1">
        <f t="shared" ca="1" si="108"/>
        <v>0.28887182320651245</v>
      </c>
      <c r="BW92" s="1">
        <f t="shared" ca="1" si="109"/>
        <v>707</v>
      </c>
      <c r="BX92" s="1">
        <f t="shared" ca="1" si="110"/>
        <v>2.2862018650419377E-3</v>
      </c>
      <c r="BY92" s="1">
        <f t="shared" ca="1" si="111"/>
        <v>1.7895593266914762E-2</v>
      </c>
      <c r="BZ92" s="1">
        <f t="shared" ca="1" si="112"/>
        <v>0.4160412635998838</v>
      </c>
      <c r="CB92" s="1">
        <f t="shared" ca="1" si="113"/>
        <v>266</v>
      </c>
      <c r="CC92" s="1">
        <f t="shared" ca="1" si="114"/>
        <v>14</v>
      </c>
      <c r="CD92" s="1">
        <f t="shared" ca="1" si="115"/>
        <v>1.2404458344072663E-2</v>
      </c>
      <c r="CE92" s="1">
        <f t="shared" ca="1" si="116"/>
        <v>0.54877536408334882</v>
      </c>
      <c r="CF92" s="1">
        <f t="shared" ca="1" si="116"/>
        <v>0.62223173658604192</v>
      </c>
      <c r="CH92" s="3">
        <f t="shared" ca="1" si="117"/>
        <v>0.75984509242351395</v>
      </c>
      <c r="CI92" s="3">
        <f t="shared" ca="1" si="118"/>
        <v>2.4733399089786529E-2</v>
      </c>
      <c r="CJ92" s="3">
        <f t="shared" ca="1" si="119"/>
        <v>1130</v>
      </c>
      <c r="CK92" s="3">
        <f t="shared" ca="1" si="120"/>
        <v>9.1646196950722018E-3</v>
      </c>
      <c r="CL92" s="3">
        <f t="shared" ca="1" si="121"/>
        <v>1</v>
      </c>
      <c r="CM92" s="3"/>
      <c r="CN92" s="1">
        <f t="shared" ca="1" si="122"/>
        <v>9.2676078028399402</v>
      </c>
      <c r="CO92" s="1">
        <f t="shared" ca="1" si="123"/>
        <v>0.43035975798877613</v>
      </c>
      <c r="CP92" s="1">
        <f t="shared" ca="1" si="124"/>
        <v>2</v>
      </c>
      <c r="DH92" s="1">
        <f t="shared" ca="1" si="125"/>
        <v>194</v>
      </c>
      <c r="DI92" s="1">
        <f t="shared" ca="1" si="126"/>
        <v>0.62421478185515067</v>
      </c>
      <c r="DJ92" s="1">
        <f t="shared" ca="1" si="127"/>
        <v>9</v>
      </c>
      <c r="DL92" s="1">
        <f t="shared" ca="1" si="128"/>
        <v>0.10933977408406322</v>
      </c>
      <c r="DM92" s="1">
        <f t="shared" ca="1" si="129"/>
        <v>219</v>
      </c>
      <c r="DN92" s="1">
        <f t="shared" ca="1" si="130"/>
        <v>9</v>
      </c>
    </row>
    <row r="93" spans="2:118" x14ac:dyDescent="0.25">
      <c r="B93">
        <f t="shared" ca="1" si="66"/>
        <v>766</v>
      </c>
      <c r="C93">
        <f t="shared" ca="1" si="67"/>
        <v>38</v>
      </c>
      <c r="D93">
        <f t="shared" ca="1" si="68"/>
        <v>0.15026677163950783</v>
      </c>
      <c r="F93" s="1">
        <f t="shared" ca="1" si="69"/>
        <v>7</v>
      </c>
      <c r="G93" s="1">
        <f t="shared" ca="1" si="70"/>
        <v>4</v>
      </c>
      <c r="H93" s="1">
        <f t="shared" ca="1" si="71"/>
        <v>11</v>
      </c>
      <c r="I93" s="1"/>
      <c r="J93" s="1">
        <f t="shared" ca="1" si="72"/>
        <v>34</v>
      </c>
      <c r="K93" s="1">
        <f t="shared" ca="1" si="73"/>
        <v>1.8688485449288832</v>
      </c>
      <c r="L93" s="1">
        <f t="shared" ca="1" si="74"/>
        <v>31</v>
      </c>
      <c r="M93" s="1"/>
      <c r="N93" s="1">
        <f t="shared" ca="1" si="75"/>
        <v>989</v>
      </c>
      <c r="O93" s="1">
        <f t="shared" ca="1" si="76"/>
        <v>52</v>
      </c>
      <c r="P93" s="1"/>
      <c r="Q93" s="1">
        <f t="shared" ca="1" si="77"/>
        <v>3.0196513226645187</v>
      </c>
      <c r="R93" s="1">
        <f t="shared" ca="1" si="78"/>
        <v>503</v>
      </c>
      <c r="S93" s="1"/>
      <c r="T93" s="1">
        <f t="shared" ca="1" si="79"/>
        <v>0.14819710669329667</v>
      </c>
      <c r="U93" s="1">
        <f t="shared" ca="1" si="80"/>
        <v>409</v>
      </c>
      <c r="V93" s="1">
        <f t="shared" ca="1" si="81"/>
        <v>17</v>
      </c>
      <c r="W93" s="1"/>
      <c r="X93" s="1">
        <f t="shared" ca="1" si="82"/>
        <v>3.7659708061069006</v>
      </c>
      <c r="Y93" s="1">
        <f t="shared" ca="1" si="83"/>
        <v>0.23772549596678955</v>
      </c>
      <c r="Z93" s="1">
        <f t="shared" ca="1" si="84"/>
        <v>1368</v>
      </c>
      <c r="AB93" s="1">
        <f t="shared" ca="1" si="85"/>
        <v>0.13629343729961321</v>
      </c>
      <c r="AC93" s="1">
        <f t="shared" ca="1" si="86"/>
        <v>734</v>
      </c>
      <c r="AD93" s="1">
        <f t="shared" ca="1" si="87"/>
        <v>3.8001711906350977E-3</v>
      </c>
      <c r="AE93" s="1"/>
      <c r="AF93" s="1">
        <f t="shared" ca="1" si="88"/>
        <v>0.29470216695931495</v>
      </c>
      <c r="AG93" s="1">
        <f t="shared" ca="1" si="89"/>
        <v>693</v>
      </c>
      <c r="AH93" s="1">
        <f t="shared" ca="1" si="90"/>
        <v>2.596587911540999E-3</v>
      </c>
      <c r="AJ93" s="1">
        <f t="shared" ca="1" si="91"/>
        <v>0.84391272174909238</v>
      </c>
      <c r="AK93" s="1">
        <f t="shared" ca="1" si="92"/>
        <v>4.0055739408362077E-3</v>
      </c>
      <c r="AL93" s="1"/>
      <c r="AM93" s="1">
        <f t="shared" ca="1" si="93"/>
        <v>0.17982401108379145</v>
      </c>
      <c r="AN93" s="1">
        <f t="shared" ca="1" si="94"/>
        <v>71</v>
      </c>
      <c r="AO93" s="1">
        <f t="shared" ca="1" si="95"/>
        <v>7</v>
      </c>
      <c r="AQ93" s="1">
        <f t="shared" ca="1" si="96"/>
        <v>144</v>
      </c>
      <c r="AR93" s="1">
        <f t="shared" ca="1" si="97"/>
        <v>6</v>
      </c>
      <c r="AS93" s="1">
        <f t="shared" ca="1" si="98"/>
        <v>41</v>
      </c>
      <c r="AU93" s="1">
        <f t="shared" ca="1" si="99"/>
        <v>132</v>
      </c>
      <c r="AV93" s="1">
        <f t="shared" ca="1" si="100"/>
        <v>7</v>
      </c>
      <c r="AW93" s="1">
        <f t="shared" ca="1" si="101"/>
        <v>1.7583538476219324E-2</v>
      </c>
      <c r="AY93" s="1">
        <f t="shared" ca="1" si="102"/>
        <v>1.4676021213606585</v>
      </c>
      <c r="AZ93" s="1">
        <f t="shared" ca="1" si="103"/>
        <v>390</v>
      </c>
      <c r="BA93" s="1">
        <f t="shared" ca="1" si="104"/>
        <v>4.3764321795987087E-3</v>
      </c>
      <c r="BG93" s="1">
        <f t="shared" ca="1" si="105"/>
        <v>0.74157212428670582</v>
      </c>
      <c r="BH93" s="1">
        <f t="shared" ca="1" si="106"/>
        <v>0.81761341918097552</v>
      </c>
      <c r="BI93" s="1">
        <f t="shared" ca="1" si="107"/>
        <v>832</v>
      </c>
      <c r="BV93" s="1">
        <f t="shared" ca="1" si="108"/>
        <v>0.74725866301745314</v>
      </c>
      <c r="BW93" s="1">
        <f t="shared" ca="1" si="109"/>
        <v>597</v>
      </c>
      <c r="BX93" s="1">
        <f t="shared" ca="1" si="110"/>
        <v>7.1448847148422086E-3</v>
      </c>
      <c r="BY93" s="1">
        <f t="shared" ca="1" si="111"/>
        <v>3.0574634838536497E-3</v>
      </c>
      <c r="BZ93" s="1">
        <f t="shared" ca="1" si="112"/>
        <v>0.80954808387729393</v>
      </c>
      <c r="CB93" s="1">
        <f t="shared" ca="1" si="113"/>
        <v>146</v>
      </c>
      <c r="CC93" s="1">
        <f t="shared" ca="1" si="114"/>
        <v>12</v>
      </c>
      <c r="CD93" s="1">
        <f t="shared" ca="1" si="115"/>
        <v>2.306912834788083E-2</v>
      </c>
      <c r="CE93" s="1">
        <f t="shared" ca="1" si="116"/>
        <v>0.85219477759323126</v>
      </c>
      <c r="CF93" s="1">
        <f t="shared" ca="1" si="116"/>
        <v>0.81135598650692597</v>
      </c>
      <c r="CH93" s="3">
        <f t="shared" ca="1" si="117"/>
        <v>0.53686095989319327</v>
      </c>
      <c r="CI93" s="3">
        <f t="shared" ca="1" si="118"/>
        <v>0.65971670759644319</v>
      </c>
      <c r="CJ93" s="3">
        <f t="shared" ca="1" si="119"/>
        <v>105</v>
      </c>
      <c r="CK93" s="3">
        <f t="shared" ca="1" si="120"/>
        <v>9.2844334062831962E-3</v>
      </c>
      <c r="CL93" s="3">
        <f t="shared" ca="1" si="121"/>
        <v>1</v>
      </c>
      <c r="CM93" s="3"/>
      <c r="CN93" s="1">
        <f t="shared" ca="1" si="122"/>
        <v>18.480064942851808</v>
      </c>
      <c r="CO93" s="1">
        <f t="shared" ca="1" si="123"/>
        <v>0.20304718317443401</v>
      </c>
      <c r="CP93" s="1">
        <f t="shared" ca="1" si="124"/>
        <v>2</v>
      </c>
      <c r="DH93" s="1">
        <f t="shared" ca="1" si="125"/>
        <v>235</v>
      </c>
      <c r="DI93" s="1">
        <f t="shared" ca="1" si="126"/>
        <v>0.11483361144024655</v>
      </c>
      <c r="DJ93" s="1">
        <f t="shared" ca="1" si="127"/>
        <v>2</v>
      </c>
      <c r="DL93" s="1">
        <f t="shared" ca="1" si="128"/>
        <v>5.3139449098712301E-2</v>
      </c>
      <c r="DM93" s="1">
        <f t="shared" ca="1" si="129"/>
        <v>147</v>
      </c>
      <c r="DN93" s="1">
        <f t="shared" ca="1" si="130"/>
        <v>6</v>
      </c>
    </row>
    <row r="94" spans="2:118" x14ac:dyDescent="0.25">
      <c r="B94">
        <f t="shared" ca="1" si="66"/>
        <v>481</v>
      </c>
      <c r="C94">
        <f t="shared" ca="1" si="67"/>
        <v>22</v>
      </c>
      <c r="D94">
        <f t="shared" ca="1" si="68"/>
        <v>0.21715940840675058</v>
      </c>
      <c r="F94" s="1">
        <f t="shared" ca="1" si="69"/>
        <v>26</v>
      </c>
      <c r="G94" s="1">
        <f t="shared" ca="1" si="70"/>
        <v>23</v>
      </c>
      <c r="H94" s="1">
        <f t="shared" ca="1" si="71"/>
        <v>2</v>
      </c>
      <c r="I94" s="1"/>
      <c r="J94" s="1">
        <f t="shared" ca="1" si="72"/>
        <v>18</v>
      </c>
      <c r="K94" s="1">
        <f t="shared" ca="1" si="73"/>
        <v>2.9011863148097565</v>
      </c>
      <c r="L94" s="1">
        <f t="shared" ca="1" si="74"/>
        <v>33</v>
      </c>
      <c r="M94" s="1"/>
      <c r="N94" s="1">
        <f t="shared" ca="1" si="75"/>
        <v>727</v>
      </c>
      <c r="O94" s="1">
        <f t="shared" ca="1" si="76"/>
        <v>30</v>
      </c>
      <c r="P94" s="1"/>
      <c r="Q94" s="1">
        <f t="shared" ca="1" si="77"/>
        <v>2.1878009888902414</v>
      </c>
      <c r="R94" s="1">
        <f t="shared" ca="1" si="78"/>
        <v>414</v>
      </c>
      <c r="S94" s="1"/>
      <c r="T94" s="1">
        <f t="shared" ca="1" si="79"/>
        <v>0.17231028094826145</v>
      </c>
      <c r="U94" s="1">
        <f t="shared" ca="1" si="80"/>
        <v>372</v>
      </c>
      <c r="V94" s="1">
        <f t="shared" ca="1" si="81"/>
        <v>26</v>
      </c>
      <c r="W94" s="1"/>
      <c r="X94" s="1">
        <f t="shared" ca="1" si="82"/>
        <v>2.7237379682837459</v>
      </c>
      <c r="Y94" s="1">
        <f t="shared" ca="1" si="83"/>
        <v>6.6676225208226386E-2</v>
      </c>
      <c r="Z94" s="1">
        <f t="shared" ca="1" si="84"/>
        <v>1713</v>
      </c>
      <c r="AB94" s="1">
        <f t="shared" ca="1" si="85"/>
        <v>0.35660635466351948</v>
      </c>
      <c r="AC94" s="1">
        <f t="shared" ca="1" si="86"/>
        <v>475</v>
      </c>
      <c r="AD94" s="1">
        <f t="shared" ca="1" si="87"/>
        <v>9.1531247683945497E-3</v>
      </c>
      <c r="AE94" s="1"/>
      <c r="AF94" s="1">
        <f t="shared" ca="1" si="88"/>
        <v>0.81596559008085601</v>
      </c>
      <c r="AG94" s="1">
        <f t="shared" ca="1" si="89"/>
        <v>782</v>
      </c>
      <c r="AH94" s="1">
        <f t="shared" ca="1" si="90"/>
        <v>2.123827316836735E-4</v>
      </c>
      <c r="AJ94" s="1">
        <f t="shared" ca="1" si="91"/>
        <v>0.20332700091602729</v>
      </c>
      <c r="AK94" s="1">
        <f t="shared" ca="1" si="92"/>
        <v>9.0083065362717776E-3</v>
      </c>
      <c r="AL94" s="1"/>
      <c r="AM94" s="1">
        <f t="shared" ca="1" si="93"/>
        <v>6.4973308903090235E-2</v>
      </c>
      <c r="AN94" s="1">
        <f t="shared" ca="1" si="94"/>
        <v>23</v>
      </c>
      <c r="AO94" s="1">
        <f t="shared" ca="1" si="95"/>
        <v>8</v>
      </c>
      <c r="AQ94" s="1">
        <f t="shared" ca="1" si="96"/>
        <v>85</v>
      </c>
      <c r="AR94" s="1">
        <f t="shared" ca="1" si="97"/>
        <v>4</v>
      </c>
      <c r="AS94" s="1">
        <f t="shared" ca="1" si="98"/>
        <v>9</v>
      </c>
      <c r="AU94" s="1">
        <f t="shared" ca="1" si="99"/>
        <v>149</v>
      </c>
      <c r="AV94" s="1">
        <f t="shared" ca="1" si="100"/>
        <v>3</v>
      </c>
      <c r="AW94" s="1">
        <f t="shared" ca="1" si="101"/>
        <v>5.1214704261206216E-2</v>
      </c>
      <c r="AY94" s="1">
        <f t="shared" ca="1" si="102"/>
        <v>1.4734607999257494</v>
      </c>
      <c r="AZ94" s="1">
        <f t="shared" ca="1" si="103"/>
        <v>110</v>
      </c>
      <c r="BA94" s="1">
        <f t="shared" ca="1" si="104"/>
        <v>8.1651509241946561E-3</v>
      </c>
      <c r="BG94" s="1">
        <f t="shared" ca="1" si="105"/>
        <v>0.27860402323854433</v>
      </c>
      <c r="BH94" s="1">
        <f t="shared" ca="1" si="106"/>
        <v>0.43220758511271662</v>
      </c>
      <c r="BI94" s="1">
        <f t="shared" ca="1" si="107"/>
        <v>171</v>
      </c>
      <c r="BV94" s="1">
        <f t="shared" ca="1" si="108"/>
        <v>0.38532230773095993</v>
      </c>
      <c r="BW94" s="1">
        <f t="shared" ca="1" si="109"/>
        <v>127</v>
      </c>
      <c r="BX94" s="1">
        <f t="shared" ca="1" si="110"/>
        <v>9.9851065428823815E-4</v>
      </c>
      <c r="BY94" s="1">
        <f t="shared" ca="1" si="111"/>
        <v>2.8831466029995746E-2</v>
      </c>
      <c r="BZ94" s="1">
        <f t="shared" ca="1" si="112"/>
        <v>0.91499329724322453</v>
      </c>
      <c r="CB94" s="1">
        <f t="shared" ca="1" si="113"/>
        <v>241</v>
      </c>
      <c r="CC94" s="1">
        <f t="shared" ca="1" si="114"/>
        <v>15</v>
      </c>
      <c r="CD94" s="1">
        <f t="shared" ca="1" si="115"/>
        <v>6.6146407124791584E-2</v>
      </c>
      <c r="CE94" s="1">
        <f t="shared" ca="1" si="116"/>
        <v>0.81604049167976789</v>
      </c>
      <c r="CF94" s="1">
        <f t="shared" ca="1" si="116"/>
        <v>0.68849196631660214</v>
      </c>
      <c r="CH94" s="3">
        <f t="shared" ca="1" si="117"/>
        <v>0.97683212985267309</v>
      </c>
      <c r="CI94" s="3">
        <f t="shared" ca="1" si="118"/>
        <v>1.4207386111593341E-2</v>
      </c>
      <c r="CJ94" s="3">
        <f t="shared" ca="1" si="119"/>
        <v>650</v>
      </c>
      <c r="CK94" s="3">
        <f t="shared" ca="1" si="120"/>
        <v>7.1617329414253661E-3</v>
      </c>
      <c r="CL94" s="3">
        <f t="shared" ca="1" si="121"/>
        <v>0</v>
      </c>
      <c r="CM94" s="3"/>
      <c r="CN94" s="1">
        <f t="shared" ca="1" si="122"/>
        <v>14.301923564623889</v>
      </c>
      <c r="CO94" s="1">
        <f t="shared" ca="1" si="123"/>
        <v>0.29396940852726733</v>
      </c>
      <c r="CP94" s="1">
        <f t="shared" ca="1" si="124"/>
        <v>1</v>
      </c>
      <c r="DH94" s="1">
        <f t="shared" ca="1" si="125"/>
        <v>296</v>
      </c>
      <c r="DI94" s="1">
        <f t="shared" ca="1" si="126"/>
        <v>0.60738210447335517</v>
      </c>
      <c r="DJ94" s="1">
        <f t="shared" ca="1" si="127"/>
        <v>21</v>
      </c>
      <c r="DL94" s="1">
        <f t="shared" ca="1" si="128"/>
        <v>0.18501024637998001</v>
      </c>
      <c r="DM94" s="1">
        <f t="shared" ca="1" si="129"/>
        <v>206</v>
      </c>
      <c r="DN94" s="1">
        <f t="shared" ca="1" si="130"/>
        <v>10</v>
      </c>
    </row>
    <row r="95" spans="2:118" x14ac:dyDescent="0.25">
      <c r="B95">
        <f t="shared" ca="1" si="66"/>
        <v>616</v>
      </c>
      <c r="C95">
        <f t="shared" ca="1" si="67"/>
        <v>22</v>
      </c>
      <c r="D95">
        <f t="shared" ca="1" si="68"/>
        <v>0.22407216945438221</v>
      </c>
      <c r="F95" s="1">
        <f t="shared" ca="1" si="69"/>
        <v>14</v>
      </c>
      <c r="G95" s="1">
        <f t="shared" ca="1" si="70"/>
        <v>7</v>
      </c>
      <c r="H95" s="1">
        <f t="shared" ca="1" si="71"/>
        <v>7</v>
      </c>
      <c r="I95" s="1"/>
      <c r="J95" s="1">
        <f t="shared" ca="1" si="72"/>
        <v>27</v>
      </c>
      <c r="K95" s="1">
        <f t="shared" ca="1" si="73"/>
        <v>2.8002701607783944</v>
      </c>
      <c r="L95" s="1">
        <f t="shared" ca="1" si="74"/>
        <v>15</v>
      </c>
      <c r="M95" s="1"/>
      <c r="N95" s="1">
        <f t="shared" ca="1" si="75"/>
        <v>776</v>
      </c>
      <c r="O95" s="1">
        <f t="shared" ca="1" si="76"/>
        <v>44</v>
      </c>
      <c r="P95" s="1"/>
      <c r="Q95" s="1">
        <f t="shared" ca="1" si="77"/>
        <v>2.5854876445478236</v>
      </c>
      <c r="R95" s="1">
        <f t="shared" ca="1" si="78"/>
        <v>418</v>
      </c>
      <c r="S95" s="1"/>
      <c r="T95" s="1">
        <f t="shared" ca="1" si="79"/>
        <v>0.16399629662996418</v>
      </c>
      <c r="U95" s="1">
        <f t="shared" ca="1" si="80"/>
        <v>314</v>
      </c>
      <c r="V95" s="1">
        <f t="shared" ca="1" si="81"/>
        <v>13</v>
      </c>
      <c r="W95" s="1"/>
      <c r="X95" s="1">
        <f t="shared" ca="1" si="82"/>
        <v>7.9522377817029462</v>
      </c>
      <c r="Y95" s="1">
        <f t="shared" ca="1" si="83"/>
        <v>0.72989989615212392</v>
      </c>
      <c r="Z95" s="1">
        <f t="shared" ca="1" si="84"/>
        <v>575</v>
      </c>
      <c r="AB95" s="1">
        <f t="shared" ca="1" si="85"/>
        <v>0.96166476015131852</v>
      </c>
      <c r="AC95" s="1">
        <f t="shared" ca="1" si="86"/>
        <v>370</v>
      </c>
      <c r="AD95" s="1">
        <f t="shared" ca="1" si="87"/>
        <v>2.1539422149666797E-3</v>
      </c>
      <c r="AE95" s="1"/>
      <c r="AF95" s="1">
        <f t="shared" ca="1" si="88"/>
        <v>0.46903746309775451</v>
      </c>
      <c r="AG95" s="1">
        <f t="shared" ca="1" si="89"/>
        <v>624</v>
      </c>
      <c r="AH95" s="1">
        <f t="shared" ca="1" si="90"/>
        <v>4.5802144646407139E-3</v>
      </c>
      <c r="AJ95" s="1">
        <f t="shared" ca="1" si="91"/>
        <v>0.92515020531042436</v>
      </c>
      <c r="AK95" s="1">
        <f t="shared" ca="1" si="92"/>
        <v>2.7232753891631239E-3</v>
      </c>
      <c r="AL95" s="1"/>
      <c r="AM95" s="1">
        <f t="shared" ca="1" si="93"/>
        <v>0.18523949925376373</v>
      </c>
      <c r="AN95" s="1">
        <f t="shared" ca="1" si="94"/>
        <v>19</v>
      </c>
      <c r="AO95" s="1">
        <f t="shared" ca="1" si="95"/>
        <v>10</v>
      </c>
      <c r="AQ95" s="1">
        <f t="shared" ca="1" si="96"/>
        <v>118</v>
      </c>
      <c r="AR95" s="1">
        <f t="shared" ca="1" si="97"/>
        <v>9</v>
      </c>
      <c r="AS95" s="1">
        <f t="shared" ca="1" si="98"/>
        <v>88</v>
      </c>
      <c r="AU95" s="1">
        <f t="shared" ca="1" si="99"/>
        <v>258</v>
      </c>
      <c r="AV95" s="1">
        <f t="shared" ca="1" si="100"/>
        <v>9</v>
      </c>
      <c r="AW95" s="1">
        <f t="shared" ca="1" si="101"/>
        <v>0.16720062102556776</v>
      </c>
      <c r="AY95" s="1">
        <f t="shared" ca="1" si="102"/>
        <v>1.2015781518004136</v>
      </c>
      <c r="AZ95" s="1">
        <f t="shared" ca="1" si="103"/>
        <v>331</v>
      </c>
      <c r="BA95" s="1">
        <f t="shared" ca="1" si="104"/>
        <v>8.2905735285115599E-3</v>
      </c>
      <c r="BG95" s="1">
        <f t="shared" ca="1" si="105"/>
        <v>0.62640932466463495</v>
      </c>
      <c r="BH95" s="1">
        <f t="shared" ca="1" si="106"/>
        <v>0.474820420536187</v>
      </c>
      <c r="BI95" s="1">
        <f t="shared" ca="1" si="107"/>
        <v>340</v>
      </c>
      <c r="BV95" s="1">
        <f t="shared" ca="1" si="108"/>
        <v>0.37951888909417492</v>
      </c>
      <c r="BW95" s="1">
        <f t="shared" ca="1" si="109"/>
        <v>861</v>
      </c>
      <c r="BX95" s="1">
        <f t="shared" ca="1" si="110"/>
        <v>9.9581105441902545E-3</v>
      </c>
      <c r="BY95" s="1">
        <f t="shared" ca="1" si="111"/>
        <v>9.1343433326051923E-2</v>
      </c>
      <c r="BZ95" s="1">
        <f t="shared" ca="1" si="112"/>
        <v>0.14544565766200124</v>
      </c>
      <c r="CB95" s="1">
        <f t="shared" ca="1" si="113"/>
        <v>102</v>
      </c>
      <c r="CC95" s="1">
        <f t="shared" ca="1" si="114"/>
        <v>6</v>
      </c>
      <c r="CD95" s="1">
        <f t="shared" ca="1" si="115"/>
        <v>0.19021598553779301</v>
      </c>
      <c r="CE95" s="1">
        <f t="shared" ca="1" si="116"/>
        <v>0.6824250650957655</v>
      </c>
      <c r="CF95" s="1">
        <f t="shared" ca="1" si="116"/>
        <v>0.83435693383059983</v>
      </c>
      <c r="CH95" s="3">
        <f t="shared" ca="1" si="117"/>
        <v>0.55666350893429173</v>
      </c>
      <c r="CI95" s="3">
        <f t="shared" ca="1" si="118"/>
        <v>0.11976605477448139</v>
      </c>
      <c r="CJ95" s="3">
        <f t="shared" ca="1" si="119"/>
        <v>367</v>
      </c>
      <c r="CK95" s="3">
        <f t="shared" ca="1" si="120"/>
        <v>9.5211943694224754E-3</v>
      </c>
      <c r="CL95" s="3">
        <f t="shared" ca="1" si="121"/>
        <v>1</v>
      </c>
      <c r="CM95" s="3"/>
      <c r="CN95" s="1">
        <f t="shared" ca="1" si="122"/>
        <v>16.811993958096892</v>
      </c>
      <c r="CO95" s="1">
        <f t="shared" ca="1" si="123"/>
        <v>0.32666745368814831</v>
      </c>
      <c r="CP95" s="1">
        <f t="shared" ca="1" si="124"/>
        <v>2</v>
      </c>
      <c r="DH95" s="1">
        <f t="shared" ca="1" si="125"/>
        <v>287</v>
      </c>
      <c r="DI95" s="1">
        <f t="shared" ca="1" si="126"/>
        <v>0.20651087809251983</v>
      </c>
      <c r="DJ95" s="1">
        <f t="shared" ca="1" si="127"/>
        <v>19</v>
      </c>
      <c r="DL95" s="1">
        <f t="shared" ca="1" si="128"/>
        <v>2.3033538269031907E-2</v>
      </c>
      <c r="DM95" s="1">
        <f t="shared" ca="1" si="129"/>
        <v>300</v>
      </c>
      <c r="DN95" s="1">
        <f t="shared" ca="1" si="130"/>
        <v>10</v>
      </c>
    </row>
    <row r="96" spans="2:118" x14ac:dyDescent="0.25">
      <c r="B96">
        <f t="shared" ca="1" si="66"/>
        <v>666</v>
      </c>
      <c r="C96">
        <f t="shared" ca="1" si="67"/>
        <v>49</v>
      </c>
      <c r="D96">
        <f t="shared" ca="1" si="68"/>
        <v>8.9944353026854509E-2</v>
      </c>
      <c r="F96" s="1">
        <f t="shared" ca="1" si="69"/>
        <v>42</v>
      </c>
      <c r="G96" s="1">
        <f t="shared" ca="1" si="70"/>
        <v>11</v>
      </c>
      <c r="H96" s="1">
        <f t="shared" ca="1" si="71"/>
        <v>11</v>
      </c>
      <c r="I96" s="1"/>
      <c r="J96" s="1">
        <f t="shared" ca="1" si="72"/>
        <v>27</v>
      </c>
      <c r="K96" s="1">
        <f t="shared" ca="1" si="73"/>
        <v>1.5980592569352541</v>
      </c>
      <c r="L96" s="1">
        <f t="shared" ca="1" si="74"/>
        <v>8</v>
      </c>
      <c r="M96" s="1"/>
      <c r="N96" s="1">
        <f t="shared" ca="1" si="75"/>
        <v>532</v>
      </c>
      <c r="O96" s="1">
        <f t="shared" ca="1" si="76"/>
        <v>14</v>
      </c>
      <c r="P96" s="1"/>
      <c r="Q96" s="1">
        <f t="shared" ca="1" si="77"/>
        <v>0.83367800120450997</v>
      </c>
      <c r="R96" s="1">
        <f t="shared" ca="1" si="78"/>
        <v>910</v>
      </c>
      <c r="S96" s="1"/>
      <c r="T96" s="1">
        <f t="shared" ca="1" si="79"/>
        <v>0.17486661126762432</v>
      </c>
      <c r="U96" s="1">
        <f t="shared" ca="1" si="80"/>
        <v>281</v>
      </c>
      <c r="V96" s="1">
        <f t="shared" ca="1" si="81"/>
        <v>9</v>
      </c>
      <c r="W96" s="1"/>
      <c r="X96" s="1">
        <f t="shared" ca="1" si="82"/>
        <v>6.0053944552746579</v>
      </c>
      <c r="Y96" s="1">
        <f t="shared" ca="1" si="83"/>
        <v>0.23526419046857766</v>
      </c>
      <c r="Z96" s="1">
        <f t="shared" ca="1" si="84"/>
        <v>330</v>
      </c>
      <c r="AB96" s="1">
        <f t="shared" ca="1" si="85"/>
        <v>0.26995770384314688</v>
      </c>
      <c r="AC96" s="1">
        <f t="shared" ca="1" si="86"/>
        <v>126</v>
      </c>
      <c r="AD96" s="1">
        <f t="shared" ca="1" si="87"/>
        <v>9.2088557022736578E-3</v>
      </c>
      <c r="AE96" s="1"/>
      <c r="AF96" s="1">
        <f t="shared" ca="1" si="88"/>
        <v>0.57070380090399975</v>
      </c>
      <c r="AG96" s="1">
        <f t="shared" ca="1" si="89"/>
        <v>173</v>
      </c>
      <c r="AH96" s="1">
        <f t="shared" ca="1" si="90"/>
        <v>2.9123828412221031E-3</v>
      </c>
      <c r="AJ96" s="1">
        <f t="shared" ca="1" si="91"/>
        <v>0.32178889116041209</v>
      </c>
      <c r="AK96" s="1">
        <f t="shared" ca="1" si="92"/>
        <v>5.6700330172647631E-3</v>
      </c>
      <c r="AL96" s="1"/>
      <c r="AM96" s="1">
        <f t="shared" ca="1" si="93"/>
        <v>0.18731339399098676</v>
      </c>
      <c r="AN96" s="1">
        <f t="shared" ca="1" si="94"/>
        <v>44</v>
      </c>
      <c r="AO96" s="1">
        <f t="shared" ca="1" si="95"/>
        <v>6</v>
      </c>
      <c r="AQ96" s="1">
        <f t="shared" ca="1" si="96"/>
        <v>59</v>
      </c>
      <c r="AR96" s="1">
        <f t="shared" ca="1" si="97"/>
        <v>1</v>
      </c>
      <c r="AS96" s="1">
        <f t="shared" ca="1" si="98"/>
        <v>53</v>
      </c>
      <c r="AU96" s="1">
        <f t="shared" ca="1" si="99"/>
        <v>62</v>
      </c>
      <c r="AV96" s="1">
        <f t="shared" ca="1" si="100"/>
        <v>9</v>
      </c>
      <c r="AW96" s="1">
        <f t="shared" ca="1" si="101"/>
        <v>8.5068331286873994E-2</v>
      </c>
      <c r="AY96" s="1">
        <f t="shared" ca="1" si="102"/>
        <v>1.398603017265134</v>
      </c>
      <c r="AZ96" s="1">
        <f t="shared" ca="1" si="103"/>
        <v>310</v>
      </c>
      <c r="BA96" s="1">
        <f t="shared" ca="1" si="104"/>
        <v>3.3666777426458508E-3</v>
      </c>
      <c r="BG96" s="1">
        <f t="shared" ca="1" si="105"/>
        <v>0.6452880629014387</v>
      </c>
      <c r="BH96" s="1">
        <f t="shared" ca="1" si="106"/>
        <v>0.22025247381952306</v>
      </c>
      <c r="BI96" s="1">
        <f t="shared" ca="1" si="107"/>
        <v>103</v>
      </c>
      <c r="BV96" s="1">
        <f t="shared" ca="1" si="108"/>
        <v>0.93006338385588194</v>
      </c>
      <c r="BW96" s="1">
        <f t="shared" ca="1" si="109"/>
        <v>276</v>
      </c>
      <c r="BX96" s="1">
        <f t="shared" ca="1" si="110"/>
        <v>2.1183298861653719E-3</v>
      </c>
      <c r="BY96" s="1">
        <f t="shared" ca="1" si="111"/>
        <v>6.9894367423880166E-2</v>
      </c>
      <c r="BZ96" s="1">
        <f t="shared" ca="1" si="112"/>
        <v>0.28331254374937942</v>
      </c>
      <c r="CB96" s="1">
        <f t="shared" ca="1" si="113"/>
        <v>74</v>
      </c>
      <c r="CC96" s="1">
        <f t="shared" ca="1" si="114"/>
        <v>3</v>
      </c>
      <c r="CD96" s="1">
        <f t="shared" ca="1" si="115"/>
        <v>0.11467674782243978</v>
      </c>
      <c r="CE96" s="1">
        <f t="shared" ca="1" si="116"/>
        <v>0.59479680410781488</v>
      </c>
      <c r="CF96" s="1">
        <f t="shared" ca="1" si="116"/>
        <v>0.70383172409517891</v>
      </c>
      <c r="CH96" s="3">
        <f t="shared" ca="1" si="117"/>
        <v>0.48286360471156231</v>
      </c>
      <c r="CI96" s="3">
        <f t="shared" ca="1" si="118"/>
        <v>0.740764689074077</v>
      </c>
      <c r="CJ96" s="3">
        <f t="shared" ca="1" si="119"/>
        <v>856</v>
      </c>
      <c r="CK96" s="3">
        <f t="shared" ca="1" si="120"/>
        <v>7.41993900605458E-3</v>
      </c>
      <c r="CL96" s="3">
        <f t="shared" ca="1" si="121"/>
        <v>0</v>
      </c>
      <c r="CM96" s="3"/>
      <c r="CN96" s="1">
        <f t="shared" ca="1" si="122"/>
        <v>7.5244864656898285</v>
      </c>
      <c r="CO96" s="1">
        <f t="shared" ca="1" si="123"/>
        <v>0.21092591020717658</v>
      </c>
      <c r="CP96" s="1">
        <f t="shared" ca="1" si="124"/>
        <v>4</v>
      </c>
      <c r="DH96" s="1">
        <f t="shared" ca="1" si="125"/>
        <v>893</v>
      </c>
      <c r="DI96" s="1">
        <f t="shared" ca="1" si="126"/>
        <v>0.66543267263003947</v>
      </c>
      <c r="DJ96" s="1">
        <f t="shared" ca="1" si="127"/>
        <v>22</v>
      </c>
      <c r="DL96" s="1">
        <f t="shared" ca="1" si="128"/>
        <v>0.13380562264509041</v>
      </c>
      <c r="DM96" s="1">
        <f t="shared" ca="1" si="129"/>
        <v>200</v>
      </c>
      <c r="DN96" s="1">
        <f t="shared" ca="1" si="130"/>
        <v>2</v>
      </c>
    </row>
    <row r="97" spans="2:118" x14ac:dyDescent="0.25">
      <c r="B97">
        <f t="shared" ca="1" si="66"/>
        <v>307</v>
      </c>
      <c r="C97">
        <f t="shared" ca="1" si="67"/>
        <v>5</v>
      </c>
      <c r="D97">
        <f t="shared" ca="1" si="68"/>
        <v>0.18883795643435022</v>
      </c>
      <c r="F97" s="1">
        <f t="shared" ca="1" si="69"/>
        <v>52</v>
      </c>
      <c r="G97" s="1">
        <f t="shared" ca="1" si="70"/>
        <v>4</v>
      </c>
      <c r="H97" s="1">
        <f t="shared" ca="1" si="71"/>
        <v>15</v>
      </c>
      <c r="I97" s="1"/>
      <c r="J97" s="1">
        <f t="shared" ca="1" si="72"/>
        <v>30</v>
      </c>
      <c r="K97" s="1">
        <f t="shared" ca="1" si="73"/>
        <v>1.2815661703216505</v>
      </c>
      <c r="L97" s="1">
        <f t="shared" ca="1" si="74"/>
        <v>19</v>
      </c>
      <c r="M97" s="1"/>
      <c r="N97" s="1">
        <f t="shared" ca="1" si="75"/>
        <v>592</v>
      </c>
      <c r="O97" s="1">
        <f t="shared" ca="1" si="76"/>
        <v>43</v>
      </c>
      <c r="P97" s="1"/>
      <c r="Q97" s="1">
        <f t="shared" ca="1" si="77"/>
        <v>0.21813593689288027</v>
      </c>
      <c r="R97" s="1">
        <f t="shared" ca="1" si="78"/>
        <v>821</v>
      </c>
      <c r="S97" s="1"/>
      <c r="T97" s="1">
        <f t="shared" ca="1" si="79"/>
        <v>0.12138870046927557</v>
      </c>
      <c r="U97" s="1">
        <f t="shared" ca="1" si="80"/>
        <v>169</v>
      </c>
      <c r="V97" s="1">
        <f t="shared" ca="1" si="81"/>
        <v>22</v>
      </c>
      <c r="W97" s="1"/>
      <c r="X97" s="1">
        <f t="shared" ca="1" si="82"/>
        <v>2.6079042923209603</v>
      </c>
      <c r="Y97" s="1">
        <f t="shared" ca="1" si="83"/>
        <v>0.55164718807078772</v>
      </c>
      <c r="Z97" s="1">
        <f t="shared" ca="1" si="84"/>
        <v>1271</v>
      </c>
      <c r="AB97" s="1">
        <f t="shared" ca="1" si="85"/>
        <v>0.88124931157133157</v>
      </c>
      <c r="AC97" s="1">
        <f t="shared" ca="1" si="86"/>
        <v>527</v>
      </c>
      <c r="AD97" s="1">
        <f t="shared" ca="1" si="87"/>
        <v>7.8500739298434756E-3</v>
      </c>
      <c r="AE97" s="1"/>
      <c r="AF97" s="1">
        <f t="shared" ca="1" si="88"/>
        <v>0.30301303936863888</v>
      </c>
      <c r="AG97" s="1">
        <f t="shared" ca="1" si="89"/>
        <v>509</v>
      </c>
      <c r="AH97" s="1">
        <f t="shared" ca="1" si="90"/>
        <v>8.0940696943299396E-3</v>
      </c>
      <c r="AJ97" s="1">
        <f t="shared" ca="1" si="91"/>
        <v>0.94031216498206127</v>
      </c>
      <c r="AK97" s="1">
        <f t="shared" ca="1" si="92"/>
        <v>8.4995687727174255E-3</v>
      </c>
      <c r="AL97" s="1"/>
      <c r="AM97" s="1">
        <f t="shared" ca="1" si="93"/>
        <v>3.8596064750648487E-2</v>
      </c>
      <c r="AN97" s="1">
        <f t="shared" ca="1" si="94"/>
        <v>37</v>
      </c>
      <c r="AO97" s="1">
        <f t="shared" ca="1" si="95"/>
        <v>8</v>
      </c>
      <c r="AQ97" s="1">
        <f t="shared" ca="1" si="96"/>
        <v>19</v>
      </c>
      <c r="AR97" s="1">
        <f t="shared" ca="1" si="97"/>
        <v>6</v>
      </c>
      <c r="AS97" s="1">
        <f t="shared" ca="1" si="98"/>
        <v>69</v>
      </c>
      <c r="AU97" s="1">
        <f t="shared" ca="1" si="99"/>
        <v>263</v>
      </c>
      <c r="AV97" s="1">
        <f t="shared" ca="1" si="100"/>
        <v>2</v>
      </c>
      <c r="AW97" s="1">
        <f t="shared" ca="1" si="101"/>
        <v>3.6447589414103976E-2</v>
      </c>
      <c r="AY97" s="1">
        <f t="shared" ca="1" si="102"/>
        <v>1.3996730339488592</v>
      </c>
      <c r="AZ97" s="1">
        <f t="shared" ca="1" si="103"/>
        <v>355</v>
      </c>
      <c r="BA97" s="1">
        <f t="shared" ca="1" si="104"/>
        <v>1.3564178431570639E-3</v>
      </c>
      <c r="BG97" s="1">
        <f t="shared" ca="1" si="105"/>
        <v>0.35163671986554579</v>
      </c>
      <c r="BH97" s="1">
        <f t="shared" ca="1" si="106"/>
        <v>0.6835304675148266</v>
      </c>
      <c r="BI97" s="1">
        <f t="shared" ca="1" si="107"/>
        <v>301</v>
      </c>
      <c r="BV97" s="1">
        <f t="shared" ca="1" si="108"/>
        <v>0.23318837425644523</v>
      </c>
      <c r="BW97" s="1">
        <f t="shared" ca="1" si="109"/>
        <v>285</v>
      </c>
      <c r="BX97" s="1">
        <f t="shared" ca="1" si="110"/>
        <v>5.6806312127304585E-3</v>
      </c>
      <c r="BY97" s="1">
        <f t="shared" ca="1" si="111"/>
        <v>7.7265540254435494E-2</v>
      </c>
      <c r="BZ97" s="1">
        <f t="shared" ca="1" si="112"/>
        <v>0.8716635572585778</v>
      </c>
      <c r="CB97" s="1">
        <f t="shared" ca="1" si="113"/>
        <v>269</v>
      </c>
      <c r="CC97" s="1">
        <f t="shared" ca="1" si="114"/>
        <v>13</v>
      </c>
      <c r="CD97" s="1">
        <f t="shared" ca="1" si="115"/>
        <v>8.9655758319379636E-2</v>
      </c>
      <c r="CE97" s="1">
        <f t="shared" ca="1" si="116"/>
        <v>0.98699207095302266</v>
      </c>
      <c r="CF97" s="1">
        <f t="shared" ca="1" si="116"/>
        <v>0.88649380121422416</v>
      </c>
      <c r="CH97" s="3">
        <f t="shared" ca="1" si="117"/>
        <v>0.94177472948098595</v>
      </c>
      <c r="CI97" s="3">
        <f t="shared" ca="1" si="118"/>
        <v>2.3455000172584905E-2</v>
      </c>
      <c r="CJ97" s="3">
        <f t="shared" ca="1" si="119"/>
        <v>1059</v>
      </c>
      <c r="CK97" s="3">
        <f t="shared" ca="1" si="120"/>
        <v>1.7824971538879955E-3</v>
      </c>
      <c r="CL97" s="3">
        <f t="shared" ca="1" si="121"/>
        <v>1</v>
      </c>
      <c r="CM97" s="3"/>
      <c r="CN97" s="1">
        <f t="shared" ca="1" si="122"/>
        <v>4.6990539675182106</v>
      </c>
      <c r="CO97" s="1">
        <f t="shared" ca="1" si="123"/>
        <v>0.37485741591058513</v>
      </c>
      <c r="CP97" s="1">
        <f t="shared" ca="1" si="124"/>
        <v>2</v>
      </c>
      <c r="DH97" s="1">
        <f t="shared" ca="1" si="125"/>
        <v>91</v>
      </c>
      <c r="DI97" s="1">
        <f t="shared" ca="1" si="126"/>
        <v>0.92294365057284278</v>
      </c>
      <c r="DJ97" s="1">
        <f t="shared" ca="1" si="127"/>
        <v>3</v>
      </c>
      <c r="DL97" s="1">
        <f t="shared" ca="1" si="128"/>
        <v>0.15519156953606908</v>
      </c>
      <c r="DM97" s="1">
        <f t="shared" ca="1" si="129"/>
        <v>258</v>
      </c>
      <c r="DN97" s="1">
        <f t="shared" ca="1" si="130"/>
        <v>5</v>
      </c>
    </row>
    <row r="98" spans="2:118" x14ac:dyDescent="0.25">
      <c r="B98">
        <f t="shared" ca="1" si="66"/>
        <v>617</v>
      </c>
      <c r="C98">
        <f t="shared" ca="1" si="67"/>
        <v>46</v>
      </c>
      <c r="D98">
        <f t="shared" ca="1" si="68"/>
        <v>0.12409821574631368</v>
      </c>
      <c r="F98" s="1">
        <f t="shared" ca="1" si="69"/>
        <v>8</v>
      </c>
      <c r="G98" s="1">
        <f t="shared" ca="1" si="70"/>
        <v>28</v>
      </c>
      <c r="H98" s="1">
        <f t="shared" ca="1" si="71"/>
        <v>3</v>
      </c>
      <c r="I98" s="1"/>
      <c r="J98" s="1">
        <f t="shared" ca="1" si="72"/>
        <v>6</v>
      </c>
      <c r="K98" s="1">
        <f t="shared" ca="1" si="73"/>
        <v>2.8645701826180172</v>
      </c>
      <c r="L98" s="1">
        <f t="shared" ca="1" si="74"/>
        <v>27</v>
      </c>
      <c r="M98" s="1"/>
      <c r="N98" s="1">
        <f t="shared" ca="1" si="75"/>
        <v>942</v>
      </c>
      <c r="O98" s="1">
        <f t="shared" ca="1" si="76"/>
        <v>13</v>
      </c>
      <c r="P98" s="1"/>
      <c r="Q98" s="1">
        <f t="shared" ca="1" si="77"/>
        <v>0.60553474024984466</v>
      </c>
      <c r="R98" s="1">
        <f t="shared" ca="1" si="78"/>
        <v>339</v>
      </c>
      <c r="S98" s="1"/>
      <c r="T98" s="1">
        <f t="shared" ca="1" si="79"/>
        <v>0.12782570520231182</v>
      </c>
      <c r="U98" s="1">
        <f t="shared" ca="1" si="80"/>
        <v>307</v>
      </c>
      <c r="V98" s="1">
        <f t="shared" ca="1" si="81"/>
        <v>2</v>
      </c>
      <c r="W98" s="1"/>
      <c r="X98" s="1">
        <f t="shared" ca="1" si="82"/>
        <v>4.6481447581705133</v>
      </c>
      <c r="Y98" s="1">
        <f t="shared" ca="1" si="83"/>
        <v>0.92521525638297997</v>
      </c>
      <c r="Z98" s="1">
        <f t="shared" ca="1" si="84"/>
        <v>407</v>
      </c>
      <c r="AB98" s="1">
        <f t="shared" ca="1" si="85"/>
        <v>0.53720865511918237</v>
      </c>
      <c r="AC98" s="1">
        <f t="shared" ca="1" si="86"/>
        <v>116</v>
      </c>
      <c r="AD98" s="1">
        <f t="shared" ca="1" si="87"/>
        <v>5.8328542735285246E-3</v>
      </c>
      <c r="AE98" s="1"/>
      <c r="AF98" s="1">
        <f t="shared" ca="1" si="88"/>
        <v>0.32527829803360958</v>
      </c>
      <c r="AG98" s="1">
        <f t="shared" ca="1" si="89"/>
        <v>759</v>
      </c>
      <c r="AH98" s="1">
        <f t="shared" ca="1" si="90"/>
        <v>2.5124537893452278E-5</v>
      </c>
      <c r="AJ98" s="1">
        <f t="shared" ca="1" si="91"/>
        <v>0.58460765225947853</v>
      </c>
      <c r="AK98" s="1">
        <f t="shared" ca="1" si="92"/>
        <v>2.6531863277424583E-3</v>
      </c>
      <c r="AL98" s="1"/>
      <c r="AM98" s="1">
        <f t="shared" ca="1" si="93"/>
        <v>0.15852210922742233</v>
      </c>
      <c r="AN98" s="1">
        <f t="shared" ca="1" si="94"/>
        <v>10</v>
      </c>
      <c r="AO98" s="1">
        <f t="shared" ca="1" si="95"/>
        <v>18</v>
      </c>
      <c r="AQ98" s="1">
        <f t="shared" ca="1" si="96"/>
        <v>10</v>
      </c>
      <c r="AR98" s="1">
        <f t="shared" ca="1" si="97"/>
        <v>6</v>
      </c>
      <c r="AS98" s="1">
        <f t="shared" ca="1" si="98"/>
        <v>62</v>
      </c>
      <c r="AU98" s="1">
        <f t="shared" ca="1" si="99"/>
        <v>293</v>
      </c>
      <c r="AV98" s="1">
        <f t="shared" ca="1" si="100"/>
        <v>6</v>
      </c>
      <c r="AW98" s="1">
        <f t="shared" ca="1" si="101"/>
        <v>0.17048125924482493</v>
      </c>
      <c r="AY98" s="1">
        <f t="shared" ca="1" si="102"/>
        <v>1.842695107320854</v>
      </c>
      <c r="AZ98" s="1">
        <f t="shared" ca="1" si="103"/>
        <v>363</v>
      </c>
      <c r="BA98" s="1">
        <f t="shared" ca="1" si="104"/>
        <v>3.3348373316461374E-3</v>
      </c>
      <c r="BG98" s="1">
        <f t="shared" ca="1" si="105"/>
        <v>0.1638012571838218</v>
      </c>
      <c r="BH98" s="1">
        <f t="shared" ca="1" si="106"/>
        <v>0.2428351168306716</v>
      </c>
      <c r="BI98" s="1">
        <f t="shared" ca="1" si="107"/>
        <v>247</v>
      </c>
      <c r="BV98" s="1">
        <f t="shared" ca="1" si="108"/>
        <v>0.66932267895940767</v>
      </c>
      <c r="BW98" s="1">
        <f t="shared" ca="1" si="109"/>
        <v>703</v>
      </c>
      <c r="BX98" s="1">
        <f t="shared" ca="1" si="110"/>
        <v>6.5160286742528149E-4</v>
      </c>
      <c r="BY98" s="1">
        <f t="shared" ca="1" si="111"/>
        <v>6.8294812233703595E-2</v>
      </c>
      <c r="BZ98" s="1">
        <f t="shared" ca="1" si="112"/>
        <v>0.59560088424630231</v>
      </c>
      <c r="CB98" s="1">
        <f t="shared" ca="1" si="113"/>
        <v>395</v>
      </c>
      <c r="CC98" s="1">
        <f t="shared" ca="1" si="114"/>
        <v>14</v>
      </c>
      <c r="CD98" s="1">
        <f t="shared" ca="1" si="115"/>
        <v>0.10662847110285496</v>
      </c>
      <c r="CE98" s="1">
        <f t="shared" ca="1" si="116"/>
        <v>0.7973407160074919</v>
      </c>
      <c r="CF98" s="1">
        <f t="shared" ca="1" si="116"/>
        <v>0.89637224596261111</v>
      </c>
      <c r="CH98" s="3">
        <f t="shared" ca="1" si="117"/>
        <v>0.35615206980218594</v>
      </c>
      <c r="CI98" s="3">
        <f t="shared" ca="1" si="118"/>
        <v>0.2519638584605064</v>
      </c>
      <c r="CJ98" s="3">
        <f t="shared" ca="1" si="119"/>
        <v>289</v>
      </c>
      <c r="CK98" s="3">
        <f t="shared" ca="1" si="120"/>
        <v>5.6455712440797732E-3</v>
      </c>
      <c r="CL98" s="3">
        <f t="shared" ca="1" si="121"/>
        <v>1</v>
      </c>
      <c r="CM98" s="3"/>
      <c r="CN98" s="1">
        <f t="shared" ca="1" si="122"/>
        <v>19.737973142449196</v>
      </c>
      <c r="CO98" s="1">
        <f t="shared" ca="1" si="123"/>
        <v>1.141832447456503E-2</v>
      </c>
      <c r="CP98" s="1">
        <f t="shared" ca="1" si="124"/>
        <v>3</v>
      </c>
      <c r="DH98" s="1">
        <f t="shared" ca="1" si="125"/>
        <v>262</v>
      </c>
      <c r="DI98" s="1">
        <f t="shared" ca="1" si="126"/>
        <v>0.6376888070286223</v>
      </c>
      <c r="DJ98" s="1">
        <f t="shared" ca="1" si="127"/>
        <v>21</v>
      </c>
      <c r="DL98" s="1">
        <f t="shared" ca="1" si="128"/>
        <v>0.19029100673161636</v>
      </c>
      <c r="DM98" s="1">
        <f t="shared" ca="1" si="129"/>
        <v>119</v>
      </c>
      <c r="DN98" s="1">
        <f t="shared" ca="1" si="130"/>
        <v>2</v>
      </c>
    </row>
    <row r="99" spans="2:118" x14ac:dyDescent="0.25">
      <c r="B99">
        <f t="shared" ca="1" si="66"/>
        <v>645</v>
      </c>
      <c r="C99">
        <f t="shared" ca="1" si="67"/>
        <v>6</v>
      </c>
      <c r="D99">
        <f t="shared" ca="1" si="68"/>
        <v>0.2242941882731424</v>
      </c>
      <c r="F99" s="1">
        <f t="shared" ca="1" si="69"/>
        <v>32</v>
      </c>
      <c r="G99" s="1">
        <f t="shared" ca="1" si="70"/>
        <v>11</v>
      </c>
      <c r="H99" s="1">
        <f t="shared" ca="1" si="71"/>
        <v>5</v>
      </c>
      <c r="I99" s="1"/>
      <c r="J99" s="1">
        <f t="shared" ca="1" si="72"/>
        <v>25</v>
      </c>
      <c r="K99" s="1">
        <f t="shared" ca="1" si="73"/>
        <v>1.4219482531250529</v>
      </c>
      <c r="L99" s="1">
        <f t="shared" ca="1" si="74"/>
        <v>28</v>
      </c>
      <c r="M99" s="1"/>
      <c r="N99" s="1">
        <f t="shared" ca="1" si="75"/>
        <v>565</v>
      </c>
      <c r="O99" s="1">
        <f t="shared" ca="1" si="76"/>
        <v>25</v>
      </c>
      <c r="P99" s="1"/>
      <c r="Q99" s="1">
        <f t="shared" ca="1" si="77"/>
        <v>1.9054883370051665</v>
      </c>
      <c r="R99" s="1">
        <f t="shared" ca="1" si="78"/>
        <v>1115</v>
      </c>
      <c r="S99" s="1"/>
      <c r="T99" s="1">
        <f t="shared" ca="1" si="79"/>
        <v>6.9706119169903671E-2</v>
      </c>
      <c r="U99" s="1">
        <f t="shared" ca="1" si="80"/>
        <v>154</v>
      </c>
      <c r="V99" s="1">
        <f t="shared" ca="1" si="81"/>
        <v>21</v>
      </c>
      <c r="W99" s="1"/>
      <c r="X99" s="1">
        <f t="shared" ca="1" si="82"/>
        <v>3.1615655746910756</v>
      </c>
      <c r="Y99" s="1">
        <f t="shared" ca="1" si="83"/>
        <v>0.39172454196402295</v>
      </c>
      <c r="Z99" s="1">
        <f t="shared" ca="1" si="84"/>
        <v>1480</v>
      </c>
      <c r="AB99" s="1">
        <f t="shared" ca="1" si="85"/>
        <v>0.55153772997517514</v>
      </c>
      <c r="AC99" s="1">
        <f t="shared" ca="1" si="86"/>
        <v>889</v>
      </c>
      <c r="AD99" s="1">
        <f t="shared" ca="1" si="87"/>
        <v>6.2765341907103592E-3</v>
      </c>
      <c r="AE99" s="1"/>
      <c r="AF99" s="1">
        <f t="shared" ca="1" si="88"/>
        <v>0.61490084993497129</v>
      </c>
      <c r="AG99" s="1">
        <f t="shared" ca="1" si="89"/>
        <v>514</v>
      </c>
      <c r="AH99" s="1">
        <f t="shared" ca="1" si="90"/>
        <v>5.4482142676603434E-3</v>
      </c>
      <c r="AJ99" s="1">
        <f t="shared" ca="1" si="91"/>
        <v>0.32789284364733717</v>
      </c>
      <c r="AK99" s="1">
        <f t="shared" ca="1" si="92"/>
        <v>7.1940241525937877E-3</v>
      </c>
      <c r="AL99" s="1"/>
      <c r="AM99" s="1">
        <f t="shared" ca="1" si="93"/>
        <v>0.19870015873327726</v>
      </c>
      <c r="AN99" s="1">
        <f t="shared" ca="1" si="94"/>
        <v>29</v>
      </c>
      <c r="AO99" s="1">
        <f t="shared" ca="1" si="95"/>
        <v>-1</v>
      </c>
      <c r="AQ99" s="1">
        <f t="shared" ca="1" si="96"/>
        <v>75</v>
      </c>
      <c r="AR99" s="1">
        <f t="shared" ca="1" si="97"/>
        <v>4</v>
      </c>
      <c r="AS99" s="1">
        <f t="shared" ca="1" si="98"/>
        <v>100</v>
      </c>
      <c r="AU99" s="1">
        <f t="shared" ca="1" si="99"/>
        <v>99</v>
      </c>
      <c r="AV99" s="1">
        <f t="shared" ca="1" si="100"/>
        <v>9</v>
      </c>
      <c r="AW99" s="1">
        <f t="shared" ca="1" si="101"/>
        <v>0.1723302548489129</v>
      </c>
      <c r="AY99" s="1">
        <f t="shared" ca="1" si="102"/>
        <v>1.7250460529605398</v>
      </c>
      <c r="AZ99" s="1">
        <f t="shared" ca="1" si="103"/>
        <v>465</v>
      </c>
      <c r="BA99" s="1">
        <f t="shared" ca="1" si="104"/>
        <v>4.9688960108596764E-3</v>
      </c>
      <c r="BG99" s="1">
        <f t="shared" ca="1" si="105"/>
        <v>0.14447087822837737</v>
      </c>
      <c r="BH99" s="1">
        <f t="shared" ca="1" si="106"/>
        <v>0.56890852279395931</v>
      </c>
      <c r="BI99" s="1">
        <f t="shared" ca="1" si="107"/>
        <v>124</v>
      </c>
      <c r="BV99" s="1">
        <f t="shared" ca="1" si="108"/>
        <v>0.33751210444537727</v>
      </c>
      <c r="BW99" s="1">
        <f t="shared" ca="1" si="109"/>
        <v>868</v>
      </c>
      <c r="BX99" s="1">
        <f t="shared" ca="1" si="110"/>
        <v>6.6081473634198055E-3</v>
      </c>
      <c r="BY99" s="1">
        <f t="shared" ca="1" si="111"/>
        <v>8.222342887689757E-2</v>
      </c>
      <c r="BZ99" s="1">
        <f t="shared" ca="1" si="112"/>
        <v>0.43600939973981923</v>
      </c>
      <c r="CB99" s="1">
        <f t="shared" ca="1" si="113"/>
        <v>147</v>
      </c>
      <c r="CC99" s="1">
        <f t="shared" ca="1" si="114"/>
        <v>13</v>
      </c>
      <c r="CD99" s="1">
        <f t="shared" ca="1" si="115"/>
        <v>0.12796395799422713</v>
      </c>
      <c r="CE99" s="1">
        <f t="shared" ca="1" si="116"/>
        <v>0.51967673942186199</v>
      </c>
      <c r="CF99" s="1">
        <f t="shared" ca="1" si="116"/>
        <v>0.51113510907097581</v>
      </c>
      <c r="CH99" s="3">
        <f t="shared" ca="1" si="117"/>
        <v>0.48151228630666909</v>
      </c>
      <c r="CI99" s="3">
        <f t="shared" ca="1" si="118"/>
        <v>0.16206431114895006</v>
      </c>
      <c r="CJ99" s="3">
        <f t="shared" ca="1" si="119"/>
        <v>275</v>
      </c>
      <c r="CK99" s="3">
        <f t="shared" ca="1" si="120"/>
        <v>8.5156593998225883E-3</v>
      </c>
      <c r="CL99" s="3">
        <f t="shared" ca="1" si="121"/>
        <v>0</v>
      </c>
      <c r="CM99" s="3"/>
      <c r="CN99" s="1">
        <f t="shared" ca="1" si="122"/>
        <v>5.945776630994045</v>
      </c>
      <c r="CO99" s="1">
        <f t="shared" ca="1" si="123"/>
        <v>0.16877815483089254</v>
      </c>
      <c r="CP99" s="1">
        <f t="shared" ca="1" si="124"/>
        <v>4</v>
      </c>
      <c r="DH99" s="1">
        <f t="shared" ca="1" si="125"/>
        <v>449</v>
      </c>
      <c r="DI99" s="1">
        <f t="shared" ca="1" si="126"/>
        <v>0.33950843886447679</v>
      </c>
      <c r="DJ99" s="1">
        <f t="shared" ca="1" si="127"/>
        <v>7</v>
      </c>
      <c r="DL99" s="1">
        <f t="shared" ca="1" si="128"/>
        <v>0.15052185615343383</v>
      </c>
      <c r="DM99" s="1">
        <f t="shared" ca="1" si="129"/>
        <v>157</v>
      </c>
      <c r="DN99" s="1">
        <f t="shared" ca="1" si="130"/>
        <v>6</v>
      </c>
    </row>
    <row r="100" spans="2:118" x14ac:dyDescent="0.25">
      <c r="B100">
        <f t="shared" ca="1" si="66"/>
        <v>219</v>
      </c>
      <c r="C100">
        <f t="shared" ca="1" si="67"/>
        <v>12</v>
      </c>
      <c r="D100">
        <f t="shared" ca="1" si="68"/>
        <v>5.7043908801400332E-2</v>
      </c>
      <c r="F100" s="1">
        <f t="shared" ca="1" si="69"/>
        <v>24</v>
      </c>
      <c r="G100" s="1">
        <f t="shared" ca="1" si="70"/>
        <v>22</v>
      </c>
      <c r="H100" s="1">
        <f t="shared" ca="1" si="71"/>
        <v>8</v>
      </c>
      <c r="I100" s="1"/>
      <c r="J100" s="1">
        <f t="shared" ca="1" si="72"/>
        <v>6</v>
      </c>
      <c r="K100" s="1">
        <f t="shared" ca="1" si="73"/>
        <v>1.560800837803032</v>
      </c>
      <c r="L100" s="1">
        <f t="shared" ca="1" si="74"/>
        <v>14</v>
      </c>
      <c r="M100" s="1"/>
      <c r="N100" s="1">
        <f t="shared" ca="1" si="75"/>
        <v>137</v>
      </c>
      <c r="O100" s="1">
        <f t="shared" ca="1" si="76"/>
        <v>15</v>
      </c>
      <c r="P100" s="1"/>
      <c r="Q100" s="1">
        <f t="shared" ca="1" si="77"/>
        <v>4.5563423291752816</v>
      </c>
      <c r="R100" s="1">
        <f t="shared" ca="1" si="78"/>
        <v>343</v>
      </c>
      <c r="S100" s="1"/>
      <c r="T100" s="1">
        <f t="shared" ca="1" si="79"/>
        <v>5.9862321043680007E-2</v>
      </c>
      <c r="U100" s="1">
        <f t="shared" ca="1" si="80"/>
        <v>249</v>
      </c>
      <c r="V100" s="1">
        <f t="shared" ca="1" si="81"/>
        <v>27</v>
      </c>
      <c r="W100" s="1"/>
      <c r="X100" s="1">
        <f t="shared" ca="1" si="82"/>
        <v>0.75034538796617811</v>
      </c>
      <c r="Y100" s="1">
        <f t="shared" ca="1" si="83"/>
        <v>0.79375553227811269</v>
      </c>
      <c r="Z100" s="1">
        <f t="shared" ca="1" si="84"/>
        <v>693</v>
      </c>
      <c r="AB100" s="1">
        <f t="shared" ca="1" si="85"/>
        <v>0.69123519656696808</v>
      </c>
      <c r="AC100" s="1">
        <f t="shared" ca="1" si="86"/>
        <v>212</v>
      </c>
      <c r="AD100" s="1">
        <f t="shared" ca="1" si="87"/>
        <v>8.7785345333279158E-3</v>
      </c>
      <c r="AE100" s="1"/>
      <c r="AF100" s="1">
        <f t="shared" ca="1" si="88"/>
        <v>0.57136932869483481</v>
      </c>
      <c r="AG100" s="1">
        <f t="shared" ca="1" si="89"/>
        <v>852</v>
      </c>
      <c r="AH100" s="1">
        <f t="shared" ca="1" si="90"/>
        <v>4.8649267914324052E-3</v>
      </c>
      <c r="AJ100" s="1">
        <f t="shared" ca="1" si="91"/>
        <v>0.43236557179083823</v>
      </c>
      <c r="AK100" s="1">
        <f t="shared" ca="1" si="92"/>
        <v>6.6564987057481277E-3</v>
      </c>
      <c r="AL100" s="1"/>
      <c r="AM100" s="1">
        <f t="shared" ca="1" si="93"/>
        <v>0.13091141127797179</v>
      </c>
      <c r="AN100" s="1">
        <f t="shared" ca="1" si="94"/>
        <v>27</v>
      </c>
      <c r="AO100" s="1">
        <f t="shared" ca="1" si="95"/>
        <v>7</v>
      </c>
      <c r="AQ100" s="1">
        <f t="shared" ca="1" si="96"/>
        <v>49</v>
      </c>
      <c r="AR100" s="1">
        <f t="shared" ca="1" si="97"/>
        <v>8</v>
      </c>
      <c r="AS100" s="1">
        <f t="shared" ca="1" si="98"/>
        <v>66</v>
      </c>
      <c r="AU100" s="1">
        <f t="shared" ca="1" si="99"/>
        <v>71</v>
      </c>
      <c r="AV100" s="1">
        <f t="shared" ca="1" si="100"/>
        <v>4</v>
      </c>
      <c r="AW100" s="1">
        <f t="shared" ca="1" si="101"/>
        <v>6.5168354956346305E-2</v>
      </c>
      <c r="AY100" s="1">
        <f t="shared" ca="1" si="102"/>
        <v>1.1099548901106513</v>
      </c>
      <c r="AZ100" s="1">
        <f t="shared" ca="1" si="103"/>
        <v>442</v>
      </c>
      <c r="BA100" s="1">
        <f t="shared" ca="1" si="104"/>
        <v>4.4251658682241731E-3</v>
      </c>
      <c r="BG100" s="1">
        <f t="shared" ca="1" si="105"/>
        <v>0.98085188066996365</v>
      </c>
      <c r="BH100" s="1">
        <f t="shared" ca="1" si="106"/>
        <v>0.58046933767294429</v>
      </c>
      <c r="BI100" s="1">
        <f t="shared" ca="1" si="107"/>
        <v>957</v>
      </c>
      <c r="BV100" s="1">
        <f t="shared" ca="1" si="108"/>
        <v>0.76443219534934082</v>
      </c>
      <c r="BW100" s="1">
        <f t="shared" ca="1" si="109"/>
        <v>218</v>
      </c>
      <c r="BX100" s="1">
        <f t="shared" ca="1" si="110"/>
        <v>4.6635688092107495E-3</v>
      </c>
      <c r="BY100" s="1">
        <f t="shared" ca="1" si="111"/>
        <v>2.571838374419445E-2</v>
      </c>
      <c r="BZ100" s="1">
        <f t="shared" ca="1" si="112"/>
        <v>5.3889301357048058E-2</v>
      </c>
      <c r="CB100" s="1">
        <f t="shared" ca="1" si="113"/>
        <v>455</v>
      </c>
      <c r="CC100" s="1">
        <f t="shared" ca="1" si="114"/>
        <v>8</v>
      </c>
      <c r="CD100" s="1">
        <f t="shared" ca="1" si="115"/>
        <v>0.26943376153766524</v>
      </c>
      <c r="CE100" s="1">
        <f t="shared" ref="CE100:CF131" ca="1" si="131">RAND()*(1-0.5)+0.5</f>
        <v>0.65335595059024709</v>
      </c>
      <c r="CF100" s="1">
        <f t="shared" ca="1" si="131"/>
        <v>0.54520270173379892</v>
      </c>
      <c r="CH100" s="3">
        <f t="shared" ca="1" si="117"/>
        <v>0.95965655859894994</v>
      </c>
      <c r="CI100" s="3">
        <f t="shared" ca="1" si="118"/>
        <v>1.111920570630647E-2</v>
      </c>
      <c r="CJ100" s="3">
        <f t="shared" ca="1" si="119"/>
        <v>365</v>
      </c>
      <c r="CK100" s="3">
        <f t="shared" ca="1" si="120"/>
        <v>2.3691903760340487E-3</v>
      </c>
      <c r="CL100" s="3">
        <f t="shared" ca="1" si="121"/>
        <v>1</v>
      </c>
      <c r="CM100" s="3"/>
      <c r="CN100" s="1">
        <f t="shared" ca="1" si="122"/>
        <v>16.037787613027962</v>
      </c>
      <c r="CO100" s="1">
        <f t="shared" ca="1" si="123"/>
        <v>0.19348054324764266</v>
      </c>
      <c r="CP100" s="1">
        <f t="shared" ca="1" si="124"/>
        <v>3</v>
      </c>
      <c r="DH100" s="1">
        <f t="shared" ca="1" si="125"/>
        <v>891</v>
      </c>
      <c r="DI100" s="1">
        <f t="shared" ca="1" si="126"/>
        <v>0.33383327869234447</v>
      </c>
      <c r="DJ100" s="1">
        <f t="shared" ca="1" si="127"/>
        <v>14</v>
      </c>
      <c r="DL100" s="1">
        <f t="shared" ca="1" si="128"/>
        <v>0.11630110204362475</v>
      </c>
      <c r="DM100" s="1">
        <f t="shared" ca="1" si="129"/>
        <v>157</v>
      </c>
      <c r="DN100" s="1">
        <f t="shared" ca="1" si="130"/>
        <v>10</v>
      </c>
    </row>
    <row r="101" spans="2:118" x14ac:dyDescent="0.25">
      <c r="B101">
        <f t="shared" ca="1" si="66"/>
        <v>92</v>
      </c>
      <c r="C101">
        <f t="shared" ca="1" si="67"/>
        <v>48</v>
      </c>
      <c r="D101">
        <f t="shared" ca="1" si="68"/>
        <v>0.22287128654931829</v>
      </c>
      <c r="F101" s="1">
        <f t="shared" ca="1" si="69"/>
        <v>22</v>
      </c>
      <c r="G101" s="1">
        <f t="shared" ca="1" si="70"/>
        <v>10</v>
      </c>
      <c r="H101" s="1">
        <f t="shared" ca="1" si="71"/>
        <v>3</v>
      </c>
      <c r="I101" s="1"/>
      <c r="J101" s="1">
        <f t="shared" ca="1" si="72"/>
        <v>36</v>
      </c>
      <c r="K101" s="1">
        <f t="shared" ca="1" si="73"/>
        <v>2.127744847450546</v>
      </c>
      <c r="L101" s="1">
        <f t="shared" ca="1" si="74"/>
        <v>19</v>
      </c>
      <c r="M101" s="1"/>
      <c r="N101" s="1">
        <f t="shared" ca="1" si="75"/>
        <v>57</v>
      </c>
      <c r="O101" s="1">
        <f t="shared" ca="1" si="76"/>
        <v>35</v>
      </c>
      <c r="P101" s="1"/>
      <c r="Q101" s="1">
        <f t="shared" ca="1" si="77"/>
        <v>2.2229404525809087</v>
      </c>
      <c r="R101" s="1">
        <f t="shared" ca="1" si="78"/>
        <v>703</v>
      </c>
      <c r="S101" s="1"/>
      <c r="T101" s="1">
        <f t="shared" ca="1" si="79"/>
        <v>8.1210714155466643E-2</v>
      </c>
      <c r="U101" s="1">
        <f t="shared" ca="1" si="80"/>
        <v>95</v>
      </c>
      <c r="V101" s="1">
        <f t="shared" ca="1" si="81"/>
        <v>16</v>
      </c>
      <c r="W101" s="1"/>
      <c r="X101" s="1">
        <f t="shared" ca="1" si="82"/>
        <v>9.6003439633738861</v>
      </c>
      <c r="Y101" s="1">
        <f t="shared" ca="1" si="83"/>
        <v>0.12503022918321735</v>
      </c>
      <c r="Z101" s="1">
        <f t="shared" ca="1" si="84"/>
        <v>1948</v>
      </c>
      <c r="AB101" s="1">
        <f t="shared" ca="1" si="85"/>
        <v>0.412767816594101</v>
      </c>
      <c r="AC101" s="1">
        <f t="shared" ca="1" si="86"/>
        <v>226</v>
      </c>
      <c r="AD101" s="1">
        <f t="shared" ca="1" si="87"/>
        <v>9.7017760783830072E-3</v>
      </c>
      <c r="AE101" s="1"/>
      <c r="AF101" s="1">
        <f t="shared" ca="1" si="88"/>
        <v>0.64303527850558528</v>
      </c>
      <c r="AG101" s="1">
        <f t="shared" ca="1" si="89"/>
        <v>345</v>
      </c>
      <c r="AH101" s="1">
        <f t="shared" ca="1" si="90"/>
        <v>4.5789559007007909E-3</v>
      </c>
      <c r="AJ101" s="1">
        <f t="shared" ca="1" si="91"/>
        <v>0.44795550421839159</v>
      </c>
      <c r="AK101" s="1">
        <f t="shared" ca="1" si="92"/>
        <v>8.9537991113232702E-3</v>
      </c>
      <c r="AL101" s="1"/>
      <c r="AM101" s="1">
        <f t="shared" ca="1" si="93"/>
        <v>5.1297848189885073E-2</v>
      </c>
      <c r="AN101" s="1">
        <f t="shared" ca="1" si="94"/>
        <v>55</v>
      </c>
      <c r="AO101" s="1">
        <f t="shared" ca="1" si="95"/>
        <v>20</v>
      </c>
      <c r="AQ101" s="1">
        <f t="shared" ca="1" si="96"/>
        <v>151</v>
      </c>
      <c r="AR101" s="1">
        <f t="shared" ca="1" si="97"/>
        <v>10</v>
      </c>
      <c r="AS101" s="1">
        <f t="shared" ca="1" si="98"/>
        <v>70</v>
      </c>
      <c r="AU101" s="1">
        <f t="shared" ca="1" si="99"/>
        <v>393</v>
      </c>
      <c r="AV101" s="1">
        <f t="shared" ca="1" si="100"/>
        <v>4</v>
      </c>
      <c r="AW101" s="1">
        <f t="shared" ca="1" si="101"/>
        <v>1.2484634942316305E-2</v>
      </c>
      <c r="AY101" s="1">
        <f t="shared" ca="1" si="102"/>
        <v>1.8982822203796128</v>
      </c>
      <c r="AZ101" s="1">
        <f t="shared" ca="1" si="103"/>
        <v>205</v>
      </c>
      <c r="BA101" s="1">
        <f t="shared" ca="1" si="104"/>
        <v>1.7539982894997986E-3</v>
      </c>
      <c r="BG101" s="1">
        <f t="shared" ca="1" si="105"/>
        <v>0.54597743113619157</v>
      </c>
      <c r="BH101" s="1">
        <f t="shared" ca="1" si="106"/>
        <v>0.28592371598031718</v>
      </c>
      <c r="BI101" s="1">
        <f t="shared" ca="1" si="107"/>
        <v>722</v>
      </c>
      <c r="BV101" s="1">
        <f t="shared" ca="1" si="108"/>
        <v>0.33724861711658266</v>
      </c>
      <c r="BW101" s="1">
        <f t="shared" ca="1" si="109"/>
        <v>267</v>
      </c>
      <c r="BX101" s="1">
        <f t="shared" ca="1" si="110"/>
        <v>4.8488377255618571E-3</v>
      </c>
      <c r="BY101" s="1">
        <f t="shared" ca="1" si="111"/>
        <v>4.1949222317992044E-2</v>
      </c>
      <c r="BZ101" s="1">
        <f t="shared" ca="1" si="112"/>
        <v>0.46506656735572649</v>
      </c>
      <c r="CB101" s="1">
        <f t="shared" ca="1" si="113"/>
        <v>125</v>
      </c>
      <c r="CC101" s="1">
        <f t="shared" ca="1" si="114"/>
        <v>8</v>
      </c>
      <c r="CD101" s="1">
        <f t="shared" ca="1" si="115"/>
        <v>0.19905479600524967</v>
      </c>
      <c r="CE101" s="1">
        <f t="shared" ca="1" si="131"/>
        <v>0.70722957251512153</v>
      </c>
      <c r="CF101" s="1">
        <f t="shared" ca="1" si="131"/>
        <v>0.53980989040915262</v>
      </c>
      <c r="CH101" s="3">
        <f t="shared" ca="1" si="117"/>
        <v>0.97156574757567238</v>
      </c>
      <c r="CI101" s="3">
        <f t="shared" ca="1" si="118"/>
        <v>0.22537383435543273</v>
      </c>
      <c r="CJ101" s="3">
        <f t="shared" ca="1" si="119"/>
        <v>217</v>
      </c>
      <c r="CK101" s="3">
        <f t="shared" ca="1" si="120"/>
        <v>3.3861673806862003E-3</v>
      </c>
      <c r="CL101" s="3">
        <f t="shared" ca="1" si="121"/>
        <v>1</v>
      </c>
      <c r="CM101" s="3"/>
      <c r="CN101" s="1">
        <f t="shared" ca="1" si="122"/>
        <v>19.466035901241447</v>
      </c>
      <c r="CO101" s="1">
        <f t="shared" ca="1" si="123"/>
        <v>0.26880460869947825</v>
      </c>
      <c r="CP101" s="1">
        <f t="shared" ca="1" si="124"/>
        <v>2</v>
      </c>
      <c r="DH101" s="1">
        <f t="shared" ca="1" si="125"/>
        <v>557</v>
      </c>
      <c r="DI101" s="1">
        <f t="shared" ca="1" si="126"/>
        <v>0.53959990470967756</v>
      </c>
      <c r="DJ101" s="1">
        <f t="shared" ca="1" si="127"/>
        <v>8</v>
      </c>
      <c r="DL101" s="1">
        <f t="shared" ca="1" si="128"/>
        <v>5.6853879479518289E-2</v>
      </c>
      <c r="DM101" s="1">
        <f t="shared" ca="1" si="129"/>
        <v>152</v>
      </c>
      <c r="DN101" s="1">
        <f t="shared" ca="1" si="130"/>
        <v>6</v>
      </c>
    </row>
    <row r="102" spans="2:118" x14ac:dyDescent="0.25">
      <c r="B102">
        <f t="shared" ca="1" si="66"/>
        <v>657</v>
      </c>
      <c r="C102">
        <f t="shared" ca="1" si="67"/>
        <v>6</v>
      </c>
      <c r="D102">
        <f t="shared" ca="1" si="68"/>
        <v>0.14495682097490639</v>
      </c>
      <c r="F102" s="1">
        <f t="shared" ca="1" si="69"/>
        <v>43</v>
      </c>
      <c r="G102" s="1">
        <f t="shared" ca="1" si="70"/>
        <v>12</v>
      </c>
      <c r="H102" s="1">
        <f t="shared" ca="1" si="71"/>
        <v>14</v>
      </c>
      <c r="I102" s="1"/>
      <c r="J102" s="1">
        <f t="shared" ca="1" si="72"/>
        <v>29</v>
      </c>
      <c r="K102" s="1">
        <f t="shared" ca="1" si="73"/>
        <v>2.8868525065165591</v>
      </c>
      <c r="L102" s="1">
        <f t="shared" ca="1" si="74"/>
        <v>14</v>
      </c>
      <c r="M102" s="1"/>
      <c r="N102" s="1">
        <f t="shared" ca="1" si="75"/>
        <v>803</v>
      </c>
      <c r="O102" s="1">
        <f t="shared" ca="1" si="76"/>
        <v>24</v>
      </c>
      <c r="P102" s="1"/>
      <c r="Q102" s="1">
        <f t="shared" ca="1" si="77"/>
        <v>3.7450440655337154</v>
      </c>
      <c r="R102" s="1">
        <f t="shared" ca="1" si="78"/>
        <v>1129</v>
      </c>
      <c r="S102" s="1"/>
      <c r="T102" s="1">
        <f t="shared" ca="1" si="79"/>
        <v>0.10554500302284044</v>
      </c>
      <c r="U102" s="1">
        <f t="shared" ca="1" si="80"/>
        <v>114</v>
      </c>
      <c r="V102" s="1">
        <f t="shared" ca="1" si="81"/>
        <v>15</v>
      </c>
      <c r="W102" s="1"/>
      <c r="X102" s="1">
        <f t="shared" ca="1" si="82"/>
        <v>7.4025659932181016</v>
      </c>
      <c r="Y102" s="1">
        <f t="shared" ca="1" si="83"/>
        <v>0.6190081305265368</v>
      </c>
      <c r="Z102" s="1">
        <f t="shared" ca="1" si="84"/>
        <v>626</v>
      </c>
      <c r="AB102" s="1">
        <f t="shared" ca="1" si="85"/>
        <v>0.46517685926520846</v>
      </c>
      <c r="AC102" s="1">
        <f t="shared" ca="1" si="86"/>
        <v>236</v>
      </c>
      <c r="AD102" s="1">
        <f t="shared" ca="1" si="87"/>
        <v>7.0396422518644777E-3</v>
      </c>
      <c r="AE102" s="1"/>
      <c r="AF102" s="1">
        <f t="shared" ca="1" si="88"/>
        <v>0.4026792224842739</v>
      </c>
      <c r="AG102" s="1">
        <f t="shared" ca="1" si="89"/>
        <v>962</v>
      </c>
      <c r="AH102" s="1">
        <f t="shared" ca="1" si="90"/>
        <v>1.4612095156099902E-3</v>
      </c>
      <c r="AJ102" s="1">
        <f t="shared" ca="1" si="91"/>
        <v>0.14170439221004882</v>
      </c>
      <c r="AK102" s="1">
        <f t="shared" ca="1" si="92"/>
        <v>5.6423054773743157E-3</v>
      </c>
      <c r="AL102" s="1"/>
      <c r="AM102" s="1">
        <f t="shared" ca="1" si="93"/>
        <v>0.1124532246789722</v>
      </c>
      <c r="AN102" s="1">
        <f t="shared" ca="1" si="94"/>
        <v>22</v>
      </c>
      <c r="AO102" s="1">
        <f t="shared" ca="1" si="95"/>
        <v>12</v>
      </c>
      <c r="AQ102" s="1">
        <f t="shared" ca="1" si="96"/>
        <v>69</v>
      </c>
      <c r="AR102" s="1">
        <f t="shared" ca="1" si="97"/>
        <v>4</v>
      </c>
      <c r="AS102" s="1">
        <f t="shared" ca="1" si="98"/>
        <v>80</v>
      </c>
      <c r="AU102" s="1">
        <f t="shared" ca="1" si="99"/>
        <v>164</v>
      </c>
      <c r="AV102" s="1">
        <f t="shared" ca="1" si="100"/>
        <v>7</v>
      </c>
      <c r="AW102" s="1">
        <f t="shared" ca="1" si="101"/>
        <v>0.19167034164979643</v>
      </c>
      <c r="AY102" s="1">
        <f t="shared" ca="1" si="102"/>
        <v>1.1077839480797449</v>
      </c>
      <c r="AZ102" s="1">
        <f t="shared" ca="1" si="103"/>
        <v>479</v>
      </c>
      <c r="BA102" s="1">
        <f t="shared" ca="1" si="104"/>
        <v>8.9565584848193443E-3</v>
      </c>
      <c r="BG102" s="1">
        <f t="shared" ca="1" si="105"/>
        <v>0.92088738239746415</v>
      </c>
      <c r="BH102" s="1">
        <f t="shared" ca="1" si="106"/>
        <v>0.66948098672471379</v>
      </c>
      <c r="BI102" s="1">
        <f t="shared" ca="1" si="107"/>
        <v>455</v>
      </c>
      <c r="BV102" s="1">
        <f t="shared" ca="1" si="108"/>
        <v>5.4286404250969866E-2</v>
      </c>
      <c r="BW102" s="1">
        <f t="shared" ca="1" si="109"/>
        <v>775</v>
      </c>
      <c r="BX102" s="1">
        <f t="shared" ca="1" si="110"/>
        <v>1.0287935652303669E-3</v>
      </c>
      <c r="BY102" s="1">
        <f t="shared" ca="1" si="111"/>
        <v>5.4074538263522036E-2</v>
      </c>
      <c r="BZ102" s="1">
        <f t="shared" ca="1" si="112"/>
        <v>0.24660714249780291</v>
      </c>
      <c r="CB102" s="1">
        <f t="shared" ca="1" si="113"/>
        <v>261</v>
      </c>
      <c r="CC102" s="1">
        <f t="shared" ca="1" si="114"/>
        <v>7</v>
      </c>
      <c r="CD102" s="1">
        <f t="shared" ca="1" si="115"/>
        <v>0.14130668710843033</v>
      </c>
      <c r="CE102" s="1">
        <f t="shared" ca="1" si="131"/>
        <v>0.69472341541571758</v>
      </c>
      <c r="CF102" s="1">
        <f t="shared" ca="1" si="131"/>
        <v>0.62276053798845366</v>
      </c>
      <c r="CH102" s="3">
        <f t="shared" ca="1" si="117"/>
        <v>0.20803337748462533</v>
      </c>
      <c r="CI102" s="3">
        <f t="shared" ca="1" si="118"/>
        <v>0.92745929681267392</v>
      </c>
      <c r="CJ102" s="3">
        <f t="shared" ca="1" si="119"/>
        <v>1945</v>
      </c>
      <c r="CK102" s="3">
        <f t="shared" ca="1" si="120"/>
        <v>3.7921172554055134E-3</v>
      </c>
      <c r="CL102" s="3">
        <f t="shared" ca="1" si="121"/>
        <v>0</v>
      </c>
      <c r="CM102" s="3"/>
      <c r="CN102" s="1">
        <f t="shared" ca="1" si="122"/>
        <v>9.9299877148042963</v>
      </c>
      <c r="CO102" s="1">
        <f t="shared" ca="1" si="123"/>
        <v>0.44169841693428852</v>
      </c>
      <c r="CP102" s="1">
        <f t="shared" ca="1" si="124"/>
        <v>5</v>
      </c>
      <c r="DH102" s="1">
        <f t="shared" ca="1" si="125"/>
        <v>76</v>
      </c>
      <c r="DI102" s="1">
        <f t="shared" ca="1" si="126"/>
        <v>0.25557574830739244</v>
      </c>
      <c r="DJ102" s="1">
        <f t="shared" ca="1" si="127"/>
        <v>2</v>
      </c>
      <c r="DL102" s="1">
        <f t="shared" ca="1" si="128"/>
        <v>2.9074838456756159E-2</v>
      </c>
      <c r="DM102" s="1">
        <f t="shared" ca="1" si="129"/>
        <v>61</v>
      </c>
      <c r="DN102" s="1">
        <f t="shared" ca="1" si="130"/>
        <v>2</v>
      </c>
    </row>
    <row r="103" spans="2:118" x14ac:dyDescent="0.25">
      <c r="B103">
        <f t="shared" ca="1" si="66"/>
        <v>688</v>
      </c>
      <c r="C103">
        <f t="shared" ca="1" si="67"/>
        <v>39</v>
      </c>
      <c r="D103">
        <f t="shared" ca="1" si="68"/>
        <v>0.21630134095318607</v>
      </c>
      <c r="F103" s="1">
        <f t="shared" ca="1" si="69"/>
        <v>48</v>
      </c>
      <c r="G103" s="1">
        <f t="shared" ca="1" si="70"/>
        <v>10</v>
      </c>
      <c r="H103" s="1">
        <f t="shared" ca="1" si="71"/>
        <v>11</v>
      </c>
      <c r="I103" s="1"/>
      <c r="J103" s="1">
        <f t="shared" ca="1" si="72"/>
        <v>20</v>
      </c>
      <c r="K103" s="1">
        <f t="shared" ca="1" si="73"/>
        <v>1.8330470474606519</v>
      </c>
      <c r="L103" s="1">
        <f t="shared" ca="1" si="74"/>
        <v>9</v>
      </c>
      <c r="M103" s="1"/>
      <c r="N103" s="1">
        <f t="shared" ca="1" si="75"/>
        <v>820</v>
      </c>
      <c r="O103" s="1">
        <f t="shared" ca="1" si="76"/>
        <v>46</v>
      </c>
      <c r="P103" s="1"/>
      <c r="Q103" s="1">
        <f t="shared" ca="1" si="77"/>
        <v>4.3439527936219422</v>
      </c>
      <c r="R103" s="1">
        <f t="shared" ca="1" si="78"/>
        <v>489</v>
      </c>
      <c r="S103" s="1"/>
      <c r="T103" s="1">
        <f t="shared" ca="1" si="79"/>
        <v>0.1066213992176375</v>
      </c>
      <c r="U103" s="1">
        <f t="shared" ca="1" si="80"/>
        <v>440</v>
      </c>
      <c r="V103" s="1">
        <f t="shared" ca="1" si="81"/>
        <v>44</v>
      </c>
      <c r="W103" s="1"/>
      <c r="X103" s="1">
        <f t="shared" ca="1" si="82"/>
        <v>9.9723861359714157</v>
      </c>
      <c r="Y103" s="1">
        <f t="shared" ca="1" si="83"/>
        <v>0.32832935729305218</v>
      </c>
      <c r="Z103" s="1">
        <f t="shared" ca="1" si="84"/>
        <v>108</v>
      </c>
      <c r="AB103" s="1">
        <f t="shared" ca="1" si="85"/>
        <v>0.65008375682691855</v>
      </c>
      <c r="AC103" s="1">
        <f t="shared" ca="1" si="86"/>
        <v>519</v>
      </c>
      <c r="AD103" s="1">
        <f t="shared" ca="1" si="87"/>
        <v>6.3908276478437075E-3</v>
      </c>
      <c r="AE103" s="1"/>
      <c r="AF103" s="1">
        <f t="shared" ca="1" si="88"/>
        <v>0.86453864268891001</v>
      </c>
      <c r="AG103" s="1">
        <f t="shared" ca="1" si="89"/>
        <v>496</v>
      </c>
      <c r="AH103" s="1">
        <f t="shared" ca="1" si="90"/>
        <v>5.890482153461666E-3</v>
      </c>
      <c r="AJ103" s="1">
        <f t="shared" ca="1" si="91"/>
        <v>0.71605069538135324</v>
      </c>
      <c r="AK103" s="1">
        <f t="shared" ca="1" si="92"/>
        <v>2.3490479486987601E-3</v>
      </c>
      <c r="AL103" s="1"/>
      <c r="AM103" s="1">
        <f t="shared" ca="1" si="93"/>
        <v>0.10280959306916586</v>
      </c>
      <c r="AN103" s="1">
        <f t="shared" ca="1" si="94"/>
        <v>19</v>
      </c>
      <c r="AO103" s="1">
        <f t="shared" ca="1" si="95"/>
        <v>13</v>
      </c>
      <c r="AQ103" s="1">
        <f t="shared" ca="1" si="96"/>
        <v>77</v>
      </c>
      <c r="AR103" s="1">
        <f t="shared" ca="1" si="97"/>
        <v>5</v>
      </c>
      <c r="AS103" s="1">
        <f t="shared" ca="1" si="98"/>
        <v>59</v>
      </c>
      <c r="AU103" s="1">
        <f t="shared" ca="1" si="99"/>
        <v>305</v>
      </c>
      <c r="AV103" s="1">
        <f t="shared" ca="1" si="100"/>
        <v>6</v>
      </c>
      <c r="AW103" s="1">
        <f t="shared" ca="1" si="101"/>
        <v>0.17085922381394358</v>
      </c>
      <c r="AY103" s="1">
        <f t="shared" ca="1" si="102"/>
        <v>1.4224835146018506</v>
      </c>
      <c r="AZ103" s="1">
        <f t="shared" ca="1" si="103"/>
        <v>431</v>
      </c>
      <c r="BA103" s="1">
        <f t="shared" ca="1" si="104"/>
        <v>3.1795893495733898E-3</v>
      </c>
      <c r="BG103" s="1">
        <f t="shared" ca="1" si="105"/>
        <v>0.52461887024314102</v>
      </c>
      <c r="BH103" s="1">
        <f t="shared" ca="1" si="106"/>
        <v>0.354009620070737</v>
      </c>
      <c r="BI103" s="1">
        <f t="shared" ca="1" si="107"/>
        <v>269</v>
      </c>
      <c r="BV103" s="1">
        <f t="shared" ca="1" si="108"/>
        <v>0.55527890357906784</v>
      </c>
      <c r="BW103" s="1">
        <f t="shared" ca="1" si="109"/>
        <v>143</v>
      </c>
      <c r="BX103" s="1">
        <f t="shared" ca="1" si="110"/>
        <v>7.5382959724558992E-3</v>
      </c>
      <c r="BY103" s="1">
        <f t="shared" ca="1" si="111"/>
        <v>4.3791775840293763E-2</v>
      </c>
      <c r="BZ103" s="1">
        <f t="shared" ca="1" si="112"/>
        <v>0.64670074874834349</v>
      </c>
      <c r="CB103" s="1">
        <f t="shared" ca="1" si="113"/>
        <v>241</v>
      </c>
      <c r="CC103" s="1">
        <f t="shared" ca="1" si="114"/>
        <v>12</v>
      </c>
      <c r="CD103" s="1">
        <f t="shared" ca="1" si="115"/>
        <v>7.5157429437164899E-2</v>
      </c>
      <c r="CE103" s="1">
        <f t="shared" ca="1" si="131"/>
        <v>0.88089805443872304</v>
      </c>
      <c r="CF103" s="1">
        <f t="shared" ca="1" si="131"/>
        <v>0.52213740845058498</v>
      </c>
      <c r="CH103" s="3">
        <f t="shared" ca="1" si="117"/>
        <v>0.39423286946589658</v>
      </c>
      <c r="CI103" s="3">
        <f t="shared" ca="1" si="118"/>
        <v>0.12435541808468169</v>
      </c>
      <c r="CJ103" s="3">
        <f t="shared" ca="1" si="119"/>
        <v>1539</v>
      </c>
      <c r="CK103" s="3">
        <f t="shared" ca="1" si="120"/>
        <v>6.9198255958296965E-3</v>
      </c>
      <c r="CL103" s="3">
        <f t="shared" ca="1" si="121"/>
        <v>1</v>
      </c>
      <c r="CM103" s="3"/>
      <c r="CN103" s="1">
        <f t="shared" ca="1" si="122"/>
        <v>15.342298835964694</v>
      </c>
      <c r="CO103" s="1">
        <f t="shared" ca="1" si="123"/>
        <v>0.38435533105949315</v>
      </c>
      <c r="CP103" s="1">
        <f t="shared" ca="1" si="124"/>
        <v>1</v>
      </c>
      <c r="DH103" s="1">
        <f t="shared" ca="1" si="125"/>
        <v>405</v>
      </c>
      <c r="DI103" s="1">
        <f t="shared" ca="1" si="126"/>
        <v>0.55223814390273351</v>
      </c>
      <c r="DJ103" s="1">
        <f t="shared" ca="1" si="127"/>
        <v>15</v>
      </c>
      <c r="DL103" s="1">
        <f t="shared" ca="1" si="128"/>
        <v>7.3450807279113919E-2</v>
      </c>
      <c r="DM103" s="1">
        <f t="shared" ca="1" si="129"/>
        <v>78</v>
      </c>
      <c r="DN103" s="1">
        <f t="shared" ca="1" si="130"/>
        <v>6</v>
      </c>
    </row>
    <row r="104" spans="2:118" x14ac:dyDescent="0.25">
      <c r="B104">
        <f t="shared" ca="1" si="66"/>
        <v>453</v>
      </c>
      <c r="C104">
        <f t="shared" ca="1" si="67"/>
        <v>27</v>
      </c>
      <c r="D104">
        <f t="shared" ca="1" si="68"/>
        <v>0.12925982635218217</v>
      </c>
      <c r="F104" s="1">
        <f t="shared" ca="1" si="69"/>
        <v>26</v>
      </c>
      <c r="G104" s="1">
        <f t="shared" ca="1" si="70"/>
        <v>24</v>
      </c>
      <c r="H104" s="1">
        <f t="shared" ca="1" si="71"/>
        <v>3</v>
      </c>
      <c r="I104" s="1"/>
      <c r="J104" s="1">
        <f t="shared" ca="1" si="72"/>
        <v>18</v>
      </c>
      <c r="K104" s="1">
        <f t="shared" ca="1" si="73"/>
        <v>2.048189522123987</v>
      </c>
      <c r="L104" s="1">
        <f t="shared" ca="1" si="74"/>
        <v>20</v>
      </c>
      <c r="M104" s="1"/>
      <c r="N104" s="1">
        <f t="shared" ca="1" si="75"/>
        <v>735</v>
      </c>
      <c r="O104" s="1">
        <f t="shared" ca="1" si="76"/>
        <v>5</v>
      </c>
      <c r="P104" s="1"/>
      <c r="Q104" s="1">
        <f t="shared" ca="1" si="77"/>
        <v>3.7449988217088834</v>
      </c>
      <c r="R104" s="1">
        <f t="shared" ca="1" si="78"/>
        <v>1012</v>
      </c>
      <c r="S104" s="1"/>
      <c r="T104" s="1">
        <f t="shared" ca="1" si="79"/>
        <v>0.11602479464445348</v>
      </c>
      <c r="U104" s="1">
        <f t="shared" ca="1" si="80"/>
        <v>63</v>
      </c>
      <c r="V104" s="1">
        <f t="shared" ca="1" si="81"/>
        <v>24</v>
      </c>
      <c r="W104" s="1"/>
      <c r="X104" s="1">
        <f t="shared" ca="1" si="82"/>
        <v>5.8766502618481296</v>
      </c>
      <c r="Y104" s="1">
        <f t="shared" ca="1" si="83"/>
        <v>0.65396355205735779</v>
      </c>
      <c r="Z104" s="1">
        <f t="shared" ca="1" si="84"/>
        <v>231</v>
      </c>
      <c r="AB104" s="1">
        <f t="shared" ca="1" si="85"/>
        <v>0.16534742295046045</v>
      </c>
      <c r="AC104" s="1">
        <f t="shared" ca="1" si="86"/>
        <v>231</v>
      </c>
      <c r="AD104" s="1">
        <f t="shared" ca="1" si="87"/>
        <v>5.7971303203329747E-3</v>
      </c>
      <c r="AE104" s="1"/>
      <c r="AF104" s="1">
        <f t="shared" ca="1" si="88"/>
        <v>0.87552855095689508</v>
      </c>
      <c r="AG104" s="1">
        <f t="shared" ca="1" si="89"/>
        <v>374</v>
      </c>
      <c r="AH104" s="1">
        <f t="shared" ca="1" si="90"/>
        <v>8.8648950165538306E-3</v>
      </c>
      <c r="AJ104" s="1">
        <f t="shared" ca="1" si="91"/>
        <v>0.88449244628499013</v>
      </c>
      <c r="AK104" s="1">
        <f t="shared" ca="1" si="92"/>
        <v>6.3421106286653296E-3</v>
      </c>
      <c r="AL104" s="1"/>
      <c r="AM104" s="1">
        <f t="shared" ca="1" si="93"/>
        <v>4.6183834995765581E-2</v>
      </c>
      <c r="AN104" s="1">
        <f t="shared" ca="1" si="94"/>
        <v>63</v>
      </c>
      <c r="AO104" s="1">
        <f t="shared" ca="1" si="95"/>
        <v>9</v>
      </c>
      <c r="AQ104" s="1">
        <f t="shared" ca="1" si="96"/>
        <v>28</v>
      </c>
      <c r="AR104" s="1">
        <f t="shared" ca="1" si="97"/>
        <v>3</v>
      </c>
      <c r="AS104" s="1">
        <f t="shared" ca="1" si="98"/>
        <v>67</v>
      </c>
      <c r="AU104" s="1">
        <f t="shared" ca="1" si="99"/>
        <v>245</v>
      </c>
      <c r="AV104" s="1">
        <f t="shared" ca="1" si="100"/>
        <v>10</v>
      </c>
      <c r="AW104" s="1">
        <f t="shared" ca="1" si="101"/>
        <v>9.5413493532912411E-2</v>
      </c>
      <c r="AY104" s="1">
        <f t="shared" ca="1" si="102"/>
        <v>1.1290142398170806</v>
      </c>
      <c r="AZ104" s="1">
        <f t="shared" ca="1" si="103"/>
        <v>208</v>
      </c>
      <c r="BA104" s="1">
        <f t="shared" ca="1" si="104"/>
        <v>4.3823220311545409E-3</v>
      </c>
      <c r="BG104" s="1">
        <f t="shared" ca="1" si="105"/>
        <v>0.32719002856744356</v>
      </c>
      <c r="BH104" s="1">
        <f t="shared" ca="1" si="106"/>
        <v>0.3104035549868831</v>
      </c>
      <c r="BI104" s="1">
        <f t="shared" ca="1" si="107"/>
        <v>545</v>
      </c>
      <c r="BV104" s="1">
        <f t="shared" ca="1" si="108"/>
        <v>0.41619145014085263</v>
      </c>
      <c r="BW104" s="1">
        <f t="shared" ca="1" si="109"/>
        <v>898</v>
      </c>
      <c r="BX104" s="1">
        <f t="shared" ca="1" si="110"/>
        <v>9.4059575895813138E-3</v>
      </c>
      <c r="BY104" s="1">
        <f t="shared" ca="1" si="111"/>
        <v>7.3029709136514215E-2</v>
      </c>
      <c r="BZ104" s="1">
        <f t="shared" ca="1" si="112"/>
        <v>0.41714902282504762</v>
      </c>
      <c r="CB104" s="1">
        <f t="shared" ca="1" si="113"/>
        <v>272</v>
      </c>
      <c r="CC104" s="1">
        <f t="shared" ca="1" si="114"/>
        <v>15</v>
      </c>
      <c r="CD104" s="1">
        <f t="shared" ca="1" si="115"/>
        <v>0.20414921084326054</v>
      </c>
      <c r="CE104" s="1">
        <f t="shared" ca="1" si="131"/>
        <v>0.88118781413254921</v>
      </c>
      <c r="CF104" s="1">
        <f t="shared" ca="1" si="131"/>
        <v>0.81204764106406768</v>
      </c>
      <c r="CH104" s="3">
        <f t="shared" ca="1" si="117"/>
        <v>0.99812245795549737</v>
      </c>
      <c r="CI104" s="3">
        <f t="shared" ca="1" si="118"/>
        <v>0.68175801148240134</v>
      </c>
      <c r="CJ104" s="3">
        <f t="shared" ca="1" si="119"/>
        <v>1037</v>
      </c>
      <c r="CK104" s="3">
        <f t="shared" ca="1" si="120"/>
        <v>3.9786515939517183E-3</v>
      </c>
      <c r="CL104" s="3">
        <f t="shared" ca="1" si="121"/>
        <v>0</v>
      </c>
      <c r="CM104" s="3"/>
      <c r="CN104" s="1">
        <f t="shared" ca="1" si="122"/>
        <v>11.836828644106525</v>
      </c>
      <c r="CO104" s="1">
        <f t="shared" ca="1" si="123"/>
        <v>0.15878454054236416</v>
      </c>
      <c r="CP104" s="1">
        <f t="shared" ca="1" si="124"/>
        <v>1</v>
      </c>
      <c r="DH104" s="1">
        <f t="shared" ca="1" si="125"/>
        <v>705</v>
      </c>
      <c r="DI104" s="1">
        <f t="shared" ca="1" si="126"/>
        <v>0.68976809095540814</v>
      </c>
      <c r="DJ104" s="1">
        <f t="shared" ca="1" si="127"/>
        <v>25</v>
      </c>
      <c r="DL104" s="1">
        <f t="shared" ca="1" si="128"/>
        <v>0.1635765093961653</v>
      </c>
      <c r="DM104" s="1">
        <f t="shared" ca="1" si="129"/>
        <v>116</v>
      </c>
      <c r="DN104" s="1">
        <f t="shared" ca="1" si="130"/>
        <v>6</v>
      </c>
    </row>
    <row r="105" spans="2:118" x14ac:dyDescent="0.25">
      <c r="B105">
        <f t="shared" ca="1" si="66"/>
        <v>517</v>
      </c>
      <c r="C105">
        <f t="shared" ca="1" si="67"/>
        <v>15</v>
      </c>
      <c r="D105">
        <f t="shared" ca="1" si="68"/>
        <v>0.18979138077664359</v>
      </c>
      <c r="F105" s="1">
        <f t="shared" ca="1" si="69"/>
        <v>26</v>
      </c>
      <c r="G105" s="1">
        <f t="shared" ca="1" si="70"/>
        <v>26</v>
      </c>
      <c r="H105" s="1">
        <f t="shared" ca="1" si="71"/>
        <v>1</v>
      </c>
      <c r="I105" s="1"/>
      <c r="J105" s="1">
        <f t="shared" ca="1" si="72"/>
        <v>17</v>
      </c>
      <c r="K105" s="1">
        <f t="shared" ca="1" si="73"/>
        <v>1.1360815209916126</v>
      </c>
      <c r="L105" s="1">
        <f t="shared" ca="1" si="74"/>
        <v>34</v>
      </c>
      <c r="M105" s="1"/>
      <c r="N105" s="1">
        <f t="shared" ca="1" si="75"/>
        <v>891</v>
      </c>
      <c r="O105" s="1">
        <f t="shared" ca="1" si="76"/>
        <v>4</v>
      </c>
      <c r="P105" s="1"/>
      <c r="Q105" s="1">
        <f t="shared" ca="1" si="77"/>
        <v>4.1942705146875063</v>
      </c>
      <c r="R105" s="1">
        <f t="shared" ca="1" si="78"/>
        <v>508</v>
      </c>
      <c r="S105" s="1"/>
      <c r="T105" s="1">
        <f t="shared" ca="1" si="79"/>
        <v>3.1338623235157535E-2</v>
      </c>
      <c r="U105" s="1">
        <f t="shared" ca="1" si="80"/>
        <v>343</v>
      </c>
      <c r="V105" s="1">
        <f t="shared" ca="1" si="81"/>
        <v>27</v>
      </c>
      <c r="W105" s="1"/>
      <c r="X105" s="1">
        <f t="shared" ca="1" si="82"/>
        <v>4.4345504833262472</v>
      </c>
      <c r="Y105" s="1">
        <f t="shared" ca="1" si="83"/>
        <v>0.71496054976928836</v>
      </c>
      <c r="Z105" s="1">
        <f t="shared" ca="1" si="84"/>
        <v>1592</v>
      </c>
      <c r="AB105" s="1">
        <f t="shared" ca="1" si="85"/>
        <v>0.8499032936713008</v>
      </c>
      <c r="AC105" s="1">
        <f t="shared" ca="1" si="86"/>
        <v>871</v>
      </c>
      <c r="AD105" s="1">
        <f t="shared" ca="1" si="87"/>
        <v>5.7357660302003914E-3</v>
      </c>
      <c r="AE105" s="1"/>
      <c r="AF105" s="1">
        <f t="shared" ca="1" si="88"/>
        <v>0.50165281827302655</v>
      </c>
      <c r="AG105" s="1">
        <f t="shared" ca="1" si="89"/>
        <v>826</v>
      </c>
      <c r="AH105" s="1">
        <f t="shared" ca="1" si="90"/>
        <v>5.2964470081898404E-3</v>
      </c>
      <c r="AJ105" s="1">
        <f t="shared" ca="1" si="91"/>
        <v>0.69978275106512933</v>
      </c>
      <c r="AK105" s="1">
        <f t="shared" ca="1" si="92"/>
        <v>5.7112354308532266E-5</v>
      </c>
      <c r="AL105" s="1"/>
      <c r="AM105" s="1">
        <f t="shared" ca="1" si="93"/>
        <v>6.2993787997750586E-2</v>
      </c>
      <c r="AN105" s="1">
        <f t="shared" ca="1" si="94"/>
        <v>21</v>
      </c>
      <c r="AO105" s="1">
        <f t="shared" ca="1" si="95"/>
        <v>15</v>
      </c>
      <c r="AQ105" s="1">
        <f t="shared" ca="1" si="96"/>
        <v>37</v>
      </c>
      <c r="AR105" s="1">
        <f t="shared" ca="1" si="97"/>
        <v>7</v>
      </c>
      <c r="AS105" s="1">
        <f t="shared" ca="1" si="98"/>
        <v>5</v>
      </c>
      <c r="AU105" s="1">
        <f t="shared" ca="1" si="99"/>
        <v>352</v>
      </c>
      <c r="AV105" s="1">
        <f t="shared" ca="1" si="100"/>
        <v>7</v>
      </c>
      <c r="AW105" s="1">
        <f t="shared" ca="1" si="101"/>
        <v>0.15575351541131263</v>
      </c>
      <c r="AY105" s="1">
        <f t="shared" ca="1" si="102"/>
        <v>1.8837614306567372</v>
      </c>
      <c r="AZ105" s="1">
        <f t="shared" ca="1" si="103"/>
        <v>149</v>
      </c>
      <c r="BA105" s="1">
        <f t="shared" ca="1" si="104"/>
        <v>7.6492240397882973E-3</v>
      </c>
      <c r="BG105" s="1">
        <f t="shared" ca="1" si="105"/>
        <v>0.64937047612787657</v>
      </c>
      <c r="BH105" s="1">
        <f t="shared" ca="1" si="106"/>
        <v>0.73413574690356209</v>
      </c>
      <c r="BI105" s="1">
        <f t="shared" ca="1" si="107"/>
        <v>726</v>
      </c>
      <c r="BV105" s="1">
        <f t="shared" ca="1" si="108"/>
        <v>0.77847730564222417</v>
      </c>
      <c r="BW105" s="1">
        <f t="shared" ca="1" si="109"/>
        <v>206</v>
      </c>
      <c r="BX105" s="1">
        <f t="shared" ca="1" si="110"/>
        <v>6.7211103221231812E-3</v>
      </c>
      <c r="BY105" s="1">
        <f t="shared" ca="1" si="111"/>
        <v>4.6513036826868998E-2</v>
      </c>
      <c r="BZ105" s="1">
        <f t="shared" ca="1" si="112"/>
        <v>0.4966614248654283</v>
      </c>
      <c r="CB105" s="1">
        <f t="shared" ca="1" si="113"/>
        <v>447</v>
      </c>
      <c r="CC105" s="1">
        <f t="shared" ca="1" si="114"/>
        <v>8</v>
      </c>
      <c r="CD105" s="1">
        <f t="shared" ca="1" si="115"/>
        <v>5.8811528816436483E-2</v>
      </c>
      <c r="CE105" s="1">
        <f t="shared" ca="1" si="131"/>
        <v>0.64045293749273413</v>
      </c>
      <c r="CF105" s="1">
        <f t="shared" ca="1" si="131"/>
        <v>0.55609868621053493</v>
      </c>
      <c r="CH105" s="3">
        <f t="shared" ca="1" si="117"/>
        <v>0.60341036193439479</v>
      </c>
      <c r="CI105" s="3">
        <f t="shared" ca="1" si="118"/>
        <v>0.7931108846648488</v>
      </c>
      <c r="CJ105" s="3">
        <f t="shared" ca="1" si="119"/>
        <v>1979</v>
      </c>
      <c r="CK105" s="3">
        <f t="shared" ca="1" si="120"/>
        <v>6.2118326519190487E-3</v>
      </c>
      <c r="CL105" s="3">
        <f t="shared" ca="1" si="121"/>
        <v>0</v>
      </c>
      <c r="CM105" s="3"/>
      <c r="CN105" s="1">
        <f t="shared" ca="1" si="122"/>
        <v>8.2768562649792354</v>
      </c>
      <c r="CO105" s="1">
        <f t="shared" ca="1" si="123"/>
        <v>0.25256580389039707</v>
      </c>
      <c r="CP105" s="1">
        <f t="shared" ca="1" si="124"/>
        <v>4</v>
      </c>
      <c r="DH105" s="1">
        <f t="shared" ca="1" si="125"/>
        <v>68</v>
      </c>
      <c r="DI105" s="1">
        <f t="shared" ca="1" si="126"/>
        <v>0.98468608506130617</v>
      </c>
      <c r="DJ105" s="1">
        <f t="shared" ca="1" si="127"/>
        <v>26</v>
      </c>
      <c r="DL105" s="1">
        <f t="shared" ca="1" si="128"/>
        <v>6.1449849093420945E-2</v>
      </c>
      <c r="DM105" s="1">
        <f t="shared" ca="1" si="129"/>
        <v>227</v>
      </c>
      <c r="DN105" s="1">
        <f t="shared" ca="1" si="130"/>
        <v>1</v>
      </c>
    </row>
    <row r="106" spans="2:118" x14ac:dyDescent="0.25">
      <c r="B106">
        <f t="shared" ca="1" si="66"/>
        <v>899</v>
      </c>
      <c r="C106">
        <f t="shared" ca="1" si="67"/>
        <v>8</v>
      </c>
      <c r="D106">
        <f t="shared" ca="1" si="68"/>
        <v>0.20349663683308938</v>
      </c>
      <c r="F106" s="1">
        <f t="shared" ca="1" si="69"/>
        <v>14</v>
      </c>
      <c r="G106" s="1">
        <f t="shared" ca="1" si="70"/>
        <v>21</v>
      </c>
      <c r="H106" s="1">
        <f t="shared" ca="1" si="71"/>
        <v>8</v>
      </c>
      <c r="I106" s="1"/>
      <c r="J106" s="1">
        <f t="shared" ca="1" si="72"/>
        <v>15</v>
      </c>
      <c r="K106" s="1">
        <f t="shared" ca="1" si="73"/>
        <v>2.8851062433846826</v>
      </c>
      <c r="L106" s="1">
        <f t="shared" ca="1" si="74"/>
        <v>7</v>
      </c>
      <c r="M106" s="1"/>
      <c r="N106" s="1">
        <f t="shared" ca="1" si="75"/>
        <v>717</v>
      </c>
      <c r="O106" s="1">
        <f t="shared" ca="1" si="76"/>
        <v>7</v>
      </c>
      <c r="P106" s="1"/>
      <c r="Q106" s="1">
        <f t="shared" ca="1" si="77"/>
        <v>2.5572009787581726</v>
      </c>
      <c r="R106" s="1">
        <f t="shared" ca="1" si="78"/>
        <v>1149</v>
      </c>
      <c r="S106" s="1"/>
      <c r="T106" s="1">
        <f t="shared" ca="1" si="79"/>
        <v>1.1232666268694902E-2</v>
      </c>
      <c r="U106" s="1">
        <f t="shared" ca="1" si="80"/>
        <v>325</v>
      </c>
      <c r="V106" s="1">
        <f t="shared" ca="1" si="81"/>
        <v>22</v>
      </c>
      <c r="W106" s="1"/>
      <c r="X106" s="1">
        <f t="shared" ca="1" si="82"/>
        <v>6.3512296049778012</v>
      </c>
      <c r="Y106" s="1">
        <f t="shared" ca="1" si="83"/>
        <v>0.63068676890471287</v>
      </c>
      <c r="Z106" s="1">
        <f t="shared" ca="1" si="84"/>
        <v>928</v>
      </c>
      <c r="AB106" s="1">
        <f t="shared" ca="1" si="85"/>
        <v>0.10465810193856993</v>
      </c>
      <c r="AC106" s="1">
        <f t="shared" ca="1" si="86"/>
        <v>612</v>
      </c>
      <c r="AD106" s="1">
        <f t="shared" ca="1" si="87"/>
        <v>9.3517582787918385E-3</v>
      </c>
      <c r="AE106" s="1"/>
      <c r="AF106" s="1">
        <f t="shared" ca="1" si="88"/>
        <v>0.36014946055528529</v>
      </c>
      <c r="AG106" s="1">
        <f t="shared" ca="1" si="89"/>
        <v>906</v>
      </c>
      <c r="AH106" s="1">
        <f t="shared" ca="1" si="90"/>
        <v>2.5686052944520229E-3</v>
      </c>
      <c r="AJ106" s="1">
        <f t="shared" ca="1" si="91"/>
        <v>0.11106516581589176</v>
      </c>
      <c r="AK106" s="1">
        <f t="shared" ca="1" si="92"/>
        <v>4.8380578648494861E-3</v>
      </c>
      <c r="AL106" s="1"/>
      <c r="AM106" s="1">
        <f t="shared" ca="1" si="93"/>
        <v>0.10384232440661639</v>
      </c>
      <c r="AN106" s="1">
        <f t="shared" ca="1" si="94"/>
        <v>10</v>
      </c>
      <c r="AO106" s="1">
        <f t="shared" ca="1" si="95"/>
        <v>20</v>
      </c>
      <c r="AQ106" s="1">
        <f t="shared" ca="1" si="96"/>
        <v>130</v>
      </c>
      <c r="AR106" s="1">
        <f t="shared" ca="1" si="97"/>
        <v>3</v>
      </c>
      <c r="AS106" s="1">
        <f t="shared" ca="1" si="98"/>
        <v>47</v>
      </c>
      <c r="AU106" s="1">
        <f t="shared" ca="1" si="99"/>
        <v>291</v>
      </c>
      <c r="AV106" s="1">
        <f t="shared" ca="1" si="100"/>
        <v>2</v>
      </c>
      <c r="AW106" s="1">
        <f t="shared" ca="1" si="101"/>
        <v>6.0875650378833884E-2</v>
      </c>
      <c r="AY106" s="1">
        <f t="shared" ca="1" si="102"/>
        <v>1.8832050815469412</v>
      </c>
      <c r="AZ106" s="1">
        <f t="shared" ca="1" si="103"/>
        <v>311</v>
      </c>
      <c r="BA106" s="1">
        <f t="shared" ca="1" si="104"/>
        <v>1.7818401318992849E-3</v>
      </c>
      <c r="BG106" s="1">
        <f t="shared" ca="1" si="105"/>
        <v>0.15828979064300328</v>
      </c>
      <c r="BH106" s="1">
        <f t="shared" ca="1" si="106"/>
        <v>5.5960249588002609E-2</v>
      </c>
      <c r="BI106" s="1">
        <f t="shared" ca="1" si="107"/>
        <v>841</v>
      </c>
      <c r="BV106" s="1">
        <f t="shared" ca="1" si="108"/>
        <v>0.92912202095778029</v>
      </c>
      <c r="BW106" s="1">
        <f t="shared" ca="1" si="109"/>
        <v>190</v>
      </c>
      <c r="BX106" s="1">
        <f t="shared" ca="1" si="110"/>
        <v>7.2193145094193532E-3</v>
      </c>
      <c r="BY106" s="1">
        <f t="shared" ca="1" si="111"/>
        <v>3.4779328338144844E-2</v>
      </c>
      <c r="BZ106" s="1">
        <f t="shared" ca="1" si="112"/>
        <v>0.24713181612747059</v>
      </c>
      <c r="CB106" s="1">
        <f t="shared" ca="1" si="113"/>
        <v>411</v>
      </c>
      <c r="CC106" s="1">
        <f t="shared" ca="1" si="114"/>
        <v>5</v>
      </c>
      <c r="CD106" s="1">
        <f t="shared" ca="1" si="115"/>
        <v>0.18412738466452766</v>
      </c>
      <c r="CE106" s="1">
        <f t="shared" ca="1" si="131"/>
        <v>0.80422160012324939</v>
      </c>
      <c r="CF106" s="1">
        <f t="shared" ca="1" si="131"/>
        <v>0.7215351242489022</v>
      </c>
      <c r="CH106" s="3">
        <f t="shared" ca="1" si="117"/>
        <v>0.19525229007073694</v>
      </c>
      <c r="CI106" s="3">
        <f t="shared" ca="1" si="118"/>
        <v>0.13477311538560052</v>
      </c>
      <c r="CJ106" s="3">
        <f t="shared" ca="1" si="119"/>
        <v>1517</v>
      </c>
      <c r="CK106" s="3">
        <f t="shared" ca="1" si="120"/>
        <v>1.289861066748815E-3</v>
      </c>
      <c r="CL106" s="3">
        <f t="shared" ca="1" si="121"/>
        <v>1</v>
      </c>
      <c r="CM106" s="3"/>
      <c r="CN106" s="1">
        <f t="shared" ca="1" si="122"/>
        <v>3.227063360602314</v>
      </c>
      <c r="CO106" s="1">
        <f t="shared" ca="1" si="123"/>
        <v>0.44237322705018861</v>
      </c>
      <c r="CP106" s="1">
        <f t="shared" ca="1" si="124"/>
        <v>1</v>
      </c>
      <c r="DH106" s="1">
        <f t="shared" ca="1" si="125"/>
        <v>798</v>
      </c>
      <c r="DI106" s="1">
        <f t="shared" ca="1" si="126"/>
        <v>0.95946519862388946</v>
      </c>
      <c r="DJ106" s="1">
        <f t="shared" ca="1" si="127"/>
        <v>4</v>
      </c>
      <c r="DL106" s="1">
        <f t="shared" ca="1" si="128"/>
        <v>3.2336484935729895E-2</v>
      </c>
      <c r="DM106" s="1">
        <f t="shared" ca="1" si="129"/>
        <v>178</v>
      </c>
      <c r="DN106" s="1">
        <f t="shared" ca="1" si="130"/>
        <v>8</v>
      </c>
    </row>
    <row r="107" spans="2:118" x14ac:dyDescent="0.25">
      <c r="B107">
        <f t="shared" ca="1" si="66"/>
        <v>487</v>
      </c>
      <c r="C107">
        <f t="shared" ca="1" si="67"/>
        <v>44</v>
      </c>
      <c r="D107">
        <f t="shared" ca="1" si="68"/>
        <v>0.19784199979078629</v>
      </c>
      <c r="F107" s="1">
        <f t="shared" ca="1" si="69"/>
        <v>26</v>
      </c>
      <c r="G107" s="1">
        <f t="shared" ca="1" si="70"/>
        <v>12</v>
      </c>
      <c r="H107" s="1">
        <f t="shared" ca="1" si="71"/>
        <v>3</v>
      </c>
      <c r="I107" s="1"/>
      <c r="J107" s="1">
        <f t="shared" ca="1" si="72"/>
        <v>4</v>
      </c>
      <c r="K107" s="1">
        <f t="shared" ca="1" si="73"/>
        <v>2.4345627696207304</v>
      </c>
      <c r="L107" s="1">
        <f t="shared" ca="1" si="74"/>
        <v>13</v>
      </c>
      <c r="M107" s="1"/>
      <c r="N107" s="1">
        <f t="shared" ca="1" si="75"/>
        <v>894</v>
      </c>
      <c r="O107" s="1">
        <f t="shared" ca="1" si="76"/>
        <v>47</v>
      </c>
      <c r="P107" s="1"/>
      <c r="Q107" s="1">
        <f t="shared" ca="1" si="77"/>
        <v>4.8092912253903819</v>
      </c>
      <c r="R107" s="1">
        <f t="shared" ca="1" si="78"/>
        <v>395</v>
      </c>
      <c r="S107" s="1"/>
      <c r="T107" s="1">
        <f t="shared" ca="1" si="79"/>
        <v>4.5697856928899126E-2</v>
      </c>
      <c r="U107" s="1">
        <f t="shared" ca="1" si="80"/>
        <v>383</v>
      </c>
      <c r="V107" s="1">
        <f t="shared" ca="1" si="81"/>
        <v>49</v>
      </c>
      <c r="W107" s="1"/>
      <c r="X107" s="1">
        <f t="shared" ca="1" si="82"/>
        <v>2.9858400863156569</v>
      </c>
      <c r="Y107" s="1">
        <f t="shared" ca="1" si="83"/>
        <v>0.40258583685667826</v>
      </c>
      <c r="Z107" s="1">
        <f t="shared" ca="1" si="84"/>
        <v>549</v>
      </c>
      <c r="AB107" s="1">
        <f t="shared" ca="1" si="85"/>
        <v>0.88630176400443128</v>
      </c>
      <c r="AC107" s="1">
        <f t="shared" ca="1" si="86"/>
        <v>894</v>
      </c>
      <c r="AD107" s="1">
        <f t="shared" ca="1" si="87"/>
        <v>3.3316646026032536E-3</v>
      </c>
      <c r="AE107" s="1"/>
      <c r="AF107" s="1">
        <f t="shared" ca="1" si="88"/>
        <v>0.82724513876140349</v>
      </c>
      <c r="AG107" s="1">
        <f t="shared" ca="1" si="89"/>
        <v>975</v>
      </c>
      <c r="AH107" s="1">
        <f t="shared" ca="1" si="90"/>
        <v>1.9289702311466664E-3</v>
      </c>
      <c r="AJ107" s="1">
        <f t="shared" ca="1" si="91"/>
        <v>0.7628053689268911</v>
      </c>
      <c r="AK107" s="1">
        <f t="shared" ca="1" si="92"/>
        <v>6.2400828702447435E-3</v>
      </c>
      <c r="AL107" s="1"/>
      <c r="AM107" s="1">
        <f t="shared" ca="1" si="93"/>
        <v>0.16432953688989466</v>
      </c>
      <c r="AN107" s="1">
        <f t="shared" ca="1" si="94"/>
        <v>28</v>
      </c>
      <c r="AO107" s="1">
        <f t="shared" ca="1" si="95"/>
        <v>13</v>
      </c>
      <c r="AQ107" s="1">
        <f t="shared" ca="1" si="96"/>
        <v>194</v>
      </c>
      <c r="AR107" s="1">
        <f t="shared" ca="1" si="97"/>
        <v>7</v>
      </c>
      <c r="AS107" s="1">
        <f t="shared" ca="1" si="98"/>
        <v>18</v>
      </c>
      <c r="AU107" s="1">
        <f t="shared" ca="1" si="99"/>
        <v>335</v>
      </c>
      <c r="AV107" s="1">
        <f t="shared" ca="1" si="100"/>
        <v>9</v>
      </c>
      <c r="AW107" s="1">
        <f t="shared" ca="1" si="101"/>
        <v>0.18406400289045186</v>
      </c>
      <c r="AY107" s="1">
        <f t="shared" ca="1" si="102"/>
        <v>1.4543350517809785</v>
      </c>
      <c r="AZ107" s="1">
        <f t="shared" ca="1" si="103"/>
        <v>270</v>
      </c>
      <c r="BA107" s="1">
        <f t="shared" ca="1" si="104"/>
        <v>4.0631727746394761E-3</v>
      </c>
      <c r="BG107" s="1">
        <f t="shared" ca="1" si="105"/>
        <v>0.69230115347905541</v>
      </c>
      <c r="BH107" s="1">
        <f t="shared" ca="1" si="106"/>
        <v>0.55808522200298316</v>
      </c>
      <c r="BI107" s="1">
        <f t="shared" ca="1" si="107"/>
        <v>615</v>
      </c>
      <c r="BV107" s="1">
        <f t="shared" ca="1" si="108"/>
        <v>0.80708537646458833</v>
      </c>
      <c r="BW107" s="1">
        <f t="shared" ca="1" si="109"/>
        <v>492</v>
      </c>
      <c r="BX107" s="1">
        <f t="shared" ca="1" si="110"/>
        <v>9.8687068405941668E-3</v>
      </c>
      <c r="BY107" s="1">
        <f t="shared" ca="1" si="111"/>
        <v>4.958637788993768E-2</v>
      </c>
      <c r="BZ107" s="1">
        <f t="shared" ca="1" si="112"/>
        <v>0.86928856046276648</v>
      </c>
      <c r="CB107" s="1">
        <f t="shared" ca="1" si="113"/>
        <v>298</v>
      </c>
      <c r="CC107" s="1">
        <f t="shared" ca="1" si="114"/>
        <v>15</v>
      </c>
      <c r="CD107" s="1">
        <f t="shared" ca="1" si="115"/>
        <v>0.25557953897592167</v>
      </c>
      <c r="CE107" s="1">
        <f t="shared" ca="1" si="131"/>
        <v>0.91005882212740496</v>
      </c>
      <c r="CF107" s="1">
        <f t="shared" ca="1" si="131"/>
        <v>0.58930504747272217</v>
      </c>
      <c r="CH107" s="3">
        <f t="shared" ca="1" si="117"/>
        <v>0.94121090939009022</v>
      </c>
      <c r="CI107" s="3">
        <f t="shared" ca="1" si="118"/>
        <v>0.97543646092975123</v>
      </c>
      <c r="CJ107" s="3">
        <f t="shared" ca="1" si="119"/>
        <v>1037</v>
      </c>
      <c r="CK107" s="3">
        <f t="shared" ca="1" si="120"/>
        <v>6.6766420348796044E-3</v>
      </c>
      <c r="CL107" s="3">
        <f t="shared" ca="1" si="121"/>
        <v>0</v>
      </c>
      <c r="CM107" s="3"/>
      <c r="CN107" s="1">
        <f t="shared" ca="1" si="122"/>
        <v>12.357513570271186</v>
      </c>
      <c r="CO107" s="1">
        <f t="shared" ca="1" si="123"/>
        <v>0.40903567246918193</v>
      </c>
      <c r="CP107" s="1">
        <f t="shared" ca="1" si="124"/>
        <v>4</v>
      </c>
      <c r="DH107" s="1">
        <f t="shared" ca="1" si="125"/>
        <v>563</v>
      </c>
      <c r="DI107" s="1">
        <f t="shared" ca="1" si="126"/>
        <v>0.77733982036370042</v>
      </c>
      <c r="DJ107" s="1">
        <f t="shared" ca="1" si="127"/>
        <v>12</v>
      </c>
      <c r="DL107" s="1">
        <f t="shared" ca="1" si="128"/>
        <v>0.15405266903483644</v>
      </c>
      <c r="DM107" s="1">
        <f t="shared" ca="1" si="129"/>
        <v>244</v>
      </c>
      <c r="DN107" s="1">
        <f t="shared" ca="1" si="130"/>
        <v>10</v>
      </c>
    </row>
    <row r="108" spans="2:118" x14ac:dyDescent="0.25">
      <c r="B108">
        <f t="shared" ca="1" si="66"/>
        <v>312</v>
      </c>
      <c r="C108">
        <f t="shared" ca="1" si="67"/>
        <v>2</v>
      </c>
      <c r="D108">
        <f t="shared" ca="1" si="68"/>
        <v>7.4699763555410484E-2</v>
      </c>
      <c r="F108" s="1">
        <f t="shared" ca="1" si="69"/>
        <v>13</v>
      </c>
      <c r="G108" s="1">
        <f t="shared" ca="1" si="70"/>
        <v>9</v>
      </c>
      <c r="H108" s="1">
        <f t="shared" ca="1" si="71"/>
        <v>14</v>
      </c>
      <c r="I108" s="1"/>
      <c r="J108" s="1">
        <f t="shared" ca="1" si="72"/>
        <v>29</v>
      </c>
      <c r="K108" s="1">
        <f t="shared" ca="1" si="73"/>
        <v>1.5638267404769124</v>
      </c>
      <c r="L108" s="1">
        <f t="shared" ca="1" si="74"/>
        <v>34</v>
      </c>
      <c r="M108" s="1"/>
      <c r="N108" s="1">
        <f t="shared" ca="1" si="75"/>
        <v>616</v>
      </c>
      <c r="O108" s="1">
        <f t="shared" ca="1" si="76"/>
        <v>3</v>
      </c>
      <c r="P108" s="1"/>
      <c r="Q108" s="1">
        <f t="shared" ca="1" si="77"/>
        <v>1.2825964224416331</v>
      </c>
      <c r="R108" s="1">
        <f t="shared" ca="1" si="78"/>
        <v>352</v>
      </c>
      <c r="S108" s="1"/>
      <c r="T108" s="1">
        <f t="shared" ca="1" si="79"/>
        <v>0.11684444364099723</v>
      </c>
      <c r="U108" s="1">
        <f t="shared" ca="1" si="80"/>
        <v>128</v>
      </c>
      <c r="V108" s="1">
        <f t="shared" ca="1" si="81"/>
        <v>17</v>
      </c>
      <c r="W108" s="1"/>
      <c r="X108" s="1">
        <f t="shared" ca="1" si="82"/>
        <v>5.0792904243169046</v>
      </c>
      <c r="Y108" s="1">
        <f t="shared" ca="1" si="83"/>
        <v>0.29629118278187255</v>
      </c>
      <c r="Z108" s="1">
        <f t="shared" ca="1" si="84"/>
        <v>245</v>
      </c>
      <c r="AB108" s="1">
        <f t="shared" ca="1" si="85"/>
        <v>0.19227853396650865</v>
      </c>
      <c r="AC108" s="1">
        <f t="shared" ca="1" si="86"/>
        <v>600</v>
      </c>
      <c r="AD108" s="1">
        <f t="shared" ca="1" si="87"/>
        <v>1.1085218722606568E-4</v>
      </c>
      <c r="AE108" s="1"/>
      <c r="AF108" s="1">
        <f t="shared" ca="1" si="88"/>
        <v>0.40323003919358713</v>
      </c>
      <c r="AG108" s="1">
        <f t="shared" ca="1" si="89"/>
        <v>190</v>
      </c>
      <c r="AH108" s="1">
        <f t="shared" ca="1" si="90"/>
        <v>3.3066664591537456E-3</v>
      </c>
      <c r="AJ108" s="1">
        <f t="shared" ca="1" si="91"/>
        <v>0.2751581546992633</v>
      </c>
      <c r="AK108" s="1">
        <f t="shared" ca="1" si="92"/>
        <v>7.2217723954762694E-3</v>
      </c>
      <c r="AL108" s="1"/>
      <c r="AM108" s="1">
        <f t="shared" ca="1" si="93"/>
        <v>4.2352144039168378E-2</v>
      </c>
      <c r="AN108" s="1">
        <f t="shared" ca="1" si="94"/>
        <v>57</v>
      </c>
      <c r="AO108" s="1">
        <f t="shared" ca="1" si="95"/>
        <v>12</v>
      </c>
      <c r="AQ108" s="1">
        <f t="shared" ca="1" si="96"/>
        <v>99</v>
      </c>
      <c r="AR108" s="1">
        <f t="shared" ca="1" si="97"/>
        <v>2</v>
      </c>
      <c r="AS108" s="1">
        <f t="shared" ca="1" si="98"/>
        <v>60</v>
      </c>
      <c r="AU108" s="1">
        <f t="shared" ca="1" si="99"/>
        <v>190</v>
      </c>
      <c r="AV108" s="1">
        <f t="shared" ca="1" si="100"/>
        <v>9</v>
      </c>
      <c r="AW108" s="1">
        <f t="shared" ca="1" si="101"/>
        <v>0.12918847192125066</v>
      </c>
      <c r="AY108" s="1">
        <f t="shared" ca="1" si="102"/>
        <v>1.2304916447195626</v>
      </c>
      <c r="AZ108" s="1">
        <f t="shared" ca="1" si="103"/>
        <v>224</v>
      </c>
      <c r="BA108" s="1">
        <f t="shared" ca="1" si="104"/>
        <v>9.7487631366623053E-3</v>
      </c>
      <c r="BG108" s="1">
        <f t="shared" ca="1" si="105"/>
        <v>0.86065973316525501</v>
      </c>
      <c r="BH108" s="1">
        <f t="shared" ca="1" si="106"/>
        <v>0.57754753603487974</v>
      </c>
      <c r="BI108" s="1">
        <f t="shared" ca="1" si="107"/>
        <v>469</v>
      </c>
      <c r="BV108" s="1">
        <f t="shared" ca="1" si="108"/>
        <v>0.50126165726376604</v>
      </c>
      <c r="BW108" s="1">
        <f t="shared" ca="1" si="109"/>
        <v>611</v>
      </c>
      <c r="BX108" s="1">
        <f t="shared" ca="1" si="110"/>
        <v>5.9022764028769323E-4</v>
      </c>
      <c r="BY108" s="1">
        <f t="shared" ca="1" si="111"/>
        <v>8.7475606463768923E-2</v>
      </c>
      <c r="BZ108" s="1">
        <f t="shared" ca="1" si="112"/>
        <v>0.93085684098881549</v>
      </c>
      <c r="CB108" s="1">
        <f t="shared" ca="1" si="113"/>
        <v>51</v>
      </c>
      <c r="CC108" s="1">
        <f t="shared" ca="1" si="114"/>
        <v>9</v>
      </c>
      <c r="CD108" s="1">
        <f t="shared" ca="1" si="115"/>
        <v>7.1469136948388134E-2</v>
      </c>
      <c r="CE108" s="1">
        <f t="shared" ca="1" si="131"/>
        <v>0.83828439881352423</v>
      </c>
      <c r="CF108" s="1">
        <f t="shared" ca="1" si="131"/>
        <v>0.69906431036368843</v>
      </c>
      <c r="CH108" s="3">
        <f t="shared" ca="1" si="117"/>
        <v>0.66661986115051874</v>
      </c>
      <c r="CI108" s="3">
        <f t="shared" ca="1" si="118"/>
        <v>0.50061763228347833</v>
      </c>
      <c r="CJ108" s="3">
        <f t="shared" ca="1" si="119"/>
        <v>735</v>
      </c>
      <c r="CK108" s="3">
        <f t="shared" ca="1" si="120"/>
        <v>4.3854772661353989E-3</v>
      </c>
      <c r="CL108" s="3">
        <f t="shared" ca="1" si="121"/>
        <v>1</v>
      </c>
      <c r="CM108" s="3"/>
      <c r="CN108" s="1">
        <f t="shared" ca="1" si="122"/>
        <v>13.724308382377307</v>
      </c>
      <c r="CO108" s="1">
        <f t="shared" ca="1" si="123"/>
        <v>0.47277788258745879</v>
      </c>
      <c r="CP108" s="1">
        <f t="shared" ca="1" si="124"/>
        <v>5</v>
      </c>
      <c r="DH108" s="1">
        <f t="shared" ca="1" si="125"/>
        <v>900</v>
      </c>
      <c r="DI108" s="1">
        <f t="shared" ca="1" si="126"/>
        <v>0.46419795294851024</v>
      </c>
      <c r="DJ108" s="1">
        <f t="shared" ca="1" si="127"/>
        <v>18</v>
      </c>
      <c r="DL108" s="1">
        <f t="shared" ca="1" si="128"/>
        <v>0.19187293460515367</v>
      </c>
      <c r="DM108" s="1">
        <f t="shared" ca="1" si="129"/>
        <v>212</v>
      </c>
      <c r="DN108" s="1">
        <f t="shared" ca="1" si="130"/>
        <v>3</v>
      </c>
    </row>
    <row r="109" spans="2:118" x14ac:dyDescent="0.25">
      <c r="B109">
        <f t="shared" ca="1" si="66"/>
        <v>875</v>
      </c>
      <c r="C109">
        <f t="shared" ca="1" si="67"/>
        <v>13</v>
      </c>
      <c r="D109">
        <f t="shared" ca="1" si="68"/>
        <v>0.21890319646815257</v>
      </c>
      <c r="F109" s="1">
        <f t="shared" ca="1" si="69"/>
        <v>21</v>
      </c>
      <c r="G109" s="1">
        <f t="shared" ca="1" si="70"/>
        <v>2</v>
      </c>
      <c r="H109" s="1">
        <f t="shared" ca="1" si="71"/>
        <v>4</v>
      </c>
      <c r="I109" s="1"/>
      <c r="J109" s="1">
        <f t="shared" ca="1" si="72"/>
        <v>9</v>
      </c>
      <c r="K109" s="1">
        <f t="shared" ca="1" si="73"/>
        <v>2.1977196045202665</v>
      </c>
      <c r="L109" s="1">
        <f t="shared" ca="1" si="74"/>
        <v>35</v>
      </c>
      <c r="M109" s="1"/>
      <c r="N109" s="1">
        <f t="shared" ca="1" si="75"/>
        <v>590</v>
      </c>
      <c r="O109" s="1">
        <f t="shared" ca="1" si="76"/>
        <v>7</v>
      </c>
      <c r="P109" s="1"/>
      <c r="Q109" s="1">
        <f t="shared" ca="1" si="77"/>
        <v>2.7315827298778621</v>
      </c>
      <c r="R109" s="1">
        <f t="shared" ca="1" si="78"/>
        <v>674</v>
      </c>
      <c r="S109" s="1"/>
      <c r="T109" s="1">
        <f t="shared" ca="1" si="79"/>
        <v>0.15747526157859318</v>
      </c>
      <c r="U109" s="1">
        <f t="shared" ca="1" si="80"/>
        <v>209</v>
      </c>
      <c r="V109" s="1">
        <f t="shared" ca="1" si="81"/>
        <v>28</v>
      </c>
      <c r="W109" s="1"/>
      <c r="X109" s="1">
        <f t="shared" ca="1" si="82"/>
        <v>7.2292717564307996</v>
      </c>
      <c r="Y109" s="1">
        <f t="shared" ca="1" si="83"/>
        <v>5.6553664890933962E-2</v>
      </c>
      <c r="Z109" s="1">
        <f t="shared" ca="1" si="84"/>
        <v>230</v>
      </c>
      <c r="AB109" s="1">
        <f t="shared" ca="1" si="85"/>
        <v>0.4360402731264012</v>
      </c>
      <c r="AC109" s="1">
        <f t="shared" ca="1" si="86"/>
        <v>693</v>
      </c>
      <c r="AD109" s="1">
        <f t="shared" ca="1" si="87"/>
        <v>3.698109410750286E-3</v>
      </c>
      <c r="AE109" s="1"/>
      <c r="AF109" s="1">
        <f t="shared" ca="1" si="88"/>
        <v>0.58632651306422157</v>
      </c>
      <c r="AG109" s="1">
        <f t="shared" ca="1" si="89"/>
        <v>711</v>
      </c>
      <c r="AH109" s="1">
        <f t="shared" ca="1" si="90"/>
        <v>2.4664225598065989E-3</v>
      </c>
      <c r="AJ109" s="1">
        <f t="shared" ca="1" si="91"/>
        <v>7.1876825021385371E-2</v>
      </c>
      <c r="AK109" s="1">
        <f t="shared" ca="1" si="92"/>
        <v>8.1704660442552726E-3</v>
      </c>
      <c r="AL109" s="1"/>
      <c r="AM109" s="1">
        <f t="shared" ca="1" si="93"/>
        <v>5.7120829857151847E-2</v>
      </c>
      <c r="AN109" s="1">
        <f t="shared" ca="1" si="94"/>
        <v>42</v>
      </c>
      <c r="AO109" s="1">
        <f t="shared" ca="1" si="95"/>
        <v>18</v>
      </c>
      <c r="AQ109" s="1">
        <f t="shared" ca="1" si="96"/>
        <v>170</v>
      </c>
      <c r="AR109" s="1">
        <f t="shared" ca="1" si="97"/>
        <v>2</v>
      </c>
      <c r="AS109" s="1">
        <f t="shared" ca="1" si="98"/>
        <v>46</v>
      </c>
      <c r="AU109" s="1">
        <f t="shared" ca="1" si="99"/>
        <v>272</v>
      </c>
      <c r="AV109" s="1">
        <f t="shared" ca="1" si="100"/>
        <v>8</v>
      </c>
      <c r="AW109" s="1">
        <f t="shared" ca="1" si="101"/>
        <v>9.4628962346540765E-2</v>
      </c>
      <c r="AY109" s="1">
        <f t="shared" ca="1" si="102"/>
        <v>1.1529335727347727</v>
      </c>
      <c r="AZ109" s="1">
        <f t="shared" ca="1" si="103"/>
        <v>144</v>
      </c>
      <c r="BA109" s="1">
        <f t="shared" ca="1" si="104"/>
        <v>6.8212272733240466E-3</v>
      </c>
      <c r="BG109" s="1">
        <f t="shared" ca="1" si="105"/>
        <v>0.62565460312730981</v>
      </c>
      <c r="BH109" s="1">
        <f t="shared" ca="1" si="106"/>
        <v>0.63082136919373677</v>
      </c>
      <c r="BI109" s="1">
        <f t="shared" ca="1" si="107"/>
        <v>484</v>
      </c>
      <c r="BV109" s="1">
        <f t="shared" ca="1" si="108"/>
        <v>0.83276137746774237</v>
      </c>
      <c r="BW109" s="1">
        <f t="shared" ca="1" si="109"/>
        <v>222</v>
      </c>
      <c r="BX109" s="1">
        <f t="shared" ca="1" si="110"/>
        <v>9.457048434254189E-3</v>
      </c>
      <c r="BY109" s="1">
        <f t="shared" ca="1" si="111"/>
        <v>1.5666564289739129E-2</v>
      </c>
      <c r="BZ109" s="1">
        <f t="shared" ca="1" si="112"/>
        <v>0.66840797608872615</v>
      </c>
      <c r="CB109" s="1">
        <f t="shared" ca="1" si="113"/>
        <v>81</v>
      </c>
      <c r="CC109" s="1">
        <f t="shared" ca="1" si="114"/>
        <v>10</v>
      </c>
      <c r="CD109" s="1">
        <f t="shared" ca="1" si="115"/>
        <v>0.27393279306829066</v>
      </c>
      <c r="CE109" s="1">
        <f t="shared" ca="1" si="131"/>
        <v>0.9649845593680898</v>
      </c>
      <c r="CF109" s="1">
        <f t="shared" ca="1" si="131"/>
        <v>0.62028021792929822</v>
      </c>
      <c r="CH109" s="3">
        <f t="shared" ca="1" si="117"/>
        <v>0.70844851408939746</v>
      </c>
      <c r="CI109" s="3">
        <f t="shared" ca="1" si="118"/>
        <v>0.63953572116387358</v>
      </c>
      <c r="CJ109" s="3">
        <f t="shared" ca="1" si="119"/>
        <v>1750</v>
      </c>
      <c r="CK109" s="3">
        <f t="shared" ca="1" si="120"/>
        <v>1.5639839510438239E-3</v>
      </c>
      <c r="CL109" s="3">
        <f t="shared" ca="1" si="121"/>
        <v>0</v>
      </c>
      <c r="CM109" s="3"/>
      <c r="CN109" s="1">
        <f t="shared" ca="1" si="122"/>
        <v>14.873396060376765</v>
      </c>
      <c r="CO109" s="1">
        <f t="shared" ca="1" si="123"/>
        <v>0.19088667865110534</v>
      </c>
      <c r="CP109" s="1">
        <f t="shared" ca="1" si="124"/>
        <v>5</v>
      </c>
      <c r="DH109" s="1">
        <f t="shared" ca="1" si="125"/>
        <v>540</v>
      </c>
      <c r="DI109" s="1">
        <f t="shared" ca="1" si="126"/>
        <v>0.84320839427132666</v>
      </c>
      <c r="DJ109" s="1">
        <f t="shared" ca="1" si="127"/>
        <v>9</v>
      </c>
      <c r="DL109" s="1">
        <f t="shared" ca="1" si="128"/>
        <v>5.5067951234190698E-2</v>
      </c>
      <c r="DM109" s="1">
        <f t="shared" ca="1" si="129"/>
        <v>74</v>
      </c>
      <c r="DN109" s="1">
        <f t="shared" ca="1" si="130"/>
        <v>5</v>
      </c>
    </row>
    <row r="110" spans="2:118" x14ac:dyDescent="0.25">
      <c r="B110">
        <f t="shared" ca="1" si="66"/>
        <v>869</v>
      </c>
      <c r="C110">
        <f t="shared" ca="1" si="67"/>
        <v>12</v>
      </c>
      <c r="D110">
        <f t="shared" ca="1" si="68"/>
        <v>0.25653032979154489</v>
      </c>
      <c r="F110" s="1">
        <f t="shared" ca="1" si="69"/>
        <v>33</v>
      </c>
      <c r="G110" s="1">
        <f t="shared" ca="1" si="70"/>
        <v>9</v>
      </c>
      <c r="H110" s="1">
        <f t="shared" ca="1" si="71"/>
        <v>7</v>
      </c>
      <c r="I110" s="1"/>
      <c r="J110" s="1">
        <f t="shared" ca="1" si="72"/>
        <v>10</v>
      </c>
      <c r="K110" s="1">
        <f t="shared" ca="1" si="73"/>
        <v>2.118685943773754</v>
      </c>
      <c r="L110" s="1">
        <f t="shared" ca="1" si="74"/>
        <v>31</v>
      </c>
      <c r="M110" s="1"/>
      <c r="N110" s="1">
        <f t="shared" ca="1" si="75"/>
        <v>676</v>
      </c>
      <c r="O110" s="1">
        <f t="shared" ca="1" si="76"/>
        <v>11</v>
      </c>
      <c r="P110" s="1"/>
      <c r="Q110" s="1">
        <f t="shared" ca="1" si="77"/>
        <v>1.5633075002290799</v>
      </c>
      <c r="R110" s="1">
        <f t="shared" ca="1" si="78"/>
        <v>959</v>
      </c>
      <c r="S110" s="1"/>
      <c r="T110" s="1">
        <f t="shared" ca="1" si="79"/>
        <v>0.17727015617860839</v>
      </c>
      <c r="U110" s="1">
        <f t="shared" ca="1" si="80"/>
        <v>247</v>
      </c>
      <c r="V110" s="1">
        <f t="shared" ca="1" si="81"/>
        <v>27</v>
      </c>
      <c r="W110" s="1"/>
      <c r="X110" s="1">
        <f t="shared" ca="1" si="82"/>
        <v>2.3949568324798562</v>
      </c>
      <c r="Y110" s="1">
        <f t="shared" ca="1" si="83"/>
        <v>0.82712759243263512</v>
      </c>
      <c r="Z110" s="1">
        <f t="shared" ca="1" si="84"/>
        <v>1260</v>
      </c>
      <c r="AB110" s="1">
        <f t="shared" ca="1" si="85"/>
        <v>0.53516476750468478</v>
      </c>
      <c r="AC110" s="1">
        <f t="shared" ca="1" si="86"/>
        <v>262</v>
      </c>
      <c r="AD110" s="1">
        <f t="shared" ca="1" si="87"/>
        <v>4.4354565438506381E-3</v>
      </c>
      <c r="AE110" s="1"/>
      <c r="AF110" s="1">
        <f t="shared" ca="1" si="88"/>
        <v>0.74375346457339975</v>
      </c>
      <c r="AG110" s="1">
        <f t="shared" ca="1" si="89"/>
        <v>652</v>
      </c>
      <c r="AH110" s="1">
        <f t="shared" ca="1" si="90"/>
        <v>8.9956299052409566E-3</v>
      </c>
      <c r="AJ110" s="1">
        <f t="shared" ca="1" si="91"/>
        <v>0.86919813859653672</v>
      </c>
      <c r="AK110" s="1">
        <f t="shared" ca="1" si="92"/>
        <v>4.6304946921914714E-3</v>
      </c>
      <c r="AL110" s="1"/>
      <c r="AM110" s="1">
        <f t="shared" ca="1" si="93"/>
        <v>7.8600695531691606E-2</v>
      </c>
      <c r="AN110" s="1">
        <f t="shared" ca="1" si="94"/>
        <v>60</v>
      </c>
      <c r="AO110" s="1">
        <f t="shared" ca="1" si="95"/>
        <v>1</v>
      </c>
      <c r="AQ110" s="1">
        <f t="shared" ca="1" si="96"/>
        <v>80</v>
      </c>
      <c r="AR110" s="1">
        <f t="shared" ca="1" si="97"/>
        <v>4</v>
      </c>
      <c r="AS110" s="1">
        <f t="shared" ca="1" si="98"/>
        <v>10</v>
      </c>
      <c r="AU110" s="1">
        <f t="shared" ca="1" si="99"/>
        <v>270</v>
      </c>
      <c r="AV110" s="1">
        <f t="shared" ca="1" si="100"/>
        <v>4</v>
      </c>
      <c r="AW110" s="1">
        <f t="shared" ca="1" si="101"/>
        <v>8.6157682684755682E-2</v>
      </c>
      <c r="AY110" s="1">
        <f t="shared" ca="1" si="102"/>
        <v>1.7455900571444789</v>
      </c>
      <c r="AZ110" s="1">
        <f t="shared" ca="1" si="103"/>
        <v>211</v>
      </c>
      <c r="BA110" s="1">
        <f t="shared" ca="1" si="104"/>
        <v>9.6727549731075741E-3</v>
      </c>
      <c r="BG110" s="1">
        <f t="shared" ca="1" si="105"/>
        <v>0.7803070736904455</v>
      </c>
      <c r="BH110" s="1">
        <f t="shared" ca="1" si="106"/>
        <v>0.61891556144558735</v>
      </c>
      <c r="BI110" s="1">
        <f t="shared" ca="1" si="107"/>
        <v>942</v>
      </c>
      <c r="BV110" s="1">
        <f t="shared" ca="1" si="108"/>
        <v>6.8130531136688696E-2</v>
      </c>
      <c r="BW110" s="1">
        <f t="shared" ca="1" si="109"/>
        <v>869</v>
      </c>
      <c r="BX110" s="1">
        <f t="shared" ca="1" si="110"/>
        <v>6.9099163767224175E-3</v>
      </c>
      <c r="BY110" s="1">
        <f t="shared" ca="1" si="111"/>
        <v>3.1428439262638039E-2</v>
      </c>
      <c r="BZ110" s="1">
        <f t="shared" ca="1" si="112"/>
        <v>0.18492861345776535</v>
      </c>
      <c r="CB110" s="1">
        <f t="shared" ca="1" si="113"/>
        <v>384</v>
      </c>
      <c r="CC110" s="1">
        <f t="shared" ca="1" si="114"/>
        <v>11</v>
      </c>
      <c r="CD110" s="1">
        <f t="shared" ca="1" si="115"/>
        <v>0.14834779587560273</v>
      </c>
      <c r="CE110" s="1">
        <f t="shared" ca="1" si="131"/>
        <v>0.55158069518398056</v>
      </c>
      <c r="CF110" s="1">
        <f t="shared" ca="1" si="131"/>
        <v>0.82589285635354748</v>
      </c>
      <c r="CH110" s="3">
        <f t="shared" ca="1" si="117"/>
        <v>6.1889495210507517E-2</v>
      </c>
      <c r="CI110" s="3">
        <f t="shared" ca="1" si="118"/>
        <v>0.37011008429752879</v>
      </c>
      <c r="CJ110" s="3">
        <f t="shared" ca="1" si="119"/>
        <v>1238</v>
      </c>
      <c r="CK110" s="3">
        <f t="shared" ca="1" si="120"/>
        <v>7.2249054785332705E-4</v>
      </c>
      <c r="CL110" s="3">
        <f t="shared" ca="1" si="121"/>
        <v>0</v>
      </c>
      <c r="CM110" s="3"/>
      <c r="CN110" s="1">
        <f t="shared" ca="1" si="122"/>
        <v>6.0940546208581736</v>
      </c>
      <c r="CO110" s="1">
        <f t="shared" ca="1" si="123"/>
        <v>5.0711111691315862E-2</v>
      </c>
      <c r="CP110" s="1">
        <f t="shared" ca="1" si="124"/>
        <v>3</v>
      </c>
      <c r="DH110" s="1">
        <f t="shared" ca="1" si="125"/>
        <v>718</v>
      </c>
      <c r="DI110" s="1">
        <f t="shared" ca="1" si="126"/>
        <v>0.16517070530147121</v>
      </c>
      <c r="DJ110" s="1">
        <f t="shared" ca="1" si="127"/>
        <v>28</v>
      </c>
      <c r="DL110" s="1">
        <f t="shared" ca="1" si="128"/>
        <v>0.14322882206143597</v>
      </c>
      <c r="DM110" s="1">
        <f t="shared" ca="1" si="129"/>
        <v>196</v>
      </c>
      <c r="DN110" s="1">
        <f t="shared" ca="1" si="130"/>
        <v>8</v>
      </c>
    </row>
    <row r="111" spans="2:118" x14ac:dyDescent="0.25">
      <c r="B111">
        <f t="shared" ca="1" si="66"/>
        <v>848</v>
      </c>
      <c r="C111">
        <f t="shared" ca="1" si="67"/>
        <v>12</v>
      </c>
      <c r="D111">
        <f t="shared" ca="1" si="68"/>
        <v>0.19332514749323693</v>
      </c>
      <c r="F111" s="1">
        <f t="shared" ca="1" si="69"/>
        <v>29</v>
      </c>
      <c r="G111" s="1">
        <f t="shared" ca="1" si="70"/>
        <v>30</v>
      </c>
      <c r="H111" s="1">
        <f t="shared" ca="1" si="71"/>
        <v>12</v>
      </c>
      <c r="I111" s="1"/>
      <c r="J111" s="1">
        <f t="shared" ca="1" si="72"/>
        <v>13</v>
      </c>
      <c r="K111" s="1">
        <f t="shared" ca="1" si="73"/>
        <v>1.5225422387553056</v>
      </c>
      <c r="L111" s="1">
        <f t="shared" ca="1" si="74"/>
        <v>33</v>
      </c>
      <c r="M111" s="1"/>
      <c r="N111" s="1">
        <f t="shared" ca="1" si="75"/>
        <v>405</v>
      </c>
      <c r="O111" s="1">
        <f t="shared" ca="1" si="76"/>
        <v>47</v>
      </c>
      <c r="P111" s="1"/>
      <c r="Q111" s="1">
        <f t="shared" ca="1" si="77"/>
        <v>0.42053848227423518</v>
      </c>
      <c r="R111" s="1">
        <f t="shared" ca="1" si="78"/>
        <v>333</v>
      </c>
      <c r="S111" s="1"/>
      <c r="T111" s="1">
        <f t="shared" ca="1" si="79"/>
        <v>8.7270089150464691E-2</v>
      </c>
      <c r="U111" s="1">
        <f t="shared" ca="1" si="80"/>
        <v>171</v>
      </c>
      <c r="V111" s="1">
        <f t="shared" ca="1" si="81"/>
        <v>41</v>
      </c>
      <c r="W111" s="1"/>
      <c r="X111" s="1">
        <f t="shared" ca="1" si="82"/>
        <v>9.2224895241373641</v>
      </c>
      <c r="Y111" s="1">
        <f t="shared" ca="1" si="83"/>
        <v>0.1315665155882377</v>
      </c>
      <c r="Z111" s="1">
        <f t="shared" ca="1" si="84"/>
        <v>1867</v>
      </c>
      <c r="AB111" s="1">
        <f t="shared" ca="1" si="85"/>
        <v>0.83431588387719591</v>
      </c>
      <c r="AC111" s="1">
        <f t="shared" ca="1" si="86"/>
        <v>900</v>
      </c>
      <c r="AD111" s="1">
        <f t="shared" ca="1" si="87"/>
        <v>8.1025521009503686E-3</v>
      </c>
      <c r="AE111" s="1"/>
      <c r="AF111" s="1">
        <f t="shared" ca="1" si="88"/>
        <v>0.60612685281457801</v>
      </c>
      <c r="AG111" s="1">
        <f t="shared" ca="1" si="89"/>
        <v>970</v>
      </c>
      <c r="AH111" s="1">
        <f t="shared" ca="1" si="90"/>
        <v>2.6299995413896992E-3</v>
      </c>
      <c r="AJ111" s="1">
        <f t="shared" ca="1" si="91"/>
        <v>0.30162481852217138</v>
      </c>
      <c r="AK111" s="1">
        <f t="shared" ca="1" si="92"/>
        <v>6.3079136016638872E-3</v>
      </c>
      <c r="AL111" s="1"/>
      <c r="AM111" s="1">
        <f t="shared" ca="1" si="93"/>
        <v>2.1568374364749517E-2</v>
      </c>
      <c r="AN111" s="1">
        <f t="shared" ca="1" si="94"/>
        <v>60</v>
      </c>
      <c r="AO111" s="1">
        <f t="shared" ca="1" si="95"/>
        <v>17</v>
      </c>
      <c r="AQ111" s="1">
        <f t="shared" ca="1" si="96"/>
        <v>14</v>
      </c>
      <c r="AR111" s="1">
        <f t="shared" ca="1" si="97"/>
        <v>2</v>
      </c>
      <c r="AS111" s="1">
        <f t="shared" ca="1" si="98"/>
        <v>67</v>
      </c>
      <c r="AU111" s="1">
        <f t="shared" ca="1" si="99"/>
        <v>341</v>
      </c>
      <c r="AV111" s="1">
        <f t="shared" ca="1" si="100"/>
        <v>5</v>
      </c>
      <c r="AW111" s="1">
        <f t="shared" ca="1" si="101"/>
        <v>0.15225110810036541</v>
      </c>
      <c r="AY111" s="1">
        <f t="shared" ca="1" si="102"/>
        <v>1.2301233332470034</v>
      </c>
      <c r="AZ111" s="1">
        <f t="shared" ca="1" si="103"/>
        <v>233</v>
      </c>
      <c r="BA111" s="1">
        <f t="shared" ca="1" si="104"/>
        <v>7.0700615277855712E-3</v>
      </c>
      <c r="BG111" s="1">
        <f t="shared" ca="1" si="105"/>
        <v>0.91348224386643606</v>
      </c>
      <c r="BH111" s="1">
        <f t="shared" ca="1" si="106"/>
        <v>0.6397977663830765</v>
      </c>
      <c r="BI111" s="1">
        <f t="shared" ca="1" si="107"/>
        <v>878</v>
      </c>
      <c r="BV111" s="1">
        <f t="shared" ca="1" si="108"/>
        <v>0.97721195698701169</v>
      </c>
      <c r="BW111" s="1">
        <f t="shared" ca="1" si="109"/>
        <v>515</v>
      </c>
      <c r="BX111" s="1">
        <f t="shared" ca="1" si="110"/>
        <v>4.6650358958930651E-3</v>
      </c>
      <c r="BY111" s="1">
        <f t="shared" ca="1" si="111"/>
        <v>7.6419248217945365E-2</v>
      </c>
      <c r="BZ111" s="1">
        <f t="shared" ca="1" si="112"/>
        <v>0.38897469095346948</v>
      </c>
      <c r="CB111" s="1">
        <f t="shared" ca="1" si="113"/>
        <v>428</v>
      </c>
      <c r="CC111" s="1">
        <f t="shared" ca="1" si="114"/>
        <v>8</v>
      </c>
      <c r="CD111" s="1">
        <f t="shared" ca="1" si="115"/>
        <v>5.4420212893682748E-2</v>
      </c>
      <c r="CE111" s="1">
        <f t="shared" ca="1" si="131"/>
        <v>0.86571295211753907</v>
      </c>
      <c r="CF111" s="1">
        <f t="shared" ca="1" si="131"/>
        <v>0.69501446364254638</v>
      </c>
      <c r="CH111" s="3">
        <f t="shared" ca="1" si="117"/>
        <v>0.18266975342616865</v>
      </c>
      <c r="CI111" s="3">
        <f t="shared" ca="1" si="118"/>
        <v>0.28187260193937591</v>
      </c>
      <c r="CJ111" s="3">
        <f t="shared" ca="1" si="119"/>
        <v>197</v>
      </c>
      <c r="CK111" s="3">
        <f t="shared" ca="1" si="120"/>
        <v>4.3741629631191244E-3</v>
      </c>
      <c r="CL111" s="3">
        <f t="shared" ca="1" si="121"/>
        <v>1</v>
      </c>
      <c r="CM111" s="3"/>
      <c r="CN111" s="1">
        <f t="shared" ca="1" si="122"/>
        <v>16.781218772833835</v>
      </c>
      <c r="CO111" s="1">
        <f t="shared" ca="1" si="123"/>
        <v>0.21306059986320056</v>
      </c>
      <c r="CP111" s="1">
        <f t="shared" ca="1" si="124"/>
        <v>5</v>
      </c>
      <c r="DH111" s="1">
        <f t="shared" ca="1" si="125"/>
        <v>458</v>
      </c>
      <c r="DI111" s="1">
        <f t="shared" ca="1" si="126"/>
        <v>0.17336097196780711</v>
      </c>
      <c r="DJ111" s="1">
        <f t="shared" ca="1" si="127"/>
        <v>10</v>
      </c>
      <c r="DL111" s="1">
        <f t="shared" ca="1" si="128"/>
        <v>0.12417419998984827</v>
      </c>
      <c r="DM111" s="1">
        <f t="shared" ca="1" si="129"/>
        <v>185</v>
      </c>
      <c r="DN111" s="1">
        <f t="shared" ca="1" si="130"/>
        <v>4</v>
      </c>
    </row>
    <row r="112" spans="2:118" x14ac:dyDescent="0.25">
      <c r="B112">
        <f t="shared" ca="1" si="66"/>
        <v>585</v>
      </c>
      <c r="C112">
        <f t="shared" ca="1" si="67"/>
        <v>34</v>
      </c>
      <c r="D112">
        <f t="shared" ca="1" si="68"/>
        <v>0.17469194498345852</v>
      </c>
      <c r="F112" s="1">
        <f t="shared" ca="1" si="69"/>
        <v>10</v>
      </c>
      <c r="G112" s="1">
        <f t="shared" ca="1" si="70"/>
        <v>4</v>
      </c>
      <c r="H112" s="1">
        <f t="shared" ca="1" si="71"/>
        <v>7</v>
      </c>
      <c r="I112" s="1"/>
      <c r="J112" s="1">
        <f t="shared" ca="1" si="72"/>
        <v>29</v>
      </c>
      <c r="K112" s="1">
        <f t="shared" ca="1" si="73"/>
        <v>1.5935295781838772</v>
      </c>
      <c r="L112" s="1">
        <f t="shared" ca="1" si="74"/>
        <v>4</v>
      </c>
      <c r="M112" s="1"/>
      <c r="N112" s="1">
        <f t="shared" ca="1" si="75"/>
        <v>41</v>
      </c>
      <c r="O112" s="1">
        <f t="shared" ca="1" si="76"/>
        <v>44</v>
      </c>
      <c r="P112" s="1"/>
      <c r="Q112" s="1">
        <f t="shared" ca="1" si="77"/>
        <v>0.86894113521997085</v>
      </c>
      <c r="R112" s="1">
        <f t="shared" ca="1" si="78"/>
        <v>521</v>
      </c>
      <c r="S112" s="1"/>
      <c r="T112" s="1">
        <f t="shared" ca="1" si="79"/>
        <v>0.19828903178673479</v>
      </c>
      <c r="U112" s="1">
        <f t="shared" ca="1" si="80"/>
        <v>364</v>
      </c>
      <c r="V112" s="1">
        <f t="shared" ca="1" si="81"/>
        <v>50</v>
      </c>
      <c r="W112" s="1"/>
      <c r="X112" s="1">
        <f t="shared" ca="1" si="82"/>
        <v>1.861020321451722</v>
      </c>
      <c r="Y112" s="1">
        <f t="shared" ca="1" si="83"/>
        <v>0.11062209379920021</v>
      </c>
      <c r="Z112" s="1">
        <f t="shared" ca="1" si="84"/>
        <v>1785</v>
      </c>
      <c r="AB112" s="1">
        <f t="shared" ca="1" si="85"/>
        <v>9.4791997688336058E-2</v>
      </c>
      <c r="AC112" s="1">
        <f t="shared" ca="1" si="86"/>
        <v>396</v>
      </c>
      <c r="AD112" s="1">
        <f t="shared" ca="1" si="87"/>
        <v>5.9131920685496792E-3</v>
      </c>
      <c r="AE112" s="1"/>
      <c r="AF112" s="1">
        <f t="shared" ca="1" si="88"/>
        <v>0.12780526930010316</v>
      </c>
      <c r="AG112" s="1">
        <f t="shared" ca="1" si="89"/>
        <v>840</v>
      </c>
      <c r="AH112" s="1">
        <f t="shared" ca="1" si="90"/>
        <v>1.6522549613995406E-3</v>
      </c>
      <c r="AJ112" s="1">
        <f t="shared" ca="1" si="91"/>
        <v>0.57008400710523377</v>
      </c>
      <c r="AK112" s="1">
        <f t="shared" ca="1" si="92"/>
        <v>6.2865088166837576E-3</v>
      </c>
      <c r="AL112" s="1"/>
      <c r="AM112" s="1">
        <f t="shared" ca="1" si="93"/>
        <v>0.14243425297473125</v>
      </c>
      <c r="AN112" s="1">
        <f t="shared" ca="1" si="94"/>
        <v>18</v>
      </c>
      <c r="AO112" s="1">
        <f t="shared" ca="1" si="95"/>
        <v>10</v>
      </c>
      <c r="AQ112" s="1">
        <f t="shared" ca="1" si="96"/>
        <v>23</v>
      </c>
      <c r="AR112" s="1">
        <f t="shared" ca="1" si="97"/>
        <v>10</v>
      </c>
      <c r="AS112" s="1">
        <f t="shared" ca="1" si="98"/>
        <v>63</v>
      </c>
      <c r="AU112" s="1">
        <f t="shared" ca="1" si="99"/>
        <v>377</v>
      </c>
      <c r="AV112" s="1">
        <f t="shared" ca="1" si="100"/>
        <v>2</v>
      </c>
      <c r="AW112" s="1">
        <f t="shared" ca="1" si="101"/>
        <v>0.14218060829175241</v>
      </c>
      <c r="AY112" s="1">
        <f t="shared" ca="1" si="102"/>
        <v>1.1035025530774074</v>
      </c>
      <c r="AZ112" s="1">
        <f t="shared" ca="1" si="103"/>
        <v>87</v>
      </c>
      <c r="BA112" s="1">
        <f t="shared" ca="1" si="104"/>
        <v>8.5093744255796515E-3</v>
      </c>
      <c r="BG112" s="1">
        <f t="shared" ca="1" si="105"/>
        <v>0.12695691976900308</v>
      </c>
      <c r="BH112" s="1">
        <f t="shared" ca="1" si="106"/>
        <v>0.75012890241382946</v>
      </c>
      <c r="BI112" s="1">
        <f t="shared" ca="1" si="107"/>
        <v>241</v>
      </c>
      <c r="BV112" s="1">
        <f t="shared" ca="1" si="108"/>
        <v>0.99883527475005995</v>
      </c>
      <c r="BW112" s="1">
        <f t="shared" ca="1" si="109"/>
        <v>992</v>
      </c>
      <c r="BX112" s="1">
        <f t="shared" ca="1" si="110"/>
        <v>8.4491850177623486E-3</v>
      </c>
      <c r="BY112" s="1">
        <f t="shared" ca="1" si="111"/>
        <v>6.6731775422745249E-2</v>
      </c>
      <c r="BZ112" s="1">
        <f t="shared" ca="1" si="112"/>
        <v>0.35679883608933161</v>
      </c>
      <c r="CB112" s="1">
        <f t="shared" ca="1" si="113"/>
        <v>388</v>
      </c>
      <c r="CC112" s="1">
        <f t="shared" ca="1" si="114"/>
        <v>7</v>
      </c>
      <c r="CD112" s="1">
        <f t="shared" ca="1" si="115"/>
        <v>0.22692922575803806</v>
      </c>
      <c r="CE112" s="1">
        <f t="shared" ca="1" si="131"/>
        <v>0.69546729829387532</v>
      </c>
      <c r="CF112" s="1">
        <f t="shared" ca="1" si="131"/>
        <v>0.5978632780304407</v>
      </c>
      <c r="CH112" s="3">
        <f t="shared" ca="1" si="117"/>
        <v>0.10006940456998849</v>
      </c>
      <c r="CI112" s="3">
        <f t="shared" ca="1" si="118"/>
        <v>0.2281527856984841</v>
      </c>
      <c r="CJ112" s="3">
        <f t="shared" ca="1" si="119"/>
        <v>557</v>
      </c>
      <c r="CK112" s="3">
        <f t="shared" ca="1" si="120"/>
        <v>4.0737168189130491E-3</v>
      </c>
      <c r="CL112" s="3">
        <f t="shared" ca="1" si="121"/>
        <v>1</v>
      </c>
      <c r="CM112" s="3"/>
      <c r="CN112" s="1">
        <f t="shared" ca="1" si="122"/>
        <v>6.3490023225782526</v>
      </c>
      <c r="CO112" s="1">
        <f t="shared" ca="1" si="123"/>
        <v>4.5752209321835928E-2</v>
      </c>
      <c r="CP112" s="1">
        <f t="shared" ca="1" si="124"/>
        <v>4</v>
      </c>
      <c r="DH112" s="1">
        <f t="shared" ca="1" si="125"/>
        <v>69</v>
      </c>
      <c r="DI112" s="1">
        <f t="shared" ca="1" si="126"/>
        <v>0.36303488315796906</v>
      </c>
      <c r="DJ112" s="1">
        <f t="shared" ca="1" si="127"/>
        <v>21</v>
      </c>
      <c r="DL112" s="1">
        <f t="shared" ca="1" si="128"/>
        <v>0.17952070762825809</v>
      </c>
      <c r="DM112" s="1">
        <f t="shared" ca="1" si="129"/>
        <v>103</v>
      </c>
      <c r="DN112" s="1">
        <f t="shared" ca="1" si="130"/>
        <v>8</v>
      </c>
    </row>
    <row r="113" spans="2:118" x14ac:dyDescent="0.25">
      <c r="B113">
        <f t="shared" ca="1" si="66"/>
        <v>630</v>
      </c>
      <c r="C113">
        <f t="shared" ca="1" si="67"/>
        <v>24</v>
      </c>
      <c r="D113">
        <f t="shared" ca="1" si="68"/>
        <v>0.16499523455889295</v>
      </c>
      <c r="F113" s="1">
        <f t="shared" ca="1" si="69"/>
        <v>13</v>
      </c>
      <c r="G113" s="1">
        <f t="shared" ca="1" si="70"/>
        <v>11</v>
      </c>
      <c r="H113" s="1">
        <f t="shared" ca="1" si="71"/>
        <v>8</v>
      </c>
      <c r="I113" s="1"/>
      <c r="J113" s="1">
        <f t="shared" ca="1" si="72"/>
        <v>33</v>
      </c>
      <c r="K113" s="1">
        <f t="shared" ca="1" si="73"/>
        <v>2.2518022206916157</v>
      </c>
      <c r="L113" s="1">
        <f t="shared" ca="1" si="74"/>
        <v>9</v>
      </c>
      <c r="M113" s="1"/>
      <c r="N113" s="1">
        <f t="shared" ca="1" si="75"/>
        <v>411</v>
      </c>
      <c r="O113" s="1">
        <f t="shared" ca="1" si="76"/>
        <v>16</v>
      </c>
      <c r="P113" s="1"/>
      <c r="Q113" s="1">
        <f t="shared" ca="1" si="77"/>
        <v>0.19426017716115648</v>
      </c>
      <c r="R113" s="1">
        <f t="shared" ca="1" si="78"/>
        <v>633</v>
      </c>
      <c r="S113" s="1"/>
      <c r="T113" s="1">
        <f t="shared" ca="1" si="79"/>
        <v>7.6243174067452776E-2</v>
      </c>
      <c r="U113" s="1">
        <f t="shared" ca="1" si="80"/>
        <v>327</v>
      </c>
      <c r="V113" s="1">
        <f t="shared" ca="1" si="81"/>
        <v>36</v>
      </c>
      <c r="W113" s="1"/>
      <c r="X113" s="1">
        <f t="shared" ca="1" si="82"/>
        <v>9.1419269629523985</v>
      </c>
      <c r="Y113" s="1">
        <f t="shared" ca="1" si="83"/>
        <v>0.95401469954744467</v>
      </c>
      <c r="Z113" s="1">
        <f t="shared" ca="1" si="84"/>
        <v>148</v>
      </c>
      <c r="AB113" s="1">
        <f t="shared" ca="1" si="85"/>
        <v>2.1282519899554122E-2</v>
      </c>
      <c r="AC113" s="1">
        <f t="shared" ca="1" si="86"/>
        <v>729</v>
      </c>
      <c r="AD113" s="1">
        <f t="shared" ca="1" si="87"/>
        <v>6.2124330564004571E-3</v>
      </c>
      <c r="AE113" s="1"/>
      <c r="AF113" s="1">
        <f t="shared" ca="1" si="88"/>
        <v>0.73759835384552541</v>
      </c>
      <c r="AG113" s="1">
        <f t="shared" ca="1" si="89"/>
        <v>253</v>
      </c>
      <c r="AH113" s="1">
        <f t="shared" ca="1" si="90"/>
        <v>6.9490919507034764E-4</v>
      </c>
      <c r="AJ113" s="1">
        <f t="shared" ca="1" si="91"/>
        <v>0.22815504416042287</v>
      </c>
      <c r="AK113" s="1">
        <f t="shared" ca="1" si="92"/>
        <v>8.2244453225743825E-3</v>
      </c>
      <c r="AL113" s="1"/>
      <c r="AM113" s="1">
        <f t="shared" ca="1" si="93"/>
        <v>0.11132912612623187</v>
      </c>
      <c r="AN113" s="1">
        <f t="shared" ca="1" si="94"/>
        <v>19</v>
      </c>
      <c r="AO113" s="1">
        <f t="shared" ca="1" si="95"/>
        <v>14</v>
      </c>
      <c r="AQ113" s="1">
        <f t="shared" ca="1" si="96"/>
        <v>145</v>
      </c>
      <c r="AR113" s="1">
        <f t="shared" ca="1" si="97"/>
        <v>9</v>
      </c>
      <c r="AS113" s="1">
        <f t="shared" ca="1" si="98"/>
        <v>73</v>
      </c>
      <c r="AU113" s="1">
        <f t="shared" ca="1" si="99"/>
        <v>152</v>
      </c>
      <c r="AV113" s="1">
        <f t="shared" ca="1" si="100"/>
        <v>3</v>
      </c>
      <c r="AW113" s="1">
        <f t="shared" ca="1" si="101"/>
        <v>7.8576189249388084E-2</v>
      </c>
      <c r="AY113" s="1">
        <f t="shared" ca="1" si="102"/>
        <v>1.4891190921424546</v>
      </c>
      <c r="AZ113" s="1">
        <f t="shared" ca="1" si="103"/>
        <v>210</v>
      </c>
      <c r="BA113" s="1">
        <f t="shared" ca="1" si="104"/>
        <v>7.0988767526670507E-3</v>
      </c>
      <c r="BG113" s="1">
        <f t="shared" ca="1" si="105"/>
        <v>0.7690302589621425</v>
      </c>
      <c r="BH113" s="1">
        <f t="shared" ca="1" si="106"/>
        <v>0.87834608854962271</v>
      </c>
      <c r="BI113" s="1">
        <f t="shared" ca="1" si="107"/>
        <v>823</v>
      </c>
      <c r="BV113" s="1">
        <f t="shared" ca="1" si="108"/>
        <v>0.3749981419090877</v>
      </c>
      <c r="BW113" s="1">
        <f t="shared" ca="1" si="109"/>
        <v>582</v>
      </c>
      <c r="BX113" s="1">
        <f t="shared" ca="1" si="110"/>
        <v>8.6725582530419749E-3</v>
      </c>
      <c r="BY113" s="1">
        <f t="shared" ca="1" si="111"/>
        <v>6.8361248627854879E-2</v>
      </c>
      <c r="BZ113" s="1">
        <f t="shared" ca="1" si="112"/>
        <v>0.25765620884349638</v>
      </c>
      <c r="CB113" s="1">
        <f t="shared" ca="1" si="113"/>
        <v>246</v>
      </c>
      <c r="CC113" s="1">
        <f t="shared" ca="1" si="114"/>
        <v>11</v>
      </c>
      <c r="CD113" s="1">
        <f t="shared" ca="1" si="115"/>
        <v>0.25377234237793717</v>
      </c>
      <c r="CE113" s="1">
        <f t="shared" ca="1" si="131"/>
        <v>0.59530652615683555</v>
      </c>
      <c r="CF113" s="1">
        <f t="shared" ca="1" si="131"/>
        <v>0.638473792126249</v>
      </c>
      <c r="CH113" s="3">
        <f t="shared" ca="1" si="117"/>
        <v>0.33746550055477176</v>
      </c>
      <c r="CI113" s="3">
        <f t="shared" ca="1" si="118"/>
        <v>0.6776113696595969</v>
      </c>
      <c r="CJ113" s="3">
        <f t="shared" ca="1" si="119"/>
        <v>234</v>
      </c>
      <c r="CK113" s="3">
        <f t="shared" ca="1" si="120"/>
        <v>7.7097927365062527E-3</v>
      </c>
      <c r="CL113" s="3">
        <f t="shared" ca="1" si="121"/>
        <v>1</v>
      </c>
      <c r="CM113" s="3"/>
      <c r="CN113" s="1">
        <f t="shared" ca="1" si="122"/>
        <v>13.693259234396367</v>
      </c>
      <c r="CO113" s="1">
        <f t="shared" ca="1" si="123"/>
        <v>0.19537492252030766</v>
      </c>
      <c r="CP113" s="1">
        <f t="shared" ca="1" si="124"/>
        <v>2</v>
      </c>
      <c r="DH113" s="1">
        <f t="shared" ca="1" si="125"/>
        <v>508</v>
      </c>
      <c r="DI113" s="1">
        <f t="shared" ca="1" si="126"/>
        <v>0.58748566038150907</v>
      </c>
      <c r="DJ113" s="1">
        <f t="shared" ca="1" si="127"/>
        <v>4</v>
      </c>
      <c r="DL113" s="1">
        <f t="shared" ca="1" si="128"/>
        <v>2.3879664093720838E-2</v>
      </c>
      <c r="DM113" s="1">
        <f t="shared" ca="1" si="129"/>
        <v>105</v>
      </c>
      <c r="DN113" s="1">
        <f t="shared" ca="1" si="130"/>
        <v>5</v>
      </c>
    </row>
    <row r="114" spans="2:118" x14ac:dyDescent="0.25">
      <c r="B114">
        <f t="shared" ca="1" si="66"/>
        <v>955</v>
      </c>
      <c r="C114">
        <f t="shared" ca="1" si="67"/>
        <v>23</v>
      </c>
      <c r="D114">
        <f t="shared" ca="1" si="68"/>
        <v>0.1432266657336505</v>
      </c>
      <c r="F114" s="1">
        <f t="shared" ca="1" si="69"/>
        <v>27</v>
      </c>
      <c r="G114" s="1">
        <f t="shared" ca="1" si="70"/>
        <v>16</v>
      </c>
      <c r="H114" s="1">
        <f t="shared" ca="1" si="71"/>
        <v>1</v>
      </c>
      <c r="I114" s="1"/>
      <c r="J114" s="1">
        <f t="shared" ca="1" si="72"/>
        <v>25</v>
      </c>
      <c r="K114" s="1">
        <f t="shared" ca="1" si="73"/>
        <v>1.2990654594876694</v>
      </c>
      <c r="L114" s="1">
        <f t="shared" ca="1" si="74"/>
        <v>4</v>
      </c>
      <c r="M114" s="1"/>
      <c r="N114" s="1">
        <f t="shared" ca="1" si="75"/>
        <v>95</v>
      </c>
      <c r="O114" s="1">
        <f t="shared" ca="1" si="76"/>
        <v>31</v>
      </c>
      <c r="P114" s="1"/>
      <c r="Q114" s="1">
        <f t="shared" ca="1" si="77"/>
        <v>2.4671116166061751</v>
      </c>
      <c r="R114" s="1">
        <f t="shared" ca="1" si="78"/>
        <v>1070</v>
      </c>
      <c r="S114" s="1"/>
      <c r="T114" s="1">
        <f t="shared" ca="1" si="79"/>
        <v>7.7104151645157062E-2</v>
      </c>
      <c r="U114" s="1">
        <f t="shared" ca="1" si="80"/>
        <v>322</v>
      </c>
      <c r="V114" s="1">
        <f t="shared" ca="1" si="81"/>
        <v>15</v>
      </c>
      <c r="W114" s="1"/>
      <c r="X114" s="1">
        <f t="shared" ca="1" si="82"/>
        <v>0.62960028300285498</v>
      </c>
      <c r="Y114" s="1">
        <f t="shared" ca="1" si="83"/>
        <v>0.64182473004033092</v>
      </c>
      <c r="Z114" s="1">
        <f t="shared" ca="1" si="84"/>
        <v>1753</v>
      </c>
      <c r="AB114" s="1">
        <f t="shared" ca="1" si="85"/>
        <v>3.1764291830923283E-3</v>
      </c>
      <c r="AC114" s="1">
        <f t="shared" ca="1" si="86"/>
        <v>228</v>
      </c>
      <c r="AD114" s="1">
        <f t="shared" ca="1" si="87"/>
        <v>2.1626264083820005E-3</v>
      </c>
      <c r="AE114" s="1"/>
      <c r="AF114" s="1">
        <f t="shared" ca="1" si="88"/>
        <v>0.17136834015494076</v>
      </c>
      <c r="AG114" s="1">
        <f t="shared" ca="1" si="89"/>
        <v>270</v>
      </c>
      <c r="AH114" s="1">
        <f t="shared" ca="1" si="90"/>
        <v>4.7867897708176116E-3</v>
      </c>
      <c r="AJ114" s="1">
        <f t="shared" ca="1" si="91"/>
        <v>0.68932318983395935</v>
      </c>
      <c r="AK114" s="1">
        <f t="shared" ca="1" si="92"/>
        <v>9.8636260317108183E-4</v>
      </c>
      <c r="AL114" s="1"/>
      <c r="AM114" s="1">
        <f t="shared" ca="1" si="93"/>
        <v>0.10356020718536973</v>
      </c>
      <c r="AN114" s="1">
        <f t="shared" ca="1" si="94"/>
        <v>28</v>
      </c>
      <c r="AO114" s="1">
        <f t="shared" ca="1" si="95"/>
        <v>3</v>
      </c>
      <c r="AQ114" s="1">
        <f t="shared" ca="1" si="96"/>
        <v>184</v>
      </c>
      <c r="AR114" s="1">
        <f t="shared" ca="1" si="97"/>
        <v>7</v>
      </c>
      <c r="AS114" s="1">
        <f t="shared" ca="1" si="98"/>
        <v>91</v>
      </c>
      <c r="AU114" s="1">
        <f t="shared" ca="1" si="99"/>
        <v>346</v>
      </c>
      <c r="AV114" s="1">
        <f t="shared" ca="1" si="100"/>
        <v>8</v>
      </c>
      <c r="AW114" s="1">
        <f t="shared" ca="1" si="101"/>
        <v>4.9485606092108794E-2</v>
      </c>
      <c r="AY114" s="1">
        <f t="shared" ca="1" si="102"/>
        <v>1.7360971849963984</v>
      </c>
      <c r="AZ114" s="1">
        <f t="shared" ca="1" si="103"/>
        <v>95</v>
      </c>
      <c r="BA114" s="1">
        <f t="shared" ca="1" si="104"/>
        <v>9.2376428748217911E-4</v>
      </c>
      <c r="BG114" s="1">
        <f t="shared" ca="1" si="105"/>
        <v>2.6139223292170076E-2</v>
      </c>
      <c r="BH114" s="1">
        <f t="shared" ca="1" si="106"/>
        <v>0.44545992226244957</v>
      </c>
      <c r="BI114" s="1">
        <f t="shared" ca="1" si="107"/>
        <v>187</v>
      </c>
      <c r="BV114" s="1">
        <f t="shared" ca="1" si="108"/>
        <v>0.83739646644788934</v>
      </c>
      <c r="BW114" s="1">
        <f t="shared" ca="1" si="109"/>
        <v>958</v>
      </c>
      <c r="BX114" s="1">
        <f t="shared" ca="1" si="110"/>
        <v>2.5970311413800297E-3</v>
      </c>
      <c r="BY114" s="1">
        <f t="shared" ca="1" si="111"/>
        <v>3.3852435861939756E-2</v>
      </c>
      <c r="BZ114" s="1">
        <f t="shared" ca="1" si="112"/>
        <v>0.68537922657626238</v>
      </c>
      <c r="CB114" s="1">
        <f t="shared" ca="1" si="113"/>
        <v>266</v>
      </c>
      <c r="CC114" s="1">
        <f t="shared" ca="1" si="114"/>
        <v>5</v>
      </c>
      <c r="CD114" s="1">
        <f t="shared" ca="1" si="115"/>
        <v>0.14351815761476608</v>
      </c>
      <c r="CE114" s="1">
        <f t="shared" ca="1" si="131"/>
        <v>0.66867148610323723</v>
      </c>
      <c r="CF114" s="1">
        <f t="shared" ca="1" si="131"/>
        <v>0.73951227119734053</v>
      </c>
      <c r="CH114" s="3">
        <f t="shared" ca="1" si="117"/>
        <v>1.2093255953864861E-2</v>
      </c>
      <c r="CI114" s="3">
        <f t="shared" ca="1" si="118"/>
        <v>0.4624089507866137</v>
      </c>
      <c r="CJ114" s="3">
        <f t="shared" ca="1" si="119"/>
        <v>1777</v>
      </c>
      <c r="CK114" s="3">
        <f t="shared" ca="1" si="120"/>
        <v>9.9440002540831813E-3</v>
      </c>
      <c r="CL114" s="3">
        <f t="shared" ca="1" si="121"/>
        <v>1</v>
      </c>
      <c r="CM114" s="3"/>
      <c r="CN114" s="1">
        <f t="shared" ca="1" si="122"/>
        <v>11.954958016059999</v>
      </c>
      <c r="CO114" s="1">
        <f t="shared" ca="1" si="123"/>
        <v>0.38927412563946989</v>
      </c>
      <c r="CP114" s="1">
        <f t="shared" ca="1" si="124"/>
        <v>2</v>
      </c>
      <c r="DH114" s="1">
        <f t="shared" ca="1" si="125"/>
        <v>376</v>
      </c>
      <c r="DI114" s="1">
        <f t="shared" ca="1" si="126"/>
        <v>0.99032411204406467</v>
      </c>
      <c r="DJ114" s="1">
        <f t="shared" ca="1" si="127"/>
        <v>8</v>
      </c>
      <c r="DL114" s="1">
        <f t="shared" ca="1" si="128"/>
        <v>3.9424392394061619E-2</v>
      </c>
      <c r="DM114" s="1">
        <f t="shared" ca="1" si="129"/>
        <v>250</v>
      </c>
      <c r="DN114" s="1">
        <f t="shared" ca="1" si="130"/>
        <v>7</v>
      </c>
    </row>
    <row r="115" spans="2:118" x14ac:dyDescent="0.25">
      <c r="B115">
        <f t="shared" ca="1" si="66"/>
        <v>208</v>
      </c>
      <c r="C115">
        <f t="shared" ca="1" si="67"/>
        <v>23</v>
      </c>
      <c r="D115">
        <f t="shared" ca="1" si="68"/>
        <v>1.797530599036249E-2</v>
      </c>
      <c r="F115" s="1">
        <f t="shared" ca="1" si="69"/>
        <v>35</v>
      </c>
      <c r="G115" s="1">
        <f t="shared" ca="1" si="70"/>
        <v>26</v>
      </c>
      <c r="H115" s="1">
        <f t="shared" ca="1" si="71"/>
        <v>15</v>
      </c>
      <c r="I115" s="1"/>
      <c r="J115" s="1">
        <f t="shared" ca="1" si="72"/>
        <v>11</v>
      </c>
      <c r="K115" s="1">
        <f t="shared" ca="1" si="73"/>
        <v>2.7208811180315711</v>
      </c>
      <c r="L115" s="1">
        <f t="shared" ca="1" si="74"/>
        <v>4</v>
      </c>
      <c r="M115" s="1"/>
      <c r="N115" s="1">
        <f t="shared" ca="1" si="75"/>
        <v>499</v>
      </c>
      <c r="O115" s="1">
        <f t="shared" ca="1" si="76"/>
        <v>50</v>
      </c>
      <c r="P115" s="1"/>
      <c r="Q115" s="1">
        <f t="shared" ca="1" si="77"/>
        <v>4.8076495245685722</v>
      </c>
      <c r="R115" s="1">
        <f t="shared" ca="1" si="78"/>
        <v>663</v>
      </c>
      <c r="S115" s="1"/>
      <c r="T115" s="1">
        <f t="shared" ca="1" si="79"/>
        <v>8.0558145029528794E-2</v>
      </c>
      <c r="U115" s="1">
        <f t="shared" ca="1" si="80"/>
        <v>329</v>
      </c>
      <c r="V115" s="1">
        <f t="shared" ca="1" si="81"/>
        <v>4</v>
      </c>
      <c r="W115" s="1"/>
      <c r="X115" s="1">
        <f t="shared" ca="1" si="82"/>
        <v>9.1545546293113063</v>
      </c>
      <c r="Y115" s="1">
        <f t="shared" ca="1" si="83"/>
        <v>0.56315228603770295</v>
      </c>
      <c r="Z115" s="1">
        <f t="shared" ca="1" si="84"/>
        <v>1302</v>
      </c>
      <c r="AB115" s="1">
        <f t="shared" ca="1" si="85"/>
        <v>0.57644301077097526</v>
      </c>
      <c r="AC115" s="1">
        <f t="shared" ca="1" si="86"/>
        <v>676</v>
      </c>
      <c r="AD115" s="1">
        <f t="shared" ca="1" si="87"/>
        <v>2.7734733844823386E-3</v>
      </c>
      <c r="AE115" s="1"/>
      <c r="AF115" s="1">
        <f t="shared" ca="1" si="88"/>
        <v>0.51707650979016717</v>
      </c>
      <c r="AG115" s="1">
        <f t="shared" ca="1" si="89"/>
        <v>372</v>
      </c>
      <c r="AH115" s="1">
        <f t="shared" ca="1" si="90"/>
        <v>2.5684077844037671E-4</v>
      </c>
      <c r="AJ115" s="1">
        <f t="shared" ca="1" si="91"/>
        <v>0.40187421143838331</v>
      </c>
      <c r="AK115" s="1">
        <f t="shared" ca="1" si="92"/>
        <v>1.8571167843178036E-3</v>
      </c>
      <c r="AL115" s="1"/>
      <c r="AM115" s="1">
        <f t="shared" ca="1" si="93"/>
        <v>6.5142839091069321E-3</v>
      </c>
      <c r="AN115" s="1">
        <f t="shared" ca="1" si="94"/>
        <v>44</v>
      </c>
      <c r="AO115" s="1">
        <f t="shared" ca="1" si="95"/>
        <v>16</v>
      </c>
      <c r="AQ115" s="1">
        <f t="shared" ca="1" si="96"/>
        <v>70</v>
      </c>
      <c r="AR115" s="1">
        <f t="shared" ca="1" si="97"/>
        <v>7</v>
      </c>
      <c r="AS115" s="1">
        <f t="shared" ca="1" si="98"/>
        <v>3</v>
      </c>
      <c r="AU115" s="1">
        <f t="shared" ca="1" si="99"/>
        <v>144</v>
      </c>
      <c r="AV115" s="1">
        <f t="shared" ca="1" si="100"/>
        <v>6</v>
      </c>
      <c r="AW115" s="1">
        <f t="shared" ca="1" si="101"/>
        <v>0.15993668380363329</v>
      </c>
      <c r="AY115" s="1">
        <f t="shared" ca="1" si="102"/>
        <v>1.3942701334788068</v>
      </c>
      <c r="AZ115" s="1">
        <f t="shared" ca="1" si="103"/>
        <v>447</v>
      </c>
      <c r="BA115" s="1">
        <f t="shared" ca="1" si="104"/>
        <v>2.0271843204985869E-3</v>
      </c>
      <c r="BG115" s="1">
        <f t="shared" ca="1" si="105"/>
        <v>0.87362032756526975</v>
      </c>
      <c r="BH115" s="1">
        <f t="shared" ca="1" si="106"/>
        <v>0.98866445507350875</v>
      </c>
      <c r="BI115" s="1">
        <f t="shared" ca="1" si="107"/>
        <v>178</v>
      </c>
      <c r="BV115" s="1">
        <f t="shared" ca="1" si="108"/>
        <v>6.4441156887999146E-2</v>
      </c>
      <c r="BW115" s="1">
        <f t="shared" ca="1" si="109"/>
        <v>533</v>
      </c>
      <c r="BX115" s="1">
        <f t="shared" ca="1" si="110"/>
        <v>4.513363090243915E-3</v>
      </c>
      <c r="BY115" s="1">
        <f t="shared" ca="1" si="111"/>
        <v>6.7367477764395653E-2</v>
      </c>
      <c r="BZ115" s="1">
        <f t="shared" ca="1" si="112"/>
        <v>0.79874689372070418</v>
      </c>
      <c r="CB115" s="1">
        <f t="shared" ca="1" si="113"/>
        <v>413</v>
      </c>
      <c r="CC115" s="1">
        <f t="shared" ca="1" si="114"/>
        <v>11</v>
      </c>
      <c r="CD115" s="1">
        <f t="shared" ca="1" si="115"/>
        <v>0.22669822235521328</v>
      </c>
      <c r="CE115" s="1">
        <f t="shared" ca="1" si="131"/>
        <v>0.98115093514160434</v>
      </c>
      <c r="CF115" s="1">
        <f t="shared" ca="1" si="131"/>
        <v>0.91243814209293084</v>
      </c>
      <c r="CH115" s="3">
        <f t="shared" ca="1" si="117"/>
        <v>0.79464688217219226</v>
      </c>
      <c r="CI115" s="3">
        <f t="shared" ca="1" si="118"/>
        <v>2.1973084701974309E-2</v>
      </c>
      <c r="CJ115" s="3">
        <f t="shared" ca="1" si="119"/>
        <v>333</v>
      </c>
      <c r="CK115" s="3">
        <f t="shared" ca="1" si="120"/>
        <v>8.3436399287874271E-3</v>
      </c>
      <c r="CL115" s="3">
        <f t="shared" ca="1" si="121"/>
        <v>1</v>
      </c>
      <c r="CM115" s="3"/>
      <c r="CN115" s="1">
        <f t="shared" ca="1" si="122"/>
        <v>14.359615587696222</v>
      </c>
      <c r="CO115" s="1">
        <f t="shared" ca="1" si="123"/>
        <v>0.2311642624596397</v>
      </c>
      <c r="CP115" s="1">
        <f t="shared" ca="1" si="124"/>
        <v>3</v>
      </c>
      <c r="DH115" s="1">
        <f t="shared" ca="1" si="125"/>
        <v>538</v>
      </c>
      <c r="DI115" s="1">
        <f t="shared" ca="1" si="126"/>
        <v>7.8714341170848537E-2</v>
      </c>
      <c r="DJ115" s="1">
        <f t="shared" ca="1" si="127"/>
        <v>14</v>
      </c>
      <c r="DL115" s="1">
        <f t="shared" ca="1" si="128"/>
        <v>0.13632807815582318</v>
      </c>
      <c r="DM115" s="1">
        <f t="shared" ca="1" si="129"/>
        <v>103</v>
      </c>
      <c r="DN115" s="1">
        <f t="shared" ca="1" si="130"/>
        <v>6</v>
      </c>
    </row>
    <row r="116" spans="2:118" x14ac:dyDescent="0.25">
      <c r="B116">
        <f t="shared" ca="1" si="66"/>
        <v>894</v>
      </c>
      <c r="C116">
        <f t="shared" ca="1" si="67"/>
        <v>43</v>
      </c>
      <c r="D116">
        <f t="shared" ca="1" si="68"/>
        <v>0.24670396624396376</v>
      </c>
      <c r="F116" s="1">
        <f t="shared" ca="1" si="69"/>
        <v>27</v>
      </c>
      <c r="G116" s="1">
        <f t="shared" ca="1" si="70"/>
        <v>27</v>
      </c>
      <c r="H116" s="1">
        <f t="shared" ca="1" si="71"/>
        <v>3</v>
      </c>
      <c r="I116" s="1"/>
      <c r="J116" s="1">
        <f t="shared" ca="1" si="72"/>
        <v>23</v>
      </c>
      <c r="K116" s="1">
        <f t="shared" ca="1" si="73"/>
        <v>1.3204000364516586</v>
      </c>
      <c r="L116" s="1">
        <f t="shared" ca="1" si="74"/>
        <v>24</v>
      </c>
      <c r="M116" s="1"/>
      <c r="N116" s="1">
        <f t="shared" ca="1" si="75"/>
        <v>448</v>
      </c>
      <c r="O116" s="1">
        <f t="shared" ca="1" si="76"/>
        <v>51</v>
      </c>
      <c r="P116" s="1"/>
      <c r="Q116" s="1">
        <f t="shared" ca="1" si="77"/>
        <v>2.3929318553608576</v>
      </c>
      <c r="R116" s="1">
        <f t="shared" ca="1" si="78"/>
        <v>522</v>
      </c>
      <c r="S116" s="1"/>
      <c r="T116" s="1">
        <f t="shared" ca="1" si="79"/>
        <v>3.5083386362313361E-2</v>
      </c>
      <c r="U116" s="1">
        <f t="shared" ca="1" si="80"/>
        <v>67</v>
      </c>
      <c r="V116" s="1">
        <f t="shared" ca="1" si="81"/>
        <v>22</v>
      </c>
      <c r="W116" s="1"/>
      <c r="X116" s="1">
        <f t="shared" ca="1" si="82"/>
        <v>9.5872970426409427</v>
      </c>
      <c r="Y116" s="1">
        <f t="shared" ca="1" si="83"/>
        <v>5.8338391020004966E-2</v>
      </c>
      <c r="Z116" s="1">
        <f t="shared" ca="1" si="84"/>
        <v>312</v>
      </c>
      <c r="AB116" s="1">
        <f t="shared" ca="1" si="85"/>
        <v>0.24658744574431971</v>
      </c>
      <c r="AC116" s="1">
        <f t="shared" ca="1" si="86"/>
        <v>312</v>
      </c>
      <c r="AD116" s="1">
        <f t="shared" ca="1" si="87"/>
        <v>3.6976808253856284E-3</v>
      </c>
      <c r="AE116" s="1"/>
      <c r="AF116" s="1">
        <f t="shared" ca="1" si="88"/>
        <v>0.67523716677156276</v>
      </c>
      <c r="AG116" s="1">
        <f t="shared" ca="1" si="89"/>
        <v>650</v>
      </c>
      <c r="AH116" s="1">
        <f t="shared" ca="1" si="90"/>
        <v>3.7493498828334543E-3</v>
      </c>
      <c r="AJ116" s="1">
        <f t="shared" ca="1" si="91"/>
        <v>0.26181125174498088</v>
      </c>
      <c r="AK116" s="1">
        <f t="shared" ca="1" si="92"/>
        <v>6.368154264806811E-3</v>
      </c>
      <c r="AL116" s="1"/>
      <c r="AM116" s="1">
        <f t="shared" ca="1" si="93"/>
        <v>7.5642654719603519E-2</v>
      </c>
      <c r="AN116" s="1">
        <f t="shared" ca="1" si="94"/>
        <v>40</v>
      </c>
      <c r="AO116" s="1">
        <f t="shared" ca="1" si="95"/>
        <v>10</v>
      </c>
      <c r="AQ116" s="1">
        <f t="shared" ca="1" si="96"/>
        <v>190</v>
      </c>
      <c r="AR116" s="1">
        <f t="shared" ca="1" si="97"/>
        <v>1</v>
      </c>
      <c r="AS116" s="1">
        <f t="shared" ca="1" si="98"/>
        <v>11</v>
      </c>
      <c r="AU116" s="1">
        <f t="shared" ca="1" si="99"/>
        <v>357</v>
      </c>
      <c r="AV116" s="1">
        <f t="shared" ca="1" si="100"/>
        <v>3</v>
      </c>
      <c r="AW116" s="1">
        <f t="shared" ca="1" si="101"/>
        <v>3.7994524023433673E-2</v>
      </c>
      <c r="AY116" s="1">
        <f t="shared" ca="1" si="102"/>
        <v>1.6217453571048057</v>
      </c>
      <c r="AZ116" s="1">
        <f t="shared" ca="1" si="103"/>
        <v>152</v>
      </c>
      <c r="BA116" s="1">
        <f t="shared" ca="1" si="104"/>
        <v>9.7604129176177886E-3</v>
      </c>
      <c r="BG116" s="1">
        <f t="shared" ca="1" si="105"/>
        <v>0.97434111538931001</v>
      </c>
      <c r="BH116" s="1">
        <f t="shared" ca="1" si="106"/>
        <v>0.17223542485886179</v>
      </c>
      <c r="BI116" s="1">
        <f t="shared" ca="1" si="107"/>
        <v>321</v>
      </c>
      <c r="BV116" s="1">
        <f t="shared" ca="1" si="108"/>
        <v>0.65759639701852557</v>
      </c>
      <c r="BW116" s="1">
        <f t="shared" ca="1" si="109"/>
        <v>166</v>
      </c>
      <c r="BX116" s="1">
        <f t="shared" ca="1" si="110"/>
        <v>6.6298201390900214E-3</v>
      </c>
      <c r="BY116" s="1">
        <f t="shared" ca="1" si="111"/>
        <v>8.2997132177579896E-2</v>
      </c>
      <c r="BZ116" s="1">
        <f t="shared" ca="1" si="112"/>
        <v>0.98951665113408571</v>
      </c>
      <c r="CB116" s="1">
        <f t="shared" ca="1" si="113"/>
        <v>241</v>
      </c>
      <c r="CC116" s="1">
        <f t="shared" ca="1" si="114"/>
        <v>4</v>
      </c>
      <c r="CD116" s="1">
        <f t="shared" ca="1" si="115"/>
        <v>0.23795314867184916</v>
      </c>
      <c r="CE116" s="1">
        <f t="shared" ca="1" si="131"/>
        <v>0.7048115800639454</v>
      </c>
      <c r="CF116" s="1">
        <f t="shared" ca="1" si="131"/>
        <v>0.80336911387805177</v>
      </c>
      <c r="CH116" s="3">
        <f t="shared" ca="1" si="117"/>
        <v>0.56659735334200245</v>
      </c>
      <c r="CI116" s="3">
        <f t="shared" ca="1" si="118"/>
        <v>0.71564311719180784</v>
      </c>
      <c r="CJ116" s="3">
        <f t="shared" ca="1" si="119"/>
        <v>1147</v>
      </c>
      <c r="CK116" s="3">
        <f t="shared" ca="1" si="120"/>
        <v>8.0488800425185143E-3</v>
      </c>
      <c r="CL116" s="3">
        <f t="shared" ca="1" si="121"/>
        <v>0</v>
      </c>
      <c r="CM116" s="3"/>
      <c r="CN116" s="1">
        <f t="shared" ca="1" si="122"/>
        <v>4.8888663742963141</v>
      </c>
      <c r="CO116" s="1">
        <f t="shared" ca="1" si="123"/>
        <v>0.3826450183264431</v>
      </c>
      <c r="CP116" s="1">
        <f t="shared" ca="1" si="124"/>
        <v>5</v>
      </c>
      <c r="DH116" s="1">
        <f t="shared" ca="1" si="125"/>
        <v>261</v>
      </c>
      <c r="DI116" s="1">
        <f t="shared" ca="1" si="126"/>
        <v>0.51294576022180949</v>
      </c>
      <c r="DJ116" s="1">
        <f t="shared" ca="1" si="127"/>
        <v>17</v>
      </c>
      <c r="DL116" s="1">
        <f t="shared" ca="1" si="128"/>
        <v>0.11681895913589702</v>
      </c>
      <c r="DM116" s="1">
        <f t="shared" ca="1" si="129"/>
        <v>114</v>
      </c>
      <c r="DN116" s="1">
        <f t="shared" ca="1" si="130"/>
        <v>9</v>
      </c>
    </row>
    <row r="117" spans="2:118" x14ac:dyDescent="0.25">
      <c r="B117">
        <f t="shared" ca="1" si="66"/>
        <v>541</v>
      </c>
      <c r="C117">
        <f t="shared" ca="1" si="67"/>
        <v>47</v>
      </c>
      <c r="D117">
        <f t="shared" ca="1" si="68"/>
        <v>0.29647466170717135</v>
      </c>
      <c r="F117" s="1">
        <f t="shared" ca="1" si="69"/>
        <v>4</v>
      </c>
      <c r="G117" s="1">
        <f t="shared" ca="1" si="70"/>
        <v>14</v>
      </c>
      <c r="H117" s="1">
        <f t="shared" ca="1" si="71"/>
        <v>2</v>
      </c>
      <c r="I117" s="1"/>
      <c r="J117" s="1">
        <f t="shared" ca="1" si="72"/>
        <v>7</v>
      </c>
      <c r="K117" s="1">
        <f t="shared" ca="1" si="73"/>
        <v>1.9072689725557197</v>
      </c>
      <c r="L117" s="1">
        <f t="shared" ca="1" si="74"/>
        <v>5</v>
      </c>
      <c r="M117" s="1"/>
      <c r="N117" s="1">
        <f t="shared" ca="1" si="75"/>
        <v>269</v>
      </c>
      <c r="O117" s="1">
        <f t="shared" ca="1" si="76"/>
        <v>18</v>
      </c>
      <c r="P117" s="1"/>
      <c r="Q117" s="1">
        <f t="shared" ca="1" si="77"/>
        <v>1.1256901390134224</v>
      </c>
      <c r="R117" s="1">
        <f t="shared" ca="1" si="78"/>
        <v>541</v>
      </c>
      <c r="S117" s="1"/>
      <c r="T117" s="1">
        <f t="shared" ca="1" si="79"/>
        <v>0.16474660450917877</v>
      </c>
      <c r="U117" s="1">
        <f t="shared" ca="1" si="80"/>
        <v>124</v>
      </c>
      <c r="V117" s="1">
        <f t="shared" ca="1" si="81"/>
        <v>50</v>
      </c>
      <c r="W117" s="1"/>
      <c r="X117" s="1">
        <f t="shared" ca="1" si="82"/>
        <v>4.7287854770045445</v>
      </c>
      <c r="Y117" s="1">
        <f t="shared" ca="1" si="83"/>
        <v>0.73058597213100451</v>
      </c>
      <c r="Z117" s="1">
        <f t="shared" ca="1" si="84"/>
        <v>1039</v>
      </c>
      <c r="AB117" s="1">
        <f t="shared" ca="1" si="85"/>
        <v>0.74911851942964802</v>
      </c>
      <c r="AC117" s="1">
        <f t="shared" ca="1" si="86"/>
        <v>388</v>
      </c>
      <c r="AD117" s="1">
        <f t="shared" ca="1" si="87"/>
        <v>2.5055260237203171E-3</v>
      </c>
      <c r="AE117" s="1"/>
      <c r="AF117" s="1">
        <f t="shared" ca="1" si="88"/>
        <v>0.25336997690594465</v>
      </c>
      <c r="AG117" s="1">
        <f t="shared" ca="1" si="89"/>
        <v>377</v>
      </c>
      <c r="AH117" s="1">
        <f t="shared" ca="1" si="90"/>
        <v>8.0103800728556131E-3</v>
      </c>
      <c r="AJ117" s="1">
        <f t="shared" ca="1" si="91"/>
        <v>0.34944836453434069</v>
      </c>
      <c r="AK117" s="1">
        <f t="shared" ca="1" si="92"/>
        <v>2.4037594812432897E-3</v>
      </c>
      <c r="AL117" s="1"/>
      <c r="AM117" s="1">
        <f t="shared" ca="1" si="93"/>
        <v>0.18379772441461556</v>
      </c>
      <c r="AN117" s="1">
        <f t="shared" ca="1" si="94"/>
        <v>68</v>
      </c>
      <c r="AO117" s="1">
        <f t="shared" ca="1" si="95"/>
        <v>18</v>
      </c>
      <c r="AQ117" s="1">
        <f t="shared" ca="1" si="96"/>
        <v>143</v>
      </c>
      <c r="AR117" s="1">
        <f t="shared" ca="1" si="97"/>
        <v>10</v>
      </c>
      <c r="AS117" s="1">
        <f t="shared" ca="1" si="98"/>
        <v>70</v>
      </c>
      <c r="AU117" s="1">
        <f t="shared" ca="1" si="99"/>
        <v>249</v>
      </c>
      <c r="AV117" s="1">
        <f t="shared" ca="1" si="100"/>
        <v>6</v>
      </c>
      <c r="AW117" s="1">
        <f t="shared" ca="1" si="101"/>
        <v>0.1916965779058929</v>
      </c>
      <c r="AY117" s="1">
        <f t="shared" ca="1" si="102"/>
        <v>1.1297007752327328</v>
      </c>
      <c r="AZ117" s="1">
        <f t="shared" ca="1" si="103"/>
        <v>303</v>
      </c>
      <c r="BA117" s="1">
        <f t="shared" ca="1" si="104"/>
        <v>9.0930428478215915E-3</v>
      </c>
      <c r="BG117" s="1">
        <f t="shared" ca="1" si="105"/>
        <v>0.76024637009999829</v>
      </c>
      <c r="BH117" s="1">
        <f t="shared" ca="1" si="106"/>
        <v>0.90596276154328503</v>
      </c>
      <c r="BI117" s="1">
        <f t="shared" ca="1" si="107"/>
        <v>205</v>
      </c>
      <c r="BV117" s="1">
        <f t="shared" ca="1" si="108"/>
        <v>0.19439862713495831</v>
      </c>
      <c r="BW117" s="1">
        <f t="shared" ca="1" si="109"/>
        <v>622</v>
      </c>
      <c r="BX117" s="1">
        <f t="shared" ca="1" si="110"/>
        <v>3.1623302466524872E-3</v>
      </c>
      <c r="BY117" s="1">
        <f t="shared" ca="1" si="111"/>
        <v>3.8657806671971315E-2</v>
      </c>
      <c r="BZ117" s="1">
        <f t="shared" ca="1" si="112"/>
        <v>0.47997249251286467</v>
      </c>
      <c r="CB117" s="1">
        <f t="shared" ca="1" si="113"/>
        <v>127</v>
      </c>
      <c r="CC117" s="1">
        <f t="shared" ca="1" si="114"/>
        <v>4</v>
      </c>
      <c r="CD117" s="1">
        <f t="shared" ca="1" si="115"/>
        <v>0.13768331868561687</v>
      </c>
      <c r="CE117" s="1">
        <f t="shared" ca="1" si="131"/>
        <v>0.8616945070814902</v>
      </c>
      <c r="CF117" s="1">
        <f t="shared" ca="1" si="131"/>
        <v>0.58123881815271983</v>
      </c>
      <c r="CH117" s="3">
        <f t="shared" ca="1" si="117"/>
        <v>0.23814382468189765</v>
      </c>
      <c r="CI117" s="3">
        <f t="shared" ca="1" si="118"/>
        <v>0.85950962417907262</v>
      </c>
      <c r="CJ117" s="3">
        <f t="shared" ca="1" si="119"/>
        <v>1555</v>
      </c>
      <c r="CK117" s="3">
        <f t="shared" ca="1" si="120"/>
        <v>2.5517007769991696E-4</v>
      </c>
      <c r="CL117" s="3">
        <f t="shared" ca="1" si="121"/>
        <v>0</v>
      </c>
      <c r="CM117" s="3"/>
      <c r="CN117" s="1">
        <f t="shared" ca="1" si="122"/>
        <v>15.820948225195686</v>
      </c>
      <c r="CO117" s="1">
        <f t="shared" ca="1" si="123"/>
        <v>0.29561996822103737</v>
      </c>
      <c r="CP117" s="1">
        <f t="shared" ca="1" si="124"/>
        <v>3</v>
      </c>
      <c r="DH117" s="1">
        <f t="shared" ca="1" si="125"/>
        <v>531</v>
      </c>
      <c r="DI117" s="1">
        <f t="shared" ca="1" si="126"/>
        <v>1.0657409113141496E-2</v>
      </c>
      <c r="DJ117" s="1">
        <f t="shared" ca="1" si="127"/>
        <v>28</v>
      </c>
      <c r="DL117" s="1">
        <f t="shared" ca="1" si="128"/>
        <v>8.8093083501471048E-2</v>
      </c>
      <c r="DM117" s="1">
        <f t="shared" ca="1" si="129"/>
        <v>122</v>
      </c>
      <c r="DN117" s="1">
        <f t="shared" ca="1" si="130"/>
        <v>6</v>
      </c>
    </row>
    <row r="118" spans="2:118" x14ac:dyDescent="0.25">
      <c r="B118">
        <f t="shared" ca="1" si="66"/>
        <v>498</v>
      </c>
      <c r="C118">
        <f t="shared" ca="1" si="67"/>
        <v>23</v>
      </c>
      <c r="D118">
        <f t="shared" ca="1" si="68"/>
        <v>1.1845912418348427E-2</v>
      </c>
      <c r="F118" s="1">
        <f t="shared" ca="1" si="69"/>
        <v>11</v>
      </c>
      <c r="G118" s="1">
        <f t="shared" ca="1" si="70"/>
        <v>22</v>
      </c>
      <c r="H118" s="1">
        <f t="shared" ca="1" si="71"/>
        <v>4</v>
      </c>
      <c r="I118" s="1"/>
      <c r="J118" s="1">
        <f t="shared" ca="1" si="72"/>
        <v>23</v>
      </c>
      <c r="K118" s="1">
        <f t="shared" ca="1" si="73"/>
        <v>2.2247922594915601</v>
      </c>
      <c r="L118" s="1">
        <f t="shared" ca="1" si="74"/>
        <v>16</v>
      </c>
      <c r="M118" s="1"/>
      <c r="N118" s="1">
        <f t="shared" ca="1" si="75"/>
        <v>697</v>
      </c>
      <c r="O118" s="1">
        <f t="shared" ca="1" si="76"/>
        <v>34</v>
      </c>
      <c r="P118" s="1"/>
      <c r="Q118" s="1">
        <f t="shared" ca="1" si="77"/>
        <v>1.266035679276611</v>
      </c>
      <c r="R118" s="1">
        <f t="shared" ca="1" si="78"/>
        <v>214</v>
      </c>
      <c r="S118" s="1"/>
      <c r="T118" s="1">
        <f t="shared" ca="1" si="79"/>
        <v>7.9888709376103859E-2</v>
      </c>
      <c r="U118" s="1">
        <f t="shared" ca="1" si="80"/>
        <v>248</v>
      </c>
      <c r="V118" s="1">
        <f t="shared" ca="1" si="81"/>
        <v>48</v>
      </c>
      <c r="W118" s="1"/>
      <c r="X118" s="1">
        <f t="shared" ca="1" si="82"/>
        <v>8.9817726678862186</v>
      </c>
      <c r="Y118" s="1">
        <f t="shared" ca="1" si="83"/>
        <v>0.7891967270999144</v>
      </c>
      <c r="Z118" s="1">
        <f t="shared" ca="1" si="84"/>
        <v>929</v>
      </c>
      <c r="AB118" s="1">
        <f t="shared" ca="1" si="85"/>
        <v>0.55467459197801938</v>
      </c>
      <c r="AC118" s="1">
        <f t="shared" ca="1" si="86"/>
        <v>768</v>
      </c>
      <c r="AD118" s="1">
        <f t="shared" ca="1" si="87"/>
        <v>2.7717477771279008E-3</v>
      </c>
      <c r="AE118" s="1"/>
      <c r="AF118" s="1">
        <f t="shared" ca="1" si="88"/>
        <v>0.5630211403345976</v>
      </c>
      <c r="AG118" s="1">
        <f t="shared" ca="1" si="89"/>
        <v>854</v>
      </c>
      <c r="AH118" s="1">
        <f t="shared" ca="1" si="90"/>
        <v>6.4829882536747169E-3</v>
      </c>
      <c r="AJ118" s="1">
        <f t="shared" ca="1" si="91"/>
        <v>0.7509568454526544</v>
      </c>
      <c r="AK118" s="1">
        <f t="shared" ca="1" si="92"/>
        <v>3.9462488938383551E-4</v>
      </c>
      <c r="AL118" s="1"/>
      <c r="AM118" s="1">
        <f t="shared" ca="1" si="93"/>
        <v>0.14221487559770415</v>
      </c>
      <c r="AN118" s="1">
        <f t="shared" ca="1" si="94"/>
        <v>58</v>
      </c>
      <c r="AO118" s="1">
        <f t="shared" ca="1" si="95"/>
        <v>14</v>
      </c>
      <c r="AQ118" s="1">
        <f t="shared" ca="1" si="96"/>
        <v>43</v>
      </c>
      <c r="AR118" s="1">
        <f t="shared" ca="1" si="97"/>
        <v>3</v>
      </c>
      <c r="AS118" s="1">
        <f t="shared" ca="1" si="98"/>
        <v>26</v>
      </c>
      <c r="AU118" s="1">
        <f t="shared" ca="1" si="99"/>
        <v>114</v>
      </c>
      <c r="AV118" s="1">
        <f t="shared" ca="1" si="100"/>
        <v>3</v>
      </c>
      <c r="AW118" s="1">
        <f t="shared" ca="1" si="101"/>
        <v>5.5729988620280758E-2</v>
      </c>
      <c r="AY118" s="1">
        <f t="shared" ca="1" si="102"/>
        <v>1.1996442986515818</v>
      </c>
      <c r="AZ118" s="1">
        <f t="shared" ca="1" si="103"/>
        <v>77</v>
      </c>
      <c r="BA118" s="1">
        <f t="shared" ca="1" si="104"/>
        <v>8.8907435500247128E-3</v>
      </c>
      <c r="BG118" s="1">
        <f t="shared" ca="1" si="105"/>
        <v>0.24171947090563473</v>
      </c>
      <c r="BH118" s="1">
        <f t="shared" ca="1" si="106"/>
        <v>0.12819405241874904</v>
      </c>
      <c r="BI118" s="1">
        <f t="shared" ca="1" si="107"/>
        <v>741</v>
      </c>
      <c r="BV118" s="1">
        <f t="shared" ca="1" si="108"/>
        <v>0.62292454472115621</v>
      </c>
      <c r="BW118" s="1">
        <f t="shared" ca="1" si="109"/>
        <v>475</v>
      </c>
      <c r="BX118" s="1">
        <f t="shared" ca="1" si="110"/>
        <v>3.7276907878078533E-3</v>
      </c>
      <c r="BY118" s="1">
        <f t="shared" ca="1" si="111"/>
        <v>3.3157823413126175E-2</v>
      </c>
      <c r="BZ118" s="1">
        <f t="shared" ca="1" si="112"/>
        <v>0.98106966133831419</v>
      </c>
      <c r="CB118" s="1">
        <f t="shared" ca="1" si="113"/>
        <v>71</v>
      </c>
      <c r="CC118" s="1">
        <f t="shared" ca="1" si="114"/>
        <v>5</v>
      </c>
      <c r="CD118" s="1">
        <f t="shared" ca="1" si="115"/>
        <v>0.20382554044911172</v>
      </c>
      <c r="CE118" s="1">
        <f t="shared" ca="1" si="131"/>
        <v>0.6088711821568038</v>
      </c>
      <c r="CF118" s="1">
        <f t="shared" ca="1" si="131"/>
        <v>0.9047551296430294</v>
      </c>
      <c r="CH118" s="3">
        <f t="shared" ca="1" si="117"/>
        <v>0.83400479691141693</v>
      </c>
      <c r="CI118" s="3">
        <f t="shared" ca="1" si="118"/>
        <v>0.47575379146732893</v>
      </c>
      <c r="CJ118" s="3">
        <f t="shared" ca="1" si="119"/>
        <v>1470</v>
      </c>
      <c r="CK118" s="3">
        <f t="shared" ca="1" si="120"/>
        <v>2.2370068419408249E-3</v>
      </c>
      <c r="CL118" s="3">
        <f t="shared" ca="1" si="121"/>
        <v>0</v>
      </c>
      <c r="CM118" s="3"/>
      <c r="CN118" s="1">
        <f t="shared" ca="1" si="122"/>
        <v>0.25947352755502917</v>
      </c>
      <c r="CO118" s="1">
        <f t="shared" ca="1" si="123"/>
        <v>0.38593042195990218</v>
      </c>
      <c r="CP118" s="1">
        <f t="shared" ca="1" si="124"/>
        <v>4</v>
      </c>
      <c r="DH118" s="1">
        <f t="shared" ca="1" si="125"/>
        <v>828</v>
      </c>
      <c r="DI118" s="1">
        <f t="shared" ca="1" si="126"/>
        <v>0.87212883969651767</v>
      </c>
      <c r="DJ118" s="1">
        <f t="shared" ca="1" si="127"/>
        <v>6</v>
      </c>
      <c r="DL118" s="1">
        <f t="shared" ca="1" si="128"/>
        <v>0.12650763785594588</v>
      </c>
      <c r="DM118" s="1">
        <f t="shared" ca="1" si="129"/>
        <v>200</v>
      </c>
      <c r="DN118" s="1">
        <f t="shared" ca="1" si="130"/>
        <v>1</v>
      </c>
    </row>
    <row r="119" spans="2:118" x14ac:dyDescent="0.25">
      <c r="B119">
        <f t="shared" ca="1" si="66"/>
        <v>945</v>
      </c>
      <c r="C119">
        <f t="shared" ca="1" si="67"/>
        <v>32</v>
      </c>
      <c r="D119">
        <f t="shared" ca="1" si="68"/>
        <v>2.7114309192215427E-2</v>
      </c>
      <c r="F119" s="1">
        <f t="shared" ca="1" si="69"/>
        <v>21</v>
      </c>
      <c r="G119" s="1">
        <f t="shared" ca="1" si="70"/>
        <v>5</v>
      </c>
      <c r="H119" s="1">
        <f t="shared" ca="1" si="71"/>
        <v>2</v>
      </c>
      <c r="I119" s="1"/>
      <c r="J119" s="1">
        <f t="shared" ca="1" si="72"/>
        <v>10</v>
      </c>
      <c r="K119" s="1">
        <f t="shared" ca="1" si="73"/>
        <v>1.3427800797341958</v>
      </c>
      <c r="L119" s="1">
        <f t="shared" ca="1" si="74"/>
        <v>20</v>
      </c>
      <c r="M119" s="1"/>
      <c r="N119" s="1">
        <f t="shared" ca="1" si="75"/>
        <v>719</v>
      </c>
      <c r="O119" s="1">
        <f t="shared" ca="1" si="76"/>
        <v>48</v>
      </c>
      <c r="P119" s="1"/>
      <c r="Q119" s="1">
        <f t="shared" ca="1" si="77"/>
        <v>4.6871896474766697</v>
      </c>
      <c r="R119" s="1">
        <f t="shared" ca="1" si="78"/>
        <v>885</v>
      </c>
      <c r="S119" s="1"/>
      <c r="T119" s="1">
        <f t="shared" ca="1" si="79"/>
        <v>9.232528826177698E-2</v>
      </c>
      <c r="U119" s="1">
        <f t="shared" ca="1" si="80"/>
        <v>89</v>
      </c>
      <c r="V119" s="1">
        <f t="shared" ca="1" si="81"/>
        <v>45</v>
      </c>
      <c r="W119" s="1"/>
      <c r="X119" s="1">
        <f t="shared" ca="1" si="82"/>
        <v>6.7294440792436054</v>
      </c>
      <c r="Y119" s="1">
        <f t="shared" ca="1" si="83"/>
        <v>0.9976005801131026</v>
      </c>
      <c r="Z119" s="1">
        <f t="shared" ca="1" si="84"/>
        <v>999</v>
      </c>
      <c r="AB119" s="1">
        <f t="shared" ca="1" si="85"/>
        <v>0.71663274204765681</v>
      </c>
      <c r="AC119" s="1">
        <f t="shared" ca="1" si="86"/>
        <v>280</v>
      </c>
      <c r="AD119" s="1">
        <f t="shared" ca="1" si="87"/>
        <v>6.4657640847809042E-3</v>
      </c>
      <c r="AE119" s="1"/>
      <c r="AF119" s="1">
        <f t="shared" ca="1" si="88"/>
        <v>0.26689152282523643</v>
      </c>
      <c r="AG119" s="1">
        <f t="shared" ca="1" si="89"/>
        <v>164</v>
      </c>
      <c r="AH119" s="1">
        <f t="shared" ca="1" si="90"/>
        <v>3.9287116025522708E-3</v>
      </c>
      <c r="AJ119" s="1">
        <f t="shared" ca="1" si="91"/>
        <v>0.84844390710289475</v>
      </c>
      <c r="AK119" s="1">
        <f t="shared" ca="1" si="92"/>
        <v>6.9683390723538231E-3</v>
      </c>
      <c r="AL119" s="1"/>
      <c r="AM119" s="1">
        <f t="shared" ca="1" si="93"/>
        <v>5.4518721353999447E-2</v>
      </c>
      <c r="AN119" s="1">
        <f t="shared" ca="1" si="94"/>
        <v>18</v>
      </c>
      <c r="AO119" s="1">
        <f t="shared" ca="1" si="95"/>
        <v>18</v>
      </c>
      <c r="AQ119" s="1">
        <f t="shared" ca="1" si="96"/>
        <v>112</v>
      </c>
      <c r="AR119" s="1">
        <f t="shared" ca="1" si="97"/>
        <v>8</v>
      </c>
      <c r="AS119" s="1">
        <f t="shared" ca="1" si="98"/>
        <v>91</v>
      </c>
      <c r="AU119" s="1">
        <f t="shared" ca="1" si="99"/>
        <v>308</v>
      </c>
      <c r="AV119" s="1">
        <f t="shared" ca="1" si="100"/>
        <v>2</v>
      </c>
      <c r="AW119" s="1">
        <f t="shared" ca="1" si="101"/>
        <v>7.5470652656005638E-2</v>
      </c>
      <c r="AY119" s="1">
        <f t="shared" ca="1" si="102"/>
        <v>1.9981070721319512</v>
      </c>
      <c r="AZ119" s="1">
        <f t="shared" ca="1" si="103"/>
        <v>134</v>
      </c>
      <c r="BA119" s="1">
        <f t="shared" ca="1" si="104"/>
        <v>3.9931734311934829E-3</v>
      </c>
      <c r="BG119" s="1">
        <f t="shared" ca="1" si="105"/>
        <v>0.64478552941886946</v>
      </c>
      <c r="BH119" s="1">
        <f t="shared" ca="1" si="106"/>
        <v>0.71084490834328418</v>
      </c>
      <c r="BI119" s="1">
        <f t="shared" ca="1" si="107"/>
        <v>920</v>
      </c>
      <c r="BV119" s="1">
        <f t="shared" ca="1" si="108"/>
        <v>0.56298583072472208</v>
      </c>
      <c r="BW119" s="1">
        <f t="shared" ca="1" si="109"/>
        <v>798</v>
      </c>
      <c r="BX119" s="1">
        <f t="shared" ca="1" si="110"/>
        <v>7.3851253727434492E-3</v>
      </c>
      <c r="BY119" s="1">
        <f t="shared" ca="1" si="111"/>
        <v>9.5149357582862831E-2</v>
      </c>
      <c r="BZ119" s="1">
        <f t="shared" ca="1" si="112"/>
        <v>0.41168503429376568</v>
      </c>
      <c r="CB119" s="1">
        <f t="shared" ca="1" si="113"/>
        <v>348</v>
      </c>
      <c r="CC119" s="1">
        <f t="shared" ca="1" si="114"/>
        <v>8</v>
      </c>
      <c r="CD119" s="1">
        <f t="shared" ca="1" si="115"/>
        <v>2.0473033633693218E-2</v>
      </c>
      <c r="CE119" s="1">
        <f t="shared" ca="1" si="131"/>
        <v>0.83100023137029477</v>
      </c>
      <c r="CF119" s="1">
        <f t="shared" ca="1" si="131"/>
        <v>0.53733369955932586</v>
      </c>
      <c r="CH119" s="3">
        <f t="shared" ca="1" si="117"/>
        <v>0.53620837252052311</v>
      </c>
      <c r="CI119" s="3">
        <f t="shared" ca="1" si="118"/>
        <v>0.3017955051170142</v>
      </c>
      <c r="CJ119" s="3">
        <f t="shared" ca="1" si="119"/>
        <v>1072</v>
      </c>
      <c r="CK119" s="3">
        <f t="shared" ca="1" si="120"/>
        <v>3.2643371327563671E-3</v>
      </c>
      <c r="CL119" s="3">
        <f t="shared" ca="1" si="121"/>
        <v>1</v>
      </c>
      <c r="CM119" s="3"/>
      <c r="CN119" s="1">
        <f t="shared" ca="1" si="122"/>
        <v>12.725650907461517</v>
      </c>
      <c r="CO119" s="1">
        <f t="shared" ca="1" si="123"/>
        <v>7.3860838542459006E-2</v>
      </c>
      <c r="CP119" s="1">
        <f t="shared" ca="1" si="124"/>
        <v>2</v>
      </c>
      <c r="DH119" s="1">
        <f t="shared" ca="1" si="125"/>
        <v>498</v>
      </c>
      <c r="DI119" s="1">
        <f t="shared" ca="1" si="126"/>
        <v>0.67509138607455177</v>
      </c>
      <c r="DJ119" s="1">
        <f t="shared" ca="1" si="127"/>
        <v>13</v>
      </c>
      <c r="DL119" s="1">
        <f t="shared" ca="1" si="128"/>
        <v>0.10325845002222711</v>
      </c>
      <c r="DM119" s="1">
        <f t="shared" ca="1" si="129"/>
        <v>210</v>
      </c>
      <c r="DN119" s="1">
        <f t="shared" ca="1" si="130"/>
        <v>3</v>
      </c>
    </row>
    <row r="120" spans="2:118" x14ac:dyDescent="0.25">
      <c r="B120">
        <f t="shared" ca="1" si="66"/>
        <v>563</v>
      </c>
      <c r="C120">
        <f t="shared" ca="1" si="67"/>
        <v>4</v>
      </c>
      <c r="D120">
        <f t="shared" ca="1" si="68"/>
        <v>4.2643135455144927E-2</v>
      </c>
      <c r="F120" s="1">
        <f t="shared" ca="1" si="69"/>
        <v>10</v>
      </c>
      <c r="G120" s="1">
        <f t="shared" ca="1" si="70"/>
        <v>12</v>
      </c>
      <c r="H120" s="1">
        <f t="shared" ca="1" si="71"/>
        <v>10</v>
      </c>
      <c r="I120" s="1"/>
      <c r="J120" s="1">
        <f t="shared" ca="1" si="72"/>
        <v>18</v>
      </c>
      <c r="K120" s="1">
        <f t="shared" ca="1" si="73"/>
        <v>1.9967874468249944</v>
      </c>
      <c r="L120" s="1">
        <f t="shared" ca="1" si="74"/>
        <v>15</v>
      </c>
      <c r="M120" s="1"/>
      <c r="N120" s="1">
        <f t="shared" ca="1" si="75"/>
        <v>439</v>
      </c>
      <c r="O120" s="1">
        <f t="shared" ca="1" si="76"/>
        <v>13</v>
      </c>
      <c r="P120" s="1"/>
      <c r="Q120" s="1">
        <f t="shared" ca="1" si="77"/>
        <v>1.0113075907912197</v>
      </c>
      <c r="R120" s="1">
        <f t="shared" ca="1" si="78"/>
        <v>783</v>
      </c>
      <c r="S120" s="1"/>
      <c r="T120" s="1">
        <f t="shared" ca="1" si="79"/>
        <v>0.14878688730663739</v>
      </c>
      <c r="U120" s="1">
        <f t="shared" ca="1" si="80"/>
        <v>281</v>
      </c>
      <c r="V120" s="1">
        <f t="shared" ca="1" si="81"/>
        <v>17</v>
      </c>
      <c r="W120" s="1"/>
      <c r="X120" s="1">
        <f t="shared" ca="1" si="82"/>
        <v>3.9939186650920746</v>
      </c>
      <c r="Y120" s="1">
        <f t="shared" ca="1" si="83"/>
        <v>0.26241217747963941</v>
      </c>
      <c r="Z120" s="1">
        <f t="shared" ca="1" si="84"/>
        <v>1598</v>
      </c>
      <c r="AB120" s="1">
        <f t="shared" ca="1" si="85"/>
        <v>0.81466243164426277</v>
      </c>
      <c r="AC120" s="1">
        <f t="shared" ca="1" si="86"/>
        <v>418</v>
      </c>
      <c r="AD120" s="1">
        <f t="shared" ca="1" si="87"/>
        <v>4.8678427246704294E-3</v>
      </c>
      <c r="AE120" s="1"/>
      <c r="AF120" s="1">
        <f t="shared" ca="1" si="88"/>
        <v>0.35358267577168367</v>
      </c>
      <c r="AG120" s="1">
        <f t="shared" ca="1" si="89"/>
        <v>599</v>
      </c>
      <c r="AH120" s="1">
        <f t="shared" ca="1" si="90"/>
        <v>9.7375660884196306E-3</v>
      </c>
      <c r="AJ120" s="1">
        <f t="shared" ca="1" si="91"/>
        <v>0.17107217398772112</v>
      </c>
      <c r="AK120" s="1">
        <f t="shared" ca="1" si="92"/>
        <v>5.6148824735705498E-3</v>
      </c>
      <c r="AL120" s="1"/>
      <c r="AM120" s="1">
        <f t="shared" ca="1" si="93"/>
        <v>4.7268418027338353E-2</v>
      </c>
      <c r="AN120" s="1">
        <f t="shared" ca="1" si="94"/>
        <v>21</v>
      </c>
      <c r="AO120" s="1">
        <f t="shared" ca="1" si="95"/>
        <v>15</v>
      </c>
      <c r="AQ120" s="1">
        <f t="shared" ca="1" si="96"/>
        <v>164</v>
      </c>
      <c r="AR120" s="1">
        <f t="shared" ca="1" si="97"/>
        <v>7</v>
      </c>
      <c r="AS120" s="1">
        <f t="shared" ca="1" si="98"/>
        <v>37</v>
      </c>
      <c r="AU120" s="1">
        <f t="shared" ca="1" si="99"/>
        <v>138</v>
      </c>
      <c r="AV120" s="1">
        <f t="shared" ca="1" si="100"/>
        <v>7</v>
      </c>
      <c r="AW120" s="1">
        <f t="shared" ca="1" si="101"/>
        <v>0.17769089637685218</v>
      </c>
      <c r="AY120" s="1">
        <f t="shared" ca="1" si="102"/>
        <v>1.6646458914949001</v>
      </c>
      <c r="AZ120" s="1">
        <f t="shared" ca="1" si="103"/>
        <v>209</v>
      </c>
      <c r="BA120" s="1">
        <f t="shared" ca="1" si="104"/>
        <v>5.5240914144439731E-3</v>
      </c>
      <c r="BG120" s="1">
        <f t="shared" ca="1" si="105"/>
        <v>0.69875092579767395</v>
      </c>
      <c r="BH120" s="1">
        <f t="shared" ca="1" si="106"/>
        <v>6.1949052967099516E-2</v>
      </c>
      <c r="BI120" s="1">
        <f t="shared" ca="1" si="107"/>
        <v>390</v>
      </c>
      <c r="BV120" s="1">
        <f t="shared" ca="1" si="108"/>
        <v>0.549114781651173</v>
      </c>
      <c r="BW120" s="1">
        <f t="shared" ca="1" si="109"/>
        <v>899</v>
      </c>
      <c r="BX120" s="1">
        <f t="shared" ca="1" si="110"/>
        <v>8.0001862939771597E-3</v>
      </c>
      <c r="BY120" s="1">
        <f t="shared" ca="1" si="111"/>
        <v>6.6774789829648531E-2</v>
      </c>
      <c r="BZ120" s="1">
        <f t="shared" ca="1" si="112"/>
        <v>0.25800144009139658</v>
      </c>
      <c r="CB120" s="1">
        <f t="shared" ca="1" si="113"/>
        <v>220</v>
      </c>
      <c r="CC120" s="1">
        <f t="shared" ca="1" si="114"/>
        <v>10</v>
      </c>
      <c r="CD120" s="1">
        <f t="shared" ca="1" si="115"/>
        <v>9.081913894789849E-2</v>
      </c>
      <c r="CE120" s="1">
        <f t="shared" ca="1" si="131"/>
        <v>0.86196182622043682</v>
      </c>
      <c r="CF120" s="1">
        <f t="shared" ca="1" si="131"/>
        <v>0.54622543518562416</v>
      </c>
      <c r="CH120" s="3">
        <f t="shared" ca="1" si="117"/>
        <v>0.47092859795507774</v>
      </c>
      <c r="CI120" s="3">
        <f t="shared" ca="1" si="118"/>
        <v>0.19033345563895815</v>
      </c>
      <c r="CJ120" s="3">
        <f t="shared" ca="1" si="119"/>
        <v>1689</v>
      </c>
      <c r="CK120" s="3">
        <f t="shared" ca="1" si="120"/>
        <v>2.3154774579392857E-3</v>
      </c>
      <c r="CL120" s="3">
        <f t="shared" ca="1" si="121"/>
        <v>1</v>
      </c>
      <c r="CM120" s="3"/>
      <c r="CN120" s="1">
        <f t="shared" ca="1" si="122"/>
        <v>8.9537922713130182</v>
      </c>
      <c r="CO120" s="1">
        <f t="shared" ca="1" si="123"/>
        <v>0.4332519137632263</v>
      </c>
      <c r="CP120" s="1">
        <f t="shared" ca="1" si="124"/>
        <v>3</v>
      </c>
      <c r="DH120" s="1">
        <f t="shared" ca="1" si="125"/>
        <v>676</v>
      </c>
      <c r="DI120" s="1">
        <f t="shared" ca="1" si="126"/>
        <v>0.65833855495559357</v>
      </c>
      <c r="DJ120" s="1">
        <f t="shared" ca="1" si="127"/>
        <v>9</v>
      </c>
      <c r="DL120" s="1">
        <f t="shared" ca="1" si="128"/>
        <v>7.9494938760139536E-2</v>
      </c>
      <c r="DM120" s="1">
        <f t="shared" ca="1" si="129"/>
        <v>214</v>
      </c>
      <c r="DN120" s="1">
        <f t="shared" ca="1" si="130"/>
        <v>1</v>
      </c>
    </row>
    <row r="121" spans="2:118" x14ac:dyDescent="0.25">
      <c r="B121">
        <f t="shared" ca="1" si="66"/>
        <v>495</v>
      </c>
      <c r="C121">
        <f t="shared" ca="1" si="67"/>
        <v>20</v>
      </c>
      <c r="D121">
        <f t="shared" ca="1" si="68"/>
        <v>0.26950358848783373</v>
      </c>
      <c r="F121" s="1">
        <f t="shared" ca="1" si="69"/>
        <v>40</v>
      </c>
      <c r="G121" s="1">
        <f t="shared" ca="1" si="70"/>
        <v>21</v>
      </c>
      <c r="H121" s="1">
        <f t="shared" ca="1" si="71"/>
        <v>2</v>
      </c>
      <c r="I121" s="1"/>
      <c r="J121" s="1">
        <f t="shared" ca="1" si="72"/>
        <v>36</v>
      </c>
      <c r="K121" s="1">
        <f t="shared" ca="1" si="73"/>
        <v>1.0889062953697668</v>
      </c>
      <c r="L121" s="1">
        <f t="shared" ca="1" si="74"/>
        <v>2</v>
      </c>
      <c r="M121" s="1"/>
      <c r="N121" s="1">
        <f t="shared" ca="1" si="75"/>
        <v>860</v>
      </c>
      <c r="O121" s="1">
        <f t="shared" ca="1" si="76"/>
        <v>2</v>
      </c>
      <c r="P121" s="1"/>
      <c r="Q121" s="1">
        <f t="shared" ca="1" si="77"/>
        <v>1.6581264093184827</v>
      </c>
      <c r="R121" s="1">
        <f t="shared" ca="1" si="78"/>
        <v>578</v>
      </c>
      <c r="S121" s="1"/>
      <c r="T121" s="1">
        <f t="shared" ca="1" si="79"/>
        <v>0.15500286930171528</v>
      </c>
      <c r="U121" s="1">
        <f t="shared" ca="1" si="80"/>
        <v>119</v>
      </c>
      <c r="V121" s="1">
        <f t="shared" ca="1" si="81"/>
        <v>42</v>
      </c>
      <c r="W121" s="1"/>
      <c r="X121" s="1">
        <f t="shared" ca="1" si="82"/>
        <v>2.3157258771224178</v>
      </c>
      <c r="Y121" s="1">
        <f t="shared" ca="1" si="83"/>
        <v>0.58281643317006271</v>
      </c>
      <c r="Z121" s="1">
        <f t="shared" ca="1" si="84"/>
        <v>1736</v>
      </c>
      <c r="AB121" s="1">
        <f t="shared" ca="1" si="85"/>
        <v>0.2859420470138791</v>
      </c>
      <c r="AC121" s="1">
        <f t="shared" ca="1" si="86"/>
        <v>408</v>
      </c>
      <c r="AD121" s="1">
        <f t="shared" ca="1" si="87"/>
        <v>6.5606763082461097E-3</v>
      </c>
      <c r="AE121" s="1"/>
      <c r="AF121" s="1">
        <f t="shared" ca="1" si="88"/>
        <v>0.8894917575386313</v>
      </c>
      <c r="AG121" s="1">
        <f t="shared" ca="1" si="89"/>
        <v>336</v>
      </c>
      <c r="AH121" s="1">
        <f t="shared" ca="1" si="90"/>
        <v>6.2556784802730208E-3</v>
      </c>
      <c r="AJ121" s="1">
        <f t="shared" ca="1" si="91"/>
        <v>0.99181203393069173</v>
      </c>
      <c r="AK121" s="1">
        <f t="shared" ca="1" si="92"/>
        <v>9.4649274866737253E-3</v>
      </c>
      <c r="AL121" s="1"/>
      <c r="AM121" s="1">
        <f t="shared" ca="1" si="93"/>
        <v>0.13976885796005947</v>
      </c>
      <c r="AN121" s="1">
        <f t="shared" ca="1" si="94"/>
        <v>15</v>
      </c>
      <c r="AO121" s="1">
        <f t="shared" ca="1" si="95"/>
        <v>7</v>
      </c>
      <c r="AQ121" s="1">
        <f t="shared" ca="1" si="96"/>
        <v>33</v>
      </c>
      <c r="AR121" s="1">
        <f t="shared" ca="1" si="97"/>
        <v>5</v>
      </c>
      <c r="AS121" s="1">
        <f t="shared" ca="1" si="98"/>
        <v>22</v>
      </c>
      <c r="AU121" s="1">
        <f t="shared" ca="1" si="99"/>
        <v>232</v>
      </c>
      <c r="AV121" s="1">
        <f t="shared" ca="1" si="100"/>
        <v>3</v>
      </c>
      <c r="AW121" s="1">
        <f t="shared" ca="1" si="101"/>
        <v>0.10276514189750051</v>
      </c>
      <c r="AY121" s="1">
        <f t="shared" ca="1" si="102"/>
        <v>1.488246931498161</v>
      </c>
      <c r="AZ121" s="1">
        <f t="shared" ca="1" si="103"/>
        <v>265</v>
      </c>
      <c r="BA121" s="1">
        <f t="shared" ca="1" si="104"/>
        <v>6.653202318510242E-3</v>
      </c>
      <c r="BG121" s="1">
        <f t="shared" ca="1" si="105"/>
        <v>0.27379952971109078</v>
      </c>
      <c r="BH121" s="1">
        <f t="shared" ca="1" si="106"/>
        <v>0.28887546015007159</v>
      </c>
      <c r="BI121" s="1">
        <f t="shared" ca="1" si="107"/>
        <v>534</v>
      </c>
      <c r="BV121" s="1">
        <f t="shared" ca="1" si="108"/>
        <v>0.20533276745590204</v>
      </c>
      <c r="BW121" s="1">
        <f t="shared" ca="1" si="109"/>
        <v>522</v>
      </c>
      <c r="BX121" s="1">
        <f t="shared" ca="1" si="110"/>
        <v>3.9508346374590329E-3</v>
      </c>
      <c r="BY121" s="1">
        <f t="shared" ca="1" si="111"/>
        <v>6.6764695074475744E-2</v>
      </c>
      <c r="BZ121" s="1">
        <f t="shared" ca="1" si="112"/>
        <v>0.4295807386471957</v>
      </c>
      <c r="CB121" s="1">
        <f t="shared" ca="1" si="113"/>
        <v>225</v>
      </c>
      <c r="CC121" s="1">
        <f t="shared" ca="1" si="114"/>
        <v>15</v>
      </c>
      <c r="CD121" s="1">
        <f t="shared" ca="1" si="115"/>
        <v>0.29648100304794883</v>
      </c>
      <c r="CE121" s="1">
        <f t="shared" ca="1" si="131"/>
        <v>0.96098719298320878</v>
      </c>
      <c r="CF121" s="1">
        <f t="shared" ca="1" si="131"/>
        <v>0.78031270187354829</v>
      </c>
      <c r="CH121" s="3">
        <f t="shared" ca="1" si="117"/>
        <v>0.89224525722099857</v>
      </c>
      <c r="CI121" s="3">
        <f t="shared" ca="1" si="118"/>
        <v>0.8979798146934348</v>
      </c>
      <c r="CJ121" s="3">
        <f t="shared" ca="1" si="119"/>
        <v>683</v>
      </c>
      <c r="CK121" s="3">
        <f t="shared" ca="1" si="120"/>
        <v>1.4294152239155396E-3</v>
      </c>
      <c r="CL121" s="3">
        <f t="shared" ca="1" si="121"/>
        <v>1</v>
      </c>
      <c r="CM121" s="3"/>
      <c r="CN121" s="1">
        <f t="shared" ca="1" si="122"/>
        <v>9.472328662901031</v>
      </c>
      <c r="CO121" s="1">
        <f t="shared" ca="1" si="123"/>
        <v>0.43848822957843309</v>
      </c>
      <c r="CP121" s="1">
        <f t="shared" ca="1" si="124"/>
        <v>2</v>
      </c>
      <c r="DH121" s="1">
        <f t="shared" ca="1" si="125"/>
        <v>566</v>
      </c>
      <c r="DI121" s="1">
        <f t="shared" ca="1" si="126"/>
        <v>0.36424342642866819</v>
      </c>
      <c r="DJ121" s="1">
        <f t="shared" ca="1" si="127"/>
        <v>29</v>
      </c>
      <c r="DL121" s="1">
        <f t="shared" ca="1" si="128"/>
        <v>6.0060549104748118E-2</v>
      </c>
      <c r="DM121" s="1">
        <f t="shared" ca="1" si="129"/>
        <v>148</v>
      </c>
      <c r="DN121" s="1">
        <f t="shared" ca="1" si="130"/>
        <v>2</v>
      </c>
    </row>
    <row r="122" spans="2:118" x14ac:dyDescent="0.25">
      <c r="B122">
        <f t="shared" ca="1" si="66"/>
        <v>302</v>
      </c>
      <c r="C122">
        <f t="shared" ca="1" si="67"/>
        <v>14</v>
      </c>
      <c r="D122">
        <f t="shared" ca="1" si="68"/>
        <v>3.0113425822110927E-2</v>
      </c>
      <c r="F122" s="1">
        <f t="shared" ca="1" si="69"/>
        <v>4</v>
      </c>
      <c r="G122" s="1">
        <f t="shared" ca="1" si="70"/>
        <v>3</v>
      </c>
      <c r="H122" s="1">
        <f t="shared" ca="1" si="71"/>
        <v>13</v>
      </c>
      <c r="I122" s="1"/>
      <c r="J122" s="1">
        <f t="shared" ca="1" si="72"/>
        <v>37</v>
      </c>
      <c r="K122" s="1">
        <f t="shared" ca="1" si="73"/>
        <v>1.3916223928678202</v>
      </c>
      <c r="L122" s="1">
        <f t="shared" ca="1" si="74"/>
        <v>30</v>
      </c>
      <c r="M122" s="1"/>
      <c r="N122" s="1">
        <f t="shared" ca="1" si="75"/>
        <v>635</v>
      </c>
      <c r="O122" s="1">
        <f t="shared" ca="1" si="76"/>
        <v>28</v>
      </c>
      <c r="P122" s="1"/>
      <c r="Q122" s="1">
        <f t="shared" ca="1" si="77"/>
        <v>2.7412639680320026</v>
      </c>
      <c r="R122" s="1">
        <f t="shared" ca="1" si="78"/>
        <v>904</v>
      </c>
      <c r="S122" s="1"/>
      <c r="T122" s="1">
        <f t="shared" ca="1" si="79"/>
        <v>0.12506829743583858</v>
      </c>
      <c r="U122" s="1">
        <f t="shared" ca="1" si="80"/>
        <v>420</v>
      </c>
      <c r="V122" s="1">
        <f t="shared" ca="1" si="81"/>
        <v>51</v>
      </c>
      <c r="W122" s="1"/>
      <c r="X122" s="1">
        <f t="shared" ca="1" si="82"/>
        <v>9.4207288864305081</v>
      </c>
      <c r="Y122" s="1">
        <f t="shared" ca="1" si="83"/>
        <v>0.5348827783776976</v>
      </c>
      <c r="Z122" s="1">
        <f t="shared" ca="1" si="84"/>
        <v>154</v>
      </c>
      <c r="AB122" s="1">
        <f t="shared" ca="1" si="85"/>
        <v>0.42778869265819824</v>
      </c>
      <c r="AC122" s="1">
        <f t="shared" ca="1" si="86"/>
        <v>574</v>
      </c>
      <c r="AD122" s="1">
        <f t="shared" ca="1" si="87"/>
        <v>6.9215862789137085E-3</v>
      </c>
      <c r="AE122" s="1"/>
      <c r="AF122" s="1">
        <f t="shared" ca="1" si="88"/>
        <v>0.28057494643936576</v>
      </c>
      <c r="AG122" s="1">
        <f t="shared" ca="1" si="89"/>
        <v>508</v>
      </c>
      <c r="AH122" s="1">
        <f t="shared" ca="1" si="90"/>
        <v>4.222424147384018E-3</v>
      </c>
      <c r="AJ122" s="1">
        <f t="shared" ca="1" si="91"/>
        <v>0.52129020445115581</v>
      </c>
      <c r="AK122" s="1">
        <f t="shared" ca="1" si="92"/>
        <v>8.9904060354528709E-3</v>
      </c>
      <c r="AL122" s="1"/>
      <c r="AM122" s="1">
        <f t="shared" ca="1" si="93"/>
        <v>7.7290340883299613E-2</v>
      </c>
      <c r="AN122" s="1">
        <f t="shared" ca="1" si="94"/>
        <v>63</v>
      </c>
      <c r="AO122" s="1">
        <f t="shared" ca="1" si="95"/>
        <v>10</v>
      </c>
      <c r="AQ122" s="1">
        <f t="shared" ca="1" si="96"/>
        <v>164</v>
      </c>
      <c r="AR122" s="1">
        <f t="shared" ca="1" si="97"/>
        <v>1</v>
      </c>
      <c r="AS122" s="1">
        <f t="shared" ca="1" si="98"/>
        <v>25</v>
      </c>
      <c r="AU122" s="1">
        <f t="shared" ca="1" si="99"/>
        <v>312</v>
      </c>
      <c r="AV122" s="1">
        <f t="shared" ca="1" si="100"/>
        <v>8</v>
      </c>
      <c r="AW122" s="1">
        <f t="shared" ca="1" si="101"/>
        <v>0.18221147497692677</v>
      </c>
      <c r="AY122" s="1">
        <f t="shared" ca="1" si="102"/>
        <v>1.2974761904337948</v>
      </c>
      <c r="AZ122" s="1">
        <f t="shared" ca="1" si="103"/>
        <v>271</v>
      </c>
      <c r="BA122" s="1">
        <f t="shared" ca="1" si="104"/>
        <v>1.4110702696529069E-3</v>
      </c>
      <c r="BG122" s="1">
        <f t="shared" ca="1" si="105"/>
        <v>0.44789360761137303</v>
      </c>
      <c r="BH122" s="1">
        <f t="shared" ca="1" si="106"/>
        <v>0.98579611089820829</v>
      </c>
      <c r="BI122" s="1">
        <f t="shared" ca="1" si="107"/>
        <v>194</v>
      </c>
      <c r="BV122" s="1">
        <f t="shared" ca="1" si="108"/>
        <v>0.60403849122660003</v>
      </c>
      <c r="BW122" s="1">
        <f t="shared" ca="1" si="109"/>
        <v>842</v>
      </c>
      <c r="BX122" s="1">
        <f t="shared" ca="1" si="110"/>
        <v>6.2265437273740483E-3</v>
      </c>
      <c r="BY122" s="1">
        <f t="shared" ca="1" si="111"/>
        <v>5.7454943386617337E-2</v>
      </c>
      <c r="BZ122" s="1">
        <f t="shared" ca="1" si="112"/>
        <v>0.16355071816639011</v>
      </c>
      <c r="CB122" s="1">
        <f t="shared" ca="1" si="113"/>
        <v>468</v>
      </c>
      <c r="CC122" s="1">
        <f t="shared" ca="1" si="114"/>
        <v>14</v>
      </c>
      <c r="CD122" s="1">
        <f t="shared" ca="1" si="115"/>
        <v>0.11875796141869017</v>
      </c>
      <c r="CE122" s="1">
        <f t="shared" ca="1" si="131"/>
        <v>0.53812210282250672</v>
      </c>
      <c r="CF122" s="1">
        <f t="shared" ca="1" si="131"/>
        <v>0.91744029290095674</v>
      </c>
      <c r="CH122" s="3">
        <f t="shared" ca="1" si="117"/>
        <v>0.86532225162428644</v>
      </c>
      <c r="CI122" s="3">
        <f t="shared" ca="1" si="118"/>
        <v>0.22307098127368155</v>
      </c>
      <c r="CJ122" s="3">
        <f t="shared" ca="1" si="119"/>
        <v>1575</v>
      </c>
      <c r="CK122" s="3">
        <f t="shared" ca="1" si="120"/>
        <v>7.4109020850828128E-3</v>
      </c>
      <c r="CL122" s="3">
        <f t="shared" ca="1" si="121"/>
        <v>1</v>
      </c>
      <c r="CM122" s="3"/>
      <c r="CN122" s="1">
        <f t="shared" ca="1" si="122"/>
        <v>19.313132385648512</v>
      </c>
      <c r="CO122" s="1">
        <f t="shared" ca="1" si="123"/>
        <v>0.49066129274348502</v>
      </c>
      <c r="CP122" s="1">
        <f t="shared" ca="1" si="124"/>
        <v>2</v>
      </c>
      <c r="DH122" s="1">
        <f t="shared" ca="1" si="125"/>
        <v>326</v>
      </c>
      <c r="DI122" s="1">
        <f t="shared" ca="1" si="126"/>
        <v>0.90847791126716682</v>
      </c>
      <c r="DJ122" s="1">
        <f t="shared" ca="1" si="127"/>
        <v>13</v>
      </c>
      <c r="DL122" s="1">
        <f t="shared" ca="1" si="128"/>
        <v>0.13577952549243619</v>
      </c>
      <c r="DM122" s="1">
        <f t="shared" ca="1" si="129"/>
        <v>190</v>
      </c>
      <c r="DN122" s="1">
        <f t="shared" ca="1" si="130"/>
        <v>7</v>
      </c>
    </row>
    <row r="123" spans="2:118" x14ac:dyDescent="0.25">
      <c r="B123">
        <f t="shared" ca="1" si="66"/>
        <v>862</v>
      </c>
      <c r="C123">
        <f t="shared" ca="1" si="67"/>
        <v>6</v>
      </c>
      <c r="D123">
        <f t="shared" ca="1" si="68"/>
        <v>2.261841219713983E-2</v>
      </c>
      <c r="F123" s="1">
        <f t="shared" ca="1" si="69"/>
        <v>15</v>
      </c>
      <c r="G123" s="1">
        <f t="shared" ca="1" si="70"/>
        <v>15</v>
      </c>
      <c r="H123" s="1">
        <f t="shared" ca="1" si="71"/>
        <v>8</v>
      </c>
      <c r="I123" s="1"/>
      <c r="J123" s="1">
        <f t="shared" ca="1" si="72"/>
        <v>22</v>
      </c>
      <c r="K123" s="1">
        <f t="shared" ca="1" si="73"/>
        <v>1.603782600456843</v>
      </c>
      <c r="L123" s="1">
        <f t="shared" ca="1" si="74"/>
        <v>29</v>
      </c>
      <c r="M123" s="1"/>
      <c r="N123" s="1">
        <f t="shared" ca="1" si="75"/>
        <v>788</v>
      </c>
      <c r="O123" s="1">
        <f t="shared" ca="1" si="76"/>
        <v>34</v>
      </c>
      <c r="P123" s="1"/>
      <c r="Q123" s="1">
        <f t="shared" ca="1" si="77"/>
        <v>1.2644310299264141</v>
      </c>
      <c r="R123" s="1">
        <f t="shared" ca="1" si="78"/>
        <v>398</v>
      </c>
      <c r="S123" s="1"/>
      <c r="T123" s="1">
        <f t="shared" ca="1" si="79"/>
        <v>0.19619783470485733</v>
      </c>
      <c r="U123" s="1">
        <f t="shared" ca="1" si="80"/>
        <v>233</v>
      </c>
      <c r="V123" s="1">
        <f t="shared" ca="1" si="81"/>
        <v>35</v>
      </c>
      <c r="W123" s="1"/>
      <c r="X123" s="1">
        <f t="shared" ca="1" si="82"/>
        <v>0.29445983708131163</v>
      </c>
      <c r="Y123" s="1">
        <f t="shared" ca="1" si="83"/>
        <v>0.95418673438401647</v>
      </c>
      <c r="Z123" s="1">
        <f t="shared" ca="1" si="84"/>
        <v>1682</v>
      </c>
      <c r="AB123" s="1">
        <f t="shared" ca="1" si="85"/>
        <v>5.855311729449815E-2</v>
      </c>
      <c r="AC123" s="1">
        <f t="shared" ca="1" si="86"/>
        <v>177</v>
      </c>
      <c r="AD123" s="1">
        <f t="shared" ca="1" si="87"/>
        <v>8.0612217322279418E-3</v>
      </c>
      <c r="AE123" s="1"/>
      <c r="AF123" s="1">
        <f t="shared" ca="1" si="88"/>
        <v>0.56634107417178092</v>
      </c>
      <c r="AG123" s="1">
        <f t="shared" ca="1" si="89"/>
        <v>179</v>
      </c>
      <c r="AH123" s="1">
        <f t="shared" ca="1" si="90"/>
        <v>6.9438144619241322E-3</v>
      </c>
      <c r="AJ123" s="1">
        <f t="shared" ca="1" si="91"/>
        <v>0.90162524584376824</v>
      </c>
      <c r="AK123" s="1">
        <f t="shared" ca="1" si="92"/>
        <v>4.7290865432847258E-3</v>
      </c>
      <c r="AL123" s="1"/>
      <c r="AM123" s="1">
        <f t="shared" ca="1" si="93"/>
        <v>0.10050362119322602</v>
      </c>
      <c r="AN123" s="1">
        <f t="shared" ca="1" si="94"/>
        <v>19</v>
      </c>
      <c r="AO123" s="1">
        <f t="shared" ca="1" si="95"/>
        <v>5</v>
      </c>
      <c r="AQ123" s="1">
        <f t="shared" ca="1" si="96"/>
        <v>146</v>
      </c>
      <c r="AR123" s="1">
        <f t="shared" ca="1" si="97"/>
        <v>7</v>
      </c>
      <c r="AS123" s="1">
        <f t="shared" ca="1" si="98"/>
        <v>42</v>
      </c>
      <c r="AU123" s="1">
        <f t="shared" ca="1" si="99"/>
        <v>122</v>
      </c>
      <c r="AV123" s="1">
        <f t="shared" ca="1" si="100"/>
        <v>5</v>
      </c>
      <c r="AW123" s="1">
        <f t="shared" ca="1" si="101"/>
        <v>2.9139215472646245E-2</v>
      </c>
      <c r="AY123" s="1">
        <f t="shared" ca="1" si="102"/>
        <v>1.6609885040027359</v>
      </c>
      <c r="AZ123" s="1">
        <f t="shared" ca="1" si="103"/>
        <v>174</v>
      </c>
      <c r="BA123" s="1">
        <f t="shared" ca="1" si="104"/>
        <v>9.1980514595883661E-3</v>
      </c>
      <c r="BG123" s="1">
        <f t="shared" ca="1" si="105"/>
        <v>0.65225994855304581</v>
      </c>
      <c r="BH123" s="1">
        <f t="shared" ca="1" si="106"/>
        <v>0.30450163826585674</v>
      </c>
      <c r="BI123" s="1">
        <f t="shared" ca="1" si="107"/>
        <v>932</v>
      </c>
      <c r="BV123" s="1">
        <f t="shared" ca="1" si="108"/>
        <v>0.38006314034914557</v>
      </c>
      <c r="BW123" s="1">
        <f t="shared" ca="1" si="109"/>
        <v>110</v>
      </c>
      <c r="BX123" s="1">
        <f t="shared" ca="1" si="110"/>
        <v>7.5173415256645001E-3</v>
      </c>
      <c r="BY123" s="1">
        <f t="shared" ca="1" si="111"/>
        <v>4.2484920748357101E-3</v>
      </c>
      <c r="BZ123" s="1">
        <f t="shared" ca="1" si="112"/>
        <v>0.86699153012189856</v>
      </c>
      <c r="CB123" s="1">
        <f t="shared" ca="1" si="113"/>
        <v>208</v>
      </c>
      <c r="CC123" s="1">
        <f t="shared" ca="1" si="114"/>
        <v>7</v>
      </c>
      <c r="CD123" s="1">
        <f t="shared" ca="1" si="115"/>
        <v>2.413318202889813E-2</v>
      </c>
      <c r="CE123" s="1">
        <f t="shared" ca="1" si="131"/>
        <v>0.944889949041535</v>
      </c>
      <c r="CF123" s="1">
        <f t="shared" ca="1" si="131"/>
        <v>0.69413186535158999</v>
      </c>
      <c r="CH123" s="3">
        <f t="shared" ca="1" si="117"/>
        <v>0.16842943360810997</v>
      </c>
      <c r="CI123" s="3">
        <f t="shared" ca="1" si="118"/>
        <v>0.35344563994364447</v>
      </c>
      <c r="CJ123" s="3">
        <f t="shared" ca="1" si="119"/>
        <v>736</v>
      </c>
      <c r="CK123" s="3">
        <f t="shared" ca="1" si="120"/>
        <v>7.0077866947251734E-3</v>
      </c>
      <c r="CL123" s="3">
        <f t="shared" ca="1" si="121"/>
        <v>1</v>
      </c>
      <c r="CM123" s="3"/>
      <c r="CN123" s="1">
        <f t="shared" ca="1" si="122"/>
        <v>2.7838214469976696</v>
      </c>
      <c r="CO123" s="1">
        <f t="shared" ca="1" si="123"/>
        <v>0.37343337874612503</v>
      </c>
      <c r="CP123" s="1">
        <f t="shared" ca="1" si="124"/>
        <v>2</v>
      </c>
      <c r="DH123" s="1">
        <f t="shared" ca="1" si="125"/>
        <v>386</v>
      </c>
      <c r="DI123" s="1">
        <f t="shared" ca="1" si="126"/>
        <v>0.53368669806767954</v>
      </c>
      <c r="DJ123" s="1">
        <f t="shared" ca="1" si="127"/>
        <v>27</v>
      </c>
      <c r="DL123" s="1">
        <f t="shared" ca="1" si="128"/>
        <v>0.11145514919846525</v>
      </c>
      <c r="DM123" s="1">
        <f t="shared" ca="1" si="129"/>
        <v>62</v>
      </c>
      <c r="DN123" s="1">
        <f t="shared" ca="1" si="130"/>
        <v>10</v>
      </c>
    </row>
    <row r="124" spans="2:118" x14ac:dyDescent="0.25">
      <c r="B124">
        <f t="shared" ca="1" si="66"/>
        <v>698</v>
      </c>
      <c r="C124">
        <f t="shared" ca="1" si="67"/>
        <v>17</v>
      </c>
      <c r="D124">
        <f t="shared" ca="1" si="68"/>
        <v>5.2912404267065699E-2</v>
      </c>
      <c r="F124" s="1">
        <f t="shared" ca="1" si="69"/>
        <v>25</v>
      </c>
      <c r="G124" s="1">
        <f t="shared" ca="1" si="70"/>
        <v>12</v>
      </c>
      <c r="H124" s="1">
        <f t="shared" ca="1" si="71"/>
        <v>2</v>
      </c>
      <c r="I124" s="1"/>
      <c r="J124" s="1">
        <f t="shared" ca="1" si="72"/>
        <v>19</v>
      </c>
      <c r="K124" s="1">
        <f t="shared" ca="1" si="73"/>
        <v>2.6039235973104753</v>
      </c>
      <c r="L124" s="1">
        <f t="shared" ca="1" si="74"/>
        <v>4</v>
      </c>
      <c r="M124" s="1"/>
      <c r="N124" s="1">
        <f t="shared" ca="1" si="75"/>
        <v>903</v>
      </c>
      <c r="O124" s="1">
        <f t="shared" ca="1" si="76"/>
        <v>45</v>
      </c>
      <c r="P124" s="1"/>
      <c r="Q124" s="1">
        <f t="shared" ca="1" si="77"/>
        <v>0.52749348140183894</v>
      </c>
      <c r="R124" s="1">
        <f t="shared" ca="1" si="78"/>
        <v>805</v>
      </c>
      <c r="S124" s="1"/>
      <c r="T124" s="1">
        <f t="shared" ca="1" si="79"/>
        <v>0.10160984109615799</v>
      </c>
      <c r="U124" s="1">
        <f t="shared" ca="1" si="80"/>
        <v>326</v>
      </c>
      <c r="V124" s="1">
        <f t="shared" ca="1" si="81"/>
        <v>28</v>
      </c>
      <c r="W124" s="1"/>
      <c r="X124" s="1">
        <f t="shared" ca="1" si="82"/>
        <v>8.3249442230341248</v>
      </c>
      <c r="Y124" s="1">
        <f t="shared" ca="1" si="83"/>
        <v>8.4217738338133633E-2</v>
      </c>
      <c r="Z124" s="1">
        <f t="shared" ca="1" si="84"/>
        <v>875</v>
      </c>
      <c r="AB124" s="1">
        <f t="shared" ca="1" si="85"/>
        <v>0.62881222544116255</v>
      </c>
      <c r="AC124" s="1">
        <f t="shared" ca="1" si="86"/>
        <v>511</v>
      </c>
      <c r="AD124" s="1">
        <f t="shared" ca="1" si="87"/>
        <v>7.1167354480954027E-4</v>
      </c>
      <c r="AE124" s="1"/>
      <c r="AF124" s="1">
        <f t="shared" ca="1" si="88"/>
        <v>0.47429511562784954</v>
      </c>
      <c r="AG124" s="1">
        <f t="shared" ca="1" si="89"/>
        <v>877</v>
      </c>
      <c r="AH124" s="1">
        <f t="shared" ca="1" si="90"/>
        <v>4.3058027445384492E-4</v>
      </c>
      <c r="AJ124" s="1">
        <f t="shared" ca="1" si="91"/>
        <v>0.25089194762011136</v>
      </c>
      <c r="AK124" s="1">
        <f t="shared" ca="1" si="92"/>
        <v>1.8174573124580019E-3</v>
      </c>
      <c r="AL124" s="1"/>
      <c r="AM124" s="1">
        <f t="shared" ca="1" si="93"/>
        <v>0.1821325548626771</v>
      </c>
      <c r="AN124" s="1">
        <f t="shared" ca="1" si="94"/>
        <v>52</v>
      </c>
      <c r="AO124" s="1">
        <f t="shared" ca="1" si="95"/>
        <v>17</v>
      </c>
      <c r="AQ124" s="1">
        <f t="shared" ca="1" si="96"/>
        <v>152</v>
      </c>
      <c r="AR124" s="1">
        <f t="shared" ca="1" si="97"/>
        <v>10</v>
      </c>
      <c r="AS124" s="1">
        <f t="shared" ca="1" si="98"/>
        <v>25</v>
      </c>
      <c r="AU124" s="1">
        <f t="shared" ca="1" si="99"/>
        <v>341</v>
      </c>
      <c r="AV124" s="1">
        <f t="shared" ca="1" si="100"/>
        <v>6</v>
      </c>
      <c r="AW124" s="1">
        <f t="shared" ca="1" si="101"/>
        <v>0.14423372522347458</v>
      </c>
      <c r="AY124" s="1">
        <f t="shared" ca="1" si="102"/>
        <v>1.3218996833279046</v>
      </c>
      <c r="AZ124" s="1">
        <f t="shared" ca="1" si="103"/>
        <v>216</v>
      </c>
      <c r="BA124" s="1">
        <f t="shared" ca="1" si="104"/>
        <v>3.5812478307296514E-3</v>
      </c>
      <c r="BG124" s="1">
        <f t="shared" ca="1" si="105"/>
        <v>0.23591219585344686</v>
      </c>
      <c r="BH124" s="1">
        <f t="shared" ca="1" si="106"/>
        <v>0.95353670209897201</v>
      </c>
      <c r="BI124" s="1">
        <f t="shared" ca="1" si="107"/>
        <v>657</v>
      </c>
      <c r="BV124" s="1">
        <f t="shared" ca="1" si="108"/>
        <v>0.4773554597249009</v>
      </c>
      <c r="BW124" s="1">
        <f t="shared" ca="1" si="109"/>
        <v>626</v>
      </c>
      <c r="BX124" s="1">
        <f t="shared" ca="1" si="110"/>
        <v>4.387144761736109E-3</v>
      </c>
      <c r="BY124" s="1">
        <f t="shared" ca="1" si="111"/>
        <v>1.8313209178904017E-3</v>
      </c>
      <c r="BZ124" s="1">
        <f t="shared" ca="1" si="112"/>
        <v>1.9270153485574593E-2</v>
      </c>
      <c r="CB124" s="1">
        <f t="shared" ca="1" si="113"/>
        <v>297</v>
      </c>
      <c r="CC124" s="1">
        <f t="shared" ca="1" si="114"/>
        <v>7</v>
      </c>
      <c r="CD124" s="1">
        <f t="shared" ca="1" si="115"/>
        <v>7.3257986556225285E-2</v>
      </c>
      <c r="CE124" s="1">
        <f t="shared" ca="1" si="131"/>
        <v>0.69478761714396375</v>
      </c>
      <c r="CF124" s="1">
        <f t="shared" ca="1" si="131"/>
        <v>0.88867169565758508</v>
      </c>
      <c r="CH124" s="3">
        <f t="shared" ca="1" si="117"/>
        <v>0.25659379158558393</v>
      </c>
      <c r="CI124" s="3">
        <f t="shared" ca="1" si="118"/>
        <v>0.29433014661649237</v>
      </c>
      <c r="CJ124" s="3">
        <f t="shared" ca="1" si="119"/>
        <v>1834</v>
      </c>
      <c r="CK124" s="3">
        <f t="shared" ca="1" si="120"/>
        <v>5.8944032015484787E-3</v>
      </c>
      <c r="CL124" s="3">
        <f t="shared" ca="1" si="121"/>
        <v>0</v>
      </c>
      <c r="CM124" s="3"/>
      <c r="CN124" s="1">
        <f t="shared" ca="1" si="122"/>
        <v>8.6912045224628756</v>
      </c>
      <c r="CO124" s="1">
        <f t="shared" ca="1" si="123"/>
        <v>0.29669141402688898</v>
      </c>
      <c r="CP124" s="1">
        <f t="shared" ca="1" si="124"/>
        <v>4</v>
      </c>
      <c r="DH124" s="1">
        <f t="shared" ca="1" si="125"/>
        <v>694</v>
      </c>
      <c r="DI124" s="1">
        <f t="shared" ca="1" si="126"/>
        <v>0.3269532382699446</v>
      </c>
      <c r="DJ124" s="1">
        <f t="shared" ca="1" si="127"/>
        <v>17</v>
      </c>
      <c r="DL124" s="1">
        <f t="shared" ca="1" si="128"/>
        <v>0.12674738806466332</v>
      </c>
      <c r="DM124" s="1">
        <f t="shared" ca="1" si="129"/>
        <v>127</v>
      </c>
      <c r="DN124" s="1">
        <f t="shared" ca="1" si="130"/>
        <v>7</v>
      </c>
    </row>
    <row r="125" spans="2:118" x14ac:dyDescent="0.25">
      <c r="B125">
        <f t="shared" ca="1" si="66"/>
        <v>352</v>
      </c>
      <c r="C125">
        <f t="shared" ca="1" si="67"/>
        <v>14</v>
      </c>
      <c r="D125">
        <f t="shared" ca="1" si="68"/>
        <v>0.26322508454280841</v>
      </c>
      <c r="F125" s="1">
        <f t="shared" ca="1" si="69"/>
        <v>9</v>
      </c>
      <c r="G125" s="1">
        <f t="shared" ca="1" si="70"/>
        <v>7</v>
      </c>
      <c r="H125" s="1">
        <f t="shared" ca="1" si="71"/>
        <v>3</v>
      </c>
      <c r="I125" s="1"/>
      <c r="J125" s="1">
        <f t="shared" ca="1" si="72"/>
        <v>12</v>
      </c>
      <c r="K125" s="1">
        <f t="shared" ca="1" si="73"/>
        <v>1.799602877938695</v>
      </c>
      <c r="L125" s="1">
        <f t="shared" ca="1" si="74"/>
        <v>34</v>
      </c>
      <c r="M125" s="1"/>
      <c r="N125" s="1">
        <f t="shared" ca="1" si="75"/>
        <v>249</v>
      </c>
      <c r="O125" s="1">
        <f t="shared" ca="1" si="76"/>
        <v>52</v>
      </c>
      <c r="P125" s="1"/>
      <c r="Q125" s="1">
        <f t="shared" ca="1" si="77"/>
        <v>3.8682308790996802</v>
      </c>
      <c r="R125" s="1">
        <f t="shared" ca="1" si="78"/>
        <v>291</v>
      </c>
      <c r="S125" s="1"/>
      <c r="T125" s="1">
        <f t="shared" ca="1" si="79"/>
        <v>0.1767887101991733</v>
      </c>
      <c r="U125" s="1">
        <f t="shared" ca="1" si="80"/>
        <v>199</v>
      </c>
      <c r="V125" s="1">
        <f t="shared" ca="1" si="81"/>
        <v>17</v>
      </c>
      <c r="W125" s="1"/>
      <c r="X125" s="1">
        <f t="shared" ca="1" si="82"/>
        <v>9.9633494131066218</v>
      </c>
      <c r="Y125" s="1">
        <f t="shared" ca="1" si="83"/>
        <v>0.6171517955115946</v>
      </c>
      <c r="Z125" s="1">
        <f t="shared" ca="1" si="84"/>
        <v>221</v>
      </c>
      <c r="AB125" s="1">
        <f t="shared" ca="1" si="85"/>
        <v>0.78653958138268332</v>
      </c>
      <c r="AC125" s="1">
        <f t="shared" ca="1" si="86"/>
        <v>513</v>
      </c>
      <c r="AD125" s="1">
        <f t="shared" ca="1" si="87"/>
        <v>4.2801127944094072E-3</v>
      </c>
      <c r="AE125" s="1"/>
      <c r="AF125" s="1">
        <f t="shared" ca="1" si="88"/>
        <v>0.45871551736092542</v>
      </c>
      <c r="AG125" s="1">
        <f t="shared" ca="1" si="89"/>
        <v>430</v>
      </c>
      <c r="AH125" s="1">
        <f t="shared" ca="1" si="90"/>
        <v>8.8333871384513804E-3</v>
      </c>
      <c r="AJ125" s="1">
        <f t="shared" ca="1" si="91"/>
        <v>0.46745612779835699</v>
      </c>
      <c r="AK125" s="1">
        <f t="shared" ca="1" si="92"/>
        <v>4.0825153569368222E-3</v>
      </c>
      <c r="AL125" s="1"/>
      <c r="AM125" s="1">
        <f t="shared" ca="1" si="93"/>
        <v>9.4161786492218735E-2</v>
      </c>
      <c r="AN125" s="1">
        <f t="shared" ca="1" si="94"/>
        <v>27</v>
      </c>
      <c r="AO125" s="1">
        <f t="shared" ca="1" si="95"/>
        <v>9</v>
      </c>
      <c r="AQ125" s="1">
        <f t="shared" ca="1" si="96"/>
        <v>196</v>
      </c>
      <c r="AR125" s="1">
        <f t="shared" ca="1" si="97"/>
        <v>10</v>
      </c>
      <c r="AS125" s="1">
        <f t="shared" ca="1" si="98"/>
        <v>27</v>
      </c>
      <c r="AU125" s="1">
        <f t="shared" ca="1" si="99"/>
        <v>137</v>
      </c>
      <c r="AV125" s="1">
        <f t="shared" ca="1" si="100"/>
        <v>4</v>
      </c>
      <c r="AW125" s="1">
        <f t="shared" ca="1" si="101"/>
        <v>1.8503579231508582E-2</v>
      </c>
      <c r="AY125" s="1">
        <f t="shared" ca="1" si="102"/>
        <v>1.898042961656113</v>
      </c>
      <c r="AZ125" s="1">
        <f t="shared" ca="1" si="103"/>
        <v>139</v>
      </c>
      <c r="BA125" s="1">
        <f t="shared" ca="1" si="104"/>
        <v>9.2100414507178593E-3</v>
      </c>
      <c r="BG125" s="1">
        <f t="shared" ca="1" si="105"/>
        <v>0.16654436507456488</v>
      </c>
      <c r="BH125" s="1">
        <f t="shared" ca="1" si="106"/>
        <v>0.29117967193525285</v>
      </c>
      <c r="BI125" s="1">
        <f t="shared" ca="1" si="107"/>
        <v>909</v>
      </c>
      <c r="BV125" s="1">
        <f t="shared" ca="1" si="108"/>
        <v>0.2481404193468997</v>
      </c>
      <c r="BW125" s="1">
        <f t="shared" ca="1" si="109"/>
        <v>433</v>
      </c>
      <c r="BX125" s="1">
        <f t="shared" ca="1" si="110"/>
        <v>5.2005002510464278E-3</v>
      </c>
      <c r="BY125" s="1">
        <f t="shared" ca="1" si="111"/>
        <v>5.45615254204651E-2</v>
      </c>
      <c r="BZ125" s="1">
        <f t="shared" ca="1" si="112"/>
        <v>0.96991473841527653</v>
      </c>
      <c r="CB125" s="1">
        <f t="shared" ca="1" si="113"/>
        <v>124</v>
      </c>
      <c r="CC125" s="1">
        <f t="shared" ca="1" si="114"/>
        <v>13</v>
      </c>
      <c r="CD125" s="1">
        <f t="shared" ca="1" si="115"/>
        <v>1.4592593554152565E-2</v>
      </c>
      <c r="CE125" s="1">
        <f t="shared" ca="1" si="131"/>
        <v>0.97027105791474288</v>
      </c>
      <c r="CF125" s="1">
        <f t="shared" ca="1" si="131"/>
        <v>0.83642700568583384</v>
      </c>
      <c r="CH125" s="3">
        <f t="shared" ca="1" si="117"/>
        <v>0.94519816607395213</v>
      </c>
      <c r="CI125" s="3">
        <f t="shared" ca="1" si="118"/>
        <v>5.2760014696938175E-2</v>
      </c>
      <c r="CJ125" s="3">
        <f t="shared" ca="1" si="119"/>
        <v>1789</v>
      </c>
      <c r="CK125" s="3">
        <f t="shared" ca="1" si="120"/>
        <v>1.0456414628455847E-3</v>
      </c>
      <c r="CL125" s="3">
        <f t="shared" ca="1" si="121"/>
        <v>1</v>
      </c>
      <c r="CM125" s="3"/>
      <c r="CN125" s="1">
        <f t="shared" ca="1" si="122"/>
        <v>8.3030784218972844</v>
      </c>
      <c r="CO125" s="1">
        <f t="shared" ca="1" si="123"/>
        <v>0.31620047318750705</v>
      </c>
      <c r="CP125" s="1">
        <f t="shared" ca="1" si="124"/>
        <v>4</v>
      </c>
      <c r="DH125" s="1">
        <f t="shared" ca="1" si="125"/>
        <v>858</v>
      </c>
      <c r="DI125" s="1">
        <f t="shared" ca="1" si="126"/>
        <v>0.57876969484998753</v>
      </c>
      <c r="DJ125" s="1">
        <f t="shared" ca="1" si="127"/>
        <v>14</v>
      </c>
      <c r="DL125" s="1">
        <f t="shared" ca="1" si="128"/>
        <v>6.5592480427953445E-2</v>
      </c>
      <c r="DM125" s="1">
        <f t="shared" ca="1" si="129"/>
        <v>92</v>
      </c>
      <c r="DN125" s="1">
        <f t="shared" ca="1" si="130"/>
        <v>9</v>
      </c>
    </row>
    <row r="126" spans="2:118" x14ac:dyDescent="0.25">
      <c r="B126">
        <f t="shared" ca="1" si="66"/>
        <v>99</v>
      </c>
      <c r="C126">
        <f t="shared" ca="1" si="67"/>
        <v>17</v>
      </c>
      <c r="D126">
        <f t="shared" ca="1" si="68"/>
        <v>0.17383188337019498</v>
      </c>
      <c r="F126" s="1">
        <f t="shared" ca="1" si="69"/>
        <v>10</v>
      </c>
      <c r="G126" s="1">
        <f t="shared" ca="1" si="70"/>
        <v>10</v>
      </c>
      <c r="H126" s="1">
        <f t="shared" ca="1" si="71"/>
        <v>12</v>
      </c>
      <c r="I126" s="1"/>
      <c r="J126" s="1">
        <f t="shared" ca="1" si="72"/>
        <v>27</v>
      </c>
      <c r="K126" s="1">
        <f t="shared" ca="1" si="73"/>
        <v>2.9562293414767788</v>
      </c>
      <c r="L126" s="1">
        <f t="shared" ca="1" si="74"/>
        <v>7</v>
      </c>
      <c r="M126" s="1"/>
      <c r="N126" s="1">
        <f t="shared" ca="1" si="75"/>
        <v>390</v>
      </c>
      <c r="O126" s="1">
        <f t="shared" ca="1" si="76"/>
        <v>43</v>
      </c>
      <c r="P126" s="1"/>
      <c r="Q126" s="1">
        <f t="shared" ca="1" si="77"/>
        <v>4.0754987137961711</v>
      </c>
      <c r="R126" s="1">
        <f t="shared" ca="1" si="78"/>
        <v>897</v>
      </c>
      <c r="S126" s="1"/>
      <c r="T126" s="1">
        <f t="shared" ca="1" si="79"/>
        <v>9.1210909699403306E-2</v>
      </c>
      <c r="U126" s="1">
        <f t="shared" ca="1" si="80"/>
        <v>140</v>
      </c>
      <c r="V126" s="1">
        <f t="shared" ca="1" si="81"/>
        <v>19</v>
      </c>
      <c r="W126" s="1"/>
      <c r="X126" s="1">
        <f t="shared" ca="1" si="82"/>
        <v>5.8457324732709086</v>
      </c>
      <c r="Y126" s="1">
        <f t="shared" ca="1" si="83"/>
        <v>0.9076555101245114</v>
      </c>
      <c r="Z126" s="1">
        <f t="shared" ca="1" si="84"/>
        <v>500</v>
      </c>
      <c r="AB126" s="1">
        <f t="shared" ca="1" si="85"/>
        <v>0.85925307044546784</v>
      </c>
      <c r="AC126" s="1">
        <f t="shared" ca="1" si="86"/>
        <v>280</v>
      </c>
      <c r="AD126" s="1">
        <f t="shared" ca="1" si="87"/>
        <v>5.6164246403741843E-3</v>
      </c>
      <c r="AE126" s="1"/>
      <c r="AF126" s="1">
        <f t="shared" ca="1" si="88"/>
        <v>0.25466636426652622</v>
      </c>
      <c r="AG126" s="1">
        <f t="shared" ca="1" si="89"/>
        <v>381</v>
      </c>
      <c r="AH126" s="1">
        <f t="shared" ca="1" si="90"/>
        <v>4.5854923282690396E-3</v>
      </c>
      <c r="AJ126" s="1">
        <f t="shared" ca="1" si="91"/>
        <v>6.2700201776071496E-2</v>
      </c>
      <c r="AK126" s="1">
        <f t="shared" ca="1" si="92"/>
        <v>5.5510017255692781E-3</v>
      </c>
      <c r="AL126" s="1"/>
      <c r="AM126" s="1">
        <f t="shared" ca="1" si="93"/>
        <v>0.14704796650001925</v>
      </c>
      <c r="AN126" s="1">
        <f t="shared" ca="1" si="94"/>
        <v>61</v>
      </c>
      <c r="AO126" s="1">
        <f t="shared" ca="1" si="95"/>
        <v>7</v>
      </c>
      <c r="AQ126" s="1">
        <f t="shared" ca="1" si="96"/>
        <v>106</v>
      </c>
      <c r="AR126" s="1">
        <f t="shared" ca="1" si="97"/>
        <v>6</v>
      </c>
      <c r="AS126" s="1">
        <f t="shared" ca="1" si="98"/>
        <v>64</v>
      </c>
      <c r="AU126" s="1">
        <f t="shared" ca="1" si="99"/>
        <v>377</v>
      </c>
      <c r="AV126" s="1">
        <f t="shared" ca="1" si="100"/>
        <v>8</v>
      </c>
      <c r="AW126" s="1">
        <f t="shared" ca="1" si="101"/>
        <v>3.411505624311386E-2</v>
      </c>
      <c r="AY126" s="1">
        <f t="shared" ca="1" si="102"/>
        <v>1.9960831873173128</v>
      </c>
      <c r="AZ126" s="1">
        <f t="shared" ca="1" si="103"/>
        <v>310</v>
      </c>
      <c r="BA126" s="1">
        <f t="shared" ca="1" si="104"/>
        <v>8.5780831862003904E-3</v>
      </c>
      <c r="BG126" s="1">
        <f t="shared" ca="1" si="105"/>
        <v>0.38665863701352154</v>
      </c>
      <c r="BH126" s="1">
        <f t="shared" ca="1" si="106"/>
        <v>0.96185890862858137</v>
      </c>
      <c r="BI126" s="1">
        <f t="shared" ca="1" si="107"/>
        <v>242</v>
      </c>
      <c r="BV126" s="1">
        <f t="shared" ca="1" si="108"/>
        <v>7.2585903333114016E-2</v>
      </c>
      <c r="BW126" s="1">
        <f t="shared" ca="1" si="109"/>
        <v>484</v>
      </c>
      <c r="BX126" s="1">
        <f t="shared" ca="1" si="110"/>
        <v>2.1906983631623436E-3</v>
      </c>
      <c r="BY126" s="1">
        <f t="shared" ca="1" si="111"/>
        <v>2.4916678012813789E-2</v>
      </c>
      <c r="BZ126" s="1">
        <f t="shared" ca="1" si="112"/>
        <v>5.5293421918236163E-2</v>
      </c>
      <c r="CB126" s="1">
        <f t="shared" ca="1" si="113"/>
        <v>365</v>
      </c>
      <c r="CC126" s="1">
        <f t="shared" ca="1" si="114"/>
        <v>14</v>
      </c>
      <c r="CD126" s="1">
        <f t="shared" ca="1" si="115"/>
        <v>7.7242745200630486E-2</v>
      </c>
      <c r="CE126" s="1">
        <f t="shared" ca="1" si="131"/>
        <v>0.66539567694224755</v>
      </c>
      <c r="CF126" s="1">
        <f t="shared" ca="1" si="131"/>
        <v>0.87740136513312439</v>
      </c>
      <c r="CH126" s="3">
        <f t="shared" ca="1" si="117"/>
        <v>0.86376930248683792</v>
      </c>
      <c r="CI126" s="3">
        <f t="shared" ca="1" si="118"/>
        <v>9.2594067606564134E-2</v>
      </c>
      <c r="CJ126" s="3">
        <f t="shared" ca="1" si="119"/>
        <v>1614</v>
      </c>
      <c r="CK126" s="3">
        <f t="shared" ca="1" si="120"/>
        <v>4.1579355550330297E-3</v>
      </c>
      <c r="CL126" s="3">
        <f t="shared" ca="1" si="121"/>
        <v>0</v>
      </c>
      <c r="CM126" s="3"/>
      <c r="CN126" s="1">
        <f t="shared" ca="1" si="122"/>
        <v>7.4112232475155517</v>
      </c>
      <c r="CO126" s="1">
        <f t="shared" ca="1" si="123"/>
        <v>0.28362382478754938</v>
      </c>
      <c r="CP126" s="1">
        <f t="shared" ca="1" si="124"/>
        <v>3</v>
      </c>
      <c r="DH126" s="1">
        <f t="shared" ca="1" si="125"/>
        <v>225</v>
      </c>
      <c r="DI126" s="1">
        <f t="shared" ca="1" si="126"/>
        <v>0.75420628442331361</v>
      </c>
      <c r="DJ126" s="1">
        <f t="shared" ca="1" si="127"/>
        <v>7</v>
      </c>
      <c r="DL126" s="1">
        <f t="shared" ca="1" si="128"/>
        <v>0.18420998571055272</v>
      </c>
      <c r="DM126" s="1">
        <f t="shared" ca="1" si="129"/>
        <v>125</v>
      </c>
      <c r="DN126" s="1">
        <f t="shared" ca="1" si="130"/>
        <v>7</v>
      </c>
    </row>
    <row r="127" spans="2:118" x14ac:dyDescent="0.25">
      <c r="B127">
        <f t="shared" ca="1" si="66"/>
        <v>755</v>
      </c>
      <c r="C127">
        <f t="shared" ca="1" si="67"/>
        <v>46</v>
      </c>
      <c r="D127">
        <f t="shared" ca="1" si="68"/>
        <v>0.19286736920764586</v>
      </c>
      <c r="F127" s="1">
        <f t="shared" ca="1" si="69"/>
        <v>38</v>
      </c>
      <c r="G127" s="1">
        <f t="shared" ca="1" si="70"/>
        <v>18</v>
      </c>
      <c r="H127" s="1">
        <f t="shared" ca="1" si="71"/>
        <v>4</v>
      </c>
      <c r="I127" s="1"/>
      <c r="J127" s="1">
        <f t="shared" ca="1" si="72"/>
        <v>21</v>
      </c>
      <c r="K127" s="1">
        <f t="shared" ca="1" si="73"/>
        <v>1.3709272975339259</v>
      </c>
      <c r="L127" s="1">
        <f t="shared" ca="1" si="74"/>
        <v>34</v>
      </c>
      <c r="M127" s="1"/>
      <c r="N127" s="1">
        <f t="shared" ca="1" si="75"/>
        <v>397</v>
      </c>
      <c r="O127" s="1">
        <f t="shared" ca="1" si="76"/>
        <v>29</v>
      </c>
      <c r="P127" s="1"/>
      <c r="Q127" s="1">
        <f t="shared" ca="1" si="77"/>
        <v>4.8580309039947052</v>
      </c>
      <c r="R127" s="1">
        <f t="shared" ca="1" si="78"/>
        <v>573</v>
      </c>
      <c r="S127" s="1"/>
      <c r="T127" s="1">
        <f t="shared" ca="1" si="79"/>
        <v>0.15758328311178324</v>
      </c>
      <c r="U127" s="1">
        <f t="shared" ca="1" si="80"/>
        <v>444</v>
      </c>
      <c r="V127" s="1">
        <f t="shared" ca="1" si="81"/>
        <v>28</v>
      </c>
      <c r="W127" s="1"/>
      <c r="X127" s="1">
        <f t="shared" ca="1" si="82"/>
        <v>7.9156802166614977</v>
      </c>
      <c r="Y127" s="1">
        <f t="shared" ca="1" si="83"/>
        <v>0.73263470648865991</v>
      </c>
      <c r="Z127" s="1">
        <f t="shared" ca="1" si="84"/>
        <v>1423</v>
      </c>
      <c r="AB127" s="1">
        <f t="shared" ca="1" si="85"/>
        <v>0.11211219401679902</v>
      </c>
      <c r="AC127" s="1">
        <f t="shared" ca="1" si="86"/>
        <v>429</v>
      </c>
      <c r="AD127" s="1">
        <f t="shared" ca="1" si="87"/>
        <v>2.8947652699523696E-3</v>
      </c>
      <c r="AE127" s="1"/>
      <c r="AF127" s="1">
        <f t="shared" ca="1" si="88"/>
        <v>0.17556737121854385</v>
      </c>
      <c r="AG127" s="1">
        <f t="shared" ca="1" si="89"/>
        <v>617</v>
      </c>
      <c r="AH127" s="1">
        <f t="shared" ca="1" si="90"/>
        <v>1.9367496070009933E-3</v>
      </c>
      <c r="AJ127" s="1">
        <f t="shared" ca="1" si="91"/>
        <v>0.95209178081186174</v>
      </c>
      <c r="AK127" s="1">
        <f t="shared" ca="1" si="92"/>
        <v>3.5098577449172619E-3</v>
      </c>
      <c r="AL127" s="1"/>
      <c r="AM127" s="1">
        <f t="shared" ca="1" si="93"/>
        <v>0.19519933056613534</v>
      </c>
      <c r="AN127" s="1">
        <f t="shared" ca="1" si="94"/>
        <v>45</v>
      </c>
      <c r="AO127" s="1">
        <f t="shared" ca="1" si="95"/>
        <v>3</v>
      </c>
      <c r="AQ127" s="1">
        <f t="shared" ca="1" si="96"/>
        <v>19</v>
      </c>
      <c r="AR127" s="1">
        <f t="shared" ca="1" si="97"/>
        <v>4</v>
      </c>
      <c r="AS127" s="1">
        <f t="shared" ca="1" si="98"/>
        <v>79</v>
      </c>
      <c r="AU127" s="1">
        <f t="shared" ca="1" si="99"/>
        <v>274</v>
      </c>
      <c r="AV127" s="1">
        <f t="shared" ca="1" si="100"/>
        <v>5</v>
      </c>
      <c r="AW127" s="1">
        <f t="shared" ca="1" si="101"/>
        <v>0.10725651377470961</v>
      </c>
      <c r="AY127" s="1">
        <f t="shared" ca="1" si="102"/>
        <v>1.6983436387472894</v>
      </c>
      <c r="AZ127" s="1">
        <f t="shared" ca="1" si="103"/>
        <v>170</v>
      </c>
      <c r="BA127" s="1">
        <f t="shared" ca="1" si="104"/>
        <v>5.0747239577728044E-3</v>
      </c>
      <c r="BG127" s="1">
        <f t="shared" ca="1" si="105"/>
        <v>0.19983074719897637</v>
      </c>
      <c r="BH127" s="1">
        <f t="shared" ca="1" si="106"/>
        <v>4.9553829790921489E-2</v>
      </c>
      <c r="BI127" s="1">
        <f t="shared" ca="1" si="107"/>
        <v>852</v>
      </c>
      <c r="BV127" s="1">
        <f t="shared" ca="1" si="108"/>
        <v>0.63701722877383493</v>
      </c>
      <c r="BW127" s="1">
        <f t="shared" ca="1" si="109"/>
        <v>729</v>
      </c>
      <c r="BX127" s="1">
        <f t="shared" ca="1" si="110"/>
        <v>3.4821547424377071E-3</v>
      </c>
      <c r="BY127" s="1">
        <f t="shared" ca="1" si="111"/>
        <v>7.5562912607988406E-3</v>
      </c>
      <c r="BZ127" s="1">
        <f t="shared" ca="1" si="112"/>
        <v>3.8709247718288431E-2</v>
      </c>
      <c r="CB127" s="1">
        <f t="shared" ca="1" si="113"/>
        <v>335</v>
      </c>
      <c r="CC127" s="1">
        <f t="shared" ca="1" si="114"/>
        <v>15</v>
      </c>
      <c r="CD127" s="1">
        <f t="shared" ca="1" si="115"/>
        <v>9.1045352795424084E-2</v>
      </c>
      <c r="CE127" s="1">
        <f t="shared" ca="1" si="131"/>
        <v>0.59770546279545012</v>
      </c>
      <c r="CF127" s="1">
        <f t="shared" ca="1" si="131"/>
        <v>0.55042029342717713</v>
      </c>
      <c r="CH127" s="3">
        <f t="shared" ca="1" si="117"/>
        <v>0.25171647970880046</v>
      </c>
      <c r="CI127" s="3">
        <f t="shared" ca="1" si="118"/>
        <v>3.4531148684652742E-2</v>
      </c>
      <c r="CJ127" s="3">
        <f t="shared" ca="1" si="119"/>
        <v>1411</v>
      </c>
      <c r="CK127" s="3">
        <f t="shared" ca="1" si="120"/>
        <v>2.3143055559287197E-3</v>
      </c>
      <c r="CL127" s="3">
        <f t="shared" ca="1" si="121"/>
        <v>0</v>
      </c>
      <c r="CM127" s="3"/>
      <c r="CN127" s="1">
        <f t="shared" ca="1" si="122"/>
        <v>6.6554445805003555</v>
      </c>
      <c r="CO127" s="1">
        <f t="shared" ca="1" si="123"/>
        <v>0.35484232012412448</v>
      </c>
      <c r="CP127" s="1">
        <f t="shared" ca="1" si="124"/>
        <v>1</v>
      </c>
      <c r="DH127" s="1">
        <f t="shared" ca="1" si="125"/>
        <v>94</v>
      </c>
      <c r="DI127" s="1">
        <f t="shared" ca="1" si="126"/>
        <v>0.59448568800790613</v>
      </c>
      <c r="DJ127" s="1">
        <f t="shared" ca="1" si="127"/>
        <v>4</v>
      </c>
      <c r="DL127" s="1">
        <f t="shared" ca="1" si="128"/>
        <v>5.3317632388064466E-2</v>
      </c>
      <c r="DM127" s="1">
        <f t="shared" ca="1" si="129"/>
        <v>257</v>
      </c>
      <c r="DN127" s="1">
        <f t="shared" ca="1" si="130"/>
        <v>10</v>
      </c>
    </row>
    <row r="128" spans="2:118" x14ac:dyDescent="0.25">
      <c r="B128">
        <f t="shared" ca="1" si="66"/>
        <v>84</v>
      </c>
      <c r="C128">
        <f t="shared" ca="1" si="67"/>
        <v>10</v>
      </c>
      <c r="D128">
        <f t="shared" ca="1" si="68"/>
        <v>5.9082072431243311E-2</v>
      </c>
      <c r="F128" s="1">
        <f t="shared" ca="1" si="69"/>
        <v>4</v>
      </c>
      <c r="G128" s="1">
        <f t="shared" ca="1" si="70"/>
        <v>13</v>
      </c>
      <c r="H128" s="1">
        <f t="shared" ca="1" si="71"/>
        <v>3</v>
      </c>
      <c r="I128" s="1"/>
      <c r="J128" s="1">
        <f t="shared" ca="1" si="72"/>
        <v>21</v>
      </c>
      <c r="K128" s="1">
        <f t="shared" ca="1" si="73"/>
        <v>2.8495080621674242</v>
      </c>
      <c r="L128" s="1">
        <f t="shared" ca="1" si="74"/>
        <v>10</v>
      </c>
      <c r="M128" s="1"/>
      <c r="N128" s="1">
        <f t="shared" ca="1" si="75"/>
        <v>828</v>
      </c>
      <c r="O128" s="1">
        <f t="shared" ca="1" si="76"/>
        <v>23</v>
      </c>
      <c r="P128" s="1"/>
      <c r="Q128" s="1">
        <f t="shared" ca="1" si="77"/>
        <v>2.5323941485770916</v>
      </c>
      <c r="R128" s="1">
        <f t="shared" ca="1" si="78"/>
        <v>821</v>
      </c>
      <c r="S128" s="1"/>
      <c r="T128" s="1">
        <f t="shared" ca="1" si="79"/>
        <v>0.1196017791564792</v>
      </c>
      <c r="U128" s="1">
        <f t="shared" ca="1" si="80"/>
        <v>357</v>
      </c>
      <c r="V128" s="1">
        <f t="shared" ca="1" si="81"/>
        <v>22</v>
      </c>
      <c r="W128" s="1"/>
      <c r="X128" s="1">
        <f t="shared" ca="1" si="82"/>
        <v>9.9907426789940406</v>
      </c>
      <c r="Y128" s="1">
        <f t="shared" ca="1" si="83"/>
        <v>9.9584517145546406E-2</v>
      </c>
      <c r="Z128" s="1">
        <f t="shared" ca="1" si="84"/>
        <v>1220</v>
      </c>
      <c r="AB128" s="1">
        <f t="shared" ca="1" si="85"/>
        <v>9.4565875680560588E-2</v>
      </c>
      <c r="AC128" s="1">
        <f t="shared" ca="1" si="86"/>
        <v>604</v>
      </c>
      <c r="AD128" s="1">
        <f t="shared" ca="1" si="87"/>
        <v>5.5842894593888239E-3</v>
      </c>
      <c r="AE128" s="1"/>
      <c r="AF128" s="1">
        <f t="shared" ca="1" si="88"/>
        <v>0.63751243281374559</v>
      </c>
      <c r="AG128" s="1">
        <f t="shared" ca="1" si="89"/>
        <v>401</v>
      </c>
      <c r="AH128" s="1">
        <f t="shared" ca="1" si="90"/>
        <v>4.6196085561947603E-3</v>
      </c>
      <c r="AJ128" s="1">
        <f t="shared" ca="1" si="91"/>
        <v>0.51422225069070149</v>
      </c>
      <c r="AK128" s="1">
        <f t="shared" ca="1" si="92"/>
        <v>5.1394846815112924E-3</v>
      </c>
      <c r="AL128" s="1"/>
      <c r="AM128" s="1">
        <f t="shared" ca="1" si="93"/>
        <v>0.16113967116726577</v>
      </c>
      <c r="AN128" s="1">
        <f t="shared" ca="1" si="94"/>
        <v>11</v>
      </c>
      <c r="AO128" s="1">
        <f t="shared" ca="1" si="95"/>
        <v>8</v>
      </c>
      <c r="AQ128" s="1">
        <f t="shared" ca="1" si="96"/>
        <v>57</v>
      </c>
      <c r="AR128" s="1">
        <f t="shared" ca="1" si="97"/>
        <v>7</v>
      </c>
      <c r="AS128" s="1">
        <f t="shared" ca="1" si="98"/>
        <v>99</v>
      </c>
      <c r="AU128" s="1">
        <f t="shared" ca="1" si="99"/>
        <v>120</v>
      </c>
      <c r="AV128" s="1">
        <f t="shared" ca="1" si="100"/>
        <v>8</v>
      </c>
      <c r="AW128" s="1">
        <f t="shared" ca="1" si="101"/>
        <v>5.8579001003943962E-2</v>
      </c>
      <c r="AY128" s="1">
        <f t="shared" ca="1" si="102"/>
        <v>1.3301391835167573</v>
      </c>
      <c r="AZ128" s="1">
        <f t="shared" ca="1" si="103"/>
        <v>259</v>
      </c>
      <c r="BA128" s="1">
        <f t="shared" ca="1" si="104"/>
        <v>1.3737722791199174E-3</v>
      </c>
      <c r="BG128" s="1">
        <f t="shared" ca="1" si="105"/>
        <v>0.95421326600217449</v>
      </c>
      <c r="BH128" s="1">
        <f t="shared" ca="1" si="106"/>
        <v>0.20745385468956856</v>
      </c>
      <c r="BI128" s="1">
        <f t="shared" ca="1" si="107"/>
        <v>806</v>
      </c>
      <c r="BV128" s="1">
        <f t="shared" ca="1" si="108"/>
        <v>0.2605798690160791</v>
      </c>
      <c r="BW128" s="1">
        <f t="shared" ca="1" si="109"/>
        <v>562</v>
      </c>
      <c r="BX128" s="1">
        <f t="shared" ca="1" si="110"/>
        <v>3.0894927086631743E-4</v>
      </c>
      <c r="BY128" s="1">
        <f t="shared" ca="1" si="111"/>
        <v>6.4999425627791374E-2</v>
      </c>
      <c r="BZ128" s="1">
        <f t="shared" ca="1" si="112"/>
        <v>0.2521031106002487</v>
      </c>
      <c r="CB128" s="1">
        <f t="shared" ca="1" si="113"/>
        <v>457</v>
      </c>
      <c r="CC128" s="1">
        <f t="shared" ca="1" si="114"/>
        <v>12</v>
      </c>
      <c r="CD128" s="1">
        <f t="shared" ca="1" si="115"/>
        <v>0.14390255959469267</v>
      </c>
      <c r="CE128" s="1">
        <f t="shared" ca="1" si="131"/>
        <v>0.94294920695812023</v>
      </c>
      <c r="CF128" s="1">
        <f t="shared" ca="1" si="131"/>
        <v>0.90741728558518298</v>
      </c>
      <c r="CH128" s="3">
        <f t="shared" ca="1" si="117"/>
        <v>6.6822682098478414E-2</v>
      </c>
      <c r="CI128" s="3">
        <f t="shared" ca="1" si="118"/>
        <v>3.4026968041852547E-2</v>
      </c>
      <c r="CJ128" s="3">
        <f t="shared" ca="1" si="119"/>
        <v>1867</v>
      </c>
      <c r="CK128" s="3">
        <f t="shared" ca="1" si="120"/>
        <v>2.7162922198274999E-3</v>
      </c>
      <c r="CL128" s="3">
        <f t="shared" ca="1" si="121"/>
        <v>0</v>
      </c>
      <c r="CM128" s="3"/>
      <c r="CN128" s="1">
        <f t="shared" ca="1" si="122"/>
        <v>8.8746490123236157</v>
      </c>
      <c r="CO128" s="1">
        <f t="shared" ca="1" si="123"/>
        <v>0.12965623655134392</v>
      </c>
      <c r="CP128" s="1">
        <f t="shared" ca="1" si="124"/>
        <v>3</v>
      </c>
      <c r="DH128" s="1">
        <f t="shared" ca="1" si="125"/>
        <v>101</v>
      </c>
      <c r="DI128" s="1">
        <f t="shared" ca="1" si="126"/>
        <v>3.5474704622709158E-2</v>
      </c>
      <c r="DJ128" s="1">
        <f t="shared" ca="1" si="127"/>
        <v>17</v>
      </c>
      <c r="DL128" s="1">
        <f t="shared" ca="1" si="128"/>
        <v>0.19121997540833621</v>
      </c>
      <c r="DM128" s="1">
        <f t="shared" ca="1" si="129"/>
        <v>151</v>
      </c>
      <c r="DN128" s="1">
        <f t="shared" ca="1" si="130"/>
        <v>3</v>
      </c>
    </row>
    <row r="129" spans="2:118" x14ac:dyDescent="0.25">
      <c r="B129">
        <f t="shared" ca="1" si="66"/>
        <v>640</v>
      </c>
      <c r="C129">
        <f t="shared" ca="1" si="67"/>
        <v>37</v>
      </c>
      <c r="D129">
        <f t="shared" ca="1" si="68"/>
        <v>0.28538705958339222</v>
      </c>
      <c r="F129" s="1">
        <f t="shared" ca="1" si="69"/>
        <v>6</v>
      </c>
      <c r="G129" s="1">
        <f t="shared" ca="1" si="70"/>
        <v>4</v>
      </c>
      <c r="H129" s="1">
        <f t="shared" ca="1" si="71"/>
        <v>3</v>
      </c>
      <c r="I129" s="1"/>
      <c r="J129" s="1">
        <f t="shared" ca="1" si="72"/>
        <v>28</v>
      </c>
      <c r="K129" s="1">
        <f t="shared" ca="1" si="73"/>
        <v>1.6287454445465206</v>
      </c>
      <c r="L129" s="1">
        <f t="shared" ca="1" si="74"/>
        <v>7</v>
      </c>
      <c r="M129" s="1"/>
      <c r="N129" s="1">
        <f t="shared" ca="1" si="75"/>
        <v>195</v>
      </c>
      <c r="O129" s="1">
        <f t="shared" ca="1" si="76"/>
        <v>45</v>
      </c>
      <c r="P129" s="1"/>
      <c r="Q129" s="1">
        <f t="shared" ca="1" si="77"/>
        <v>0.18942911833000275</v>
      </c>
      <c r="R129" s="1">
        <f t="shared" ca="1" si="78"/>
        <v>225</v>
      </c>
      <c r="S129" s="1"/>
      <c r="T129" s="1">
        <f t="shared" ca="1" si="79"/>
        <v>0.19795941404712192</v>
      </c>
      <c r="U129" s="1">
        <f t="shared" ca="1" si="80"/>
        <v>297</v>
      </c>
      <c r="V129" s="1">
        <f t="shared" ca="1" si="81"/>
        <v>46</v>
      </c>
      <c r="W129" s="1"/>
      <c r="X129" s="1">
        <f t="shared" ca="1" si="82"/>
        <v>3.6874037217995088</v>
      </c>
      <c r="Y129" s="1">
        <f t="shared" ca="1" si="83"/>
        <v>2.8744442078313732E-2</v>
      </c>
      <c r="Z129" s="1">
        <f t="shared" ca="1" si="84"/>
        <v>1572</v>
      </c>
      <c r="AB129" s="1">
        <f t="shared" ca="1" si="85"/>
        <v>0.76407846904626897</v>
      </c>
      <c r="AC129" s="1">
        <f t="shared" ca="1" si="86"/>
        <v>871</v>
      </c>
      <c r="AD129" s="1">
        <f t="shared" ca="1" si="87"/>
        <v>7.0302213478985196E-3</v>
      </c>
      <c r="AE129" s="1"/>
      <c r="AF129" s="1">
        <f t="shared" ca="1" si="88"/>
        <v>0.57315721839142231</v>
      </c>
      <c r="AG129" s="1">
        <f t="shared" ca="1" si="89"/>
        <v>987</v>
      </c>
      <c r="AH129" s="1">
        <f t="shared" ca="1" si="90"/>
        <v>2.178665935014111E-3</v>
      </c>
      <c r="AJ129" s="1">
        <f t="shared" ca="1" si="91"/>
        <v>0.57760678731906767</v>
      </c>
      <c r="AK129" s="1">
        <f t="shared" ca="1" si="92"/>
        <v>1.0791685082183566E-3</v>
      </c>
      <c r="AL129" s="1"/>
      <c r="AM129" s="1">
        <f t="shared" ca="1" si="93"/>
        <v>0.15118305891049669</v>
      </c>
      <c r="AN129" s="1">
        <f t="shared" ca="1" si="94"/>
        <v>15</v>
      </c>
      <c r="AO129" s="1">
        <f t="shared" ca="1" si="95"/>
        <v>15</v>
      </c>
      <c r="AQ129" s="1">
        <f t="shared" ca="1" si="96"/>
        <v>183</v>
      </c>
      <c r="AR129" s="1">
        <f t="shared" ca="1" si="97"/>
        <v>3</v>
      </c>
      <c r="AS129" s="1">
        <f t="shared" ca="1" si="98"/>
        <v>20</v>
      </c>
      <c r="AU129" s="1">
        <f t="shared" ca="1" si="99"/>
        <v>163</v>
      </c>
      <c r="AV129" s="1">
        <f t="shared" ca="1" si="100"/>
        <v>8</v>
      </c>
      <c r="AW129" s="1">
        <f t="shared" ca="1" si="101"/>
        <v>0.11996650056193402</v>
      </c>
      <c r="AY129" s="1">
        <f t="shared" ca="1" si="102"/>
        <v>1.57960220749892</v>
      </c>
      <c r="AZ129" s="1">
        <f t="shared" ca="1" si="103"/>
        <v>303</v>
      </c>
      <c r="BA129" s="1">
        <f t="shared" ca="1" si="104"/>
        <v>9.2062290044512916E-3</v>
      </c>
      <c r="BG129" s="1">
        <f t="shared" ca="1" si="105"/>
        <v>0.4552342981591217</v>
      </c>
      <c r="BH129" s="1">
        <f t="shared" ca="1" si="106"/>
        <v>0.96591268119826501</v>
      </c>
      <c r="BI129" s="1">
        <f t="shared" ca="1" si="107"/>
        <v>838</v>
      </c>
      <c r="BV129" s="1">
        <f t="shared" ca="1" si="108"/>
        <v>0.7931903159174295</v>
      </c>
      <c r="BW129" s="1">
        <f t="shared" ca="1" si="109"/>
        <v>627</v>
      </c>
      <c r="BX129" s="1">
        <f t="shared" ca="1" si="110"/>
        <v>9.2401272077283492E-3</v>
      </c>
      <c r="BY129" s="1">
        <f t="shared" ca="1" si="111"/>
        <v>3.096691573140695E-2</v>
      </c>
      <c r="BZ129" s="1">
        <f t="shared" ca="1" si="112"/>
        <v>0.87261174680767228</v>
      </c>
      <c r="CB129" s="1">
        <f t="shared" ca="1" si="113"/>
        <v>427</v>
      </c>
      <c r="CC129" s="1">
        <f t="shared" ca="1" si="114"/>
        <v>14</v>
      </c>
      <c r="CD129" s="1">
        <f t="shared" ca="1" si="115"/>
        <v>0.2045509684830909</v>
      </c>
      <c r="CE129" s="1">
        <f t="shared" ca="1" si="131"/>
        <v>0.8565057998893324</v>
      </c>
      <c r="CF129" s="1">
        <f t="shared" ca="1" si="131"/>
        <v>0.69899451833888004</v>
      </c>
      <c r="CH129" s="3">
        <f t="shared" ca="1" si="117"/>
        <v>0.52910258631352503</v>
      </c>
      <c r="CI129" s="3">
        <f t="shared" ca="1" si="118"/>
        <v>0.86668266523082682</v>
      </c>
      <c r="CJ129" s="3">
        <f t="shared" ca="1" si="119"/>
        <v>1501</v>
      </c>
      <c r="CK129" s="3">
        <f t="shared" ca="1" si="120"/>
        <v>3.2044708232177631E-3</v>
      </c>
      <c r="CL129" s="3">
        <f t="shared" ca="1" si="121"/>
        <v>1</v>
      </c>
      <c r="CM129" s="3"/>
      <c r="CN129" s="1">
        <f t="shared" ca="1" si="122"/>
        <v>13.488633021209528</v>
      </c>
      <c r="CO129" s="1">
        <f t="shared" ca="1" si="123"/>
        <v>0.13347169412412674</v>
      </c>
      <c r="CP129" s="1">
        <f t="shared" ca="1" si="124"/>
        <v>2</v>
      </c>
      <c r="DH129" s="1">
        <f t="shared" ca="1" si="125"/>
        <v>739</v>
      </c>
      <c r="DI129" s="1">
        <f t="shared" ca="1" si="126"/>
        <v>0.74751349742058348</v>
      </c>
      <c r="DJ129" s="1">
        <f t="shared" ca="1" si="127"/>
        <v>30</v>
      </c>
      <c r="DL129" s="1">
        <f t="shared" ca="1" si="128"/>
        <v>0.16377701676568635</v>
      </c>
      <c r="DM129" s="1">
        <f t="shared" ca="1" si="129"/>
        <v>154</v>
      </c>
      <c r="DN129" s="1">
        <f t="shared" ca="1" si="130"/>
        <v>10</v>
      </c>
    </row>
    <row r="130" spans="2:118" x14ac:dyDescent="0.25">
      <c r="B130">
        <f t="shared" ca="1" si="66"/>
        <v>886</v>
      </c>
      <c r="C130">
        <f t="shared" ca="1" si="67"/>
        <v>5</v>
      </c>
      <c r="D130">
        <f t="shared" ca="1" si="68"/>
        <v>0.10780228262164666</v>
      </c>
      <c r="F130" s="1">
        <f t="shared" ca="1" si="69"/>
        <v>19</v>
      </c>
      <c r="G130" s="1">
        <f t="shared" ca="1" si="70"/>
        <v>22</v>
      </c>
      <c r="H130" s="1">
        <f t="shared" ca="1" si="71"/>
        <v>12</v>
      </c>
      <c r="I130" s="1"/>
      <c r="J130" s="1">
        <f t="shared" ca="1" si="72"/>
        <v>29</v>
      </c>
      <c r="K130" s="1">
        <f t="shared" ca="1" si="73"/>
        <v>2.8953611970275261</v>
      </c>
      <c r="L130" s="1">
        <f t="shared" ca="1" si="74"/>
        <v>24</v>
      </c>
      <c r="M130" s="1"/>
      <c r="N130" s="1">
        <f t="shared" ca="1" si="75"/>
        <v>368</v>
      </c>
      <c r="O130" s="1">
        <f t="shared" ca="1" si="76"/>
        <v>12</v>
      </c>
      <c r="P130" s="1"/>
      <c r="Q130" s="1">
        <f t="shared" ca="1" si="77"/>
        <v>1.3756537582338357</v>
      </c>
      <c r="R130" s="1">
        <f t="shared" ca="1" si="78"/>
        <v>1039</v>
      </c>
      <c r="S130" s="1"/>
      <c r="T130" s="1">
        <f t="shared" ca="1" si="79"/>
        <v>0.13804094275142845</v>
      </c>
      <c r="U130" s="1">
        <f t="shared" ca="1" si="80"/>
        <v>181</v>
      </c>
      <c r="V130" s="1">
        <f t="shared" ca="1" si="81"/>
        <v>6</v>
      </c>
      <c r="W130" s="1"/>
      <c r="X130" s="1">
        <f t="shared" ca="1" si="82"/>
        <v>6.6368819705957538</v>
      </c>
      <c r="Y130" s="1">
        <f t="shared" ca="1" si="83"/>
        <v>0.60942492667837433</v>
      </c>
      <c r="Z130" s="1">
        <f t="shared" ca="1" si="84"/>
        <v>1039</v>
      </c>
      <c r="AB130" s="1">
        <f t="shared" ca="1" si="85"/>
        <v>0.61100461098000713</v>
      </c>
      <c r="AC130" s="1">
        <f t="shared" ca="1" si="86"/>
        <v>495</v>
      </c>
      <c r="AD130" s="1">
        <f t="shared" ca="1" si="87"/>
        <v>8.4522896841083585E-3</v>
      </c>
      <c r="AE130" s="1"/>
      <c r="AF130" s="1">
        <f t="shared" ca="1" si="88"/>
        <v>0.24567894624687334</v>
      </c>
      <c r="AG130" s="1">
        <f t="shared" ca="1" si="89"/>
        <v>429</v>
      </c>
      <c r="AH130" s="1">
        <f t="shared" ca="1" si="90"/>
        <v>7.1249026865223544E-3</v>
      </c>
      <c r="AJ130" s="1">
        <f t="shared" ca="1" si="91"/>
        <v>0.27668019841368263</v>
      </c>
      <c r="AK130" s="1">
        <f t="shared" ca="1" si="92"/>
        <v>3.6018058398097877E-3</v>
      </c>
      <c r="AL130" s="1"/>
      <c r="AM130" s="1">
        <f t="shared" ca="1" si="93"/>
        <v>1.539539481465153E-2</v>
      </c>
      <c r="AN130" s="1">
        <f t="shared" ca="1" si="94"/>
        <v>76</v>
      </c>
      <c r="AO130" s="1">
        <f t="shared" ca="1" si="95"/>
        <v>1</v>
      </c>
      <c r="AQ130" s="1">
        <f t="shared" ca="1" si="96"/>
        <v>91</v>
      </c>
      <c r="AR130" s="1">
        <f t="shared" ca="1" si="97"/>
        <v>5</v>
      </c>
      <c r="AS130" s="1">
        <f t="shared" ca="1" si="98"/>
        <v>4</v>
      </c>
      <c r="AU130" s="1">
        <f t="shared" ca="1" si="99"/>
        <v>276</v>
      </c>
      <c r="AV130" s="1">
        <f t="shared" ca="1" si="100"/>
        <v>2</v>
      </c>
      <c r="AW130" s="1">
        <f t="shared" ca="1" si="101"/>
        <v>0.14645196887730969</v>
      </c>
      <c r="AY130" s="1">
        <f t="shared" ca="1" si="102"/>
        <v>1.1071579423756475</v>
      </c>
      <c r="AZ130" s="1">
        <f t="shared" ca="1" si="103"/>
        <v>118</v>
      </c>
      <c r="BA130" s="1">
        <f t="shared" ca="1" si="104"/>
        <v>9.4120702718378322E-4</v>
      </c>
      <c r="BG130" s="1">
        <f t="shared" ca="1" si="105"/>
        <v>0.58827273101333399</v>
      </c>
      <c r="BH130" s="1">
        <f t="shared" ca="1" si="106"/>
        <v>0.3558430229416587</v>
      </c>
      <c r="BI130" s="1">
        <f t="shared" ca="1" si="107"/>
        <v>788</v>
      </c>
      <c r="BV130" s="1">
        <f t="shared" ca="1" si="108"/>
        <v>0.29097518038516779</v>
      </c>
      <c r="BW130" s="1">
        <f t="shared" ca="1" si="109"/>
        <v>641</v>
      </c>
      <c r="BX130" s="1">
        <f t="shared" ca="1" si="110"/>
        <v>8.8935116102469673E-3</v>
      </c>
      <c r="BY130" s="1">
        <f t="shared" ca="1" si="111"/>
        <v>5.290480294292607E-3</v>
      </c>
      <c r="BZ130" s="1">
        <f t="shared" ca="1" si="112"/>
        <v>0.67923801398168582</v>
      </c>
      <c r="CB130" s="1">
        <f t="shared" ca="1" si="113"/>
        <v>217</v>
      </c>
      <c r="CC130" s="1">
        <f t="shared" ca="1" si="114"/>
        <v>15</v>
      </c>
      <c r="CD130" s="1">
        <f t="shared" ca="1" si="115"/>
        <v>0.13839119424976296</v>
      </c>
      <c r="CE130" s="1">
        <f t="shared" ca="1" si="131"/>
        <v>0.6586187915653281</v>
      </c>
      <c r="CF130" s="1">
        <f t="shared" ca="1" si="131"/>
        <v>0.89226447020689637</v>
      </c>
      <c r="CH130" s="3">
        <f t="shared" ca="1" si="117"/>
        <v>0.22002992496653362</v>
      </c>
      <c r="CI130" s="3">
        <f t="shared" ca="1" si="118"/>
        <v>0.54244505274382726</v>
      </c>
      <c r="CJ130" s="3">
        <f t="shared" ca="1" si="119"/>
        <v>1583</v>
      </c>
      <c r="CK130" s="3">
        <f t="shared" ca="1" si="120"/>
        <v>8.9804213066393204E-3</v>
      </c>
      <c r="CL130" s="3">
        <f t="shared" ca="1" si="121"/>
        <v>1</v>
      </c>
      <c r="CM130" s="3"/>
      <c r="CN130" s="1">
        <f t="shared" ca="1" si="122"/>
        <v>5.6884898119706868</v>
      </c>
      <c r="CO130" s="1">
        <f t="shared" ca="1" si="123"/>
        <v>2.3497878733046793E-3</v>
      </c>
      <c r="CP130" s="1">
        <f t="shared" ca="1" si="124"/>
        <v>4</v>
      </c>
      <c r="DH130" s="1">
        <f t="shared" ca="1" si="125"/>
        <v>594</v>
      </c>
      <c r="DI130" s="1">
        <f t="shared" ca="1" si="126"/>
        <v>0.82475981233716822</v>
      </c>
      <c r="DJ130" s="1">
        <f t="shared" ca="1" si="127"/>
        <v>17</v>
      </c>
      <c r="DL130" s="1">
        <f t="shared" ca="1" si="128"/>
        <v>0.19921525062675802</v>
      </c>
      <c r="DM130" s="1">
        <f t="shared" ca="1" si="129"/>
        <v>56</v>
      </c>
      <c r="DN130" s="1">
        <f t="shared" ca="1" si="130"/>
        <v>4</v>
      </c>
    </row>
    <row r="131" spans="2:118" x14ac:dyDescent="0.25">
      <c r="B131">
        <f t="shared" ca="1" si="66"/>
        <v>945</v>
      </c>
      <c r="C131">
        <f t="shared" ca="1" si="67"/>
        <v>8</v>
      </c>
      <c r="D131">
        <f t="shared" ca="1" si="68"/>
        <v>8.4039573435273435E-2</v>
      </c>
      <c r="F131" s="1">
        <f t="shared" ca="1" si="69"/>
        <v>10</v>
      </c>
      <c r="G131" s="1">
        <f t="shared" ca="1" si="70"/>
        <v>19</v>
      </c>
      <c r="H131" s="1">
        <f t="shared" ca="1" si="71"/>
        <v>3</v>
      </c>
      <c r="I131" s="1"/>
      <c r="J131" s="1">
        <f t="shared" ca="1" si="72"/>
        <v>30</v>
      </c>
      <c r="K131" s="1">
        <f t="shared" ca="1" si="73"/>
        <v>2.1889203540731872</v>
      </c>
      <c r="L131" s="1">
        <f t="shared" ca="1" si="74"/>
        <v>2</v>
      </c>
      <c r="M131" s="1"/>
      <c r="N131" s="1">
        <f t="shared" ca="1" si="75"/>
        <v>960</v>
      </c>
      <c r="O131" s="1">
        <f t="shared" ca="1" si="76"/>
        <v>50</v>
      </c>
      <c r="P131" s="1"/>
      <c r="Q131" s="1">
        <f t="shared" ca="1" si="77"/>
        <v>4.4244171829006085</v>
      </c>
      <c r="R131" s="1">
        <f t="shared" ca="1" si="78"/>
        <v>479</v>
      </c>
      <c r="S131" s="1"/>
      <c r="T131" s="1">
        <f t="shared" ca="1" si="79"/>
        <v>9.3203041132629588E-2</v>
      </c>
      <c r="U131" s="1">
        <f t="shared" ca="1" si="80"/>
        <v>71</v>
      </c>
      <c r="V131" s="1">
        <f t="shared" ca="1" si="81"/>
        <v>30</v>
      </c>
      <c r="W131" s="1"/>
      <c r="X131" s="1">
        <f t="shared" ca="1" si="82"/>
        <v>3.1908991349777152</v>
      </c>
      <c r="Y131" s="1">
        <f t="shared" ca="1" si="83"/>
        <v>0.46696541180231316</v>
      </c>
      <c r="Z131" s="1">
        <f t="shared" ca="1" si="84"/>
        <v>1959</v>
      </c>
      <c r="AB131" s="1">
        <f t="shared" ca="1" si="85"/>
        <v>0.10538230296729162</v>
      </c>
      <c r="AC131" s="1">
        <f t="shared" ca="1" si="86"/>
        <v>611</v>
      </c>
      <c r="AD131" s="1">
        <f t="shared" ca="1" si="87"/>
        <v>8.6831730881078515E-3</v>
      </c>
      <c r="AE131" s="1"/>
      <c r="AF131" s="1">
        <f t="shared" ca="1" si="88"/>
        <v>0.7585573604952689</v>
      </c>
      <c r="AG131" s="1">
        <f t="shared" ca="1" si="89"/>
        <v>982</v>
      </c>
      <c r="AH131" s="1">
        <f t="shared" ca="1" si="90"/>
        <v>6.5446016194779686E-3</v>
      </c>
      <c r="AJ131" s="1">
        <f t="shared" ca="1" si="91"/>
        <v>1.93711578124941E-2</v>
      </c>
      <c r="AK131" s="1">
        <f t="shared" ca="1" si="92"/>
        <v>4.3164155554794442E-3</v>
      </c>
      <c r="AL131" s="1"/>
      <c r="AM131" s="1">
        <f t="shared" ca="1" si="93"/>
        <v>3.8134765042972425E-2</v>
      </c>
      <c r="AN131" s="1">
        <f t="shared" ca="1" si="94"/>
        <v>42</v>
      </c>
      <c r="AO131" s="1">
        <f t="shared" ca="1" si="95"/>
        <v>17</v>
      </c>
      <c r="AQ131" s="1">
        <f t="shared" ca="1" si="96"/>
        <v>23</v>
      </c>
      <c r="AR131" s="1">
        <f t="shared" ca="1" si="97"/>
        <v>5</v>
      </c>
      <c r="AS131" s="1">
        <f t="shared" ca="1" si="98"/>
        <v>74</v>
      </c>
      <c r="AU131" s="1">
        <f t="shared" ca="1" si="99"/>
        <v>376</v>
      </c>
      <c r="AV131" s="1">
        <f t="shared" ca="1" si="100"/>
        <v>7</v>
      </c>
      <c r="AW131" s="1">
        <f t="shared" ca="1" si="101"/>
        <v>0.1739628961335041</v>
      </c>
      <c r="AY131" s="1">
        <f t="shared" ca="1" si="102"/>
        <v>1.1807378673406725</v>
      </c>
      <c r="AZ131" s="1">
        <f t="shared" ca="1" si="103"/>
        <v>269</v>
      </c>
      <c r="BA131" s="1">
        <f t="shared" ca="1" si="104"/>
        <v>1.959281515567362E-3</v>
      </c>
      <c r="BG131" s="1">
        <f t="shared" ca="1" si="105"/>
        <v>0.53673973178095169</v>
      </c>
      <c r="BH131" s="1">
        <f t="shared" ca="1" si="106"/>
        <v>0.24529993532884187</v>
      </c>
      <c r="BI131" s="1">
        <f t="shared" ca="1" si="107"/>
        <v>577</v>
      </c>
      <c r="BV131" s="1">
        <f t="shared" ca="1" si="108"/>
        <v>0.22885856696348655</v>
      </c>
      <c r="BW131" s="1">
        <f t="shared" ca="1" si="109"/>
        <v>845</v>
      </c>
      <c r="BX131" s="1">
        <f t="shared" ca="1" si="110"/>
        <v>4.9513201256099482E-3</v>
      </c>
      <c r="BY131" s="1">
        <f t="shared" ca="1" si="111"/>
        <v>4.674677170251134E-2</v>
      </c>
      <c r="BZ131" s="1">
        <f t="shared" ca="1" si="112"/>
        <v>8.8552254961967392E-2</v>
      </c>
      <c r="CB131" s="1">
        <f t="shared" ca="1" si="113"/>
        <v>271</v>
      </c>
      <c r="CC131" s="1">
        <f t="shared" ca="1" si="114"/>
        <v>11</v>
      </c>
      <c r="CD131" s="1">
        <f t="shared" ca="1" si="115"/>
        <v>1.7905407839857196E-2</v>
      </c>
      <c r="CE131" s="1">
        <f t="shared" ca="1" si="131"/>
        <v>0.91821166273616628</v>
      </c>
      <c r="CF131" s="1">
        <f t="shared" ca="1" si="131"/>
        <v>0.72061370258300639</v>
      </c>
      <c r="CH131" s="3">
        <f t="shared" ca="1" si="117"/>
        <v>0.89519944533323503</v>
      </c>
      <c r="CI131" s="3">
        <f t="shared" ca="1" si="118"/>
        <v>0.45684293505901635</v>
      </c>
      <c r="CJ131" s="3">
        <f t="shared" ca="1" si="119"/>
        <v>1408</v>
      </c>
      <c r="CK131" s="3">
        <f t="shared" ca="1" si="120"/>
        <v>4.3984852375324899E-3</v>
      </c>
      <c r="CL131" s="3">
        <f t="shared" ca="1" si="121"/>
        <v>0</v>
      </c>
      <c r="CM131" s="3"/>
      <c r="CN131" s="1">
        <f t="shared" ca="1" si="122"/>
        <v>12.155624758821084</v>
      </c>
      <c r="CO131" s="1">
        <f t="shared" ca="1" si="123"/>
        <v>9.8215653638456982E-2</v>
      </c>
      <c r="CP131" s="1">
        <f t="shared" ca="1" si="124"/>
        <v>1</v>
      </c>
      <c r="DH131" s="1">
        <f t="shared" ca="1" si="125"/>
        <v>155</v>
      </c>
      <c r="DI131" s="1">
        <f t="shared" ca="1" si="126"/>
        <v>0.60544634893620763</v>
      </c>
      <c r="DJ131" s="1">
        <f t="shared" ca="1" si="127"/>
        <v>25</v>
      </c>
      <c r="DL131" s="1">
        <f t="shared" ca="1" si="128"/>
        <v>8.5366608009893485E-2</v>
      </c>
      <c r="DM131" s="1">
        <f t="shared" ca="1" si="129"/>
        <v>135</v>
      </c>
      <c r="DN131" s="1">
        <f t="shared" ca="1" si="130"/>
        <v>1</v>
      </c>
    </row>
    <row r="132" spans="2:118" x14ac:dyDescent="0.25">
      <c r="B132">
        <f t="shared" ref="B132:B195" ca="1" si="132">RANDBETWEEN(15,1000)</f>
        <v>53</v>
      </c>
      <c r="C132">
        <f t="shared" ref="C132:C195" ca="1" si="133">RANDBETWEEN(2,52)</f>
        <v>50</v>
      </c>
      <c r="D132">
        <f t="shared" ref="D132:D195" ca="1" si="134">RAND()*(0.3-0.01)+0.01</f>
        <v>0.10424827797740065</v>
      </c>
      <c r="F132" s="1">
        <f t="shared" ref="F132:F195" ca="1" si="135">RANDBETWEEN(2,52)</f>
        <v>49</v>
      </c>
      <c r="G132" s="1">
        <f t="shared" ref="G132:G195" ca="1" si="136">RANDBETWEEN(2,30)</f>
        <v>9</v>
      </c>
      <c r="H132" s="1">
        <f t="shared" ref="H132:H195" ca="1" si="137">RANDBETWEEN(1,15)</f>
        <v>13</v>
      </c>
      <c r="I132" s="1"/>
      <c r="J132" s="1">
        <f t="shared" ref="J132:J195" ca="1" si="138">RANDBETWEEN(1,39)</f>
        <v>39</v>
      </c>
      <c r="K132" s="1">
        <f t="shared" ref="K132:K195" ca="1" si="139">RAND()*(3-1)+1</f>
        <v>1.3411688875801617</v>
      </c>
      <c r="L132" s="1">
        <f t="shared" ref="L132:L195" ca="1" si="140">RANDBETWEEN(2,35)</f>
        <v>32</v>
      </c>
      <c r="M132" s="1"/>
      <c r="N132" s="1">
        <f t="shared" ref="N132:N195" ca="1" si="141">RANDBETWEEN(15,1000)</f>
        <v>626</v>
      </c>
      <c r="O132" s="1">
        <f t="shared" ref="O132:O195" ca="1" si="142">RANDBETWEEN(2,52)</f>
        <v>40</v>
      </c>
      <c r="P132" s="1"/>
      <c r="Q132" s="1">
        <f t="shared" ref="Q132:Q195" ca="1" si="143">RAND()*(5-0.01)+0.01</f>
        <v>1.3333608775698995</v>
      </c>
      <c r="R132" s="1">
        <f t="shared" ref="R132:R195" ca="1" si="144">RANDBETWEEN(200,1200)</f>
        <v>299</v>
      </c>
      <c r="S132" s="1"/>
      <c r="T132" s="1">
        <f t="shared" ref="T132:T195" ca="1" si="145">RAND()*(0.2-0.01)+0.01</f>
        <v>0.14633253975696578</v>
      </c>
      <c r="U132" s="1">
        <f t="shared" ref="U132:U195" ca="1" si="146">RANDBETWEEN(50,450)</f>
        <v>176</v>
      </c>
      <c r="V132" s="1">
        <f t="shared" ref="V132:V195" ca="1" si="147">RANDBETWEEN(2,52)</f>
        <v>41</v>
      </c>
      <c r="W132" s="1"/>
      <c r="X132" s="1">
        <f t="shared" ref="X132:X195" ca="1" si="148">RAND()*(10-0.01)+0.01</f>
        <v>0.31102247516201198</v>
      </c>
      <c r="Y132" s="1">
        <f t="shared" ref="Y132:Y195" ca="1" si="149">RAND()*(1-0.0001)+0.0001</f>
        <v>6.848267786049754E-2</v>
      </c>
      <c r="Z132" s="1">
        <f t="shared" ref="Z132:Z195" ca="1" si="150">RANDBETWEEN(100,2000)</f>
        <v>700</v>
      </c>
      <c r="AB132" s="1">
        <f t="shared" ref="AB132:AB195" ca="1" si="151">RAND()*(1-0.0001)+0.0001</f>
        <v>7.6697738040586425E-2</v>
      </c>
      <c r="AC132" s="1">
        <f t="shared" ref="AC132:AC195" ca="1" si="152">RANDBETWEEN(100,1000)</f>
        <v>332</v>
      </c>
      <c r="AD132" s="1">
        <f t="shared" ref="AD132:AD195" ca="1" si="153">RAND()*(0.01-0.00001)+0.00001</f>
        <v>3.7048866078441879E-3</v>
      </c>
      <c r="AE132" s="1"/>
      <c r="AF132" s="1">
        <f t="shared" ref="AF132:AF195" ca="1" si="154">RAND()*(0.9-0.1)+0.1</f>
        <v>0.85731141127448829</v>
      </c>
      <c r="AG132" s="1">
        <f t="shared" ref="AG132:AG195" ca="1" si="155">RANDBETWEEN(100,1000)</f>
        <v>234</v>
      </c>
      <c r="AH132" s="1">
        <f t="shared" ref="AH132:AH195" ca="1" si="156">RAND()*(0.01-0.00001)+0.00001</f>
        <v>9.6630846824017243E-3</v>
      </c>
      <c r="AJ132" s="1">
        <f t="shared" ref="AJ132:AJ195" ca="1" si="157">RAND()*(1-0)+0</f>
        <v>0.77125244581318397</v>
      </c>
      <c r="AK132" s="1">
        <f t="shared" ref="AK132:AK195" ca="1" si="158">RAND()*(0.01-0.00001)+0.00001</f>
        <v>3.0413192384805901E-3</v>
      </c>
      <c r="AL132" s="1"/>
      <c r="AM132" s="1">
        <f t="shared" ref="AM132:AM195" ca="1" si="159">RAND()*(0.2-0.005)+0.005</f>
        <v>3.4064544256158069E-2</v>
      </c>
      <c r="AN132" s="1">
        <f t="shared" ref="AN132:AN195" ca="1" si="160">RANDBETWEEN(10,80)</f>
        <v>56</v>
      </c>
      <c r="AO132" s="1">
        <f t="shared" ref="AO132:AO195" ca="1" si="161">RANDBETWEEN(-1,20)</f>
        <v>-1</v>
      </c>
      <c r="AQ132" s="1">
        <f t="shared" ref="AQ132:AQ195" ca="1" si="162">RANDBETWEEN(10,200)</f>
        <v>66</v>
      </c>
      <c r="AR132" s="1">
        <f t="shared" ref="AR132:AR195" ca="1" si="163">RANDBETWEEN(0,10)</f>
        <v>6</v>
      </c>
      <c r="AS132" s="1">
        <f t="shared" ref="AS132:AS195" ca="1" si="164">RANDBETWEEN(1,100)</f>
        <v>2</v>
      </c>
      <c r="AU132" s="1">
        <f t="shared" ref="AU132:AU195" ca="1" si="165">RANDBETWEEN(50,400)</f>
        <v>289</v>
      </c>
      <c r="AV132" s="1">
        <f t="shared" ref="AV132:AV195" ca="1" si="166">RANDBETWEEN(2,10)</f>
        <v>6</v>
      </c>
      <c r="AW132" s="1">
        <f t="shared" ref="AW132:AW195" ca="1" si="167">RAND()*(0.2-0.01)+0.01</f>
        <v>0.19496237192247476</v>
      </c>
      <c r="AY132" s="1">
        <f t="shared" ref="AY132:AY195" ca="1" si="168">RAND()*(2-1.1)+1.1</f>
        <v>1.9819980600521392</v>
      </c>
      <c r="AZ132" s="1">
        <f t="shared" ref="AZ132:AZ195" ca="1" si="169">RANDBETWEEN(50,500)</f>
        <v>171</v>
      </c>
      <c r="BA132" s="1">
        <f t="shared" ref="BA132:BA195" ca="1" si="170">RAND()*(0.01-0.00001)+0.00001</f>
        <v>2.0335281761265714E-3</v>
      </c>
      <c r="BG132" s="1">
        <f t="shared" ref="BG132:BG195" ca="1" si="171">RAND()*(1-0.0001)+0.0001</f>
        <v>0.23691476613592441</v>
      </c>
      <c r="BH132" s="1">
        <f t="shared" ref="BH132:BH195" ca="1" si="172">RAND()*(1-0)+0</f>
        <v>0.37522340708480051</v>
      </c>
      <c r="BI132" s="1">
        <f t="shared" ref="BI132:BI195" ca="1" si="173">RANDBETWEEN(100,1000)</f>
        <v>680</v>
      </c>
      <c r="BV132" s="1">
        <f t="shared" ref="BV132:BV195" ca="1" si="174">RAND()*(1-0.0001)+0.0001</f>
        <v>0.8324934625499818</v>
      </c>
      <c r="BW132" s="1">
        <f t="shared" ref="BW132:BW195" ca="1" si="175">RANDBETWEEN(100,1000)</f>
        <v>513</v>
      </c>
      <c r="BX132" s="1">
        <f t="shared" ref="BX132:BX195" ca="1" si="176">RAND()*(0.01-0.00001)+0.00001</f>
        <v>7.213240808851217E-3</v>
      </c>
      <c r="BY132" s="1">
        <f t="shared" ref="BY132:BY195" ca="1" si="177">RAND()*(0.1-0.0001)+0.0001</f>
        <v>6.3950402695599984E-2</v>
      </c>
      <c r="BZ132" s="1">
        <f t="shared" ref="BZ132:BZ195" ca="1" si="178">RAND()*(1-0)+0</f>
        <v>0.38332849650044409</v>
      </c>
      <c r="CB132" s="1">
        <f t="shared" ref="CB132:CB195" ca="1" si="179">RANDBETWEEN(50,500)</f>
        <v>483</v>
      </c>
      <c r="CC132" s="1">
        <f t="shared" ref="CC132:CC195" ca="1" si="180">RANDBETWEEN(3,15)</f>
        <v>3</v>
      </c>
      <c r="CD132" s="1">
        <f t="shared" ref="CD132:CD195" ca="1" si="181">RAND()*(0.3-0.01)+0.01</f>
        <v>3.7411060597642584E-2</v>
      </c>
      <c r="CE132" s="1">
        <f t="shared" ref="CE132:CF163" ca="1" si="182">RAND()*(1-0.5)+0.5</f>
        <v>0.68912623594761735</v>
      </c>
      <c r="CF132" s="1">
        <f t="shared" ca="1" si="182"/>
        <v>0.5947015353753079</v>
      </c>
      <c r="CH132" s="3">
        <f t="shared" ref="CH132:CH195" ca="1" si="183">RAND()*(1-0.0001)+0.0001</f>
        <v>0.99670146965091577</v>
      </c>
      <c r="CI132" s="3">
        <f t="shared" ref="CI132:CI195" ca="1" si="184">RAND()*(0.99-0.01)+0.01</f>
        <v>0.49668315244048405</v>
      </c>
      <c r="CJ132" s="3">
        <f t="shared" ref="CJ132:CJ195" ca="1" si="185">RANDBETWEEN(100,2000)</f>
        <v>769</v>
      </c>
      <c r="CK132" s="3">
        <f t="shared" ref="CK132:CK195" ca="1" si="186">RAND()*(0.01-0.000001)+0.000001</f>
        <v>9.9998757462136656E-3</v>
      </c>
      <c r="CL132" s="3">
        <f t="shared" ref="CL132:CL195" ca="1" si="187">RANDBETWEEN(0,1)</f>
        <v>1</v>
      </c>
      <c r="CM132" s="3"/>
      <c r="CN132" s="1">
        <f t="shared" ref="CN132:CN195" ca="1" si="188">RAND()*(20-0.1)+0.1</f>
        <v>2.4891127031706386</v>
      </c>
      <c r="CO132" s="1">
        <f t="shared" ref="CO132:CO195" ca="1" si="189">RAND()*(0.5-0.001)+0.001</f>
        <v>0.16276873515438359</v>
      </c>
      <c r="CP132" s="1">
        <f t="shared" ref="CP132:CP195" ca="1" si="190">RANDBETWEEN(1,5)</f>
        <v>4</v>
      </c>
      <c r="DH132" s="1">
        <f t="shared" ref="DH132:DH195" ca="1" si="191">RANDBETWEEN(10,900)</f>
        <v>241</v>
      </c>
      <c r="DI132" s="1">
        <f t="shared" ref="DI132:DI195" ca="1" si="192">RAND()*(1-0.001)+0.001</f>
        <v>0.55055134523734406</v>
      </c>
      <c r="DJ132" s="1">
        <f t="shared" ref="DJ132:DJ195" ca="1" si="193">RANDBETWEEN(1,30)</f>
        <v>10</v>
      </c>
      <c r="DL132" s="1">
        <f t="shared" ref="DL132:DL195" ca="1" si="194">RAND()*(0.2-0.01)+0.01</f>
        <v>3.1535677717379161E-2</v>
      </c>
      <c r="DM132" s="1">
        <f t="shared" ref="DM132:DM195" ca="1" si="195">RANDBETWEEN(50,300)</f>
        <v>150</v>
      </c>
      <c r="DN132" s="1">
        <f t="shared" ref="DN132:DN195" ca="1" si="196">RANDBETWEEN(1,10)</f>
        <v>2</v>
      </c>
    </row>
    <row r="133" spans="2:118" x14ac:dyDescent="0.25">
      <c r="B133">
        <f t="shared" ca="1" si="132"/>
        <v>850</v>
      </c>
      <c r="C133">
        <f t="shared" ca="1" si="133"/>
        <v>28</v>
      </c>
      <c r="D133">
        <f t="shared" ca="1" si="134"/>
        <v>8.1987799005052542E-2</v>
      </c>
      <c r="F133" s="1">
        <f t="shared" ca="1" si="135"/>
        <v>30</v>
      </c>
      <c r="G133" s="1">
        <f t="shared" ca="1" si="136"/>
        <v>11</v>
      </c>
      <c r="H133" s="1">
        <f t="shared" ca="1" si="137"/>
        <v>3</v>
      </c>
      <c r="I133" s="1"/>
      <c r="J133" s="1">
        <f t="shared" ca="1" si="138"/>
        <v>17</v>
      </c>
      <c r="K133" s="1">
        <f t="shared" ca="1" si="139"/>
        <v>2.5845363360586973</v>
      </c>
      <c r="L133" s="1">
        <f t="shared" ca="1" si="140"/>
        <v>19</v>
      </c>
      <c r="M133" s="1"/>
      <c r="N133" s="1">
        <f t="shared" ca="1" si="141"/>
        <v>214</v>
      </c>
      <c r="O133" s="1">
        <f t="shared" ca="1" si="142"/>
        <v>20</v>
      </c>
      <c r="P133" s="1"/>
      <c r="Q133" s="1">
        <f t="shared" ca="1" si="143"/>
        <v>1.918723851951702</v>
      </c>
      <c r="R133" s="1">
        <f t="shared" ca="1" si="144"/>
        <v>965</v>
      </c>
      <c r="S133" s="1"/>
      <c r="T133" s="1">
        <f t="shared" ca="1" si="145"/>
        <v>2.7846641052160941E-2</v>
      </c>
      <c r="U133" s="1">
        <f t="shared" ca="1" si="146"/>
        <v>379</v>
      </c>
      <c r="V133" s="1">
        <f t="shared" ca="1" si="147"/>
        <v>4</v>
      </c>
      <c r="W133" s="1"/>
      <c r="X133" s="1">
        <f t="shared" ca="1" si="148"/>
        <v>2.1710334219124712</v>
      </c>
      <c r="Y133" s="1">
        <f t="shared" ca="1" si="149"/>
        <v>0.53549743227484425</v>
      </c>
      <c r="Z133" s="1">
        <f t="shared" ca="1" si="150"/>
        <v>251</v>
      </c>
      <c r="AB133" s="1">
        <f t="shared" ca="1" si="151"/>
        <v>0.48957685705652859</v>
      </c>
      <c r="AC133" s="1">
        <f t="shared" ca="1" si="152"/>
        <v>287</v>
      </c>
      <c r="AD133" s="1">
        <f t="shared" ca="1" si="153"/>
        <v>7.0658511983964743E-3</v>
      </c>
      <c r="AE133" s="1"/>
      <c r="AF133" s="1">
        <f t="shared" ca="1" si="154"/>
        <v>0.4248678061306348</v>
      </c>
      <c r="AG133" s="1">
        <f t="shared" ca="1" si="155"/>
        <v>515</v>
      </c>
      <c r="AH133" s="1">
        <f t="shared" ca="1" si="156"/>
        <v>1.0243392477625338E-3</v>
      </c>
      <c r="AJ133" s="1">
        <f t="shared" ca="1" si="157"/>
        <v>0.40926602463206752</v>
      </c>
      <c r="AK133" s="1">
        <f t="shared" ca="1" si="158"/>
        <v>2.3002180113346261E-3</v>
      </c>
      <c r="AL133" s="1"/>
      <c r="AM133" s="1">
        <f t="shared" ca="1" si="159"/>
        <v>5.3257763445450697E-2</v>
      </c>
      <c r="AN133" s="1">
        <f t="shared" ca="1" si="160"/>
        <v>75</v>
      </c>
      <c r="AO133" s="1">
        <f t="shared" ca="1" si="161"/>
        <v>13</v>
      </c>
      <c r="AQ133" s="1">
        <f t="shared" ca="1" si="162"/>
        <v>158</v>
      </c>
      <c r="AR133" s="1">
        <f t="shared" ca="1" si="163"/>
        <v>1</v>
      </c>
      <c r="AS133" s="1">
        <f t="shared" ca="1" si="164"/>
        <v>57</v>
      </c>
      <c r="AU133" s="1">
        <f t="shared" ca="1" si="165"/>
        <v>258</v>
      </c>
      <c r="AV133" s="1">
        <f t="shared" ca="1" si="166"/>
        <v>2</v>
      </c>
      <c r="AW133" s="1">
        <f t="shared" ca="1" si="167"/>
        <v>0.14009775086408316</v>
      </c>
      <c r="AY133" s="1">
        <f t="shared" ca="1" si="168"/>
        <v>1.9214562973284441</v>
      </c>
      <c r="AZ133" s="1">
        <f t="shared" ca="1" si="169"/>
        <v>453</v>
      </c>
      <c r="BA133" s="1">
        <f t="shared" ca="1" si="170"/>
        <v>8.5159856168856539E-3</v>
      </c>
      <c r="BG133" s="1">
        <f t="shared" ca="1" si="171"/>
        <v>0.51478626875749611</v>
      </c>
      <c r="BH133" s="1">
        <f t="shared" ca="1" si="172"/>
        <v>0.6525409852065347</v>
      </c>
      <c r="BI133" s="1">
        <f t="shared" ca="1" si="173"/>
        <v>961</v>
      </c>
      <c r="BV133" s="1">
        <f t="shared" ca="1" si="174"/>
        <v>0.35918380693896174</v>
      </c>
      <c r="BW133" s="1">
        <f t="shared" ca="1" si="175"/>
        <v>732</v>
      </c>
      <c r="BX133" s="1">
        <f t="shared" ca="1" si="176"/>
        <v>3.5238623774841811E-3</v>
      </c>
      <c r="BY133" s="1">
        <f t="shared" ca="1" si="177"/>
        <v>1.1975584066177406E-2</v>
      </c>
      <c r="BZ133" s="1">
        <f t="shared" ca="1" si="178"/>
        <v>5.8558520427212657E-2</v>
      </c>
      <c r="CB133" s="1">
        <f t="shared" ca="1" si="179"/>
        <v>395</v>
      </c>
      <c r="CC133" s="1">
        <f t="shared" ca="1" si="180"/>
        <v>11</v>
      </c>
      <c r="CD133" s="1">
        <f t="shared" ca="1" si="181"/>
        <v>4.4564257767670083E-2</v>
      </c>
      <c r="CE133" s="1">
        <f t="shared" ca="1" si="182"/>
        <v>0.82847106565155237</v>
      </c>
      <c r="CF133" s="1">
        <f t="shared" ca="1" si="182"/>
        <v>0.51894707213164304</v>
      </c>
      <c r="CH133" s="3">
        <f t="shared" ca="1" si="183"/>
        <v>0.44587455566204914</v>
      </c>
      <c r="CI133" s="3">
        <f t="shared" ca="1" si="184"/>
        <v>0.42640010582142507</v>
      </c>
      <c r="CJ133" s="3">
        <f t="shared" ca="1" si="185"/>
        <v>1566</v>
      </c>
      <c r="CK133" s="3">
        <f t="shared" ca="1" si="186"/>
        <v>6.5119151338114481E-3</v>
      </c>
      <c r="CL133" s="3">
        <f t="shared" ca="1" si="187"/>
        <v>1</v>
      </c>
      <c r="CM133" s="3"/>
      <c r="CN133" s="1">
        <f t="shared" ca="1" si="188"/>
        <v>9.1576653411226818</v>
      </c>
      <c r="CO133" s="1">
        <f t="shared" ca="1" si="189"/>
        <v>0.12908275613715975</v>
      </c>
      <c r="CP133" s="1">
        <f t="shared" ca="1" si="190"/>
        <v>4</v>
      </c>
      <c r="DH133" s="1">
        <f t="shared" ca="1" si="191"/>
        <v>723</v>
      </c>
      <c r="DI133" s="1">
        <f t="shared" ca="1" si="192"/>
        <v>0.84588284972137617</v>
      </c>
      <c r="DJ133" s="1">
        <f t="shared" ca="1" si="193"/>
        <v>19</v>
      </c>
      <c r="DL133" s="1">
        <f t="shared" ca="1" si="194"/>
        <v>0.16143845230773393</v>
      </c>
      <c r="DM133" s="1">
        <f t="shared" ca="1" si="195"/>
        <v>243</v>
      </c>
      <c r="DN133" s="1">
        <f t="shared" ca="1" si="196"/>
        <v>7</v>
      </c>
    </row>
    <row r="134" spans="2:118" x14ac:dyDescent="0.25">
      <c r="B134">
        <f t="shared" ca="1" si="132"/>
        <v>697</v>
      </c>
      <c r="C134">
        <f t="shared" ca="1" si="133"/>
        <v>28</v>
      </c>
      <c r="D134">
        <f t="shared" ca="1" si="134"/>
        <v>1.358782076198678E-2</v>
      </c>
      <c r="F134" s="1">
        <f t="shared" ca="1" si="135"/>
        <v>52</v>
      </c>
      <c r="G134" s="1">
        <f t="shared" ca="1" si="136"/>
        <v>29</v>
      </c>
      <c r="H134" s="1">
        <f t="shared" ca="1" si="137"/>
        <v>10</v>
      </c>
      <c r="I134" s="1"/>
      <c r="J134" s="1">
        <f t="shared" ca="1" si="138"/>
        <v>19</v>
      </c>
      <c r="K134" s="1">
        <f t="shared" ca="1" si="139"/>
        <v>2.3235196291778561</v>
      </c>
      <c r="L134" s="1">
        <f t="shared" ca="1" si="140"/>
        <v>9</v>
      </c>
      <c r="M134" s="1"/>
      <c r="N134" s="1">
        <f t="shared" ca="1" si="141"/>
        <v>616</v>
      </c>
      <c r="O134" s="1">
        <f t="shared" ca="1" si="142"/>
        <v>34</v>
      </c>
      <c r="P134" s="1"/>
      <c r="Q134" s="1">
        <f t="shared" ca="1" si="143"/>
        <v>4.8773491825128872</v>
      </c>
      <c r="R134" s="1">
        <f t="shared" ca="1" si="144"/>
        <v>451</v>
      </c>
      <c r="S134" s="1"/>
      <c r="T134" s="1">
        <f t="shared" ca="1" si="145"/>
        <v>0.11892530907861039</v>
      </c>
      <c r="U134" s="1">
        <f t="shared" ca="1" si="146"/>
        <v>325</v>
      </c>
      <c r="V134" s="1">
        <f t="shared" ca="1" si="147"/>
        <v>44</v>
      </c>
      <c r="W134" s="1"/>
      <c r="X134" s="1">
        <f t="shared" ca="1" si="148"/>
        <v>0.37966821263039369</v>
      </c>
      <c r="Y134" s="1">
        <f t="shared" ca="1" si="149"/>
        <v>0.41132713605294352</v>
      </c>
      <c r="Z134" s="1">
        <f t="shared" ca="1" si="150"/>
        <v>336</v>
      </c>
      <c r="AB134" s="1">
        <f t="shared" ca="1" si="151"/>
        <v>0.20276999204159149</v>
      </c>
      <c r="AC134" s="1">
        <f t="shared" ca="1" si="152"/>
        <v>678</v>
      </c>
      <c r="AD134" s="1">
        <f t="shared" ca="1" si="153"/>
        <v>5.051206800173022E-4</v>
      </c>
      <c r="AE134" s="1"/>
      <c r="AF134" s="1">
        <f t="shared" ca="1" si="154"/>
        <v>0.4442965386228841</v>
      </c>
      <c r="AG134" s="1">
        <f t="shared" ca="1" si="155"/>
        <v>613</v>
      </c>
      <c r="AH134" s="1">
        <f t="shared" ca="1" si="156"/>
        <v>1.0191363517322572E-3</v>
      </c>
      <c r="AJ134" s="1">
        <f t="shared" ca="1" si="157"/>
        <v>0.95967083386661423</v>
      </c>
      <c r="AK134" s="1">
        <f t="shared" ca="1" si="158"/>
        <v>9.8036271599870103E-3</v>
      </c>
      <c r="AL134" s="1"/>
      <c r="AM134" s="1">
        <f t="shared" ca="1" si="159"/>
        <v>6.8392026412759571E-2</v>
      </c>
      <c r="AN134" s="1">
        <f t="shared" ca="1" si="160"/>
        <v>43</v>
      </c>
      <c r="AO134" s="1">
        <f t="shared" ca="1" si="161"/>
        <v>0</v>
      </c>
      <c r="AQ134" s="1">
        <f t="shared" ca="1" si="162"/>
        <v>125</v>
      </c>
      <c r="AR134" s="1">
        <f t="shared" ca="1" si="163"/>
        <v>3</v>
      </c>
      <c r="AS134" s="1">
        <f t="shared" ca="1" si="164"/>
        <v>53</v>
      </c>
      <c r="AU134" s="1">
        <f t="shared" ca="1" si="165"/>
        <v>363</v>
      </c>
      <c r="AV134" s="1">
        <f t="shared" ca="1" si="166"/>
        <v>7</v>
      </c>
      <c r="AW134" s="1">
        <f t="shared" ca="1" si="167"/>
        <v>0.13090571937707313</v>
      </c>
      <c r="AY134" s="1">
        <f t="shared" ca="1" si="168"/>
        <v>1.6663789687362269</v>
      </c>
      <c r="AZ134" s="1">
        <f t="shared" ca="1" si="169"/>
        <v>326</v>
      </c>
      <c r="BA134" s="1">
        <f t="shared" ca="1" si="170"/>
        <v>8.6518295070960195E-3</v>
      </c>
      <c r="BG134" s="1">
        <f t="shared" ca="1" si="171"/>
        <v>0.38118682255014014</v>
      </c>
      <c r="BH134" s="1">
        <f t="shared" ca="1" si="172"/>
        <v>7.8420699229509561E-2</v>
      </c>
      <c r="BI134" s="1">
        <f t="shared" ca="1" si="173"/>
        <v>351</v>
      </c>
      <c r="BV134" s="1">
        <f t="shared" ca="1" si="174"/>
        <v>0.6605763917872387</v>
      </c>
      <c r="BW134" s="1">
        <f t="shared" ca="1" si="175"/>
        <v>764</v>
      </c>
      <c r="BX134" s="1">
        <f t="shared" ca="1" si="176"/>
        <v>8.6769080733095621E-3</v>
      </c>
      <c r="BY134" s="1">
        <f t="shared" ca="1" si="177"/>
        <v>7.280602081702886E-2</v>
      </c>
      <c r="BZ134" s="1">
        <f t="shared" ca="1" si="178"/>
        <v>0.42202809500881611</v>
      </c>
      <c r="CB134" s="1">
        <f t="shared" ca="1" si="179"/>
        <v>83</v>
      </c>
      <c r="CC134" s="1">
        <f t="shared" ca="1" si="180"/>
        <v>4</v>
      </c>
      <c r="CD134" s="1">
        <f t="shared" ca="1" si="181"/>
        <v>0.28417547988493341</v>
      </c>
      <c r="CE134" s="1">
        <f t="shared" ca="1" si="182"/>
        <v>0.60764341779038245</v>
      </c>
      <c r="CF134" s="1">
        <f t="shared" ca="1" si="182"/>
        <v>0.62739203715890035</v>
      </c>
      <c r="CH134" s="3">
        <f t="shared" ca="1" si="183"/>
        <v>0.94325852053286741</v>
      </c>
      <c r="CI134" s="3">
        <f t="shared" ca="1" si="184"/>
        <v>0.8049434186195088</v>
      </c>
      <c r="CJ134" s="3">
        <f t="shared" ca="1" si="185"/>
        <v>1107</v>
      </c>
      <c r="CK134" s="3">
        <f t="shared" ca="1" si="186"/>
        <v>6.1411018899138478E-3</v>
      </c>
      <c r="CL134" s="3">
        <f t="shared" ca="1" si="187"/>
        <v>1</v>
      </c>
      <c r="CM134" s="3"/>
      <c r="CN134" s="1">
        <f t="shared" ca="1" si="188"/>
        <v>8.1839412071209772</v>
      </c>
      <c r="CO134" s="1">
        <f t="shared" ca="1" si="189"/>
        <v>0.30685191224227115</v>
      </c>
      <c r="CP134" s="1">
        <f t="shared" ca="1" si="190"/>
        <v>3</v>
      </c>
      <c r="DH134" s="1">
        <f t="shared" ca="1" si="191"/>
        <v>537</v>
      </c>
      <c r="DI134" s="1">
        <f t="shared" ca="1" si="192"/>
        <v>0.10963632886202981</v>
      </c>
      <c r="DJ134" s="1">
        <f t="shared" ca="1" si="193"/>
        <v>6</v>
      </c>
      <c r="DL134" s="1">
        <f t="shared" ca="1" si="194"/>
        <v>0.12650696417174861</v>
      </c>
      <c r="DM134" s="1">
        <f t="shared" ca="1" si="195"/>
        <v>81</v>
      </c>
      <c r="DN134" s="1">
        <f t="shared" ca="1" si="196"/>
        <v>2</v>
      </c>
    </row>
    <row r="135" spans="2:118" x14ac:dyDescent="0.25">
      <c r="B135">
        <f t="shared" ca="1" si="132"/>
        <v>89</v>
      </c>
      <c r="C135">
        <f t="shared" ca="1" si="133"/>
        <v>46</v>
      </c>
      <c r="D135">
        <f t="shared" ca="1" si="134"/>
        <v>5.0769085542849493E-2</v>
      </c>
      <c r="F135" s="1">
        <f t="shared" ca="1" si="135"/>
        <v>43</v>
      </c>
      <c r="G135" s="1">
        <f t="shared" ca="1" si="136"/>
        <v>4</v>
      </c>
      <c r="H135" s="1">
        <f t="shared" ca="1" si="137"/>
        <v>12</v>
      </c>
      <c r="I135" s="1"/>
      <c r="J135" s="1">
        <f t="shared" ca="1" si="138"/>
        <v>3</v>
      </c>
      <c r="K135" s="1">
        <f t="shared" ca="1" si="139"/>
        <v>1.4131531133122313</v>
      </c>
      <c r="L135" s="1">
        <f t="shared" ca="1" si="140"/>
        <v>19</v>
      </c>
      <c r="M135" s="1"/>
      <c r="N135" s="1">
        <f t="shared" ca="1" si="141"/>
        <v>95</v>
      </c>
      <c r="O135" s="1">
        <f t="shared" ca="1" si="142"/>
        <v>15</v>
      </c>
      <c r="P135" s="1"/>
      <c r="Q135" s="1">
        <f t="shared" ca="1" si="143"/>
        <v>4.0068165818696277</v>
      </c>
      <c r="R135" s="1">
        <f t="shared" ca="1" si="144"/>
        <v>398</v>
      </c>
      <c r="S135" s="1"/>
      <c r="T135" s="1">
        <f t="shared" ca="1" si="145"/>
        <v>0.13833195503815035</v>
      </c>
      <c r="U135" s="1">
        <f t="shared" ca="1" si="146"/>
        <v>137</v>
      </c>
      <c r="V135" s="1">
        <f t="shared" ca="1" si="147"/>
        <v>28</v>
      </c>
      <c r="W135" s="1"/>
      <c r="X135" s="1">
        <f t="shared" ca="1" si="148"/>
        <v>5.686604571199128</v>
      </c>
      <c r="Y135" s="1">
        <f t="shared" ca="1" si="149"/>
        <v>0.75381326700864704</v>
      </c>
      <c r="Z135" s="1">
        <f t="shared" ca="1" si="150"/>
        <v>1387</v>
      </c>
      <c r="AB135" s="1">
        <f t="shared" ca="1" si="151"/>
        <v>9.0927730384506564E-2</v>
      </c>
      <c r="AC135" s="1">
        <f t="shared" ca="1" si="152"/>
        <v>262</v>
      </c>
      <c r="AD135" s="1">
        <f t="shared" ca="1" si="153"/>
        <v>5.7307609588182831E-3</v>
      </c>
      <c r="AE135" s="1"/>
      <c r="AF135" s="1">
        <f t="shared" ca="1" si="154"/>
        <v>0.20409139035943138</v>
      </c>
      <c r="AG135" s="1">
        <f t="shared" ca="1" si="155"/>
        <v>496</v>
      </c>
      <c r="AH135" s="1">
        <f t="shared" ca="1" si="156"/>
        <v>1.2962161934132702E-3</v>
      </c>
      <c r="AJ135" s="1">
        <f t="shared" ca="1" si="157"/>
        <v>0.76592020165800323</v>
      </c>
      <c r="AK135" s="1">
        <f t="shared" ca="1" si="158"/>
        <v>3.7299986201625112E-3</v>
      </c>
      <c r="AL135" s="1"/>
      <c r="AM135" s="1">
        <f t="shared" ca="1" si="159"/>
        <v>2.1106259312447976E-2</v>
      </c>
      <c r="AN135" s="1">
        <f t="shared" ca="1" si="160"/>
        <v>77</v>
      </c>
      <c r="AO135" s="1">
        <f t="shared" ca="1" si="161"/>
        <v>0</v>
      </c>
      <c r="AQ135" s="1">
        <f t="shared" ca="1" si="162"/>
        <v>182</v>
      </c>
      <c r="AR135" s="1">
        <f t="shared" ca="1" si="163"/>
        <v>4</v>
      </c>
      <c r="AS135" s="1">
        <f t="shared" ca="1" si="164"/>
        <v>91</v>
      </c>
      <c r="AU135" s="1">
        <f t="shared" ca="1" si="165"/>
        <v>99</v>
      </c>
      <c r="AV135" s="1">
        <f t="shared" ca="1" si="166"/>
        <v>4</v>
      </c>
      <c r="AW135" s="1">
        <f t="shared" ca="1" si="167"/>
        <v>0.14142468877409425</v>
      </c>
      <c r="AY135" s="1">
        <f t="shared" ca="1" si="168"/>
        <v>1.8848722023374949</v>
      </c>
      <c r="AZ135" s="1">
        <f t="shared" ca="1" si="169"/>
        <v>188</v>
      </c>
      <c r="BA135" s="1">
        <f t="shared" ca="1" si="170"/>
        <v>6.40009495031709E-3</v>
      </c>
      <c r="BG135" s="1">
        <f t="shared" ca="1" si="171"/>
        <v>6.6341219532342427E-2</v>
      </c>
      <c r="BH135" s="1">
        <f t="shared" ca="1" si="172"/>
        <v>0.42300396588389944</v>
      </c>
      <c r="BI135" s="1">
        <f t="shared" ca="1" si="173"/>
        <v>445</v>
      </c>
      <c r="BV135" s="1">
        <f t="shared" ca="1" si="174"/>
        <v>5.9153654620662313E-3</v>
      </c>
      <c r="BW135" s="1">
        <f t="shared" ca="1" si="175"/>
        <v>170</v>
      </c>
      <c r="BX135" s="1">
        <f t="shared" ca="1" si="176"/>
        <v>5.8535420302845594E-3</v>
      </c>
      <c r="BY135" s="1">
        <f t="shared" ca="1" si="177"/>
        <v>5.4174804455055452E-2</v>
      </c>
      <c r="BZ135" s="1">
        <f t="shared" ca="1" si="178"/>
        <v>0.29942470184464243</v>
      </c>
      <c r="CB135" s="1">
        <f t="shared" ca="1" si="179"/>
        <v>458</v>
      </c>
      <c r="CC135" s="1">
        <f t="shared" ca="1" si="180"/>
        <v>13</v>
      </c>
      <c r="CD135" s="1">
        <f t="shared" ca="1" si="181"/>
        <v>0.29961301607822605</v>
      </c>
      <c r="CE135" s="1">
        <f t="shared" ca="1" si="182"/>
        <v>0.83073555927433729</v>
      </c>
      <c r="CF135" s="1">
        <f t="shared" ca="1" si="182"/>
        <v>0.82769419548260537</v>
      </c>
      <c r="CH135" s="3">
        <f t="shared" ca="1" si="183"/>
        <v>0.94684588579288032</v>
      </c>
      <c r="CI135" s="3">
        <f t="shared" ca="1" si="184"/>
        <v>4.9886005866971533E-2</v>
      </c>
      <c r="CJ135" s="3">
        <f t="shared" ca="1" si="185"/>
        <v>529</v>
      </c>
      <c r="CK135" s="3">
        <f t="shared" ca="1" si="186"/>
        <v>2.270438011125172E-3</v>
      </c>
      <c r="CL135" s="3">
        <f t="shared" ca="1" si="187"/>
        <v>1</v>
      </c>
      <c r="CM135" s="3"/>
      <c r="CN135" s="1">
        <f t="shared" ca="1" si="188"/>
        <v>16.753278115214123</v>
      </c>
      <c r="CO135" s="1">
        <f t="shared" ca="1" si="189"/>
        <v>0.41151715545372275</v>
      </c>
      <c r="CP135" s="1">
        <f t="shared" ca="1" si="190"/>
        <v>5</v>
      </c>
      <c r="DH135" s="1">
        <f t="shared" ca="1" si="191"/>
        <v>199</v>
      </c>
      <c r="DI135" s="1">
        <f t="shared" ca="1" si="192"/>
        <v>0.26999469213859489</v>
      </c>
      <c r="DJ135" s="1">
        <f t="shared" ca="1" si="193"/>
        <v>6</v>
      </c>
      <c r="DL135" s="1">
        <f t="shared" ca="1" si="194"/>
        <v>0.1785720344499421</v>
      </c>
      <c r="DM135" s="1">
        <f t="shared" ca="1" si="195"/>
        <v>256</v>
      </c>
      <c r="DN135" s="1">
        <f t="shared" ca="1" si="196"/>
        <v>3</v>
      </c>
    </row>
    <row r="136" spans="2:118" x14ac:dyDescent="0.25">
      <c r="B136">
        <f t="shared" ca="1" si="132"/>
        <v>627</v>
      </c>
      <c r="C136">
        <f t="shared" ca="1" si="133"/>
        <v>15</v>
      </c>
      <c r="D136">
        <f t="shared" ca="1" si="134"/>
        <v>0.11262710764766441</v>
      </c>
      <c r="F136" s="1">
        <f t="shared" ca="1" si="135"/>
        <v>41</v>
      </c>
      <c r="G136" s="1">
        <f t="shared" ca="1" si="136"/>
        <v>20</v>
      </c>
      <c r="H136" s="1">
        <f t="shared" ca="1" si="137"/>
        <v>10</v>
      </c>
      <c r="I136" s="1"/>
      <c r="J136" s="1">
        <f t="shared" ca="1" si="138"/>
        <v>33</v>
      </c>
      <c r="K136" s="1">
        <f t="shared" ca="1" si="139"/>
        <v>2.2836288480324747</v>
      </c>
      <c r="L136" s="1">
        <f t="shared" ca="1" si="140"/>
        <v>5</v>
      </c>
      <c r="M136" s="1"/>
      <c r="N136" s="1">
        <f t="shared" ca="1" si="141"/>
        <v>796</v>
      </c>
      <c r="O136" s="1">
        <f t="shared" ca="1" si="142"/>
        <v>22</v>
      </c>
      <c r="P136" s="1"/>
      <c r="Q136" s="1">
        <f t="shared" ca="1" si="143"/>
        <v>2.8924237816861158</v>
      </c>
      <c r="R136" s="1">
        <f t="shared" ca="1" si="144"/>
        <v>764</v>
      </c>
      <c r="S136" s="1"/>
      <c r="T136" s="1">
        <f t="shared" ca="1" si="145"/>
        <v>6.0301268747418486E-2</v>
      </c>
      <c r="U136" s="1">
        <f t="shared" ca="1" si="146"/>
        <v>100</v>
      </c>
      <c r="V136" s="1">
        <f t="shared" ca="1" si="147"/>
        <v>39</v>
      </c>
      <c r="W136" s="1"/>
      <c r="X136" s="1">
        <f t="shared" ca="1" si="148"/>
        <v>2.3259726252698658</v>
      </c>
      <c r="Y136" s="1">
        <f t="shared" ca="1" si="149"/>
        <v>0.59740150561875405</v>
      </c>
      <c r="Z136" s="1">
        <f t="shared" ca="1" si="150"/>
        <v>278</v>
      </c>
      <c r="AB136" s="1">
        <f t="shared" ca="1" si="151"/>
        <v>0.56002341645555487</v>
      </c>
      <c r="AC136" s="1">
        <f t="shared" ca="1" si="152"/>
        <v>644</v>
      </c>
      <c r="AD136" s="1">
        <f t="shared" ca="1" si="153"/>
        <v>6.7807058827210435E-3</v>
      </c>
      <c r="AE136" s="1"/>
      <c r="AF136" s="1">
        <f t="shared" ca="1" si="154"/>
        <v>0.68309901458185862</v>
      </c>
      <c r="AG136" s="1">
        <f t="shared" ca="1" si="155"/>
        <v>735</v>
      </c>
      <c r="AH136" s="1">
        <f t="shared" ca="1" si="156"/>
        <v>9.5493451935366354E-3</v>
      </c>
      <c r="AJ136" s="1">
        <f t="shared" ca="1" si="157"/>
        <v>0.91732498499718318</v>
      </c>
      <c r="AK136" s="1">
        <f t="shared" ca="1" si="158"/>
        <v>2.5256166000333226E-3</v>
      </c>
      <c r="AL136" s="1"/>
      <c r="AM136" s="1">
        <f t="shared" ca="1" si="159"/>
        <v>0.17761102436636961</v>
      </c>
      <c r="AN136" s="1">
        <f t="shared" ca="1" si="160"/>
        <v>54</v>
      </c>
      <c r="AO136" s="1">
        <f t="shared" ca="1" si="161"/>
        <v>-1</v>
      </c>
      <c r="AQ136" s="1">
        <f t="shared" ca="1" si="162"/>
        <v>88</v>
      </c>
      <c r="AR136" s="1">
        <f t="shared" ca="1" si="163"/>
        <v>2</v>
      </c>
      <c r="AS136" s="1">
        <f t="shared" ca="1" si="164"/>
        <v>16</v>
      </c>
      <c r="AU136" s="1">
        <f t="shared" ca="1" si="165"/>
        <v>284</v>
      </c>
      <c r="AV136" s="1">
        <f t="shared" ca="1" si="166"/>
        <v>8</v>
      </c>
      <c r="AW136" s="1">
        <f t="shared" ca="1" si="167"/>
        <v>1.8211542783168076E-2</v>
      </c>
      <c r="AY136" s="1">
        <f t="shared" ca="1" si="168"/>
        <v>1.1360698895238084</v>
      </c>
      <c r="AZ136" s="1">
        <f t="shared" ca="1" si="169"/>
        <v>422</v>
      </c>
      <c r="BA136" s="1">
        <f t="shared" ca="1" si="170"/>
        <v>8.0076534519921833E-3</v>
      </c>
      <c r="BG136" s="1">
        <f t="shared" ca="1" si="171"/>
        <v>0.32071451863258599</v>
      </c>
      <c r="BH136" s="1">
        <f t="shared" ca="1" si="172"/>
        <v>0.51083618185545432</v>
      </c>
      <c r="BI136" s="1">
        <f t="shared" ca="1" si="173"/>
        <v>548</v>
      </c>
      <c r="BV136" s="1">
        <f t="shared" ca="1" si="174"/>
        <v>0.67769287830101577</v>
      </c>
      <c r="BW136" s="1">
        <f t="shared" ca="1" si="175"/>
        <v>884</v>
      </c>
      <c r="BX136" s="1">
        <f t="shared" ca="1" si="176"/>
        <v>7.0273413778776826E-3</v>
      </c>
      <c r="BY136" s="1">
        <f t="shared" ca="1" si="177"/>
        <v>6.166852160454557E-2</v>
      </c>
      <c r="BZ136" s="1">
        <f t="shared" ca="1" si="178"/>
        <v>0.17739012346689642</v>
      </c>
      <c r="CB136" s="1">
        <f t="shared" ca="1" si="179"/>
        <v>96</v>
      </c>
      <c r="CC136" s="1">
        <f t="shared" ca="1" si="180"/>
        <v>4</v>
      </c>
      <c r="CD136" s="1">
        <f t="shared" ca="1" si="181"/>
        <v>0.18752077006894102</v>
      </c>
      <c r="CE136" s="1">
        <f t="shared" ca="1" si="182"/>
        <v>0.63409727062375598</v>
      </c>
      <c r="CF136" s="1">
        <f t="shared" ca="1" si="182"/>
        <v>0.68828973584033137</v>
      </c>
      <c r="CH136" s="3">
        <f t="shared" ca="1" si="183"/>
        <v>5.1134449508158625E-2</v>
      </c>
      <c r="CI136" s="3">
        <f t="shared" ca="1" si="184"/>
        <v>0.93534198086934728</v>
      </c>
      <c r="CJ136" s="3">
        <f t="shared" ca="1" si="185"/>
        <v>473</v>
      </c>
      <c r="CK136" s="3">
        <f t="shared" ca="1" si="186"/>
        <v>4.0072675803363433E-3</v>
      </c>
      <c r="CL136" s="3">
        <f t="shared" ca="1" si="187"/>
        <v>1</v>
      </c>
      <c r="CM136" s="3"/>
      <c r="CN136" s="1">
        <f t="shared" ca="1" si="188"/>
        <v>14.097619847644017</v>
      </c>
      <c r="CO136" s="1">
        <f t="shared" ca="1" si="189"/>
        <v>0.43761630904586107</v>
      </c>
      <c r="CP136" s="1">
        <f t="shared" ca="1" si="190"/>
        <v>5</v>
      </c>
      <c r="DH136" s="1">
        <f t="shared" ca="1" si="191"/>
        <v>766</v>
      </c>
      <c r="DI136" s="1">
        <f t="shared" ca="1" si="192"/>
        <v>0.64758015817213865</v>
      </c>
      <c r="DJ136" s="1">
        <f t="shared" ca="1" si="193"/>
        <v>25</v>
      </c>
      <c r="DL136" s="1">
        <f t="shared" ca="1" si="194"/>
        <v>2.8232075815367061E-2</v>
      </c>
      <c r="DM136" s="1">
        <f t="shared" ca="1" si="195"/>
        <v>116</v>
      </c>
      <c r="DN136" s="1">
        <f t="shared" ca="1" si="196"/>
        <v>3</v>
      </c>
    </row>
    <row r="137" spans="2:118" x14ac:dyDescent="0.25">
      <c r="B137">
        <f t="shared" ca="1" si="132"/>
        <v>15</v>
      </c>
      <c r="C137">
        <f t="shared" ca="1" si="133"/>
        <v>4</v>
      </c>
      <c r="D137">
        <f t="shared" ca="1" si="134"/>
        <v>0.13621211333373826</v>
      </c>
      <c r="F137" s="1">
        <f t="shared" ca="1" si="135"/>
        <v>32</v>
      </c>
      <c r="G137" s="1">
        <f t="shared" ca="1" si="136"/>
        <v>8</v>
      </c>
      <c r="H137" s="1">
        <f t="shared" ca="1" si="137"/>
        <v>3</v>
      </c>
      <c r="I137" s="1"/>
      <c r="J137" s="1">
        <f t="shared" ca="1" si="138"/>
        <v>35</v>
      </c>
      <c r="K137" s="1">
        <f t="shared" ca="1" si="139"/>
        <v>2.2373868193683029</v>
      </c>
      <c r="L137" s="1">
        <f t="shared" ca="1" si="140"/>
        <v>3</v>
      </c>
      <c r="M137" s="1"/>
      <c r="N137" s="1">
        <f t="shared" ca="1" si="141"/>
        <v>587</v>
      </c>
      <c r="O137" s="1">
        <f t="shared" ca="1" si="142"/>
        <v>25</v>
      </c>
      <c r="P137" s="1"/>
      <c r="Q137" s="1">
        <f t="shared" ca="1" si="143"/>
        <v>4.4308481021027832</v>
      </c>
      <c r="R137" s="1">
        <f t="shared" ca="1" si="144"/>
        <v>353</v>
      </c>
      <c r="S137" s="1"/>
      <c r="T137" s="1">
        <f t="shared" ca="1" si="145"/>
        <v>0.15154818944996656</v>
      </c>
      <c r="U137" s="1">
        <f t="shared" ca="1" si="146"/>
        <v>234</v>
      </c>
      <c r="V137" s="1">
        <f t="shared" ca="1" si="147"/>
        <v>38</v>
      </c>
      <c r="W137" s="1"/>
      <c r="X137" s="1">
        <f t="shared" ca="1" si="148"/>
        <v>7.1001701553878904</v>
      </c>
      <c r="Y137" s="1">
        <f t="shared" ca="1" si="149"/>
        <v>0.50104881923866618</v>
      </c>
      <c r="Z137" s="1">
        <f t="shared" ca="1" si="150"/>
        <v>1689</v>
      </c>
      <c r="AB137" s="1">
        <f t="shared" ca="1" si="151"/>
        <v>0.14423339364237661</v>
      </c>
      <c r="AC137" s="1">
        <f t="shared" ca="1" si="152"/>
        <v>999</v>
      </c>
      <c r="AD137" s="1">
        <f t="shared" ca="1" si="153"/>
        <v>9.4913065622393086E-3</v>
      </c>
      <c r="AE137" s="1"/>
      <c r="AF137" s="1">
        <f t="shared" ca="1" si="154"/>
        <v>0.84078084529278052</v>
      </c>
      <c r="AG137" s="1">
        <f t="shared" ca="1" si="155"/>
        <v>687</v>
      </c>
      <c r="AH137" s="1">
        <f t="shared" ca="1" si="156"/>
        <v>1.9686583071228461E-3</v>
      </c>
      <c r="AJ137" s="1">
        <f t="shared" ca="1" si="157"/>
        <v>0.78388384412640699</v>
      </c>
      <c r="AK137" s="1">
        <f t="shared" ca="1" si="158"/>
        <v>9.8131397713027875E-3</v>
      </c>
      <c r="AL137" s="1"/>
      <c r="AM137" s="1">
        <f t="shared" ca="1" si="159"/>
        <v>9.7521199883261508E-2</v>
      </c>
      <c r="AN137" s="1">
        <f t="shared" ca="1" si="160"/>
        <v>29</v>
      </c>
      <c r="AO137" s="1">
        <f t="shared" ca="1" si="161"/>
        <v>1</v>
      </c>
      <c r="AQ137" s="1">
        <f t="shared" ca="1" si="162"/>
        <v>24</v>
      </c>
      <c r="AR137" s="1">
        <f t="shared" ca="1" si="163"/>
        <v>8</v>
      </c>
      <c r="AS137" s="1">
        <f t="shared" ca="1" si="164"/>
        <v>20</v>
      </c>
      <c r="AU137" s="1">
        <f t="shared" ca="1" si="165"/>
        <v>264</v>
      </c>
      <c r="AV137" s="1">
        <f t="shared" ca="1" si="166"/>
        <v>3</v>
      </c>
      <c r="AW137" s="1">
        <f t="shared" ca="1" si="167"/>
        <v>5.718498625274817E-2</v>
      </c>
      <c r="AY137" s="1">
        <f t="shared" ca="1" si="168"/>
        <v>1.375298750662397</v>
      </c>
      <c r="AZ137" s="1">
        <f t="shared" ca="1" si="169"/>
        <v>414</v>
      </c>
      <c r="BA137" s="1">
        <f t="shared" ca="1" si="170"/>
        <v>2.8458330060844339E-4</v>
      </c>
      <c r="BG137" s="1">
        <f t="shared" ca="1" si="171"/>
        <v>0.60367302925109689</v>
      </c>
      <c r="BH137" s="1">
        <f t="shared" ca="1" si="172"/>
        <v>0.9104512851144877</v>
      </c>
      <c r="BI137" s="1">
        <f t="shared" ca="1" si="173"/>
        <v>131</v>
      </c>
      <c r="BV137" s="1">
        <f t="shared" ca="1" si="174"/>
        <v>0.13739662656285367</v>
      </c>
      <c r="BW137" s="1">
        <f t="shared" ca="1" si="175"/>
        <v>898</v>
      </c>
      <c r="BX137" s="1">
        <f t="shared" ca="1" si="176"/>
        <v>6.9229588389779009E-3</v>
      </c>
      <c r="BY137" s="1">
        <f t="shared" ca="1" si="177"/>
        <v>5.5228009106516998E-2</v>
      </c>
      <c r="BZ137" s="1">
        <f t="shared" ca="1" si="178"/>
        <v>0.24922503494831028</v>
      </c>
      <c r="CB137" s="1">
        <f t="shared" ca="1" si="179"/>
        <v>211</v>
      </c>
      <c r="CC137" s="1">
        <f t="shared" ca="1" si="180"/>
        <v>7</v>
      </c>
      <c r="CD137" s="1">
        <f t="shared" ca="1" si="181"/>
        <v>0.18529569912013472</v>
      </c>
      <c r="CE137" s="1">
        <f t="shared" ca="1" si="182"/>
        <v>0.681059118654054</v>
      </c>
      <c r="CF137" s="1">
        <f t="shared" ca="1" si="182"/>
        <v>0.82263297967688409</v>
      </c>
      <c r="CH137" s="3">
        <f t="shared" ca="1" si="183"/>
        <v>0.23340368461902058</v>
      </c>
      <c r="CI137" s="3">
        <f t="shared" ca="1" si="184"/>
        <v>0.7881892590477293</v>
      </c>
      <c r="CJ137" s="3">
        <f t="shared" ca="1" si="185"/>
        <v>1722</v>
      </c>
      <c r="CK137" s="3">
        <f t="shared" ca="1" si="186"/>
        <v>1.7268754670602508E-3</v>
      </c>
      <c r="CL137" s="3">
        <f t="shared" ca="1" si="187"/>
        <v>1</v>
      </c>
      <c r="CM137" s="3"/>
      <c r="CN137" s="1">
        <f t="shared" ca="1" si="188"/>
        <v>2.8483705698966522</v>
      </c>
      <c r="CO137" s="1">
        <f t="shared" ca="1" si="189"/>
        <v>8.6488223870171577E-2</v>
      </c>
      <c r="CP137" s="1">
        <f t="shared" ca="1" si="190"/>
        <v>3</v>
      </c>
      <c r="DH137" s="1">
        <f t="shared" ca="1" si="191"/>
        <v>745</v>
      </c>
      <c r="DI137" s="1">
        <f t="shared" ca="1" si="192"/>
        <v>7.299533442350245E-2</v>
      </c>
      <c r="DJ137" s="1">
        <f t="shared" ca="1" si="193"/>
        <v>26</v>
      </c>
      <c r="DL137" s="1">
        <f t="shared" ca="1" si="194"/>
        <v>0.16825892111989679</v>
      </c>
      <c r="DM137" s="1">
        <f t="shared" ca="1" si="195"/>
        <v>88</v>
      </c>
      <c r="DN137" s="1">
        <f t="shared" ca="1" si="196"/>
        <v>9</v>
      </c>
    </row>
    <row r="138" spans="2:118" x14ac:dyDescent="0.25">
      <c r="B138">
        <f t="shared" ca="1" si="132"/>
        <v>671</v>
      </c>
      <c r="C138">
        <f t="shared" ca="1" si="133"/>
        <v>21</v>
      </c>
      <c r="D138">
        <f t="shared" ca="1" si="134"/>
        <v>2.4681393388373156E-2</v>
      </c>
      <c r="F138" s="1">
        <f t="shared" ca="1" si="135"/>
        <v>37</v>
      </c>
      <c r="G138" s="1">
        <f t="shared" ca="1" si="136"/>
        <v>5</v>
      </c>
      <c r="H138" s="1">
        <f t="shared" ca="1" si="137"/>
        <v>13</v>
      </c>
      <c r="I138" s="1"/>
      <c r="J138" s="1">
        <f t="shared" ca="1" si="138"/>
        <v>25</v>
      </c>
      <c r="K138" s="1">
        <f t="shared" ca="1" si="139"/>
        <v>1.117719410514372</v>
      </c>
      <c r="L138" s="1">
        <f t="shared" ca="1" si="140"/>
        <v>5</v>
      </c>
      <c r="M138" s="1"/>
      <c r="N138" s="1">
        <f t="shared" ca="1" si="141"/>
        <v>544</v>
      </c>
      <c r="O138" s="1">
        <f t="shared" ca="1" si="142"/>
        <v>13</v>
      </c>
      <c r="P138" s="1"/>
      <c r="Q138" s="1">
        <f t="shared" ca="1" si="143"/>
        <v>1.8373530641466527</v>
      </c>
      <c r="R138" s="1">
        <f t="shared" ca="1" si="144"/>
        <v>919</v>
      </c>
      <c r="S138" s="1"/>
      <c r="T138" s="1">
        <f t="shared" ca="1" si="145"/>
        <v>0.13576439506736374</v>
      </c>
      <c r="U138" s="1">
        <f t="shared" ca="1" si="146"/>
        <v>148</v>
      </c>
      <c r="V138" s="1">
        <f t="shared" ca="1" si="147"/>
        <v>30</v>
      </c>
      <c r="W138" s="1"/>
      <c r="X138" s="1">
        <f t="shared" ca="1" si="148"/>
        <v>8.586833008020518</v>
      </c>
      <c r="Y138" s="1">
        <f t="shared" ca="1" si="149"/>
        <v>0.83347054890882244</v>
      </c>
      <c r="Z138" s="1">
        <f t="shared" ca="1" si="150"/>
        <v>1479</v>
      </c>
      <c r="AB138" s="1">
        <f t="shared" ca="1" si="151"/>
        <v>0.60945873864794364</v>
      </c>
      <c r="AC138" s="1">
        <f t="shared" ca="1" si="152"/>
        <v>537</v>
      </c>
      <c r="AD138" s="1">
        <f t="shared" ca="1" si="153"/>
        <v>8.8321722813841652E-3</v>
      </c>
      <c r="AE138" s="1"/>
      <c r="AF138" s="1">
        <f t="shared" ca="1" si="154"/>
        <v>0.35423865429921897</v>
      </c>
      <c r="AG138" s="1">
        <f t="shared" ca="1" si="155"/>
        <v>544</v>
      </c>
      <c r="AH138" s="1">
        <f t="shared" ca="1" si="156"/>
        <v>1.9975776542008237E-3</v>
      </c>
      <c r="AJ138" s="1">
        <f t="shared" ca="1" si="157"/>
        <v>0.38548112364848675</v>
      </c>
      <c r="AK138" s="1">
        <f t="shared" ca="1" si="158"/>
        <v>3.6958999117882182E-3</v>
      </c>
      <c r="AL138" s="1"/>
      <c r="AM138" s="1">
        <f t="shared" ca="1" si="159"/>
        <v>3.8904367028410186E-2</v>
      </c>
      <c r="AN138" s="1">
        <f t="shared" ca="1" si="160"/>
        <v>16</v>
      </c>
      <c r="AO138" s="1">
        <f t="shared" ca="1" si="161"/>
        <v>0</v>
      </c>
      <c r="AQ138" s="1">
        <f t="shared" ca="1" si="162"/>
        <v>62</v>
      </c>
      <c r="AR138" s="1">
        <f t="shared" ca="1" si="163"/>
        <v>1</v>
      </c>
      <c r="AS138" s="1">
        <f t="shared" ca="1" si="164"/>
        <v>59</v>
      </c>
      <c r="AU138" s="1">
        <f t="shared" ca="1" si="165"/>
        <v>188</v>
      </c>
      <c r="AV138" s="1">
        <f t="shared" ca="1" si="166"/>
        <v>8</v>
      </c>
      <c r="AW138" s="1">
        <f t="shared" ca="1" si="167"/>
        <v>0.14952287485419077</v>
      </c>
      <c r="AY138" s="1">
        <f t="shared" ca="1" si="168"/>
        <v>1.9761577706414224</v>
      </c>
      <c r="AZ138" s="1">
        <f t="shared" ca="1" si="169"/>
        <v>331</v>
      </c>
      <c r="BA138" s="1">
        <f t="shared" ca="1" si="170"/>
        <v>6.459462823949662E-3</v>
      </c>
      <c r="BG138" s="1">
        <f t="shared" ca="1" si="171"/>
        <v>0.23289514302017963</v>
      </c>
      <c r="BH138" s="1">
        <f t="shared" ca="1" si="172"/>
        <v>0.53757193461667518</v>
      </c>
      <c r="BI138" s="1">
        <f t="shared" ca="1" si="173"/>
        <v>114</v>
      </c>
      <c r="BV138" s="1">
        <f t="shared" ca="1" si="174"/>
        <v>0.63342740183351265</v>
      </c>
      <c r="BW138" s="1">
        <f t="shared" ca="1" si="175"/>
        <v>770</v>
      </c>
      <c r="BX138" s="1">
        <f t="shared" ca="1" si="176"/>
        <v>1.4477291553838052E-3</v>
      </c>
      <c r="BY138" s="1">
        <f t="shared" ca="1" si="177"/>
        <v>5.6217350622604904E-2</v>
      </c>
      <c r="BZ138" s="1">
        <f t="shared" ca="1" si="178"/>
        <v>0.47795436858489004</v>
      </c>
      <c r="CB138" s="1">
        <f t="shared" ca="1" si="179"/>
        <v>302</v>
      </c>
      <c r="CC138" s="1">
        <f t="shared" ca="1" si="180"/>
        <v>9</v>
      </c>
      <c r="CD138" s="1">
        <f t="shared" ca="1" si="181"/>
        <v>0.12587857149876971</v>
      </c>
      <c r="CE138" s="1">
        <f t="shared" ca="1" si="182"/>
        <v>0.87400686212525414</v>
      </c>
      <c r="CF138" s="1">
        <f t="shared" ca="1" si="182"/>
        <v>0.58129255931502888</v>
      </c>
      <c r="CH138" s="3">
        <f t="shared" ca="1" si="183"/>
        <v>0.66687553747755957</v>
      </c>
      <c r="CI138" s="3">
        <f t="shared" ca="1" si="184"/>
        <v>0.87394421806305977</v>
      </c>
      <c r="CJ138" s="3">
        <f t="shared" ca="1" si="185"/>
        <v>571</v>
      </c>
      <c r="CK138" s="3">
        <f t="shared" ca="1" si="186"/>
        <v>6.5308646755273163E-3</v>
      </c>
      <c r="CL138" s="3">
        <f t="shared" ca="1" si="187"/>
        <v>0</v>
      </c>
      <c r="CM138" s="3"/>
      <c r="CN138" s="1">
        <f t="shared" ca="1" si="188"/>
        <v>14.331650292017081</v>
      </c>
      <c r="CO138" s="1">
        <f t="shared" ca="1" si="189"/>
        <v>0.47703104287097892</v>
      </c>
      <c r="CP138" s="1">
        <f t="shared" ca="1" si="190"/>
        <v>2</v>
      </c>
      <c r="DH138" s="1">
        <f t="shared" ca="1" si="191"/>
        <v>191</v>
      </c>
      <c r="DI138" s="1">
        <f t="shared" ca="1" si="192"/>
        <v>6.6998829715606584E-2</v>
      </c>
      <c r="DJ138" s="1">
        <f t="shared" ca="1" si="193"/>
        <v>7</v>
      </c>
      <c r="DL138" s="1">
        <f t="shared" ca="1" si="194"/>
        <v>0.17251199760702338</v>
      </c>
      <c r="DM138" s="1">
        <f t="shared" ca="1" si="195"/>
        <v>167</v>
      </c>
      <c r="DN138" s="1">
        <f t="shared" ca="1" si="196"/>
        <v>7</v>
      </c>
    </row>
    <row r="139" spans="2:118" x14ac:dyDescent="0.25">
      <c r="B139">
        <f t="shared" ca="1" si="132"/>
        <v>816</v>
      </c>
      <c r="C139">
        <f t="shared" ca="1" si="133"/>
        <v>11</v>
      </c>
      <c r="D139">
        <f t="shared" ca="1" si="134"/>
        <v>4.7269247602006952E-2</v>
      </c>
      <c r="F139" s="1">
        <f t="shared" ca="1" si="135"/>
        <v>41</v>
      </c>
      <c r="G139" s="1">
        <f t="shared" ca="1" si="136"/>
        <v>8</v>
      </c>
      <c r="H139" s="1">
        <f t="shared" ca="1" si="137"/>
        <v>4</v>
      </c>
      <c r="I139" s="1"/>
      <c r="J139" s="1">
        <f t="shared" ca="1" si="138"/>
        <v>37</v>
      </c>
      <c r="K139" s="1">
        <f t="shared" ca="1" si="139"/>
        <v>2.7126368598140198</v>
      </c>
      <c r="L139" s="1">
        <f t="shared" ca="1" si="140"/>
        <v>10</v>
      </c>
      <c r="M139" s="1"/>
      <c r="N139" s="1">
        <f t="shared" ca="1" si="141"/>
        <v>464</v>
      </c>
      <c r="O139" s="1">
        <f t="shared" ca="1" si="142"/>
        <v>43</v>
      </c>
      <c r="P139" s="1"/>
      <c r="Q139" s="1">
        <f t="shared" ca="1" si="143"/>
        <v>0.34358118101086732</v>
      </c>
      <c r="R139" s="1">
        <f t="shared" ca="1" si="144"/>
        <v>331</v>
      </c>
      <c r="S139" s="1"/>
      <c r="T139" s="1">
        <f t="shared" ca="1" si="145"/>
        <v>0.10386846153291444</v>
      </c>
      <c r="U139" s="1">
        <f t="shared" ca="1" si="146"/>
        <v>56</v>
      </c>
      <c r="V139" s="1">
        <f t="shared" ca="1" si="147"/>
        <v>16</v>
      </c>
      <c r="W139" s="1"/>
      <c r="X139" s="1">
        <f t="shared" ca="1" si="148"/>
        <v>0.18090886372220358</v>
      </c>
      <c r="Y139" s="1">
        <f t="shared" ca="1" si="149"/>
        <v>0.42836908817587765</v>
      </c>
      <c r="Z139" s="1">
        <f t="shared" ca="1" si="150"/>
        <v>1125</v>
      </c>
      <c r="AB139" s="1">
        <f t="shared" ca="1" si="151"/>
        <v>2.9536772377109074E-3</v>
      </c>
      <c r="AC139" s="1">
        <f t="shared" ca="1" si="152"/>
        <v>535</v>
      </c>
      <c r="AD139" s="1">
        <f t="shared" ca="1" si="153"/>
        <v>8.3901277527343963E-3</v>
      </c>
      <c r="AE139" s="1"/>
      <c r="AF139" s="1">
        <f t="shared" ca="1" si="154"/>
        <v>0.24922511968875227</v>
      </c>
      <c r="AG139" s="1">
        <f t="shared" ca="1" si="155"/>
        <v>944</v>
      </c>
      <c r="AH139" s="1">
        <f t="shared" ca="1" si="156"/>
        <v>6.8941055718223622E-3</v>
      </c>
      <c r="AJ139" s="1">
        <f t="shared" ca="1" si="157"/>
        <v>0.40584777161399532</v>
      </c>
      <c r="AK139" s="1">
        <f t="shared" ca="1" si="158"/>
        <v>5.5978416252764522E-3</v>
      </c>
      <c r="AL139" s="1"/>
      <c r="AM139" s="1">
        <f t="shared" ca="1" si="159"/>
        <v>4.6603508271986442E-2</v>
      </c>
      <c r="AN139" s="1">
        <f t="shared" ca="1" si="160"/>
        <v>30</v>
      </c>
      <c r="AO139" s="1">
        <f t="shared" ca="1" si="161"/>
        <v>11</v>
      </c>
      <c r="AQ139" s="1">
        <f t="shared" ca="1" si="162"/>
        <v>47</v>
      </c>
      <c r="AR139" s="1">
        <f t="shared" ca="1" si="163"/>
        <v>0</v>
      </c>
      <c r="AS139" s="1">
        <f t="shared" ca="1" si="164"/>
        <v>75</v>
      </c>
      <c r="AU139" s="1">
        <f t="shared" ca="1" si="165"/>
        <v>277</v>
      </c>
      <c r="AV139" s="1">
        <f t="shared" ca="1" si="166"/>
        <v>8</v>
      </c>
      <c r="AW139" s="1">
        <f t="shared" ca="1" si="167"/>
        <v>9.8513153927040187E-2</v>
      </c>
      <c r="AY139" s="1">
        <f t="shared" ca="1" si="168"/>
        <v>1.3331758038272381</v>
      </c>
      <c r="AZ139" s="1">
        <f t="shared" ca="1" si="169"/>
        <v>154</v>
      </c>
      <c r="BA139" s="1">
        <f t="shared" ca="1" si="170"/>
        <v>8.4257320052660389E-4</v>
      </c>
      <c r="BG139" s="1">
        <f t="shared" ca="1" si="171"/>
        <v>0.67601803824766116</v>
      </c>
      <c r="BH139" s="1">
        <f t="shared" ca="1" si="172"/>
        <v>0.89677601336784885</v>
      </c>
      <c r="BI139" s="1">
        <f t="shared" ca="1" si="173"/>
        <v>561</v>
      </c>
      <c r="BV139" s="1">
        <f t="shared" ca="1" si="174"/>
        <v>0.79771517741431208</v>
      </c>
      <c r="BW139" s="1">
        <f t="shared" ca="1" si="175"/>
        <v>370</v>
      </c>
      <c r="BX139" s="1">
        <f t="shared" ca="1" si="176"/>
        <v>5.7660478483263795E-3</v>
      </c>
      <c r="BY139" s="1">
        <f t="shared" ca="1" si="177"/>
        <v>8.2089922115838303E-3</v>
      </c>
      <c r="BZ139" s="1">
        <f t="shared" ca="1" si="178"/>
        <v>0.53129586987404342</v>
      </c>
      <c r="CB139" s="1">
        <f t="shared" ca="1" si="179"/>
        <v>190</v>
      </c>
      <c r="CC139" s="1">
        <f t="shared" ca="1" si="180"/>
        <v>14</v>
      </c>
      <c r="CD139" s="1">
        <f t="shared" ca="1" si="181"/>
        <v>3.9266637211715645E-2</v>
      </c>
      <c r="CE139" s="1">
        <f t="shared" ca="1" si="182"/>
        <v>0.53017271358127638</v>
      </c>
      <c r="CF139" s="1">
        <f t="shared" ca="1" si="182"/>
        <v>0.58187221299235015</v>
      </c>
      <c r="CH139" s="3">
        <f t="shared" ca="1" si="183"/>
        <v>8.8457445071514776E-2</v>
      </c>
      <c r="CI139" s="3">
        <f t="shared" ca="1" si="184"/>
        <v>0.85600966117893273</v>
      </c>
      <c r="CJ139" s="3">
        <f t="shared" ca="1" si="185"/>
        <v>1939</v>
      </c>
      <c r="CK139" s="3">
        <f t="shared" ca="1" si="186"/>
        <v>5.293138099472702E-3</v>
      </c>
      <c r="CL139" s="3">
        <f t="shared" ca="1" si="187"/>
        <v>0</v>
      </c>
      <c r="CM139" s="3"/>
      <c r="CN139" s="1">
        <f t="shared" ca="1" si="188"/>
        <v>11.433096346287995</v>
      </c>
      <c r="CO139" s="1">
        <f t="shared" ca="1" si="189"/>
        <v>0.34976194618270123</v>
      </c>
      <c r="CP139" s="1">
        <f t="shared" ca="1" si="190"/>
        <v>5</v>
      </c>
      <c r="DH139" s="1">
        <f t="shared" ca="1" si="191"/>
        <v>695</v>
      </c>
      <c r="DI139" s="1">
        <f t="shared" ca="1" si="192"/>
        <v>0.65142920603189514</v>
      </c>
      <c r="DJ139" s="1">
        <f t="shared" ca="1" si="193"/>
        <v>4</v>
      </c>
      <c r="DL139" s="1">
        <f t="shared" ca="1" si="194"/>
        <v>8.3519494146837472E-2</v>
      </c>
      <c r="DM139" s="1">
        <f t="shared" ca="1" si="195"/>
        <v>105</v>
      </c>
      <c r="DN139" s="1">
        <f t="shared" ca="1" si="196"/>
        <v>8</v>
      </c>
    </row>
    <row r="140" spans="2:118" x14ac:dyDescent="0.25">
      <c r="B140">
        <f t="shared" ca="1" si="132"/>
        <v>269</v>
      </c>
      <c r="C140">
        <f t="shared" ca="1" si="133"/>
        <v>8</v>
      </c>
      <c r="D140">
        <f t="shared" ca="1" si="134"/>
        <v>0.28016618436384499</v>
      </c>
      <c r="F140" s="1">
        <f t="shared" ca="1" si="135"/>
        <v>19</v>
      </c>
      <c r="G140" s="1">
        <f t="shared" ca="1" si="136"/>
        <v>27</v>
      </c>
      <c r="H140" s="1">
        <f t="shared" ca="1" si="137"/>
        <v>8</v>
      </c>
      <c r="I140" s="1"/>
      <c r="J140" s="1">
        <f t="shared" ca="1" si="138"/>
        <v>38</v>
      </c>
      <c r="K140" s="1">
        <f t="shared" ca="1" si="139"/>
        <v>1.8195725916659493</v>
      </c>
      <c r="L140" s="1">
        <f t="shared" ca="1" si="140"/>
        <v>23</v>
      </c>
      <c r="M140" s="1"/>
      <c r="N140" s="1">
        <f t="shared" ca="1" si="141"/>
        <v>186</v>
      </c>
      <c r="O140" s="1">
        <f t="shared" ca="1" si="142"/>
        <v>13</v>
      </c>
      <c r="P140" s="1"/>
      <c r="Q140" s="1">
        <f t="shared" ca="1" si="143"/>
        <v>3.0445516347823194</v>
      </c>
      <c r="R140" s="1">
        <f t="shared" ca="1" si="144"/>
        <v>468</v>
      </c>
      <c r="S140" s="1"/>
      <c r="T140" s="1">
        <f t="shared" ca="1" si="145"/>
        <v>0.17359255594181039</v>
      </c>
      <c r="U140" s="1">
        <f t="shared" ca="1" si="146"/>
        <v>343</v>
      </c>
      <c r="V140" s="1">
        <f t="shared" ca="1" si="147"/>
        <v>3</v>
      </c>
      <c r="W140" s="1"/>
      <c r="X140" s="1">
        <f t="shared" ca="1" si="148"/>
        <v>6.8857206336948007</v>
      </c>
      <c r="Y140" s="1">
        <f t="shared" ca="1" si="149"/>
        <v>0.20677506655940231</v>
      </c>
      <c r="Z140" s="1">
        <f t="shared" ca="1" si="150"/>
        <v>1450</v>
      </c>
      <c r="AB140" s="1">
        <f t="shared" ca="1" si="151"/>
        <v>9.482601734148248E-2</v>
      </c>
      <c r="AC140" s="1">
        <f t="shared" ca="1" si="152"/>
        <v>653</v>
      </c>
      <c r="AD140" s="1">
        <f t="shared" ca="1" si="153"/>
        <v>1.4294962342233162E-4</v>
      </c>
      <c r="AE140" s="1"/>
      <c r="AF140" s="1">
        <f t="shared" ca="1" si="154"/>
        <v>0.58186804451664442</v>
      </c>
      <c r="AG140" s="1">
        <f t="shared" ca="1" si="155"/>
        <v>493</v>
      </c>
      <c r="AH140" s="1">
        <f t="shared" ca="1" si="156"/>
        <v>7.4577471871468039E-3</v>
      </c>
      <c r="AJ140" s="1">
        <f t="shared" ca="1" si="157"/>
        <v>0.78719389334711931</v>
      </c>
      <c r="AK140" s="1">
        <f t="shared" ca="1" si="158"/>
        <v>6.0837655511127705E-3</v>
      </c>
      <c r="AL140" s="1"/>
      <c r="AM140" s="1">
        <f t="shared" ca="1" si="159"/>
        <v>5.6175524520576323E-2</v>
      </c>
      <c r="AN140" s="1">
        <f t="shared" ca="1" si="160"/>
        <v>56</v>
      </c>
      <c r="AO140" s="1">
        <f t="shared" ca="1" si="161"/>
        <v>10</v>
      </c>
      <c r="AQ140" s="1">
        <f t="shared" ca="1" si="162"/>
        <v>151</v>
      </c>
      <c r="AR140" s="1">
        <f t="shared" ca="1" si="163"/>
        <v>7</v>
      </c>
      <c r="AS140" s="1">
        <f t="shared" ca="1" si="164"/>
        <v>74</v>
      </c>
      <c r="AU140" s="1">
        <f t="shared" ca="1" si="165"/>
        <v>386</v>
      </c>
      <c r="AV140" s="1">
        <f t="shared" ca="1" si="166"/>
        <v>7</v>
      </c>
      <c r="AW140" s="1">
        <f t="shared" ca="1" si="167"/>
        <v>0.1369233760939951</v>
      </c>
      <c r="AY140" s="1">
        <f t="shared" ca="1" si="168"/>
        <v>1.1375898705371683</v>
      </c>
      <c r="AZ140" s="1">
        <f t="shared" ca="1" si="169"/>
        <v>50</v>
      </c>
      <c r="BA140" s="1">
        <f t="shared" ca="1" si="170"/>
        <v>2.4043944280100283E-3</v>
      </c>
      <c r="BG140" s="1">
        <f t="shared" ca="1" si="171"/>
        <v>0.34086257678022253</v>
      </c>
      <c r="BH140" s="1">
        <f t="shared" ca="1" si="172"/>
        <v>0.52413402987700175</v>
      </c>
      <c r="BI140" s="1">
        <f t="shared" ca="1" si="173"/>
        <v>496</v>
      </c>
      <c r="BV140" s="1">
        <f t="shared" ca="1" si="174"/>
        <v>0.22770169916455751</v>
      </c>
      <c r="BW140" s="1">
        <f t="shared" ca="1" si="175"/>
        <v>332</v>
      </c>
      <c r="BX140" s="1">
        <f t="shared" ca="1" si="176"/>
        <v>4.0815946657130276E-4</v>
      </c>
      <c r="BY140" s="1">
        <f t="shared" ca="1" si="177"/>
        <v>3.7484898456223943E-2</v>
      </c>
      <c r="BZ140" s="1">
        <f t="shared" ca="1" si="178"/>
        <v>0.7450774830536282</v>
      </c>
      <c r="CB140" s="1">
        <f t="shared" ca="1" si="179"/>
        <v>248</v>
      </c>
      <c r="CC140" s="1">
        <f t="shared" ca="1" si="180"/>
        <v>7</v>
      </c>
      <c r="CD140" s="1">
        <f t="shared" ca="1" si="181"/>
        <v>0.10235954692781186</v>
      </c>
      <c r="CE140" s="1">
        <f t="shared" ca="1" si="182"/>
        <v>0.80271047410184571</v>
      </c>
      <c r="CF140" s="1">
        <f t="shared" ca="1" si="182"/>
        <v>0.68744161254142944</v>
      </c>
      <c r="CH140" s="3">
        <f t="shared" ca="1" si="183"/>
        <v>7.8470902928607547E-2</v>
      </c>
      <c r="CI140" s="3">
        <f t="shared" ca="1" si="184"/>
        <v>0.75916339517395737</v>
      </c>
      <c r="CJ140" s="3">
        <f t="shared" ca="1" si="185"/>
        <v>1971</v>
      </c>
      <c r="CK140" s="3">
        <f t="shared" ca="1" si="186"/>
        <v>2.9136102251084758E-3</v>
      </c>
      <c r="CL140" s="3">
        <f t="shared" ca="1" si="187"/>
        <v>0</v>
      </c>
      <c r="CM140" s="3"/>
      <c r="CN140" s="1">
        <f t="shared" ca="1" si="188"/>
        <v>7.7657744936293742</v>
      </c>
      <c r="CO140" s="1">
        <f t="shared" ca="1" si="189"/>
        <v>0.44720875392036707</v>
      </c>
      <c r="CP140" s="1">
        <f t="shared" ca="1" si="190"/>
        <v>4</v>
      </c>
      <c r="DH140" s="1">
        <f t="shared" ca="1" si="191"/>
        <v>705</v>
      </c>
      <c r="DI140" s="1">
        <f t="shared" ca="1" si="192"/>
        <v>0.27266695403536922</v>
      </c>
      <c r="DJ140" s="1">
        <f t="shared" ca="1" si="193"/>
        <v>10</v>
      </c>
      <c r="DL140" s="1">
        <f t="shared" ca="1" si="194"/>
        <v>0.14694432873451363</v>
      </c>
      <c r="DM140" s="1">
        <f t="shared" ca="1" si="195"/>
        <v>62</v>
      </c>
      <c r="DN140" s="1">
        <f t="shared" ca="1" si="196"/>
        <v>3</v>
      </c>
    </row>
    <row r="141" spans="2:118" x14ac:dyDescent="0.25">
      <c r="B141">
        <f t="shared" ca="1" si="132"/>
        <v>414</v>
      </c>
      <c r="C141">
        <f t="shared" ca="1" si="133"/>
        <v>24</v>
      </c>
      <c r="D141">
        <f t="shared" ca="1" si="134"/>
        <v>8.8352238459779173E-2</v>
      </c>
      <c r="F141" s="1">
        <f t="shared" ca="1" si="135"/>
        <v>41</v>
      </c>
      <c r="G141" s="1">
        <f t="shared" ca="1" si="136"/>
        <v>10</v>
      </c>
      <c r="H141" s="1">
        <f t="shared" ca="1" si="137"/>
        <v>5</v>
      </c>
      <c r="I141" s="1"/>
      <c r="J141" s="1">
        <f t="shared" ca="1" si="138"/>
        <v>37</v>
      </c>
      <c r="K141" s="1">
        <f t="shared" ca="1" si="139"/>
        <v>2.27439772888685</v>
      </c>
      <c r="L141" s="1">
        <f t="shared" ca="1" si="140"/>
        <v>24</v>
      </c>
      <c r="M141" s="1"/>
      <c r="N141" s="1">
        <f t="shared" ca="1" si="141"/>
        <v>311</v>
      </c>
      <c r="O141" s="1">
        <f t="shared" ca="1" si="142"/>
        <v>45</v>
      </c>
      <c r="P141" s="1"/>
      <c r="Q141" s="1">
        <f t="shared" ca="1" si="143"/>
        <v>0.62962729498883563</v>
      </c>
      <c r="R141" s="1">
        <f t="shared" ca="1" si="144"/>
        <v>539</v>
      </c>
      <c r="S141" s="1"/>
      <c r="T141" s="1">
        <f t="shared" ca="1" si="145"/>
        <v>7.2813177568195275E-2</v>
      </c>
      <c r="U141" s="1">
        <f t="shared" ca="1" si="146"/>
        <v>405</v>
      </c>
      <c r="V141" s="1">
        <f t="shared" ca="1" si="147"/>
        <v>16</v>
      </c>
      <c r="W141" s="1"/>
      <c r="X141" s="1">
        <f t="shared" ca="1" si="148"/>
        <v>5.9973468737825444</v>
      </c>
      <c r="Y141" s="1">
        <f t="shared" ca="1" si="149"/>
        <v>5.5567941927028151E-2</v>
      </c>
      <c r="Z141" s="1">
        <f t="shared" ca="1" si="150"/>
        <v>1692</v>
      </c>
      <c r="AB141" s="1">
        <f t="shared" ca="1" si="151"/>
        <v>0.55754186191642496</v>
      </c>
      <c r="AC141" s="1">
        <f t="shared" ca="1" si="152"/>
        <v>707</v>
      </c>
      <c r="AD141" s="1">
        <f t="shared" ca="1" si="153"/>
        <v>3.086086142715313E-4</v>
      </c>
      <c r="AE141" s="1"/>
      <c r="AF141" s="1">
        <f t="shared" ca="1" si="154"/>
        <v>0.4653985762907612</v>
      </c>
      <c r="AG141" s="1">
        <f t="shared" ca="1" si="155"/>
        <v>538</v>
      </c>
      <c r="AH141" s="1">
        <f t="shared" ca="1" si="156"/>
        <v>5.5897142310829765E-3</v>
      </c>
      <c r="AJ141" s="1">
        <f t="shared" ca="1" si="157"/>
        <v>0.43964286488449977</v>
      </c>
      <c r="AK141" s="1">
        <f t="shared" ca="1" si="158"/>
        <v>4.9754491358022113E-3</v>
      </c>
      <c r="AL141" s="1"/>
      <c r="AM141" s="1">
        <f t="shared" ca="1" si="159"/>
        <v>2.5422006865209189E-2</v>
      </c>
      <c r="AN141" s="1">
        <f t="shared" ca="1" si="160"/>
        <v>30</v>
      </c>
      <c r="AO141" s="1">
        <f t="shared" ca="1" si="161"/>
        <v>6</v>
      </c>
      <c r="AQ141" s="1">
        <f t="shared" ca="1" si="162"/>
        <v>52</v>
      </c>
      <c r="AR141" s="1">
        <f t="shared" ca="1" si="163"/>
        <v>6</v>
      </c>
      <c r="AS141" s="1">
        <f t="shared" ca="1" si="164"/>
        <v>15</v>
      </c>
      <c r="AU141" s="1">
        <f t="shared" ca="1" si="165"/>
        <v>119</v>
      </c>
      <c r="AV141" s="1">
        <f t="shared" ca="1" si="166"/>
        <v>9</v>
      </c>
      <c r="AW141" s="1">
        <f t="shared" ca="1" si="167"/>
        <v>0.16230943876277307</v>
      </c>
      <c r="AY141" s="1">
        <f t="shared" ca="1" si="168"/>
        <v>1.776444360660502</v>
      </c>
      <c r="AZ141" s="1">
        <f t="shared" ca="1" si="169"/>
        <v>483</v>
      </c>
      <c r="BA141" s="1">
        <f t="shared" ca="1" si="170"/>
        <v>5.3072250476375452E-4</v>
      </c>
      <c r="BG141" s="1">
        <f t="shared" ca="1" si="171"/>
        <v>5.5269982370622264E-2</v>
      </c>
      <c r="BH141" s="1">
        <f t="shared" ca="1" si="172"/>
        <v>0.45310603952614914</v>
      </c>
      <c r="BI141" s="1">
        <f t="shared" ca="1" si="173"/>
        <v>707</v>
      </c>
      <c r="BV141" s="1">
        <f t="shared" ca="1" si="174"/>
        <v>0.37601743020998207</v>
      </c>
      <c r="BW141" s="1">
        <f t="shared" ca="1" si="175"/>
        <v>144</v>
      </c>
      <c r="BX141" s="1">
        <f t="shared" ca="1" si="176"/>
        <v>8.3741540838044391E-3</v>
      </c>
      <c r="BY141" s="1">
        <f t="shared" ca="1" si="177"/>
        <v>7.1145813411457426E-2</v>
      </c>
      <c r="BZ141" s="1">
        <f t="shared" ca="1" si="178"/>
        <v>0.88628167532873392</v>
      </c>
      <c r="CB141" s="1">
        <f t="shared" ca="1" si="179"/>
        <v>279</v>
      </c>
      <c r="CC141" s="1">
        <f t="shared" ca="1" si="180"/>
        <v>12</v>
      </c>
      <c r="CD141" s="1">
        <f t="shared" ca="1" si="181"/>
        <v>0.23009232502470872</v>
      </c>
      <c r="CE141" s="1">
        <f t="shared" ca="1" si="182"/>
        <v>0.65692369416749452</v>
      </c>
      <c r="CF141" s="1">
        <f t="shared" ca="1" si="182"/>
        <v>0.91968543329350139</v>
      </c>
      <c r="CH141" s="3">
        <f t="shared" ca="1" si="183"/>
        <v>0.63417492923579977</v>
      </c>
      <c r="CI141" s="3">
        <f t="shared" ca="1" si="184"/>
        <v>0.48939738860006698</v>
      </c>
      <c r="CJ141" s="3">
        <f t="shared" ca="1" si="185"/>
        <v>906</v>
      </c>
      <c r="CK141" s="3">
        <f t="shared" ca="1" si="186"/>
        <v>2.4599772147662945E-3</v>
      </c>
      <c r="CL141" s="3">
        <f t="shared" ca="1" si="187"/>
        <v>1</v>
      </c>
      <c r="CM141" s="3"/>
      <c r="CN141" s="1">
        <f t="shared" ca="1" si="188"/>
        <v>0.6511590474016673</v>
      </c>
      <c r="CO141" s="1">
        <f t="shared" ca="1" si="189"/>
        <v>7.7850921140168242E-3</v>
      </c>
      <c r="CP141" s="1">
        <f t="shared" ca="1" si="190"/>
        <v>1</v>
      </c>
      <c r="DH141" s="1">
        <f t="shared" ca="1" si="191"/>
        <v>704</v>
      </c>
      <c r="DI141" s="1">
        <f t="shared" ca="1" si="192"/>
        <v>0.1781168374858238</v>
      </c>
      <c r="DJ141" s="1">
        <f t="shared" ca="1" si="193"/>
        <v>15</v>
      </c>
      <c r="DL141" s="1">
        <f t="shared" ca="1" si="194"/>
        <v>5.9697838112339439E-2</v>
      </c>
      <c r="DM141" s="1">
        <f t="shared" ca="1" si="195"/>
        <v>294</v>
      </c>
      <c r="DN141" s="1">
        <f t="shared" ca="1" si="196"/>
        <v>2</v>
      </c>
    </row>
    <row r="142" spans="2:118" x14ac:dyDescent="0.25">
      <c r="B142">
        <f t="shared" ca="1" si="132"/>
        <v>433</v>
      </c>
      <c r="C142">
        <f t="shared" ca="1" si="133"/>
        <v>22</v>
      </c>
      <c r="D142">
        <f t="shared" ca="1" si="134"/>
        <v>0.28552425206710513</v>
      </c>
      <c r="F142" s="1">
        <f t="shared" ca="1" si="135"/>
        <v>9</v>
      </c>
      <c r="G142" s="1">
        <f t="shared" ca="1" si="136"/>
        <v>19</v>
      </c>
      <c r="H142" s="1">
        <f t="shared" ca="1" si="137"/>
        <v>13</v>
      </c>
      <c r="I142" s="1"/>
      <c r="J142" s="1">
        <f t="shared" ca="1" si="138"/>
        <v>2</v>
      </c>
      <c r="K142" s="1">
        <f t="shared" ca="1" si="139"/>
        <v>1.3720566556809901</v>
      </c>
      <c r="L142" s="1">
        <f t="shared" ca="1" si="140"/>
        <v>10</v>
      </c>
      <c r="M142" s="1"/>
      <c r="N142" s="1">
        <f t="shared" ca="1" si="141"/>
        <v>295</v>
      </c>
      <c r="O142" s="1">
        <f t="shared" ca="1" si="142"/>
        <v>3</v>
      </c>
      <c r="P142" s="1"/>
      <c r="Q142" s="1">
        <f t="shared" ca="1" si="143"/>
        <v>1.5561465516232003</v>
      </c>
      <c r="R142" s="1">
        <f t="shared" ca="1" si="144"/>
        <v>949</v>
      </c>
      <c r="S142" s="1"/>
      <c r="T142" s="1">
        <f t="shared" ca="1" si="145"/>
        <v>0.14427554474403376</v>
      </c>
      <c r="U142" s="1">
        <f t="shared" ca="1" si="146"/>
        <v>352</v>
      </c>
      <c r="V142" s="1">
        <f t="shared" ca="1" si="147"/>
        <v>8</v>
      </c>
      <c r="W142" s="1"/>
      <c r="X142" s="1">
        <f t="shared" ca="1" si="148"/>
        <v>7.2639800099529452</v>
      </c>
      <c r="Y142" s="1">
        <f t="shared" ca="1" si="149"/>
        <v>5.6975880676172874E-2</v>
      </c>
      <c r="Z142" s="1">
        <f t="shared" ca="1" si="150"/>
        <v>974</v>
      </c>
      <c r="AB142" s="1">
        <f t="shared" ca="1" si="151"/>
        <v>0.47726645816146562</v>
      </c>
      <c r="AC142" s="1">
        <f t="shared" ca="1" si="152"/>
        <v>479</v>
      </c>
      <c r="AD142" s="1">
        <f t="shared" ca="1" si="153"/>
        <v>3.8154272528301515E-3</v>
      </c>
      <c r="AE142" s="1"/>
      <c r="AF142" s="1">
        <f t="shared" ca="1" si="154"/>
        <v>0.86496054434991243</v>
      </c>
      <c r="AG142" s="1">
        <f t="shared" ca="1" si="155"/>
        <v>794</v>
      </c>
      <c r="AH142" s="1">
        <f t="shared" ca="1" si="156"/>
        <v>1.3150986847022488E-4</v>
      </c>
      <c r="AJ142" s="1">
        <f t="shared" ca="1" si="157"/>
        <v>1.5051135238840385E-2</v>
      </c>
      <c r="AK142" s="1">
        <f t="shared" ca="1" si="158"/>
        <v>8.5977841707120435E-4</v>
      </c>
      <c r="AL142" s="1"/>
      <c r="AM142" s="1">
        <f t="shared" ca="1" si="159"/>
        <v>0.10971281986394757</v>
      </c>
      <c r="AN142" s="1">
        <f t="shared" ca="1" si="160"/>
        <v>25</v>
      </c>
      <c r="AO142" s="1">
        <f t="shared" ca="1" si="161"/>
        <v>18</v>
      </c>
      <c r="AQ142" s="1">
        <f t="shared" ca="1" si="162"/>
        <v>190</v>
      </c>
      <c r="AR142" s="1">
        <f t="shared" ca="1" si="163"/>
        <v>9</v>
      </c>
      <c r="AS142" s="1">
        <f t="shared" ca="1" si="164"/>
        <v>72</v>
      </c>
      <c r="AU142" s="1">
        <f t="shared" ca="1" si="165"/>
        <v>115</v>
      </c>
      <c r="AV142" s="1">
        <f t="shared" ca="1" si="166"/>
        <v>7</v>
      </c>
      <c r="AW142" s="1">
        <f t="shared" ca="1" si="167"/>
        <v>7.969950262831127E-2</v>
      </c>
      <c r="AY142" s="1">
        <f t="shared" ca="1" si="168"/>
        <v>1.7033602217934307</v>
      </c>
      <c r="AZ142" s="1">
        <f t="shared" ca="1" si="169"/>
        <v>294</v>
      </c>
      <c r="BA142" s="1">
        <f t="shared" ca="1" si="170"/>
        <v>4.8560006785618066E-3</v>
      </c>
      <c r="BG142" s="1">
        <f t="shared" ca="1" si="171"/>
        <v>1.052006046041035E-2</v>
      </c>
      <c r="BH142" s="1">
        <f t="shared" ca="1" si="172"/>
        <v>6.7580088726748588E-2</v>
      </c>
      <c r="BI142" s="1">
        <f t="shared" ca="1" si="173"/>
        <v>855</v>
      </c>
      <c r="BV142" s="1">
        <f t="shared" ca="1" si="174"/>
        <v>8.0136273968761072E-3</v>
      </c>
      <c r="BW142" s="1">
        <f t="shared" ca="1" si="175"/>
        <v>855</v>
      </c>
      <c r="BX142" s="1">
        <f t="shared" ca="1" si="176"/>
        <v>3.2022973383145498E-3</v>
      </c>
      <c r="BY142" s="1">
        <f t="shared" ca="1" si="177"/>
        <v>9.6723758079679742E-2</v>
      </c>
      <c r="BZ142" s="1">
        <f t="shared" ca="1" si="178"/>
        <v>0.88490792723643585</v>
      </c>
      <c r="CB142" s="1">
        <f t="shared" ca="1" si="179"/>
        <v>402</v>
      </c>
      <c r="CC142" s="1">
        <f t="shared" ca="1" si="180"/>
        <v>13</v>
      </c>
      <c r="CD142" s="1">
        <f t="shared" ca="1" si="181"/>
        <v>2.4089130203623174E-2</v>
      </c>
      <c r="CE142" s="1">
        <f t="shared" ca="1" si="182"/>
        <v>0.56873842540279096</v>
      </c>
      <c r="CF142" s="1">
        <f t="shared" ca="1" si="182"/>
        <v>0.6055941420108002</v>
      </c>
      <c r="CH142" s="3">
        <f t="shared" ca="1" si="183"/>
        <v>0.33883381676155921</v>
      </c>
      <c r="CI142" s="3">
        <f t="shared" ca="1" si="184"/>
        <v>1.1861952029593909E-2</v>
      </c>
      <c r="CJ142" s="3">
        <f t="shared" ca="1" si="185"/>
        <v>161</v>
      </c>
      <c r="CK142" s="3">
        <f t="shared" ca="1" si="186"/>
        <v>4.5116304586540592E-3</v>
      </c>
      <c r="CL142" s="3">
        <f t="shared" ca="1" si="187"/>
        <v>0</v>
      </c>
      <c r="CM142" s="3"/>
      <c r="CN142" s="1">
        <f t="shared" ca="1" si="188"/>
        <v>3.7460454537192964</v>
      </c>
      <c r="CO142" s="1">
        <f t="shared" ca="1" si="189"/>
        <v>0.49532487437525741</v>
      </c>
      <c r="CP142" s="1">
        <f t="shared" ca="1" si="190"/>
        <v>5</v>
      </c>
      <c r="DH142" s="1">
        <f t="shared" ca="1" si="191"/>
        <v>664</v>
      </c>
      <c r="DI142" s="1">
        <f t="shared" ca="1" si="192"/>
        <v>0.54262950567839774</v>
      </c>
      <c r="DJ142" s="1">
        <f t="shared" ca="1" si="193"/>
        <v>27</v>
      </c>
      <c r="DL142" s="1">
        <f t="shared" ca="1" si="194"/>
        <v>0.17314159997746648</v>
      </c>
      <c r="DM142" s="1">
        <f t="shared" ca="1" si="195"/>
        <v>111</v>
      </c>
      <c r="DN142" s="1">
        <f t="shared" ca="1" si="196"/>
        <v>6</v>
      </c>
    </row>
    <row r="143" spans="2:118" x14ac:dyDescent="0.25">
      <c r="B143">
        <f t="shared" ca="1" si="132"/>
        <v>326</v>
      </c>
      <c r="C143">
        <f t="shared" ca="1" si="133"/>
        <v>14</v>
      </c>
      <c r="D143">
        <f t="shared" ca="1" si="134"/>
        <v>0.2613238570126673</v>
      </c>
      <c r="F143" s="1">
        <f t="shared" ca="1" si="135"/>
        <v>34</v>
      </c>
      <c r="G143" s="1">
        <f t="shared" ca="1" si="136"/>
        <v>5</v>
      </c>
      <c r="H143" s="1">
        <f t="shared" ca="1" si="137"/>
        <v>15</v>
      </c>
      <c r="I143" s="1"/>
      <c r="J143" s="1">
        <f t="shared" ca="1" si="138"/>
        <v>21</v>
      </c>
      <c r="K143" s="1">
        <f t="shared" ca="1" si="139"/>
        <v>2.6912638767255599</v>
      </c>
      <c r="L143" s="1">
        <f t="shared" ca="1" si="140"/>
        <v>14</v>
      </c>
      <c r="M143" s="1"/>
      <c r="N143" s="1">
        <f t="shared" ca="1" si="141"/>
        <v>275</v>
      </c>
      <c r="O143" s="1">
        <f t="shared" ca="1" si="142"/>
        <v>19</v>
      </c>
      <c r="P143" s="1"/>
      <c r="Q143" s="1">
        <f t="shared" ca="1" si="143"/>
        <v>0.8176697686713883</v>
      </c>
      <c r="R143" s="1">
        <f t="shared" ca="1" si="144"/>
        <v>451</v>
      </c>
      <c r="S143" s="1"/>
      <c r="T143" s="1">
        <f t="shared" ca="1" si="145"/>
        <v>0.18104374625706107</v>
      </c>
      <c r="U143" s="1">
        <f t="shared" ca="1" si="146"/>
        <v>296</v>
      </c>
      <c r="V143" s="1">
        <f t="shared" ca="1" si="147"/>
        <v>18</v>
      </c>
      <c r="W143" s="1"/>
      <c r="X143" s="1">
        <f t="shared" ca="1" si="148"/>
        <v>0.32971587905110539</v>
      </c>
      <c r="Y143" s="1">
        <f t="shared" ca="1" si="149"/>
        <v>0.81835264266378105</v>
      </c>
      <c r="Z143" s="1">
        <f t="shared" ca="1" si="150"/>
        <v>624</v>
      </c>
      <c r="AB143" s="1">
        <f t="shared" ca="1" si="151"/>
        <v>0.23342620049037949</v>
      </c>
      <c r="AC143" s="1">
        <f t="shared" ca="1" si="152"/>
        <v>328</v>
      </c>
      <c r="AD143" s="1">
        <f t="shared" ca="1" si="153"/>
        <v>4.4025435223857545E-3</v>
      </c>
      <c r="AE143" s="1"/>
      <c r="AF143" s="1">
        <f t="shared" ca="1" si="154"/>
        <v>0.29558223952953033</v>
      </c>
      <c r="AG143" s="1">
        <f t="shared" ca="1" si="155"/>
        <v>219</v>
      </c>
      <c r="AH143" s="1">
        <f t="shared" ca="1" si="156"/>
        <v>5.217489942563814E-3</v>
      </c>
      <c r="AJ143" s="1">
        <f t="shared" ca="1" si="157"/>
        <v>0.6654927496475993</v>
      </c>
      <c r="AK143" s="1">
        <f t="shared" ca="1" si="158"/>
        <v>4.0381318757904848E-3</v>
      </c>
      <c r="AL143" s="1"/>
      <c r="AM143" s="1">
        <f t="shared" ca="1" si="159"/>
        <v>8.9722220720833815E-2</v>
      </c>
      <c r="AN143" s="1">
        <f t="shared" ca="1" si="160"/>
        <v>17</v>
      </c>
      <c r="AO143" s="1">
        <f t="shared" ca="1" si="161"/>
        <v>13</v>
      </c>
      <c r="AQ143" s="1">
        <f t="shared" ca="1" si="162"/>
        <v>44</v>
      </c>
      <c r="AR143" s="1">
        <f t="shared" ca="1" si="163"/>
        <v>10</v>
      </c>
      <c r="AS143" s="1">
        <f t="shared" ca="1" si="164"/>
        <v>6</v>
      </c>
      <c r="AU143" s="1">
        <f t="shared" ca="1" si="165"/>
        <v>105</v>
      </c>
      <c r="AV143" s="1">
        <f t="shared" ca="1" si="166"/>
        <v>10</v>
      </c>
      <c r="AW143" s="1">
        <f t="shared" ca="1" si="167"/>
        <v>0.18132535723522181</v>
      </c>
      <c r="AY143" s="1">
        <f t="shared" ca="1" si="168"/>
        <v>1.2169417096054409</v>
      </c>
      <c r="AZ143" s="1">
        <f t="shared" ca="1" si="169"/>
        <v>287</v>
      </c>
      <c r="BA143" s="1">
        <f t="shared" ca="1" si="170"/>
        <v>4.653192755965911E-3</v>
      </c>
      <c r="BG143" s="1">
        <f t="shared" ca="1" si="171"/>
        <v>0.66585677892772488</v>
      </c>
      <c r="BH143" s="1">
        <f t="shared" ca="1" si="172"/>
        <v>0.79116806925975069</v>
      </c>
      <c r="BI143" s="1">
        <f t="shared" ca="1" si="173"/>
        <v>323</v>
      </c>
      <c r="BV143" s="1">
        <f t="shared" ca="1" si="174"/>
        <v>0.80907761664751165</v>
      </c>
      <c r="BW143" s="1">
        <f t="shared" ca="1" si="175"/>
        <v>598</v>
      </c>
      <c r="BX143" s="1">
        <f t="shared" ca="1" si="176"/>
        <v>1.7743594035849349E-3</v>
      </c>
      <c r="BY143" s="1">
        <f t="shared" ca="1" si="177"/>
        <v>3.6713477610432865E-2</v>
      </c>
      <c r="BZ143" s="1">
        <f t="shared" ca="1" si="178"/>
        <v>0.31115325837021657</v>
      </c>
      <c r="CB143" s="1">
        <f t="shared" ca="1" si="179"/>
        <v>385</v>
      </c>
      <c r="CC143" s="1">
        <f t="shared" ca="1" si="180"/>
        <v>11</v>
      </c>
      <c r="CD143" s="1">
        <f t="shared" ca="1" si="181"/>
        <v>0.17656258078238943</v>
      </c>
      <c r="CE143" s="1">
        <f t="shared" ca="1" si="182"/>
        <v>0.67132891571927011</v>
      </c>
      <c r="CF143" s="1">
        <f t="shared" ca="1" si="182"/>
        <v>0.79590428903831767</v>
      </c>
      <c r="CH143" s="3">
        <f t="shared" ca="1" si="183"/>
        <v>0.18827914185789135</v>
      </c>
      <c r="CI143" s="3">
        <f t="shared" ca="1" si="184"/>
        <v>0.18142906307007894</v>
      </c>
      <c r="CJ143" s="3">
        <f t="shared" ca="1" si="185"/>
        <v>112</v>
      </c>
      <c r="CK143" s="3">
        <f t="shared" ca="1" si="186"/>
        <v>3.6980027440271392E-4</v>
      </c>
      <c r="CL143" s="3">
        <f t="shared" ca="1" si="187"/>
        <v>0</v>
      </c>
      <c r="CM143" s="3"/>
      <c r="CN143" s="1">
        <f t="shared" ca="1" si="188"/>
        <v>19.799896116459113</v>
      </c>
      <c r="CO143" s="1">
        <f t="shared" ca="1" si="189"/>
        <v>0.43592171002075308</v>
      </c>
      <c r="CP143" s="1">
        <f t="shared" ca="1" si="190"/>
        <v>5</v>
      </c>
      <c r="DH143" s="1">
        <f t="shared" ca="1" si="191"/>
        <v>812</v>
      </c>
      <c r="DI143" s="1">
        <f t="shared" ca="1" si="192"/>
        <v>0.97009616361373918</v>
      </c>
      <c r="DJ143" s="1">
        <f t="shared" ca="1" si="193"/>
        <v>16</v>
      </c>
      <c r="DL143" s="1">
        <f t="shared" ca="1" si="194"/>
        <v>6.6468435849251953E-2</v>
      </c>
      <c r="DM143" s="1">
        <f t="shared" ca="1" si="195"/>
        <v>170</v>
      </c>
      <c r="DN143" s="1">
        <f t="shared" ca="1" si="196"/>
        <v>4</v>
      </c>
    </row>
    <row r="144" spans="2:118" x14ac:dyDescent="0.25">
      <c r="B144">
        <f t="shared" ca="1" si="132"/>
        <v>622</v>
      </c>
      <c r="C144">
        <f t="shared" ca="1" si="133"/>
        <v>41</v>
      </c>
      <c r="D144">
        <f t="shared" ca="1" si="134"/>
        <v>0.27102451196206501</v>
      </c>
      <c r="F144" s="1">
        <f t="shared" ca="1" si="135"/>
        <v>45</v>
      </c>
      <c r="G144" s="1">
        <f t="shared" ca="1" si="136"/>
        <v>30</v>
      </c>
      <c r="H144" s="1">
        <f t="shared" ca="1" si="137"/>
        <v>12</v>
      </c>
      <c r="I144" s="1"/>
      <c r="J144" s="1">
        <f t="shared" ca="1" si="138"/>
        <v>2</v>
      </c>
      <c r="K144" s="1">
        <f t="shared" ca="1" si="139"/>
        <v>2.6006248441879629</v>
      </c>
      <c r="L144" s="1">
        <f t="shared" ca="1" si="140"/>
        <v>22</v>
      </c>
      <c r="M144" s="1"/>
      <c r="N144" s="1">
        <f t="shared" ca="1" si="141"/>
        <v>526</v>
      </c>
      <c r="O144" s="1">
        <f t="shared" ca="1" si="142"/>
        <v>31</v>
      </c>
      <c r="P144" s="1"/>
      <c r="Q144" s="1">
        <f t="shared" ca="1" si="143"/>
        <v>3.4868236287944283</v>
      </c>
      <c r="R144" s="1">
        <f t="shared" ca="1" si="144"/>
        <v>443</v>
      </c>
      <c r="S144" s="1"/>
      <c r="T144" s="1">
        <f t="shared" ca="1" si="145"/>
        <v>0.16193556330154141</v>
      </c>
      <c r="U144" s="1">
        <f t="shared" ca="1" si="146"/>
        <v>331</v>
      </c>
      <c r="V144" s="1">
        <f t="shared" ca="1" si="147"/>
        <v>10</v>
      </c>
      <c r="W144" s="1"/>
      <c r="X144" s="1">
        <f t="shared" ca="1" si="148"/>
        <v>4.0450181543972672</v>
      </c>
      <c r="Y144" s="1">
        <f t="shared" ca="1" si="149"/>
        <v>0.6143310195873507</v>
      </c>
      <c r="Z144" s="1">
        <f t="shared" ca="1" si="150"/>
        <v>357</v>
      </c>
      <c r="AB144" s="1">
        <f t="shared" ca="1" si="151"/>
        <v>0.33763896592280412</v>
      </c>
      <c r="AC144" s="1">
        <f t="shared" ca="1" si="152"/>
        <v>941</v>
      </c>
      <c r="AD144" s="1">
        <f t="shared" ca="1" si="153"/>
        <v>6.5673918515110237E-3</v>
      </c>
      <c r="AE144" s="1"/>
      <c r="AF144" s="1">
        <f t="shared" ca="1" si="154"/>
        <v>0.82026709871216663</v>
      </c>
      <c r="AG144" s="1">
        <f t="shared" ca="1" si="155"/>
        <v>710</v>
      </c>
      <c r="AH144" s="1">
        <f t="shared" ca="1" si="156"/>
        <v>5.9487256021838976E-3</v>
      </c>
      <c r="AJ144" s="1">
        <f t="shared" ca="1" si="157"/>
        <v>0.88087815687535553</v>
      </c>
      <c r="AK144" s="1">
        <f t="shared" ca="1" si="158"/>
        <v>9.6780919969014258E-3</v>
      </c>
      <c r="AL144" s="1"/>
      <c r="AM144" s="1">
        <f t="shared" ca="1" si="159"/>
        <v>5.355537169825423E-2</v>
      </c>
      <c r="AN144" s="1">
        <f t="shared" ca="1" si="160"/>
        <v>32</v>
      </c>
      <c r="AO144" s="1">
        <f t="shared" ca="1" si="161"/>
        <v>0</v>
      </c>
      <c r="AQ144" s="1">
        <f t="shared" ca="1" si="162"/>
        <v>68</v>
      </c>
      <c r="AR144" s="1">
        <f t="shared" ca="1" si="163"/>
        <v>8</v>
      </c>
      <c r="AS144" s="1">
        <f t="shared" ca="1" si="164"/>
        <v>36</v>
      </c>
      <c r="AU144" s="1">
        <f t="shared" ca="1" si="165"/>
        <v>389</v>
      </c>
      <c r="AV144" s="1">
        <f t="shared" ca="1" si="166"/>
        <v>3</v>
      </c>
      <c r="AW144" s="1">
        <f t="shared" ca="1" si="167"/>
        <v>0.15021344608250981</v>
      </c>
      <c r="AY144" s="1">
        <f t="shared" ca="1" si="168"/>
        <v>1.6669482548634589</v>
      </c>
      <c r="AZ144" s="1">
        <f t="shared" ca="1" si="169"/>
        <v>195</v>
      </c>
      <c r="BA144" s="1">
        <f t="shared" ca="1" si="170"/>
        <v>8.5168937770641073E-4</v>
      </c>
      <c r="BG144" s="1">
        <f t="shared" ca="1" si="171"/>
        <v>0.72222736826492662</v>
      </c>
      <c r="BH144" s="1">
        <f t="shared" ca="1" si="172"/>
        <v>0.11737189564999662</v>
      </c>
      <c r="BI144" s="1">
        <f t="shared" ca="1" si="173"/>
        <v>954</v>
      </c>
      <c r="BV144" s="1">
        <f t="shared" ca="1" si="174"/>
        <v>0.64272734638456053</v>
      </c>
      <c r="BW144" s="1">
        <f t="shared" ca="1" si="175"/>
        <v>827</v>
      </c>
      <c r="BX144" s="1">
        <f t="shared" ca="1" si="176"/>
        <v>6.5588199800863773E-4</v>
      </c>
      <c r="BY144" s="1">
        <f t="shared" ca="1" si="177"/>
        <v>6.3220898219055632E-2</v>
      </c>
      <c r="BZ144" s="1">
        <f t="shared" ca="1" si="178"/>
        <v>8.9475077009864568E-2</v>
      </c>
      <c r="CB144" s="1">
        <f t="shared" ca="1" si="179"/>
        <v>276</v>
      </c>
      <c r="CC144" s="1">
        <f t="shared" ca="1" si="180"/>
        <v>9</v>
      </c>
      <c r="CD144" s="1">
        <f t="shared" ca="1" si="181"/>
        <v>7.6579075330867788E-2</v>
      </c>
      <c r="CE144" s="1">
        <f t="shared" ca="1" si="182"/>
        <v>0.96868227497908932</v>
      </c>
      <c r="CF144" s="1">
        <f t="shared" ca="1" si="182"/>
        <v>0.50279862759393779</v>
      </c>
      <c r="CH144" s="3">
        <f t="shared" ca="1" si="183"/>
        <v>6.4997826233321815E-2</v>
      </c>
      <c r="CI144" s="3">
        <f t="shared" ca="1" si="184"/>
        <v>0.13152148822946172</v>
      </c>
      <c r="CJ144" s="3">
        <f t="shared" ca="1" si="185"/>
        <v>103</v>
      </c>
      <c r="CK144" s="3">
        <f t="shared" ca="1" si="186"/>
        <v>7.0843206359837299E-3</v>
      </c>
      <c r="CL144" s="3">
        <f t="shared" ca="1" si="187"/>
        <v>0</v>
      </c>
      <c r="CM144" s="3"/>
      <c r="CN144" s="1">
        <f t="shared" ca="1" si="188"/>
        <v>18.71145830455843</v>
      </c>
      <c r="CO144" s="1">
        <f t="shared" ca="1" si="189"/>
        <v>0.49335127985081095</v>
      </c>
      <c r="CP144" s="1">
        <f t="shared" ca="1" si="190"/>
        <v>3</v>
      </c>
      <c r="DH144" s="1">
        <f t="shared" ca="1" si="191"/>
        <v>743</v>
      </c>
      <c r="DI144" s="1">
        <f t="shared" ca="1" si="192"/>
        <v>0.15933288978963439</v>
      </c>
      <c r="DJ144" s="1">
        <f t="shared" ca="1" si="193"/>
        <v>18</v>
      </c>
      <c r="DL144" s="1">
        <f t="shared" ca="1" si="194"/>
        <v>4.6862891810112862E-2</v>
      </c>
      <c r="DM144" s="1">
        <f t="shared" ca="1" si="195"/>
        <v>242</v>
      </c>
      <c r="DN144" s="1">
        <f t="shared" ca="1" si="196"/>
        <v>4</v>
      </c>
    </row>
    <row r="145" spans="2:118" x14ac:dyDescent="0.25">
      <c r="B145">
        <f t="shared" ca="1" si="132"/>
        <v>342</v>
      </c>
      <c r="C145">
        <f t="shared" ca="1" si="133"/>
        <v>5</v>
      </c>
      <c r="D145">
        <f t="shared" ca="1" si="134"/>
        <v>6.9480595994026062E-2</v>
      </c>
      <c r="F145" s="1">
        <f t="shared" ca="1" si="135"/>
        <v>37</v>
      </c>
      <c r="G145" s="1">
        <f t="shared" ca="1" si="136"/>
        <v>26</v>
      </c>
      <c r="H145" s="1">
        <f t="shared" ca="1" si="137"/>
        <v>8</v>
      </c>
      <c r="I145" s="1"/>
      <c r="J145" s="1">
        <f t="shared" ca="1" si="138"/>
        <v>34</v>
      </c>
      <c r="K145" s="1">
        <f t="shared" ca="1" si="139"/>
        <v>2.0334141831923498</v>
      </c>
      <c r="L145" s="1">
        <f t="shared" ca="1" si="140"/>
        <v>27</v>
      </c>
      <c r="M145" s="1"/>
      <c r="N145" s="1">
        <f t="shared" ca="1" si="141"/>
        <v>405</v>
      </c>
      <c r="O145" s="1">
        <f t="shared" ca="1" si="142"/>
        <v>10</v>
      </c>
      <c r="P145" s="1"/>
      <c r="Q145" s="1">
        <f t="shared" ca="1" si="143"/>
        <v>4.2247896792283495</v>
      </c>
      <c r="R145" s="1">
        <f t="shared" ca="1" si="144"/>
        <v>556</v>
      </c>
      <c r="S145" s="1"/>
      <c r="T145" s="1">
        <f t="shared" ca="1" si="145"/>
        <v>0.19918185389926149</v>
      </c>
      <c r="U145" s="1">
        <f t="shared" ca="1" si="146"/>
        <v>287</v>
      </c>
      <c r="V145" s="1">
        <f t="shared" ca="1" si="147"/>
        <v>21</v>
      </c>
      <c r="W145" s="1"/>
      <c r="X145" s="1">
        <f t="shared" ca="1" si="148"/>
        <v>5.4274264759064348</v>
      </c>
      <c r="Y145" s="1">
        <f t="shared" ca="1" si="149"/>
        <v>0.36522959976545344</v>
      </c>
      <c r="Z145" s="1">
        <f t="shared" ca="1" si="150"/>
        <v>1384</v>
      </c>
      <c r="AB145" s="1">
        <f t="shared" ca="1" si="151"/>
        <v>0.22033621052843766</v>
      </c>
      <c r="AC145" s="1">
        <f t="shared" ca="1" si="152"/>
        <v>975</v>
      </c>
      <c r="AD145" s="1">
        <f t="shared" ca="1" si="153"/>
        <v>2.3677656170170581E-3</v>
      </c>
      <c r="AE145" s="1"/>
      <c r="AF145" s="1">
        <f t="shared" ca="1" si="154"/>
        <v>0.57859159143039818</v>
      </c>
      <c r="AG145" s="1">
        <f t="shared" ca="1" si="155"/>
        <v>776</v>
      </c>
      <c r="AH145" s="1">
        <f t="shared" ca="1" si="156"/>
        <v>4.6580629668929955E-3</v>
      </c>
      <c r="AJ145" s="1">
        <f t="shared" ca="1" si="157"/>
        <v>0.17785932834787233</v>
      </c>
      <c r="AK145" s="1">
        <f t="shared" ca="1" si="158"/>
        <v>5.2994461440359951E-3</v>
      </c>
      <c r="AL145" s="1"/>
      <c r="AM145" s="1">
        <f t="shared" ca="1" si="159"/>
        <v>0.18615589874878746</v>
      </c>
      <c r="AN145" s="1">
        <f t="shared" ca="1" si="160"/>
        <v>79</v>
      </c>
      <c r="AO145" s="1">
        <f t="shared" ca="1" si="161"/>
        <v>2</v>
      </c>
      <c r="AQ145" s="1">
        <f t="shared" ca="1" si="162"/>
        <v>165</v>
      </c>
      <c r="AR145" s="1">
        <f t="shared" ca="1" si="163"/>
        <v>9</v>
      </c>
      <c r="AS145" s="1">
        <f t="shared" ca="1" si="164"/>
        <v>51</v>
      </c>
      <c r="AU145" s="1">
        <f t="shared" ca="1" si="165"/>
        <v>235</v>
      </c>
      <c r="AV145" s="1">
        <f t="shared" ca="1" si="166"/>
        <v>8</v>
      </c>
      <c r="AW145" s="1">
        <f t="shared" ca="1" si="167"/>
        <v>0.15702666878573127</v>
      </c>
      <c r="AY145" s="1">
        <f t="shared" ca="1" si="168"/>
        <v>1.9114872815962052</v>
      </c>
      <c r="AZ145" s="1">
        <f t="shared" ca="1" si="169"/>
        <v>52</v>
      </c>
      <c r="BA145" s="1">
        <f t="shared" ca="1" si="170"/>
        <v>7.6595520350780594E-3</v>
      </c>
      <c r="BG145" s="1">
        <f t="shared" ca="1" si="171"/>
        <v>0.8078902307877579</v>
      </c>
      <c r="BH145" s="1">
        <f t="shared" ca="1" si="172"/>
        <v>0.98550326933823895</v>
      </c>
      <c r="BI145" s="1">
        <f t="shared" ca="1" si="173"/>
        <v>916</v>
      </c>
      <c r="BV145" s="1">
        <f t="shared" ca="1" si="174"/>
        <v>0.17542572714099924</v>
      </c>
      <c r="BW145" s="1">
        <f t="shared" ca="1" si="175"/>
        <v>985</v>
      </c>
      <c r="BX145" s="1">
        <f t="shared" ca="1" si="176"/>
        <v>3.7256448267841925E-3</v>
      </c>
      <c r="BY145" s="1">
        <f t="shared" ca="1" si="177"/>
        <v>3.5804915614913002E-2</v>
      </c>
      <c r="BZ145" s="1">
        <f t="shared" ca="1" si="178"/>
        <v>0.12105508761932537</v>
      </c>
      <c r="CB145" s="1">
        <f t="shared" ca="1" si="179"/>
        <v>297</v>
      </c>
      <c r="CC145" s="1">
        <f t="shared" ca="1" si="180"/>
        <v>11</v>
      </c>
      <c r="CD145" s="1">
        <f t="shared" ca="1" si="181"/>
        <v>0.11451415377053725</v>
      </c>
      <c r="CE145" s="1">
        <f t="shared" ca="1" si="182"/>
        <v>0.61336567673318054</v>
      </c>
      <c r="CF145" s="1">
        <f t="shared" ca="1" si="182"/>
        <v>0.99324218194614788</v>
      </c>
      <c r="CH145" s="3">
        <f t="shared" ca="1" si="183"/>
        <v>0.48453234053841732</v>
      </c>
      <c r="CI145" s="3">
        <f t="shared" ca="1" si="184"/>
        <v>0.88889355733243247</v>
      </c>
      <c r="CJ145" s="3">
        <f t="shared" ca="1" si="185"/>
        <v>1691</v>
      </c>
      <c r="CK145" s="3">
        <f t="shared" ca="1" si="186"/>
        <v>3.0591630980292116E-3</v>
      </c>
      <c r="CL145" s="3">
        <f t="shared" ca="1" si="187"/>
        <v>1</v>
      </c>
      <c r="CM145" s="3"/>
      <c r="CN145" s="1">
        <f t="shared" ca="1" si="188"/>
        <v>6.1331246236100183</v>
      </c>
      <c r="CO145" s="1">
        <f t="shared" ca="1" si="189"/>
        <v>0.44365486039968982</v>
      </c>
      <c r="CP145" s="1">
        <f t="shared" ca="1" si="190"/>
        <v>2</v>
      </c>
      <c r="DH145" s="1">
        <f t="shared" ca="1" si="191"/>
        <v>346</v>
      </c>
      <c r="DI145" s="1">
        <f t="shared" ca="1" si="192"/>
        <v>0.98775753598587845</v>
      </c>
      <c r="DJ145" s="1">
        <f t="shared" ca="1" si="193"/>
        <v>1</v>
      </c>
      <c r="DL145" s="1">
        <f t="shared" ca="1" si="194"/>
        <v>0.10374092908930609</v>
      </c>
      <c r="DM145" s="1">
        <f t="shared" ca="1" si="195"/>
        <v>209</v>
      </c>
      <c r="DN145" s="1">
        <f t="shared" ca="1" si="196"/>
        <v>1</v>
      </c>
    </row>
    <row r="146" spans="2:118" x14ac:dyDescent="0.25">
      <c r="B146">
        <f t="shared" ca="1" si="132"/>
        <v>482</v>
      </c>
      <c r="C146">
        <f t="shared" ca="1" si="133"/>
        <v>26</v>
      </c>
      <c r="D146">
        <f t="shared" ca="1" si="134"/>
        <v>0.18974342276321202</v>
      </c>
      <c r="F146" s="1">
        <f t="shared" ca="1" si="135"/>
        <v>9</v>
      </c>
      <c r="G146" s="1">
        <f t="shared" ca="1" si="136"/>
        <v>30</v>
      </c>
      <c r="H146" s="1">
        <f t="shared" ca="1" si="137"/>
        <v>6</v>
      </c>
      <c r="I146" s="1"/>
      <c r="J146" s="1">
        <f t="shared" ca="1" si="138"/>
        <v>2</v>
      </c>
      <c r="K146" s="1">
        <f t="shared" ca="1" si="139"/>
        <v>2.4292481409564837</v>
      </c>
      <c r="L146" s="1">
        <f t="shared" ca="1" si="140"/>
        <v>35</v>
      </c>
      <c r="M146" s="1"/>
      <c r="N146" s="1">
        <f t="shared" ca="1" si="141"/>
        <v>903</v>
      </c>
      <c r="O146" s="1">
        <f t="shared" ca="1" si="142"/>
        <v>42</v>
      </c>
      <c r="P146" s="1"/>
      <c r="Q146" s="1">
        <f t="shared" ca="1" si="143"/>
        <v>3.0333530275105227</v>
      </c>
      <c r="R146" s="1">
        <f t="shared" ca="1" si="144"/>
        <v>1096</v>
      </c>
      <c r="S146" s="1"/>
      <c r="T146" s="1">
        <f t="shared" ca="1" si="145"/>
        <v>9.7313703227096551E-2</v>
      </c>
      <c r="U146" s="1">
        <f t="shared" ca="1" si="146"/>
        <v>209</v>
      </c>
      <c r="V146" s="1">
        <f t="shared" ca="1" si="147"/>
        <v>39</v>
      </c>
      <c r="W146" s="1"/>
      <c r="X146" s="1">
        <f t="shared" ca="1" si="148"/>
        <v>2.8110856987747255</v>
      </c>
      <c r="Y146" s="1">
        <f t="shared" ca="1" si="149"/>
        <v>0.74333019111762688</v>
      </c>
      <c r="Z146" s="1">
        <f t="shared" ca="1" si="150"/>
        <v>503</v>
      </c>
      <c r="AB146" s="1">
        <f t="shared" ca="1" si="151"/>
        <v>0.81664427446011456</v>
      </c>
      <c r="AC146" s="1">
        <f t="shared" ca="1" si="152"/>
        <v>822</v>
      </c>
      <c r="AD146" s="1">
        <f t="shared" ca="1" si="153"/>
        <v>4.6645999550766915E-3</v>
      </c>
      <c r="AE146" s="1"/>
      <c r="AF146" s="1">
        <f t="shared" ca="1" si="154"/>
        <v>0.73207113818538627</v>
      </c>
      <c r="AG146" s="1">
        <f t="shared" ca="1" si="155"/>
        <v>736</v>
      </c>
      <c r="AH146" s="1">
        <f t="shared" ca="1" si="156"/>
        <v>8.7800505996037687E-3</v>
      </c>
      <c r="AJ146" s="1">
        <f t="shared" ca="1" si="157"/>
        <v>0.92563455790137161</v>
      </c>
      <c r="AK146" s="1">
        <f t="shared" ca="1" si="158"/>
        <v>7.8380337051641782E-3</v>
      </c>
      <c r="AL146" s="1"/>
      <c r="AM146" s="1">
        <f t="shared" ca="1" si="159"/>
        <v>5.2632745046292929E-2</v>
      </c>
      <c r="AN146" s="1">
        <f t="shared" ca="1" si="160"/>
        <v>32</v>
      </c>
      <c r="AO146" s="1">
        <f t="shared" ca="1" si="161"/>
        <v>11</v>
      </c>
      <c r="AQ146" s="1">
        <f t="shared" ca="1" si="162"/>
        <v>162</v>
      </c>
      <c r="AR146" s="1">
        <f t="shared" ca="1" si="163"/>
        <v>1</v>
      </c>
      <c r="AS146" s="1">
        <f t="shared" ca="1" si="164"/>
        <v>90</v>
      </c>
      <c r="AU146" s="1">
        <f t="shared" ca="1" si="165"/>
        <v>202</v>
      </c>
      <c r="AV146" s="1">
        <f t="shared" ca="1" si="166"/>
        <v>8</v>
      </c>
      <c r="AW146" s="1">
        <f t="shared" ca="1" si="167"/>
        <v>5.07506894555061E-2</v>
      </c>
      <c r="AY146" s="1">
        <f t="shared" ca="1" si="168"/>
        <v>1.2318862862831987</v>
      </c>
      <c r="AZ146" s="1">
        <f t="shared" ca="1" si="169"/>
        <v>394</v>
      </c>
      <c r="BA146" s="1">
        <f t="shared" ca="1" si="170"/>
        <v>5.7921998717399671E-3</v>
      </c>
      <c r="BG146" s="1">
        <f t="shared" ca="1" si="171"/>
        <v>0.63164139666401597</v>
      </c>
      <c r="BH146" s="1">
        <f t="shared" ca="1" si="172"/>
        <v>0.79626849121916032</v>
      </c>
      <c r="BI146" s="1">
        <f t="shared" ca="1" si="173"/>
        <v>496</v>
      </c>
      <c r="BV146" s="1">
        <f t="shared" ca="1" si="174"/>
        <v>4.5406328634459543E-2</v>
      </c>
      <c r="BW146" s="1">
        <f t="shared" ca="1" si="175"/>
        <v>312</v>
      </c>
      <c r="BX146" s="1">
        <f t="shared" ca="1" si="176"/>
        <v>2.8251663990561918E-3</v>
      </c>
      <c r="BY146" s="1">
        <f t="shared" ca="1" si="177"/>
        <v>6.6120114994631662E-2</v>
      </c>
      <c r="BZ146" s="1">
        <f t="shared" ca="1" si="178"/>
        <v>4.2417999818847973E-2</v>
      </c>
      <c r="CB146" s="1">
        <f t="shared" ca="1" si="179"/>
        <v>174</v>
      </c>
      <c r="CC146" s="1">
        <f t="shared" ca="1" si="180"/>
        <v>5</v>
      </c>
      <c r="CD146" s="1">
        <f t="shared" ca="1" si="181"/>
        <v>0.25533158798649402</v>
      </c>
      <c r="CE146" s="1">
        <f t="shared" ca="1" si="182"/>
        <v>0.75788180779626091</v>
      </c>
      <c r="CF146" s="1">
        <f t="shared" ca="1" si="182"/>
        <v>0.53415331285838685</v>
      </c>
      <c r="CH146" s="3">
        <f t="shared" ca="1" si="183"/>
        <v>0.52554601137868917</v>
      </c>
      <c r="CI146" s="3">
        <f t="shared" ca="1" si="184"/>
        <v>0.87083048634648585</v>
      </c>
      <c r="CJ146" s="3">
        <f t="shared" ca="1" si="185"/>
        <v>866</v>
      </c>
      <c r="CK146" s="3">
        <f t="shared" ca="1" si="186"/>
        <v>1.4606411477387975E-4</v>
      </c>
      <c r="CL146" s="3">
        <f t="shared" ca="1" si="187"/>
        <v>1</v>
      </c>
      <c r="CM146" s="3"/>
      <c r="CN146" s="1">
        <f t="shared" ca="1" si="188"/>
        <v>10.149827752948982</v>
      </c>
      <c r="CO146" s="1">
        <f t="shared" ca="1" si="189"/>
        <v>0.10078400673409961</v>
      </c>
      <c r="CP146" s="1">
        <f t="shared" ca="1" si="190"/>
        <v>4</v>
      </c>
      <c r="DH146" s="1">
        <f t="shared" ca="1" si="191"/>
        <v>456</v>
      </c>
      <c r="DI146" s="1">
        <f t="shared" ca="1" si="192"/>
        <v>0.57340361299164311</v>
      </c>
      <c r="DJ146" s="1">
        <f t="shared" ca="1" si="193"/>
        <v>6</v>
      </c>
      <c r="DL146" s="1">
        <f t="shared" ca="1" si="194"/>
        <v>1.9999315176145182E-2</v>
      </c>
      <c r="DM146" s="1">
        <f t="shared" ca="1" si="195"/>
        <v>53</v>
      </c>
      <c r="DN146" s="1">
        <f t="shared" ca="1" si="196"/>
        <v>8</v>
      </c>
    </row>
    <row r="147" spans="2:118" x14ac:dyDescent="0.25">
      <c r="B147">
        <f t="shared" ca="1" si="132"/>
        <v>34</v>
      </c>
      <c r="C147">
        <f t="shared" ca="1" si="133"/>
        <v>42</v>
      </c>
      <c r="D147">
        <f t="shared" ca="1" si="134"/>
        <v>0.23620918927088252</v>
      </c>
      <c r="F147" s="1">
        <f t="shared" ca="1" si="135"/>
        <v>47</v>
      </c>
      <c r="G147" s="1">
        <f t="shared" ca="1" si="136"/>
        <v>28</v>
      </c>
      <c r="H147" s="1">
        <f t="shared" ca="1" si="137"/>
        <v>15</v>
      </c>
      <c r="I147" s="1"/>
      <c r="J147" s="1">
        <f t="shared" ca="1" si="138"/>
        <v>3</v>
      </c>
      <c r="K147" s="1">
        <f t="shared" ca="1" si="139"/>
        <v>1.9387344447801638</v>
      </c>
      <c r="L147" s="1">
        <f t="shared" ca="1" si="140"/>
        <v>30</v>
      </c>
      <c r="M147" s="1"/>
      <c r="N147" s="1">
        <f t="shared" ca="1" si="141"/>
        <v>283</v>
      </c>
      <c r="O147" s="1">
        <f t="shared" ca="1" si="142"/>
        <v>42</v>
      </c>
      <c r="P147" s="1"/>
      <c r="Q147" s="1">
        <f t="shared" ca="1" si="143"/>
        <v>4.0712797629510531</v>
      </c>
      <c r="R147" s="1">
        <f t="shared" ca="1" si="144"/>
        <v>1130</v>
      </c>
      <c r="S147" s="1"/>
      <c r="T147" s="1">
        <f t="shared" ca="1" si="145"/>
        <v>8.0555686842272628E-2</v>
      </c>
      <c r="U147" s="1">
        <f t="shared" ca="1" si="146"/>
        <v>439</v>
      </c>
      <c r="V147" s="1">
        <f t="shared" ca="1" si="147"/>
        <v>19</v>
      </c>
      <c r="W147" s="1"/>
      <c r="X147" s="1">
        <f t="shared" ca="1" si="148"/>
        <v>2.1386396763971485</v>
      </c>
      <c r="Y147" s="1">
        <f t="shared" ca="1" si="149"/>
        <v>0.76940760180396128</v>
      </c>
      <c r="Z147" s="1">
        <f t="shared" ca="1" si="150"/>
        <v>603</v>
      </c>
      <c r="AB147" s="1">
        <f t="shared" ca="1" si="151"/>
        <v>0.7720889673169874</v>
      </c>
      <c r="AC147" s="1">
        <f t="shared" ca="1" si="152"/>
        <v>192</v>
      </c>
      <c r="AD147" s="1">
        <f t="shared" ca="1" si="153"/>
        <v>1.7273661390720953E-3</v>
      </c>
      <c r="AE147" s="1"/>
      <c r="AF147" s="1">
        <f t="shared" ca="1" si="154"/>
        <v>0.52821708664191169</v>
      </c>
      <c r="AG147" s="1">
        <f t="shared" ca="1" si="155"/>
        <v>297</v>
      </c>
      <c r="AH147" s="1">
        <f t="shared" ca="1" si="156"/>
        <v>9.4562124988852789E-3</v>
      </c>
      <c r="AJ147" s="1">
        <f t="shared" ca="1" si="157"/>
        <v>0.4189956831688223</v>
      </c>
      <c r="AK147" s="1">
        <f t="shared" ca="1" si="158"/>
        <v>4.5420721941329296E-3</v>
      </c>
      <c r="AL147" s="1"/>
      <c r="AM147" s="1">
        <f t="shared" ca="1" si="159"/>
        <v>1.9917062400755241E-2</v>
      </c>
      <c r="AN147" s="1">
        <f t="shared" ca="1" si="160"/>
        <v>27</v>
      </c>
      <c r="AO147" s="1">
        <f t="shared" ca="1" si="161"/>
        <v>16</v>
      </c>
      <c r="AQ147" s="1">
        <f t="shared" ca="1" si="162"/>
        <v>68</v>
      </c>
      <c r="AR147" s="1">
        <f t="shared" ca="1" si="163"/>
        <v>6</v>
      </c>
      <c r="AS147" s="1">
        <f t="shared" ca="1" si="164"/>
        <v>3</v>
      </c>
      <c r="AU147" s="1">
        <f t="shared" ca="1" si="165"/>
        <v>80</v>
      </c>
      <c r="AV147" s="1">
        <f t="shared" ca="1" si="166"/>
        <v>2</v>
      </c>
      <c r="AW147" s="1">
        <f t="shared" ca="1" si="167"/>
        <v>8.2054043924371087E-2</v>
      </c>
      <c r="AY147" s="1">
        <f t="shared" ca="1" si="168"/>
        <v>1.458712802973261</v>
      </c>
      <c r="AZ147" s="1">
        <f t="shared" ca="1" si="169"/>
        <v>212</v>
      </c>
      <c r="BA147" s="1">
        <f t="shared" ca="1" si="170"/>
        <v>3.9037010664397312E-3</v>
      </c>
      <c r="BG147" s="1">
        <f t="shared" ca="1" si="171"/>
        <v>0.67386478687677542</v>
      </c>
      <c r="BH147" s="1">
        <f t="shared" ca="1" si="172"/>
        <v>0.96091369052330866</v>
      </c>
      <c r="BI147" s="1">
        <f t="shared" ca="1" si="173"/>
        <v>977</v>
      </c>
      <c r="BV147" s="1">
        <f t="shared" ca="1" si="174"/>
        <v>6.2327797755235705E-2</v>
      </c>
      <c r="BW147" s="1">
        <f t="shared" ca="1" si="175"/>
        <v>782</v>
      </c>
      <c r="BX147" s="1">
        <f t="shared" ca="1" si="176"/>
        <v>4.1302724463176017E-3</v>
      </c>
      <c r="BY147" s="1">
        <f t="shared" ca="1" si="177"/>
        <v>5.9806243060626076E-2</v>
      </c>
      <c r="BZ147" s="1">
        <f t="shared" ca="1" si="178"/>
        <v>0.32148375339527835</v>
      </c>
      <c r="CB147" s="1">
        <f t="shared" ca="1" si="179"/>
        <v>167</v>
      </c>
      <c r="CC147" s="1">
        <f t="shared" ca="1" si="180"/>
        <v>6</v>
      </c>
      <c r="CD147" s="1">
        <f t="shared" ca="1" si="181"/>
        <v>9.144708199026691E-2</v>
      </c>
      <c r="CE147" s="1">
        <f t="shared" ca="1" si="182"/>
        <v>0.93288999562826502</v>
      </c>
      <c r="CF147" s="1">
        <f t="shared" ca="1" si="182"/>
        <v>0.97707788324894995</v>
      </c>
      <c r="CH147" s="3">
        <f t="shared" ca="1" si="183"/>
        <v>0.4485378041932101</v>
      </c>
      <c r="CI147" s="3">
        <f t="shared" ca="1" si="184"/>
        <v>0.69602789454680203</v>
      </c>
      <c r="CJ147" s="3">
        <f t="shared" ca="1" si="185"/>
        <v>519</v>
      </c>
      <c r="CK147" s="3">
        <f t="shared" ca="1" si="186"/>
        <v>2.256888738680058E-3</v>
      </c>
      <c r="CL147" s="3">
        <f t="shared" ca="1" si="187"/>
        <v>0</v>
      </c>
      <c r="CM147" s="3"/>
      <c r="CN147" s="1">
        <f t="shared" ca="1" si="188"/>
        <v>15.902641001187737</v>
      </c>
      <c r="CO147" s="1">
        <f t="shared" ca="1" si="189"/>
        <v>0.12920558701305973</v>
      </c>
      <c r="CP147" s="1">
        <f t="shared" ca="1" si="190"/>
        <v>4</v>
      </c>
      <c r="DH147" s="1">
        <f t="shared" ca="1" si="191"/>
        <v>26</v>
      </c>
      <c r="DI147" s="1">
        <f t="shared" ca="1" si="192"/>
        <v>0.89060599956040865</v>
      </c>
      <c r="DJ147" s="1">
        <f t="shared" ca="1" si="193"/>
        <v>4</v>
      </c>
      <c r="DL147" s="1">
        <f t="shared" ca="1" si="194"/>
        <v>8.0226550209654829E-2</v>
      </c>
      <c r="DM147" s="1">
        <f t="shared" ca="1" si="195"/>
        <v>113</v>
      </c>
      <c r="DN147" s="1">
        <f t="shared" ca="1" si="196"/>
        <v>4</v>
      </c>
    </row>
    <row r="148" spans="2:118" x14ac:dyDescent="0.25">
      <c r="B148">
        <f t="shared" ca="1" si="132"/>
        <v>433</v>
      </c>
      <c r="C148">
        <f t="shared" ca="1" si="133"/>
        <v>42</v>
      </c>
      <c r="D148">
        <f t="shared" ca="1" si="134"/>
        <v>0.13304246442298967</v>
      </c>
      <c r="F148" s="1">
        <f t="shared" ca="1" si="135"/>
        <v>17</v>
      </c>
      <c r="G148" s="1">
        <f t="shared" ca="1" si="136"/>
        <v>9</v>
      </c>
      <c r="H148" s="1">
        <f t="shared" ca="1" si="137"/>
        <v>12</v>
      </c>
      <c r="I148" s="1"/>
      <c r="J148" s="1">
        <f t="shared" ca="1" si="138"/>
        <v>15</v>
      </c>
      <c r="K148" s="1">
        <f t="shared" ca="1" si="139"/>
        <v>1.0512820094932607</v>
      </c>
      <c r="L148" s="1">
        <f t="shared" ca="1" si="140"/>
        <v>28</v>
      </c>
      <c r="M148" s="1"/>
      <c r="N148" s="1">
        <f t="shared" ca="1" si="141"/>
        <v>383</v>
      </c>
      <c r="O148" s="1">
        <f t="shared" ca="1" si="142"/>
        <v>5</v>
      </c>
      <c r="P148" s="1"/>
      <c r="Q148" s="1">
        <f t="shared" ca="1" si="143"/>
        <v>2.4327451284381341</v>
      </c>
      <c r="R148" s="1">
        <f t="shared" ca="1" si="144"/>
        <v>841</v>
      </c>
      <c r="S148" s="1"/>
      <c r="T148" s="1">
        <f t="shared" ca="1" si="145"/>
        <v>2.8974596735091028E-2</v>
      </c>
      <c r="U148" s="1">
        <f t="shared" ca="1" si="146"/>
        <v>136</v>
      </c>
      <c r="V148" s="1">
        <f t="shared" ca="1" si="147"/>
        <v>16</v>
      </c>
      <c r="W148" s="1"/>
      <c r="X148" s="1">
        <f t="shared" ca="1" si="148"/>
        <v>3.5495791221117288</v>
      </c>
      <c r="Y148" s="1">
        <f t="shared" ca="1" si="149"/>
        <v>0.63410552346664129</v>
      </c>
      <c r="Z148" s="1">
        <f t="shared" ca="1" si="150"/>
        <v>1389</v>
      </c>
      <c r="AB148" s="1">
        <f t="shared" ca="1" si="151"/>
        <v>0.86000345987805304</v>
      </c>
      <c r="AC148" s="1">
        <f t="shared" ca="1" si="152"/>
        <v>353</v>
      </c>
      <c r="AD148" s="1">
        <f t="shared" ca="1" si="153"/>
        <v>5.2500669295258498E-3</v>
      </c>
      <c r="AE148" s="1"/>
      <c r="AF148" s="1">
        <f t="shared" ca="1" si="154"/>
        <v>0.60945204903680206</v>
      </c>
      <c r="AG148" s="1">
        <f t="shared" ca="1" si="155"/>
        <v>968</v>
      </c>
      <c r="AH148" s="1">
        <f t="shared" ca="1" si="156"/>
        <v>2.9768579837169276E-3</v>
      </c>
      <c r="AJ148" s="1">
        <f t="shared" ca="1" si="157"/>
        <v>0.24511484488911117</v>
      </c>
      <c r="AK148" s="1">
        <f t="shared" ca="1" si="158"/>
        <v>5.4247026265871147E-3</v>
      </c>
      <c r="AL148" s="1"/>
      <c r="AM148" s="1">
        <f t="shared" ca="1" si="159"/>
        <v>1.7591547890146168E-2</v>
      </c>
      <c r="AN148" s="1">
        <f t="shared" ca="1" si="160"/>
        <v>34</v>
      </c>
      <c r="AO148" s="1">
        <f t="shared" ca="1" si="161"/>
        <v>2</v>
      </c>
      <c r="AQ148" s="1">
        <f t="shared" ca="1" si="162"/>
        <v>175</v>
      </c>
      <c r="AR148" s="1">
        <f t="shared" ca="1" si="163"/>
        <v>10</v>
      </c>
      <c r="AS148" s="1">
        <f t="shared" ca="1" si="164"/>
        <v>43</v>
      </c>
      <c r="AU148" s="1">
        <f t="shared" ca="1" si="165"/>
        <v>104</v>
      </c>
      <c r="AV148" s="1">
        <f t="shared" ca="1" si="166"/>
        <v>4</v>
      </c>
      <c r="AW148" s="1">
        <f t="shared" ca="1" si="167"/>
        <v>0.19159464953053945</v>
      </c>
      <c r="AY148" s="1">
        <f t="shared" ca="1" si="168"/>
        <v>1.8507493589129416</v>
      </c>
      <c r="AZ148" s="1">
        <f t="shared" ca="1" si="169"/>
        <v>290</v>
      </c>
      <c r="BA148" s="1">
        <f t="shared" ca="1" si="170"/>
        <v>5.860335633514519E-3</v>
      </c>
      <c r="BG148" s="1">
        <f t="shared" ca="1" si="171"/>
        <v>0.90852139163753798</v>
      </c>
      <c r="BH148" s="1">
        <f t="shared" ca="1" si="172"/>
        <v>0.95957111225435332</v>
      </c>
      <c r="BI148" s="1">
        <f t="shared" ca="1" si="173"/>
        <v>791</v>
      </c>
      <c r="BV148" s="1">
        <f t="shared" ca="1" si="174"/>
        <v>0.76514506455862163</v>
      </c>
      <c r="BW148" s="1">
        <f t="shared" ca="1" si="175"/>
        <v>366</v>
      </c>
      <c r="BX148" s="1">
        <f t="shared" ca="1" si="176"/>
        <v>7.7029130061055176E-3</v>
      </c>
      <c r="BY148" s="1">
        <f t="shared" ca="1" si="177"/>
        <v>9.8099921225630923E-2</v>
      </c>
      <c r="BZ148" s="1">
        <f t="shared" ca="1" si="178"/>
        <v>0.29799111069531292</v>
      </c>
      <c r="CB148" s="1">
        <f t="shared" ca="1" si="179"/>
        <v>259</v>
      </c>
      <c r="CC148" s="1">
        <f t="shared" ca="1" si="180"/>
        <v>3</v>
      </c>
      <c r="CD148" s="1">
        <f t="shared" ca="1" si="181"/>
        <v>0.17234043885589848</v>
      </c>
      <c r="CE148" s="1">
        <f t="shared" ca="1" si="182"/>
        <v>0.68897146469950887</v>
      </c>
      <c r="CF148" s="1">
        <f t="shared" ca="1" si="182"/>
        <v>0.83254845468400307</v>
      </c>
      <c r="CH148" s="3">
        <f t="shared" ca="1" si="183"/>
        <v>0.49511744359862309</v>
      </c>
      <c r="CI148" s="3">
        <f t="shared" ca="1" si="184"/>
        <v>3.0053244201651001E-2</v>
      </c>
      <c r="CJ148" s="3">
        <f t="shared" ca="1" si="185"/>
        <v>382</v>
      </c>
      <c r="CK148" s="3">
        <f t="shared" ca="1" si="186"/>
        <v>6.8974941149414796E-3</v>
      </c>
      <c r="CL148" s="3">
        <f t="shared" ca="1" si="187"/>
        <v>0</v>
      </c>
      <c r="CM148" s="3"/>
      <c r="CN148" s="1">
        <f t="shared" ca="1" si="188"/>
        <v>15.693472624572989</v>
      </c>
      <c r="CO148" s="1">
        <f t="shared" ca="1" si="189"/>
        <v>0.10286086142763558</v>
      </c>
      <c r="CP148" s="1">
        <f t="shared" ca="1" si="190"/>
        <v>5</v>
      </c>
      <c r="DH148" s="1">
        <f t="shared" ca="1" si="191"/>
        <v>729</v>
      </c>
      <c r="DI148" s="1">
        <f t="shared" ca="1" si="192"/>
        <v>0.58874960644457897</v>
      </c>
      <c r="DJ148" s="1">
        <f t="shared" ca="1" si="193"/>
        <v>19</v>
      </c>
      <c r="DL148" s="1">
        <f t="shared" ca="1" si="194"/>
        <v>3.7384966801198398E-2</v>
      </c>
      <c r="DM148" s="1">
        <f t="shared" ca="1" si="195"/>
        <v>65</v>
      </c>
      <c r="DN148" s="1">
        <f t="shared" ca="1" si="196"/>
        <v>10</v>
      </c>
    </row>
    <row r="149" spans="2:118" x14ac:dyDescent="0.25">
      <c r="B149">
        <f t="shared" ca="1" si="132"/>
        <v>884</v>
      </c>
      <c r="C149">
        <f t="shared" ca="1" si="133"/>
        <v>14</v>
      </c>
      <c r="D149">
        <f t="shared" ca="1" si="134"/>
        <v>3.3874604182362447E-2</v>
      </c>
      <c r="F149" s="1">
        <f t="shared" ca="1" si="135"/>
        <v>44</v>
      </c>
      <c r="G149" s="1">
        <f t="shared" ca="1" si="136"/>
        <v>17</v>
      </c>
      <c r="H149" s="1">
        <f t="shared" ca="1" si="137"/>
        <v>3</v>
      </c>
      <c r="I149" s="1"/>
      <c r="J149" s="1">
        <f t="shared" ca="1" si="138"/>
        <v>26</v>
      </c>
      <c r="K149" s="1">
        <f t="shared" ca="1" si="139"/>
        <v>1.2788869858787515</v>
      </c>
      <c r="L149" s="1">
        <f t="shared" ca="1" si="140"/>
        <v>22</v>
      </c>
      <c r="M149" s="1"/>
      <c r="N149" s="1">
        <f t="shared" ca="1" si="141"/>
        <v>879</v>
      </c>
      <c r="O149" s="1">
        <f t="shared" ca="1" si="142"/>
        <v>15</v>
      </c>
      <c r="P149" s="1"/>
      <c r="Q149" s="1">
        <f t="shared" ca="1" si="143"/>
        <v>4.7641925757229355</v>
      </c>
      <c r="R149" s="1">
        <f t="shared" ca="1" si="144"/>
        <v>865</v>
      </c>
      <c r="S149" s="1"/>
      <c r="T149" s="1">
        <f t="shared" ca="1" si="145"/>
        <v>7.642065118985579E-2</v>
      </c>
      <c r="U149" s="1">
        <f t="shared" ca="1" si="146"/>
        <v>301</v>
      </c>
      <c r="V149" s="1">
        <f t="shared" ca="1" si="147"/>
        <v>17</v>
      </c>
      <c r="W149" s="1"/>
      <c r="X149" s="1">
        <f t="shared" ca="1" si="148"/>
        <v>6.1835774934129217</v>
      </c>
      <c r="Y149" s="1">
        <f t="shared" ca="1" si="149"/>
        <v>0.89497544211461477</v>
      </c>
      <c r="Z149" s="1">
        <f t="shared" ca="1" si="150"/>
        <v>526</v>
      </c>
      <c r="AB149" s="1">
        <f t="shared" ca="1" si="151"/>
        <v>0.77522182221128488</v>
      </c>
      <c r="AC149" s="1">
        <f t="shared" ca="1" si="152"/>
        <v>589</v>
      </c>
      <c r="AD149" s="1">
        <f t="shared" ca="1" si="153"/>
        <v>6.4501245633136377E-3</v>
      </c>
      <c r="AE149" s="1"/>
      <c r="AF149" s="1">
        <f t="shared" ca="1" si="154"/>
        <v>0.78933665419382792</v>
      </c>
      <c r="AG149" s="1">
        <f t="shared" ca="1" si="155"/>
        <v>217</v>
      </c>
      <c r="AH149" s="1">
        <f t="shared" ca="1" si="156"/>
        <v>1.9964361997489785E-3</v>
      </c>
      <c r="AJ149" s="1">
        <f t="shared" ca="1" si="157"/>
        <v>0.25713636245661498</v>
      </c>
      <c r="AK149" s="1">
        <f t="shared" ca="1" si="158"/>
        <v>2.681938096611805E-3</v>
      </c>
      <c r="AL149" s="1"/>
      <c r="AM149" s="1">
        <f t="shared" ca="1" si="159"/>
        <v>0.17149990512678226</v>
      </c>
      <c r="AN149" s="1">
        <f t="shared" ca="1" si="160"/>
        <v>40</v>
      </c>
      <c r="AO149" s="1">
        <f t="shared" ca="1" si="161"/>
        <v>-1</v>
      </c>
      <c r="AQ149" s="1">
        <f t="shared" ca="1" si="162"/>
        <v>75</v>
      </c>
      <c r="AR149" s="1">
        <f t="shared" ca="1" si="163"/>
        <v>6</v>
      </c>
      <c r="AS149" s="1">
        <f t="shared" ca="1" si="164"/>
        <v>94</v>
      </c>
      <c r="AU149" s="1">
        <f t="shared" ca="1" si="165"/>
        <v>231</v>
      </c>
      <c r="AV149" s="1">
        <f t="shared" ca="1" si="166"/>
        <v>6</v>
      </c>
      <c r="AW149" s="1">
        <f t="shared" ca="1" si="167"/>
        <v>0.16774609624858322</v>
      </c>
      <c r="AY149" s="1">
        <f t="shared" ca="1" si="168"/>
        <v>1.5688944345112701</v>
      </c>
      <c r="AZ149" s="1">
        <f t="shared" ca="1" si="169"/>
        <v>349</v>
      </c>
      <c r="BA149" s="1">
        <f t="shared" ca="1" si="170"/>
        <v>2.5431712869142045E-3</v>
      </c>
      <c r="BG149" s="1">
        <f t="shared" ca="1" si="171"/>
        <v>0.23377266296513027</v>
      </c>
      <c r="BH149" s="1">
        <f t="shared" ca="1" si="172"/>
        <v>8.4122987907657043E-2</v>
      </c>
      <c r="BI149" s="1">
        <f t="shared" ca="1" si="173"/>
        <v>903</v>
      </c>
      <c r="BV149" s="1">
        <f t="shared" ca="1" si="174"/>
        <v>0.99160073886177902</v>
      </c>
      <c r="BW149" s="1">
        <f t="shared" ca="1" si="175"/>
        <v>276</v>
      </c>
      <c r="BX149" s="1">
        <f t="shared" ca="1" si="176"/>
        <v>3.5742757838266664E-3</v>
      </c>
      <c r="BY149" s="1">
        <f t="shared" ca="1" si="177"/>
        <v>7.74303537825584E-2</v>
      </c>
      <c r="BZ149" s="1">
        <f t="shared" ca="1" si="178"/>
        <v>0.2807260706209932</v>
      </c>
      <c r="CB149" s="1">
        <f t="shared" ca="1" si="179"/>
        <v>437</v>
      </c>
      <c r="CC149" s="1">
        <f t="shared" ca="1" si="180"/>
        <v>6</v>
      </c>
      <c r="CD149" s="1">
        <f t="shared" ca="1" si="181"/>
        <v>0.1122799022626437</v>
      </c>
      <c r="CE149" s="1">
        <f t="shared" ca="1" si="182"/>
        <v>0.52361560318253186</v>
      </c>
      <c r="CF149" s="1">
        <f t="shared" ca="1" si="182"/>
        <v>0.81090146759949533</v>
      </c>
      <c r="CH149" s="3">
        <f t="shared" ca="1" si="183"/>
        <v>0.67429128016628714</v>
      </c>
      <c r="CI149" s="3">
        <f t="shared" ca="1" si="184"/>
        <v>0.92083665558057637</v>
      </c>
      <c r="CJ149" s="3">
        <f t="shared" ca="1" si="185"/>
        <v>1357</v>
      </c>
      <c r="CK149" s="3">
        <f t="shared" ca="1" si="186"/>
        <v>2.6123672592367011E-3</v>
      </c>
      <c r="CL149" s="3">
        <f t="shared" ca="1" si="187"/>
        <v>1</v>
      </c>
      <c r="CM149" s="3"/>
      <c r="CN149" s="1">
        <f t="shared" ca="1" si="188"/>
        <v>3.6093800099522966</v>
      </c>
      <c r="CO149" s="1">
        <f t="shared" ca="1" si="189"/>
        <v>0.42826604033843368</v>
      </c>
      <c r="CP149" s="1">
        <f t="shared" ca="1" si="190"/>
        <v>5</v>
      </c>
      <c r="DH149" s="1">
        <f t="shared" ca="1" si="191"/>
        <v>594</v>
      </c>
      <c r="DI149" s="1">
        <f t="shared" ca="1" si="192"/>
        <v>0.96916416554657481</v>
      </c>
      <c r="DJ149" s="1">
        <f t="shared" ca="1" si="193"/>
        <v>9</v>
      </c>
      <c r="DL149" s="1">
        <f t="shared" ca="1" si="194"/>
        <v>0.15175856519029518</v>
      </c>
      <c r="DM149" s="1">
        <f t="shared" ca="1" si="195"/>
        <v>191</v>
      </c>
      <c r="DN149" s="1">
        <f t="shared" ca="1" si="196"/>
        <v>5</v>
      </c>
    </row>
    <row r="150" spans="2:118" x14ac:dyDescent="0.25">
      <c r="B150">
        <f t="shared" ca="1" si="132"/>
        <v>731</v>
      </c>
      <c r="C150">
        <f t="shared" ca="1" si="133"/>
        <v>51</v>
      </c>
      <c r="D150">
        <f t="shared" ca="1" si="134"/>
        <v>0.10467832727893307</v>
      </c>
      <c r="F150" s="1">
        <f t="shared" ca="1" si="135"/>
        <v>36</v>
      </c>
      <c r="G150" s="1">
        <f t="shared" ca="1" si="136"/>
        <v>27</v>
      </c>
      <c r="H150" s="1">
        <f t="shared" ca="1" si="137"/>
        <v>13</v>
      </c>
      <c r="I150" s="1"/>
      <c r="J150" s="1">
        <f t="shared" ca="1" si="138"/>
        <v>7</v>
      </c>
      <c r="K150" s="1">
        <f t="shared" ca="1" si="139"/>
        <v>2.8134129712371969</v>
      </c>
      <c r="L150" s="1">
        <f t="shared" ca="1" si="140"/>
        <v>22</v>
      </c>
      <c r="M150" s="1"/>
      <c r="N150" s="1">
        <f t="shared" ca="1" si="141"/>
        <v>777</v>
      </c>
      <c r="O150" s="1">
        <f t="shared" ca="1" si="142"/>
        <v>28</v>
      </c>
      <c r="P150" s="1"/>
      <c r="Q150" s="1">
        <f t="shared" ca="1" si="143"/>
        <v>3.9386836823207871</v>
      </c>
      <c r="R150" s="1">
        <f t="shared" ca="1" si="144"/>
        <v>438</v>
      </c>
      <c r="S150" s="1"/>
      <c r="T150" s="1">
        <f t="shared" ca="1" si="145"/>
        <v>0.10975871676526522</v>
      </c>
      <c r="U150" s="1">
        <f t="shared" ca="1" si="146"/>
        <v>228</v>
      </c>
      <c r="V150" s="1">
        <f t="shared" ca="1" si="147"/>
        <v>4</v>
      </c>
      <c r="W150" s="1"/>
      <c r="X150" s="1">
        <f t="shared" ca="1" si="148"/>
        <v>4.7515487196385955</v>
      </c>
      <c r="Y150" s="1">
        <f t="shared" ca="1" si="149"/>
        <v>0.90191570240275887</v>
      </c>
      <c r="Z150" s="1">
        <f t="shared" ca="1" si="150"/>
        <v>1828</v>
      </c>
      <c r="AB150" s="1">
        <f t="shared" ca="1" si="151"/>
        <v>0.7653003404968961</v>
      </c>
      <c r="AC150" s="1">
        <f t="shared" ca="1" si="152"/>
        <v>830</v>
      </c>
      <c r="AD150" s="1">
        <f t="shared" ca="1" si="153"/>
        <v>2.9368837841837895E-3</v>
      </c>
      <c r="AE150" s="1"/>
      <c r="AF150" s="1">
        <f t="shared" ca="1" si="154"/>
        <v>0.16494415907554974</v>
      </c>
      <c r="AG150" s="1">
        <f t="shared" ca="1" si="155"/>
        <v>123</v>
      </c>
      <c r="AH150" s="1">
        <f t="shared" ca="1" si="156"/>
        <v>5.3072511375377683E-3</v>
      </c>
      <c r="AJ150" s="1">
        <f t="shared" ca="1" si="157"/>
        <v>0.62059304587090081</v>
      </c>
      <c r="AK150" s="1">
        <f t="shared" ca="1" si="158"/>
        <v>2.6577719511092579E-3</v>
      </c>
      <c r="AL150" s="1"/>
      <c r="AM150" s="1">
        <f t="shared" ca="1" si="159"/>
        <v>8.9328320486143656E-2</v>
      </c>
      <c r="AN150" s="1">
        <f t="shared" ca="1" si="160"/>
        <v>17</v>
      </c>
      <c r="AO150" s="1">
        <f t="shared" ca="1" si="161"/>
        <v>19</v>
      </c>
      <c r="AQ150" s="1">
        <f t="shared" ca="1" si="162"/>
        <v>200</v>
      </c>
      <c r="AR150" s="1">
        <f t="shared" ca="1" si="163"/>
        <v>9</v>
      </c>
      <c r="AS150" s="1">
        <f t="shared" ca="1" si="164"/>
        <v>89</v>
      </c>
      <c r="AU150" s="1">
        <f t="shared" ca="1" si="165"/>
        <v>389</v>
      </c>
      <c r="AV150" s="1">
        <f t="shared" ca="1" si="166"/>
        <v>2</v>
      </c>
      <c r="AW150" s="1">
        <f t="shared" ca="1" si="167"/>
        <v>0.13364969151708606</v>
      </c>
      <c r="AY150" s="1">
        <f t="shared" ca="1" si="168"/>
        <v>1.9760293820778645</v>
      </c>
      <c r="AZ150" s="1">
        <f t="shared" ca="1" si="169"/>
        <v>142</v>
      </c>
      <c r="BA150" s="1">
        <f t="shared" ca="1" si="170"/>
        <v>5.4981211065753969E-3</v>
      </c>
      <c r="BG150" s="1">
        <f t="shared" ca="1" si="171"/>
        <v>4.1058238769637642E-2</v>
      </c>
      <c r="BH150" s="1">
        <f t="shared" ca="1" si="172"/>
        <v>0.65097172273238024</v>
      </c>
      <c r="BI150" s="1">
        <f t="shared" ca="1" si="173"/>
        <v>155</v>
      </c>
      <c r="BV150" s="1">
        <f t="shared" ca="1" si="174"/>
        <v>0.69716623030376301</v>
      </c>
      <c r="BW150" s="1">
        <f t="shared" ca="1" si="175"/>
        <v>933</v>
      </c>
      <c r="BX150" s="1">
        <f t="shared" ca="1" si="176"/>
        <v>2.2063172417750251E-3</v>
      </c>
      <c r="BY150" s="1">
        <f t="shared" ca="1" si="177"/>
        <v>6.2469137933577952E-2</v>
      </c>
      <c r="BZ150" s="1">
        <f t="shared" ca="1" si="178"/>
        <v>0.99544135743538897</v>
      </c>
      <c r="CB150" s="1">
        <f t="shared" ca="1" si="179"/>
        <v>205</v>
      </c>
      <c r="CC150" s="1">
        <f t="shared" ca="1" si="180"/>
        <v>7</v>
      </c>
      <c r="CD150" s="1">
        <f t="shared" ca="1" si="181"/>
        <v>0.17440039657087156</v>
      </c>
      <c r="CE150" s="1">
        <f t="shared" ca="1" si="182"/>
        <v>0.71493514824918425</v>
      </c>
      <c r="CF150" s="1">
        <f t="shared" ca="1" si="182"/>
        <v>0.53666831917583413</v>
      </c>
      <c r="CH150" s="3">
        <f t="shared" ca="1" si="183"/>
        <v>0.60935323984199663</v>
      </c>
      <c r="CI150" s="3">
        <f t="shared" ca="1" si="184"/>
        <v>0.70966059112487789</v>
      </c>
      <c r="CJ150" s="3">
        <f t="shared" ca="1" si="185"/>
        <v>1669</v>
      </c>
      <c r="CK150" s="3">
        <f t="shared" ca="1" si="186"/>
        <v>8.1238617100915303E-3</v>
      </c>
      <c r="CL150" s="3">
        <f t="shared" ca="1" si="187"/>
        <v>1</v>
      </c>
      <c r="CM150" s="3"/>
      <c r="CN150" s="1">
        <f t="shared" ca="1" si="188"/>
        <v>16.169322065201406</v>
      </c>
      <c r="CO150" s="1">
        <f t="shared" ca="1" si="189"/>
        <v>1.5234515143713673E-2</v>
      </c>
      <c r="CP150" s="1">
        <f t="shared" ca="1" si="190"/>
        <v>5</v>
      </c>
      <c r="DH150" s="1">
        <f t="shared" ca="1" si="191"/>
        <v>886</v>
      </c>
      <c r="DI150" s="1">
        <f t="shared" ca="1" si="192"/>
        <v>0.40732108582846488</v>
      </c>
      <c r="DJ150" s="1">
        <f t="shared" ca="1" si="193"/>
        <v>9</v>
      </c>
      <c r="DL150" s="1">
        <f t="shared" ca="1" si="194"/>
        <v>4.0123504193206032E-2</v>
      </c>
      <c r="DM150" s="1">
        <f t="shared" ca="1" si="195"/>
        <v>245</v>
      </c>
      <c r="DN150" s="1">
        <f t="shared" ca="1" si="196"/>
        <v>2</v>
      </c>
    </row>
    <row r="151" spans="2:118" x14ac:dyDescent="0.25">
      <c r="B151">
        <f t="shared" ca="1" si="132"/>
        <v>653</v>
      </c>
      <c r="C151">
        <f t="shared" ca="1" si="133"/>
        <v>52</v>
      </c>
      <c r="D151">
        <f t="shared" ca="1" si="134"/>
        <v>9.9957866257375461E-2</v>
      </c>
      <c r="F151" s="1">
        <f t="shared" ca="1" si="135"/>
        <v>49</v>
      </c>
      <c r="G151" s="1">
        <f t="shared" ca="1" si="136"/>
        <v>30</v>
      </c>
      <c r="H151" s="1">
        <f t="shared" ca="1" si="137"/>
        <v>6</v>
      </c>
      <c r="I151" s="1"/>
      <c r="J151" s="1">
        <f t="shared" ca="1" si="138"/>
        <v>34</v>
      </c>
      <c r="K151" s="1">
        <f t="shared" ca="1" si="139"/>
        <v>1.2761185372240269</v>
      </c>
      <c r="L151" s="1">
        <f t="shared" ca="1" si="140"/>
        <v>20</v>
      </c>
      <c r="M151" s="1"/>
      <c r="N151" s="1">
        <f t="shared" ca="1" si="141"/>
        <v>44</v>
      </c>
      <c r="O151" s="1">
        <f t="shared" ca="1" si="142"/>
        <v>36</v>
      </c>
      <c r="P151" s="1"/>
      <c r="Q151" s="1">
        <f t="shared" ca="1" si="143"/>
        <v>3.0972908431721957</v>
      </c>
      <c r="R151" s="1">
        <f t="shared" ca="1" si="144"/>
        <v>633</v>
      </c>
      <c r="S151" s="1"/>
      <c r="T151" s="1">
        <f t="shared" ca="1" si="145"/>
        <v>7.897517799896607E-2</v>
      </c>
      <c r="U151" s="1">
        <f t="shared" ca="1" si="146"/>
        <v>87</v>
      </c>
      <c r="V151" s="1">
        <f t="shared" ca="1" si="147"/>
        <v>25</v>
      </c>
      <c r="W151" s="1"/>
      <c r="X151" s="1">
        <f t="shared" ca="1" si="148"/>
        <v>5.705458269385316</v>
      </c>
      <c r="Y151" s="1">
        <f t="shared" ca="1" si="149"/>
        <v>0.51619742700194338</v>
      </c>
      <c r="Z151" s="1">
        <f t="shared" ca="1" si="150"/>
        <v>1424</v>
      </c>
      <c r="AB151" s="1">
        <f t="shared" ca="1" si="151"/>
        <v>0.4887283142164448</v>
      </c>
      <c r="AC151" s="1">
        <f t="shared" ca="1" si="152"/>
        <v>797</v>
      </c>
      <c r="AD151" s="1">
        <f t="shared" ca="1" si="153"/>
        <v>3.6054100651078153E-3</v>
      </c>
      <c r="AE151" s="1"/>
      <c r="AF151" s="1">
        <f t="shared" ca="1" si="154"/>
        <v>0.71540710318872669</v>
      </c>
      <c r="AG151" s="1">
        <f t="shared" ca="1" si="155"/>
        <v>843</v>
      </c>
      <c r="AH151" s="1">
        <f t="shared" ca="1" si="156"/>
        <v>4.7604614193490652E-4</v>
      </c>
      <c r="AJ151" s="1">
        <f t="shared" ca="1" si="157"/>
        <v>0.62158481209894489</v>
      </c>
      <c r="AK151" s="1">
        <f t="shared" ca="1" si="158"/>
        <v>8.9199079488339935E-3</v>
      </c>
      <c r="AL151" s="1"/>
      <c r="AM151" s="1">
        <f t="shared" ca="1" si="159"/>
        <v>0.19797553167642992</v>
      </c>
      <c r="AN151" s="1">
        <f t="shared" ca="1" si="160"/>
        <v>57</v>
      </c>
      <c r="AO151" s="1">
        <f t="shared" ca="1" si="161"/>
        <v>18</v>
      </c>
      <c r="AQ151" s="1">
        <f t="shared" ca="1" si="162"/>
        <v>16</v>
      </c>
      <c r="AR151" s="1">
        <f t="shared" ca="1" si="163"/>
        <v>2</v>
      </c>
      <c r="AS151" s="1">
        <f t="shared" ca="1" si="164"/>
        <v>57</v>
      </c>
      <c r="AU151" s="1">
        <f t="shared" ca="1" si="165"/>
        <v>158</v>
      </c>
      <c r="AV151" s="1">
        <f t="shared" ca="1" si="166"/>
        <v>5</v>
      </c>
      <c r="AW151" s="1">
        <f t="shared" ca="1" si="167"/>
        <v>2.8432729794218368E-2</v>
      </c>
      <c r="AY151" s="1">
        <f t="shared" ca="1" si="168"/>
        <v>1.3970567136732168</v>
      </c>
      <c r="AZ151" s="1">
        <f t="shared" ca="1" si="169"/>
        <v>165</v>
      </c>
      <c r="BA151" s="1">
        <f t="shared" ca="1" si="170"/>
        <v>2.2978287079622704E-3</v>
      </c>
      <c r="BG151" s="1">
        <f t="shared" ca="1" si="171"/>
        <v>0.46419114300953945</v>
      </c>
      <c r="BH151" s="1">
        <f t="shared" ca="1" si="172"/>
        <v>0.45760094499088455</v>
      </c>
      <c r="BI151" s="1">
        <f t="shared" ca="1" si="173"/>
        <v>973</v>
      </c>
      <c r="BV151" s="1">
        <f t="shared" ca="1" si="174"/>
        <v>0.10915857419051817</v>
      </c>
      <c r="BW151" s="1">
        <f t="shared" ca="1" si="175"/>
        <v>421</v>
      </c>
      <c r="BX151" s="1">
        <f t="shared" ca="1" si="176"/>
        <v>5.9394196300006768E-5</v>
      </c>
      <c r="BY151" s="1">
        <f t="shared" ca="1" si="177"/>
        <v>9.3105611708137234E-2</v>
      </c>
      <c r="BZ151" s="1">
        <f t="shared" ca="1" si="178"/>
        <v>0.93054316753766408</v>
      </c>
      <c r="CB151" s="1">
        <f t="shared" ca="1" si="179"/>
        <v>121</v>
      </c>
      <c r="CC151" s="1">
        <f t="shared" ca="1" si="180"/>
        <v>10</v>
      </c>
      <c r="CD151" s="1">
        <f t="shared" ca="1" si="181"/>
        <v>0.17807345046706613</v>
      </c>
      <c r="CE151" s="1">
        <f t="shared" ca="1" si="182"/>
        <v>0.98184406685137959</v>
      </c>
      <c r="CF151" s="1">
        <f t="shared" ca="1" si="182"/>
        <v>0.88077423581445302</v>
      </c>
      <c r="CH151" s="3">
        <f t="shared" ca="1" si="183"/>
        <v>0.18395113502217156</v>
      </c>
      <c r="CI151" s="3">
        <f t="shared" ca="1" si="184"/>
        <v>0.71741462712682458</v>
      </c>
      <c r="CJ151" s="3">
        <f t="shared" ca="1" si="185"/>
        <v>1456</v>
      </c>
      <c r="CK151" s="3">
        <f t="shared" ca="1" si="186"/>
        <v>2.8053040324369947E-3</v>
      </c>
      <c r="CL151" s="3">
        <f t="shared" ca="1" si="187"/>
        <v>0</v>
      </c>
      <c r="CM151" s="3"/>
      <c r="CN151" s="1">
        <f t="shared" ca="1" si="188"/>
        <v>15.116815655781094</v>
      </c>
      <c r="CO151" s="1">
        <f t="shared" ca="1" si="189"/>
        <v>0.11125852268754423</v>
      </c>
      <c r="CP151" s="1">
        <f t="shared" ca="1" si="190"/>
        <v>2</v>
      </c>
      <c r="DH151" s="1">
        <f t="shared" ca="1" si="191"/>
        <v>592</v>
      </c>
      <c r="DI151" s="1">
        <f t="shared" ca="1" si="192"/>
        <v>0.32377048547055021</v>
      </c>
      <c r="DJ151" s="1">
        <f t="shared" ca="1" si="193"/>
        <v>29</v>
      </c>
      <c r="DL151" s="1">
        <f t="shared" ca="1" si="194"/>
        <v>0.10034375034563547</v>
      </c>
      <c r="DM151" s="1">
        <f t="shared" ca="1" si="195"/>
        <v>212</v>
      </c>
      <c r="DN151" s="1">
        <f t="shared" ca="1" si="196"/>
        <v>9</v>
      </c>
    </row>
    <row r="152" spans="2:118" x14ac:dyDescent="0.25">
      <c r="B152">
        <f t="shared" ca="1" si="132"/>
        <v>258</v>
      </c>
      <c r="C152">
        <f t="shared" ca="1" si="133"/>
        <v>43</v>
      </c>
      <c r="D152">
        <f t="shared" ca="1" si="134"/>
        <v>0.24092250744943605</v>
      </c>
      <c r="F152" s="1">
        <f t="shared" ca="1" si="135"/>
        <v>24</v>
      </c>
      <c r="G152" s="1">
        <f t="shared" ca="1" si="136"/>
        <v>13</v>
      </c>
      <c r="H152" s="1">
        <f t="shared" ca="1" si="137"/>
        <v>11</v>
      </c>
      <c r="I152" s="1"/>
      <c r="J152" s="1">
        <f t="shared" ca="1" si="138"/>
        <v>5</v>
      </c>
      <c r="K152" s="1">
        <f t="shared" ca="1" si="139"/>
        <v>1.6123046262391219</v>
      </c>
      <c r="L152" s="1">
        <f t="shared" ca="1" si="140"/>
        <v>18</v>
      </c>
      <c r="M152" s="1"/>
      <c r="N152" s="1">
        <f t="shared" ca="1" si="141"/>
        <v>117</v>
      </c>
      <c r="O152" s="1">
        <f t="shared" ca="1" si="142"/>
        <v>26</v>
      </c>
      <c r="P152" s="1"/>
      <c r="Q152" s="1">
        <f t="shared" ca="1" si="143"/>
        <v>1.2907763251340501</v>
      </c>
      <c r="R152" s="1">
        <f t="shared" ca="1" si="144"/>
        <v>750</v>
      </c>
      <c r="S152" s="1"/>
      <c r="T152" s="1">
        <f t="shared" ca="1" si="145"/>
        <v>0.18165114326455445</v>
      </c>
      <c r="U152" s="1">
        <f t="shared" ca="1" si="146"/>
        <v>124</v>
      </c>
      <c r="V152" s="1">
        <f t="shared" ca="1" si="147"/>
        <v>28</v>
      </c>
      <c r="W152" s="1"/>
      <c r="X152" s="1">
        <f t="shared" ca="1" si="148"/>
        <v>1.7439035823565054</v>
      </c>
      <c r="Y152" s="1">
        <f t="shared" ca="1" si="149"/>
        <v>0.27728809302447099</v>
      </c>
      <c r="Z152" s="1">
        <f t="shared" ca="1" si="150"/>
        <v>1823</v>
      </c>
      <c r="AB152" s="1">
        <f t="shared" ca="1" si="151"/>
        <v>0.61399040310089248</v>
      </c>
      <c r="AC152" s="1">
        <f t="shared" ca="1" si="152"/>
        <v>197</v>
      </c>
      <c r="AD152" s="1">
        <f t="shared" ca="1" si="153"/>
        <v>7.8065050281928925E-3</v>
      </c>
      <c r="AE152" s="1"/>
      <c r="AF152" s="1">
        <f t="shared" ca="1" si="154"/>
        <v>0.38152099376967719</v>
      </c>
      <c r="AG152" s="1">
        <f t="shared" ca="1" si="155"/>
        <v>474</v>
      </c>
      <c r="AH152" s="1">
        <f t="shared" ca="1" si="156"/>
        <v>6.7162167816713324E-3</v>
      </c>
      <c r="AJ152" s="1">
        <f t="shared" ca="1" si="157"/>
        <v>0.2778530907274871</v>
      </c>
      <c r="AK152" s="1">
        <f t="shared" ca="1" si="158"/>
        <v>6.0035593710597744E-3</v>
      </c>
      <c r="AL152" s="1"/>
      <c r="AM152" s="1">
        <f t="shared" ca="1" si="159"/>
        <v>0.18061472948025134</v>
      </c>
      <c r="AN152" s="1">
        <f t="shared" ca="1" si="160"/>
        <v>76</v>
      </c>
      <c r="AO152" s="1">
        <f t="shared" ca="1" si="161"/>
        <v>5</v>
      </c>
      <c r="AQ152" s="1">
        <f t="shared" ca="1" si="162"/>
        <v>15</v>
      </c>
      <c r="AR152" s="1">
        <f t="shared" ca="1" si="163"/>
        <v>1</v>
      </c>
      <c r="AS152" s="1">
        <f t="shared" ca="1" si="164"/>
        <v>72</v>
      </c>
      <c r="AU152" s="1">
        <f t="shared" ca="1" si="165"/>
        <v>231</v>
      </c>
      <c r="AV152" s="1">
        <f t="shared" ca="1" si="166"/>
        <v>5</v>
      </c>
      <c r="AW152" s="1">
        <f t="shared" ca="1" si="167"/>
        <v>9.3977544486034417E-2</v>
      </c>
      <c r="AY152" s="1">
        <f t="shared" ca="1" si="168"/>
        <v>1.9821110954877179</v>
      </c>
      <c r="AZ152" s="1">
        <f t="shared" ca="1" si="169"/>
        <v>375</v>
      </c>
      <c r="BA152" s="1">
        <f t="shared" ca="1" si="170"/>
        <v>8.858868379668287E-3</v>
      </c>
      <c r="BG152" s="1">
        <f t="shared" ca="1" si="171"/>
        <v>0.24322714894593608</v>
      </c>
      <c r="BH152" s="1">
        <f t="shared" ca="1" si="172"/>
        <v>0.56339976736764708</v>
      </c>
      <c r="BI152" s="1">
        <f t="shared" ca="1" si="173"/>
        <v>910</v>
      </c>
      <c r="BV152" s="1">
        <f t="shared" ca="1" si="174"/>
        <v>0.65394798304373392</v>
      </c>
      <c r="BW152" s="1">
        <f t="shared" ca="1" si="175"/>
        <v>941</v>
      </c>
      <c r="BX152" s="1">
        <f t="shared" ca="1" si="176"/>
        <v>7.1753668674869112E-3</v>
      </c>
      <c r="BY152" s="1">
        <f t="shared" ca="1" si="177"/>
        <v>9.9378598672383536E-2</v>
      </c>
      <c r="BZ152" s="1">
        <f t="shared" ca="1" si="178"/>
        <v>0.81607832161752969</v>
      </c>
      <c r="CB152" s="1">
        <f t="shared" ca="1" si="179"/>
        <v>387</v>
      </c>
      <c r="CC152" s="1">
        <f t="shared" ca="1" si="180"/>
        <v>8</v>
      </c>
      <c r="CD152" s="1">
        <f t="shared" ca="1" si="181"/>
        <v>3.1686985172534987E-2</v>
      </c>
      <c r="CE152" s="1">
        <f t="shared" ca="1" si="182"/>
        <v>0.63744291941840148</v>
      </c>
      <c r="CF152" s="1">
        <f t="shared" ca="1" si="182"/>
        <v>0.87237912804942663</v>
      </c>
      <c r="CH152" s="3">
        <f t="shared" ca="1" si="183"/>
        <v>0.2259544708230386</v>
      </c>
      <c r="CI152" s="3">
        <f t="shared" ca="1" si="184"/>
        <v>0.88473238749755068</v>
      </c>
      <c r="CJ152" s="3">
        <f t="shared" ca="1" si="185"/>
        <v>1605</v>
      </c>
      <c r="CK152" s="3">
        <f t="shared" ca="1" si="186"/>
        <v>7.3673268267954182E-3</v>
      </c>
      <c r="CL152" s="3">
        <f t="shared" ca="1" si="187"/>
        <v>0</v>
      </c>
      <c r="CM152" s="3"/>
      <c r="CN152" s="1">
        <f t="shared" ca="1" si="188"/>
        <v>14.85019808576668</v>
      </c>
      <c r="CO152" s="1">
        <f t="shared" ca="1" si="189"/>
        <v>0.29684253295824597</v>
      </c>
      <c r="CP152" s="1">
        <f t="shared" ca="1" si="190"/>
        <v>1</v>
      </c>
      <c r="DH152" s="1">
        <f t="shared" ca="1" si="191"/>
        <v>611</v>
      </c>
      <c r="DI152" s="1">
        <f t="shared" ca="1" si="192"/>
        <v>0.91073127151396105</v>
      </c>
      <c r="DJ152" s="1">
        <f t="shared" ca="1" si="193"/>
        <v>4</v>
      </c>
      <c r="DL152" s="1">
        <f t="shared" ca="1" si="194"/>
        <v>0.16682138068868985</v>
      </c>
      <c r="DM152" s="1">
        <f t="shared" ca="1" si="195"/>
        <v>53</v>
      </c>
      <c r="DN152" s="1">
        <f t="shared" ca="1" si="196"/>
        <v>10</v>
      </c>
    </row>
    <row r="153" spans="2:118" x14ac:dyDescent="0.25">
      <c r="B153">
        <f t="shared" ca="1" si="132"/>
        <v>152</v>
      </c>
      <c r="C153">
        <f t="shared" ca="1" si="133"/>
        <v>22</v>
      </c>
      <c r="D153">
        <f t="shared" ca="1" si="134"/>
        <v>7.1034889657966074E-2</v>
      </c>
      <c r="F153" s="1">
        <f t="shared" ca="1" si="135"/>
        <v>21</v>
      </c>
      <c r="G153" s="1">
        <f t="shared" ca="1" si="136"/>
        <v>8</v>
      </c>
      <c r="H153" s="1">
        <f t="shared" ca="1" si="137"/>
        <v>8</v>
      </c>
      <c r="I153" s="1"/>
      <c r="J153" s="1">
        <f t="shared" ca="1" si="138"/>
        <v>21</v>
      </c>
      <c r="K153" s="1">
        <f t="shared" ca="1" si="139"/>
        <v>1.9447090960777096</v>
      </c>
      <c r="L153" s="1">
        <f t="shared" ca="1" si="140"/>
        <v>32</v>
      </c>
      <c r="M153" s="1"/>
      <c r="N153" s="1">
        <f t="shared" ca="1" si="141"/>
        <v>55</v>
      </c>
      <c r="O153" s="1">
        <f t="shared" ca="1" si="142"/>
        <v>20</v>
      </c>
      <c r="P153" s="1"/>
      <c r="Q153" s="1">
        <f t="shared" ca="1" si="143"/>
        <v>0.57541698077977743</v>
      </c>
      <c r="R153" s="1">
        <f t="shared" ca="1" si="144"/>
        <v>469</v>
      </c>
      <c r="S153" s="1"/>
      <c r="T153" s="1">
        <f t="shared" ca="1" si="145"/>
        <v>0.14192124688691254</v>
      </c>
      <c r="U153" s="1">
        <f t="shared" ca="1" si="146"/>
        <v>199</v>
      </c>
      <c r="V153" s="1">
        <f t="shared" ca="1" si="147"/>
        <v>27</v>
      </c>
      <c r="W153" s="1"/>
      <c r="X153" s="1">
        <f t="shared" ca="1" si="148"/>
        <v>7.7837723895539082</v>
      </c>
      <c r="Y153" s="1">
        <f t="shared" ca="1" si="149"/>
        <v>0.7674833922944061</v>
      </c>
      <c r="Z153" s="1">
        <f t="shared" ca="1" si="150"/>
        <v>437</v>
      </c>
      <c r="AB153" s="1">
        <f t="shared" ca="1" si="151"/>
        <v>0.20635306693871397</v>
      </c>
      <c r="AC153" s="1">
        <f t="shared" ca="1" si="152"/>
        <v>798</v>
      </c>
      <c r="AD153" s="1">
        <f t="shared" ca="1" si="153"/>
        <v>8.8508276577711695E-3</v>
      </c>
      <c r="AE153" s="1"/>
      <c r="AF153" s="1">
        <f t="shared" ca="1" si="154"/>
        <v>0.44046436928966326</v>
      </c>
      <c r="AG153" s="1">
        <f t="shared" ca="1" si="155"/>
        <v>212</v>
      </c>
      <c r="AH153" s="1">
        <f t="shared" ca="1" si="156"/>
        <v>3.5842682512490626E-3</v>
      </c>
      <c r="AJ153" s="1">
        <f t="shared" ca="1" si="157"/>
        <v>4.9911247107237489E-2</v>
      </c>
      <c r="AK153" s="1">
        <f t="shared" ca="1" si="158"/>
        <v>7.5515093653238038E-3</v>
      </c>
      <c r="AL153" s="1"/>
      <c r="AM153" s="1">
        <f t="shared" ca="1" si="159"/>
        <v>0.18915918212279642</v>
      </c>
      <c r="AN153" s="1">
        <f t="shared" ca="1" si="160"/>
        <v>51</v>
      </c>
      <c r="AO153" s="1">
        <f t="shared" ca="1" si="161"/>
        <v>1</v>
      </c>
      <c r="AQ153" s="1">
        <f t="shared" ca="1" si="162"/>
        <v>97</v>
      </c>
      <c r="AR153" s="1">
        <f t="shared" ca="1" si="163"/>
        <v>5</v>
      </c>
      <c r="AS153" s="1">
        <f t="shared" ca="1" si="164"/>
        <v>99</v>
      </c>
      <c r="AU153" s="1">
        <f t="shared" ca="1" si="165"/>
        <v>250</v>
      </c>
      <c r="AV153" s="1">
        <f t="shared" ca="1" si="166"/>
        <v>2</v>
      </c>
      <c r="AW153" s="1">
        <f t="shared" ca="1" si="167"/>
        <v>0.1215486669671918</v>
      </c>
      <c r="AY153" s="1">
        <f t="shared" ca="1" si="168"/>
        <v>1.1977713982754368</v>
      </c>
      <c r="AZ153" s="1">
        <f t="shared" ca="1" si="169"/>
        <v>206</v>
      </c>
      <c r="BA153" s="1">
        <f t="shared" ca="1" si="170"/>
        <v>1.2260325416978541E-3</v>
      </c>
      <c r="BG153" s="1">
        <f t="shared" ca="1" si="171"/>
        <v>0.16477785889316413</v>
      </c>
      <c r="BH153" s="1">
        <f t="shared" ca="1" si="172"/>
        <v>0.67675135541237885</v>
      </c>
      <c r="BI153" s="1">
        <f t="shared" ca="1" si="173"/>
        <v>290</v>
      </c>
      <c r="BV153" s="1">
        <f t="shared" ca="1" si="174"/>
        <v>8.9729269179103135E-2</v>
      </c>
      <c r="BW153" s="1">
        <f t="shared" ca="1" si="175"/>
        <v>147</v>
      </c>
      <c r="BX153" s="1">
        <f t="shared" ca="1" si="176"/>
        <v>3.1031873342317641E-3</v>
      </c>
      <c r="BY153" s="1">
        <f t="shared" ca="1" si="177"/>
        <v>8.6281535437146478E-2</v>
      </c>
      <c r="BZ153" s="1">
        <f t="shared" ca="1" si="178"/>
        <v>0.78540537889738216</v>
      </c>
      <c r="CB153" s="1">
        <f t="shared" ca="1" si="179"/>
        <v>371</v>
      </c>
      <c r="CC153" s="1">
        <f t="shared" ca="1" si="180"/>
        <v>10</v>
      </c>
      <c r="CD153" s="1">
        <f t="shared" ca="1" si="181"/>
        <v>0.21620544348861886</v>
      </c>
      <c r="CE153" s="1">
        <f t="shared" ca="1" si="182"/>
        <v>0.67758177467784297</v>
      </c>
      <c r="CF153" s="1">
        <f t="shared" ca="1" si="182"/>
        <v>0.66476496177857869</v>
      </c>
      <c r="CH153" s="3">
        <f t="shared" ca="1" si="183"/>
        <v>0.98151812889629619</v>
      </c>
      <c r="CI153" s="3">
        <f t="shared" ca="1" si="184"/>
        <v>0.5699131445315303</v>
      </c>
      <c r="CJ153" s="3">
        <f t="shared" ca="1" si="185"/>
        <v>1701</v>
      </c>
      <c r="CK153" s="3">
        <f t="shared" ca="1" si="186"/>
        <v>4.2646347441006403E-3</v>
      </c>
      <c r="CL153" s="3">
        <f t="shared" ca="1" si="187"/>
        <v>1</v>
      </c>
      <c r="CM153" s="3"/>
      <c r="CN153" s="1">
        <f t="shared" ca="1" si="188"/>
        <v>10.317411209964812</v>
      </c>
      <c r="CO153" s="1">
        <f t="shared" ca="1" si="189"/>
        <v>9.404848045202005E-2</v>
      </c>
      <c r="CP153" s="1">
        <f t="shared" ca="1" si="190"/>
        <v>5</v>
      </c>
      <c r="DH153" s="1">
        <f t="shared" ca="1" si="191"/>
        <v>236</v>
      </c>
      <c r="DI153" s="1">
        <f t="shared" ca="1" si="192"/>
        <v>0.12547438021208943</v>
      </c>
      <c r="DJ153" s="1">
        <f t="shared" ca="1" si="193"/>
        <v>29</v>
      </c>
      <c r="DL153" s="1">
        <f t="shared" ca="1" si="194"/>
        <v>7.9879982968533866E-2</v>
      </c>
      <c r="DM153" s="1">
        <f t="shared" ca="1" si="195"/>
        <v>225</v>
      </c>
      <c r="DN153" s="1">
        <f t="shared" ca="1" si="196"/>
        <v>9</v>
      </c>
    </row>
    <row r="154" spans="2:118" x14ac:dyDescent="0.25">
      <c r="B154">
        <f t="shared" ca="1" si="132"/>
        <v>498</v>
      </c>
      <c r="C154">
        <f t="shared" ca="1" si="133"/>
        <v>32</v>
      </c>
      <c r="D154">
        <f t="shared" ca="1" si="134"/>
        <v>0.15588161038202525</v>
      </c>
      <c r="F154" s="1">
        <f t="shared" ca="1" si="135"/>
        <v>15</v>
      </c>
      <c r="G154" s="1">
        <f t="shared" ca="1" si="136"/>
        <v>2</v>
      </c>
      <c r="H154" s="1">
        <f t="shared" ca="1" si="137"/>
        <v>14</v>
      </c>
      <c r="I154" s="1"/>
      <c r="J154" s="1">
        <f t="shared" ca="1" si="138"/>
        <v>4</v>
      </c>
      <c r="K154" s="1">
        <f t="shared" ca="1" si="139"/>
        <v>2.3041494196910426</v>
      </c>
      <c r="L154" s="1">
        <f t="shared" ca="1" si="140"/>
        <v>8</v>
      </c>
      <c r="M154" s="1"/>
      <c r="N154" s="1">
        <f t="shared" ca="1" si="141"/>
        <v>117</v>
      </c>
      <c r="O154" s="1">
        <f t="shared" ca="1" si="142"/>
        <v>46</v>
      </c>
      <c r="P154" s="1"/>
      <c r="Q154" s="1">
        <f t="shared" ca="1" si="143"/>
        <v>2.9640910686370403</v>
      </c>
      <c r="R154" s="1">
        <f t="shared" ca="1" si="144"/>
        <v>537</v>
      </c>
      <c r="S154" s="1"/>
      <c r="T154" s="1">
        <f t="shared" ca="1" si="145"/>
        <v>7.4919074651866563E-2</v>
      </c>
      <c r="U154" s="1">
        <f t="shared" ca="1" si="146"/>
        <v>296</v>
      </c>
      <c r="V154" s="1">
        <f t="shared" ca="1" si="147"/>
        <v>15</v>
      </c>
      <c r="W154" s="1"/>
      <c r="X154" s="1">
        <f t="shared" ca="1" si="148"/>
        <v>3.1123705584385295</v>
      </c>
      <c r="Y154" s="1">
        <f t="shared" ca="1" si="149"/>
        <v>1.1446768264697827E-2</v>
      </c>
      <c r="Z154" s="1">
        <f t="shared" ca="1" si="150"/>
        <v>1695</v>
      </c>
      <c r="AB154" s="1">
        <f t="shared" ca="1" si="151"/>
        <v>0.49887688116449069</v>
      </c>
      <c r="AC154" s="1">
        <f t="shared" ca="1" si="152"/>
        <v>391</v>
      </c>
      <c r="AD154" s="1">
        <f t="shared" ca="1" si="153"/>
        <v>5.8670072235687517E-3</v>
      </c>
      <c r="AE154" s="1"/>
      <c r="AF154" s="1">
        <f t="shared" ca="1" si="154"/>
        <v>0.65359484938888257</v>
      </c>
      <c r="AG154" s="1">
        <f t="shared" ca="1" si="155"/>
        <v>548</v>
      </c>
      <c r="AH154" s="1">
        <f t="shared" ca="1" si="156"/>
        <v>2.4242429272904129E-3</v>
      </c>
      <c r="AJ154" s="1">
        <f t="shared" ca="1" si="157"/>
        <v>0.29475281372915063</v>
      </c>
      <c r="AK154" s="1">
        <f t="shared" ca="1" si="158"/>
        <v>2.8706660373689252E-3</v>
      </c>
      <c r="AL154" s="1"/>
      <c r="AM154" s="1">
        <f t="shared" ca="1" si="159"/>
        <v>0.13424198682744171</v>
      </c>
      <c r="AN154" s="1">
        <f t="shared" ca="1" si="160"/>
        <v>29</v>
      </c>
      <c r="AO154" s="1">
        <f t="shared" ca="1" si="161"/>
        <v>5</v>
      </c>
      <c r="AQ154" s="1">
        <f t="shared" ca="1" si="162"/>
        <v>161</v>
      </c>
      <c r="AR154" s="1">
        <f t="shared" ca="1" si="163"/>
        <v>2</v>
      </c>
      <c r="AS154" s="1">
        <f t="shared" ca="1" si="164"/>
        <v>14</v>
      </c>
      <c r="AU154" s="1">
        <f t="shared" ca="1" si="165"/>
        <v>272</v>
      </c>
      <c r="AV154" s="1">
        <f t="shared" ca="1" si="166"/>
        <v>2</v>
      </c>
      <c r="AW154" s="1">
        <f t="shared" ca="1" si="167"/>
        <v>6.5860597932762846E-2</v>
      </c>
      <c r="AY154" s="1">
        <f t="shared" ca="1" si="168"/>
        <v>1.2542818791935724</v>
      </c>
      <c r="AZ154" s="1">
        <f t="shared" ca="1" si="169"/>
        <v>138</v>
      </c>
      <c r="BA154" s="1">
        <f t="shared" ca="1" si="170"/>
        <v>8.8108754845272648E-3</v>
      </c>
      <c r="BG154" s="1">
        <f t="shared" ca="1" si="171"/>
        <v>0.65291737560524088</v>
      </c>
      <c r="BH154" s="1">
        <f t="shared" ca="1" si="172"/>
        <v>0.63844409805045366</v>
      </c>
      <c r="BI154" s="1">
        <f t="shared" ca="1" si="173"/>
        <v>837</v>
      </c>
      <c r="BV154" s="1">
        <f t="shared" ca="1" si="174"/>
        <v>0.12295060974567548</v>
      </c>
      <c r="BW154" s="1">
        <f t="shared" ca="1" si="175"/>
        <v>415</v>
      </c>
      <c r="BX154" s="1">
        <f t="shared" ca="1" si="176"/>
        <v>6.736223192654503E-3</v>
      </c>
      <c r="BY154" s="1">
        <f t="shared" ca="1" si="177"/>
        <v>7.7930426470437519E-2</v>
      </c>
      <c r="BZ154" s="1">
        <f t="shared" ca="1" si="178"/>
        <v>0.33220549526903875</v>
      </c>
      <c r="CB154" s="1">
        <f t="shared" ca="1" si="179"/>
        <v>258</v>
      </c>
      <c r="CC154" s="1">
        <f t="shared" ca="1" si="180"/>
        <v>10</v>
      </c>
      <c r="CD154" s="1">
        <f t="shared" ca="1" si="181"/>
        <v>9.9304150636556149E-2</v>
      </c>
      <c r="CE154" s="1">
        <f t="shared" ca="1" si="182"/>
        <v>0.67427737489732786</v>
      </c>
      <c r="CF154" s="1">
        <f t="shared" ca="1" si="182"/>
        <v>0.87152540678574308</v>
      </c>
      <c r="CH154" s="3">
        <f t="shared" ca="1" si="183"/>
        <v>0.64099926506173255</v>
      </c>
      <c r="CI154" s="3">
        <f t="shared" ca="1" si="184"/>
        <v>0.84945021548149713</v>
      </c>
      <c r="CJ154" s="3">
        <f t="shared" ca="1" si="185"/>
        <v>807</v>
      </c>
      <c r="CK154" s="3">
        <f t="shared" ca="1" si="186"/>
        <v>7.9615937881837903E-3</v>
      </c>
      <c r="CL154" s="3">
        <f t="shared" ca="1" si="187"/>
        <v>1</v>
      </c>
      <c r="CM154" s="3"/>
      <c r="CN154" s="1">
        <f t="shared" ca="1" si="188"/>
        <v>14.325044817481613</v>
      </c>
      <c r="CO154" s="1">
        <f t="shared" ca="1" si="189"/>
        <v>0.22349206141378058</v>
      </c>
      <c r="CP154" s="1">
        <f t="shared" ca="1" si="190"/>
        <v>1</v>
      </c>
      <c r="DH154" s="1">
        <f t="shared" ca="1" si="191"/>
        <v>357</v>
      </c>
      <c r="DI154" s="1">
        <f t="shared" ca="1" si="192"/>
        <v>0.6177609717105037</v>
      </c>
      <c r="DJ154" s="1">
        <f t="shared" ca="1" si="193"/>
        <v>16</v>
      </c>
      <c r="DL154" s="1">
        <f t="shared" ca="1" si="194"/>
        <v>9.5333420729219687E-2</v>
      </c>
      <c r="DM154" s="1">
        <f t="shared" ca="1" si="195"/>
        <v>73</v>
      </c>
      <c r="DN154" s="1">
        <f t="shared" ca="1" si="196"/>
        <v>2</v>
      </c>
    </row>
    <row r="155" spans="2:118" x14ac:dyDescent="0.25">
      <c r="B155">
        <f t="shared" ca="1" si="132"/>
        <v>777</v>
      </c>
      <c r="C155">
        <f t="shared" ca="1" si="133"/>
        <v>3</v>
      </c>
      <c r="D155">
        <f t="shared" ca="1" si="134"/>
        <v>0.12807292083614144</v>
      </c>
      <c r="F155" s="1">
        <f t="shared" ca="1" si="135"/>
        <v>35</v>
      </c>
      <c r="G155" s="1">
        <f t="shared" ca="1" si="136"/>
        <v>24</v>
      </c>
      <c r="H155" s="1">
        <f t="shared" ca="1" si="137"/>
        <v>10</v>
      </c>
      <c r="I155" s="1"/>
      <c r="J155" s="1">
        <f t="shared" ca="1" si="138"/>
        <v>26</v>
      </c>
      <c r="K155" s="1">
        <f t="shared" ca="1" si="139"/>
        <v>1.8748350767186281</v>
      </c>
      <c r="L155" s="1">
        <f t="shared" ca="1" si="140"/>
        <v>20</v>
      </c>
      <c r="M155" s="1"/>
      <c r="N155" s="1">
        <f t="shared" ca="1" si="141"/>
        <v>798</v>
      </c>
      <c r="O155" s="1">
        <f t="shared" ca="1" si="142"/>
        <v>18</v>
      </c>
      <c r="P155" s="1"/>
      <c r="Q155" s="1">
        <f t="shared" ca="1" si="143"/>
        <v>2.8173982319899649</v>
      </c>
      <c r="R155" s="1">
        <f t="shared" ca="1" si="144"/>
        <v>901</v>
      </c>
      <c r="S155" s="1"/>
      <c r="T155" s="1">
        <f t="shared" ca="1" si="145"/>
        <v>0.17284091073433308</v>
      </c>
      <c r="U155" s="1">
        <f t="shared" ca="1" si="146"/>
        <v>89</v>
      </c>
      <c r="V155" s="1">
        <f t="shared" ca="1" si="147"/>
        <v>43</v>
      </c>
      <c r="W155" s="1"/>
      <c r="X155" s="1">
        <f t="shared" ca="1" si="148"/>
        <v>4.848892463639948</v>
      </c>
      <c r="Y155" s="1">
        <f t="shared" ca="1" si="149"/>
        <v>0.96226478199449705</v>
      </c>
      <c r="Z155" s="1">
        <f t="shared" ca="1" si="150"/>
        <v>201</v>
      </c>
      <c r="AB155" s="1">
        <f t="shared" ca="1" si="151"/>
        <v>0.27970225028003415</v>
      </c>
      <c r="AC155" s="1">
        <f t="shared" ca="1" si="152"/>
        <v>534</v>
      </c>
      <c r="AD155" s="1">
        <f t="shared" ca="1" si="153"/>
        <v>3.0515414652015032E-3</v>
      </c>
      <c r="AE155" s="1"/>
      <c r="AF155" s="1">
        <f t="shared" ca="1" si="154"/>
        <v>0.43189200237885206</v>
      </c>
      <c r="AG155" s="1">
        <f t="shared" ca="1" si="155"/>
        <v>215</v>
      </c>
      <c r="AH155" s="1">
        <f t="shared" ca="1" si="156"/>
        <v>8.9929253347844646E-3</v>
      </c>
      <c r="AJ155" s="1">
        <f t="shared" ca="1" si="157"/>
        <v>0.76291345780970288</v>
      </c>
      <c r="AK155" s="1">
        <f t="shared" ca="1" si="158"/>
        <v>8.9097674495556469E-3</v>
      </c>
      <c r="AL155" s="1"/>
      <c r="AM155" s="1">
        <f t="shared" ca="1" si="159"/>
        <v>0.15761979056754072</v>
      </c>
      <c r="AN155" s="1">
        <f t="shared" ca="1" si="160"/>
        <v>43</v>
      </c>
      <c r="AO155" s="1">
        <f t="shared" ca="1" si="161"/>
        <v>9</v>
      </c>
      <c r="AQ155" s="1">
        <f t="shared" ca="1" si="162"/>
        <v>70</v>
      </c>
      <c r="AR155" s="1">
        <f t="shared" ca="1" si="163"/>
        <v>6</v>
      </c>
      <c r="AS155" s="1">
        <f t="shared" ca="1" si="164"/>
        <v>42</v>
      </c>
      <c r="AU155" s="1">
        <f t="shared" ca="1" si="165"/>
        <v>361</v>
      </c>
      <c r="AV155" s="1">
        <f t="shared" ca="1" si="166"/>
        <v>8</v>
      </c>
      <c r="AW155" s="1">
        <f t="shared" ca="1" si="167"/>
        <v>1.61876018685632E-2</v>
      </c>
      <c r="AY155" s="1">
        <f t="shared" ca="1" si="168"/>
        <v>1.7701933741436822</v>
      </c>
      <c r="AZ155" s="1">
        <f t="shared" ca="1" si="169"/>
        <v>64</v>
      </c>
      <c r="BA155" s="1">
        <f t="shared" ca="1" si="170"/>
        <v>7.3291269393469284E-3</v>
      </c>
      <c r="BG155" s="1">
        <f t="shared" ca="1" si="171"/>
        <v>0.97112617717143745</v>
      </c>
      <c r="BH155" s="1">
        <f t="shared" ca="1" si="172"/>
        <v>0.94759509390142238</v>
      </c>
      <c r="BI155" s="1">
        <f t="shared" ca="1" si="173"/>
        <v>650</v>
      </c>
      <c r="BV155" s="1">
        <f t="shared" ca="1" si="174"/>
        <v>0.87503277319205186</v>
      </c>
      <c r="BW155" s="1">
        <f t="shared" ca="1" si="175"/>
        <v>231</v>
      </c>
      <c r="BX155" s="1">
        <f t="shared" ca="1" si="176"/>
        <v>1.115785030691491E-3</v>
      </c>
      <c r="BY155" s="1">
        <f t="shared" ca="1" si="177"/>
        <v>8.0538040906674477E-2</v>
      </c>
      <c r="BZ155" s="1">
        <f t="shared" ca="1" si="178"/>
        <v>0.45618303144582784</v>
      </c>
      <c r="CB155" s="1">
        <f t="shared" ca="1" si="179"/>
        <v>231</v>
      </c>
      <c r="CC155" s="1">
        <f t="shared" ca="1" si="180"/>
        <v>8</v>
      </c>
      <c r="CD155" s="1">
        <f t="shared" ca="1" si="181"/>
        <v>0.11883644382389176</v>
      </c>
      <c r="CE155" s="1">
        <f t="shared" ca="1" si="182"/>
        <v>0.65025122512942302</v>
      </c>
      <c r="CF155" s="1">
        <f t="shared" ca="1" si="182"/>
        <v>0.62617151696048778</v>
      </c>
      <c r="CH155" s="3">
        <f t="shared" ca="1" si="183"/>
        <v>0.97068631680378903</v>
      </c>
      <c r="CI155" s="3">
        <f t="shared" ca="1" si="184"/>
        <v>0.89570493753064173</v>
      </c>
      <c r="CJ155" s="3">
        <f t="shared" ca="1" si="185"/>
        <v>587</v>
      </c>
      <c r="CK155" s="3">
        <f t="shared" ca="1" si="186"/>
        <v>7.1830719784351203E-3</v>
      </c>
      <c r="CL155" s="3">
        <f t="shared" ca="1" si="187"/>
        <v>0</v>
      </c>
      <c r="CM155" s="3"/>
      <c r="CN155" s="1">
        <f t="shared" ca="1" si="188"/>
        <v>12.812598465514272</v>
      </c>
      <c r="CO155" s="1">
        <f t="shared" ca="1" si="189"/>
        <v>0.44921124355352449</v>
      </c>
      <c r="CP155" s="1">
        <f t="shared" ca="1" si="190"/>
        <v>5</v>
      </c>
      <c r="DH155" s="1">
        <f t="shared" ca="1" si="191"/>
        <v>644</v>
      </c>
      <c r="DI155" s="1">
        <f t="shared" ca="1" si="192"/>
        <v>0.4417784649956002</v>
      </c>
      <c r="DJ155" s="1">
        <f t="shared" ca="1" si="193"/>
        <v>30</v>
      </c>
      <c r="DL155" s="1">
        <f t="shared" ca="1" si="194"/>
        <v>0.14567337885299333</v>
      </c>
      <c r="DM155" s="1">
        <f t="shared" ca="1" si="195"/>
        <v>82</v>
      </c>
      <c r="DN155" s="1">
        <f t="shared" ca="1" si="196"/>
        <v>3</v>
      </c>
    </row>
    <row r="156" spans="2:118" x14ac:dyDescent="0.25">
      <c r="B156">
        <f t="shared" ca="1" si="132"/>
        <v>310</v>
      </c>
      <c r="C156">
        <f t="shared" ca="1" si="133"/>
        <v>39</v>
      </c>
      <c r="D156">
        <f t="shared" ca="1" si="134"/>
        <v>0.11393440822708735</v>
      </c>
      <c r="F156" s="1">
        <f t="shared" ca="1" si="135"/>
        <v>13</v>
      </c>
      <c r="G156" s="1">
        <f t="shared" ca="1" si="136"/>
        <v>11</v>
      </c>
      <c r="H156" s="1">
        <f t="shared" ca="1" si="137"/>
        <v>12</v>
      </c>
      <c r="I156" s="1"/>
      <c r="J156" s="1">
        <f t="shared" ca="1" si="138"/>
        <v>22</v>
      </c>
      <c r="K156" s="1">
        <f t="shared" ca="1" si="139"/>
        <v>1.825783266961857</v>
      </c>
      <c r="L156" s="1">
        <f t="shared" ca="1" si="140"/>
        <v>20</v>
      </c>
      <c r="M156" s="1"/>
      <c r="N156" s="1">
        <f t="shared" ca="1" si="141"/>
        <v>35</v>
      </c>
      <c r="O156" s="1">
        <f t="shared" ca="1" si="142"/>
        <v>11</v>
      </c>
      <c r="P156" s="1"/>
      <c r="Q156" s="1">
        <f t="shared" ca="1" si="143"/>
        <v>3.6374569395339824</v>
      </c>
      <c r="R156" s="1">
        <f t="shared" ca="1" si="144"/>
        <v>517</v>
      </c>
      <c r="S156" s="1"/>
      <c r="T156" s="1">
        <f t="shared" ca="1" si="145"/>
        <v>0.1991041293087005</v>
      </c>
      <c r="U156" s="1">
        <f t="shared" ca="1" si="146"/>
        <v>203</v>
      </c>
      <c r="V156" s="1">
        <f t="shared" ca="1" si="147"/>
        <v>19</v>
      </c>
      <c r="W156" s="1"/>
      <c r="X156" s="1">
        <f t="shared" ca="1" si="148"/>
        <v>5.3650631232159256</v>
      </c>
      <c r="Y156" s="1">
        <f t="shared" ca="1" si="149"/>
        <v>0.67246065376845732</v>
      </c>
      <c r="Z156" s="1">
        <f t="shared" ca="1" si="150"/>
        <v>573</v>
      </c>
      <c r="AB156" s="1">
        <f t="shared" ca="1" si="151"/>
        <v>0.91109465212331397</v>
      </c>
      <c r="AC156" s="1">
        <f t="shared" ca="1" si="152"/>
        <v>976</v>
      </c>
      <c r="AD156" s="1">
        <f t="shared" ca="1" si="153"/>
        <v>6.482419132754013E-4</v>
      </c>
      <c r="AE156" s="1"/>
      <c r="AF156" s="1">
        <f t="shared" ca="1" si="154"/>
        <v>0.62821054141860633</v>
      </c>
      <c r="AG156" s="1">
        <f t="shared" ca="1" si="155"/>
        <v>441</v>
      </c>
      <c r="AH156" s="1">
        <f t="shared" ca="1" si="156"/>
        <v>6.382294360520323E-3</v>
      </c>
      <c r="AJ156" s="1">
        <f t="shared" ca="1" si="157"/>
        <v>0.8773958783516671</v>
      </c>
      <c r="AK156" s="1">
        <f t="shared" ca="1" si="158"/>
        <v>3.9580607062422932E-3</v>
      </c>
      <c r="AL156" s="1"/>
      <c r="AM156" s="1">
        <f t="shared" ca="1" si="159"/>
        <v>0.17753731470300965</v>
      </c>
      <c r="AN156" s="1">
        <f t="shared" ca="1" si="160"/>
        <v>74</v>
      </c>
      <c r="AO156" s="1">
        <f t="shared" ca="1" si="161"/>
        <v>0</v>
      </c>
      <c r="AQ156" s="1">
        <f t="shared" ca="1" si="162"/>
        <v>79</v>
      </c>
      <c r="AR156" s="1">
        <f t="shared" ca="1" si="163"/>
        <v>3</v>
      </c>
      <c r="AS156" s="1">
        <f t="shared" ca="1" si="164"/>
        <v>69</v>
      </c>
      <c r="AU156" s="1">
        <f t="shared" ca="1" si="165"/>
        <v>169</v>
      </c>
      <c r="AV156" s="1">
        <f t="shared" ca="1" si="166"/>
        <v>5</v>
      </c>
      <c r="AW156" s="1">
        <f t="shared" ca="1" si="167"/>
        <v>0.19808984718558145</v>
      </c>
      <c r="AY156" s="1">
        <f t="shared" ca="1" si="168"/>
        <v>1.3088614515768813</v>
      </c>
      <c r="AZ156" s="1">
        <f t="shared" ca="1" si="169"/>
        <v>384</v>
      </c>
      <c r="BA156" s="1">
        <f t="shared" ca="1" si="170"/>
        <v>1.8866349211250138E-3</v>
      </c>
      <c r="BG156" s="1">
        <f t="shared" ca="1" si="171"/>
        <v>0.15687504823312493</v>
      </c>
      <c r="BH156" s="1">
        <f t="shared" ca="1" si="172"/>
        <v>0.51326858978756251</v>
      </c>
      <c r="BI156" s="1">
        <f t="shared" ca="1" si="173"/>
        <v>928</v>
      </c>
      <c r="BV156" s="1">
        <f t="shared" ca="1" si="174"/>
        <v>0.4377776638980555</v>
      </c>
      <c r="BW156" s="1">
        <f t="shared" ca="1" si="175"/>
        <v>888</v>
      </c>
      <c r="BX156" s="1">
        <f t="shared" ca="1" si="176"/>
        <v>3.7061247750557538E-3</v>
      </c>
      <c r="BY156" s="1">
        <f t="shared" ca="1" si="177"/>
        <v>1.903654557051896E-2</v>
      </c>
      <c r="BZ156" s="1">
        <f t="shared" ca="1" si="178"/>
        <v>0.1841129401986269</v>
      </c>
      <c r="CB156" s="1">
        <f t="shared" ca="1" si="179"/>
        <v>310</v>
      </c>
      <c r="CC156" s="1">
        <f t="shared" ca="1" si="180"/>
        <v>6</v>
      </c>
      <c r="CD156" s="1">
        <f t="shared" ca="1" si="181"/>
        <v>7.824299622320123E-2</v>
      </c>
      <c r="CE156" s="1">
        <f t="shared" ca="1" si="182"/>
        <v>0.57612727831124366</v>
      </c>
      <c r="CF156" s="1">
        <f t="shared" ca="1" si="182"/>
        <v>0.91548887040925075</v>
      </c>
      <c r="CH156" s="3">
        <f t="shared" ca="1" si="183"/>
        <v>4.5603287648763827E-2</v>
      </c>
      <c r="CI156" s="3">
        <f t="shared" ca="1" si="184"/>
        <v>0.91316687249484008</v>
      </c>
      <c r="CJ156" s="3">
        <f t="shared" ca="1" si="185"/>
        <v>785</v>
      </c>
      <c r="CK156" s="3">
        <f t="shared" ca="1" si="186"/>
        <v>9.2624386248999716E-3</v>
      </c>
      <c r="CL156" s="3">
        <f t="shared" ca="1" si="187"/>
        <v>1</v>
      </c>
      <c r="CM156" s="3"/>
      <c r="CN156" s="1">
        <f t="shared" ca="1" si="188"/>
        <v>5.6055559153018084</v>
      </c>
      <c r="CO156" s="1">
        <f t="shared" ca="1" si="189"/>
        <v>8.7269945365572921E-2</v>
      </c>
      <c r="CP156" s="1">
        <f t="shared" ca="1" si="190"/>
        <v>2</v>
      </c>
      <c r="DH156" s="1">
        <f t="shared" ca="1" si="191"/>
        <v>771</v>
      </c>
      <c r="DI156" s="1">
        <f t="shared" ca="1" si="192"/>
        <v>0.47483254294316429</v>
      </c>
      <c r="DJ156" s="1">
        <f t="shared" ca="1" si="193"/>
        <v>24</v>
      </c>
      <c r="DL156" s="1">
        <f t="shared" ca="1" si="194"/>
        <v>0.17103694391571925</v>
      </c>
      <c r="DM156" s="1">
        <f t="shared" ca="1" si="195"/>
        <v>283</v>
      </c>
      <c r="DN156" s="1">
        <f t="shared" ca="1" si="196"/>
        <v>4</v>
      </c>
    </row>
    <row r="157" spans="2:118" x14ac:dyDescent="0.25">
      <c r="B157">
        <f t="shared" ca="1" si="132"/>
        <v>427</v>
      </c>
      <c r="C157">
        <f t="shared" ca="1" si="133"/>
        <v>13</v>
      </c>
      <c r="D157">
        <f t="shared" ca="1" si="134"/>
        <v>1.0789662220301931E-2</v>
      </c>
      <c r="F157" s="1">
        <f t="shared" ca="1" si="135"/>
        <v>52</v>
      </c>
      <c r="G157" s="1">
        <f t="shared" ca="1" si="136"/>
        <v>16</v>
      </c>
      <c r="H157" s="1">
        <f t="shared" ca="1" si="137"/>
        <v>7</v>
      </c>
      <c r="I157" s="1"/>
      <c r="J157" s="1">
        <f t="shared" ca="1" si="138"/>
        <v>13</v>
      </c>
      <c r="K157" s="1">
        <f t="shared" ca="1" si="139"/>
        <v>2.3077951166889106</v>
      </c>
      <c r="L157" s="1">
        <f t="shared" ca="1" si="140"/>
        <v>27</v>
      </c>
      <c r="M157" s="1"/>
      <c r="N157" s="1">
        <f t="shared" ca="1" si="141"/>
        <v>312</v>
      </c>
      <c r="O157" s="1">
        <f t="shared" ca="1" si="142"/>
        <v>50</v>
      </c>
      <c r="P157" s="1"/>
      <c r="Q157" s="1">
        <f t="shared" ca="1" si="143"/>
        <v>1.99385065123336</v>
      </c>
      <c r="R157" s="1">
        <f t="shared" ca="1" si="144"/>
        <v>949</v>
      </c>
      <c r="S157" s="1"/>
      <c r="T157" s="1">
        <f t="shared" ca="1" si="145"/>
        <v>0.1142144067985376</v>
      </c>
      <c r="U157" s="1">
        <f t="shared" ca="1" si="146"/>
        <v>103</v>
      </c>
      <c r="V157" s="1">
        <f t="shared" ca="1" si="147"/>
        <v>3</v>
      </c>
      <c r="W157" s="1"/>
      <c r="X157" s="1">
        <f t="shared" ca="1" si="148"/>
        <v>7.7765277597973093</v>
      </c>
      <c r="Y157" s="1">
        <f t="shared" ca="1" si="149"/>
        <v>0.67577612654414065</v>
      </c>
      <c r="Z157" s="1">
        <f t="shared" ca="1" si="150"/>
        <v>818</v>
      </c>
      <c r="AB157" s="1">
        <f t="shared" ca="1" si="151"/>
        <v>0.11641870390488035</v>
      </c>
      <c r="AC157" s="1">
        <f t="shared" ca="1" si="152"/>
        <v>542</v>
      </c>
      <c r="AD157" s="1">
        <f t="shared" ca="1" si="153"/>
        <v>6.6326748522228373E-3</v>
      </c>
      <c r="AE157" s="1"/>
      <c r="AF157" s="1">
        <f t="shared" ca="1" si="154"/>
        <v>0.63306589642475841</v>
      </c>
      <c r="AG157" s="1">
        <f t="shared" ca="1" si="155"/>
        <v>129</v>
      </c>
      <c r="AH157" s="1">
        <f t="shared" ca="1" si="156"/>
        <v>1.201570797146549E-3</v>
      </c>
      <c r="AJ157" s="1">
        <f t="shared" ca="1" si="157"/>
        <v>0.95950737517231</v>
      </c>
      <c r="AK157" s="1">
        <f t="shared" ca="1" si="158"/>
        <v>7.4377483572636485E-3</v>
      </c>
      <c r="AL157" s="1"/>
      <c r="AM157" s="1">
        <f t="shared" ca="1" si="159"/>
        <v>4.3179866759824659E-2</v>
      </c>
      <c r="AN157" s="1">
        <f t="shared" ca="1" si="160"/>
        <v>51</v>
      </c>
      <c r="AO157" s="1">
        <f t="shared" ca="1" si="161"/>
        <v>4</v>
      </c>
      <c r="AQ157" s="1">
        <f t="shared" ca="1" si="162"/>
        <v>106</v>
      </c>
      <c r="AR157" s="1">
        <f t="shared" ca="1" si="163"/>
        <v>10</v>
      </c>
      <c r="AS157" s="1">
        <f t="shared" ca="1" si="164"/>
        <v>44</v>
      </c>
      <c r="AU157" s="1">
        <f t="shared" ca="1" si="165"/>
        <v>304</v>
      </c>
      <c r="AV157" s="1">
        <f t="shared" ca="1" si="166"/>
        <v>8</v>
      </c>
      <c r="AW157" s="1">
        <f t="shared" ca="1" si="167"/>
        <v>0.15650101554465304</v>
      </c>
      <c r="AY157" s="1">
        <f t="shared" ca="1" si="168"/>
        <v>1.563304600392895</v>
      </c>
      <c r="AZ157" s="1">
        <f t="shared" ca="1" si="169"/>
        <v>285</v>
      </c>
      <c r="BA157" s="1">
        <f t="shared" ca="1" si="170"/>
        <v>6.9761529224169547E-3</v>
      </c>
      <c r="BG157" s="1">
        <f t="shared" ca="1" si="171"/>
        <v>6.0573641879561831E-2</v>
      </c>
      <c r="BH157" s="1">
        <f t="shared" ca="1" si="172"/>
        <v>0.10106764015279202</v>
      </c>
      <c r="BI157" s="1">
        <f t="shared" ca="1" si="173"/>
        <v>858</v>
      </c>
      <c r="BV157" s="1">
        <f t="shared" ca="1" si="174"/>
        <v>0.58369593775751538</v>
      </c>
      <c r="BW157" s="1">
        <f t="shared" ca="1" si="175"/>
        <v>236</v>
      </c>
      <c r="BX157" s="1">
        <f t="shared" ca="1" si="176"/>
        <v>2.5344562733806581E-4</v>
      </c>
      <c r="BY157" s="1">
        <f t="shared" ca="1" si="177"/>
        <v>9.0702600721896079E-2</v>
      </c>
      <c r="BZ157" s="1">
        <f t="shared" ca="1" si="178"/>
        <v>0.98415501322573484</v>
      </c>
      <c r="CB157" s="1">
        <f t="shared" ca="1" si="179"/>
        <v>428</v>
      </c>
      <c r="CC157" s="1">
        <f t="shared" ca="1" si="180"/>
        <v>3</v>
      </c>
      <c r="CD157" s="1">
        <f t="shared" ca="1" si="181"/>
        <v>0.24325605249851773</v>
      </c>
      <c r="CE157" s="1">
        <f t="shared" ca="1" si="182"/>
        <v>0.51850472768382239</v>
      </c>
      <c r="CF157" s="1">
        <f t="shared" ca="1" si="182"/>
        <v>0.62767513643632178</v>
      </c>
      <c r="CH157" s="3">
        <f t="shared" ca="1" si="183"/>
        <v>0.34461533854629173</v>
      </c>
      <c r="CI157" s="3">
        <f t="shared" ca="1" si="184"/>
        <v>0.58219553225570686</v>
      </c>
      <c r="CJ157" s="3">
        <f t="shared" ca="1" si="185"/>
        <v>153</v>
      </c>
      <c r="CK157" s="3">
        <f t="shared" ca="1" si="186"/>
        <v>5.3318631659554404E-3</v>
      </c>
      <c r="CL157" s="3">
        <f t="shared" ca="1" si="187"/>
        <v>1</v>
      </c>
      <c r="CM157" s="3"/>
      <c r="CN157" s="1">
        <f t="shared" ca="1" si="188"/>
        <v>19.694722977466338</v>
      </c>
      <c r="CO157" s="1">
        <f t="shared" ca="1" si="189"/>
        <v>3.8730236226427274E-2</v>
      </c>
      <c r="CP157" s="1">
        <f t="shared" ca="1" si="190"/>
        <v>5</v>
      </c>
      <c r="DH157" s="1">
        <f t="shared" ca="1" si="191"/>
        <v>824</v>
      </c>
      <c r="DI157" s="1">
        <f t="shared" ca="1" si="192"/>
        <v>0.63382426867140285</v>
      </c>
      <c r="DJ157" s="1">
        <f t="shared" ca="1" si="193"/>
        <v>26</v>
      </c>
      <c r="DL157" s="1">
        <f t="shared" ca="1" si="194"/>
        <v>8.1015020945329114E-2</v>
      </c>
      <c r="DM157" s="1">
        <f t="shared" ca="1" si="195"/>
        <v>279</v>
      </c>
      <c r="DN157" s="1">
        <f t="shared" ca="1" si="196"/>
        <v>9</v>
      </c>
    </row>
    <row r="158" spans="2:118" x14ac:dyDescent="0.25">
      <c r="B158">
        <f t="shared" ca="1" si="132"/>
        <v>334</v>
      </c>
      <c r="C158">
        <f t="shared" ca="1" si="133"/>
        <v>52</v>
      </c>
      <c r="D158">
        <f t="shared" ca="1" si="134"/>
        <v>0.2442431699834203</v>
      </c>
      <c r="F158" s="1">
        <f t="shared" ca="1" si="135"/>
        <v>30</v>
      </c>
      <c r="G158" s="1">
        <f t="shared" ca="1" si="136"/>
        <v>3</v>
      </c>
      <c r="H158" s="1">
        <f t="shared" ca="1" si="137"/>
        <v>15</v>
      </c>
      <c r="I158" s="1"/>
      <c r="J158" s="1">
        <f t="shared" ca="1" si="138"/>
        <v>29</v>
      </c>
      <c r="K158" s="1">
        <f t="shared" ca="1" si="139"/>
        <v>1.1644360426876414</v>
      </c>
      <c r="L158" s="1">
        <f t="shared" ca="1" si="140"/>
        <v>17</v>
      </c>
      <c r="M158" s="1"/>
      <c r="N158" s="1">
        <f t="shared" ca="1" si="141"/>
        <v>318</v>
      </c>
      <c r="O158" s="1">
        <f t="shared" ca="1" si="142"/>
        <v>21</v>
      </c>
      <c r="P158" s="1"/>
      <c r="Q158" s="1">
        <f t="shared" ca="1" si="143"/>
        <v>3.0419814993318042</v>
      </c>
      <c r="R158" s="1">
        <f t="shared" ca="1" si="144"/>
        <v>883</v>
      </c>
      <c r="S158" s="1"/>
      <c r="T158" s="1">
        <f t="shared" ca="1" si="145"/>
        <v>2.1836373310036856E-2</v>
      </c>
      <c r="U158" s="1">
        <f t="shared" ca="1" si="146"/>
        <v>387</v>
      </c>
      <c r="V158" s="1">
        <f t="shared" ca="1" si="147"/>
        <v>23</v>
      </c>
      <c r="W158" s="1"/>
      <c r="X158" s="1">
        <f t="shared" ca="1" si="148"/>
        <v>0.5137562629409006</v>
      </c>
      <c r="Y158" s="1">
        <f t="shared" ca="1" si="149"/>
        <v>0.4852387636150669</v>
      </c>
      <c r="Z158" s="1">
        <f t="shared" ca="1" si="150"/>
        <v>1861</v>
      </c>
      <c r="AB158" s="1">
        <f t="shared" ca="1" si="151"/>
        <v>0.81325106033550898</v>
      </c>
      <c r="AC158" s="1">
        <f t="shared" ca="1" si="152"/>
        <v>967</v>
      </c>
      <c r="AD158" s="1">
        <f t="shared" ca="1" si="153"/>
        <v>6.0768527928766383E-3</v>
      </c>
      <c r="AE158" s="1"/>
      <c r="AF158" s="1">
        <f t="shared" ca="1" si="154"/>
        <v>0.49261398212943319</v>
      </c>
      <c r="AG158" s="1">
        <f t="shared" ca="1" si="155"/>
        <v>136</v>
      </c>
      <c r="AH158" s="1">
        <f t="shared" ca="1" si="156"/>
        <v>4.3823780176626848E-3</v>
      </c>
      <c r="AJ158" s="1">
        <f t="shared" ca="1" si="157"/>
        <v>0.88609916981754633</v>
      </c>
      <c r="AK158" s="1">
        <f t="shared" ca="1" si="158"/>
        <v>1.0930547316304483E-3</v>
      </c>
      <c r="AL158" s="1"/>
      <c r="AM158" s="1">
        <f t="shared" ca="1" si="159"/>
        <v>8.3550575679327554E-3</v>
      </c>
      <c r="AN158" s="1">
        <f t="shared" ca="1" si="160"/>
        <v>61</v>
      </c>
      <c r="AO158" s="1">
        <f t="shared" ca="1" si="161"/>
        <v>6</v>
      </c>
      <c r="AQ158" s="1">
        <f t="shared" ca="1" si="162"/>
        <v>141</v>
      </c>
      <c r="AR158" s="1">
        <f t="shared" ca="1" si="163"/>
        <v>6</v>
      </c>
      <c r="AS158" s="1">
        <f t="shared" ca="1" si="164"/>
        <v>51</v>
      </c>
      <c r="AU158" s="1">
        <f t="shared" ca="1" si="165"/>
        <v>263</v>
      </c>
      <c r="AV158" s="1">
        <f t="shared" ca="1" si="166"/>
        <v>6</v>
      </c>
      <c r="AW158" s="1">
        <f t="shared" ca="1" si="167"/>
        <v>3.2432673131334827E-2</v>
      </c>
      <c r="AY158" s="1">
        <f t="shared" ca="1" si="168"/>
        <v>1.7127380441788462</v>
      </c>
      <c r="AZ158" s="1">
        <f t="shared" ca="1" si="169"/>
        <v>346</v>
      </c>
      <c r="BA158" s="1">
        <f t="shared" ca="1" si="170"/>
        <v>3.8095064834270696E-4</v>
      </c>
      <c r="BG158" s="1">
        <f t="shared" ca="1" si="171"/>
        <v>0.62696037064485644</v>
      </c>
      <c r="BH158" s="1">
        <f t="shared" ca="1" si="172"/>
        <v>0.84797067525044734</v>
      </c>
      <c r="BI158" s="1">
        <f t="shared" ca="1" si="173"/>
        <v>361</v>
      </c>
      <c r="BV158" s="1">
        <f t="shared" ca="1" si="174"/>
        <v>0.98482137490120381</v>
      </c>
      <c r="BW158" s="1">
        <f t="shared" ca="1" si="175"/>
        <v>306</v>
      </c>
      <c r="BX158" s="1">
        <f t="shared" ca="1" si="176"/>
        <v>1.1298271126031286E-3</v>
      </c>
      <c r="BY158" s="1">
        <f t="shared" ca="1" si="177"/>
        <v>8.3308705947704037E-2</v>
      </c>
      <c r="BZ158" s="1">
        <f t="shared" ca="1" si="178"/>
        <v>0.46317977916774955</v>
      </c>
      <c r="CB158" s="1">
        <f t="shared" ca="1" si="179"/>
        <v>113</v>
      </c>
      <c r="CC158" s="1">
        <f t="shared" ca="1" si="180"/>
        <v>11</v>
      </c>
      <c r="CD158" s="1">
        <f t="shared" ca="1" si="181"/>
        <v>0.26603994964457994</v>
      </c>
      <c r="CE158" s="1">
        <f t="shared" ca="1" si="182"/>
        <v>0.70338214904330287</v>
      </c>
      <c r="CF158" s="1">
        <f t="shared" ca="1" si="182"/>
        <v>0.94975103296585495</v>
      </c>
      <c r="CH158" s="3">
        <f t="shared" ca="1" si="183"/>
        <v>0.55782368282579042</v>
      </c>
      <c r="CI158" s="3">
        <f t="shared" ca="1" si="184"/>
        <v>0.21695199917232319</v>
      </c>
      <c r="CJ158" s="3">
        <f t="shared" ca="1" si="185"/>
        <v>187</v>
      </c>
      <c r="CK158" s="3">
        <f t="shared" ca="1" si="186"/>
        <v>7.5135440356522629E-3</v>
      </c>
      <c r="CL158" s="3">
        <f t="shared" ca="1" si="187"/>
        <v>0</v>
      </c>
      <c r="CM158" s="3"/>
      <c r="CN158" s="1">
        <f t="shared" ca="1" si="188"/>
        <v>17.872118256676014</v>
      </c>
      <c r="CO158" s="1">
        <f t="shared" ca="1" si="189"/>
        <v>0.30006029001333417</v>
      </c>
      <c r="CP158" s="1">
        <f t="shared" ca="1" si="190"/>
        <v>1</v>
      </c>
      <c r="DH158" s="1">
        <f t="shared" ca="1" si="191"/>
        <v>107</v>
      </c>
      <c r="DI158" s="1">
        <f t="shared" ca="1" si="192"/>
        <v>0.5510015876294444</v>
      </c>
      <c r="DJ158" s="1">
        <f t="shared" ca="1" si="193"/>
        <v>22</v>
      </c>
      <c r="DL158" s="1">
        <f t="shared" ca="1" si="194"/>
        <v>8.5202584968122996E-2</v>
      </c>
      <c r="DM158" s="1">
        <f t="shared" ca="1" si="195"/>
        <v>112</v>
      </c>
      <c r="DN158" s="1">
        <f t="shared" ca="1" si="196"/>
        <v>6</v>
      </c>
    </row>
    <row r="159" spans="2:118" x14ac:dyDescent="0.25">
      <c r="B159">
        <f t="shared" ca="1" si="132"/>
        <v>824</v>
      </c>
      <c r="C159">
        <f t="shared" ca="1" si="133"/>
        <v>45</v>
      </c>
      <c r="D159">
        <f t="shared" ca="1" si="134"/>
        <v>3.797830019687079E-2</v>
      </c>
      <c r="F159" s="1">
        <f t="shared" ca="1" si="135"/>
        <v>2</v>
      </c>
      <c r="G159" s="1">
        <f t="shared" ca="1" si="136"/>
        <v>7</v>
      </c>
      <c r="H159" s="1">
        <f t="shared" ca="1" si="137"/>
        <v>8</v>
      </c>
      <c r="I159" s="1"/>
      <c r="J159" s="1">
        <f t="shared" ca="1" si="138"/>
        <v>4</v>
      </c>
      <c r="K159" s="1">
        <f t="shared" ca="1" si="139"/>
        <v>1.6247923532609798</v>
      </c>
      <c r="L159" s="1">
        <f t="shared" ca="1" si="140"/>
        <v>8</v>
      </c>
      <c r="M159" s="1"/>
      <c r="N159" s="1">
        <f t="shared" ca="1" si="141"/>
        <v>983</v>
      </c>
      <c r="O159" s="1">
        <f t="shared" ca="1" si="142"/>
        <v>41</v>
      </c>
      <c r="P159" s="1"/>
      <c r="Q159" s="1">
        <f t="shared" ca="1" si="143"/>
        <v>2.625091859038867</v>
      </c>
      <c r="R159" s="1">
        <f t="shared" ca="1" si="144"/>
        <v>944</v>
      </c>
      <c r="S159" s="1"/>
      <c r="T159" s="1">
        <f t="shared" ca="1" si="145"/>
        <v>0.13087242099929092</v>
      </c>
      <c r="U159" s="1">
        <f t="shared" ca="1" si="146"/>
        <v>289</v>
      </c>
      <c r="V159" s="1">
        <f t="shared" ca="1" si="147"/>
        <v>33</v>
      </c>
      <c r="W159" s="1"/>
      <c r="X159" s="1">
        <f t="shared" ca="1" si="148"/>
        <v>3.3917802503753389</v>
      </c>
      <c r="Y159" s="1">
        <f t="shared" ca="1" si="149"/>
        <v>0.66251973383437746</v>
      </c>
      <c r="Z159" s="1">
        <f t="shared" ca="1" si="150"/>
        <v>454</v>
      </c>
      <c r="AB159" s="1">
        <f t="shared" ca="1" si="151"/>
        <v>0.84323286319470381</v>
      </c>
      <c r="AC159" s="1">
        <f t="shared" ca="1" si="152"/>
        <v>342</v>
      </c>
      <c r="AD159" s="1">
        <f t="shared" ca="1" si="153"/>
        <v>1.9413565426134789E-3</v>
      </c>
      <c r="AE159" s="1"/>
      <c r="AF159" s="1">
        <f t="shared" ca="1" si="154"/>
        <v>0.69563980625601329</v>
      </c>
      <c r="AG159" s="1">
        <f t="shared" ca="1" si="155"/>
        <v>709</v>
      </c>
      <c r="AH159" s="1">
        <f t="shared" ca="1" si="156"/>
        <v>6.7023589474876502E-4</v>
      </c>
      <c r="AJ159" s="1">
        <f t="shared" ca="1" si="157"/>
        <v>0.79446305916009008</v>
      </c>
      <c r="AK159" s="1">
        <f t="shared" ca="1" si="158"/>
        <v>8.2401643361577175E-3</v>
      </c>
      <c r="AL159" s="1"/>
      <c r="AM159" s="1">
        <f t="shared" ca="1" si="159"/>
        <v>3.6944184071568603E-2</v>
      </c>
      <c r="AN159" s="1">
        <f t="shared" ca="1" si="160"/>
        <v>60</v>
      </c>
      <c r="AO159" s="1">
        <f t="shared" ca="1" si="161"/>
        <v>19</v>
      </c>
      <c r="AQ159" s="1">
        <f t="shared" ca="1" si="162"/>
        <v>46</v>
      </c>
      <c r="AR159" s="1">
        <f t="shared" ca="1" si="163"/>
        <v>2</v>
      </c>
      <c r="AS159" s="1">
        <f t="shared" ca="1" si="164"/>
        <v>38</v>
      </c>
      <c r="AU159" s="1">
        <f t="shared" ca="1" si="165"/>
        <v>102</v>
      </c>
      <c r="AV159" s="1">
        <f t="shared" ca="1" si="166"/>
        <v>3</v>
      </c>
      <c r="AW159" s="1">
        <f t="shared" ca="1" si="167"/>
        <v>0.14332300117060051</v>
      </c>
      <c r="AY159" s="1">
        <f t="shared" ca="1" si="168"/>
        <v>1.2106697820004526</v>
      </c>
      <c r="AZ159" s="1">
        <f t="shared" ca="1" si="169"/>
        <v>268</v>
      </c>
      <c r="BA159" s="1">
        <f t="shared" ca="1" si="170"/>
        <v>6.5235602656368808E-3</v>
      </c>
      <c r="BG159" s="1">
        <f t="shared" ca="1" si="171"/>
        <v>0.8784810733343732</v>
      </c>
      <c r="BH159" s="1">
        <f t="shared" ca="1" si="172"/>
        <v>0.223007654201137</v>
      </c>
      <c r="BI159" s="1">
        <f t="shared" ca="1" si="173"/>
        <v>383</v>
      </c>
      <c r="BV159" s="1">
        <f t="shared" ca="1" si="174"/>
        <v>0.42355284179283204</v>
      </c>
      <c r="BW159" s="1">
        <f t="shared" ca="1" si="175"/>
        <v>880</v>
      </c>
      <c r="BX159" s="1">
        <f t="shared" ca="1" si="176"/>
        <v>8.4395992117746593E-3</v>
      </c>
      <c r="BY159" s="1">
        <f t="shared" ca="1" si="177"/>
        <v>3.3292371124086992E-2</v>
      </c>
      <c r="BZ159" s="1">
        <f t="shared" ca="1" si="178"/>
        <v>0.93793879990528228</v>
      </c>
      <c r="CB159" s="1">
        <f t="shared" ca="1" si="179"/>
        <v>258</v>
      </c>
      <c r="CC159" s="1">
        <f t="shared" ca="1" si="180"/>
        <v>13</v>
      </c>
      <c r="CD159" s="1">
        <f t="shared" ca="1" si="181"/>
        <v>0.20962320251173297</v>
      </c>
      <c r="CE159" s="1">
        <f t="shared" ca="1" si="182"/>
        <v>0.56945446918168807</v>
      </c>
      <c r="CF159" s="1">
        <f t="shared" ca="1" si="182"/>
        <v>0.81421637892253407</v>
      </c>
      <c r="CH159" s="3">
        <f t="shared" ca="1" si="183"/>
        <v>0.18476213540220396</v>
      </c>
      <c r="CI159" s="3">
        <f t="shared" ca="1" si="184"/>
        <v>0.2976443360917162</v>
      </c>
      <c r="CJ159" s="3">
        <f t="shared" ca="1" si="185"/>
        <v>703</v>
      </c>
      <c r="CK159" s="3">
        <f t="shared" ca="1" si="186"/>
        <v>7.0427983219322572E-3</v>
      </c>
      <c r="CL159" s="3">
        <f t="shared" ca="1" si="187"/>
        <v>0</v>
      </c>
      <c r="CM159" s="3"/>
      <c r="CN159" s="1">
        <f t="shared" ca="1" si="188"/>
        <v>11.394559582906767</v>
      </c>
      <c r="CO159" s="1">
        <f t="shared" ca="1" si="189"/>
        <v>0.38206379984343608</v>
      </c>
      <c r="CP159" s="1">
        <f t="shared" ca="1" si="190"/>
        <v>3</v>
      </c>
      <c r="DH159" s="1">
        <f t="shared" ca="1" si="191"/>
        <v>647</v>
      </c>
      <c r="DI159" s="1">
        <f t="shared" ca="1" si="192"/>
        <v>0.78013343973246241</v>
      </c>
      <c r="DJ159" s="1">
        <f t="shared" ca="1" si="193"/>
        <v>30</v>
      </c>
      <c r="DL159" s="1">
        <f t="shared" ca="1" si="194"/>
        <v>9.8196342925460367E-2</v>
      </c>
      <c r="DM159" s="1">
        <f t="shared" ca="1" si="195"/>
        <v>72</v>
      </c>
      <c r="DN159" s="1">
        <f t="shared" ca="1" si="196"/>
        <v>10</v>
      </c>
    </row>
    <row r="160" spans="2:118" x14ac:dyDescent="0.25">
      <c r="B160">
        <f t="shared" ca="1" si="132"/>
        <v>714</v>
      </c>
      <c r="C160">
        <f t="shared" ca="1" si="133"/>
        <v>2</v>
      </c>
      <c r="D160">
        <f t="shared" ca="1" si="134"/>
        <v>9.6732304854351567E-2</v>
      </c>
      <c r="F160" s="1">
        <f t="shared" ca="1" si="135"/>
        <v>14</v>
      </c>
      <c r="G160" s="1">
        <f t="shared" ca="1" si="136"/>
        <v>18</v>
      </c>
      <c r="H160" s="1">
        <f t="shared" ca="1" si="137"/>
        <v>1</v>
      </c>
      <c r="I160" s="1"/>
      <c r="J160" s="1">
        <f t="shared" ca="1" si="138"/>
        <v>19</v>
      </c>
      <c r="K160" s="1">
        <f t="shared" ca="1" si="139"/>
        <v>2.7247510514078277</v>
      </c>
      <c r="L160" s="1">
        <f t="shared" ca="1" si="140"/>
        <v>17</v>
      </c>
      <c r="M160" s="1"/>
      <c r="N160" s="1">
        <f t="shared" ca="1" si="141"/>
        <v>252</v>
      </c>
      <c r="O160" s="1">
        <f t="shared" ca="1" si="142"/>
        <v>44</v>
      </c>
      <c r="P160" s="1"/>
      <c r="Q160" s="1">
        <f t="shared" ca="1" si="143"/>
        <v>1.5675326905494582</v>
      </c>
      <c r="R160" s="1">
        <f t="shared" ca="1" si="144"/>
        <v>774</v>
      </c>
      <c r="S160" s="1"/>
      <c r="T160" s="1">
        <f t="shared" ca="1" si="145"/>
        <v>0.16155255533468782</v>
      </c>
      <c r="U160" s="1">
        <f t="shared" ca="1" si="146"/>
        <v>132</v>
      </c>
      <c r="V160" s="1">
        <f t="shared" ca="1" si="147"/>
        <v>42</v>
      </c>
      <c r="W160" s="1"/>
      <c r="X160" s="1">
        <f t="shared" ca="1" si="148"/>
        <v>5.748624220573622</v>
      </c>
      <c r="Y160" s="1">
        <f t="shared" ca="1" si="149"/>
        <v>0.64612046889217634</v>
      </c>
      <c r="Z160" s="1">
        <f t="shared" ca="1" si="150"/>
        <v>1209</v>
      </c>
      <c r="AB160" s="1">
        <f t="shared" ca="1" si="151"/>
        <v>0.81124617839699087</v>
      </c>
      <c r="AC160" s="1">
        <f t="shared" ca="1" si="152"/>
        <v>190</v>
      </c>
      <c r="AD160" s="1">
        <f t="shared" ca="1" si="153"/>
        <v>2.0771009420690622E-3</v>
      </c>
      <c r="AE160" s="1"/>
      <c r="AF160" s="1">
        <f t="shared" ca="1" si="154"/>
        <v>0.25828305920638184</v>
      </c>
      <c r="AG160" s="1">
        <f t="shared" ca="1" si="155"/>
        <v>487</v>
      </c>
      <c r="AH160" s="1">
        <f t="shared" ca="1" si="156"/>
        <v>9.122173006961538E-3</v>
      </c>
      <c r="AJ160" s="1">
        <f t="shared" ca="1" si="157"/>
        <v>0.56896941187412908</v>
      </c>
      <c r="AK160" s="1">
        <f t="shared" ca="1" si="158"/>
        <v>1.1744772556417252E-4</v>
      </c>
      <c r="AL160" s="1"/>
      <c r="AM160" s="1">
        <f t="shared" ca="1" si="159"/>
        <v>0.13288268752213989</v>
      </c>
      <c r="AN160" s="1">
        <f t="shared" ca="1" si="160"/>
        <v>19</v>
      </c>
      <c r="AO160" s="1">
        <f t="shared" ca="1" si="161"/>
        <v>8</v>
      </c>
      <c r="AQ160" s="1">
        <f t="shared" ca="1" si="162"/>
        <v>68</v>
      </c>
      <c r="AR160" s="1">
        <f t="shared" ca="1" si="163"/>
        <v>7</v>
      </c>
      <c r="AS160" s="1">
        <f t="shared" ca="1" si="164"/>
        <v>33</v>
      </c>
      <c r="AU160" s="1">
        <f t="shared" ca="1" si="165"/>
        <v>52</v>
      </c>
      <c r="AV160" s="1">
        <f t="shared" ca="1" si="166"/>
        <v>10</v>
      </c>
      <c r="AW160" s="1">
        <f t="shared" ca="1" si="167"/>
        <v>0.16260962901310155</v>
      </c>
      <c r="AY160" s="1">
        <f t="shared" ca="1" si="168"/>
        <v>1.5731505949062219</v>
      </c>
      <c r="AZ160" s="1">
        <f t="shared" ca="1" si="169"/>
        <v>266</v>
      </c>
      <c r="BA160" s="1">
        <f t="shared" ca="1" si="170"/>
        <v>1.7366141198402662E-4</v>
      </c>
      <c r="BG160" s="1">
        <f t="shared" ca="1" si="171"/>
        <v>0.25249247814921344</v>
      </c>
      <c r="BH160" s="1">
        <f t="shared" ca="1" si="172"/>
        <v>0.36909107423490961</v>
      </c>
      <c r="BI160" s="1">
        <f t="shared" ca="1" si="173"/>
        <v>172</v>
      </c>
      <c r="BV160" s="1">
        <f t="shared" ca="1" si="174"/>
        <v>0.9048978880788785</v>
      </c>
      <c r="BW160" s="1">
        <f t="shared" ca="1" si="175"/>
        <v>225</v>
      </c>
      <c r="BX160" s="1">
        <f t="shared" ca="1" si="176"/>
        <v>4.5325125255254173E-3</v>
      </c>
      <c r="BY160" s="1">
        <f t="shared" ca="1" si="177"/>
        <v>6.1550299416384652E-2</v>
      </c>
      <c r="BZ160" s="1">
        <f t="shared" ca="1" si="178"/>
        <v>0.47371184266148503</v>
      </c>
      <c r="CB160" s="1">
        <f t="shared" ca="1" si="179"/>
        <v>90</v>
      </c>
      <c r="CC160" s="1">
        <f t="shared" ca="1" si="180"/>
        <v>9</v>
      </c>
      <c r="CD160" s="1">
        <f t="shared" ca="1" si="181"/>
        <v>2.4520798384748257E-2</v>
      </c>
      <c r="CE160" s="1">
        <f t="shared" ca="1" si="182"/>
        <v>0.56456358133305196</v>
      </c>
      <c r="CF160" s="1">
        <f t="shared" ca="1" si="182"/>
        <v>0.62852897261940643</v>
      </c>
      <c r="CH160" s="3">
        <f t="shared" ca="1" si="183"/>
        <v>0.68705417743342323</v>
      </c>
      <c r="CI160" s="3">
        <f t="shared" ca="1" si="184"/>
        <v>0.49223595446524326</v>
      </c>
      <c r="CJ160" s="3">
        <f t="shared" ca="1" si="185"/>
        <v>635</v>
      </c>
      <c r="CK160" s="3">
        <f t="shared" ca="1" si="186"/>
        <v>5.4917923392672737E-3</v>
      </c>
      <c r="CL160" s="3">
        <f t="shared" ca="1" si="187"/>
        <v>0</v>
      </c>
      <c r="CM160" s="3"/>
      <c r="CN160" s="1">
        <f t="shared" ca="1" si="188"/>
        <v>11.677543917714573</v>
      </c>
      <c r="CO160" s="1">
        <f t="shared" ca="1" si="189"/>
        <v>0.30032173840104054</v>
      </c>
      <c r="CP160" s="1">
        <f t="shared" ca="1" si="190"/>
        <v>4</v>
      </c>
      <c r="DH160" s="1">
        <f t="shared" ca="1" si="191"/>
        <v>72</v>
      </c>
      <c r="DI160" s="1">
        <f t="shared" ca="1" si="192"/>
        <v>0.86868224898241908</v>
      </c>
      <c r="DJ160" s="1">
        <f t="shared" ca="1" si="193"/>
        <v>20</v>
      </c>
      <c r="DL160" s="1">
        <f t="shared" ca="1" si="194"/>
        <v>0.17878050045548974</v>
      </c>
      <c r="DM160" s="1">
        <f t="shared" ca="1" si="195"/>
        <v>156</v>
      </c>
      <c r="DN160" s="1">
        <f t="shared" ca="1" si="196"/>
        <v>3</v>
      </c>
    </row>
    <row r="161" spans="2:118" x14ac:dyDescent="0.25">
      <c r="B161">
        <f t="shared" ca="1" si="132"/>
        <v>94</v>
      </c>
      <c r="C161">
        <f t="shared" ca="1" si="133"/>
        <v>17</v>
      </c>
      <c r="D161">
        <f t="shared" ca="1" si="134"/>
        <v>6.7583701962736595E-2</v>
      </c>
      <c r="F161" s="1">
        <f t="shared" ca="1" si="135"/>
        <v>37</v>
      </c>
      <c r="G161" s="1">
        <f t="shared" ca="1" si="136"/>
        <v>26</v>
      </c>
      <c r="H161" s="1">
        <f t="shared" ca="1" si="137"/>
        <v>11</v>
      </c>
      <c r="I161" s="1"/>
      <c r="J161" s="1">
        <f t="shared" ca="1" si="138"/>
        <v>39</v>
      </c>
      <c r="K161" s="1">
        <f t="shared" ca="1" si="139"/>
        <v>1.150599522831552</v>
      </c>
      <c r="L161" s="1">
        <f t="shared" ca="1" si="140"/>
        <v>7</v>
      </c>
      <c r="M161" s="1"/>
      <c r="N161" s="1">
        <f t="shared" ca="1" si="141"/>
        <v>452</v>
      </c>
      <c r="O161" s="1">
        <f t="shared" ca="1" si="142"/>
        <v>18</v>
      </c>
      <c r="P161" s="1"/>
      <c r="Q161" s="1">
        <f t="shared" ca="1" si="143"/>
        <v>3.3216026581442102</v>
      </c>
      <c r="R161" s="1">
        <f t="shared" ca="1" si="144"/>
        <v>290</v>
      </c>
      <c r="S161" s="1"/>
      <c r="T161" s="1">
        <f t="shared" ca="1" si="145"/>
        <v>2.2022181352016619E-2</v>
      </c>
      <c r="U161" s="1">
        <f t="shared" ca="1" si="146"/>
        <v>261</v>
      </c>
      <c r="V161" s="1">
        <f t="shared" ca="1" si="147"/>
        <v>33</v>
      </c>
      <c r="W161" s="1"/>
      <c r="X161" s="1">
        <f t="shared" ca="1" si="148"/>
        <v>0.27457071106700848</v>
      </c>
      <c r="Y161" s="1">
        <f t="shared" ca="1" si="149"/>
        <v>0.87129528871428885</v>
      </c>
      <c r="Z161" s="1">
        <f t="shared" ca="1" si="150"/>
        <v>1773</v>
      </c>
      <c r="AB161" s="1">
        <f t="shared" ca="1" si="151"/>
        <v>0.36539507002538646</v>
      </c>
      <c r="AC161" s="1">
        <f t="shared" ca="1" si="152"/>
        <v>394</v>
      </c>
      <c r="AD161" s="1">
        <f t="shared" ca="1" si="153"/>
        <v>8.0807831747219099E-3</v>
      </c>
      <c r="AE161" s="1"/>
      <c r="AF161" s="1">
        <f t="shared" ca="1" si="154"/>
        <v>0.57267476385996685</v>
      </c>
      <c r="AG161" s="1">
        <f t="shared" ca="1" si="155"/>
        <v>369</v>
      </c>
      <c r="AH161" s="1">
        <f t="shared" ca="1" si="156"/>
        <v>4.577084895947642E-3</v>
      </c>
      <c r="AJ161" s="1">
        <f t="shared" ca="1" si="157"/>
        <v>0.4906793230726727</v>
      </c>
      <c r="AK161" s="1">
        <f t="shared" ca="1" si="158"/>
        <v>4.6051268034805522E-3</v>
      </c>
      <c r="AL161" s="1"/>
      <c r="AM161" s="1">
        <f t="shared" ca="1" si="159"/>
        <v>1.4227880630153705E-2</v>
      </c>
      <c r="AN161" s="1">
        <f t="shared" ca="1" si="160"/>
        <v>51</v>
      </c>
      <c r="AO161" s="1">
        <f t="shared" ca="1" si="161"/>
        <v>18</v>
      </c>
      <c r="AQ161" s="1">
        <f t="shared" ca="1" si="162"/>
        <v>48</v>
      </c>
      <c r="AR161" s="1">
        <f t="shared" ca="1" si="163"/>
        <v>2</v>
      </c>
      <c r="AS161" s="1">
        <f t="shared" ca="1" si="164"/>
        <v>10</v>
      </c>
      <c r="AU161" s="1">
        <f t="shared" ca="1" si="165"/>
        <v>212</v>
      </c>
      <c r="AV161" s="1">
        <f t="shared" ca="1" si="166"/>
        <v>9</v>
      </c>
      <c r="AW161" s="1">
        <f t="shared" ca="1" si="167"/>
        <v>2.3704897469985234E-2</v>
      </c>
      <c r="AY161" s="1">
        <f t="shared" ca="1" si="168"/>
        <v>1.3079271040773157</v>
      </c>
      <c r="AZ161" s="1">
        <f t="shared" ca="1" si="169"/>
        <v>214</v>
      </c>
      <c r="BA161" s="1">
        <f t="shared" ca="1" si="170"/>
        <v>9.8347133778575596E-3</v>
      </c>
      <c r="BG161" s="1">
        <f t="shared" ca="1" si="171"/>
        <v>0.43366637406734987</v>
      </c>
      <c r="BH161" s="1">
        <f t="shared" ca="1" si="172"/>
        <v>0.96719587903078019</v>
      </c>
      <c r="BI161" s="1">
        <f t="shared" ca="1" si="173"/>
        <v>589</v>
      </c>
      <c r="BV161" s="1">
        <f t="shared" ca="1" si="174"/>
        <v>0.82697206690537439</v>
      </c>
      <c r="BW161" s="1">
        <f t="shared" ca="1" si="175"/>
        <v>832</v>
      </c>
      <c r="BX161" s="1">
        <f t="shared" ca="1" si="176"/>
        <v>7.6701534305512534E-3</v>
      </c>
      <c r="BY161" s="1">
        <f t="shared" ca="1" si="177"/>
        <v>2.8396995454589471E-2</v>
      </c>
      <c r="BZ161" s="1">
        <f t="shared" ca="1" si="178"/>
        <v>0.78014202684146827</v>
      </c>
      <c r="CB161" s="1">
        <f t="shared" ca="1" si="179"/>
        <v>174</v>
      </c>
      <c r="CC161" s="1">
        <f t="shared" ca="1" si="180"/>
        <v>5</v>
      </c>
      <c r="CD161" s="1">
        <f t="shared" ca="1" si="181"/>
        <v>0.14356109526316521</v>
      </c>
      <c r="CE161" s="1">
        <f t="shared" ca="1" si="182"/>
        <v>0.60260340574462234</v>
      </c>
      <c r="CF161" s="1">
        <f t="shared" ca="1" si="182"/>
        <v>0.68234012987361536</v>
      </c>
      <c r="CH161" s="3">
        <f t="shared" ca="1" si="183"/>
        <v>0.89628968863961755</v>
      </c>
      <c r="CI161" s="3">
        <f t="shared" ca="1" si="184"/>
        <v>0.75574795778215687</v>
      </c>
      <c r="CJ161" s="3">
        <f t="shared" ca="1" si="185"/>
        <v>1964</v>
      </c>
      <c r="CK161" s="3">
        <f t="shared" ca="1" si="186"/>
        <v>1.2802678289302271E-3</v>
      </c>
      <c r="CL161" s="3">
        <f t="shared" ca="1" si="187"/>
        <v>1</v>
      </c>
      <c r="CM161" s="3"/>
      <c r="CN161" s="1">
        <f t="shared" ca="1" si="188"/>
        <v>0.18811078262539302</v>
      </c>
      <c r="CO161" s="1">
        <f t="shared" ca="1" si="189"/>
        <v>0.3788832880828254</v>
      </c>
      <c r="CP161" s="1">
        <f t="shared" ca="1" si="190"/>
        <v>1</v>
      </c>
      <c r="DH161" s="1">
        <f t="shared" ca="1" si="191"/>
        <v>387</v>
      </c>
      <c r="DI161" s="1">
        <f t="shared" ca="1" si="192"/>
        <v>2.8294391119892386E-2</v>
      </c>
      <c r="DJ161" s="1">
        <f t="shared" ca="1" si="193"/>
        <v>9</v>
      </c>
      <c r="DL161" s="1">
        <f t="shared" ca="1" si="194"/>
        <v>0.15308626193681255</v>
      </c>
      <c r="DM161" s="1">
        <f t="shared" ca="1" si="195"/>
        <v>284</v>
      </c>
      <c r="DN161" s="1">
        <f t="shared" ca="1" si="196"/>
        <v>4</v>
      </c>
    </row>
    <row r="162" spans="2:118" x14ac:dyDescent="0.25">
      <c r="B162">
        <f t="shared" ca="1" si="132"/>
        <v>872</v>
      </c>
      <c r="C162">
        <f t="shared" ca="1" si="133"/>
        <v>34</v>
      </c>
      <c r="D162">
        <f t="shared" ca="1" si="134"/>
        <v>0.2957947817851227</v>
      </c>
      <c r="F162" s="1">
        <f t="shared" ca="1" si="135"/>
        <v>36</v>
      </c>
      <c r="G162" s="1">
        <f t="shared" ca="1" si="136"/>
        <v>12</v>
      </c>
      <c r="H162" s="1">
        <f t="shared" ca="1" si="137"/>
        <v>4</v>
      </c>
      <c r="I162" s="1"/>
      <c r="J162" s="1">
        <f t="shared" ca="1" si="138"/>
        <v>32</v>
      </c>
      <c r="K162" s="1">
        <f t="shared" ca="1" si="139"/>
        <v>2.2971691654737905</v>
      </c>
      <c r="L162" s="1">
        <f t="shared" ca="1" si="140"/>
        <v>35</v>
      </c>
      <c r="M162" s="1"/>
      <c r="N162" s="1">
        <f t="shared" ca="1" si="141"/>
        <v>688</v>
      </c>
      <c r="O162" s="1">
        <f t="shared" ca="1" si="142"/>
        <v>24</v>
      </c>
      <c r="P162" s="1"/>
      <c r="Q162" s="1">
        <f t="shared" ca="1" si="143"/>
        <v>3.3248246228549179</v>
      </c>
      <c r="R162" s="1">
        <f t="shared" ca="1" si="144"/>
        <v>297</v>
      </c>
      <c r="S162" s="1"/>
      <c r="T162" s="1">
        <f t="shared" ca="1" si="145"/>
        <v>5.6296584824074132E-2</v>
      </c>
      <c r="U162" s="1">
        <f t="shared" ca="1" si="146"/>
        <v>157</v>
      </c>
      <c r="V162" s="1">
        <f t="shared" ca="1" si="147"/>
        <v>30</v>
      </c>
      <c r="W162" s="1"/>
      <c r="X162" s="1">
        <f t="shared" ca="1" si="148"/>
        <v>7.2113292447872226</v>
      </c>
      <c r="Y162" s="1">
        <f t="shared" ca="1" si="149"/>
        <v>0.39917704282198813</v>
      </c>
      <c r="Z162" s="1">
        <f t="shared" ca="1" si="150"/>
        <v>1579</v>
      </c>
      <c r="AB162" s="1">
        <f t="shared" ca="1" si="151"/>
        <v>0.72608709338707489</v>
      </c>
      <c r="AC162" s="1">
        <f t="shared" ca="1" si="152"/>
        <v>250</v>
      </c>
      <c r="AD162" s="1">
        <f t="shared" ca="1" si="153"/>
        <v>4.183283697357959E-3</v>
      </c>
      <c r="AE162" s="1"/>
      <c r="AF162" s="1">
        <f t="shared" ca="1" si="154"/>
        <v>0.82667480703091811</v>
      </c>
      <c r="AG162" s="1">
        <f t="shared" ca="1" si="155"/>
        <v>892</v>
      </c>
      <c r="AH162" s="1">
        <f t="shared" ca="1" si="156"/>
        <v>5.7947411178232737E-3</v>
      </c>
      <c r="AJ162" s="1">
        <f t="shared" ca="1" si="157"/>
        <v>3.6934811711301085E-3</v>
      </c>
      <c r="AK162" s="1">
        <f t="shared" ca="1" si="158"/>
        <v>1.0957211064190199E-3</v>
      </c>
      <c r="AL162" s="1"/>
      <c r="AM162" s="1">
        <f t="shared" ca="1" si="159"/>
        <v>3.9286272046747582E-2</v>
      </c>
      <c r="AN162" s="1">
        <f t="shared" ca="1" si="160"/>
        <v>39</v>
      </c>
      <c r="AO162" s="1">
        <f t="shared" ca="1" si="161"/>
        <v>15</v>
      </c>
      <c r="AQ162" s="1">
        <f t="shared" ca="1" si="162"/>
        <v>91</v>
      </c>
      <c r="AR162" s="1">
        <f t="shared" ca="1" si="163"/>
        <v>6</v>
      </c>
      <c r="AS162" s="1">
        <f t="shared" ca="1" si="164"/>
        <v>35</v>
      </c>
      <c r="AU162" s="1">
        <f t="shared" ca="1" si="165"/>
        <v>158</v>
      </c>
      <c r="AV162" s="1">
        <f t="shared" ca="1" si="166"/>
        <v>7</v>
      </c>
      <c r="AW162" s="1">
        <f t="shared" ca="1" si="167"/>
        <v>0.19759110829922216</v>
      </c>
      <c r="AY162" s="1">
        <f t="shared" ca="1" si="168"/>
        <v>1.3856692563578545</v>
      </c>
      <c r="AZ162" s="1">
        <f t="shared" ca="1" si="169"/>
        <v>462</v>
      </c>
      <c r="BA162" s="1">
        <f t="shared" ca="1" si="170"/>
        <v>7.628461265614353E-3</v>
      </c>
      <c r="BG162" s="1">
        <f t="shared" ca="1" si="171"/>
        <v>0.44247148025921529</v>
      </c>
      <c r="BH162" s="1">
        <f t="shared" ca="1" si="172"/>
        <v>0.46424235805112157</v>
      </c>
      <c r="BI162" s="1">
        <f t="shared" ca="1" si="173"/>
        <v>430</v>
      </c>
      <c r="BV162" s="1">
        <f t="shared" ca="1" si="174"/>
        <v>2.7262570927074892E-2</v>
      </c>
      <c r="BW162" s="1">
        <f t="shared" ca="1" si="175"/>
        <v>281</v>
      </c>
      <c r="BX162" s="1">
        <f t="shared" ca="1" si="176"/>
        <v>5.1458333670709898E-3</v>
      </c>
      <c r="BY162" s="1">
        <f t="shared" ca="1" si="177"/>
        <v>8.9187846464008694E-2</v>
      </c>
      <c r="BZ162" s="1">
        <f t="shared" ca="1" si="178"/>
        <v>0.48654414780595312</v>
      </c>
      <c r="CB162" s="1">
        <f t="shared" ca="1" si="179"/>
        <v>65</v>
      </c>
      <c r="CC162" s="1">
        <f t="shared" ca="1" si="180"/>
        <v>6</v>
      </c>
      <c r="CD162" s="1">
        <f t="shared" ca="1" si="181"/>
        <v>3.3260714233196251E-2</v>
      </c>
      <c r="CE162" s="1">
        <f t="shared" ca="1" si="182"/>
        <v>0.81696373296764713</v>
      </c>
      <c r="CF162" s="1">
        <f t="shared" ca="1" si="182"/>
        <v>0.69068905821869686</v>
      </c>
      <c r="CH162" s="3">
        <f t="shared" ca="1" si="183"/>
        <v>0.15424603963753347</v>
      </c>
      <c r="CI162" s="3">
        <f t="shared" ca="1" si="184"/>
        <v>0.1570051167617717</v>
      </c>
      <c r="CJ162" s="3">
        <f t="shared" ca="1" si="185"/>
        <v>1263</v>
      </c>
      <c r="CK162" s="3">
        <f t="shared" ca="1" si="186"/>
        <v>4.1198666843992038E-3</v>
      </c>
      <c r="CL162" s="3">
        <f t="shared" ca="1" si="187"/>
        <v>1</v>
      </c>
      <c r="CM162" s="3"/>
      <c r="CN162" s="1">
        <f t="shared" ca="1" si="188"/>
        <v>2.6149408664738458</v>
      </c>
      <c r="CO162" s="1">
        <f t="shared" ca="1" si="189"/>
        <v>0.46801684496768892</v>
      </c>
      <c r="CP162" s="1">
        <f t="shared" ca="1" si="190"/>
        <v>3</v>
      </c>
      <c r="DH162" s="1">
        <f t="shared" ca="1" si="191"/>
        <v>604</v>
      </c>
      <c r="DI162" s="1">
        <f t="shared" ca="1" si="192"/>
        <v>0.41585545668239049</v>
      </c>
      <c r="DJ162" s="1">
        <f t="shared" ca="1" si="193"/>
        <v>24</v>
      </c>
      <c r="DL162" s="1">
        <f t="shared" ca="1" si="194"/>
        <v>3.1652340763761895E-2</v>
      </c>
      <c r="DM162" s="1">
        <f t="shared" ca="1" si="195"/>
        <v>263</v>
      </c>
      <c r="DN162" s="1">
        <f t="shared" ca="1" si="196"/>
        <v>5</v>
      </c>
    </row>
    <row r="163" spans="2:118" x14ac:dyDescent="0.25">
      <c r="B163">
        <f t="shared" ca="1" si="132"/>
        <v>759</v>
      </c>
      <c r="C163">
        <f t="shared" ca="1" si="133"/>
        <v>21</v>
      </c>
      <c r="D163">
        <f t="shared" ca="1" si="134"/>
        <v>0.16310763773922562</v>
      </c>
      <c r="F163" s="1">
        <f t="shared" ca="1" si="135"/>
        <v>47</v>
      </c>
      <c r="G163" s="1">
        <f t="shared" ca="1" si="136"/>
        <v>17</v>
      </c>
      <c r="H163" s="1">
        <f t="shared" ca="1" si="137"/>
        <v>3</v>
      </c>
      <c r="I163" s="1"/>
      <c r="J163" s="1">
        <f t="shared" ca="1" si="138"/>
        <v>33</v>
      </c>
      <c r="K163" s="1">
        <f t="shared" ca="1" si="139"/>
        <v>1.7424729939714794</v>
      </c>
      <c r="L163" s="1">
        <f t="shared" ca="1" si="140"/>
        <v>2</v>
      </c>
      <c r="M163" s="1"/>
      <c r="N163" s="1">
        <f t="shared" ca="1" si="141"/>
        <v>631</v>
      </c>
      <c r="O163" s="1">
        <f t="shared" ca="1" si="142"/>
        <v>37</v>
      </c>
      <c r="P163" s="1"/>
      <c r="Q163" s="1">
        <f t="shared" ca="1" si="143"/>
        <v>2.4315691841986458</v>
      </c>
      <c r="R163" s="1">
        <f t="shared" ca="1" si="144"/>
        <v>957</v>
      </c>
      <c r="S163" s="1"/>
      <c r="T163" s="1">
        <f t="shared" ca="1" si="145"/>
        <v>2.7058352145394732E-2</v>
      </c>
      <c r="U163" s="1">
        <f t="shared" ca="1" si="146"/>
        <v>128</v>
      </c>
      <c r="V163" s="1">
        <f t="shared" ca="1" si="147"/>
        <v>32</v>
      </c>
      <c r="W163" s="1"/>
      <c r="X163" s="1">
        <f t="shared" ca="1" si="148"/>
        <v>1.9450559849834845</v>
      </c>
      <c r="Y163" s="1">
        <f t="shared" ca="1" si="149"/>
        <v>1.600374012130628E-2</v>
      </c>
      <c r="Z163" s="1">
        <f t="shared" ca="1" si="150"/>
        <v>1631</v>
      </c>
      <c r="AB163" s="1">
        <f t="shared" ca="1" si="151"/>
        <v>0.29999138377625789</v>
      </c>
      <c r="AC163" s="1">
        <f t="shared" ca="1" si="152"/>
        <v>187</v>
      </c>
      <c r="AD163" s="1">
        <f t="shared" ca="1" si="153"/>
        <v>5.6666376562626835E-3</v>
      </c>
      <c r="AE163" s="1"/>
      <c r="AF163" s="1">
        <f t="shared" ca="1" si="154"/>
        <v>0.47217641153382972</v>
      </c>
      <c r="AG163" s="1">
        <f t="shared" ca="1" si="155"/>
        <v>844</v>
      </c>
      <c r="AH163" s="1">
        <f t="shared" ca="1" si="156"/>
        <v>4.4154132403438507E-3</v>
      </c>
      <c r="AJ163" s="1">
        <f t="shared" ca="1" si="157"/>
        <v>0.13009842608303435</v>
      </c>
      <c r="AK163" s="1">
        <f t="shared" ca="1" si="158"/>
        <v>7.4466386528386089E-3</v>
      </c>
      <c r="AL163" s="1"/>
      <c r="AM163" s="1">
        <f t="shared" ca="1" si="159"/>
        <v>9.1528373459394088E-2</v>
      </c>
      <c r="AN163" s="1">
        <f t="shared" ca="1" si="160"/>
        <v>78</v>
      </c>
      <c r="AO163" s="1">
        <f t="shared" ca="1" si="161"/>
        <v>8</v>
      </c>
      <c r="AQ163" s="1">
        <f t="shared" ca="1" si="162"/>
        <v>27</v>
      </c>
      <c r="AR163" s="1">
        <f t="shared" ca="1" si="163"/>
        <v>1</v>
      </c>
      <c r="AS163" s="1">
        <f t="shared" ca="1" si="164"/>
        <v>71</v>
      </c>
      <c r="AU163" s="1">
        <f t="shared" ca="1" si="165"/>
        <v>131</v>
      </c>
      <c r="AV163" s="1">
        <f t="shared" ca="1" si="166"/>
        <v>2</v>
      </c>
      <c r="AW163" s="1">
        <f t="shared" ca="1" si="167"/>
        <v>4.2129302407967376E-2</v>
      </c>
      <c r="AY163" s="1">
        <f t="shared" ca="1" si="168"/>
        <v>1.7524172284644954</v>
      </c>
      <c r="AZ163" s="1">
        <f t="shared" ca="1" si="169"/>
        <v>237</v>
      </c>
      <c r="BA163" s="1">
        <f t="shared" ca="1" si="170"/>
        <v>5.9884434472976594E-3</v>
      </c>
      <c r="BG163" s="1">
        <f t="shared" ca="1" si="171"/>
        <v>0.83816003741616074</v>
      </c>
      <c r="BH163" s="1">
        <f t="shared" ca="1" si="172"/>
        <v>0.84036724564553578</v>
      </c>
      <c r="BI163" s="1">
        <f t="shared" ca="1" si="173"/>
        <v>812</v>
      </c>
      <c r="BV163" s="1">
        <f t="shared" ca="1" si="174"/>
        <v>0.16870731990287618</v>
      </c>
      <c r="BW163" s="1">
        <f t="shared" ca="1" si="175"/>
        <v>167</v>
      </c>
      <c r="BX163" s="1">
        <f t="shared" ca="1" si="176"/>
        <v>8.6063333047132183E-4</v>
      </c>
      <c r="BY163" s="1">
        <f t="shared" ca="1" si="177"/>
        <v>1.4846195516699497E-3</v>
      </c>
      <c r="BZ163" s="1">
        <f t="shared" ca="1" si="178"/>
        <v>0.874968655202083</v>
      </c>
      <c r="CB163" s="1">
        <f t="shared" ca="1" si="179"/>
        <v>76</v>
      </c>
      <c r="CC163" s="1">
        <f t="shared" ca="1" si="180"/>
        <v>9</v>
      </c>
      <c r="CD163" s="1">
        <f t="shared" ca="1" si="181"/>
        <v>0.29446297871011534</v>
      </c>
      <c r="CE163" s="1">
        <f t="shared" ca="1" si="182"/>
        <v>0.75596624686069402</v>
      </c>
      <c r="CF163" s="1">
        <f t="shared" ca="1" si="182"/>
        <v>0.9149956544057587</v>
      </c>
      <c r="CH163" s="3">
        <f t="shared" ca="1" si="183"/>
        <v>0.80346396943670761</v>
      </c>
      <c r="CI163" s="3">
        <f t="shared" ca="1" si="184"/>
        <v>0.39530670905407189</v>
      </c>
      <c r="CJ163" s="3">
        <f t="shared" ca="1" si="185"/>
        <v>1185</v>
      </c>
      <c r="CK163" s="3">
        <f t="shared" ca="1" si="186"/>
        <v>7.7959138646564101E-4</v>
      </c>
      <c r="CL163" s="3">
        <f t="shared" ca="1" si="187"/>
        <v>1</v>
      </c>
      <c r="CM163" s="3"/>
      <c r="CN163" s="1">
        <f t="shared" ca="1" si="188"/>
        <v>1.2889231724875743</v>
      </c>
      <c r="CO163" s="1">
        <f t="shared" ca="1" si="189"/>
        <v>0.24898443894996583</v>
      </c>
      <c r="CP163" s="1">
        <f t="shared" ca="1" si="190"/>
        <v>2</v>
      </c>
      <c r="DH163" s="1">
        <f t="shared" ca="1" si="191"/>
        <v>212</v>
      </c>
      <c r="DI163" s="1">
        <f t="shared" ca="1" si="192"/>
        <v>0.3872955637164584</v>
      </c>
      <c r="DJ163" s="1">
        <f t="shared" ca="1" si="193"/>
        <v>18</v>
      </c>
      <c r="DL163" s="1">
        <f t="shared" ca="1" si="194"/>
        <v>0.11726241159256583</v>
      </c>
      <c r="DM163" s="1">
        <f t="shared" ca="1" si="195"/>
        <v>51</v>
      </c>
      <c r="DN163" s="1">
        <f t="shared" ca="1" si="196"/>
        <v>7</v>
      </c>
    </row>
    <row r="164" spans="2:118" x14ac:dyDescent="0.25">
      <c r="B164">
        <f t="shared" ca="1" si="132"/>
        <v>570</v>
      </c>
      <c r="C164">
        <f t="shared" ca="1" si="133"/>
        <v>46</v>
      </c>
      <c r="D164">
        <f t="shared" ca="1" si="134"/>
        <v>0.27907592082785115</v>
      </c>
      <c r="F164" s="1">
        <f t="shared" ca="1" si="135"/>
        <v>11</v>
      </c>
      <c r="G164" s="1">
        <f t="shared" ca="1" si="136"/>
        <v>28</v>
      </c>
      <c r="H164" s="1">
        <f t="shared" ca="1" si="137"/>
        <v>6</v>
      </c>
      <c r="I164" s="1"/>
      <c r="J164" s="1">
        <f t="shared" ca="1" si="138"/>
        <v>24</v>
      </c>
      <c r="K164" s="1">
        <f t="shared" ca="1" si="139"/>
        <v>2.9900408533917773</v>
      </c>
      <c r="L164" s="1">
        <f t="shared" ca="1" si="140"/>
        <v>25</v>
      </c>
      <c r="M164" s="1"/>
      <c r="N164" s="1">
        <f t="shared" ca="1" si="141"/>
        <v>33</v>
      </c>
      <c r="O164" s="1">
        <f t="shared" ca="1" si="142"/>
        <v>24</v>
      </c>
      <c r="P164" s="1"/>
      <c r="Q164" s="1">
        <f t="shared" ca="1" si="143"/>
        <v>1.4820011795630459</v>
      </c>
      <c r="R164" s="1">
        <f t="shared" ca="1" si="144"/>
        <v>828</v>
      </c>
      <c r="S164" s="1"/>
      <c r="T164" s="1">
        <f t="shared" ca="1" si="145"/>
        <v>0.15348264303906517</v>
      </c>
      <c r="U164" s="1">
        <f t="shared" ca="1" si="146"/>
        <v>124</v>
      </c>
      <c r="V164" s="1">
        <f t="shared" ca="1" si="147"/>
        <v>43</v>
      </c>
      <c r="W164" s="1"/>
      <c r="X164" s="1">
        <f t="shared" ca="1" si="148"/>
        <v>2.1584726132307321</v>
      </c>
      <c r="Y164" s="1">
        <f t="shared" ca="1" si="149"/>
        <v>0.82700100410192634</v>
      </c>
      <c r="Z164" s="1">
        <f t="shared" ca="1" si="150"/>
        <v>1511</v>
      </c>
      <c r="AB164" s="1">
        <f t="shared" ca="1" si="151"/>
        <v>0.46752770827241003</v>
      </c>
      <c r="AC164" s="1">
        <f t="shared" ca="1" si="152"/>
        <v>616</v>
      </c>
      <c r="AD164" s="1">
        <f t="shared" ca="1" si="153"/>
        <v>9.7324130532911255E-3</v>
      </c>
      <c r="AE164" s="1"/>
      <c r="AF164" s="1">
        <f t="shared" ca="1" si="154"/>
        <v>0.30412373592710501</v>
      </c>
      <c r="AG164" s="1">
        <f t="shared" ca="1" si="155"/>
        <v>731</v>
      </c>
      <c r="AH164" s="1">
        <f t="shared" ca="1" si="156"/>
        <v>5.0491700335621795E-3</v>
      </c>
      <c r="AJ164" s="1">
        <f t="shared" ca="1" si="157"/>
        <v>0.15081243651590126</v>
      </c>
      <c r="AK164" s="1">
        <f t="shared" ca="1" si="158"/>
        <v>9.8431195499830235E-3</v>
      </c>
      <c r="AL164" s="1"/>
      <c r="AM164" s="1">
        <f t="shared" ca="1" si="159"/>
        <v>0.1277834421862965</v>
      </c>
      <c r="AN164" s="1">
        <f t="shared" ca="1" si="160"/>
        <v>70</v>
      </c>
      <c r="AO164" s="1">
        <f t="shared" ca="1" si="161"/>
        <v>0</v>
      </c>
      <c r="AQ164" s="1">
        <f t="shared" ca="1" si="162"/>
        <v>172</v>
      </c>
      <c r="AR164" s="1">
        <f t="shared" ca="1" si="163"/>
        <v>9</v>
      </c>
      <c r="AS164" s="1">
        <f t="shared" ca="1" si="164"/>
        <v>93</v>
      </c>
      <c r="AU164" s="1">
        <f t="shared" ca="1" si="165"/>
        <v>294</v>
      </c>
      <c r="AV164" s="1">
        <f t="shared" ca="1" si="166"/>
        <v>7</v>
      </c>
      <c r="AW164" s="1">
        <f t="shared" ca="1" si="167"/>
        <v>0.16663997969272901</v>
      </c>
      <c r="AY164" s="1">
        <f t="shared" ca="1" si="168"/>
        <v>1.3199991550954064</v>
      </c>
      <c r="AZ164" s="1">
        <f t="shared" ca="1" si="169"/>
        <v>186</v>
      </c>
      <c r="BA164" s="1">
        <f t="shared" ca="1" si="170"/>
        <v>7.8241633597752307E-3</v>
      </c>
      <c r="BG164" s="1">
        <f t="shared" ca="1" si="171"/>
        <v>0.47335369306807829</v>
      </c>
      <c r="BH164" s="1">
        <f t="shared" ca="1" si="172"/>
        <v>0.94172620225461723</v>
      </c>
      <c r="BI164" s="1">
        <f t="shared" ca="1" si="173"/>
        <v>129</v>
      </c>
      <c r="BV164" s="1">
        <f t="shared" ca="1" si="174"/>
        <v>0.92563248699894696</v>
      </c>
      <c r="BW164" s="1">
        <f t="shared" ca="1" si="175"/>
        <v>670</v>
      </c>
      <c r="BX164" s="1">
        <f t="shared" ca="1" si="176"/>
        <v>2.6735070071100277E-3</v>
      </c>
      <c r="BY164" s="1">
        <f t="shared" ca="1" si="177"/>
        <v>1.0042001622959141E-2</v>
      </c>
      <c r="BZ164" s="1">
        <f t="shared" ca="1" si="178"/>
        <v>0.17850255740837218</v>
      </c>
      <c r="CB164" s="1">
        <f t="shared" ca="1" si="179"/>
        <v>255</v>
      </c>
      <c r="CC164" s="1">
        <f t="shared" ca="1" si="180"/>
        <v>14</v>
      </c>
      <c r="CD164" s="1">
        <f t="shared" ca="1" si="181"/>
        <v>0.22351867769695369</v>
      </c>
      <c r="CE164" s="1">
        <f t="shared" ref="CE164:CF202" ca="1" si="197">RAND()*(1-0.5)+0.5</f>
        <v>0.8172971682467689</v>
      </c>
      <c r="CF164" s="1">
        <f t="shared" ca="1" si="197"/>
        <v>0.64016506553419661</v>
      </c>
      <c r="CH164" s="3">
        <f t="shared" ca="1" si="183"/>
        <v>0.43453913719361359</v>
      </c>
      <c r="CI164" s="3">
        <f t="shared" ca="1" si="184"/>
        <v>0.18450828859948187</v>
      </c>
      <c r="CJ164" s="3">
        <f t="shared" ca="1" si="185"/>
        <v>1088</v>
      </c>
      <c r="CK164" s="3">
        <f t="shared" ca="1" si="186"/>
        <v>6.9685149382694945E-3</v>
      </c>
      <c r="CL164" s="3">
        <f t="shared" ca="1" si="187"/>
        <v>1</v>
      </c>
      <c r="CM164" s="3"/>
      <c r="CN164" s="1">
        <f t="shared" ca="1" si="188"/>
        <v>3.7235671103841432</v>
      </c>
      <c r="CO164" s="1">
        <f t="shared" ca="1" si="189"/>
        <v>0.3949323818218522</v>
      </c>
      <c r="CP164" s="1">
        <f t="shared" ca="1" si="190"/>
        <v>4</v>
      </c>
      <c r="DH164" s="1">
        <f t="shared" ca="1" si="191"/>
        <v>205</v>
      </c>
      <c r="DI164" s="1">
        <f t="shared" ca="1" si="192"/>
        <v>0.95295891935364307</v>
      </c>
      <c r="DJ164" s="1">
        <f t="shared" ca="1" si="193"/>
        <v>30</v>
      </c>
      <c r="DL164" s="1">
        <f t="shared" ca="1" si="194"/>
        <v>0.16593345394068623</v>
      </c>
      <c r="DM164" s="1">
        <f t="shared" ca="1" si="195"/>
        <v>60</v>
      </c>
      <c r="DN164" s="1">
        <f t="shared" ca="1" si="196"/>
        <v>2</v>
      </c>
    </row>
    <row r="165" spans="2:118" x14ac:dyDescent="0.25">
      <c r="B165">
        <f t="shared" ca="1" si="132"/>
        <v>661</v>
      </c>
      <c r="C165">
        <f t="shared" ca="1" si="133"/>
        <v>4</v>
      </c>
      <c r="D165">
        <f t="shared" ca="1" si="134"/>
        <v>0.27296043422099231</v>
      </c>
      <c r="F165" s="1">
        <f t="shared" ca="1" si="135"/>
        <v>28</v>
      </c>
      <c r="G165" s="1">
        <f t="shared" ca="1" si="136"/>
        <v>9</v>
      </c>
      <c r="H165" s="1">
        <f t="shared" ca="1" si="137"/>
        <v>14</v>
      </c>
      <c r="I165" s="1"/>
      <c r="J165" s="1">
        <f t="shared" ca="1" si="138"/>
        <v>22</v>
      </c>
      <c r="K165" s="1">
        <f t="shared" ca="1" si="139"/>
        <v>2.4444449947230837</v>
      </c>
      <c r="L165" s="1">
        <f t="shared" ca="1" si="140"/>
        <v>24</v>
      </c>
      <c r="M165" s="1"/>
      <c r="N165" s="1">
        <f t="shared" ca="1" si="141"/>
        <v>660</v>
      </c>
      <c r="O165" s="1">
        <f t="shared" ca="1" si="142"/>
        <v>37</v>
      </c>
      <c r="P165" s="1"/>
      <c r="Q165" s="1">
        <f t="shared" ca="1" si="143"/>
        <v>3.6447057295812564</v>
      </c>
      <c r="R165" s="1">
        <f t="shared" ca="1" si="144"/>
        <v>1190</v>
      </c>
      <c r="S165" s="1"/>
      <c r="T165" s="1">
        <f t="shared" ca="1" si="145"/>
        <v>0.18952150669172327</v>
      </c>
      <c r="U165" s="1">
        <f t="shared" ca="1" si="146"/>
        <v>333</v>
      </c>
      <c r="V165" s="1">
        <f t="shared" ca="1" si="147"/>
        <v>22</v>
      </c>
      <c r="W165" s="1"/>
      <c r="X165" s="1">
        <f t="shared" ca="1" si="148"/>
        <v>8.2404244272318543</v>
      </c>
      <c r="Y165" s="1">
        <f t="shared" ca="1" si="149"/>
        <v>0.73592805871302691</v>
      </c>
      <c r="Z165" s="1">
        <f t="shared" ca="1" si="150"/>
        <v>1798</v>
      </c>
      <c r="AB165" s="1">
        <f t="shared" ca="1" si="151"/>
        <v>0.13449093452562008</v>
      </c>
      <c r="AC165" s="1">
        <f t="shared" ca="1" si="152"/>
        <v>886</v>
      </c>
      <c r="AD165" s="1">
        <f t="shared" ca="1" si="153"/>
        <v>4.1822918447671489E-3</v>
      </c>
      <c r="AE165" s="1"/>
      <c r="AF165" s="1">
        <f t="shared" ca="1" si="154"/>
        <v>0.57845034593141209</v>
      </c>
      <c r="AG165" s="1">
        <f t="shared" ca="1" si="155"/>
        <v>546</v>
      </c>
      <c r="AH165" s="1">
        <f t="shared" ca="1" si="156"/>
        <v>6.6337754419764378E-3</v>
      </c>
      <c r="AJ165" s="1">
        <f t="shared" ca="1" si="157"/>
        <v>0.3949933683148904</v>
      </c>
      <c r="AK165" s="1">
        <f t="shared" ca="1" si="158"/>
        <v>7.6946648948313656E-3</v>
      </c>
      <c r="AL165" s="1"/>
      <c r="AM165" s="1">
        <f t="shared" ca="1" si="159"/>
        <v>7.5371172292601374E-2</v>
      </c>
      <c r="AN165" s="1">
        <f t="shared" ca="1" si="160"/>
        <v>68</v>
      </c>
      <c r="AO165" s="1">
        <f t="shared" ca="1" si="161"/>
        <v>2</v>
      </c>
      <c r="AQ165" s="1">
        <f t="shared" ca="1" si="162"/>
        <v>59</v>
      </c>
      <c r="AR165" s="1">
        <f t="shared" ca="1" si="163"/>
        <v>8</v>
      </c>
      <c r="AS165" s="1">
        <f t="shared" ca="1" si="164"/>
        <v>10</v>
      </c>
      <c r="AU165" s="1">
        <f t="shared" ca="1" si="165"/>
        <v>352</v>
      </c>
      <c r="AV165" s="1">
        <f t="shared" ca="1" si="166"/>
        <v>7</v>
      </c>
      <c r="AW165" s="1">
        <f t="shared" ca="1" si="167"/>
        <v>8.7789311405928397E-2</v>
      </c>
      <c r="AY165" s="1">
        <f t="shared" ca="1" si="168"/>
        <v>1.8823640302187621</v>
      </c>
      <c r="AZ165" s="1">
        <f t="shared" ca="1" si="169"/>
        <v>328</v>
      </c>
      <c r="BA165" s="1">
        <f t="shared" ca="1" si="170"/>
        <v>5.2714255743973948E-3</v>
      </c>
      <c r="BG165" s="1">
        <f t="shared" ca="1" si="171"/>
        <v>0.49976515068234878</v>
      </c>
      <c r="BH165" s="1">
        <f t="shared" ca="1" si="172"/>
        <v>8.4243755022744393E-2</v>
      </c>
      <c r="BI165" s="1">
        <f t="shared" ca="1" si="173"/>
        <v>433</v>
      </c>
      <c r="BV165" s="1">
        <f t="shared" ca="1" si="174"/>
        <v>0.8592028216218961</v>
      </c>
      <c r="BW165" s="1">
        <f t="shared" ca="1" si="175"/>
        <v>369</v>
      </c>
      <c r="BX165" s="1">
        <f t="shared" ca="1" si="176"/>
        <v>9.1720002818778557E-3</v>
      </c>
      <c r="BY165" s="1">
        <f t="shared" ca="1" si="177"/>
        <v>9.4105699711202404E-2</v>
      </c>
      <c r="BZ165" s="1">
        <f t="shared" ca="1" si="178"/>
        <v>0.55926958626544032</v>
      </c>
      <c r="CB165" s="1">
        <f t="shared" ca="1" si="179"/>
        <v>402</v>
      </c>
      <c r="CC165" s="1">
        <f t="shared" ca="1" si="180"/>
        <v>12</v>
      </c>
      <c r="CD165" s="1">
        <f t="shared" ca="1" si="181"/>
        <v>8.0173121939631359E-2</v>
      </c>
      <c r="CE165" s="1">
        <f t="shared" ca="1" si="197"/>
        <v>0.78503300665324582</v>
      </c>
      <c r="CF165" s="1">
        <f t="shared" ca="1" si="197"/>
        <v>0.90360068259938542</v>
      </c>
      <c r="CH165" s="3">
        <f t="shared" ca="1" si="183"/>
        <v>0.17170820532237546</v>
      </c>
      <c r="CI165" s="3">
        <f t="shared" ca="1" si="184"/>
        <v>0.76087695592113236</v>
      </c>
      <c r="CJ165" s="3">
        <f t="shared" ca="1" si="185"/>
        <v>883</v>
      </c>
      <c r="CK165" s="3">
        <f t="shared" ca="1" si="186"/>
        <v>3.5317161837559404E-3</v>
      </c>
      <c r="CL165" s="3">
        <f t="shared" ca="1" si="187"/>
        <v>1</v>
      </c>
      <c r="CM165" s="3"/>
      <c r="CN165" s="1">
        <f t="shared" ca="1" si="188"/>
        <v>9.9235746045307067</v>
      </c>
      <c r="CO165" s="1">
        <f t="shared" ca="1" si="189"/>
        <v>0.28585856753626676</v>
      </c>
      <c r="CP165" s="1">
        <f t="shared" ca="1" si="190"/>
        <v>4</v>
      </c>
      <c r="DH165" s="1">
        <f t="shared" ca="1" si="191"/>
        <v>895</v>
      </c>
      <c r="DI165" s="1">
        <f t="shared" ca="1" si="192"/>
        <v>0.70536377571523645</v>
      </c>
      <c r="DJ165" s="1">
        <f t="shared" ca="1" si="193"/>
        <v>30</v>
      </c>
      <c r="DL165" s="1">
        <f t="shared" ca="1" si="194"/>
        <v>0.1750908491066509</v>
      </c>
      <c r="DM165" s="1">
        <f t="shared" ca="1" si="195"/>
        <v>95</v>
      </c>
      <c r="DN165" s="1">
        <f t="shared" ca="1" si="196"/>
        <v>4</v>
      </c>
    </row>
    <row r="166" spans="2:118" x14ac:dyDescent="0.25">
      <c r="B166">
        <f t="shared" ca="1" si="132"/>
        <v>195</v>
      </c>
      <c r="C166">
        <f t="shared" ca="1" si="133"/>
        <v>7</v>
      </c>
      <c r="D166">
        <f t="shared" ca="1" si="134"/>
        <v>0.11701658861176611</v>
      </c>
      <c r="F166" s="1">
        <f t="shared" ca="1" si="135"/>
        <v>16</v>
      </c>
      <c r="G166" s="1">
        <f t="shared" ca="1" si="136"/>
        <v>7</v>
      </c>
      <c r="H166" s="1">
        <f t="shared" ca="1" si="137"/>
        <v>10</v>
      </c>
      <c r="I166" s="1"/>
      <c r="J166" s="1">
        <f t="shared" ca="1" si="138"/>
        <v>11</v>
      </c>
      <c r="K166" s="1">
        <f t="shared" ca="1" si="139"/>
        <v>1.12678342724103</v>
      </c>
      <c r="L166" s="1">
        <f t="shared" ca="1" si="140"/>
        <v>16</v>
      </c>
      <c r="M166" s="1"/>
      <c r="N166" s="1">
        <f t="shared" ca="1" si="141"/>
        <v>189</v>
      </c>
      <c r="O166" s="1">
        <f t="shared" ca="1" si="142"/>
        <v>31</v>
      </c>
      <c r="P166" s="1"/>
      <c r="Q166" s="1">
        <f t="shared" ca="1" si="143"/>
        <v>3.1679129277710967</v>
      </c>
      <c r="R166" s="1">
        <f t="shared" ca="1" si="144"/>
        <v>887</v>
      </c>
      <c r="S166" s="1"/>
      <c r="T166" s="1">
        <f t="shared" ca="1" si="145"/>
        <v>6.0766619411631528E-2</v>
      </c>
      <c r="U166" s="1">
        <f t="shared" ca="1" si="146"/>
        <v>113</v>
      </c>
      <c r="V166" s="1">
        <f t="shared" ca="1" si="147"/>
        <v>32</v>
      </c>
      <c r="W166" s="1"/>
      <c r="X166" s="1">
        <f t="shared" ca="1" si="148"/>
        <v>7.7271779904395919</v>
      </c>
      <c r="Y166" s="1">
        <f t="shared" ca="1" si="149"/>
        <v>0.33790694451673148</v>
      </c>
      <c r="Z166" s="1">
        <f t="shared" ca="1" si="150"/>
        <v>1852</v>
      </c>
      <c r="AB166" s="1">
        <f t="shared" ca="1" si="151"/>
        <v>0.1605845363655079</v>
      </c>
      <c r="AC166" s="1">
        <f t="shared" ca="1" si="152"/>
        <v>717</v>
      </c>
      <c r="AD166" s="1">
        <f t="shared" ca="1" si="153"/>
        <v>2.5146637840710011E-3</v>
      </c>
      <c r="AE166" s="1"/>
      <c r="AF166" s="1">
        <f t="shared" ca="1" si="154"/>
        <v>0.86531028652894049</v>
      </c>
      <c r="AG166" s="1">
        <f t="shared" ca="1" si="155"/>
        <v>378</v>
      </c>
      <c r="AH166" s="1">
        <f t="shared" ca="1" si="156"/>
        <v>7.0735745695556761E-3</v>
      </c>
      <c r="AJ166" s="1">
        <f t="shared" ca="1" si="157"/>
        <v>0.54356200983199632</v>
      </c>
      <c r="AK166" s="1">
        <f t="shared" ca="1" si="158"/>
        <v>9.4713999468751999E-3</v>
      </c>
      <c r="AL166" s="1"/>
      <c r="AM166" s="1">
        <f t="shared" ca="1" si="159"/>
        <v>5.5570407815223474E-2</v>
      </c>
      <c r="AN166" s="1">
        <f t="shared" ca="1" si="160"/>
        <v>79</v>
      </c>
      <c r="AO166" s="1">
        <f t="shared" ca="1" si="161"/>
        <v>6</v>
      </c>
      <c r="AQ166" s="1">
        <f t="shared" ca="1" si="162"/>
        <v>46</v>
      </c>
      <c r="AR166" s="1">
        <f t="shared" ca="1" si="163"/>
        <v>9</v>
      </c>
      <c r="AS166" s="1">
        <f t="shared" ca="1" si="164"/>
        <v>93</v>
      </c>
      <c r="AU166" s="1">
        <f t="shared" ca="1" si="165"/>
        <v>354</v>
      </c>
      <c r="AV166" s="1">
        <f t="shared" ca="1" si="166"/>
        <v>3</v>
      </c>
      <c r="AW166" s="1">
        <f t="shared" ca="1" si="167"/>
        <v>7.2942749144802171E-2</v>
      </c>
      <c r="AY166" s="1">
        <f t="shared" ca="1" si="168"/>
        <v>1.5863009357741895</v>
      </c>
      <c r="AZ166" s="1">
        <f t="shared" ca="1" si="169"/>
        <v>446</v>
      </c>
      <c r="BA166" s="1">
        <f t="shared" ca="1" si="170"/>
        <v>2.7048539439595656E-3</v>
      </c>
      <c r="BG166" s="1">
        <f t="shared" ca="1" si="171"/>
        <v>0.65293508804469469</v>
      </c>
      <c r="BH166" s="1">
        <f t="shared" ca="1" si="172"/>
        <v>0.35767215384959461</v>
      </c>
      <c r="BI166" s="1">
        <f t="shared" ca="1" si="173"/>
        <v>535</v>
      </c>
      <c r="BV166" s="1">
        <f t="shared" ca="1" si="174"/>
        <v>0.84087730631786362</v>
      </c>
      <c r="BW166" s="1">
        <f t="shared" ca="1" si="175"/>
        <v>302</v>
      </c>
      <c r="BX166" s="1">
        <f t="shared" ca="1" si="176"/>
        <v>7.4146292242069879E-3</v>
      </c>
      <c r="BY166" s="1">
        <f t="shared" ca="1" si="177"/>
        <v>6.0247523538429722E-2</v>
      </c>
      <c r="BZ166" s="1">
        <f t="shared" ca="1" si="178"/>
        <v>0.30141314203109071</v>
      </c>
      <c r="CB166" s="1">
        <f t="shared" ca="1" si="179"/>
        <v>402</v>
      </c>
      <c r="CC166" s="1">
        <f t="shared" ca="1" si="180"/>
        <v>5</v>
      </c>
      <c r="CD166" s="1">
        <f t="shared" ca="1" si="181"/>
        <v>0.22315062804180882</v>
      </c>
      <c r="CE166" s="1">
        <f t="shared" ca="1" si="197"/>
        <v>0.8932145426110345</v>
      </c>
      <c r="CF166" s="1">
        <f t="shared" ca="1" si="197"/>
        <v>0.67886100715895303</v>
      </c>
      <c r="CH166" s="3">
        <f t="shared" ca="1" si="183"/>
        <v>3.7262988300759504E-2</v>
      </c>
      <c r="CI166" s="3">
        <f t="shared" ca="1" si="184"/>
        <v>2.8395703236297851E-2</v>
      </c>
      <c r="CJ166" s="3">
        <f t="shared" ca="1" si="185"/>
        <v>1765</v>
      </c>
      <c r="CK166" s="3">
        <f t="shared" ca="1" si="186"/>
        <v>2.7253474534887877E-3</v>
      </c>
      <c r="CL166" s="3">
        <f t="shared" ca="1" si="187"/>
        <v>1</v>
      </c>
      <c r="CM166" s="3"/>
      <c r="CN166" s="1">
        <f t="shared" ca="1" si="188"/>
        <v>9.1940683698221726</v>
      </c>
      <c r="CO166" s="1">
        <f t="shared" ca="1" si="189"/>
        <v>0.43331944474483719</v>
      </c>
      <c r="CP166" s="1">
        <f t="shared" ca="1" si="190"/>
        <v>1</v>
      </c>
      <c r="DH166" s="1">
        <f t="shared" ca="1" si="191"/>
        <v>622</v>
      </c>
      <c r="DI166" s="1">
        <f t="shared" ca="1" si="192"/>
        <v>0.27134532460910532</v>
      </c>
      <c r="DJ166" s="1">
        <f t="shared" ca="1" si="193"/>
        <v>6</v>
      </c>
      <c r="DL166" s="1">
        <f t="shared" ca="1" si="194"/>
        <v>1.5907429971354858E-2</v>
      </c>
      <c r="DM166" s="1">
        <f t="shared" ca="1" si="195"/>
        <v>240</v>
      </c>
      <c r="DN166" s="1">
        <f t="shared" ca="1" si="196"/>
        <v>4</v>
      </c>
    </row>
    <row r="167" spans="2:118" x14ac:dyDescent="0.25">
      <c r="B167">
        <f t="shared" ca="1" si="132"/>
        <v>555</v>
      </c>
      <c r="C167">
        <f t="shared" ca="1" si="133"/>
        <v>12</v>
      </c>
      <c r="D167">
        <f t="shared" ca="1" si="134"/>
        <v>0.14005993936514219</v>
      </c>
      <c r="F167" s="1">
        <f t="shared" ca="1" si="135"/>
        <v>4</v>
      </c>
      <c r="G167" s="1">
        <f t="shared" ca="1" si="136"/>
        <v>20</v>
      </c>
      <c r="H167" s="1">
        <f t="shared" ca="1" si="137"/>
        <v>2</v>
      </c>
      <c r="I167" s="1"/>
      <c r="J167" s="1">
        <f t="shared" ca="1" si="138"/>
        <v>26</v>
      </c>
      <c r="K167" s="1">
        <f t="shared" ca="1" si="139"/>
        <v>2.9874738403651806</v>
      </c>
      <c r="L167" s="1">
        <f t="shared" ca="1" si="140"/>
        <v>13</v>
      </c>
      <c r="M167" s="1"/>
      <c r="N167" s="1">
        <f t="shared" ca="1" si="141"/>
        <v>420</v>
      </c>
      <c r="O167" s="1">
        <f t="shared" ca="1" si="142"/>
        <v>6</v>
      </c>
      <c r="P167" s="1"/>
      <c r="Q167" s="1">
        <f t="shared" ca="1" si="143"/>
        <v>4.9409454178290471</v>
      </c>
      <c r="R167" s="1">
        <f t="shared" ca="1" si="144"/>
        <v>263</v>
      </c>
      <c r="S167" s="1"/>
      <c r="T167" s="1">
        <f t="shared" ca="1" si="145"/>
        <v>0.19886548012847588</v>
      </c>
      <c r="U167" s="1">
        <f t="shared" ca="1" si="146"/>
        <v>242</v>
      </c>
      <c r="V167" s="1">
        <f t="shared" ca="1" si="147"/>
        <v>26</v>
      </c>
      <c r="W167" s="1"/>
      <c r="X167" s="1">
        <f t="shared" ca="1" si="148"/>
        <v>0.45635986347412211</v>
      </c>
      <c r="Y167" s="1">
        <f t="shared" ca="1" si="149"/>
        <v>0.99907665346715635</v>
      </c>
      <c r="Z167" s="1">
        <f t="shared" ca="1" si="150"/>
        <v>1305</v>
      </c>
      <c r="AB167" s="1">
        <f t="shared" ca="1" si="151"/>
        <v>0.22729126321289686</v>
      </c>
      <c r="AC167" s="1">
        <f t="shared" ca="1" si="152"/>
        <v>342</v>
      </c>
      <c r="AD167" s="1">
        <f t="shared" ca="1" si="153"/>
        <v>6.5045281007773013E-3</v>
      </c>
      <c r="AE167" s="1"/>
      <c r="AF167" s="1">
        <f t="shared" ca="1" si="154"/>
        <v>0.76748330939309939</v>
      </c>
      <c r="AG167" s="1">
        <f t="shared" ca="1" si="155"/>
        <v>747</v>
      </c>
      <c r="AH167" s="1">
        <f t="shared" ca="1" si="156"/>
        <v>7.7358171719358855E-3</v>
      </c>
      <c r="AJ167" s="1">
        <f t="shared" ca="1" si="157"/>
        <v>0.62744990833229997</v>
      </c>
      <c r="AK167" s="1">
        <f t="shared" ca="1" si="158"/>
        <v>1.4482015581830509E-3</v>
      </c>
      <c r="AL167" s="1"/>
      <c r="AM167" s="1">
        <f t="shared" ca="1" si="159"/>
        <v>0.10886719642334015</v>
      </c>
      <c r="AN167" s="1">
        <f t="shared" ca="1" si="160"/>
        <v>73</v>
      </c>
      <c r="AO167" s="1">
        <f t="shared" ca="1" si="161"/>
        <v>14</v>
      </c>
      <c r="AQ167" s="1">
        <f t="shared" ca="1" si="162"/>
        <v>55</v>
      </c>
      <c r="AR167" s="1">
        <f t="shared" ca="1" si="163"/>
        <v>8</v>
      </c>
      <c r="AS167" s="1">
        <f t="shared" ca="1" si="164"/>
        <v>97</v>
      </c>
      <c r="AU167" s="1">
        <f t="shared" ca="1" si="165"/>
        <v>332</v>
      </c>
      <c r="AV167" s="1">
        <f t="shared" ca="1" si="166"/>
        <v>3</v>
      </c>
      <c r="AW167" s="1">
        <f t="shared" ca="1" si="167"/>
        <v>0.13043024818289786</v>
      </c>
      <c r="AY167" s="1">
        <f t="shared" ca="1" si="168"/>
        <v>1.6809926374578892</v>
      </c>
      <c r="AZ167" s="1">
        <f t="shared" ca="1" si="169"/>
        <v>266</v>
      </c>
      <c r="BA167" s="1">
        <f t="shared" ca="1" si="170"/>
        <v>4.924289978088445E-4</v>
      </c>
      <c r="BG167" s="1">
        <f t="shared" ca="1" si="171"/>
        <v>0.92886617323778076</v>
      </c>
      <c r="BH167" s="1">
        <f t="shared" ca="1" si="172"/>
        <v>0.90942531231741308</v>
      </c>
      <c r="BI167" s="1">
        <f t="shared" ca="1" si="173"/>
        <v>605</v>
      </c>
      <c r="BV167" s="1">
        <f t="shared" ca="1" si="174"/>
        <v>0.95100671078006538</v>
      </c>
      <c r="BW167" s="1">
        <f t="shared" ca="1" si="175"/>
        <v>178</v>
      </c>
      <c r="BX167" s="1">
        <f t="shared" ca="1" si="176"/>
        <v>6.9323233678195177E-3</v>
      </c>
      <c r="BY167" s="1">
        <f t="shared" ca="1" si="177"/>
        <v>6.1237623716741164E-2</v>
      </c>
      <c r="BZ167" s="1">
        <f t="shared" ca="1" si="178"/>
        <v>0.47245906546124994</v>
      </c>
      <c r="CB167" s="1">
        <f t="shared" ca="1" si="179"/>
        <v>258</v>
      </c>
      <c r="CC167" s="1">
        <f t="shared" ca="1" si="180"/>
        <v>12</v>
      </c>
      <c r="CD167" s="1">
        <f t="shared" ca="1" si="181"/>
        <v>0.11416471816766262</v>
      </c>
      <c r="CE167" s="1">
        <f t="shared" ca="1" si="197"/>
        <v>0.96872538655553986</v>
      </c>
      <c r="CF167" s="1">
        <f t="shared" ca="1" si="197"/>
        <v>0.59356049732629679</v>
      </c>
      <c r="CH167" s="3">
        <f t="shared" ca="1" si="183"/>
        <v>0.99635145056641794</v>
      </c>
      <c r="CI167" s="3">
        <f t="shared" ca="1" si="184"/>
        <v>9.1861546106372732E-2</v>
      </c>
      <c r="CJ167" s="3">
        <f t="shared" ca="1" si="185"/>
        <v>1695</v>
      </c>
      <c r="CK167" s="3">
        <f t="shared" ca="1" si="186"/>
        <v>3.0736323707500769E-4</v>
      </c>
      <c r="CL167" s="3">
        <f t="shared" ca="1" si="187"/>
        <v>0</v>
      </c>
      <c r="CM167" s="3"/>
      <c r="CN167" s="1">
        <f t="shared" ca="1" si="188"/>
        <v>12.600109827682408</v>
      </c>
      <c r="CO167" s="1">
        <f t="shared" ca="1" si="189"/>
        <v>0.40386456608783822</v>
      </c>
      <c r="CP167" s="1">
        <f t="shared" ca="1" si="190"/>
        <v>3</v>
      </c>
      <c r="DH167" s="1">
        <f t="shared" ca="1" si="191"/>
        <v>734</v>
      </c>
      <c r="DI167" s="1">
        <f t="shared" ca="1" si="192"/>
        <v>0.52961047621810886</v>
      </c>
      <c r="DJ167" s="1">
        <f t="shared" ca="1" si="193"/>
        <v>20</v>
      </c>
      <c r="DL167" s="1">
        <f t="shared" ca="1" si="194"/>
        <v>0.14245886316846842</v>
      </c>
      <c r="DM167" s="1">
        <f t="shared" ca="1" si="195"/>
        <v>278</v>
      </c>
      <c r="DN167" s="1">
        <f t="shared" ca="1" si="196"/>
        <v>4</v>
      </c>
    </row>
    <row r="168" spans="2:118" x14ac:dyDescent="0.25">
      <c r="B168">
        <f t="shared" ca="1" si="132"/>
        <v>139</v>
      </c>
      <c r="C168">
        <f t="shared" ca="1" si="133"/>
        <v>26</v>
      </c>
      <c r="D168">
        <f t="shared" ca="1" si="134"/>
        <v>0.11104299982818623</v>
      </c>
      <c r="F168" s="1">
        <f t="shared" ca="1" si="135"/>
        <v>45</v>
      </c>
      <c r="G168" s="1">
        <f t="shared" ca="1" si="136"/>
        <v>13</v>
      </c>
      <c r="H168" s="1">
        <f t="shared" ca="1" si="137"/>
        <v>1</v>
      </c>
      <c r="I168" s="1"/>
      <c r="J168" s="1">
        <f t="shared" ca="1" si="138"/>
        <v>33</v>
      </c>
      <c r="K168" s="1">
        <f t="shared" ca="1" si="139"/>
        <v>2.316539557546633</v>
      </c>
      <c r="L168" s="1">
        <f t="shared" ca="1" si="140"/>
        <v>12</v>
      </c>
      <c r="M168" s="1"/>
      <c r="N168" s="1">
        <f t="shared" ca="1" si="141"/>
        <v>130</v>
      </c>
      <c r="O168" s="1">
        <f t="shared" ca="1" si="142"/>
        <v>34</v>
      </c>
      <c r="P168" s="1"/>
      <c r="Q168" s="1">
        <f t="shared" ca="1" si="143"/>
        <v>3.0698821680716075</v>
      </c>
      <c r="R168" s="1">
        <f t="shared" ca="1" si="144"/>
        <v>507</v>
      </c>
      <c r="S168" s="1"/>
      <c r="T168" s="1">
        <f t="shared" ca="1" si="145"/>
        <v>2.1551149674394893E-2</v>
      </c>
      <c r="U168" s="1">
        <f t="shared" ca="1" si="146"/>
        <v>172</v>
      </c>
      <c r="V168" s="1">
        <f t="shared" ca="1" si="147"/>
        <v>5</v>
      </c>
      <c r="W168" s="1"/>
      <c r="X168" s="1">
        <f t="shared" ca="1" si="148"/>
        <v>4.8351491757717602</v>
      </c>
      <c r="Y168" s="1">
        <f t="shared" ca="1" si="149"/>
        <v>0.78653635084458495</v>
      </c>
      <c r="Z168" s="1">
        <f t="shared" ca="1" si="150"/>
        <v>699</v>
      </c>
      <c r="AB168" s="1">
        <f t="shared" ca="1" si="151"/>
        <v>0.59859760432444797</v>
      </c>
      <c r="AC168" s="1">
        <f t="shared" ca="1" si="152"/>
        <v>408</v>
      </c>
      <c r="AD168" s="1">
        <f t="shared" ca="1" si="153"/>
        <v>6.0718453741827067E-3</v>
      </c>
      <c r="AE168" s="1"/>
      <c r="AF168" s="1">
        <f t="shared" ca="1" si="154"/>
        <v>0.76518307530899576</v>
      </c>
      <c r="AG168" s="1">
        <f t="shared" ca="1" si="155"/>
        <v>267</v>
      </c>
      <c r="AH168" s="1">
        <f t="shared" ca="1" si="156"/>
        <v>1.7852952857033654E-3</v>
      </c>
      <c r="AJ168" s="1">
        <f t="shared" ca="1" si="157"/>
        <v>0.64244929913426851</v>
      </c>
      <c r="AK168" s="1">
        <f t="shared" ca="1" si="158"/>
        <v>5.9748775997073783E-3</v>
      </c>
      <c r="AL168" s="1"/>
      <c r="AM168" s="1">
        <f t="shared" ca="1" si="159"/>
        <v>2.2244278886005629E-2</v>
      </c>
      <c r="AN168" s="1">
        <f t="shared" ca="1" si="160"/>
        <v>80</v>
      </c>
      <c r="AO168" s="1">
        <f t="shared" ca="1" si="161"/>
        <v>16</v>
      </c>
      <c r="AQ168" s="1">
        <f t="shared" ca="1" si="162"/>
        <v>53</v>
      </c>
      <c r="AR168" s="1">
        <f t="shared" ca="1" si="163"/>
        <v>7</v>
      </c>
      <c r="AS168" s="1">
        <f t="shared" ca="1" si="164"/>
        <v>89</v>
      </c>
      <c r="AU168" s="1">
        <f t="shared" ca="1" si="165"/>
        <v>216</v>
      </c>
      <c r="AV168" s="1">
        <f t="shared" ca="1" si="166"/>
        <v>4</v>
      </c>
      <c r="AW168" s="1">
        <f t="shared" ca="1" si="167"/>
        <v>0.13993245760330111</v>
      </c>
      <c r="AY168" s="1">
        <f t="shared" ca="1" si="168"/>
        <v>1.116100803223304</v>
      </c>
      <c r="AZ168" s="1">
        <f t="shared" ca="1" si="169"/>
        <v>170</v>
      </c>
      <c r="BA168" s="1">
        <f t="shared" ca="1" si="170"/>
        <v>5.0499577699162166E-3</v>
      </c>
      <c r="BG168" s="1">
        <f t="shared" ca="1" si="171"/>
        <v>0.91020300033653823</v>
      </c>
      <c r="BH168" s="1">
        <f t="shared" ca="1" si="172"/>
        <v>0.85066806862313493</v>
      </c>
      <c r="BI168" s="1">
        <f t="shared" ca="1" si="173"/>
        <v>574</v>
      </c>
      <c r="BV168" s="1">
        <f t="shared" ca="1" si="174"/>
        <v>0.34543162447747416</v>
      </c>
      <c r="BW168" s="1">
        <f t="shared" ca="1" si="175"/>
        <v>724</v>
      </c>
      <c r="BX168" s="1">
        <f t="shared" ca="1" si="176"/>
        <v>3.5597109718020308E-4</v>
      </c>
      <c r="BY168" s="1">
        <f t="shared" ca="1" si="177"/>
        <v>8.3503105283673162E-2</v>
      </c>
      <c r="BZ168" s="1">
        <f t="shared" ca="1" si="178"/>
        <v>0.55970980067863429</v>
      </c>
      <c r="CB168" s="1">
        <f t="shared" ca="1" si="179"/>
        <v>135</v>
      </c>
      <c r="CC168" s="1">
        <f t="shared" ca="1" si="180"/>
        <v>8</v>
      </c>
      <c r="CD168" s="1">
        <f t="shared" ca="1" si="181"/>
        <v>2.0100082426091313E-2</v>
      </c>
      <c r="CE168" s="1">
        <f t="shared" ca="1" si="197"/>
        <v>0.83442504943889184</v>
      </c>
      <c r="CF168" s="1">
        <f t="shared" ca="1" si="197"/>
        <v>0.93249746387711929</v>
      </c>
      <c r="CH168" s="3">
        <f t="shared" ca="1" si="183"/>
        <v>0.90133743795380239</v>
      </c>
      <c r="CI168" s="3">
        <f t="shared" ca="1" si="184"/>
        <v>0.44992888107524015</v>
      </c>
      <c r="CJ168" s="3">
        <f t="shared" ca="1" si="185"/>
        <v>605</v>
      </c>
      <c r="CK168" s="3">
        <f t="shared" ca="1" si="186"/>
        <v>9.6582488046911708E-3</v>
      </c>
      <c r="CL168" s="3">
        <f t="shared" ca="1" si="187"/>
        <v>0</v>
      </c>
      <c r="CM168" s="3"/>
      <c r="CN168" s="1">
        <f t="shared" ca="1" si="188"/>
        <v>4.1287901540531955</v>
      </c>
      <c r="CO168" s="1">
        <f t="shared" ca="1" si="189"/>
        <v>0.31589097138230604</v>
      </c>
      <c r="CP168" s="1">
        <f t="shared" ca="1" si="190"/>
        <v>4</v>
      </c>
      <c r="DH168" s="1">
        <f t="shared" ca="1" si="191"/>
        <v>293</v>
      </c>
      <c r="DI168" s="1">
        <f t="shared" ca="1" si="192"/>
        <v>0.1032409269202654</v>
      </c>
      <c r="DJ168" s="1">
        <f t="shared" ca="1" si="193"/>
        <v>30</v>
      </c>
      <c r="DL168" s="1">
        <f t="shared" ca="1" si="194"/>
        <v>0.10046355635607983</v>
      </c>
      <c r="DM168" s="1">
        <f t="shared" ca="1" si="195"/>
        <v>77</v>
      </c>
      <c r="DN168" s="1">
        <f t="shared" ca="1" si="196"/>
        <v>6</v>
      </c>
    </row>
    <row r="169" spans="2:118" x14ac:dyDescent="0.25">
      <c r="B169">
        <f t="shared" ca="1" si="132"/>
        <v>868</v>
      </c>
      <c r="C169">
        <f t="shared" ca="1" si="133"/>
        <v>9</v>
      </c>
      <c r="D169">
        <f t="shared" ca="1" si="134"/>
        <v>6.6258851641514585E-2</v>
      </c>
      <c r="F169" s="1">
        <f t="shared" ca="1" si="135"/>
        <v>6</v>
      </c>
      <c r="G169" s="1">
        <f t="shared" ca="1" si="136"/>
        <v>28</v>
      </c>
      <c r="H169" s="1">
        <f t="shared" ca="1" si="137"/>
        <v>12</v>
      </c>
      <c r="I169" s="1"/>
      <c r="J169" s="1">
        <f t="shared" ca="1" si="138"/>
        <v>33</v>
      </c>
      <c r="K169" s="1">
        <f t="shared" ca="1" si="139"/>
        <v>2.1435865672194208</v>
      </c>
      <c r="L169" s="1">
        <f t="shared" ca="1" si="140"/>
        <v>31</v>
      </c>
      <c r="M169" s="1"/>
      <c r="N169" s="1">
        <f t="shared" ca="1" si="141"/>
        <v>240</v>
      </c>
      <c r="O169" s="1">
        <f t="shared" ca="1" si="142"/>
        <v>52</v>
      </c>
      <c r="P169" s="1"/>
      <c r="Q169" s="1">
        <f t="shared" ca="1" si="143"/>
        <v>4.8756361594465849</v>
      </c>
      <c r="R169" s="1">
        <f t="shared" ca="1" si="144"/>
        <v>901</v>
      </c>
      <c r="S169" s="1"/>
      <c r="T169" s="1">
        <f t="shared" ca="1" si="145"/>
        <v>7.4794614340521259E-2</v>
      </c>
      <c r="U169" s="1">
        <f t="shared" ca="1" si="146"/>
        <v>279</v>
      </c>
      <c r="V169" s="1">
        <f t="shared" ca="1" si="147"/>
        <v>39</v>
      </c>
      <c r="W169" s="1"/>
      <c r="X169" s="1">
        <f t="shared" ca="1" si="148"/>
        <v>7.0628593441532237</v>
      </c>
      <c r="Y169" s="1">
        <f t="shared" ca="1" si="149"/>
        <v>0.45404295813602208</v>
      </c>
      <c r="Z169" s="1">
        <f t="shared" ca="1" si="150"/>
        <v>785</v>
      </c>
      <c r="AB169" s="1">
        <f t="shared" ca="1" si="151"/>
        <v>0.95344720519060744</v>
      </c>
      <c r="AC169" s="1">
        <f t="shared" ca="1" si="152"/>
        <v>314</v>
      </c>
      <c r="AD169" s="1">
        <f t="shared" ca="1" si="153"/>
        <v>4.1129187471857934E-3</v>
      </c>
      <c r="AE169" s="1"/>
      <c r="AF169" s="1">
        <f t="shared" ca="1" si="154"/>
        <v>0.40367886067172554</v>
      </c>
      <c r="AG169" s="1">
        <f t="shared" ca="1" si="155"/>
        <v>779</v>
      </c>
      <c r="AH169" s="1">
        <f t="shared" ca="1" si="156"/>
        <v>9.3792699638643728E-3</v>
      </c>
      <c r="AJ169" s="1">
        <f t="shared" ca="1" si="157"/>
        <v>7.4793917290835066E-2</v>
      </c>
      <c r="AK169" s="1">
        <f t="shared" ca="1" si="158"/>
        <v>5.1871510647294211E-4</v>
      </c>
      <c r="AL169" s="1"/>
      <c r="AM169" s="1">
        <f t="shared" ca="1" si="159"/>
        <v>9.8730729274164999E-2</v>
      </c>
      <c r="AN169" s="1">
        <f t="shared" ca="1" si="160"/>
        <v>56</v>
      </c>
      <c r="AO169" s="1">
        <f t="shared" ca="1" si="161"/>
        <v>19</v>
      </c>
      <c r="AQ169" s="1">
        <f t="shared" ca="1" si="162"/>
        <v>183</v>
      </c>
      <c r="AR169" s="1">
        <f t="shared" ca="1" si="163"/>
        <v>1</v>
      </c>
      <c r="AS169" s="1">
        <f t="shared" ca="1" si="164"/>
        <v>73</v>
      </c>
      <c r="AU169" s="1">
        <f t="shared" ca="1" si="165"/>
        <v>91</v>
      </c>
      <c r="AV169" s="1">
        <f t="shared" ca="1" si="166"/>
        <v>8</v>
      </c>
      <c r="AW169" s="1">
        <f t="shared" ca="1" si="167"/>
        <v>4.9606027571745266E-2</v>
      </c>
      <c r="AY169" s="1">
        <f t="shared" ca="1" si="168"/>
        <v>1.1321766414767565</v>
      </c>
      <c r="AZ169" s="1">
        <f t="shared" ca="1" si="169"/>
        <v>344</v>
      </c>
      <c r="BA169" s="1">
        <f t="shared" ca="1" si="170"/>
        <v>4.5519872070753795E-4</v>
      </c>
      <c r="BG169" s="1">
        <f t="shared" ca="1" si="171"/>
        <v>9.5047733822098759E-2</v>
      </c>
      <c r="BH169" s="1">
        <f t="shared" ca="1" si="172"/>
        <v>0.13708715708077279</v>
      </c>
      <c r="BI169" s="1">
        <f t="shared" ca="1" si="173"/>
        <v>130</v>
      </c>
      <c r="BV169" s="1">
        <f t="shared" ca="1" si="174"/>
        <v>0.11933747817232473</v>
      </c>
      <c r="BW169" s="1">
        <f t="shared" ca="1" si="175"/>
        <v>698</v>
      </c>
      <c r="BX169" s="1">
        <f t="shared" ca="1" si="176"/>
        <v>4.0911735978281315E-4</v>
      </c>
      <c r="BY169" s="1">
        <f t="shared" ca="1" si="177"/>
        <v>1.4337294998677636E-2</v>
      </c>
      <c r="BZ169" s="1">
        <f t="shared" ca="1" si="178"/>
        <v>0.69225579153134775</v>
      </c>
      <c r="CB169" s="1">
        <f t="shared" ca="1" si="179"/>
        <v>103</v>
      </c>
      <c r="CC169" s="1">
        <f t="shared" ca="1" si="180"/>
        <v>9</v>
      </c>
      <c r="CD169" s="1">
        <f t="shared" ca="1" si="181"/>
        <v>0.18964228192142082</v>
      </c>
      <c r="CE169" s="1">
        <f t="shared" ca="1" si="197"/>
        <v>0.57087643291186096</v>
      </c>
      <c r="CF169" s="1">
        <f t="shared" ca="1" si="197"/>
        <v>0.80017965511442735</v>
      </c>
      <c r="CH169" s="3">
        <f t="shared" ca="1" si="183"/>
        <v>0.21806269023075664</v>
      </c>
      <c r="CI169" s="3">
        <f t="shared" ca="1" si="184"/>
        <v>0.72657605291462024</v>
      </c>
      <c r="CJ169" s="3">
        <f t="shared" ca="1" si="185"/>
        <v>1208</v>
      </c>
      <c r="CK169" s="3">
        <f t="shared" ca="1" si="186"/>
        <v>7.0991735041653044E-4</v>
      </c>
      <c r="CL169" s="3">
        <f t="shared" ca="1" si="187"/>
        <v>0</v>
      </c>
      <c r="CM169" s="3"/>
      <c r="CN169" s="1">
        <f t="shared" ca="1" si="188"/>
        <v>1.9084463747939162</v>
      </c>
      <c r="CO169" s="1">
        <f t="shared" ca="1" si="189"/>
        <v>0.18140836257361878</v>
      </c>
      <c r="CP169" s="1">
        <f t="shared" ca="1" si="190"/>
        <v>2</v>
      </c>
      <c r="DH169" s="1">
        <f t="shared" ca="1" si="191"/>
        <v>77</v>
      </c>
      <c r="DI169" s="1">
        <f t="shared" ca="1" si="192"/>
        <v>0.89921457623140888</v>
      </c>
      <c r="DJ169" s="1">
        <f t="shared" ca="1" si="193"/>
        <v>20</v>
      </c>
      <c r="DL169" s="1">
        <f t="shared" ca="1" si="194"/>
        <v>6.5194240344812249E-2</v>
      </c>
      <c r="DM169" s="1">
        <f t="shared" ca="1" si="195"/>
        <v>185</v>
      </c>
      <c r="DN169" s="1">
        <f t="shared" ca="1" si="196"/>
        <v>9</v>
      </c>
    </row>
    <row r="170" spans="2:118" x14ac:dyDescent="0.25">
      <c r="B170">
        <f t="shared" ca="1" si="132"/>
        <v>710</v>
      </c>
      <c r="C170">
        <f t="shared" ca="1" si="133"/>
        <v>49</v>
      </c>
      <c r="D170">
        <f t="shared" ca="1" si="134"/>
        <v>0.29203686947152474</v>
      </c>
      <c r="F170" s="1">
        <f t="shared" ca="1" si="135"/>
        <v>20</v>
      </c>
      <c r="G170" s="1">
        <f t="shared" ca="1" si="136"/>
        <v>25</v>
      </c>
      <c r="H170" s="1">
        <f t="shared" ca="1" si="137"/>
        <v>8</v>
      </c>
      <c r="I170" s="1"/>
      <c r="J170" s="1">
        <f t="shared" ca="1" si="138"/>
        <v>26</v>
      </c>
      <c r="K170" s="1">
        <f t="shared" ca="1" si="139"/>
        <v>2.9129177452538411</v>
      </c>
      <c r="L170" s="1">
        <f t="shared" ca="1" si="140"/>
        <v>28</v>
      </c>
      <c r="M170" s="1"/>
      <c r="N170" s="1">
        <f t="shared" ca="1" si="141"/>
        <v>461</v>
      </c>
      <c r="O170" s="1">
        <f t="shared" ca="1" si="142"/>
        <v>49</v>
      </c>
      <c r="P170" s="1"/>
      <c r="Q170" s="1">
        <f t="shared" ca="1" si="143"/>
        <v>0.57925231603735927</v>
      </c>
      <c r="R170" s="1">
        <f t="shared" ca="1" si="144"/>
        <v>1197</v>
      </c>
      <c r="S170" s="1"/>
      <c r="T170" s="1">
        <f t="shared" ca="1" si="145"/>
        <v>0.11895917504586097</v>
      </c>
      <c r="U170" s="1">
        <f t="shared" ca="1" si="146"/>
        <v>72</v>
      </c>
      <c r="V170" s="1">
        <f t="shared" ca="1" si="147"/>
        <v>19</v>
      </c>
      <c r="W170" s="1"/>
      <c r="X170" s="1">
        <f t="shared" ca="1" si="148"/>
        <v>2.0643652013900451</v>
      </c>
      <c r="Y170" s="1">
        <f t="shared" ca="1" si="149"/>
        <v>0.73189164213958247</v>
      </c>
      <c r="Z170" s="1">
        <f t="shared" ca="1" si="150"/>
        <v>684</v>
      </c>
      <c r="AB170" s="1">
        <f t="shared" ca="1" si="151"/>
        <v>4.4536288042848877E-2</v>
      </c>
      <c r="AC170" s="1">
        <f t="shared" ca="1" si="152"/>
        <v>418</v>
      </c>
      <c r="AD170" s="1">
        <f t="shared" ca="1" si="153"/>
        <v>7.0812850910974225E-4</v>
      </c>
      <c r="AE170" s="1"/>
      <c r="AF170" s="1">
        <f t="shared" ca="1" si="154"/>
        <v>0.62189705141983265</v>
      </c>
      <c r="AG170" s="1">
        <f t="shared" ca="1" si="155"/>
        <v>672</v>
      </c>
      <c r="AH170" s="1">
        <f t="shared" ca="1" si="156"/>
        <v>9.1942475890362859E-3</v>
      </c>
      <c r="AJ170" s="1">
        <f t="shared" ca="1" si="157"/>
        <v>0.56118661220344646</v>
      </c>
      <c r="AK170" s="1">
        <f t="shared" ca="1" si="158"/>
        <v>5.9981714201847317E-3</v>
      </c>
      <c r="AL170" s="1"/>
      <c r="AM170" s="1">
        <f t="shared" ca="1" si="159"/>
        <v>0.1212498841604619</v>
      </c>
      <c r="AN170" s="1">
        <f t="shared" ca="1" si="160"/>
        <v>76</v>
      </c>
      <c r="AO170" s="1">
        <f t="shared" ca="1" si="161"/>
        <v>19</v>
      </c>
      <c r="AQ170" s="1">
        <f t="shared" ca="1" si="162"/>
        <v>51</v>
      </c>
      <c r="AR170" s="1">
        <f t="shared" ca="1" si="163"/>
        <v>8</v>
      </c>
      <c r="AS170" s="1">
        <f t="shared" ca="1" si="164"/>
        <v>64</v>
      </c>
      <c r="AU170" s="1">
        <f t="shared" ca="1" si="165"/>
        <v>191</v>
      </c>
      <c r="AV170" s="1">
        <f t="shared" ca="1" si="166"/>
        <v>10</v>
      </c>
      <c r="AW170" s="1">
        <f t="shared" ca="1" si="167"/>
        <v>0.11567763978003788</v>
      </c>
      <c r="AY170" s="1">
        <f t="shared" ca="1" si="168"/>
        <v>1.8787138049704444</v>
      </c>
      <c r="AZ170" s="1">
        <f t="shared" ca="1" si="169"/>
        <v>185</v>
      </c>
      <c r="BA170" s="1">
        <f t="shared" ca="1" si="170"/>
        <v>8.8494174759677999E-3</v>
      </c>
      <c r="BG170" s="1">
        <f t="shared" ca="1" si="171"/>
        <v>1.3961639869222026E-2</v>
      </c>
      <c r="BH170" s="1">
        <f t="shared" ca="1" si="172"/>
        <v>0.92881656554220815</v>
      </c>
      <c r="BI170" s="1">
        <f t="shared" ca="1" si="173"/>
        <v>823</v>
      </c>
      <c r="BV170" s="1">
        <f t="shared" ca="1" si="174"/>
        <v>8.3782679092282125E-2</v>
      </c>
      <c r="BW170" s="1">
        <f t="shared" ca="1" si="175"/>
        <v>549</v>
      </c>
      <c r="BX170" s="1">
        <f t="shared" ca="1" si="176"/>
        <v>6.8462358892072226E-3</v>
      </c>
      <c r="BY170" s="1">
        <f t="shared" ca="1" si="177"/>
        <v>9.0815899842831199E-2</v>
      </c>
      <c r="BZ170" s="1">
        <f t="shared" ca="1" si="178"/>
        <v>0.7801981124593963</v>
      </c>
      <c r="CB170" s="1">
        <f t="shared" ca="1" si="179"/>
        <v>390</v>
      </c>
      <c r="CC170" s="1">
        <f t="shared" ca="1" si="180"/>
        <v>9</v>
      </c>
      <c r="CD170" s="1">
        <f t="shared" ca="1" si="181"/>
        <v>0.15666418663702483</v>
      </c>
      <c r="CE170" s="1">
        <f t="shared" ca="1" si="197"/>
        <v>0.88142851923023791</v>
      </c>
      <c r="CF170" s="1">
        <f t="shared" ca="1" si="197"/>
        <v>0.51478561107400211</v>
      </c>
      <c r="CH170" s="3">
        <f t="shared" ca="1" si="183"/>
        <v>0.32346324567915152</v>
      </c>
      <c r="CI170" s="3">
        <f t="shared" ca="1" si="184"/>
        <v>0.27383088238923953</v>
      </c>
      <c r="CJ170" s="3">
        <f t="shared" ca="1" si="185"/>
        <v>799</v>
      </c>
      <c r="CK170" s="3">
        <f t="shared" ca="1" si="186"/>
        <v>1.3320589027522561E-3</v>
      </c>
      <c r="CL170" s="3">
        <f t="shared" ca="1" si="187"/>
        <v>1</v>
      </c>
      <c r="CM170" s="3"/>
      <c r="CN170" s="1">
        <f t="shared" ca="1" si="188"/>
        <v>7.4319717242251517</v>
      </c>
      <c r="CO170" s="1">
        <f t="shared" ca="1" si="189"/>
        <v>0.17336703406455253</v>
      </c>
      <c r="CP170" s="1">
        <f t="shared" ca="1" si="190"/>
        <v>1</v>
      </c>
      <c r="DH170" s="1">
        <f t="shared" ca="1" si="191"/>
        <v>572</v>
      </c>
      <c r="DI170" s="1">
        <f t="shared" ca="1" si="192"/>
        <v>8.656914451998611E-2</v>
      </c>
      <c r="DJ170" s="1">
        <f t="shared" ca="1" si="193"/>
        <v>15</v>
      </c>
      <c r="DL170" s="1">
        <f t="shared" ca="1" si="194"/>
        <v>0.18708986600537492</v>
      </c>
      <c r="DM170" s="1">
        <f t="shared" ca="1" si="195"/>
        <v>282</v>
      </c>
      <c r="DN170" s="1">
        <f t="shared" ca="1" si="196"/>
        <v>4</v>
      </c>
    </row>
    <row r="171" spans="2:118" x14ac:dyDescent="0.25">
      <c r="B171">
        <f t="shared" ca="1" si="132"/>
        <v>813</v>
      </c>
      <c r="C171">
        <f t="shared" ca="1" si="133"/>
        <v>26</v>
      </c>
      <c r="D171">
        <f t="shared" ca="1" si="134"/>
        <v>0.29651064043338032</v>
      </c>
      <c r="F171" s="1">
        <f t="shared" ca="1" si="135"/>
        <v>17</v>
      </c>
      <c r="G171" s="1">
        <f t="shared" ca="1" si="136"/>
        <v>13</v>
      </c>
      <c r="H171" s="1">
        <f t="shared" ca="1" si="137"/>
        <v>3</v>
      </c>
      <c r="I171" s="1"/>
      <c r="J171" s="1">
        <f t="shared" ca="1" si="138"/>
        <v>34</v>
      </c>
      <c r="K171" s="1">
        <f t="shared" ca="1" si="139"/>
        <v>2.6706050369449379</v>
      </c>
      <c r="L171" s="1">
        <f t="shared" ca="1" si="140"/>
        <v>18</v>
      </c>
      <c r="M171" s="1"/>
      <c r="N171" s="1">
        <f t="shared" ca="1" si="141"/>
        <v>669</v>
      </c>
      <c r="O171" s="1">
        <f t="shared" ca="1" si="142"/>
        <v>25</v>
      </c>
      <c r="P171" s="1"/>
      <c r="Q171" s="1">
        <f t="shared" ca="1" si="143"/>
        <v>4.6372211804816867</v>
      </c>
      <c r="R171" s="1">
        <f t="shared" ca="1" si="144"/>
        <v>754</v>
      </c>
      <c r="S171" s="1"/>
      <c r="T171" s="1">
        <f t="shared" ca="1" si="145"/>
        <v>0.13938358172119833</v>
      </c>
      <c r="U171" s="1">
        <f t="shared" ca="1" si="146"/>
        <v>61</v>
      </c>
      <c r="V171" s="1">
        <f t="shared" ca="1" si="147"/>
        <v>12</v>
      </c>
      <c r="W171" s="1"/>
      <c r="X171" s="1">
        <f t="shared" ca="1" si="148"/>
        <v>8.4005959336290985</v>
      </c>
      <c r="Y171" s="1">
        <f t="shared" ca="1" si="149"/>
        <v>0.19809641754556104</v>
      </c>
      <c r="Z171" s="1">
        <f t="shared" ca="1" si="150"/>
        <v>1640</v>
      </c>
      <c r="AB171" s="1">
        <f t="shared" ca="1" si="151"/>
        <v>9.2004615500254402E-3</v>
      </c>
      <c r="AC171" s="1">
        <f t="shared" ca="1" si="152"/>
        <v>539</v>
      </c>
      <c r="AD171" s="1">
        <f t="shared" ca="1" si="153"/>
        <v>9.585570780998164E-4</v>
      </c>
      <c r="AE171" s="1"/>
      <c r="AF171" s="1">
        <f t="shared" ca="1" si="154"/>
        <v>0.18021645188757074</v>
      </c>
      <c r="AG171" s="1">
        <f t="shared" ca="1" si="155"/>
        <v>415</v>
      </c>
      <c r="AH171" s="1">
        <f t="shared" ca="1" si="156"/>
        <v>4.1274138263008671E-3</v>
      </c>
      <c r="AJ171" s="1">
        <f t="shared" ca="1" si="157"/>
        <v>0.75879185759603829</v>
      </c>
      <c r="AK171" s="1">
        <f t="shared" ca="1" si="158"/>
        <v>6.6363874234522146E-4</v>
      </c>
      <c r="AL171" s="1"/>
      <c r="AM171" s="1">
        <f t="shared" ca="1" si="159"/>
        <v>9.8620201856898196E-2</v>
      </c>
      <c r="AN171" s="1">
        <f t="shared" ca="1" si="160"/>
        <v>65</v>
      </c>
      <c r="AO171" s="1">
        <f t="shared" ca="1" si="161"/>
        <v>10</v>
      </c>
      <c r="AQ171" s="1">
        <f t="shared" ca="1" si="162"/>
        <v>37</v>
      </c>
      <c r="AR171" s="1">
        <f t="shared" ca="1" si="163"/>
        <v>9</v>
      </c>
      <c r="AS171" s="1">
        <f t="shared" ca="1" si="164"/>
        <v>16</v>
      </c>
      <c r="AU171" s="1">
        <f t="shared" ca="1" si="165"/>
        <v>171</v>
      </c>
      <c r="AV171" s="1">
        <f t="shared" ca="1" si="166"/>
        <v>8</v>
      </c>
      <c r="AW171" s="1">
        <f t="shared" ca="1" si="167"/>
        <v>0.16155289418864438</v>
      </c>
      <c r="AY171" s="1">
        <f t="shared" ca="1" si="168"/>
        <v>1.3737188814969119</v>
      </c>
      <c r="AZ171" s="1">
        <f t="shared" ca="1" si="169"/>
        <v>132</v>
      </c>
      <c r="BA171" s="1">
        <f t="shared" ca="1" si="170"/>
        <v>8.5690709231326847E-3</v>
      </c>
      <c r="BG171" s="1">
        <f t="shared" ca="1" si="171"/>
        <v>2.0284042661341612E-2</v>
      </c>
      <c r="BH171" s="1">
        <f t="shared" ca="1" si="172"/>
        <v>0.26814946719587152</v>
      </c>
      <c r="BI171" s="1">
        <f t="shared" ca="1" si="173"/>
        <v>454</v>
      </c>
      <c r="BV171" s="1">
        <f t="shared" ca="1" si="174"/>
        <v>0.49129523998159097</v>
      </c>
      <c r="BW171" s="1">
        <f t="shared" ca="1" si="175"/>
        <v>503</v>
      </c>
      <c r="BX171" s="1">
        <f t="shared" ca="1" si="176"/>
        <v>7.4864946175140753E-3</v>
      </c>
      <c r="BY171" s="1">
        <f t="shared" ca="1" si="177"/>
        <v>2.2500895366979919E-2</v>
      </c>
      <c r="BZ171" s="1">
        <f t="shared" ca="1" si="178"/>
        <v>0.32678765772311413</v>
      </c>
      <c r="CB171" s="1">
        <f t="shared" ca="1" si="179"/>
        <v>145</v>
      </c>
      <c r="CC171" s="1">
        <f t="shared" ca="1" si="180"/>
        <v>5</v>
      </c>
      <c r="CD171" s="1">
        <f t="shared" ca="1" si="181"/>
        <v>0.10879664519942053</v>
      </c>
      <c r="CE171" s="1">
        <f t="shared" ca="1" si="197"/>
        <v>0.60077897625646881</v>
      </c>
      <c r="CF171" s="1">
        <f t="shared" ca="1" si="197"/>
        <v>0.53820753520326137</v>
      </c>
      <c r="CH171" s="3">
        <f t="shared" ca="1" si="183"/>
        <v>0.88251451105567813</v>
      </c>
      <c r="CI171" s="3">
        <f t="shared" ca="1" si="184"/>
        <v>0.35332722983633097</v>
      </c>
      <c r="CJ171" s="3">
        <f t="shared" ca="1" si="185"/>
        <v>962</v>
      </c>
      <c r="CK171" s="3">
        <f t="shared" ca="1" si="186"/>
        <v>3.0878733223241835E-3</v>
      </c>
      <c r="CL171" s="3">
        <f t="shared" ca="1" si="187"/>
        <v>1</v>
      </c>
      <c r="CM171" s="3"/>
      <c r="CN171" s="1">
        <f t="shared" ca="1" si="188"/>
        <v>4.809252471575677</v>
      </c>
      <c r="CO171" s="1">
        <f t="shared" ca="1" si="189"/>
        <v>0.1749609221140434</v>
      </c>
      <c r="CP171" s="1">
        <f t="shared" ca="1" si="190"/>
        <v>5</v>
      </c>
      <c r="DH171" s="1">
        <f t="shared" ca="1" si="191"/>
        <v>451</v>
      </c>
      <c r="DI171" s="1">
        <f t="shared" ca="1" si="192"/>
        <v>0.41131715194621105</v>
      </c>
      <c r="DJ171" s="1">
        <f t="shared" ca="1" si="193"/>
        <v>2</v>
      </c>
      <c r="DL171" s="1">
        <f t="shared" ca="1" si="194"/>
        <v>0.15661692400146171</v>
      </c>
      <c r="DM171" s="1">
        <f t="shared" ca="1" si="195"/>
        <v>94</v>
      </c>
      <c r="DN171" s="1">
        <f t="shared" ca="1" si="196"/>
        <v>8</v>
      </c>
    </row>
    <row r="172" spans="2:118" x14ac:dyDescent="0.25">
      <c r="B172">
        <f t="shared" ca="1" si="132"/>
        <v>893</v>
      </c>
      <c r="C172">
        <f t="shared" ca="1" si="133"/>
        <v>25</v>
      </c>
      <c r="D172">
        <f t="shared" ca="1" si="134"/>
        <v>9.7106114159378823E-2</v>
      </c>
      <c r="F172" s="1">
        <f t="shared" ca="1" si="135"/>
        <v>38</v>
      </c>
      <c r="G172" s="1">
        <f t="shared" ca="1" si="136"/>
        <v>19</v>
      </c>
      <c r="H172" s="1">
        <f t="shared" ca="1" si="137"/>
        <v>8</v>
      </c>
      <c r="I172" s="1"/>
      <c r="J172" s="1">
        <f t="shared" ca="1" si="138"/>
        <v>21</v>
      </c>
      <c r="K172" s="1">
        <f t="shared" ca="1" si="139"/>
        <v>2.6595345186261854</v>
      </c>
      <c r="L172" s="1">
        <f t="shared" ca="1" si="140"/>
        <v>31</v>
      </c>
      <c r="M172" s="1"/>
      <c r="N172" s="1">
        <f t="shared" ca="1" si="141"/>
        <v>204</v>
      </c>
      <c r="O172" s="1">
        <f t="shared" ca="1" si="142"/>
        <v>10</v>
      </c>
      <c r="P172" s="1"/>
      <c r="Q172" s="1">
        <f t="shared" ca="1" si="143"/>
        <v>1.4566368249973298</v>
      </c>
      <c r="R172" s="1">
        <f t="shared" ca="1" si="144"/>
        <v>768</v>
      </c>
      <c r="S172" s="1"/>
      <c r="T172" s="1">
        <f t="shared" ca="1" si="145"/>
        <v>3.2847995180481128E-2</v>
      </c>
      <c r="U172" s="1">
        <f t="shared" ca="1" si="146"/>
        <v>323</v>
      </c>
      <c r="V172" s="1">
        <f t="shared" ca="1" si="147"/>
        <v>10</v>
      </c>
      <c r="W172" s="1"/>
      <c r="X172" s="1">
        <f t="shared" ca="1" si="148"/>
        <v>7.2095720487438104</v>
      </c>
      <c r="Y172" s="1">
        <f t="shared" ca="1" si="149"/>
        <v>0.24467869544599183</v>
      </c>
      <c r="Z172" s="1">
        <f t="shared" ca="1" si="150"/>
        <v>1620</v>
      </c>
      <c r="AB172" s="1">
        <f t="shared" ca="1" si="151"/>
        <v>0.51388284337531387</v>
      </c>
      <c r="AC172" s="1">
        <f t="shared" ca="1" si="152"/>
        <v>966</v>
      </c>
      <c r="AD172" s="1">
        <f t="shared" ca="1" si="153"/>
        <v>6.9533538784932814E-3</v>
      </c>
      <c r="AE172" s="1"/>
      <c r="AF172" s="1">
        <f t="shared" ca="1" si="154"/>
        <v>0.70267472436610745</v>
      </c>
      <c r="AG172" s="1">
        <f t="shared" ca="1" si="155"/>
        <v>507</v>
      </c>
      <c r="AH172" s="1">
        <f t="shared" ca="1" si="156"/>
        <v>7.9848949571962174E-3</v>
      </c>
      <c r="AJ172" s="1">
        <f t="shared" ca="1" si="157"/>
        <v>0.50195280073739068</v>
      </c>
      <c r="AK172" s="1">
        <f t="shared" ca="1" si="158"/>
        <v>5.392185812848998E-3</v>
      </c>
      <c r="AL172" s="1"/>
      <c r="AM172" s="1">
        <f t="shared" ca="1" si="159"/>
        <v>0.10437831003731199</v>
      </c>
      <c r="AN172" s="1">
        <f t="shared" ca="1" si="160"/>
        <v>73</v>
      </c>
      <c r="AO172" s="1">
        <f t="shared" ca="1" si="161"/>
        <v>-1</v>
      </c>
      <c r="AQ172" s="1">
        <f t="shared" ca="1" si="162"/>
        <v>61</v>
      </c>
      <c r="AR172" s="1">
        <f t="shared" ca="1" si="163"/>
        <v>2</v>
      </c>
      <c r="AS172" s="1">
        <f t="shared" ca="1" si="164"/>
        <v>19</v>
      </c>
      <c r="AU172" s="1">
        <f t="shared" ca="1" si="165"/>
        <v>298</v>
      </c>
      <c r="AV172" s="1">
        <f t="shared" ca="1" si="166"/>
        <v>5</v>
      </c>
      <c r="AW172" s="1">
        <f t="shared" ca="1" si="167"/>
        <v>0.17445694167858911</v>
      </c>
      <c r="AY172" s="1">
        <f t="shared" ca="1" si="168"/>
        <v>1.1078379905228073</v>
      </c>
      <c r="AZ172" s="1">
        <f t="shared" ca="1" si="169"/>
        <v>393</v>
      </c>
      <c r="BA172" s="1">
        <f t="shared" ca="1" si="170"/>
        <v>5.6562507980732601E-3</v>
      </c>
      <c r="BG172" s="1">
        <f t="shared" ca="1" si="171"/>
        <v>0.90959789895362009</v>
      </c>
      <c r="BH172" s="1">
        <f t="shared" ca="1" si="172"/>
        <v>0.18970183471131918</v>
      </c>
      <c r="BI172" s="1">
        <f t="shared" ca="1" si="173"/>
        <v>579</v>
      </c>
      <c r="BV172" s="1">
        <f t="shared" ca="1" si="174"/>
        <v>0.20260480580374282</v>
      </c>
      <c r="BW172" s="1">
        <f t="shared" ca="1" si="175"/>
        <v>401</v>
      </c>
      <c r="BX172" s="1">
        <f t="shared" ca="1" si="176"/>
        <v>6.8815403595884027E-3</v>
      </c>
      <c r="BY172" s="1">
        <f t="shared" ca="1" si="177"/>
        <v>7.8631628063784445E-2</v>
      </c>
      <c r="BZ172" s="1">
        <f t="shared" ca="1" si="178"/>
        <v>0.56246563531298854</v>
      </c>
      <c r="CB172" s="1">
        <f t="shared" ca="1" si="179"/>
        <v>200</v>
      </c>
      <c r="CC172" s="1">
        <f t="shared" ca="1" si="180"/>
        <v>12</v>
      </c>
      <c r="CD172" s="1">
        <f t="shared" ca="1" si="181"/>
        <v>8.0927915852721577E-2</v>
      </c>
      <c r="CE172" s="1">
        <f t="shared" ca="1" si="197"/>
        <v>0.9353403532235296</v>
      </c>
      <c r="CF172" s="1">
        <f t="shared" ca="1" si="197"/>
        <v>0.72336236669374632</v>
      </c>
      <c r="CH172" s="3">
        <f t="shared" ca="1" si="183"/>
        <v>0.47535706526186355</v>
      </c>
      <c r="CI172" s="3">
        <f t="shared" ca="1" si="184"/>
        <v>0.41752010728802202</v>
      </c>
      <c r="CJ172" s="3">
        <f t="shared" ca="1" si="185"/>
        <v>1429</v>
      </c>
      <c r="CK172" s="3">
        <f t="shared" ca="1" si="186"/>
        <v>1.8278286582497677E-3</v>
      </c>
      <c r="CL172" s="3">
        <f t="shared" ca="1" si="187"/>
        <v>0</v>
      </c>
      <c r="CM172" s="3"/>
      <c r="CN172" s="1">
        <f t="shared" ca="1" si="188"/>
        <v>11.49319324686074</v>
      </c>
      <c r="CO172" s="1">
        <f t="shared" ca="1" si="189"/>
        <v>0.45058932937004437</v>
      </c>
      <c r="CP172" s="1">
        <f t="shared" ca="1" si="190"/>
        <v>4</v>
      </c>
      <c r="DH172" s="1">
        <f t="shared" ca="1" si="191"/>
        <v>707</v>
      </c>
      <c r="DI172" s="1">
        <f t="shared" ca="1" si="192"/>
        <v>0.54404578250038471</v>
      </c>
      <c r="DJ172" s="1">
        <f t="shared" ca="1" si="193"/>
        <v>5</v>
      </c>
      <c r="DL172" s="1">
        <f t="shared" ca="1" si="194"/>
        <v>1.2457488217532167E-2</v>
      </c>
      <c r="DM172" s="1">
        <f t="shared" ca="1" si="195"/>
        <v>66</v>
      </c>
      <c r="DN172" s="1">
        <f t="shared" ca="1" si="196"/>
        <v>6</v>
      </c>
    </row>
    <row r="173" spans="2:118" x14ac:dyDescent="0.25">
      <c r="B173">
        <f t="shared" ca="1" si="132"/>
        <v>941</v>
      </c>
      <c r="C173">
        <f t="shared" ca="1" si="133"/>
        <v>42</v>
      </c>
      <c r="D173">
        <f t="shared" ca="1" si="134"/>
        <v>0.11369892629643188</v>
      </c>
      <c r="F173" s="1">
        <f t="shared" ca="1" si="135"/>
        <v>46</v>
      </c>
      <c r="G173" s="1">
        <f t="shared" ca="1" si="136"/>
        <v>18</v>
      </c>
      <c r="H173" s="1">
        <f t="shared" ca="1" si="137"/>
        <v>11</v>
      </c>
      <c r="I173" s="1"/>
      <c r="J173" s="1">
        <f t="shared" ca="1" si="138"/>
        <v>23</v>
      </c>
      <c r="K173" s="1">
        <f t="shared" ca="1" si="139"/>
        <v>2.3682203062385403</v>
      </c>
      <c r="L173" s="1">
        <f t="shared" ca="1" si="140"/>
        <v>7</v>
      </c>
      <c r="M173" s="1"/>
      <c r="N173" s="1">
        <f t="shared" ca="1" si="141"/>
        <v>314</v>
      </c>
      <c r="O173" s="1">
        <f t="shared" ca="1" si="142"/>
        <v>30</v>
      </c>
      <c r="P173" s="1"/>
      <c r="Q173" s="1">
        <f t="shared" ca="1" si="143"/>
        <v>3.0097666429304502</v>
      </c>
      <c r="R173" s="1">
        <f t="shared" ca="1" si="144"/>
        <v>466</v>
      </c>
      <c r="S173" s="1"/>
      <c r="T173" s="1">
        <f t="shared" ca="1" si="145"/>
        <v>0.19807855000239488</v>
      </c>
      <c r="U173" s="1">
        <f t="shared" ca="1" si="146"/>
        <v>53</v>
      </c>
      <c r="V173" s="1">
        <f t="shared" ca="1" si="147"/>
        <v>41</v>
      </c>
      <c r="W173" s="1"/>
      <c r="X173" s="1">
        <f t="shared" ca="1" si="148"/>
        <v>7.0286878313951711</v>
      </c>
      <c r="Y173" s="1">
        <f t="shared" ca="1" si="149"/>
        <v>9.6682931845493369E-2</v>
      </c>
      <c r="Z173" s="1">
        <f t="shared" ca="1" si="150"/>
        <v>1096</v>
      </c>
      <c r="AB173" s="1">
        <f t="shared" ca="1" si="151"/>
        <v>0.1420084187566395</v>
      </c>
      <c r="AC173" s="1">
        <f t="shared" ca="1" si="152"/>
        <v>733</v>
      </c>
      <c r="AD173" s="1">
        <f t="shared" ca="1" si="153"/>
        <v>1.3683875954831129E-3</v>
      </c>
      <c r="AE173" s="1"/>
      <c r="AF173" s="1">
        <f t="shared" ca="1" si="154"/>
        <v>0.55376282779238351</v>
      </c>
      <c r="AG173" s="1">
        <f t="shared" ca="1" si="155"/>
        <v>599</v>
      </c>
      <c r="AH173" s="1">
        <f t="shared" ca="1" si="156"/>
        <v>5.0885281084758769E-3</v>
      </c>
      <c r="AJ173" s="1">
        <f t="shared" ca="1" si="157"/>
        <v>0.88273408770511863</v>
      </c>
      <c r="AK173" s="1">
        <f t="shared" ca="1" si="158"/>
        <v>2.5851277240963528E-3</v>
      </c>
      <c r="AL173" s="1"/>
      <c r="AM173" s="1">
        <f t="shared" ca="1" si="159"/>
        <v>0.16179623241850685</v>
      </c>
      <c r="AN173" s="1">
        <f t="shared" ca="1" si="160"/>
        <v>46</v>
      </c>
      <c r="AO173" s="1">
        <f t="shared" ca="1" si="161"/>
        <v>9</v>
      </c>
      <c r="AQ173" s="1">
        <f t="shared" ca="1" si="162"/>
        <v>77</v>
      </c>
      <c r="AR173" s="1">
        <f t="shared" ca="1" si="163"/>
        <v>10</v>
      </c>
      <c r="AS173" s="1">
        <f t="shared" ca="1" si="164"/>
        <v>83</v>
      </c>
      <c r="AU173" s="1">
        <f t="shared" ca="1" si="165"/>
        <v>209</v>
      </c>
      <c r="AV173" s="1">
        <f t="shared" ca="1" si="166"/>
        <v>4</v>
      </c>
      <c r="AW173" s="1">
        <f t="shared" ca="1" si="167"/>
        <v>1.7399369722971153E-2</v>
      </c>
      <c r="AY173" s="1">
        <f t="shared" ca="1" si="168"/>
        <v>1.3063416826249885</v>
      </c>
      <c r="AZ173" s="1">
        <f t="shared" ca="1" si="169"/>
        <v>403</v>
      </c>
      <c r="BA173" s="1">
        <f t="shared" ca="1" si="170"/>
        <v>7.7596245755843125E-3</v>
      </c>
      <c r="BG173" s="1">
        <f t="shared" ca="1" si="171"/>
        <v>0.47816226726397865</v>
      </c>
      <c r="BH173" s="1">
        <f t="shared" ca="1" si="172"/>
        <v>0.7006400600351641</v>
      </c>
      <c r="BI173" s="1">
        <f t="shared" ca="1" si="173"/>
        <v>559</v>
      </c>
      <c r="BV173" s="1">
        <f t="shared" ca="1" si="174"/>
        <v>0.64752333727468137</v>
      </c>
      <c r="BW173" s="1">
        <f t="shared" ca="1" si="175"/>
        <v>315</v>
      </c>
      <c r="BX173" s="1">
        <f t="shared" ca="1" si="176"/>
        <v>5.3005868171721532E-3</v>
      </c>
      <c r="BY173" s="1">
        <f t="shared" ca="1" si="177"/>
        <v>7.3101964927846763E-2</v>
      </c>
      <c r="BZ173" s="1">
        <f t="shared" ca="1" si="178"/>
        <v>0.31631756024422453</v>
      </c>
      <c r="CB173" s="1">
        <f t="shared" ca="1" si="179"/>
        <v>140</v>
      </c>
      <c r="CC173" s="1">
        <f t="shared" ca="1" si="180"/>
        <v>15</v>
      </c>
      <c r="CD173" s="1">
        <f t="shared" ca="1" si="181"/>
        <v>5.7541289024099045E-2</v>
      </c>
      <c r="CE173" s="1">
        <f t="shared" ca="1" si="197"/>
        <v>0.9429760218351918</v>
      </c>
      <c r="CF173" s="1">
        <f t="shared" ca="1" si="197"/>
        <v>0.56089587948831854</v>
      </c>
      <c r="CH173" s="3">
        <f t="shared" ca="1" si="183"/>
        <v>0.5685885353487049</v>
      </c>
      <c r="CI173" s="3">
        <f t="shared" ca="1" si="184"/>
        <v>0.68459443954160515</v>
      </c>
      <c r="CJ173" s="3">
        <f t="shared" ca="1" si="185"/>
        <v>1614</v>
      </c>
      <c r="CK173" s="3">
        <f t="shared" ca="1" si="186"/>
        <v>2.8148288221344362E-3</v>
      </c>
      <c r="CL173" s="3">
        <f t="shared" ca="1" si="187"/>
        <v>1</v>
      </c>
      <c r="CM173" s="3"/>
      <c r="CN173" s="1">
        <f t="shared" ca="1" si="188"/>
        <v>16.142123163960381</v>
      </c>
      <c r="CO173" s="1">
        <f t="shared" ca="1" si="189"/>
        <v>0.10336785228004684</v>
      </c>
      <c r="CP173" s="1">
        <f t="shared" ca="1" si="190"/>
        <v>4</v>
      </c>
      <c r="DH173" s="1">
        <f t="shared" ca="1" si="191"/>
        <v>275</v>
      </c>
      <c r="DI173" s="1">
        <f t="shared" ca="1" si="192"/>
        <v>0.81351758217983861</v>
      </c>
      <c r="DJ173" s="1">
        <f t="shared" ca="1" si="193"/>
        <v>21</v>
      </c>
      <c r="DL173" s="1">
        <f t="shared" ca="1" si="194"/>
        <v>3.2421879304277028E-2</v>
      </c>
      <c r="DM173" s="1">
        <f t="shared" ca="1" si="195"/>
        <v>166</v>
      </c>
      <c r="DN173" s="1">
        <f t="shared" ca="1" si="196"/>
        <v>6</v>
      </c>
    </row>
    <row r="174" spans="2:118" x14ac:dyDescent="0.25">
      <c r="B174">
        <f t="shared" ca="1" si="132"/>
        <v>192</v>
      </c>
      <c r="C174">
        <f t="shared" ca="1" si="133"/>
        <v>50</v>
      </c>
      <c r="D174">
        <f t="shared" ca="1" si="134"/>
        <v>0.24998939085458738</v>
      </c>
      <c r="F174" s="1">
        <f t="shared" ca="1" si="135"/>
        <v>12</v>
      </c>
      <c r="G174" s="1">
        <f t="shared" ca="1" si="136"/>
        <v>19</v>
      </c>
      <c r="H174" s="1">
        <f t="shared" ca="1" si="137"/>
        <v>12</v>
      </c>
      <c r="I174" s="1"/>
      <c r="J174" s="1">
        <f t="shared" ca="1" si="138"/>
        <v>13</v>
      </c>
      <c r="K174" s="1">
        <f t="shared" ca="1" si="139"/>
        <v>1.5628497789360445</v>
      </c>
      <c r="L174" s="1">
        <f t="shared" ca="1" si="140"/>
        <v>3</v>
      </c>
      <c r="M174" s="1"/>
      <c r="N174" s="1">
        <f t="shared" ca="1" si="141"/>
        <v>133</v>
      </c>
      <c r="O174" s="1">
        <f t="shared" ca="1" si="142"/>
        <v>15</v>
      </c>
      <c r="P174" s="1"/>
      <c r="Q174" s="1">
        <f t="shared" ca="1" si="143"/>
        <v>1.5107516218256758</v>
      </c>
      <c r="R174" s="1">
        <f t="shared" ca="1" si="144"/>
        <v>240</v>
      </c>
      <c r="S174" s="1"/>
      <c r="T174" s="1">
        <f t="shared" ca="1" si="145"/>
        <v>1.2297969525226261E-2</v>
      </c>
      <c r="U174" s="1">
        <f t="shared" ca="1" si="146"/>
        <v>424</v>
      </c>
      <c r="V174" s="1">
        <f t="shared" ca="1" si="147"/>
        <v>52</v>
      </c>
      <c r="W174" s="1"/>
      <c r="X174" s="1">
        <f t="shared" ca="1" si="148"/>
        <v>5.2828391517907161</v>
      </c>
      <c r="Y174" s="1">
        <f t="shared" ca="1" si="149"/>
        <v>0.97773640275001261</v>
      </c>
      <c r="Z174" s="1">
        <f t="shared" ca="1" si="150"/>
        <v>1911</v>
      </c>
      <c r="AB174" s="1">
        <f t="shared" ca="1" si="151"/>
        <v>0.23710278984507829</v>
      </c>
      <c r="AC174" s="1">
        <f t="shared" ca="1" si="152"/>
        <v>511</v>
      </c>
      <c r="AD174" s="1">
        <f t="shared" ca="1" si="153"/>
        <v>5.2160691232438737E-3</v>
      </c>
      <c r="AE174" s="1"/>
      <c r="AF174" s="1">
        <f t="shared" ca="1" si="154"/>
        <v>0.16781854113116312</v>
      </c>
      <c r="AG174" s="1">
        <f t="shared" ca="1" si="155"/>
        <v>524</v>
      </c>
      <c r="AH174" s="1">
        <f t="shared" ca="1" si="156"/>
        <v>4.4329053353418897E-3</v>
      </c>
      <c r="AJ174" s="1">
        <f t="shared" ca="1" si="157"/>
        <v>0.75812992337438745</v>
      </c>
      <c r="AK174" s="1">
        <f t="shared" ca="1" si="158"/>
        <v>4.8799788887465808E-3</v>
      </c>
      <c r="AL174" s="1"/>
      <c r="AM174" s="1">
        <f t="shared" ca="1" si="159"/>
        <v>0.15114824227659496</v>
      </c>
      <c r="AN174" s="1">
        <f t="shared" ca="1" si="160"/>
        <v>17</v>
      </c>
      <c r="AO174" s="1">
        <f t="shared" ca="1" si="161"/>
        <v>13</v>
      </c>
      <c r="AQ174" s="1">
        <f t="shared" ca="1" si="162"/>
        <v>63</v>
      </c>
      <c r="AR174" s="1">
        <f t="shared" ca="1" si="163"/>
        <v>4</v>
      </c>
      <c r="AS174" s="1">
        <f t="shared" ca="1" si="164"/>
        <v>53</v>
      </c>
      <c r="AU174" s="1">
        <f t="shared" ca="1" si="165"/>
        <v>320</v>
      </c>
      <c r="AV174" s="1">
        <f t="shared" ca="1" si="166"/>
        <v>4</v>
      </c>
      <c r="AW174" s="1">
        <f t="shared" ca="1" si="167"/>
        <v>6.078058756328867E-2</v>
      </c>
      <c r="AY174" s="1">
        <f t="shared" ca="1" si="168"/>
        <v>1.9140868577584174</v>
      </c>
      <c r="AZ174" s="1">
        <f t="shared" ca="1" si="169"/>
        <v>408</v>
      </c>
      <c r="BA174" s="1">
        <f t="shared" ca="1" si="170"/>
        <v>1.120674018964647E-3</v>
      </c>
      <c r="BG174" s="1">
        <f t="shared" ca="1" si="171"/>
        <v>0.52738326415104186</v>
      </c>
      <c r="BH174" s="1">
        <f t="shared" ca="1" si="172"/>
        <v>0.43398907852813384</v>
      </c>
      <c r="BI174" s="1">
        <f t="shared" ca="1" si="173"/>
        <v>902</v>
      </c>
      <c r="BV174" s="1">
        <f t="shared" ca="1" si="174"/>
        <v>0.94937247104852107</v>
      </c>
      <c r="BW174" s="1">
        <f t="shared" ca="1" si="175"/>
        <v>509</v>
      </c>
      <c r="BX174" s="1">
        <f t="shared" ca="1" si="176"/>
        <v>5.8872450634422696E-4</v>
      </c>
      <c r="BY174" s="1">
        <f t="shared" ca="1" si="177"/>
        <v>5.9288496888766827E-2</v>
      </c>
      <c r="BZ174" s="1">
        <f t="shared" ca="1" si="178"/>
        <v>0.56120317991475255</v>
      </c>
      <c r="CB174" s="1">
        <f t="shared" ca="1" si="179"/>
        <v>496</v>
      </c>
      <c r="CC174" s="1">
        <f t="shared" ca="1" si="180"/>
        <v>13</v>
      </c>
      <c r="CD174" s="1">
        <f t="shared" ca="1" si="181"/>
        <v>1.3303354612414333E-2</v>
      </c>
      <c r="CE174" s="1">
        <f t="shared" ca="1" si="197"/>
        <v>0.65039814627500103</v>
      </c>
      <c r="CF174" s="1">
        <f t="shared" ca="1" si="197"/>
        <v>0.92012604626020034</v>
      </c>
      <c r="CH174" s="3">
        <f t="shared" ca="1" si="183"/>
        <v>0.41969705360655551</v>
      </c>
      <c r="CI174" s="3">
        <f t="shared" ca="1" si="184"/>
        <v>0.76317703264764891</v>
      </c>
      <c r="CJ174" s="3">
        <f t="shared" ca="1" si="185"/>
        <v>1751</v>
      </c>
      <c r="CK174" s="3">
        <f t="shared" ca="1" si="186"/>
        <v>1.8449126649122398E-3</v>
      </c>
      <c r="CL174" s="3">
        <f t="shared" ca="1" si="187"/>
        <v>1</v>
      </c>
      <c r="CM174" s="3"/>
      <c r="CN174" s="1">
        <f t="shared" ca="1" si="188"/>
        <v>14.240957578294696</v>
      </c>
      <c r="CO174" s="1">
        <f t="shared" ca="1" si="189"/>
        <v>0.37955935869530255</v>
      </c>
      <c r="CP174" s="1">
        <f t="shared" ca="1" si="190"/>
        <v>4</v>
      </c>
      <c r="DH174" s="1">
        <f t="shared" ca="1" si="191"/>
        <v>370</v>
      </c>
      <c r="DI174" s="1">
        <f t="shared" ca="1" si="192"/>
        <v>0.9476012414484849</v>
      </c>
      <c r="DJ174" s="1">
        <f t="shared" ca="1" si="193"/>
        <v>14</v>
      </c>
      <c r="DL174" s="1">
        <f t="shared" ca="1" si="194"/>
        <v>0.17925514181317656</v>
      </c>
      <c r="DM174" s="1">
        <f t="shared" ca="1" si="195"/>
        <v>136</v>
      </c>
      <c r="DN174" s="1">
        <f t="shared" ca="1" si="196"/>
        <v>5</v>
      </c>
    </row>
    <row r="175" spans="2:118" x14ac:dyDescent="0.25">
      <c r="B175">
        <f t="shared" ca="1" si="132"/>
        <v>104</v>
      </c>
      <c r="C175">
        <f t="shared" ca="1" si="133"/>
        <v>46</v>
      </c>
      <c r="D175">
        <f t="shared" ca="1" si="134"/>
        <v>0.2971706490824742</v>
      </c>
      <c r="F175" s="1">
        <f t="shared" ca="1" si="135"/>
        <v>4</v>
      </c>
      <c r="G175" s="1">
        <f t="shared" ca="1" si="136"/>
        <v>26</v>
      </c>
      <c r="H175" s="1">
        <f t="shared" ca="1" si="137"/>
        <v>14</v>
      </c>
      <c r="I175" s="1"/>
      <c r="J175" s="1">
        <f t="shared" ca="1" si="138"/>
        <v>9</v>
      </c>
      <c r="K175" s="1">
        <f t="shared" ca="1" si="139"/>
        <v>1.8384200087788425</v>
      </c>
      <c r="L175" s="1">
        <f t="shared" ca="1" si="140"/>
        <v>9</v>
      </c>
      <c r="M175" s="1"/>
      <c r="N175" s="1">
        <f t="shared" ca="1" si="141"/>
        <v>793</v>
      </c>
      <c r="O175" s="1">
        <f t="shared" ca="1" si="142"/>
        <v>32</v>
      </c>
      <c r="P175" s="1"/>
      <c r="Q175" s="1">
        <f t="shared" ca="1" si="143"/>
        <v>4.5978246920288974</v>
      </c>
      <c r="R175" s="1">
        <f t="shared" ca="1" si="144"/>
        <v>1133</v>
      </c>
      <c r="S175" s="1"/>
      <c r="T175" s="1">
        <f t="shared" ca="1" si="145"/>
        <v>0.1556616699658058</v>
      </c>
      <c r="U175" s="1">
        <f t="shared" ca="1" si="146"/>
        <v>311</v>
      </c>
      <c r="V175" s="1">
        <f t="shared" ca="1" si="147"/>
        <v>30</v>
      </c>
      <c r="W175" s="1"/>
      <c r="X175" s="1">
        <f t="shared" ca="1" si="148"/>
        <v>3.8363493020386659</v>
      </c>
      <c r="Y175" s="1">
        <f t="shared" ca="1" si="149"/>
        <v>0.62585933601951838</v>
      </c>
      <c r="Z175" s="1">
        <f t="shared" ca="1" si="150"/>
        <v>497</v>
      </c>
      <c r="AB175" s="1">
        <f t="shared" ca="1" si="151"/>
        <v>0.8310641610799363</v>
      </c>
      <c r="AC175" s="1">
        <f t="shared" ca="1" si="152"/>
        <v>333</v>
      </c>
      <c r="AD175" s="1">
        <f t="shared" ca="1" si="153"/>
        <v>4.907645699436386E-4</v>
      </c>
      <c r="AE175" s="1"/>
      <c r="AF175" s="1">
        <f t="shared" ca="1" si="154"/>
        <v>0.19318866973641155</v>
      </c>
      <c r="AG175" s="1">
        <f t="shared" ca="1" si="155"/>
        <v>418</v>
      </c>
      <c r="AH175" s="1">
        <f t="shared" ca="1" si="156"/>
        <v>9.3195341016069667E-3</v>
      </c>
      <c r="AJ175" s="1">
        <f t="shared" ca="1" si="157"/>
        <v>0.56247181176936967</v>
      </c>
      <c r="AK175" s="1">
        <f t="shared" ca="1" si="158"/>
        <v>2.9993827101535038E-4</v>
      </c>
      <c r="AL175" s="1"/>
      <c r="AM175" s="1">
        <f t="shared" ca="1" si="159"/>
        <v>0.14139103571405667</v>
      </c>
      <c r="AN175" s="1">
        <f t="shared" ca="1" si="160"/>
        <v>50</v>
      </c>
      <c r="AO175" s="1">
        <f t="shared" ca="1" si="161"/>
        <v>10</v>
      </c>
      <c r="AQ175" s="1">
        <f t="shared" ca="1" si="162"/>
        <v>154</v>
      </c>
      <c r="AR175" s="1">
        <f t="shared" ca="1" si="163"/>
        <v>10</v>
      </c>
      <c r="AS175" s="1">
        <f t="shared" ca="1" si="164"/>
        <v>76</v>
      </c>
      <c r="AU175" s="1">
        <f t="shared" ca="1" si="165"/>
        <v>330</v>
      </c>
      <c r="AV175" s="1">
        <f t="shared" ca="1" si="166"/>
        <v>7</v>
      </c>
      <c r="AW175" s="1">
        <f t="shared" ca="1" si="167"/>
        <v>0.162660905298527</v>
      </c>
      <c r="AY175" s="1">
        <f t="shared" ca="1" si="168"/>
        <v>1.5956312016067755</v>
      </c>
      <c r="AZ175" s="1">
        <f t="shared" ca="1" si="169"/>
        <v>187</v>
      </c>
      <c r="BA175" s="1">
        <f t="shared" ca="1" si="170"/>
        <v>1.6486959726374555E-3</v>
      </c>
      <c r="BG175" s="1">
        <f t="shared" ca="1" si="171"/>
        <v>0.40555504558472771</v>
      </c>
      <c r="BH175" s="1">
        <f t="shared" ca="1" si="172"/>
        <v>0.42310948092551026</v>
      </c>
      <c r="BI175" s="1">
        <f t="shared" ca="1" si="173"/>
        <v>100</v>
      </c>
      <c r="BV175" s="1">
        <f t="shared" ca="1" si="174"/>
        <v>7.9728615119911181E-2</v>
      </c>
      <c r="BW175" s="1">
        <f t="shared" ca="1" si="175"/>
        <v>497</v>
      </c>
      <c r="BX175" s="1">
        <f t="shared" ca="1" si="176"/>
        <v>8.9177138195964487E-3</v>
      </c>
      <c r="BY175" s="1">
        <f t="shared" ca="1" si="177"/>
        <v>5.9708705131777645E-2</v>
      </c>
      <c r="BZ175" s="1">
        <f t="shared" ca="1" si="178"/>
        <v>6.9138644658362614E-2</v>
      </c>
      <c r="CB175" s="1">
        <f t="shared" ca="1" si="179"/>
        <v>243</v>
      </c>
      <c r="CC175" s="1">
        <f t="shared" ca="1" si="180"/>
        <v>3</v>
      </c>
      <c r="CD175" s="1">
        <f t="shared" ca="1" si="181"/>
        <v>0.26498891878629882</v>
      </c>
      <c r="CE175" s="1">
        <f t="shared" ca="1" si="197"/>
        <v>0.73046528806544742</v>
      </c>
      <c r="CF175" s="1">
        <f t="shared" ca="1" si="197"/>
        <v>0.57852082910394498</v>
      </c>
      <c r="CH175" s="3">
        <f t="shared" ca="1" si="183"/>
        <v>0.40808035436417717</v>
      </c>
      <c r="CI175" s="3">
        <f t="shared" ca="1" si="184"/>
        <v>0.82707639445844761</v>
      </c>
      <c r="CJ175" s="3">
        <f t="shared" ca="1" si="185"/>
        <v>1784</v>
      </c>
      <c r="CK175" s="3">
        <f t="shared" ca="1" si="186"/>
        <v>1.9442214592044309E-3</v>
      </c>
      <c r="CL175" s="3">
        <f t="shared" ca="1" si="187"/>
        <v>1</v>
      </c>
      <c r="CM175" s="3"/>
      <c r="CN175" s="1">
        <f t="shared" ca="1" si="188"/>
        <v>1.997928119019756</v>
      </c>
      <c r="CO175" s="1">
        <f t="shared" ca="1" si="189"/>
        <v>5.6687797123550814E-2</v>
      </c>
      <c r="CP175" s="1">
        <f t="shared" ca="1" si="190"/>
        <v>1</v>
      </c>
      <c r="DH175" s="1">
        <f t="shared" ca="1" si="191"/>
        <v>709</v>
      </c>
      <c r="DI175" s="1">
        <f t="shared" ca="1" si="192"/>
        <v>0.61478007167488191</v>
      </c>
      <c r="DJ175" s="1">
        <f t="shared" ca="1" si="193"/>
        <v>30</v>
      </c>
      <c r="DL175" s="1">
        <f t="shared" ca="1" si="194"/>
        <v>0.17699871558703936</v>
      </c>
      <c r="DM175" s="1">
        <f t="shared" ca="1" si="195"/>
        <v>227</v>
      </c>
      <c r="DN175" s="1">
        <f t="shared" ca="1" si="196"/>
        <v>8</v>
      </c>
    </row>
    <row r="176" spans="2:118" x14ac:dyDescent="0.25">
      <c r="B176">
        <f t="shared" ca="1" si="132"/>
        <v>621</v>
      </c>
      <c r="C176">
        <f t="shared" ca="1" si="133"/>
        <v>33</v>
      </c>
      <c r="D176">
        <f t="shared" ca="1" si="134"/>
        <v>8.9149892269369327E-2</v>
      </c>
      <c r="F176" s="1">
        <f t="shared" ca="1" si="135"/>
        <v>24</v>
      </c>
      <c r="G176" s="1">
        <f t="shared" ca="1" si="136"/>
        <v>2</v>
      </c>
      <c r="H176" s="1">
        <f t="shared" ca="1" si="137"/>
        <v>10</v>
      </c>
      <c r="I176" s="1"/>
      <c r="J176" s="1">
        <f t="shared" ca="1" si="138"/>
        <v>4</v>
      </c>
      <c r="K176" s="1">
        <f t="shared" ca="1" si="139"/>
        <v>2.9596730212256368</v>
      </c>
      <c r="L176" s="1">
        <f t="shared" ca="1" si="140"/>
        <v>22</v>
      </c>
      <c r="M176" s="1"/>
      <c r="N176" s="1">
        <f t="shared" ca="1" si="141"/>
        <v>727</v>
      </c>
      <c r="O176" s="1">
        <f t="shared" ca="1" si="142"/>
        <v>6</v>
      </c>
      <c r="P176" s="1"/>
      <c r="Q176" s="1">
        <f t="shared" ca="1" si="143"/>
        <v>0.93916938005203443</v>
      </c>
      <c r="R176" s="1">
        <f t="shared" ca="1" si="144"/>
        <v>718</v>
      </c>
      <c r="S176" s="1"/>
      <c r="T176" s="1">
        <f t="shared" ca="1" si="145"/>
        <v>0.19586821698987433</v>
      </c>
      <c r="U176" s="1">
        <f t="shared" ca="1" si="146"/>
        <v>365</v>
      </c>
      <c r="V176" s="1">
        <f t="shared" ca="1" si="147"/>
        <v>48</v>
      </c>
      <c r="W176" s="1"/>
      <c r="X176" s="1">
        <f t="shared" ca="1" si="148"/>
        <v>0.7477882643552447</v>
      </c>
      <c r="Y176" s="1">
        <f t="shared" ca="1" si="149"/>
        <v>0.87742373370838711</v>
      </c>
      <c r="Z176" s="1">
        <f t="shared" ca="1" si="150"/>
        <v>2000</v>
      </c>
      <c r="AB176" s="1">
        <f t="shared" ca="1" si="151"/>
        <v>0.4822636861520419</v>
      </c>
      <c r="AC176" s="1">
        <f t="shared" ca="1" si="152"/>
        <v>657</v>
      </c>
      <c r="AD176" s="1">
        <f t="shared" ca="1" si="153"/>
        <v>7.5727889442101315E-3</v>
      </c>
      <c r="AE176" s="1"/>
      <c r="AF176" s="1">
        <f t="shared" ca="1" si="154"/>
        <v>0.84014558177987309</v>
      </c>
      <c r="AG176" s="1">
        <f t="shared" ca="1" si="155"/>
        <v>334</v>
      </c>
      <c r="AH176" s="1">
        <f t="shared" ca="1" si="156"/>
        <v>4.7672354146612887E-3</v>
      </c>
      <c r="AJ176" s="1">
        <f t="shared" ca="1" si="157"/>
        <v>0.55381502481083522</v>
      </c>
      <c r="AK176" s="1">
        <f t="shared" ca="1" si="158"/>
        <v>1.1567974097189942E-3</v>
      </c>
      <c r="AL176" s="1"/>
      <c r="AM176" s="1">
        <f t="shared" ca="1" si="159"/>
        <v>0.14012509863733644</v>
      </c>
      <c r="AN176" s="1">
        <f t="shared" ca="1" si="160"/>
        <v>62</v>
      </c>
      <c r="AO176" s="1">
        <f t="shared" ca="1" si="161"/>
        <v>9</v>
      </c>
      <c r="AQ176" s="1">
        <f t="shared" ca="1" si="162"/>
        <v>50</v>
      </c>
      <c r="AR176" s="1">
        <f t="shared" ca="1" si="163"/>
        <v>5</v>
      </c>
      <c r="AS176" s="1">
        <f t="shared" ca="1" si="164"/>
        <v>77</v>
      </c>
      <c r="AU176" s="1">
        <f t="shared" ca="1" si="165"/>
        <v>229</v>
      </c>
      <c r="AV176" s="1">
        <f t="shared" ca="1" si="166"/>
        <v>3</v>
      </c>
      <c r="AW176" s="1">
        <f t="shared" ca="1" si="167"/>
        <v>0.10444557170397308</v>
      </c>
      <c r="AY176" s="1">
        <f t="shared" ca="1" si="168"/>
        <v>1.2187667031792144</v>
      </c>
      <c r="AZ176" s="1">
        <f t="shared" ca="1" si="169"/>
        <v>267</v>
      </c>
      <c r="BA176" s="1">
        <f t="shared" ca="1" si="170"/>
        <v>8.1434845782928644E-3</v>
      </c>
      <c r="BG176" s="1">
        <f t="shared" ca="1" si="171"/>
        <v>0.93259885956669064</v>
      </c>
      <c r="BH176" s="1">
        <f t="shared" ca="1" si="172"/>
        <v>0.56485243654013229</v>
      </c>
      <c r="BI176" s="1">
        <f t="shared" ca="1" si="173"/>
        <v>192</v>
      </c>
      <c r="BV176" s="1">
        <f t="shared" ca="1" si="174"/>
        <v>0.98466678395217366</v>
      </c>
      <c r="BW176" s="1">
        <f t="shared" ca="1" si="175"/>
        <v>123</v>
      </c>
      <c r="BX176" s="1">
        <f t="shared" ca="1" si="176"/>
        <v>4.0472832230360111E-3</v>
      </c>
      <c r="BY176" s="1">
        <f t="shared" ca="1" si="177"/>
        <v>3.8309945817943468E-2</v>
      </c>
      <c r="BZ176" s="1">
        <f t="shared" ca="1" si="178"/>
        <v>0.1594522308506866</v>
      </c>
      <c r="CB176" s="1">
        <f t="shared" ca="1" si="179"/>
        <v>125</v>
      </c>
      <c r="CC176" s="1">
        <f t="shared" ca="1" si="180"/>
        <v>13</v>
      </c>
      <c r="CD176" s="1">
        <f t="shared" ca="1" si="181"/>
        <v>0.25913922382261317</v>
      </c>
      <c r="CE176" s="1">
        <f t="shared" ca="1" si="197"/>
        <v>0.61521485522757113</v>
      </c>
      <c r="CF176" s="1">
        <f t="shared" ca="1" si="197"/>
        <v>0.72078472079622613</v>
      </c>
      <c r="CH176" s="3">
        <f t="shared" ca="1" si="183"/>
        <v>0.13561292454744778</v>
      </c>
      <c r="CI176" s="3">
        <f t="shared" ca="1" si="184"/>
        <v>0.95740771003244329</v>
      </c>
      <c r="CJ176" s="3">
        <f t="shared" ca="1" si="185"/>
        <v>1351</v>
      </c>
      <c r="CK176" s="3">
        <f t="shared" ca="1" si="186"/>
        <v>5.9991012343151E-3</v>
      </c>
      <c r="CL176" s="3">
        <f t="shared" ca="1" si="187"/>
        <v>0</v>
      </c>
      <c r="CM176" s="3"/>
      <c r="CN176" s="1">
        <f t="shared" ca="1" si="188"/>
        <v>8.8416477064558752</v>
      </c>
      <c r="CO176" s="1">
        <f t="shared" ca="1" si="189"/>
        <v>9.3418384514727962E-2</v>
      </c>
      <c r="CP176" s="1">
        <f t="shared" ca="1" si="190"/>
        <v>3</v>
      </c>
      <c r="DH176" s="1">
        <f t="shared" ca="1" si="191"/>
        <v>114</v>
      </c>
      <c r="DI176" s="1">
        <f t="shared" ca="1" si="192"/>
        <v>0.67017041123468835</v>
      </c>
      <c r="DJ176" s="1">
        <f t="shared" ca="1" si="193"/>
        <v>6</v>
      </c>
      <c r="DL176" s="1">
        <f t="shared" ca="1" si="194"/>
        <v>5.1292054099744133E-2</v>
      </c>
      <c r="DM176" s="1">
        <f t="shared" ca="1" si="195"/>
        <v>228</v>
      </c>
      <c r="DN176" s="1">
        <f t="shared" ca="1" si="196"/>
        <v>10</v>
      </c>
    </row>
    <row r="177" spans="2:118" x14ac:dyDescent="0.25">
      <c r="B177">
        <f t="shared" ca="1" si="132"/>
        <v>349</v>
      </c>
      <c r="C177">
        <f t="shared" ca="1" si="133"/>
        <v>4</v>
      </c>
      <c r="D177">
        <f t="shared" ca="1" si="134"/>
        <v>9.3865842990203174E-2</v>
      </c>
      <c r="F177" s="1">
        <f t="shared" ca="1" si="135"/>
        <v>16</v>
      </c>
      <c r="G177" s="1">
        <f t="shared" ca="1" si="136"/>
        <v>5</v>
      </c>
      <c r="H177" s="1">
        <f t="shared" ca="1" si="137"/>
        <v>8</v>
      </c>
      <c r="I177" s="1"/>
      <c r="J177" s="1">
        <f t="shared" ca="1" si="138"/>
        <v>15</v>
      </c>
      <c r="K177" s="1">
        <f t="shared" ca="1" si="139"/>
        <v>1.205965949836773</v>
      </c>
      <c r="L177" s="1">
        <f t="shared" ca="1" si="140"/>
        <v>6</v>
      </c>
      <c r="M177" s="1"/>
      <c r="N177" s="1">
        <f t="shared" ca="1" si="141"/>
        <v>532</v>
      </c>
      <c r="O177" s="1">
        <f t="shared" ca="1" si="142"/>
        <v>18</v>
      </c>
      <c r="P177" s="1"/>
      <c r="Q177" s="1">
        <f t="shared" ca="1" si="143"/>
        <v>4.9237892450546719</v>
      </c>
      <c r="R177" s="1">
        <f t="shared" ca="1" si="144"/>
        <v>989</v>
      </c>
      <c r="S177" s="1"/>
      <c r="T177" s="1">
        <f t="shared" ca="1" si="145"/>
        <v>0.13470586370580856</v>
      </c>
      <c r="U177" s="1">
        <f t="shared" ca="1" si="146"/>
        <v>226</v>
      </c>
      <c r="V177" s="1">
        <f t="shared" ca="1" si="147"/>
        <v>46</v>
      </c>
      <c r="W177" s="1"/>
      <c r="X177" s="1">
        <f t="shared" ca="1" si="148"/>
        <v>6.4260986643922315</v>
      </c>
      <c r="Y177" s="1">
        <f t="shared" ca="1" si="149"/>
        <v>0.68681140090510895</v>
      </c>
      <c r="Z177" s="1">
        <f t="shared" ca="1" si="150"/>
        <v>1448</v>
      </c>
      <c r="AB177" s="1">
        <f t="shared" ca="1" si="151"/>
        <v>0.83135041525624487</v>
      </c>
      <c r="AC177" s="1">
        <f t="shared" ca="1" si="152"/>
        <v>920</v>
      </c>
      <c r="AD177" s="1">
        <f t="shared" ca="1" si="153"/>
        <v>3.640186325931284E-4</v>
      </c>
      <c r="AE177" s="1"/>
      <c r="AF177" s="1">
        <f t="shared" ca="1" si="154"/>
        <v>0.25869897023969313</v>
      </c>
      <c r="AG177" s="1">
        <f t="shared" ca="1" si="155"/>
        <v>618</v>
      </c>
      <c r="AH177" s="1">
        <f t="shared" ca="1" si="156"/>
        <v>1.6364012278299168E-3</v>
      </c>
      <c r="AJ177" s="1">
        <f t="shared" ca="1" si="157"/>
        <v>0.25487989861006421</v>
      </c>
      <c r="AK177" s="1">
        <f t="shared" ca="1" si="158"/>
        <v>1.0558835230821646E-4</v>
      </c>
      <c r="AL177" s="1"/>
      <c r="AM177" s="1">
        <f t="shared" ca="1" si="159"/>
        <v>0.10841332318709933</v>
      </c>
      <c r="AN177" s="1">
        <f t="shared" ca="1" si="160"/>
        <v>73</v>
      </c>
      <c r="AO177" s="1">
        <f t="shared" ca="1" si="161"/>
        <v>9</v>
      </c>
      <c r="AQ177" s="1">
        <f t="shared" ca="1" si="162"/>
        <v>39</v>
      </c>
      <c r="AR177" s="1">
        <f t="shared" ca="1" si="163"/>
        <v>2</v>
      </c>
      <c r="AS177" s="1">
        <f t="shared" ca="1" si="164"/>
        <v>32</v>
      </c>
      <c r="AU177" s="1">
        <f t="shared" ca="1" si="165"/>
        <v>154</v>
      </c>
      <c r="AV177" s="1">
        <f t="shared" ca="1" si="166"/>
        <v>2</v>
      </c>
      <c r="AW177" s="1">
        <f t="shared" ca="1" si="167"/>
        <v>6.733299471456787E-2</v>
      </c>
      <c r="AY177" s="1">
        <f t="shared" ca="1" si="168"/>
        <v>1.9398124313944014</v>
      </c>
      <c r="AZ177" s="1">
        <f t="shared" ca="1" si="169"/>
        <v>67</v>
      </c>
      <c r="BA177" s="1">
        <f t="shared" ca="1" si="170"/>
        <v>1.2313693871318553E-4</v>
      </c>
      <c r="BG177" s="1">
        <f t="shared" ca="1" si="171"/>
        <v>0.74549557570309799</v>
      </c>
      <c r="BH177" s="1">
        <f t="shared" ca="1" si="172"/>
        <v>0.36099035207107655</v>
      </c>
      <c r="BI177" s="1">
        <f t="shared" ca="1" si="173"/>
        <v>367</v>
      </c>
      <c r="BV177" s="1">
        <f t="shared" ca="1" si="174"/>
        <v>0.64327039787456064</v>
      </c>
      <c r="BW177" s="1">
        <f t="shared" ca="1" si="175"/>
        <v>291</v>
      </c>
      <c r="BX177" s="1">
        <f t="shared" ca="1" si="176"/>
        <v>7.2343189437453007E-3</v>
      </c>
      <c r="BY177" s="1">
        <f t="shared" ca="1" si="177"/>
        <v>4.2296323351219536E-2</v>
      </c>
      <c r="BZ177" s="1">
        <f t="shared" ca="1" si="178"/>
        <v>2.2923061444317328E-2</v>
      </c>
      <c r="CB177" s="1">
        <f t="shared" ca="1" si="179"/>
        <v>260</v>
      </c>
      <c r="CC177" s="1">
        <f t="shared" ca="1" si="180"/>
        <v>6</v>
      </c>
      <c r="CD177" s="1">
        <f t="shared" ca="1" si="181"/>
        <v>9.3449464049065498E-2</v>
      </c>
      <c r="CE177" s="1">
        <f t="shared" ca="1" si="197"/>
        <v>0.92290009663997929</v>
      </c>
      <c r="CF177" s="1">
        <f t="shared" ca="1" si="197"/>
        <v>0.6142888986631152</v>
      </c>
      <c r="CH177" s="3">
        <f t="shared" ca="1" si="183"/>
        <v>0.41510189863557945</v>
      </c>
      <c r="CI177" s="3">
        <f t="shared" ca="1" si="184"/>
        <v>0.21028566615964331</v>
      </c>
      <c r="CJ177" s="3">
        <f t="shared" ca="1" si="185"/>
        <v>1396</v>
      </c>
      <c r="CK177" s="3">
        <f t="shared" ca="1" si="186"/>
        <v>2.1896454169229667E-3</v>
      </c>
      <c r="CL177" s="3">
        <f t="shared" ca="1" si="187"/>
        <v>1</v>
      </c>
      <c r="CM177" s="3"/>
      <c r="CN177" s="1">
        <f t="shared" ca="1" si="188"/>
        <v>19.644285407575072</v>
      </c>
      <c r="CO177" s="1">
        <f t="shared" ca="1" si="189"/>
        <v>6.7059141676192702E-2</v>
      </c>
      <c r="CP177" s="1">
        <f t="shared" ca="1" si="190"/>
        <v>5</v>
      </c>
      <c r="DH177" s="1">
        <f t="shared" ca="1" si="191"/>
        <v>542</v>
      </c>
      <c r="DI177" s="1">
        <f t="shared" ca="1" si="192"/>
        <v>2.074455353481508E-2</v>
      </c>
      <c r="DJ177" s="1">
        <f t="shared" ca="1" si="193"/>
        <v>13</v>
      </c>
      <c r="DL177" s="1">
        <f t="shared" ca="1" si="194"/>
        <v>0.1276051790187443</v>
      </c>
      <c r="DM177" s="1">
        <f t="shared" ca="1" si="195"/>
        <v>299</v>
      </c>
      <c r="DN177" s="1">
        <f t="shared" ca="1" si="196"/>
        <v>3</v>
      </c>
    </row>
    <row r="178" spans="2:118" x14ac:dyDescent="0.25">
      <c r="B178">
        <f t="shared" ca="1" si="132"/>
        <v>601</v>
      </c>
      <c r="C178">
        <f t="shared" ca="1" si="133"/>
        <v>26</v>
      </c>
      <c r="D178">
        <f t="shared" ca="1" si="134"/>
        <v>0.16947468800420384</v>
      </c>
      <c r="F178" s="1">
        <f t="shared" ca="1" si="135"/>
        <v>25</v>
      </c>
      <c r="G178" s="1">
        <f t="shared" ca="1" si="136"/>
        <v>15</v>
      </c>
      <c r="H178" s="1">
        <f t="shared" ca="1" si="137"/>
        <v>8</v>
      </c>
      <c r="I178" s="1"/>
      <c r="J178" s="1">
        <f t="shared" ca="1" si="138"/>
        <v>6</v>
      </c>
      <c r="K178" s="1">
        <f t="shared" ca="1" si="139"/>
        <v>1.4806794195445538</v>
      </c>
      <c r="L178" s="1">
        <f t="shared" ca="1" si="140"/>
        <v>15</v>
      </c>
      <c r="M178" s="1"/>
      <c r="N178" s="1">
        <f t="shared" ca="1" si="141"/>
        <v>985</v>
      </c>
      <c r="O178" s="1">
        <f t="shared" ca="1" si="142"/>
        <v>27</v>
      </c>
      <c r="P178" s="1"/>
      <c r="Q178" s="1">
        <f t="shared" ca="1" si="143"/>
        <v>4.9720559318027355</v>
      </c>
      <c r="R178" s="1">
        <f t="shared" ca="1" si="144"/>
        <v>1069</v>
      </c>
      <c r="S178" s="1"/>
      <c r="T178" s="1">
        <f t="shared" ca="1" si="145"/>
        <v>2.6641492178993857E-2</v>
      </c>
      <c r="U178" s="1">
        <f t="shared" ca="1" si="146"/>
        <v>103</v>
      </c>
      <c r="V178" s="1">
        <f t="shared" ca="1" si="147"/>
        <v>19</v>
      </c>
      <c r="W178" s="1"/>
      <c r="X178" s="1">
        <f t="shared" ca="1" si="148"/>
        <v>4.8555578635366725</v>
      </c>
      <c r="Y178" s="1">
        <f t="shared" ca="1" si="149"/>
        <v>0.60563719043579445</v>
      </c>
      <c r="Z178" s="1">
        <f t="shared" ca="1" si="150"/>
        <v>576</v>
      </c>
      <c r="AB178" s="1">
        <f t="shared" ca="1" si="151"/>
        <v>0.65837068018441913</v>
      </c>
      <c r="AC178" s="1">
        <f t="shared" ca="1" si="152"/>
        <v>530</v>
      </c>
      <c r="AD178" s="1">
        <f t="shared" ca="1" si="153"/>
        <v>6.3377001873944289E-3</v>
      </c>
      <c r="AE178" s="1"/>
      <c r="AF178" s="1">
        <f t="shared" ca="1" si="154"/>
        <v>0.43086115386656898</v>
      </c>
      <c r="AG178" s="1">
        <f t="shared" ca="1" si="155"/>
        <v>750</v>
      </c>
      <c r="AH178" s="1">
        <f t="shared" ca="1" si="156"/>
        <v>5.4746998716403887E-3</v>
      </c>
      <c r="AJ178" s="1">
        <f t="shared" ca="1" si="157"/>
        <v>0.56173785749799388</v>
      </c>
      <c r="AK178" s="1">
        <f t="shared" ca="1" si="158"/>
        <v>6.9476121956583425E-3</v>
      </c>
      <c r="AL178" s="1"/>
      <c r="AM178" s="1">
        <f t="shared" ca="1" si="159"/>
        <v>7.4169311569861868E-2</v>
      </c>
      <c r="AN178" s="1">
        <f t="shared" ca="1" si="160"/>
        <v>31</v>
      </c>
      <c r="AO178" s="1">
        <f t="shared" ca="1" si="161"/>
        <v>10</v>
      </c>
      <c r="AQ178" s="1">
        <f t="shared" ca="1" si="162"/>
        <v>28</v>
      </c>
      <c r="AR178" s="1">
        <f t="shared" ca="1" si="163"/>
        <v>3</v>
      </c>
      <c r="AS178" s="1">
        <f t="shared" ca="1" si="164"/>
        <v>27</v>
      </c>
      <c r="AU178" s="1">
        <f t="shared" ca="1" si="165"/>
        <v>361</v>
      </c>
      <c r="AV178" s="1">
        <f t="shared" ca="1" si="166"/>
        <v>6</v>
      </c>
      <c r="AW178" s="1">
        <f t="shared" ca="1" si="167"/>
        <v>6.3390257457591567E-2</v>
      </c>
      <c r="AY178" s="1">
        <f t="shared" ca="1" si="168"/>
        <v>1.3070329686947137</v>
      </c>
      <c r="AZ178" s="1">
        <f t="shared" ca="1" si="169"/>
        <v>328</v>
      </c>
      <c r="BA178" s="1">
        <f t="shared" ca="1" si="170"/>
        <v>9.8973560823540658E-3</v>
      </c>
      <c r="BG178" s="1">
        <f t="shared" ca="1" si="171"/>
        <v>0.40295310972017645</v>
      </c>
      <c r="BH178" s="1">
        <f t="shared" ca="1" si="172"/>
        <v>0.47479713677502478</v>
      </c>
      <c r="BI178" s="1">
        <f t="shared" ca="1" si="173"/>
        <v>359</v>
      </c>
      <c r="BV178" s="1">
        <f t="shared" ca="1" si="174"/>
        <v>0.94301269845791014</v>
      </c>
      <c r="BW178" s="1">
        <f t="shared" ca="1" si="175"/>
        <v>643</v>
      </c>
      <c r="BX178" s="1">
        <f t="shared" ca="1" si="176"/>
        <v>5.5320066374244517E-3</v>
      </c>
      <c r="BY178" s="1">
        <f t="shared" ca="1" si="177"/>
        <v>1.7165083083427773E-2</v>
      </c>
      <c r="BZ178" s="1">
        <f t="shared" ca="1" si="178"/>
        <v>0.38145610033744659</v>
      </c>
      <c r="CB178" s="1">
        <f t="shared" ca="1" si="179"/>
        <v>500</v>
      </c>
      <c r="CC178" s="1">
        <f t="shared" ca="1" si="180"/>
        <v>5</v>
      </c>
      <c r="CD178" s="1">
        <f t="shared" ca="1" si="181"/>
        <v>0.27410669396357318</v>
      </c>
      <c r="CE178" s="1">
        <f t="shared" ca="1" si="197"/>
        <v>0.65747381445430375</v>
      </c>
      <c r="CF178" s="1">
        <f t="shared" ca="1" si="197"/>
        <v>0.57924172607071811</v>
      </c>
      <c r="CH178" s="3">
        <f t="shared" ca="1" si="183"/>
        <v>2.3963383491271008E-2</v>
      </c>
      <c r="CI178" s="3">
        <f t="shared" ca="1" si="184"/>
        <v>0.35622782059772967</v>
      </c>
      <c r="CJ178" s="3">
        <f t="shared" ca="1" si="185"/>
        <v>296</v>
      </c>
      <c r="CK178" s="3">
        <f t="shared" ca="1" si="186"/>
        <v>5.0340865493518168E-3</v>
      </c>
      <c r="CL178" s="3">
        <f t="shared" ca="1" si="187"/>
        <v>0</v>
      </c>
      <c r="CM178" s="3"/>
      <c r="CN178" s="1">
        <f t="shared" ca="1" si="188"/>
        <v>3.3370221403979645</v>
      </c>
      <c r="CO178" s="1">
        <f t="shared" ca="1" si="189"/>
        <v>0.27031511714524292</v>
      </c>
      <c r="CP178" s="1">
        <f t="shared" ca="1" si="190"/>
        <v>4</v>
      </c>
      <c r="DH178" s="1">
        <f t="shared" ca="1" si="191"/>
        <v>250</v>
      </c>
      <c r="DI178" s="1">
        <f t="shared" ca="1" si="192"/>
        <v>0.54032852071659976</v>
      </c>
      <c r="DJ178" s="1">
        <f t="shared" ca="1" si="193"/>
        <v>23</v>
      </c>
      <c r="DL178" s="1">
        <f t="shared" ca="1" si="194"/>
        <v>6.3339862716164291E-2</v>
      </c>
      <c r="DM178" s="1">
        <f t="shared" ca="1" si="195"/>
        <v>232</v>
      </c>
      <c r="DN178" s="1">
        <f t="shared" ca="1" si="196"/>
        <v>1</v>
      </c>
    </row>
    <row r="179" spans="2:118" x14ac:dyDescent="0.25">
      <c r="B179">
        <f t="shared" ca="1" si="132"/>
        <v>363</v>
      </c>
      <c r="C179">
        <f t="shared" ca="1" si="133"/>
        <v>32</v>
      </c>
      <c r="D179">
        <f t="shared" ca="1" si="134"/>
        <v>3.6683295324176642E-2</v>
      </c>
      <c r="F179" s="1">
        <f t="shared" ca="1" si="135"/>
        <v>49</v>
      </c>
      <c r="G179" s="1">
        <f t="shared" ca="1" si="136"/>
        <v>7</v>
      </c>
      <c r="H179" s="1">
        <f t="shared" ca="1" si="137"/>
        <v>13</v>
      </c>
      <c r="I179" s="1"/>
      <c r="J179" s="1">
        <f t="shared" ca="1" si="138"/>
        <v>28</v>
      </c>
      <c r="K179" s="1">
        <f t="shared" ca="1" si="139"/>
        <v>1.3798530525810186</v>
      </c>
      <c r="L179" s="1">
        <f t="shared" ca="1" si="140"/>
        <v>22</v>
      </c>
      <c r="M179" s="1"/>
      <c r="N179" s="1">
        <f t="shared" ca="1" si="141"/>
        <v>860</v>
      </c>
      <c r="O179" s="1">
        <f t="shared" ca="1" si="142"/>
        <v>26</v>
      </c>
      <c r="P179" s="1"/>
      <c r="Q179" s="1">
        <f t="shared" ca="1" si="143"/>
        <v>2.4989713825609825</v>
      </c>
      <c r="R179" s="1">
        <f t="shared" ca="1" si="144"/>
        <v>428</v>
      </c>
      <c r="S179" s="1"/>
      <c r="T179" s="1">
        <f t="shared" ca="1" si="145"/>
        <v>2.3240146984537958E-2</v>
      </c>
      <c r="U179" s="1">
        <f t="shared" ca="1" si="146"/>
        <v>101</v>
      </c>
      <c r="V179" s="1">
        <f t="shared" ca="1" si="147"/>
        <v>44</v>
      </c>
      <c r="W179" s="1"/>
      <c r="X179" s="1">
        <f t="shared" ca="1" si="148"/>
        <v>5.7497185654077221</v>
      </c>
      <c r="Y179" s="1">
        <f t="shared" ca="1" si="149"/>
        <v>7.5276412994612673E-3</v>
      </c>
      <c r="Z179" s="1">
        <f t="shared" ca="1" si="150"/>
        <v>1394</v>
      </c>
      <c r="AB179" s="1">
        <f t="shared" ca="1" si="151"/>
        <v>0.85199946070946508</v>
      </c>
      <c r="AC179" s="1">
        <f t="shared" ca="1" si="152"/>
        <v>483</v>
      </c>
      <c r="AD179" s="1">
        <f t="shared" ca="1" si="153"/>
        <v>6.4430756436332452E-3</v>
      </c>
      <c r="AE179" s="1"/>
      <c r="AF179" s="1">
        <f t="shared" ca="1" si="154"/>
        <v>0.3335661876742918</v>
      </c>
      <c r="AG179" s="1">
        <f t="shared" ca="1" si="155"/>
        <v>709</v>
      </c>
      <c r="AH179" s="1">
        <f t="shared" ca="1" si="156"/>
        <v>6.0462006832988696E-3</v>
      </c>
      <c r="AJ179" s="1">
        <f t="shared" ca="1" si="157"/>
        <v>0.21440358842694529</v>
      </c>
      <c r="AK179" s="1">
        <f t="shared" ca="1" si="158"/>
        <v>7.4867988377066092E-3</v>
      </c>
      <c r="AL179" s="1"/>
      <c r="AM179" s="1">
        <f t="shared" ca="1" si="159"/>
        <v>0.1807128127871552</v>
      </c>
      <c r="AN179" s="1">
        <f t="shared" ca="1" si="160"/>
        <v>61</v>
      </c>
      <c r="AO179" s="1">
        <f t="shared" ca="1" si="161"/>
        <v>19</v>
      </c>
      <c r="AQ179" s="1">
        <f t="shared" ca="1" si="162"/>
        <v>83</v>
      </c>
      <c r="AR179" s="1">
        <f t="shared" ca="1" si="163"/>
        <v>7</v>
      </c>
      <c r="AS179" s="1">
        <f t="shared" ca="1" si="164"/>
        <v>44</v>
      </c>
      <c r="AU179" s="1">
        <f t="shared" ca="1" si="165"/>
        <v>386</v>
      </c>
      <c r="AV179" s="1">
        <f t="shared" ca="1" si="166"/>
        <v>3</v>
      </c>
      <c r="AW179" s="1">
        <f t="shared" ca="1" si="167"/>
        <v>0.19809385000818253</v>
      </c>
      <c r="AY179" s="1">
        <f t="shared" ca="1" si="168"/>
        <v>1.9138265153579015</v>
      </c>
      <c r="AZ179" s="1">
        <f t="shared" ca="1" si="169"/>
        <v>87</v>
      </c>
      <c r="BA179" s="1">
        <f t="shared" ca="1" si="170"/>
        <v>2.302442669452212E-3</v>
      </c>
      <c r="BG179" s="1">
        <f t="shared" ca="1" si="171"/>
        <v>0.9155232615540897</v>
      </c>
      <c r="BH179" s="1">
        <f t="shared" ca="1" si="172"/>
        <v>0.17780685332945223</v>
      </c>
      <c r="BI179" s="1">
        <f t="shared" ca="1" si="173"/>
        <v>267</v>
      </c>
      <c r="BV179" s="1">
        <f t="shared" ca="1" si="174"/>
        <v>0.50745777753892096</v>
      </c>
      <c r="BW179" s="1">
        <f t="shared" ca="1" si="175"/>
        <v>496</v>
      </c>
      <c r="BX179" s="1">
        <f t="shared" ca="1" si="176"/>
        <v>1.0318081583304765E-3</v>
      </c>
      <c r="BY179" s="1">
        <f t="shared" ca="1" si="177"/>
        <v>9.9129579956230826E-2</v>
      </c>
      <c r="BZ179" s="1">
        <f t="shared" ca="1" si="178"/>
        <v>0.78738296117700068</v>
      </c>
      <c r="CB179" s="1">
        <f t="shared" ca="1" si="179"/>
        <v>196</v>
      </c>
      <c r="CC179" s="1">
        <f t="shared" ca="1" si="180"/>
        <v>9</v>
      </c>
      <c r="CD179" s="1">
        <f t="shared" ca="1" si="181"/>
        <v>2.9383943411454477E-2</v>
      </c>
      <c r="CE179" s="1">
        <f t="shared" ca="1" si="197"/>
        <v>0.9285557700731859</v>
      </c>
      <c r="CF179" s="1">
        <f t="shared" ca="1" si="197"/>
        <v>0.75297895872997489</v>
      </c>
      <c r="CH179" s="3">
        <f t="shared" ca="1" si="183"/>
        <v>0.47368274225783219</v>
      </c>
      <c r="CI179" s="3">
        <f t="shared" ca="1" si="184"/>
        <v>0.62342366817127937</v>
      </c>
      <c r="CJ179" s="3">
        <f t="shared" ca="1" si="185"/>
        <v>311</v>
      </c>
      <c r="CK179" s="3">
        <f t="shared" ca="1" si="186"/>
        <v>3.1304066576025996E-4</v>
      </c>
      <c r="CL179" s="3">
        <f t="shared" ca="1" si="187"/>
        <v>1</v>
      </c>
      <c r="CM179" s="3"/>
      <c r="CN179" s="1">
        <f t="shared" ca="1" si="188"/>
        <v>14.760026006641381</v>
      </c>
      <c r="CO179" s="1">
        <f t="shared" ca="1" si="189"/>
        <v>0.25411035157039258</v>
      </c>
      <c r="CP179" s="1">
        <f t="shared" ca="1" si="190"/>
        <v>4</v>
      </c>
      <c r="DH179" s="1">
        <f t="shared" ca="1" si="191"/>
        <v>227</v>
      </c>
      <c r="DI179" s="1">
        <f t="shared" ca="1" si="192"/>
        <v>0.85742196840417795</v>
      </c>
      <c r="DJ179" s="1">
        <f t="shared" ca="1" si="193"/>
        <v>18</v>
      </c>
      <c r="DL179" s="1">
        <f t="shared" ca="1" si="194"/>
        <v>4.6468307345164023E-2</v>
      </c>
      <c r="DM179" s="1">
        <f t="shared" ca="1" si="195"/>
        <v>135</v>
      </c>
      <c r="DN179" s="1">
        <f t="shared" ca="1" si="196"/>
        <v>10</v>
      </c>
    </row>
    <row r="180" spans="2:118" x14ac:dyDescent="0.25">
      <c r="B180">
        <f t="shared" ca="1" si="132"/>
        <v>198</v>
      </c>
      <c r="C180">
        <f t="shared" ca="1" si="133"/>
        <v>49</v>
      </c>
      <c r="D180">
        <f t="shared" ca="1" si="134"/>
        <v>0.24628077858949601</v>
      </c>
      <c r="F180" s="1">
        <f t="shared" ca="1" si="135"/>
        <v>27</v>
      </c>
      <c r="G180" s="1">
        <f t="shared" ca="1" si="136"/>
        <v>11</v>
      </c>
      <c r="H180" s="1">
        <f t="shared" ca="1" si="137"/>
        <v>8</v>
      </c>
      <c r="I180" s="1"/>
      <c r="J180" s="1">
        <f t="shared" ca="1" si="138"/>
        <v>5</v>
      </c>
      <c r="K180" s="1">
        <f t="shared" ca="1" si="139"/>
        <v>2.7332665538107026</v>
      </c>
      <c r="L180" s="1">
        <f t="shared" ca="1" si="140"/>
        <v>31</v>
      </c>
      <c r="M180" s="1"/>
      <c r="N180" s="1">
        <f t="shared" ca="1" si="141"/>
        <v>480</v>
      </c>
      <c r="O180" s="1">
        <f t="shared" ca="1" si="142"/>
        <v>44</v>
      </c>
      <c r="P180" s="1"/>
      <c r="Q180" s="1">
        <f t="shared" ca="1" si="143"/>
        <v>1.6357334107176005</v>
      </c>
      <c r="R180" s="1">
        <f t="shared" ca="1" si="144"/>
        <v>562</v>
      </c>
      <c r="S180" s="1"/>
      <c r="T180" s="1">
        <f t="shared" ca="1" si="145"/>
        <v>1.2301328515749582E-2</v>
      </c>
      <c r="U180" s="1">
        <f t="shared" ca="1" si="146"/>
        <v>203</v>
      </c>
      <c r="V180" s="1">
        <f t="shared" ca="1" si="147"/>
        <v>4</v>
      </c>
      <c r="W180" s="1"/>
      <c r="X180" s="1">
        <f t="shared" ca="1" si="148"/>
        <v>2.3473206383685183</v>
      </c>
      <c r="Y180" s="1">
        <f t="shared" ca="1" si="149"/>
        <v>0.68783344373188449</v>
      </c>
      <c r="Z180" s="1">
        <f t="shared" ca="1" si="150"/>
        <v>700</v>
      </c>
      <c r="AB180" s="1">
        <f t="shared" ca="1" si="151"/>
        <v>0.9967229782372401</v>
      </c>
      <c r="AC180" s="1">
        <f t="shared" ca="1" si="152"/>
        <v>935</v>
      </c>
      <c r="AD180" s="1">
        <f t="shared" ca="1" si="153"/>
        <v>2.028071128544398E-3</v>
      </c>
      <c r="AE180" s="1"/>
      <c r="AF180" s="1">
        <f t="shared" ca="1" si="154"/>
        <v>0.60069430126702439</v>
      </c>
      <c r="AG180" s="1">
        <f t="shared" ca="1" si="155"/>
        <v>494</v>
      </c>
      <c r="AH180" s="1">
        <f t="shared" ca="1" si="156"/>
        <v>9.1129631937267187E-3</v>
      </c>
      <c r="AJ180" s="1">
        <f t="shared" ca="1" si="157"/>
        <v>0.33200837389762827</v>
      </c>
      <c r="AK180" s="1">
        <f t="shared" ca="1" si="158"/>
        <v>4.952627720052916E-3</v>
      </c>
      <c r="AL180" s="1"/>
      <c r="AM180" s="1">
        <f t="shared" ca="1" si="159"/>
        <v>6.7445481862795684E-2</v>
      </c>
      <c r="AN180" s="1">
        <f t="shared" ca="1" si="160"/>
        <v>35</v>
      </c>
      <c r="AO180" s="1">
        <f t="shared" ca="1" si="161"/>
        <v>-1</v>
      </c>
      <c r="AQ180" s="1">
        <f t="shared" ca="1" si="162"/>
        <v>160</v>
      </c>
      <c r="AR180" s="1">
        <f t="shared" ca="1" si="163"/>
        <v>3</v>
      </c>
      <c r="AS180" s="1">
        <f t="shared" ca="1" si="164"/>
        <v>31</v>
      </c>
      <c r="AU180" s="1">
        <f t="shared" ca="1" si="165"/>
        <v>154</v>
      </c>
      <c r="AV180" s="1">
        <f t="shared" ca="1" si="166"/>
        <v>5</v>
      </c>
      <c r="AW180" s="1">
        <f t="shared" ca="1" si="167"/>
        <v>0.10101756681532631</v>
      </c>
      <c r="AY180" s="1">
        <f t="shared" ca="1" si="168"/>
        <v>1.6443669770234712</v>
      </c>
      <c r="AZ180" s="1">
        <f t="shared" ca="1" si="169"/>
        <v>405</v>
      </c>
      <c r="BA180" s="1">
        <f t="shared" ca="1" si="170"/>
        <v>2.1632670159373005E-3</v>
      </c>
      <c r="BG180" s="1">
        <f t="shared" ca="1" si="171"/>
        <v>0.27521526225529108</v>
      </c>
      <c r="BH180" s="1">
        <f t="shared" ca="1" si="172"/>
        <v>0.66306034442455197</v>
      </c>
      <c r="BI180" s="1">
        <f t="shared" ca="1" si="173"/>
        <v>217</v>
      </c>
      <c r="BV180" s="1">
        <f t="shared" ca="1" si="174"/>
        <v>0.75041744566330693</v>
      </c>
      <c r="BW180" s="1">
        <f t="shared" ca="1" si="175"/>
        <v>333</v>
      </c>
      <c r="BX180" s="1">
        <f t="shared" ca="1" si="176"/>
        <v>5.5030257800471596E-3</v>
      </c>
      <c r="BY180" s="1">
        <f t="shared" ca="1" si="177"/>
        <v>8.529094876020081E-2</v>
      </c>
      <c r="BZ180" s="1">
        <f t="shared" ca="1" si="178"/>
        <v>0.60096197099413118</v>
      </c>
      <c r="CB180" s="1">
        <f t="shared" ca="1" si="179"/>
        <v>272</v>
      </c>
      <c r="CC180" s="1">
        <f t="shared" ca="1" si="180"/>
        <v>12</v>
      </c>
      <c r="CD180" s="1">
        <f t="shared" ca="1" si="181"/>
        <v>0.23940199212441027</v>
      </c>
      <c r="CE180" s="1">
        <f t="shared" ca="1" si="197"/>
        <v>0.83429865125779135</v>
      </c>
      <c r="CF180" s="1">
        <f t="shared" ca="1" si="197"/>
        <v>0.88410607016921516</v>
      </c>
      <c r="CH180" s="3">
        <f t="shared" ca="1" si="183"/>
        <v>0.29790688156797879</v>
      </c>
      <c r="CI180" s="3">
        <f t="shared" ca="1" si="184"/>
        <v>0.5332869082765691</v>
      </c>
      <c r="CJ180" s="3">
        <f t="shared" ca="1" si="185"/>
        <v>1850</v>
      </c>
      <c r="CK180" s="3">
        <f t="shared" ca="1" si="186"/>
        <v>2.3108971647949495E-3</v>
      </c>
      <c r="CL180" s="3">
        <f t="shared" ca="1" si="187"/>
        <v>1</v>
      </c>
      <c r="CM180" s="3"/>
      <c r="CN180" s="1">
        <f t="shared" ca="1" si="188"/>
        <v>8.6983702075371152</v>
      </c>
      <c r="CO180" s="1">
        <f t="shared" ca="1" si="189"/>
        <v>4.7566542466809993E-3</v>
      </c>
      <c r="CP180" s="1">
        <f t="shared" ca="1" si="190"/>
        <v>4</v>
      </c>
      <c r="DH180" s="1">
        <f t="shared" ca="1" si="191"/>
        <v>750</v>
      </c>
      <c r="DI180" s="1">
        <f t="shared" ca="1" si="192"/>
        <v>0.90777336802588549</v>
      </c>
      <c r="DJ180" s="1">
        <f t="shared" ca="1" si="193"/>
        <v>3</v>
      </c>
      <c r="DL180" s="1">
        <f t="shared" ca="1" si="194"/>
        <v>9.4976185964956494E-2</v>
      </c>
      <c r="DM180" s="1">
        <f t="shared" ca="1" si="195"/>
        <v>50</v>
      </c>
      <c r="DN180" s="1">
        <f t="shared" ca="1" si="196"/>
        <v>5</v>
      </c>
    </row>
    <row r="181" spans="2:118" x14ac:dyDescent="0.25">
      <c r="B181">
        <f t="shared" ca="1" si="132"/>
        <v>480</v>
      </c>
      <c r="C181">
        <f t="shared" ca="1" si="133"/>
        <v>34</v>
      </c>
      <c r="D181">
        <f t="shared" ca="1" si="134"/>
        <v>5.8918394817092587E-2</v>
      </c>
      <c r="F181" s="1">
        <f t="shared" ca="1" si="135"/>
        <v>9</v>
      </c>
      <c r="G181" s="1">
        <f t="shared" ca="1" si="136"/>
        <v>21</v>
      </c>
      <c r="H181" s="1">
        <f t="shared" ca="1" si="137"/>
        <v>8</v>
      </c>
      <c r="I181" s="1"/>
      <c r="J181" s="1">
        <f t="shared" ca="1" si="138"/>
        <v>16</v>
      </c>
      <c r="K181" s="1">
        <f t="shared" ca="1" si="139"/>
        <v>2.4591036780650333</v>
      </c>
      <c r="L181" s="1">
        <f t="shared" ca="1" si="140"/>
        <v>15</v>
      </c>
      <c r="M181" s="1"/>
      <c r="N181" s="1">
        <f t="shared" ca="1" si="141"/>
        <v>113</v>
      </c>
      <c r="O181" s="1">
        <f t="shared" ca="1" si="142"/>
        <v>9</v>
      </c>
      <c r="P181" s="1"/>
      <c r="Q181" s="1">
        <f t="shared" ca="1" si="143"/>
        <v>1.5671757607451087</v>
      </c>
      <c r="R181" s="1">
        <f t="shared" ca="1" si="144"/>
        <v>448</v>
      </c>
      <c r="S181" s="1"/>
      <c r="T181" s="1">
        <f t="shared" ca="1" si="145"/>
        <v>1.7946100167917527E-2</v>
      </c>
      <c r="U181" s="1">
        <f t="shared" ca="1" si="146"/>
        <v>62</v>
      </c>
      <c r="V181" s="1">
        <f t="shared" ca="1" si="147"/>
        <v>32</v>
      </c>
      <c r="W181" s="1"/>
      <c r="X181" s="1">
        <f t="shared" ca="1" si="148"/>
        <v>8.6264964811065781</v>
      </c>
      <c r="Y181" s="1">
        <f t="shared" ca="1" si="149"/>
        <v>0.14970566253198825</v>
      </c>
      <c r="Z181" s="1">
        <f t="shared" ca="1" si="150"/>
        <v>1091</v>
      </c>
      <c r="AB181" s="1">
        <f t="shared" ca="1" si="151"/>
        <v>0.68344217015896658</v>
      </c>
      <c r="AC181" s="1">
        <f t="shared" ca="1" si="152"/>
        <v>372</v>
      </c>
      <c r="AD181" s="1">
        <f t="shared" ca="1" si="153"/>
        <v>7.7371575032488139E-3</v>
      </c>
      <c r="AE181" s="1"/>
      <c r="AF181" s="1">
        <f t="shared" ca="1" si="154"/>
        <v>0.42045949146678863</v>
      </c>
      <c r="AG181" s="1">
        <f t="shared" ca="1" si="155"/>
        <v>429</v>
      </c>
      <c r="AH181" s="1">
        <f t="shared" ca="1" si="156"/>
        <v>5.0914620192342858E-3</v>
      </c>
      <c r="AJ181" s="1">
        <f t="shared" ca="1" si="157"/>
        <v>0.64213661479052464</v>
      </c>
      <c r="AK181" s="1">
        <f t="shared" ca="1" si="158"/>
        <v>9.8955149440020027E-3</v>
      </c>
      <c r="AL181" s="1"/>
      <c r="AM181" s="1">
        <f t="shared" ca="1" si="159"/>
        <v>0.14691020941507482</v>
      </c>
      <c r="AN181" s="1">
        <f t="shared" ca="1" si="160"/>
        <v>24</v>
      </c>
      <c r="AO181" s="1">
        <f t="shared" ca="1" si="161"/>
        <v>8</v>
      </c>
      <c r="AQ181" s="1">
        <f t="shared" ca="1" si="162"/>
        <v>51</v>
      </c>
      <c r="AR181" s="1">
        <f t="shared" ca="1" si="163"/>
        <v>4</v>
      </c>
      <c r="AS181" s="1">
        <f t="shared" ca="1" si="164"/>
        <v>60</v>
      </c>
      <c r="AU181" s="1">
        <f t="shared" ca="1" si="165"/>
        <v>325</v>
      </c>
      <c r="AV181" s="1">
        <f t="shared" ca="1" si="166"/>
        <v>7</v>
      </c>
      <c r="AW181" s="1">
        <f t="shared" ca="1" si="167"/>
        <v>0.10636649722951157</v>
      </c>
      <c r="AY181" s="1">
        <f t="shared" ca="1" si="168"/>
        <v>1.8443475824579609</v>
      </c>
      <c r="AZ181" s="1">
        <f t="shared" ca="1" si="169"/>
        <v>372</v>
      </c>
      <c r="BA181" s="1">
        <f t="shared" ca="1" si="170"/>
        <v>9.5015333632234526E-3</v>
      </c>
      <c r="BG181" s="1">
        <f t="shared" ca="1" si="171"/>
        <v>0.18041876761043399</v>
      </c>
      <c r="BH181" s="1">
        <f t="shared" ca="1" si="172"/>
        <v>0.39960101762308076</v>
      </c>
      <c r="BI181" s="1">
        <f t="shared" ca="1" si="173"/>
        <v>717</v>
      </c>
      <c r="BV181" s="1">
        <f t="shared" ca="1" si="174"/>
        <v>0.64789708462313644</v>
      </c>
      <c r="BW181" s="1">
        <f t="shared" ca="1" si="175"/>
        <v>101</v>
      </c>
      <c r="BX181" s="1">
        <f t="shared" ca="1" si="176"/>
        <v>3.1184111140333012E-3</v>
      </c>
      <c r="BY181" s="1">
        <f t="shared" ca="1" si="177"/>
        <v>9.0903869800861348E-2</v>
      </c>
      <c r="BZ181" s="1">
        <f t="shared" ca="1" si="178"/>
        <v>0.1070923555049329</v>
      </c>
      <c r="CB181" s="1">
        <f t="shared" ca="1" si="179"/>
        <v>303</v>
      </c>
      <c r="CC181" s="1">
        <f t="shared" ca="1" si="180"/>
        <v>4</v>
      </c>
      <c r="CD181" s="1">
        <f t="shared" ca="1" si="181"/>
        <v>0.25724452169706408</v>
      </c>
      <c r="CE181" s="1">
        <f t="shared" ca="1" si="197"/>
        <v>0.53607398704845055</v>
      </c>
      <c r="CF181" s="1">
        <f t="shared" ca="1" si="197"/>
        <v>0.61634230957396841</v>
      </c>
      <c r="CH181" s="3">
        <f t="shared" ca="1" si="183"/>
        <v>0.98110554318033438</v>
      </c>
      <c r="CI181" s="3">
        <f t="shared" ca="1" si="184"/>
        <v>0.66593062505065759</v>
      </c>
      <c r="CJ181" s="3">
        <f t="shared" ca="1" si="185"/>
        <v>1498</v>
      </c>
      <c r="CK181" s="3">
        <f t="shared" ca="1" si="186"/>
        <v>4.1763751311513081E-3</v>
      </c>
      <c r="CL181" s="3">
        <f t="shared" ca="1" si="187"/>
        <v>0</v>
      </c>
      <c r="CM181" s="3"/>
      <c r="CN181" s="1">
        <f t="shared" ca="1" si="188"/>
        <v>18.437460805643124</v>
      </c>
      <c r="CO181" s="1">
        <f t="shared" ca="1" si="189"/>
        <v>0.23277676806713013</v>
      </c>
      <c r="CP181" s="1">
        <f t="shared" ca="1" si="190"/>
        <v>2</v>
      </c>
      <c r="DH181" s="1">
        <f t="shared" ca="1" si="191"/>
        <v>44</v>
      </c>
      <c r="DI181" s="1">
        <f t="shared" ca="1" si="192"/>
        <v>0.53130486015730793</v>
      </c>
      <c r="DJ181" s="1">
        <f t="shared" ca="1" si="193"/>
        <v>10</v>
      </c>
      <c r="DL181" s="1">
        <f t="shared" ca="1" si="194"/>
        <v>4.9287287157989329E-2</v>
      </c>
      <c r="DM181" s="1">
        <f t="shared" ca="1" si="195"/>
        <v>152</v>
      </c>
      <c r="DN181" s="1">
        <f t="shared" ca="1" si="196"/>
        <v>10</v>
      </c>
    </row>
    <row r="182" spans="2:118" x14ac:dyDescent="0.25">
      <c r="B182">
        <f t="shared" ca="1" si="132"/>
        <v>377</v>
      </c>
      <c r="C182">
        <f t="shared" ca="1" si="133"/>
        <v>42</v>
      </c>
      <c r="D182">
        <f t="shared" ca="1" si="134"/>
        <v>0.16622485247671642</v>
      </c>
      <c r="F182" s="1">
        <f t="shared" ca="1" si="135"/>
        <v>45</v>
      </c>
      <c r="G182" s="1">
        <f t="shared" ca="1" si="136"/>
        <v>19</v>
      </c>
      <c r="H182" s="1">
        <f t="shared" ca="1" si="137"/>
        <v>3</v>
      </c>
      <c r="I182" s="1"/>
      <c r="J182" s="1">
        <f t="shared" ca="1" si="138"/>
        <v>2</v>
      </c>
      <c r="K182" s="1">
        <f t="shared" ca="1" si="139"/>
        <v>1.0029791707593325</v>
      </c>
      <c r="L182" s="1">
        <f t="shared" ca="1" si="140"/>
        <v>33</v>
      </c>
      <c r="M182" s="1"/>
      <c r="N182" s="1">
        <f t="shared" ca="1" si="141"/>
        <v>171</v>
      </c>
      <c r="O182" s="1">
        <f t="shared" ca="1" si="142"/>
        <v>10</v>
      </c>
      <c r="P182" s="1"/>
      <c r="Q182" s="1">
        <f t="shared" ca="1" si="143"/>
        <v>4.8574093558392226</v>
      </c>
      <c r="R182" s="1">
        <f t="shared" ca="1" si="144"/>
        <v>606</v>
      </c>
      <c r="S182" s="1"/>
      <c r="T182" s="1">
        <f t="shared" ca="1" si="145"/>
        <v>7.4828781072622849E-2</v>
      </c>
      <c r="U182" s="1">
        <f t="shared" ca="1" si="146"/>
        <v>407</v>
      </c>
      <c r="V182" s="1">
        <f t="shared" ca="1" si="147"/>
        <v>39</v>
      </c>
      <c r="W182" s="1"/>
      <c r="X182" s="1">
        <f t="shared" ca="1" si="148"/>
        <v>9.5530266670023671</v>
      </c>
      <c r="Y182" s="1">
        <f t="shared" ca="1" si="149"/>
        <v>0.58302936777982972</v>
      </c>
      <c r="Z182" s="1">
        <f t="shared" ca="1" si="150"/>
        <v>1040</v>
      </c>
      <c r="AB182" s="1">
        <f t="shared" ca="1" si="151"/>
        <v>0.61965215638117321</v>
      </c>
      <c r="AC182" s="1">
        <f t="shared" ca="1" si="152"/>
        <v>135</v>
      </c>
      <c r="AD182" s="1">
        <f t="shared" ca="1" si="153"/>
        <v>4.3861072716695464E-3</v>
      </c>
      <c r="AE182" s="1"/>
      <c r="AF182" s="1">
        <f t="shared" ca="1" si="154"/>
        <v>0.59931894067529745</v>
      </c>
      <c r="AG182" s="1">
        <f t="shared" ca="1" si="155"/>
        <v>362</v>
      </c>
      <c r="AH182" s="1">
        <f t="shared" ca="1" si="156"/>
        <v>6.1984324416498923E-3</v>
      </c>
      <c r="AJ182" s="1">
        <f t="shared" ca="1" si="157"/>
        <v>0.18967788958909659</v>
      </c>
      <c r="AK182" s="1">
        <f t="shared" ca="1" si="158"/>
        <v>4.008486396878428E-3</v>
      </c>
      <c r="AL182" s="1"/>
      <c r="AM182" s="1">
        <f t="shared" ca="1" si="159"/>
        <v>0.18062997463861272</v>
      </c>
      <c r="AN182" s="1">
        <f t="shared" ca="1" si="160"/>
        <v>58</v>
      </c>
      <c r="AO182" s="1">
        <f t="shared" ca="1" si="161"/>
        <v>13</v>
      </c>
      <c r="AQ182" s="1">
        <f t="shared" ca="1" si="162"/>
        <v>77</v>
      </c>
      <c r="AR182" s="1">
        <f t="shared" ca="1" si="163"/>
        <v>4</v>
      </c>
      <c r="AS182" s="1">
        <f t="shared" ca="1" si="164"/>
        <v>100</v>
      </c>
      <c r="AU182" s="1">
        <f t="shared" ca="1" si="165"/>
        <v>185</v>
      </c>
      <c r="AV182" s="1">
        <f t="shared" ca="1" si="166"/>
        <v>9</v>
      </c>
      <c r="AW182" s="1">
        <f t="shared" ca="1" si="167"/>
        <v>0.15355902878942521</v>
      </c>
      <c r="AY182" s="1">
        <f t="shared" ca="1" si="168"/>
        <v>1.1106141304919721</v>
      </c>
      <c r="AZ182" s="1">
        <f t="shared" ca="1" si="169"/>
        <v>446</v>
      </c>
      <c r="BA182" s="1">
        <f t="shared" ca="1" si="170"/>
        <v>6.2346981904518378E-3</v>
      </c>
      <c r="BG182" s="1">
        <f t="shared" ca="1" si="171"/>
        <v>0.14964047950603354</v>
      </c>
      <c r="BH182" s="1">
        <f t="shared" ca="1" si="172"/>
        <v>0.30989846124771969</v>
      </c>
      <c r="BI182" s="1">
        <f t="shared" ca="1" si="173"/>
        <v>501</v>
      </c>
      <c r="BV182" s="1">
        <f t="shared" ca="1" si="174"/>
        <v>0.90242267565792778</v>
      </c>
      <c r="BW182" s="1">
        <f t="shared" ca="1" si="175"/>
        <v>792</v>
      </c>
      <c r="BX182" s="1">
        <f t="shared" ca="1" si="176"/>
        <v>7.0255866473596697E-3</v>
      </c>
      <c r="BY182" s="1">
        <f t="shared" ca="1" si="177"/>
        <v>9.7973384731141464E-2</v>
      </c>
      <c r="BZ182" s="1">
        <f t="shared" ca="1" si="178"/>
        <v>0.95816977769027445</v>
      </c>
      <c r="CB182" s="1">
        <f t="shared" ca="1" si="179"/>
        <v>471</v>
      </c>
      <c r="CC182" s="1">
        <f t="shared" ca="1" si="180"/>
        <v>13</v>
      </c>
      <c r="CD182" s="1">
        <f t="shared" ca="1" si="181"/>
        <v>0.20396643343825019</v>
      </c>
      <c r="CE182" s="1">
        <f t="shared" ca="1" si="197"/>
        <v>0.93969922108041803</v>
      </c>
      <c r="CF182" s="1">
        <f t="shared" ca="1" si="197"/>
        <v>0.73798694602490955</v>
      </c>
      <c r="CH182" s="3">
        <f t="shared" ca="1" si="183"/>
        <v>0.43603101651014786</v>
      </c>
      <c r="CI182" s="3">
        <f t="shared" ca="1" si="184"/>
        <v>0.3235075696980188</v>
      </c>
      <c r="CJ182" s="3">
        <f t="shared" ca="1" si="185"/>
        <v>1994</v>
      </c>
      <c r="CK182" s="3">
        <f t="shared" ca="1" si="186"/>
        <v>7.3966883201084244E-3</v>
      </c>
      <c r="CL182" s="3">
        <f t="shared" ca="1" si="187"/>
        <v>0</v>
      </c>
      <c r="CM182" s="3"/>
      <c r="CN182" s="1">
        <f t="shared" ca="1" si="188"/>
        <v>9.7629762607457717</v>
      </c>
      <c r="CO182" s="1">
        <f t="shared" ca="1" si="189"/>
        <v>0.10059424703157402</v>
      </c>
      <c r="CP182" s="1">
        <f t="shared" ca="1" si="190"/>
        <v>3</v>
      </c>
      <c r="DH182" s="1">
        <f t="shared" ca="1" si="191"/>
        <v>459</v>
      </c>
      <c r="DI182" s="1">
        <f t="shared" ca="1" si="192"/>
        <v>0.97346809388103173</v>
      </c>
      <c r="DJ182" s="1">
        <f t="shared" ca="1" si="193"/>
        <v>19</v>
      </c>
      <c r="DL182" s="1">
        <f t="shared" ca="1" si="194"/>
        <v>0.17351434513573188</v>
      </c>
      <c r="DM182" s="1">
        <f t="shared" ca="1" si="195"/>
        <v>284</v>
      </c>
      <c r="DN182" s="1">
        <f t="shared" ca="1" si="196"/>
        <v>8</v>
      </c>
    </row>
    <row r="183" spans="2:118" x14ac:dyDescent="0.25">
      <c r="B183">
        <f t="shared" ca="1" si="132"/>
        <v>66</v>
      </c>
      <c r="C183">
        <f t="shared" ca="1" si="133"/>
        <v>22</v>
      </c>
      <c r="D183">
        <f t="shared" ca="1" si="134"/>
        <v>0.13398656581300378</v>
      </c>
      <c r="F183" s="1">
        <f t="shared" ca="1" si="135"/>
        <v>7</v>
      </c>
      <c r="G183" s="1">
        <f t="shared" ca="1" si="136"/>
        <v>2</v>
      </c>
      <c r="H183" s="1">
        <f t="shared" ca="1" si="137"/>
        <v>12</v>
      </c>
      <c r="I183" s="1"/>
      <c r="J183" s="1">
        <f t="shared" ca="1" si="138"/>
        <v>20</v>
      </c>
      <c r="K183" s="1">
        <f t="shared" ca="1" si="139"/>
        <v>2.5767800131185639</v>
      </c>
      <c r="L183" s="1">
        <f t="shared" ca="1" si="140"/>
        <v>12</v>
      </c>
      <c r="M183" s="1"/>
      <c r="N183" s="1">
        <f t="shared" ca="1" si="141"/>
        <v>495</v>
      </c>
      <c r="O183" s="1">
        <f t="shared" ca="1" si="142"/>
        <v>4</v>
      </c>
      <c r="P183" s="1"/>
      <c r="Q183" s="1">
        <f t="shared" ca="1" si="143"/>
        <v>0.81359662272514555</v>
      </c>
      <c r="R183" s="1">
        <f t="shared" ca="1" si="144"/>
        <v>703</v>
      </c>
      <c r="S183" s="1"/>
      <c r="T183" s="1">
        <f t="shared" ca="1" si="145"/>
        <v>8.9330027539708867E-2</v>
      </c>
      <c r="U183" s="1">
        <f t="shared" ca="1" si="146"/>
        <v>278</v>
      </c>
      <c r="V183" s="1">
        <f t="shared" ca="1" si="147"/>
        <v>13</v>
      </c>
      <c r="W183" s="1"/>
      <c r="X183" s="1">
        <f t="shared" ca="1" si="148"/>
        <v>3.9092575175732911</v>
      </c>
      <c r="Y183" s="1">
        <f t="shared" ca="1" si="149"/>
        <v>0.3026995750444883</v>
      </c>
      <c r="Z183" s="1">
        <f t="shared" ca="1" si="150"/>
        <v>1503</v>
      </c>
      <c r="AB183" s="1">
        <f t="shared" ca="1" si="151"/>
        <v>0.51202223538403924</v>
      </c>
      <c r="AC183" s="1">
        <f t="shared" ca="1" si="152"/>
        <v>575</v>
      </c>
      <c r="AD183" s="1">
        <f t="shared" ca="1" si="153"/>
        <v>8.9206208154094541E-3</v>
      </c>
      <c r="AE183" s="1"/>
      <c r="AF183" s="1">
        <f t="shared" ca="1" si="154"/>
        <v>0.21144903573999807</v>
      </c>
      <c r="AG183" s="1">
        <f t="shared" ca="1" si="155"/>
        <v>884</v>
      </c>
      <c r="AH183" s="1">
        <f t="shared" ca="1" si="156"/>
        <v>3.7562199661647583E-3</v>
      </c>
      <c r="AJ183" s="1">
        <f t="shared" ca="1" si="157"/>
        <v>0.37748587202653572</v>
      </c>
      <c r="AK183" s="1">
        <f t="shared" ca="1" si="158"/>
        <v>9.8814327885336818E-3</v>
      </c>
      <c r="AL183" s="1"/>
      <c r="AM183" s="1">
        <f t="shared" ca="1" si="159"/>
        <v>1.1880358015680426E-2</v>
      </c>
      <c r="AN183" s="1">
        <f t="shared" ca="1" si="160"/>
        <v>22</v>
      </c>
      <c r="AO183" s="1">
        <f t="shared" ca="1" si="161"/>
        <v>2</v>
      </c>
      <c r="AQ183" s="1">
        <f t="shared" ca="1" si="162"/>
        <v>45</v>
      </c>
      <c r="AR183" s="1">
        <f t="shared" ca="1" si="163"/>
        <v>3</v>
      </c>
      <c r="AS183" s="1">
        <f t="shared" ca="1" si="164"/>
        <v>16</v>
      </c>
      <c r="AU183" s="1">
        <f t="shared" ca="1" si="165"/>
        <v>222</v>
      </c>
      <c r="AV183" s="1">
        <f t="shared" ca="1" si="166"/>
        <v>3</v>
      </c>
      <c r="AW183" s="1">
        <f t="shared" ca="1" si="167"/>
        <v>0.13104392537892467</v>
      </c>
      <c r="AY183" s="1">
        <f t="shared" ca="1" si="168"/>
        <v>1.1530327785675227</v>
      </c>
      <c r="AZ183" s="1">
        <f t="shared" ca="1" si="169"/>
        <v>79</v>
      </c>
      <c r="BA183" s="1">
        <f t="shared" ca="1" si="170"/>
        <v>2.9482228720925387E-3</v>
      </c>
      <c r="BG183" s="1">
        <f t="shared" ca="1" si="171"/>
        <v>0.69976950681997674</v>
      </c>
      <c r="BH183" s="1">
        <f t="shared" ca="1" si="172"/>
        <v>0.21412656742518732</v>
      </c>
      <c r="BI183" s="1">
        <f t="shared" ca="1" si="173"/>
        <v>197</v>
      </c>
      <c r="BV183" s="1">
        <f t="shared" ca="1" si="174"/>
        <v>0.71330741192942304</v>
      </c>
      <c r="BW183" s="1">
        <f t="shared" ca="1" si="175"/>
        <v>262</v>
      </c>
      <c r="BX183" s="1">
        <f t="shared" ca="1" si="176"/>
        <v>6.9477412927227353E-3</v>
      </c>
      <c r="BY183" s="1">
        <f t="shared" ca="1" si="177"/>
        <v>5.5093564740395354E-2</v>
      </c>
      <c r="BZ183" s="1">
        <f t="shared" ca="1" si="178"/>
        <v>0.89497863124785226</v>
      </c>
      <c r="CB183" s="1">
        <f t="shared" ca="1" si="179"/>
        <v>289</v>
      </c>
      <c r="CC183" s="1">
        <f t="shared" ca="1" si="180"/>
        <v>14</v>
      </c>
      <c r="CD183" s="1">
        <f t="shared" ca="1" si="181"/>
        <v>0.27543963989326525</v>
      </c>
      <c r="CE183" s="1">
        <f t="shared" ca="1" si="197"/>
        <v>0.67042430960392196</v>
      </c>
      <c r="CF183" s="1">
        <f t="shared" ca="1" si="197"/>
        <v>0.69526647332384939</v>
      </c>
      <c r="CH183" s="3">
        <f t="shared" ca="1" si="183"/>
        <v>0.18304437966959045</v>
      </c>
      <c r="CI183" s="3">
        <f t="shared" ca="1" si="184"/>
        <v>0.22444863227185416</v>
      </c>
      <c r="CJ183" s="3">
        <f t="shared" ca="1" si="185"/>
        <v>1817</v>
      </c>
      <c r="CK183" s="3">
        <f t="shared" ca="1" si="186"/>
        <v>9.1327866945639206E-3</v>
      </c>
      <c r="CL183" s="3">
        <f t="shared" ca="1" si="187"/>
        <v>1</v>
      </c>
      <c r="CM183" s="3"/>
      <c r="CN183" s="1">
        <f t="shared" ca="1" si="188"/>
        <v>5.1076121639848697</v>
      </c>
      <c r="CO183" s="1">
        <f t="shared" ca="1" si="189"/>
        <v>5.7687414912503593E-2</v>
      </c>
      <c r="CP183" s="1">
        <f t="shared" ca="1" si="190"/>
        <v>3</v>
      </c>
      <c r="DH183" s="1">
        <f t="shared" ca="1" si="191"/>
        <v>804</v>
      </c>
      <c r="DI183" s="1">
        <f t="shared" ca="1" si="192"/>
        <v>0.44873835793562655</v>
      </c>
      <c r="DJ183" s="1">
        <f t="shared" ca="1" si="193"/>
        <v>6</v>
      </c>
      <c r="DL183" s="1">
        <f t="shared" ca="1" si="194"/>
        <v>6.3450438400876261E-2</v>
      </c>
      <c r="DM183" s="1">
        <f t="shared" ca="1" si="195"/>
        <v>195</v>
      </c>
      <c r="DN183" s="1">
        <f t="shared" ca="1" si="196"/>
        <v>9</v>
      </c>
    </row>
    <row r="184" spans="2:118" x14ac:dyDescent="0.25">
      <c r="B184">
        <f t="shared" ca="1" si="132"/>
        <v>838</v>
      </c>
      <c r="C184">
        <f t="shared" ca="1" si="133"/>
        <v>18</v>
      </c>
      <c r="D184">
        <f t="shared" ca="1" si="134"/>
        <v>0.15401858032969545</v>
      </c>
      <c r="F184" s="1">
        <f t="shared" ca="1" si="135"/>
        <v>38</v>
      </c>
      <c r="G184" s="1">
        <f t="shared" ca="1" si="136"/>
        <v>30</v>
      </c>
      <c r="H184" s="1">
        <f t="shared" ca="1" si="137"/>
        <v>1</v>
      </c>
      <c r="I184" s="1"/>
      <c r="J184" s="1">
        <f t="shared" ca="1" si="138"/>
        <v>31</v>
      </c>
      <c r="K184" s="1">
        <f t="shared" ca="1" si="139"/>
        <v>2.5021093708839719</v>
      </c>
      <c r="L184" s="1">
        <f t="shared" ca="1" si="140"/>
        <v>7</v>
      </c>
      <c r="M184" s="1"/>
      <c r="N184" s="1">
        <f t="shared" ca="1" si="141"/>
        <v>208</v>
      </c>
      <c r="O184" s="1">
        <f t="shared" ca="1" si="142"/>
        <v>49</v>
      </c>
      <c r="P184" s="1"/>
      <c r="Q184" s="1">
        <f t="shared" ca="1" si="143"/>
        <v>1.1270849636870446</v>
      </c>
      <c r="R184" s="1">
        <f t="shared" ca="1" si="144"/>
        <v>958</v>
      </c>
      <c r="S184" s="1"/>
      <c r="T184" s="1">
        <f t="shared" ca="1" si="145"/>
        <v>4.5997719415227178E-2</v>
      </c>
      <c r="U184" s="1">
        <f t="shared" ca="1" si="146"/>
        <v>403</v>
      </c>
      <c r="V184" s="1">
        <f t="shared" ca="1" si="147"/>
        <v>48</v>
      </c>
      <c r="W184" s="1"/>
      <c r="X184" s="1">
        <f t="shared" ca="1" si="148"/>
        <v>7.248004036184426</v>
      </c>
      <c r="Y184" s="1">
        <f t="shared" ca="1" si="149"/>
        <v>0.30387075430198401</v>
      </c>
      <c r="Z184" s="1">
        <f t="shared" ca="1" si="150"/>
        <v>372</v>
      </c>
      <c r="AB184" s="1">
        <f t="shared" ca="1" si="151"/>
        <v>0.24460533337079396</v>
      </c>
      <c r="AC184" s="1">
        <f t="shared" ca="1" si="152"/>
        <v>422</v>
      </c>
      <c r="AD184" s="1">
        <f t="shared" ca="1" si="153"/>
        <v>1.4378164419102167E-3</v>
      </c>
      <c r="AE184" s="1"/>
      <c r="AF184" s="1">
        <f t="shared" ca="1" si="154"/>
        <v>0.1224362650687553</v>
      </c>
      <c r="AG184" s="1">
        <f t="shared" ca="1" si="155"/>
        <v>416</v>
      </c>
      <c r="AH184" s="1">
        <f t="shared" ca="1" si="156"/>
        <v>1.3206867849120492E-3</v>
      </c>
      <c r="AJ184" s="1">
        <f t="shared" ca="1" si="157"/>
        <v>5.2014980060775096E-2</v>
      </c>
      <c r="AK184" s="1">
        <f t="shared" ca="1" si="158"/>
        <v>9.1063073851089613E-3</v>
      </c>
      <c r="AL184" s="1"/>
      <c r="AM184" s="1">
        <f t="shared" ca="1" si="159"/>
        <v>6.3526294007607911E-2</v>
      </c>
      <c r="AN184" s="1">
        <f t="shared" ca="1" si="160"/>
        <v>58</v>
      </c>
      <c r="AO184" s="1">
        <f t="shared" ca="1" si="161"/>
        <v>9</v>
      </c>
      <c r="AQ184" s="1">
        <f t="shared" ca="1" si="162"/>
        <v>86</v>
      </c>
      <c r="AR184" s="1">
        <f t="shared" ca="1" si="163"/>
        <v>4</v>
      </c>
      <c r="AS184" s="1">
        <f t="shared" ca="1" si="164"/>
        <v>69</v>
      </c>
      <c r="AU184" s="1">
        <f t="shared" ca="1" si="165"/>
        <v>97</v>
      </c>
      <c r="AV184" s="1">
        <f t="shared" ca="1" si="166"/>
        <v>3</v>
      </c>
      <c r="AW184" s="1">
        <f t="shared" ca="1" si="167"/>
        <v>0.10598202462774711</v>
      </c>
      <c r="AY184" s="1">
        <f t="shared" ca="1" si="168"/>
        <v>1.6320448926668099</v>
      </c>
      <c r="AZ184" s="1">
        <f t="shared" ca="1" si="169"/>
        <v>150</v>
      </c>
      <c r="BA184" s="1">
        <f t="shared" ca="1" si="170"/>
        <v>2.8077111421823714E-3</v>
      </c>
      <c r="BG184" s="1">
        <f t="shared" ca="1" si="171"/>
        <v>0.32313766639287522</v>
      </c>
      <c r="BH184" s="1">
        <f t="shared" ca="1" si="172"/>
        <v>0.63322749069521533</v>
      </c>
      <c r="BI184" s="1">
        <f t="shared" ca="1" si="173"/>
        <v>827</v>
      </c>
      <c r="BV184" s="1">
        <f t="shared" ca="1" si="174"/>
        <v>0.93885612830368625</v>
      </c>
      <c r="BW184" s="1">
        <f t="shared" ca="1" si="175"/>
        <v>223</v>
      </c>
      <c r="BX184" s="1">
        <f t="shared" ca="1" si="176"/>
        <v>9.2856869361900608E-3</v>
      </c>
      <c r="BY184" s="1">
        <f t="shared" ca="1" si="177"/>
        <v>8.0401067598381559E-2</v>
      </c>
      <c r="BZ184" s="1">
        <f t="shared" ca="1" si="178"/>
        <v>0.11928944957970922</v>
      </c>
      <c r="CB184" s="1">
        <f t="shared" ca="1" si="179"/>
        <v>96</v>
      </c>
      <c r="CC184" s="1">
        <f t="shared" ca="1" si="180"/>
        <v>4</v>
      </c>
      <c r="CD184" s="1">
        <f t="shared" ca="1" si="181"/>
        <v>4.8597406146491842E-2</v>
      </c>
      <c r="CE184" s="1">
        <f t="shared" ca="1" si="197"/>
        <v>0.56854488803928205</v>
      </c>
      <c r="CF184" s="1">
        <f t="shared" ca="1" si="197"/>
        <v>0.51466950729824712</v>
      </c>
      <c r="CH184" s="3">
        <f t="shared" ca="1" si="183"/>
        <v>0.53565336809167874</v>
      </c>
      <c r="CI184" s="3">
        <f t="shared" ca="1" si="184"/>
        <v>0.12566572940290865</v>
      </c>
      <c r="CJ184" s="3">
        <f t="shared" ca="1" si="185"/>
        <v>283</v>
      </c>
      <c r="CK184" s="3">
        <f t="shared" ca="1" si="186"/>
        <v>8.8786942569175285E-5</v>
      </c>
      <c r="CL184" s="3">
        <f t="shared" ca="1" si="187"/>
        <v>1</v>
      </c>
      <c r="CM184" s="3"/>
      <c r="CN184" s="1">
        <f t="shared" ca="1" si="188"/>
        <v>3.792494683950741</v>
      </c>
      <c r="CO184" s="1">
        <f t="shared" ca="1" si="189"/>
        <v>0.36626116807743742</v>
      </c>
      <c r="CP184" s="1">
        <f t="shared" ca="1" si="190"/>
        <v>4</v>
      </c>
      <c r="DH184" s="1">
        <f t="shared" ca="1" si="191"/>
        <v>899</v>
      </c>
      <c r="DI184" s="1">
        <f t="shared" ca="1" si="192"/>
        <v>0.55763278696698415</v>
      </c>
      <c r="DJ184" s="1">
        <f t="shared" ca="1" si="193"/>
        <v>7</v>
      </c>
      <c r="DL184" s="1">
        <f t="shared" ca="1" si="194"/>
        <v>0.1684150888172149</v>
      </c>
      <c r="DM184" s="1">
        <f t="shared" ca="1" si="195"/>
        <v>293</v>
      </c>
      <c r="DN184" s="1">
        <f t="shared" ca="1" si="196"/>
        <v>8</v>
      </c>
    </row>
    <row r="185" spans="2:118" x14ac:dyDescent="0.25">
      <c r="B185">
        <f t="shared" ca="1" si="132"/>
        <v>967</v>
      </c>
      <c r="C185">
        <f t="shared" ca="1" si="133"/>
        <v>6</v>
      </c>
      <c r="D185">
        <f t="shared" ca="1" si="134"/>
        <v>0.10303356497930455</v>
      </c>
      <c r="F185" s="1">
        <f t="shared" ca="1" si="135"/>
        <v>9</v>
      </c>
      <c r="G185" s="1">
        <f t="shared" ca="1" si="136"/>
        <v>23</v>
      </c>
      <c r="H185" s="1">
        <f t="shared" ca="1" si="137"/>
        <v>1</v>
      </c>
      <c r="I185" s="1"/>
      <c r="J185" s="1">
        <f t="shared" ca="1" si="138"/>
        <v>32</v>
      </c>
      <c r="K185" s="1">
        <f t="shared" ca="1" si="139"/>
        <v>1.8391501396529968</v>
      </c>
      <c r="L185" s="1">
        <f t="shared" ca="1" si="140"/>
        <v>14</v>
      </c>
      <c r="M185" s="1"/>
      <c r="N185" s="1">
        <f t="shared" ca="1" si="141"/>
        <v>214</v>
      </c>
      <c r="O185" s="1">
        <f t="shared" ca="1" si="142"/>
        <v>14</v>
      </c>
      <c r="P185" s="1"/>
      <c r="Q185" s="1">
        <f t="shared" ca="1" si="143"/>
        <v>4.7849559234672121</v>
      </c>
      <c r="R185" s="1">
        <f t="shared" ca="1" si="144"/>
        <v>403</v>
      </c>
      <c r="S185" s="1"/>
      <c r="T185" s="1">
        <f t="shared" ca="1" si="145"/>
        <v>0.1057275631921373</v>
      </c>
      <c r="U185" s="1">
        <f t="shared" ca="1" si="146"/>
        <v>295</v>
      </c>
      <c r="V185" s="1">
        <f t="shared" ca="1" si="147"/>
        <v>29</v>
      </c>
      <c r="W185" s="1"/>
      <c r="X185" s="1">
        <f t="shared" ca="1" si="148"/>
        <v>4.6323477391266543</v>
      </c>
      <c r="Y185" s="1">
        <f t="shared" ca="1" si="149"/>
        <v>0.1573674323768898</v>
      </c>
      <c r="Z185" s="1">
        <f t="shared" ca="1" si="150"/>
        <v>822</v>
      </c>
      <c r="AB185" s="1">
        <f t="shared" ca="1" si="151"/>
        <v>0.54745037757813864</v>
      </c>
      <c r="AC185" s="1">
        <f t="shared" ca="1" si="152"/>
        <v>220</v>
      </c>
      <c r="AD185" s="1">
        <f t="shared" ca="1" si="153"/>
        <v>5.4550406292868643E-3</v>
      </c>
      <c r="AE185" s="1"/>
      <c r="AF185" s="1">
        <f t="shared" ca="1" si="154"/>
        <v>0.25562210977061223</v>
      </c>
      <c r="AG185" s="1">
        <f t="shared" ca="1" si="155"/>
        <v>411</v>
      </c>
      <c r="AH185" s="1">
        <f t="shared" ca="1" si="156"/>
        <v>6.4454940231849318E-3</v>
      </c>
      <c r="AJ185" s="1">
        <f t="shared" ca="1" si="157"/>
        <v>0.40872944492957253</v>
      </c>
      <c r="AK185" s="1">
        <f t="shared" ca="1" si="158"/>
        <v>2.2456659031489497E-3</v>
      </c>
      <c r="AL185" s="1"/>
      <c r="AM185" s="1">
        <f t="shared" ca="1" si="159"/>
        <v>0.13236632297807835</v>
      </c>
      <c r="AN185" s="1">
        <f t="shared" ca="1" si="160"/>
        <v>19</v>
      </c>
      <c r="AO185" s="1">
        <f t="shared" ca="1" si="161"/>
        <v>10</v>
      </c>
      <c r="AQ185" s="1">
        <f t="shared" ca="1" si="162"/>
        <v>102</v>
      </c>
      <c r="AR185" s="1">
        <f t="shared" ca="1" si="163"/>
        <v>2</v>
      </c>
      <c r="AS185" s="1">
        <f t="shared" ca="1" si="164"/>
        <v>10</v>
      </c>
      <c r="AU185" s="1">
        <f t="shared" ca="1" si="165"/>
        <v>118</v>
      </c>
      <c r="AV185" s="1">
        <f t="shared" ca="1" si="166"/>
        <v>2</v>
      </c>
      <c r="AW185" s="1">
        <f t="shared" ca="1" si="167"/>
        <v>8.8991417539094758E-2</v>
      </c>
      <c r="AY185" s="1">
        <f t="shared" ca="1" si="168"/>
        <v>1.7034833338942654</v>
      </c>
      <c r="AZ185" s="1">
        <f t="shared" ca="1" si="169"/>
        <v>203</v>
      </c>
      <c r="BA185" s="1">
        <f t="shared" ca="1" si="170"/>
        <v>5.8727656368107667E-3</v>
      </c>
      <c r="BG185" s="1">
        <f t="shared" ca="1" si="171"/>
        <v>5.0350246253802008E-2</v>
      </c>
      <c r="BH185" s="1">
        <f t="shared" ca="1" si="172"/>
        <v>0.61783612364315632</v>
      </c>
      <c r="BI185" s="1">
        <f t="shared" ca="1" si="173"/>
        <v>265</v>
      </c>
      <c r="BV185" s="1">
        <f t="shared" ca="1" si="174"/>
        <v>0.88253625694663806</v>
      </c>
      <c r="BW185" s="1">
        <f t="shared" ca="1" si="175"/>
        <v>697</v>
      </c>
      <c r="BX185" s="1">
        <f t="shared" ca="1" si="176"/>
        <v>9.8043625022257459E-3</v>
      </c>
      <c r="BY185" s="1">
        <f t="shared" ca="1" si="177"/>
        <v>5.4329339564746087E-3</v>
      </c>
      <c r="BZ185" s="1">
        <f t="shared" ca="1" si="178"/>
        <v>0.59544324625427303</v>
      </c>
      <c r="CB185" s="1">
        <f t="shared" ca="1" si="179"/>
        <v>441</v>
      </c>
      <c r="CC185" s="1">
        <f t="shared" ca="1" si="180"/>
        <v>15</v>
      </c>
      <c r="CD185" s="1">
        <f t="shared" ca="1" si="181"/>
        <v>0.22980320241649108</v>
      </c>
      <c r="CE185" s="1">
        <f t="shared" ca="1" si="197"/>
        <v>0.57066959275219498</v>
      </c>
      <c r="CF185" s="1">
        <f t="shared" ca="1" si="197"/>
        <v>0.70377082402402347</v>
      </c>
      <c r="CH185" s="3">
        <f t="shared" ca="1" si="183"/>
        <v>3.2585257750148741E-2</v>
      </c>
      <c r="CI185" s="3">
        <f t="shared" ca="1" si="184"/>
        <v>0.8400074123912078</v>
      </c>
      <c r="CJ185" s="3">
        <f t="shared" ca="1" si="185"/>
        <v>722</v>
      </c>
      <c r="CK185" s="3">
        <f t="shared" ca="1" si="186"/>
        <v>9.4754202755045671E-3</v>
      </c>
      <c r="CL185" s="3">
        <f t="shared" ca="1" si="187"/>
        <v>1</v>
      </c>
      <c r="CM185" s="3"/>
      <c r="CN185" s="1">
        <f t="shared" ca="1" si="188"/>
        <v>12.449537932022237</v>
      </c>
      <c r="CO185" s="1">
        <f t="shared" ca="1" si="189"/>
        <v>2.0577315760087901E-2</v>
      </c>
      <c r="CP185" s="1">
        <f t="shared" ca="1" si="190"/>
        <v>5</v>
      </c>
      <c r="DH185" s="1">
        <f t="shared" ca="1" si="191"/>
        <v>365</v>
      </c>
      <c r="DI185" s="1">
        <f t="shared" ca="1" si="192"/>
        <v>0.53455731338898294</v>
      </c>
      <c r="DJ185" s="1">
        <f t="shared" ca="1" si="193"/>
        <v>5</v>
      </c>
      <c r="DL185" s="1">
        <f t="shared" ca="1" si="194"/>
        <v>9.6100494199105158E-2</v>
      </c>
      <c r="DM185" s="1">
        <f t="shared" ca="1" si="195"/>
        <v>170</v>
      </c>
      <c r="DN185" s="1">
        <f t="shared" ca="1" si="196"/>
        <v>7</v>
      </c>
    </row>
    <row r="186" spans="2:118" x14ac:dyDescent="0.25">
      <c r="B186">
        <f t="shared" ca="1" si="132"/>
        <v>731</v>
      </c>
      <c r="C186">
        <f t="shared" ca="1" si="133"/>
        <v>3</v>
      </c>
      <c r="D186">
        <f t="shared" ca="1" si="134"/>
        <v>0.12984118179730381</v>
      </c>
      <c r="F186" s="1">
        <f t="shared" ca="1" si="135"/>
        <v>44</v>
      </c>
      <c r="G186" s="1">
        <f t="shared" ca="1" si="136"/>
        <v>23</v>
      </c>
      <c r="H186" s="1">
        <f t="shared" ca="1" si="137"/>
        <v>14</v>
      </c>
      <c r="I186" s="1"/>
      <c r="J186" s="1">
        <f t="shared" ca="1" si="138"/>
        <v>3</v>
      </c>
      <c r="K186" s="1">
        <f t="shared" ca="1" si="139"/>
        <v>1.3935221901755135</v>
      </c>
      <c r="L186" s="1">
        <f t="shared" ca="1" si="140"/>
        <v>8</v>
      </c>
      <c r="M186" s="1"/>
      <c r="N186" s="1">
        <f t="shared" ca="1" si="141"/>
        <v>884</v>
      </c>
      <c r="O186" s="1">
        <f t="shared" ca="1" si="142"/>
        <v>47</v>
      </c>
      <c r="P186" s="1"/>
      <c r="Q186" s="1">
        <f t="shared" ca="1" si="143"/>
        <v>2.5904777465647575</v>
      </c>
      <c r="R186" s="1">
        <f t="shared" ca="1" si="144"/>
        <v>449</v>
      </c>
      <c r="S186" s="1"/>
      <c r="T186" s="1">
        <f t="shared" ca="1" si="145"/>
        <v>0.13578233578305215</v>
      </c>
      <c r="U186" s="1">
        <f t="shared" ca="1" si="146"/>
        <v>146</v>
      </c>
      <c r="V186" s="1">
        <f t="shared" ca="1" si="147"/>
        <v>39</v>
      </c>
      <c r="W186" s="1"/>
      <c r="X186" s="1">
        <f t="shared" ca="1" si="148"/>
        <v>9.4126070710548309</v>
      </c>
      <c r="Y186" s="1">
        <f t="shared" ca="1" si="149"/>
        <v>0.44022526578456134</v>
      </c>
      <c r="Z186" s="1">
        <f t="shared" ca="1" si="150"/>
        <v>515</v>
      </c>
      <c r="AB186" s="1">
        <f t="shared" ca="1" si="151"/>
        <v>0.50403180608077558</v>
      </c>
      <c r="AC186" s="1">
        <f t="shared" ca="1" si="152"/>
        <v>416</v>
      </c>
      <c r="AD186" s="1">
        <f t="shared" ca="1" si="153"/>
        <v>1.1190213248847604E-3</v>
      </c>
      <c r="AE186" s="1"/>
      <c r="AF186" s="1">
        <f t="shared" ca="1" si="154"/>
        <v>0.36654061471234634</v>
      </c>
      <c r="AG186" s="1">
        <f t="shared" ca="1" si="155"/>
        <v>162</v>
      </c>
      <c r="AH186" s="1">
        <f t="shared" ca="1" si="156"/>
        <v>9.7508055305599219E-3</v>
      </c>
      <c r="AJ186" s="1">
        <f t="shared" ca="1" si="157"/>
        <v>0.10307355829707654</v>
      </c>
      <c r="AK186" s="1">
        <f t="shared" ca="1" si="158"/>
        <v>8.7515062739121491E-3</v>
      </c>
      <c r="AL186" s="1"/>
      <c r="AM186" s="1">
        <f t="shared" ca="1" si="159"/>
        <v>0.10962944829739506</v>
      </c>
      <c r="AN186" s="1">
        <f t="shared" ca="1" si="160"/>
        <v>55</v>
      </c>
      <c r="AO186" s="1">
        <f t="shared" ca="1" si="161"/>
        <v>4</v>
      </c>
      <c r="AQ186" s="1">
        <f t="shared" ca="1" si="162"/>
        <v>47</v>
      </c>
      <c r="AR186" s="1">
        <f t="shared" ca="1" si="163"/>
        <v>8</v>
      </c>
      <c r="AS186" s="1">
        <f t="shared" ca="1" si="164"/>
        <v>86</v>
      </c>
      <c r="AU186" s="1">
        <f t="shared" ca="1" si="165"/>
        <v>334</v>
      </c>
      <c r="AV186" s="1">
        <f t="shared" ca="1" si="166"/>
        <v>9</v>
      </c>
      <c r="AW186" s="1">
        <f t="shared" ca="1" si="167"/>
        <v>0.17572593959065511</v>
      </c>
      <c r="AY186" s="1">
        <f t="shared" ca="1" si="168"/>
        <v>1.94227859880693</v>
      </c>
      <c r="AZ186" s="1">
        <f t="shared" ca="1" si="169"/>
        <v>359</v>
      </c>
      <c r="BA186" s="1">
        <f t="shared" ca="1" si="170"/>
        <v>3.822097728308143E-3</v>
      </c>
      <c r="BG186" s="1">
        <f t="shared" ca="1" si="171"/>
        <v>0.27414565692574705</v>
      </c>
      <c r="BH186" s="1">
        <f t="shared" ca="1" si="172"/>
        <v>0.63581512602608181</v>
      </c>
      <c r="BI186" s="1">
        <f t="shared" ca="1" si="173"/>
        <v>886</v>
      </c>
      <c r="BV186" s="1">
        <f t="shared" ca="1" si="174"/>
        <v>0.66706977354344277</v>
      </c>
      <c r="BW186" s="1">
        <f t="shared" ca="1" si="175"/>
        <v>491</v>
      </c>
      <c r="BX186" s="1">
        <f t="shared" ca="1" si="176"/>
        <v>5.3912490059012325E-3</v>
      </c>
      <c r="BY186" s="1">
        <f t="shared" ca="1" si="177"/>
        <v>4.0297649154155006E-2</v>
      </c>
      <c r="BZ186" s="1">
        <f t="shared" ca="1" si="178"/>
        <v>0.12969905584205998</v>
      </c>
      <c r="CB186" s="1">
        <f t="shared" ca="1" si="179"/>
        <v>275</v>
      </c>
      <c r="CC186" s="1">
        <f t="shared" ca="1" si="180"/>
        <v>3</v>
      </c>
      <c r="CD186" s="1">
        <f t="shared" ca="1" si="181"/>
        <v>0.11122096962919963</v>
      </c>
      <c r="CE186" s="1">
        <f t="shared" ca="1" si="197"/>
        <v>0.64970516193098238</v>
      </c>
      <c r="CF186" s="1">
        <f t="shared" ca="1" si="197"/>
        <v>0.73960165233079289</v>
      </c>
      <c r="CH186" s="3">
        <f t="shared" ca="1" si="183"/>
        <v>0.77245426886329849</v>
      </c>
      <c r="CI186" s="3">
        <f t="shared" ca="1" si="184"/>
        <v>0.83468840976811176</v>
      </c>
      <c r="CJ186" s="3">
        <f t="shared" ca="1" si="185"/>
        <v>1037</v>
      </c>
      <c r="CK186" s="3">
        <f t="shared" ca="1" si="186"/>
        <v>5.1610401180220301E-3</v>
      </c>
      <c r="CL186" s="3">
        <f t="shared" ca="1" si="187"/>
        <v>1</v>
      </c>
      <c r="CM186" s="3"/>
      <c r="CN186" s="1">
        <f t="shared" ca="1" si="188"/>
        <v>13.048197221990391</v>
      </c>
      <c r="CO186" s="1">
        <f t="shared" ca="1" si="189"/>
        <v>0.30275977973582097</v>
      </c>
      <c r="CP186" s="1">
        <f t="shared" ca="1" si="190"/>
        <v>5</v>
      </c>
      <c r="DH186" s="1">
        <f t="shared" ca="1" si="191"/>
        <v>443</v>
      </c>
      <c r="DI186" s="1">
        <f t="shared" ca="1" si="192"/>
        <v>0.55769242998846502</v>
      </c>
      <c r="DJ186" s="1">
        <f t="shared" ca="1" si="193"/>
        <v>5</v>
      </c>
      <c r="DL186" s="1">
        <f t="shared" ca="1" si="194"/>
        <v>0.19815877526822318</v>
      </c>
      <c r="DM186" s="1">
        <f t="shared" ca="1" si="195"/>
        <v>205</v>
      </c>
      <c r="DN186" s="1">
        <f t="shared" ca="1" si="196"/>
        <v>4</v>
      </c>
    </row>
    <row r="187" spans="2:118" x14ac:dyDescent="0.25">
      <c r="B187">
        <f t="shared" ca="1" si="132"/>
        <v>230</v>
      </c>
      <c r="C187">
        <f t="shared" ca="1" si="133"/>
        <v>42</v>
      </c>
      <c r="D187">
        <f t="shared" ca="1" si="134"/>
        <v>0.16001115935550292</v>
      </c>
      <c r="F187" s="1">
        <f t="shared" ca="1" si="135"/>
        <v>44</v>
      </c>
      <c r="G187" s="1">
        <f t="shared" ca="1" si="136"/>
        <v>11</v>
      </c>
      <c r="H187" s="1">
        <f t="shared" ca="1" si="137"/>
        <v>5</v>
      </c>
      <c r="I187" s="1"/>
      <c r="J187" s="1">
        <f t="shared" ca="1" si="138"/>
        <v>30</v>
      </c>
      <c r="K187" s="1">
        <f t="shared" ca="1" si="139"/>
        <v>1.5988338250602747</v>
      </c>
      <c r="L187" s="1">
        <f t="shared" ca="1" si="140"/>
        <v>7</v>
      </c>
      <c r="M187" s="1"/>
      <c r="N187" s="1">
        <f t="shared" ca="1" si="141"/>
        <v>494</v>
      </c>
      <c r="O187" s="1">
        <f t="shared" ca="1" si="142"/>
        <v>48</v>
      </c>
      <c r="P187" s="1"/>
      <c r="Q187" s="1">
        <f t="shared" ca="1" si="143"/>
        <v>4.3596745935770569</v>
      </c>
      <c r="R187" s="1">
        <f t="shared" ca="1" si="144"/>
        <v>1116</v>
      </c>
      <c r="S187" s="1"/>
      <c r="T187" s="1">
        <f t="shared" ca="1" si="145"/>
        <v>1.271611107969362E-2</v>
      </c>
      <c r="U187" s="1">
        <f t="shared" ca="1" si="146"/>
        <v>433</v>
      </c>
      <c r="V187" s="1">
        <f t="shared" ca="1" si="147"/>
        <v>46</v>
      </c>
      <c r="W187" s="1"/>
      <c r="X187" s="1">
        <f t="shared" ca="1" si="148"/>
        <v>6.1869905173588036</v>
      </c>
      <c r="Y187" s="1">
        <f t="shared" ca="1" si="149"/>
        <v>0.71897810791098349</v>
      </c>
      <c r="Z187" s="1">
        <f t="shared" ca="1" si="150"/>
        <v>1631</v>
      </c>
      <c r="AB187" s="1">
        <f t="shared" ca="1" si="151"/>
        <v>0.67736927323843388</v>
      </c>
      <c r="AC187" s="1">
        <f t="shared" ca="1" si="152"/>
        <v>241</v>
      </c>
      <c r="AD187" s="1">
        <f t="shared" ca="1" si="153"/>
        <v>8.6474298688750152E-3</v>
      </c>
      <c r="AE187" s="1"/>
      <c r="AF187" s="1">
        <f t="shared" ca="1" si="154"/>
        <v>0.5661792381551537</v>
      </c>
      <c r="AG187" s="1">
        <f t="shared" ca="1" si="155"/>
        <v>734</v>
      </c>
      <c r="AH187" s="1">
        <f t="shared" ca="1" si="156"/>
        <v>1.7919510815857939E-3</v>
      </c>
      <c r="AJ187" s="1">
        <f t="shared" ca="1" si="157"/>
        <v>0.59786592298130603</v>
      </c>
      <c r="AK187" s="1">
        <f t="shared" ca="1" si="158"/>
        <v>1.0336911012506509E-3</v>
      </c>
      <c r="AL187" s="1"/>
      <c r="AM187" s="1">
        <f t="shared" ca="1" si="159"/>
        <v>0.16831771587960889</v>
      </c>
      <c r="AN187" s="1">
        <f t="shared" ca="1" si="160"/>
        <v>72</v>
      </c>
      <c r="AO187" s="1">
        <f t="shared" ca="1" si="161"/>
        <v>4</v>
      </c>
      <c r="AQ187" s="1">
        <f t="shared" ca="1" si="162"/>
        <v>146</v>
      </c>
      <c r="AR187" s="1">
        <f t="shared" ca="1" si="163"/>
        <v>1</v>
      </c>
      <c r="AS187" s="1">
        <f t="shared" ca="1" si="164"/>
        <v>29</v>
      </c>
      <c r="AU187" s="1">
        <f t="shared" ca="1" si="165"/>
        <v>191</v>
      </c>
      <c r="AV187" s="1">
        <f t="shared" ca="1" si="166"/>
        <v>6</v>
      </c>
      <c r="AW187" s="1">
        <f t="shared" ca="1" si="167"/>
        <v>4.9087211162841961E-2</v>
      </c>
      <c r="AY187" s="1">
        <f t="shared" ca="1" si="168"/>
        <v>1.4930030003980082</v>
      </c>
      <c r="AZ187" s="1">
        <f t="shared" ca="1" si="169"/>
        <v>144</v>
      </c>
      <c r="BA187" s="1">
        <f t="shared" ca="1" si="170"/>
        <v>1.0803440412554162E-3</v>
      </c>
      <c r="BG187" s="1">
        <f t="shared" ca="1" si="171"/>
        <v>0.13734406504979557</v>
      </c>
      <c r="BH187" s="1">
        <f t="shared" ca="1" si="172"/>
        <v>8.4072092219228844E-2</v>
      </c>
      <c r="BI187" s="1">
        <f t="shared" ca="1" si="173"/>
        <v>546</v>
      </c>
      <c r="BV187" s="1">
        <f t="shared" ca="1" si="174"/>
        <v>0.26417111305730745</v>
      </c>
      <c r="BW187" s="1">
        <f t="shared" ca="1" si="175"/>
        <v>657</v>
      </c>
      <c r="BX187" s="1">
        <f t="shared" ca="1" si="176"/>
        <v>5.2768628533406779E-3</v>
      </c>
      <c r="BY187" s="1">
        <f t="shared" ca="1" si="177"/>
        <v>7.0362489734153329E-3</v>
      </c>
      <c r="BZ187" s="1">
        <f t="shared" ca="1" si="178"/>
        <v>0.85544807033028192</v>
      </c>
      <c r="CB187" s="1">
        <f t="shared" ca="1" si="179"/>
        <v>340</v>
      </c>
      <c r="CC187" s="1">
        <f t="shared" ca="1" si="180"/>
        <v>7</v>
      </c>
      <c r="CD187" s="1">
        <f t="shared" ca="1" si="181"/>
        <v>0.12076093244564647</v>
      </c>
      <c r="CE187" s="1">
        <f t="shared" ca="1" si="197"/>
        <v>0.99092184565725339</v>
      </c>
      <c r="CF187" s="1">
        <f t="shared" ca="1" si="197"/>
        <v>0.73793268749866847</v>
      </c>
      <c r="CH187" s="3">
        <f t="shared" ca="1" si="183"/>
        <v>0.40935789358499886</v>
      </c>
      <c r="CI187" s="3">
        <f t="shared" ca="1" si="184"/>
        <v>0.84118563857245354</v>
      </c>
      <c r="CJ187" s="3">
        <f t="shared" ca="1" si="185"/>
        <v>217</v>
      </c>
      <c r="CK187" s="3">
        <f t="shared" ca="1" si="186"/>
        <v>2.8780868983622168E-3</v>
      </c>
      <c r="CL187" s="3">
        <f t="shared" ca="1" si="187"/>
        <v>0</v>
      </c>
      <c r="CM187" s="3"/>
      <c r="CN187" s="1">
        <f t="shared" ca="1" si="188"/>
        <v>2.5883282928299676</v>
      </c>
      <c r="CO187" s="1">
        <f t="shared" ca="1" si="189"/>
        <v>0.26446787238856723</v>
      </c>
      <c r="CP187" s="1">
        <f t="shared" ca="1" si="190"/>
        <v>4</v>
      </c>
      <c r="DH187" s="1">
        <f t="shared" ca="1" si="191"/>
        <v>274</v>
      </c>
      <c r="DI187" s="1">
        <f t="shared" ca="1" si="192"/>
        <v>0.12105687323223673</v>
      </c>
      <c r="DJ187" s="1">
        <f t="shared" ca="1" si="193"/>
        <v>1</v>
      </c>
      <c r="DL187" s="1">
        <f t="shared" ca="1" si="194"/>
        <v>2.4472430713177794E-2</v>
      </c>
      <c r="DM187" s="1">
        <f t="shared" ca="1" si="195"/>
        <v>59</v>
      </c>
      <c r="DN187" s="1">
        <f t="shared" ca="1" si="196"/>
        <v>10</v>
      </c>
    </row>
    <row r="188" spans="2:118" x14ac:dyDescent="0.25">
      <c r="B188">
        <f t="shared" ca="1" si="132"/>
        <v>63</v>
      </c>
      <c r="C188">
        <f t="shared" ca="1" si="133"/>
        <v>51</v>
      </c>
      <c r="D188">
        <f t="shared" ca="1" si="134"/>
        <v>5.2588909595489973E-2</v>
      </c>
      <c r="F188" s="1">
        <f t="shared" ca="1" si="135"/>
        <v>42</v>
      </c>
      <c r="G188" s="1">
        <f t="shared" ca="1" si="136"/>
        <v>19</v>
      </c>
      <c r="H188" s="1">
        <f t="shared" ca="1" si="137"/>
        <v>3</v>
      </c>
      <c r="I188" s="1"/>
      <c r="J188" s="1">
        <f t="shared" ca="1" si="138"/>
        <v>31</v>
      </c>
      <c r="K188" s="1">
        <f t="shared" ca="1" si="139"/>
        <v>2.2385820756302812</v>
      </c>
      <c r="L188" s="1">
        <f t="shared" ca="1" si="140"/>
        <v>24</v>
      </c>
      <c r="M188" s="1"/>
      <c r="N188" s="1">
        <f t="shared" ca="1" si="141"/>
        <v>707</v>
      </c>
      <c r="O188" s="1">
        <f t="shared" ca="1" si="142"/>
        <v>43</v>
      </c>
      <c r="P188" s="1"/>
      <c r="Q188" s="1">
        <f t="shared" ca="1" si="143"/>
        <v>2.4250829838599044</v>
      </c>
      <c r="R188" s="1">
        <f t="shared" ca="1" si="144"/>
        <v>1164</v>
      </c>
      <c r="S188" s="1"/>
      <c r="T188" s="1">
        <f t="shared" ca="1" si="145"/>
        <v>0.15661727602553768</v>
      </c>
      <c r="U188" s="1">
        <f t="shared" ca="1" si="146"/>
        <v>220</v>
      </c>
      <c r="V188" s="1">
        <f t="shared" ca="1" si="147"/>
        <v>25</v>
      </c>
      <c r="W188" s="1"/>
      <c r="X188" s="1">
        <f t="shared" ca="1" si="148"/>
        <v>2.0369067423012086</v>
      </c>
      <c r="Y188" s="1">
        <f t="shared" ca="1" si="149"/>
        <v>0.50018808315485697</v>
      </c>
      <c r="Z188" s="1">
        <f t="shared" ca="1" si="150"/>
        <v>1064</v>
      </c>
      <c r="AB188" s="1">
        <f t="shared" ca="1" si="151"/>
        <v>0.43294653657998317</v>
      </c>
      <c r="AC188" s="1">
        <f t="shared" ca="1" si="152"/>
        <v>471</v>
      </c>
      <c r="AD188" s="1">
        <f t="shared" ca="1" si="153"/>
        <v>8.4521690207604036E-4</v>
      </c>
      <c r="AE188" s="1"/>
      <c r="AF188" s="1">
        <f t="shared" ca="1" si="154"/>
        <v>0.45199605962661937</v>
      </c>
      <c r="AG188" s="1">
        <f t="shared" ca="1" si="155"/>
        <v>794</v>
      </c>
      <c r="AH188" s="1">
        <f t="shared" ca="1" si="156"/>
        <v>8.8650305557008077E-3</v>
      </c>
      <c r="AJ188" s="1">
        <f t="shared" ca="1" si="157"/>
        <v>0.23914088924128862</v>
      </c>
      <c r="AK188" s="1">
        <f t="shared" ca="1" si="158"/>
        <v>2.1460317509815175E-3</v>
      </c>
      <c r="AL188" s="1"/>
      <c r="AM188" s="1">
        <f t="shared" ca="1" si="159"/>
        <v>0.17449464471723145</v>
      </c>
      <c r="AN188" s="1">
        <f t="shared" ca="1" si="160"/>
        <v>12</v>
      </c>
      <c r="AO188" s="1">
        <f t="shared" ca="1" si="161"/>
        <v>5</v>
      </c>
      <c r="AQ188" s="1">
        <f t="shared" ca="1" si="162"/>
        <v>70</v>
      </c>
      <c r="AR188" s="1">
        <f t="shared" ca="1" si="163"/>
        <v>0</v>
      </c>
      <c r="AS188" s="1">
        <f t="shared" ca="1" si="164"/>
        <v>35</v>
      </c>
      <c r="AU188" s="1">
        <f t="shared" ca="1" si="165"/>
        <v>166</v>
      </c>
      <c r="AV188" s="1">
        <f t="shared" ca="1" si="166"/>
        <v>8</v>
      </c>
      <c r="AW188" s="1">
        <f t="shared" ca="1" si="167"/>
        <v>0.12485167357894782</v>
      </c>
      <c r="AY188" s="1">
        <f t="shared" ca="1" si="168"/>
        <v>1.3693906353936787</v>
      </c>
      <c r="AZ188" s="1">
        <f t="shared" ca="1" si="169"/>
        <v>176</v>
      </c>
      <c r="BA188" s="1">
        <f t="shared" ca="1" si="170"/>
        <v>3.9311065345889939E-3</v>
      </c>
      <c r="BG188" s="1">
        <f t="shared" ca="1" si="171"/>
        <v>0.2466650070131855</v>
      </c>
      <c r="BH188" s="1">
        <f t="shared" ca="1" si="172"/>
        <v>8.6031147810854858E-2</v>
      </c>
      <c r="BI188" s="1">
        <f t="shared" ca="1" si="173"/>
        <v>448</v>
      </c>
      <c r="BV188" s="1">
        <f t="shared" ca="1" si="174"/>
        <v>0.35952475964358815</v>
      </c>
      <c r="BW188" s="1">
        <f t="shared" ca="1" si="175"/>
        <v>965</v>
      </c>
      <c r="BX188" s="1">
        <f t="shared" ca="1" si="176"/>
        <v>3.7959325520561878E-3</v>
      </c>
      <c r="BY188" s="1">
        <f t="shared" ca="1" si="177"/>
        <v>8.9299847610088537E-2</v>
      </c>
      <c r="BZ188" s="1">
        <f t="shared" ca="1" si="178"/>
        <v>0.80237974568222747</v>
      </c>
      <c r="CB188" s="1">
        <f t="shared" ca="1" si="179"/>
        <v>332</v>
      </c>
      <c r="CC188" s="1">
        <f t="shared" ca="1" si="180"/>
        <v>8</v>
      </c>
      <c r="CD188" s="1">
        <f t="shared" ca="1" si="181"/>
        <v>0.29439564900849102</v>
      </c>
      <c r="CE188" s="1">
        <f t="shared" ca="1" si="197"/>
        <v>0.57365667949862287</v>
      </c>
      <c r="CF188" s="1">
        <f t="shared" ca="1" si="197"/>
        <v>0.90857665124310183</v>
      </c>
      <c r="CH188" s="3">
        <f t="shared" ca="1" si="183"/>
        <v>0.38746280147046269</v>
      </c>
      <c r="CI188" s="3">
        <f t="shared" ca="1" si="184"/>
        <v>8.2250758699252469E-2</v>
      </c>
      <c r="CJ188" s="3">
        <f t="shared" ca="1" si="185"/>
        <v>1369</v>
      </c>
      <c r="CK188" s="3">
        <f t="shared" ca="1" si="186"/>
        <v>3.1194248596550533E-3</v>
      </c>
      <c r="CL188" s="3">
        <f t="shared" ca="1" si="187"/>
        <v>1</v>
      </c>
      <c r="CM188" s="3"/>
      <c r="CN188" s="1">
        <f t="shared" ca="1" si="188"/>
        <v>0.55955010186259646</v>
      </c>
      <c r="CO188" s="1">
        <f t="shared" ca="1" si="189"/>
        <v>0.48367613147367711</v>
      </c>
      <c r="CP188" s="1">
        <f t="shared" ca="1" si="190"/>
        <v>1</v>
      </c>
      <c r="DH188" s="1">
        <f t="shared" ca="1" si="191"/>
        <v>358</v>
      </c>
      <c r="DI188" s="1">
        <f t="shared" ca="1" si="192"/>
        <v>0.26001408659135877</v>
      </c>
      <c r="DJ188" s="1">
        <f t="shared" ca="1" si="193"/>
        <v>12</v>
      </c>
      <c r="DL188" s="1">
        <f t="shared" ca="1" si="194"/>
        <v>3.9030133920238477E-2</v>
      </c>
      <c r="DM188" s="1">
        <f t="shared" ca="1" si="195"/>
        <v>204</v>
      </c>
      <c r="DN188" s="1">
        <f t="shared" ca="1" si="196"/>
        <v>4</v>
      </c>
    </row>
    <row r="189" spans="2:118" x14ac:dyDescent="0.25">
      <c r="B189">
        <f t="shared" ca="1" si="132"/>
        <v>134</v>
      </c>
      <c r="C189">
        <f t="shared" ca="1" si="133"/>
        <v>22</v>
      </c>
      <c r="D189">
        <f t="shared" ca="1" si="134"/>
        <v>0.21093690951743668</v>
      </c>
      <c r="F189" s="1">
        <f t="shared" ca="1" si="135"/>
        <v>18</v>
      </c>
      <c r="G189" s="1">
        <f t="shared" ca="1" si="136"/>
        <v>5</v>
      </c>
      <c r="H189" s="1">
        <f t="shared" ca="1" si="137"/>
        <v>15</v>
      </c>
      <c r="I189" s="1"/>
      <c r="J189" s="1">
        <f t="shared" ca="1" si="138"/>
        <v>1</v>
      </c>
      <c r="K189" s="1">
        <f t="shared" ca="1" si="139"/>
        <v>2.6210642527253825</v>
      </c>
      <c r="L189" s="1">
        <f t="shared" ca="1" si="140"/>
        <v>17</v>
      </c>
      <c r="M189" s="1"/>
      <c r="N189" s="1">
        <f t="shared" ca="1" si="141"/>
        <v>542</v>
      </c>
      <c r="O189" s="1">
        <f t="shared" ca="1" si="142"/>
        <v>17</v>
      </c>
      <c r="P189" s="1"/>
      <c r="Q189" s="1">
        <f t="shared" ca="1" si="143"/>
        <v>4.5525218603238438</v>
      </c>
      <c r="R189" s="1">
        <f t="shared" ca="1" si="144"/>
        <v>385</v>
      </c>
      <c r="S189" s="1"/>
      <c r="T189" s="1">
        <f t="shared" ca="1" si="145"/>
        <v>0.18060569400752932</v>
      </c>
      <c r="U189" s="1">
        <f t="shared" ca="1" si="146"/>
        <v>333</v>
      </c>
      <c r="V189" s="1">
        <f t="shared" ca="1" si="147"/>
        <v>16</v>
      </c>
      <c r="W189" s="1"/>
      <c r="X189" s="1">
        <f t="shared" ca="1" si="148"/>
        <v>6.3027889647579585</v>
      </c>
      <c r="Y189" s="1">
        <f t="shared" ca="1" si="149"/>
        <v>0.48099945171907271</v>
      </c>
      <c r="Z189" s="1">
        <f t="shared" ca="1" si="150"/>
        <v>513</v>
      </c>
      <c r="AB189" s="1">
        <f t="shared" ca="1" si="151"/>
        <v>0.59117643012410248</v>
      </c>
      <c r="AC189" s="1">
        <f t="shared" ca="1" si="152"/>
        <v>851</v>
      </c>
      <c r="AD189" s="1">
        <f t="shared" ca="1" si="153"/>
        <v>4.6981538692679433E-3</v>
      </c>
      <c r="AE189" s="1"/>
      <c r="AF189" s="1">
        <f t="shared" ca="1" si="154"/>
        <v>0.60900262174416597</v>
      </c>
      <c r="AG189" s="1">
        <f t="shared" ca="1" si="155"/>
        <v>563</v>
      </c>
      <c r="AH189" s="1">
        <f t="shared" ca="1" si="156"/>
        <v>1.1977855469428556E-3</v>
      </c>
      <c r="AJ189" s="1">
        <f t="shared" ca="1" si="157"/>
        <v>8.0907349460443423E-2</v>
      </c>
      <c r="AK189" s="1">
        <f t="shared" ca="1" si="158"/>
        <v>9.2527816424961395E-3</v>
      </c>
      <c r="AL189" s="1"/>
      <c r="AM189" s="1">
        <f t="shared" ca="1" si="159"/>
        <v>0.15462940975203507</v>
      </c>
      <c r="AN189" s="1">
        <f t="shared" ca="1" si="160"/>
        <v>80</v>
      </c>
      <c r="AO189" s="1">
        <f t="shared" ca="1" si="161"/>
        <v>4</v>
      </c>
      <c r="AQ189" s="1">
        <f t="shared" ca="1" si="162"/>
        <v>149</v>
      </c>
      <c r="AR189" s="1">
        <f t="shared" ca="1" si="163"/>
        <v>3</v>
      </c>
      <c r="AS189" s="1">
        <f t="shared" ca="1" si="164"/>
        <v>42</v>
      </c>
      <c r="AU189" s="1">
        <f t="shared" ca="1" si="165"/>
        <v>305</v>
      </c>
      <c r="AV189" s="1">
        <f t="shared" ca="1" si="166"/>
        <v>7</v>
      </c>
      <c r="AW189" s="1">
        <f t="shared" ca="1" si="167"/>
        <v>5.3881407837473728E-2</v>
      </c>
      <c r="AY189" s="1">
        <f t="shared" ca="1" si="168"/>
        <v>1.9107213602132274</v>
      </c>
      <c r="AZ189" s="1">
        <f t="shared" ca="1" si="169"/>
        <v>222</v>
      </c>
      <c r="BA189" s="1">
        <f t="shared" ca="1" si="170"/>
        <v>5.6472440862884539E-3</v>
      </c>
      <c r="BG189" s="1">
        <f t="shared" ca="1" si="171"/>
        <v>0.98529221354490071</v>
      </c>
      <c r="BH189" s="1">
        <f t="shared" ca="1" si="172"/>
        <v>0.34162980318971992</v>
      </c>
      <c r="BI189" s="1">
        <f t="shared" ca="1" si="173"/>
        <v>482</v>
      </c>
      <c r="BV189" s="1">
        <f t="shared" ca="1" si="174"/>
        <v>0.18535773191376706</v>
      </c>
      <c r="BW189" s="1">
        <f t="shared" ca="1" si="175"/>
        <v>838</v>
      </c>
      <c r="BX189" s="1">
        <f t="shared" ca="1" si="176"/>
        <v>8.2130301203157917E-3</v>
      </c>
      <c r="BY189" s="1">
        <f t="shared" ca="1" si="177"/>
        <v>8.038486085853136E-2</v>
      </c>
      <c r="BZ189" s="1">
        <f t="shared" ca="1" si="178"/>
        <v>0.51277249382352574</v>
      </c>
      <c r="CB189" s="1">
        <f t="shared" ca="1" si="179"/>
        <v>281</v>
      </c>
      <c r="CC189" s="1">
        <f t="shared" ca="1" si="180"/>
        <v>11</v>
      </c>
      <c r="CD189" s="1">
        <f t="shared" ca="1" si="181"/>
        <v>0.13156906270334115</v>
      </c>
      <c r="CE189" s="1">
        <f t="shared" ca="1" si="197"/>
        <v>0.56461436094420803</v>
      </c>
      <c r="CF189" s="1">
        <f t="shared" ca="1" si="197"/>
        <v>0.75333271931986845</v>
      </c>
      <c r="CH189" s="3">
        <f t="shared" ca="1" si="183"/>
        <v>0.81005641591978561</v>
      </c>
      <c r="CI189" s="3">
        <f t="shared" ca="1" si="184"/>
        <v>0.56391687439179128</v>
      </c>
      <c r="CJ189" s="3">
        <f t="shared" ca="1" si="185"/>
        <v>585</v>
      </c>
      <c r="CK189" s="3">
        <f t="shared" ca="1" si="186"/>
        <v>8.5162634681259595E-3</v>
      </c>
      <c r="CL189" s="3">
        <f t="shared" ca="1" si="187"/>
        <v>1</v>
      </c>
      <c r="CM189" s="3"/>
      <c r="CN189" s="1">
        <f t="shared" ca="1" si="188"/>
        <v>16.845638387372418</v>
      </c>
      <c r="CO189" s="1">
        <f t="shared" ca="1" si="189"/>
        <v>0.42396072667865331</v>
      </c>
      <c r="CP189" s="1">
        <f t="shared" ca="1" si="190"/>
        <v>2</v>
      </c>
      <c r="DH189" s="1">
        <f t="shared" ca="1" si="191"/>
        <v>144</v>
      </c>
      <c r="DI189" s="1">
        <f t="shared" ca="1" si="192"/>
        <v>0.97268664673820471</v>
      </c>
      <c r="DJ189" s="1">
        <f t="shared" ca="1" si="193"/>
        <v>11</v>
      </c>
      <c r="DL189" s="1">
        <f t="shared" ca="1" si="194"/>
        <v>2.5084931966160143E-2</v>
      </c>
      <c r="DM189" s="1">
        <f t="shared" ca="1" si="195"/>
        <v>115</v>
      </c>
      <c r="DN189" s="1">
        <f t="shared" ca="1" si="196"/>
        <v>6</v>
      </c>
    </row>
    <row r="190" spans="2:118" x14ac:dyDescent="0.25">
      <c r="B190">
        <f t="shared" ca="1" si="132"/>
        <v>435</v>
      </c>
      <c r="C190">
        <f t="shared" ca="1" si="133"/>
        <v>13</v>
      </c>
      <c r="D190">
        <f t="shared" ca="1" si="134"/>
        <v>2.7759103415661963E-2</v>
      </c>
      <c r="F190" s="1">
        <f t="shared" ca="1" si="135"/>
        <v>7</v>
      </c>
      <c r="G190" s="1">
        <f t="shared" ca="1" si="136"/>
        <v>24</v>
      </c>
      <c r="H190" s="1">
        <f t="shared" ca="1" si="137"/>
        <v>2</v>
      </c>
      <c r="I190" s="1"/>
      <c r="J190" s="1">
        <f t="shared" ca="1" si="138"/>
        <v>18</v>
      </c>
      <c r="K190" s="1">
        <f t="shared" ca="1" si="139"/>
        <v>2.3664089202151111</v>
      </c>
      <c r="L190" s="1">
        <f t="shared" ca="1" si="140"/>
        <v>13</v>
      </c>
      <c r="M190" s="1"/>
      <c r="N190" s="1">
        <f t="shared" ca="1" si="141"/>
        <v>978</v>
      </c>
      <c r="O190" s="1">
        <f t="shared" ca="1" si="142"/>
        <v>48</v>
      </c>
      <c r="P190" s="1"/>
      <c r="Q190" s="1">
        <f t="shared" ca="1" si="143"/>
        <v>2.7240805832397261</v>
      </c>
      <c r="R190" s="1">
        <f t="shared" ca="1" si="144"/>
        <v>672</v>
      </c>
      <c r="S190" s="1"/>
      <c r="T190" s="1">
        <f t="shared" ca="1" si="145"/>
        <v>3.1632844360330072E-2</v>
      </c>
      <c r="U190" s="1">
        <f t="shared" ca="1" si="146"/>
        <v>299</v>
      </c>
      <c r="V190" s="1">
        <f t="shared" ca="1" si="147"/>
        <v>37</v>
      </c>
      <c r="W190" s="1"/>
      <c r="X190" s="1">
        <f t="shared" ca="1" si="148"/>
        <v>2.4919011409512879</v>
      </c>
      <c r="Y190" s="1">
        <f t="shared" ca="1" si="149"/>
        <v>0.14356902116251</v>
      </c>
      <c r="Z190" s="1">
        <f t="shared" ca="1" si="150"/>
        <v>916</v>
      </c>
      <c r="AB190" s="1">
        <f t="shared" ca="1" si="151"/>
        <v>0.25377200006904849</v>
      </c>
      <c r="AC190" s="1">
        <f t="shared" ca="1" si="152"/>
        <v>408</v>
      </c>
      <c r="AD190" s="1">
        <f t="shared" ca="1" si="153"/>
        <v>8.635098209561435E-3</v>
      </c>
      <c r="AE190" s="1"/>
      <c r="AF190" s="1">
        <f t="shared" ca="1" si="154"/>
        <v>0.36230003224271035</v>
      </c>
      <c r="AG190" s="1">
        <f t="shared" ca="1" si="155"/>
        <v>215</v>
      </c>
      <c r="AH190" s="1">
        <f t="shared" ca="1" si="156"/>
        <v>4.3400530639965346E-3</v>
      </c>
      <c r="AJ190" s="1">
        <f t="shared" ca="1" si="157"/>
        <v>9.2667640006242835E-2</v>
      </c>
      <c r="AK190" s="1">
        <f t="shared" ca="1" si="158"/>
        <v>4.7225803407659021E-3</v>
      </c>
      <c r="AL190" s="1"/>
      <c r="AM190" s="1">
        <f t="shared" ca="1" si="159"/>
        <v>0.17635118807282285</v>
      </c>
      <c r="AN190" s="1">
        <f t="shared" ca="1" si="160"/>
        <v>50</v>
      </c>
      <c r="AO190" s="1">
        <f t="shared" ca="1" si="161"/>
        <v>19</v>
      </c>
      <c r="AQ190" s="1">
        <f t="shared" ca="1" si="162"/>
        <v>149</v>
      </c>
      <c r="AR190" s="1">
        <f t="shared" ca="1" si="163"/>
        <v>1</v>
      </c>
      <c r="AS190" s="1">
        <f t="shared" ca="1" si="164"/>
        <v>8</v>
      </c>
      <c r="AU190" s="1">
        <f t="shared" ca="1" si="165"/>
        <v>207</v>
      </c>
      <c r="AV190" s="1">
        <f t="shared" ca="1" si="166"/>
        <v>9</v>
      </c>
      <c r="AW190" s="1">
        <f t="shared" ca="1" si="167"/>
        <v>2.5591595157270559E-2</v>
      </c>
      <c r="AY190" s="1">
        <f t="shared" ca="1" si="168"/>
        <v>1.1517521004233291</v>
      </c>
      <c r="AZ190" s="1">
        <f t="shared" ca="1" si="169"/>
        <v>170</v>
      </c>
      <c r="BA190" s="1">
        <f t="shared" ca="1" si="170"/>
        <v>8.3460549951553768E-3</v>
      </c>
      <c r="BG190" s="1">
        <f t="shared" ca="1" si="171"/>
        <v>0.13151984336525493</v>
      </c>
      <c r="BH190" s="1">
        <f t="shared" ca="1" si="172"/>
        <v>0.6529338236198603</v>
      </c>
      <c r="BI190" s="1">
        <f t="shared" ca="1" si="173"/>
        <v>320</v>
      </c>
      <c r="BV190" s="1">
        <f t="shared" ca="1" si="174"/>
        <v>0.29600809047421406</v>
      </c>
      <c r="BW190" s="1">
        <f t="shared" ca="1" si="175"/>
        <v>726</v>
      </c>
      <c r="BX190" s="1">
        <f t="shared" ca="1" si="176"/>
        <v>2.7676096911702572E-3</v>
      </c>
      <c r="BY190" s="1">
        <f t="shared" ca="1" si="177"/>
        <v>5.7138848931289066E-2</v>
      </c>
      <c r="BZ190" s="1">
        <f t="shared" ca="1" si="178"/>
        <v>0.32057939508276112</v>
      </c>
      <c r="CB190" s="1">
        <f t="shared" ca="1" si="179"/>
        <v>474</v>
      </c>
      <c r="CC190" s="1">
        <f t="shared" ca="1" si="180"/>
        <v>12</v>
      </c>
      <c r="CD190" s="1">
        <f t="shared" ca="1" si="181"/>
        <v>0.19261998242500988</v>
      </c>
      <c r="CE190" s="1">
        <f t="shared" ca="1" si="197"/>
        <v>0.80664964156630292</v>
      </c>
      <c r="CF190" s="1">
        <f t="shared" ca="1" si="197"/>
        <v>0.93136122077293904</v>
      </c>
      <c r="CH190" s="3">
        <f t="shared" ca="1" si="183"/>
        <v>0.17714019206175219</v>
      </c>
      <c r="CI190" s="3">
        <f t="shared" ca="1" si="184"/>
        <v>0.60264505944062363</v>
      </c>
      <c r="CJ190" s="3">
        <f t="shared" ca="1" si="185"/>
        <v>135</v>
      </c>
      <c r="CK190" s="3">
        <f t="shared" ca="1" si="186"/>
        <v>9.5169973928416959E-3</v>
      </c>
      <c r="CL190" s="3">
        <f t="shared" ca="1" si="187"/>
        <v>1</v>
      </c>
      <c r="CM190" s="3"/>
      <c r="CN190" s="1">
        <f t="shared" ca="1" si="188"/>
        <v>4.7970538374035829</v>
      </c>
      <c r="CO190" s="1">
        <f t="shared" ca="1" si="189"/>
        <v>0.49409441128430687</v>
      </c>
      <c r="CP190" s="1">
        <f t="shared" ca="1" si="190"/>
        <v>4</v>
      </c>
      <c r="DH190" s="1">
        <f t="shared" ca="1" si="191"/>
        <v>610</v>
      </c>
      <c r="DI190" s="1">
        <f t="shared" ca="1" si="192"/>
        <v>0.54441694219645842</v>
      </c>
      <c r="DJ190" s="1">
        <f t="shared" ca="1" si="193"/>
        <v>26</v>
      </c>
      <c r="DL190" s="1">
        <f t="shared" ca="1" si="194"/>
        <v>1.4050279536958409E-2</v>
      </c>
      <c r="DM190" s="1">
        <f t="shared" ca="1" si="195"/>
        <v>208</v>
      </c>
      <c r="DN190" s="1">
        <f t="shared" ca="1" si="196"/>
        <v>1</v>
      </c>
    </row>
    <row r="191" spans="2:118" x14ac:dyDescent="0.25">
      <c r="B191">
        <f t="shared" ca="1" si="132"/>
        <v>985</v>
      </c>
      <c r="C191">
        <f t="shared" ca="1" si="133"/>
        <v>11</v>
      </c>
      <c r="D191">
        <f t="shared" ca="1" si="134"/>
        <v>5.9850277764355274E-2</v>
      </c>
      <c r="F191" s="1">
        <f t="shared" ca="1" si="135"/>
        <v>3</v>
      </c>
      <c r="G191" s="1">
        <f t="shared" ca="1" si="136"/>
        <v>9</v>
      </c>
      <c r="H191" s="1">
        <f t="shared" ca="1" si="137"/>
        <v>3</v>
      </c>
      <c r="I191" s="1"/>
      <c r="J191" s="1">
        <f t="shared" ca="1" si="138"/>
        <v>19</v>
      </c>
      <c r="K191" s="1">
        <f t="shared" ca="1" si="139"/>
        <v>1.6491439192205355</v>
      </c>
      <c r="L191" s="1">
        <f t="shared" ca="1" si="140"/>
        <v>16</v>
      </c>
      <c r="M191" s="1"/>
      <c r="N191" s="1">
        <f t="shared" ca="1" si="141"/>
        <v>364</v>
      </c>
      <c r="O191" s="1">
        <f t="shared" ca="1" si="142"/>
        <v>13</v>
      </c>
      <c r="P191" s="1"/>
      <c r="Q191" s="1">
        <f t="shared" ca="1" si="143"/>
        <v>3.6802076488576541</v>
      </c>
      <c r="R191" s="1">
        <f t="shared" ca="1" si="144"/>
        <v>892</v>
      </c>
      <c r="S191" s="1"/>
      <c r="T191" s="1">
        <f t="shared" ca="1" si="145"/>
        <v>9.4724803735900726E-2</v>
      </c>
      <c r="U191" s="1">
        <f t="shared" ca="1" si="146"/>
        <v>308</v>
      </c>
      <c r="V191" s="1">
        <f t="shared" ca="1" si="147"/>
        <v>32</v>
      </c>
      <c r="W191" s="1"/>
      <c r="X191" s="1">
        <f t="shared" ca="1" si="148"/>
        <v>0.29978717368670826</v>
      </c>
      <c r="Y191" s="1">
        <f t="shared" ca="1" si="149"/>
        <v>0.69227184631710659</v>
      </c>
      <c r="Z191" s="1">
        <f t="shared" ca="1" si="150"/>
        <v>1081</v>
      </c>
      <c r="AB191" s="1">
        <f t="shared" ca="1" si="151"/>
        <v>0.56544247963304106</v>
      </c>
      <c r="AC191" s="1">
        <f t="shared" ca="1" si="152"/>
        <v>980</v>
      </c>
      <c r="AD191" s="1">
        <f t="shared" ca="1" si="153"/>
        <v>1.3820406588613784E-3</v>
      </c>
      <c r="AE191" s="1"/>
      <c r="AF191" s="1">
        <f t="shared" ca="1" si="154"/>
        <v>0.71842038434365807</v>
      </c>
      <c r="AG191" s="1">
        <f t="shared" ca="1" si="155"/>
        <v>413</v>
      </c>
      <c r="AH191" s="1">
        <f t="shared" ca="1" si="156"/>
        <v>1.1256251726920138E-3</v>
      </c>
      <c r="AJ191" s="1">
        <f t="shared" ca="1" si="157"/>
        <v>0.56819900842737847</v>
      </c>
      <c r="AK191" s="1">
        <f t="shared" ca="1" si="158"/>
        <v>5.3173214970660652E-3</v>
      </c>
      <c r="AL191" s="1"/>
      <c r="AM191" s="1">
        <f t="shared" ca="1" si="159"/>
        <v>0.10323488079233149</v>
      </c>
      <c r="AN191" s="1">
        <f t="shared" ca="1" si="160"/>
        <v>72</v>
      </c>
      <c r="AO191" s="1">
        <f t="shared" ca="1" si="161"/>
        <v>17</v>
      </c>
      <c r="AQ191" s="1">
        <f t="shared" ca="1" si="162"/>
        <v>172</v>
      </c>
      <c r="AR191" s="1">
        <f t="shared" ca="1" si="163"/>
        <v>8</v>
      </c>
      <c r="AS191" s="1">
        <f t="shared" ca="1" si="164"/>
        <v>82</v>
      </c>
      <c r="AU191" s="1">
        <f t="shared" ca="1" si="165"/>
        <v>62</v>
      </c>
      <c r="AV191" s="1">
        <f t="shared" ca="1" si="166"/>
        <v>7</v>
      </c>
      <c r="AW191" s="1">
        <f t="shared" ca="1" si="167"/>
        <v>0.15554181453272536</v>
      </c>
      <c r="AY191" s="1">
        <f t="shared" ca="1" si="168"/>
        <v>1.2773169274302907</v>
      </c>
      <c r="AZ191" s="1">
        <f t="shared" ca="1" si="169"/>
        <v>440</v>
      </c>
      <c r="BA191" s="1">
        <f t="shared" ca="1" si="170"/>
        <v>2.0154284333531894E-3</v>
      </c>
      <c r="BG191" s="1">
        <f t="shared" ca="1" si="171"/>
        <v>0.75215411380367325</v>
      </c>
      <c r="BH191" s="1">
        <f t="shared" ca="1" si="172"/>
        <v>0.43375575580995396</v>
      </c>
      <c r="BI191" s="1">
        <f t="shared" ca="1" si="173"/>
        <v>519</v>
      </c>
      <c r="BV191" s="1">
        <f t="shared" ca="1" si="174"/>
        <v>2.9054717045926711E-2</v>
      </c>
      <c r="BW191" s="1">
        <f t="shared" ca="1" si="175"/>
        <v>111</v>
      </c>
      <c r="BX191" s="1">
        <f t="shared" ca="1" si="176"/>
        <v>8.5587680329130035E-3</v>
      </c>
      <c r="BY191" s="1">
        <f t="shared" ca="1" si="177"/>
        <v>6.0624061941458501E-2</v>
      </c>
      <c r="BZ191" s="1">
        <f t="shared" ca="1" si="178"/>
        <v>0.95983805785147369</v>
      </c>
      <c r="CB191" s="1">
        <f t="shared" ca="1" si="179"/>
        <v>241</v>
      </c>
      <c r="CC191" s="1">
        <f t="shared" ca="1" si="180"/>
        <v>11</v>
      </c>
      <c r="CD191" s="1">
        <f t="shared" ca="1" si="181"/>
        <v>0.29733766081972973</v>
      </c>
      <c r="CE191" s="1">
        <f t="shared" ca="1" si="197"/>
        <v>0.65688135495581912</v>
      </c>
      <c r="CF191" s="1">
        <f t="shared" ca="1" si="197"/>
        <v>0.54603948040232853</v>
      </c>
      <c r="CH191" s="3">
        <f t="shared" ca="1" si="183"/>
        <v>0.81900500251564601</v>
      </c>
      <c r="CI191" s="3">
        <f t="shared" ca="1" si="184"/>
        <v>0.64358130084684928</v>
      </c>
      <c r="CJ191" s="3">
        <f t="shared" ca="1" si="185"/>
        <v>1603</v>
      </c>
      <c r="CK191" s="3">
        <f t="shared" ca="1" si="186"/>
        <v>7.1101500091108258E-3</v>
      </c>
      <c r="CL191" s="3">
        <f t="shared" ca="1" si="187"/>
        <v>1</v>
      </c>
      <c r="CM191" s="3"/>
      <c r="CN191" s="1">
        <f t="shared" ca="1" si="188"/>
        <v>16.114721822744063</v>
      </c>
      <c r="CO191" s="1">
        <f t="shared" ca="1" si="189"/>
        <v>0.33884065071928615</v>
      </c>
      <c r="CP191" s="1">
        <f t="shared" ca="1" si="190"/>
        <v>5</v>
      </c>
      <c r="DH191" s="1">
        <f t="shared" ca="1" si="191"/>
        <v>437</v>
      </c>
      <c r="DI191" s="1">
        <f t="shared" ca="1" si="192"/>
        <v>1.646037054564211E-2</v>
      </c>
      <c r="DJ191" s="1">
        <f t="shared" ca="1" si="193"/>
        <v>14</v>
      </c>
      <c r="DL191" s="1">
        <f t="shared" ca="1" si="194"/>
        <v>0.17881297204829924</v>
      </c>
      <c r="DM191" s="1">
        <f t="shared" ca="1" si="195"/>
        <v>163</v>
      </c>
      <c r="DN191" s="1">
        <f t="shared" ca="1" si="196"/>
        <v>5</v>
      </c>
    </row>
    <row r="192" spans="2:118" x14ac:dyDescent="0.25">
      <c r="B192">
        <f t="shared" ca="1" si="132"/>
        <v>24</v>
      </c>
      <c r="C192">
        <f t="shared" ca="1" si="133"/>
        <v>32</v>
      </c>
      <c r="D192">
        <f t="shared" ca="1" si="134"/>
        <v>0.1392707366073753</v>
      </c>
      <c r="F192" s="1">
        <f t="shared" ca="1" si="135"/>
        <v>28</v>
      </c>
      <c r="G192" s="1">
        <f t="shared" ca="1" si="136"/>
        <v>29</v>
      </c>
      <c r="H192" s="1">
        <f t="shared" ca="1" si="137"/>
        <v>9</v>
      </c>
      <c r="I192" s="1"/>
      <c r="J192" s="1">
        <f t="shared" ca="1" si="138"/>
        <v>9</v>
      </c>
      <c r="K192" s="1">
        <f t="shared" ca="1" si="139"/>
        <v>2.6609482650648677</v>
      </c>
      <c r="L192" s="1">
        <f t="shared" ca="1" si="140"/>
        <v>20</v>
      </c>
      <c r="M192" s="1"/>
      <c r="N192" s="1">
        <f t="shared" ca="1" si="141"/>
        <v>488</v>
      </c>
      <c r="O192" s="1">
        <f t="shared" ca="1" si="142"/>
        <v>52</v>
      </c>
      <c r="P192" s="1"/>
      <c r="Q192" s="1">
        <f t="shared" ca="1" si="143"/>
        <v>2.4142661177615956</v>
      </c>
      <c r="R192" s="1">
        <f t="shared" ca="1" si="144"/>
        <v>473</v>
      </c>
      <c r="S192" s="1"/>
      <c r="T192" s="1">
        <f t="shared" ca="1" si="145"/>
        <v>6.5040495036923412E-2</v>
      </c>
      <c r="U192" s="1">
        <f t="shared" ca="1" si="146"/>
        <v>146</v>
      </c>
      <c r="V192" s="1">
        <f t="shared" ca="1" si="147"/>
        <v>2</v>
      </c>
      <c r="W192" s="1"/>
      <c r="X192" s="1">
        <f t="shared" ca="1" si="148"/>
        <v>9.7716586068450706</v>
      </c>
      <c r="Y192" s="1">
        <f t="shared" ca="1" si="149"/>
        <v>0.61983554572863797</v>
      </c>
      <c r="Z192" s="1">
        <f t="shared" ca="1" si="150"/>
        <v>211</v>
      </c>
      <c r="AB192" s="1">
        <f t="shared" ca="1" si="151"/>
        <v>0.12752179964859628</v>
      </c>
      <c r="AC192" s="1">
        <f t="shared" ca="1" si="152"/>
        <v>676</v>
      </c>
      <c r="AD192" s="1">
        <f t="shared" ca="1" si="153"/>
        <v>1.218572287428857E-3</v>
      </c>
      <c r="AE192" s="1"/>
      <c r="AF192" s="1">
        <f t="shared" ca="1" si="154"/>
        <v>0.15007359058546285</v>
      </c>
      <c r="AG192" s="1">
        <f t="shared" ca="1" si="155"/>
        <v>305</v>
      </c>
      <c r="AH192" s="1">
        <f t="shared" ca="1" si="156"/>
        <v>9.5320095413575553E-3</v>
      </c>
      <c r="AJ192" s="1">
        <f t="shared" ca="1" si="157"/>
        <v>0.33237609098094001</v>
      </c>
      <c r="AK192" s="1">
        <f t="shared" ca="1" si="158"/>
        <v>4.6550514525124989E-4</v>
      </c>
      <c r="AL192" s="1"/>
      <c r="AM192" s="1">
        <f t="shared" ca="1" si="159"/>
        <v>5.2871198854070302E-2</v>
      </c>
      <c r="AN192" s="1">
        <f t="shared" ca="1" si="160"/>
        <v>12</v>
      </c>
      <c r="AO192" s="1">
        <f t="shared" ca="1" si="161"/>
        <v>6</v>
      </c>
      <c r="AQ192" s="1">
        <f t="shared" ca="1" si="162"/>
        <v>117</v>
      </c>
      <c r="AR192" s="1">
        <f t="shared" ca="1" si="163"/>
        <v>9</v>
      </c>
      <c r="AS192" s="1">
        <f t="shared" ca="1" si="164"/>
        <v>68</v>
      </c>
      <c r="AU192" s="1">
        <f t="shared" ca="1" si="165"/>
        <v>132</v>
      </c>
      <c r="AV192" s="1">
        <f t="shared" ca="1" si="166"/>
        <v>9</v>
      </c>
      <c r="AW192" s="1">
        <f t="shared" ca="1" si="167"/>
        <v>5.0683871326427994E-2</v>
      </c>
      <c r="AY192" s="1">
        <f t="shared" ca="1" si="168"/>
        <v>1.9414872335103466</v>
      </c>
      <c r="AZ192" s="1">
        <f t="shared" ca="1" si="169"/>
        <v>148</v>
      </c>
      <c r="BA192" s="1">
        <f t="shared" ca="1" si="170"/>
        <v>9.960651812156246E-3</v>
      </c>
      <c r="BG192" s="1">
        <f t="shared" ca="1" si="171"/>
        <v>0.13697208611015588</v>
      </c>
      <c r="BH192" s="1">
        <f t="shared" ca="1" si="172"/>
        <v>0.37734585439165858</v>
      </c>
      <c r="BI192" s="1">
        <f t="shared" ca="1" si="173"/>
        <v>778</v>
      </c>
      <c r="BV192" s="1">
        <f t="shared" ca="1" si="174"/>
        <v>0.48466141172618998</v>
      </c>
      <c r="BW192" s="1">
        <f t="shared" ca="1" si="175"/>
        <v>106</v>
      </c>
      <c r="BX192" s="1">
        <f t="shared" ca="1" si="176"/>
        <v>8.0360814657336622E-3</v>
      </c>
      <c r="BY192" s="1">
        <f t="shared" ca="1" si="177"/>
        <v>2.3458448684911745E-2</v>
      </c>
      <c r="BZ192" s="1">
        <f t="shared" ca="1" si="178"/>
        <v>0.24777876721931691</v>
      </c>
      <c r="CB192" s="1">
        <f t="shared" ca="1" si="179"/>
        <v>77</v>
      </c>
      <c r="CC192" s="1">
        <f t="shared" ca="1" si="180"/>
        <v>15</v>
      </c>
      <c r="CD192" s="1">
        <f t="shared" ca="1" si="181"/>
        <v>0.24505047916219416</v>
      </c>
      <c r="CE192" s="1">
        <f t="shared" ca="1" si="197"/>
        <v>0.82359298489045041</v>
      </c>
      <c r="CF192" s="1">
        <f t="shared" ca="1" si="197"/>
        <v>0.88319576059281224</v>
      </c>
      <c r="CH192" s="3">
        <f t="shared" ca="1" si="183"/>
        <v>0.43930687489530174</v>
      </c>
      <c r="CI192" s="3">
        <f t="shared" ca="1" si="184"/>
        <v>0.34485644676313132</v>
      </c>
      <c r="CJ192" s="3">
        <f t="shared" ca="1" si="185"/>
        <v>1539</v>
      </c>
      <c r="CK192" s="3">
        <f t="shared" ca="1" si="186"/>
        <v>5.4775599581982116E-3</v>
      </c>
      <c r="CL192" s="3">
        <f t="shared" ca="1" si="187"/>
        <v>1</v>
      </c>
      <c r="CM192" s="3"/>
      <c r="CN192" s="1">
        <f t="shared" ca="1" si="188"/>
        <v>18.828437913181833</v>
      </c>
      <c r="CO192" s="1">
        <f t="shared" ca="1" si="189"/>
        <v>0.3720796337363354</v>
      </c>
      <c r="CP192" s="1">
        <f t="shared" ca="1" si="190"/>
        <v>4</v>
      </c>
      <c r="DH192" s="1">
        <f t="shared" ca="1" si="191"/>
        <v>338</v>
      </c>
      <c r="DI192" s="1">
        <f t="shared" ca="1" si="192"/>
        <v>0.86989468210682119</v>
      </c>
      <c r="DJ192" s="1">
        <f t="shared" ca="1" si="193"/>
        <v>13</v>
      </c>
      <c r="DL192" s="1">
        <f t="shared" ca="1" si="194"/>
        <v>0.1598692913951596</v>
      </c>
      <c r="DM192" s="1">
        <f t="shared" ca="1" si="195"/>
        <v>190</v>
      </c>
      <c r="DN192" s="1">
        <f t="shared" ca="1" si="196"/>
        <v>8</v>
      </c>
    </row>
    <row r="193" spans="2:118" x14ac:dyDescent="0.25">
      <c r="B193">
        <f t="shared" ca="1" si="132"/>
        <v>645</v>
      </c>
      <c r="C193">
        <f t="shared" ca="1" si="133"/>
        <v>29</v>
      </c>
      <c r="D193">
        <f t="shared" ca="1" si="134"/>
        <v>6.130730021420204E-2</v>
      </c>
      <c r="F193" s="1">
        <f t="shared" ca="1" si="135"/>
        <v>13</v>
      </c>
      <c r="G193" s="1">
        <f t="shared" ca="1" si="136"/>
        <v>23</v>
      </c>
      <c r="H193" s="1">
        <f t="shared" ca="1" si="137"/>
        <v>14</v>
      </c>
      <c r="I193" s="1"/>
      <c r="J193" s="1">
        <f t="shared" ca="1" si="138"/>
        <v>31</v>
      </c>
      <c r="K193" s="1">
        <f t="shared" ca="1" si="139"/>
        <v>1.2804365157610595</v>
      </c>
      <c r="L193" s="1">
        <f t="shared" ca="1" si="140"/>
        <v>18</v>
      </c>
      <c r="M193" s="1"/>
      <c r="N193" s="1">
        <f t="shared" ca="1" si="141"/>
        <v>915</v>
      </c>
      <c r="O193" s="1">
        <f t="shared" ca="1" si="142"/>
        <v>20</v>
      </c>
      <c r="P193" s="1"/>
      <c r="Q193" s="1">
        <f t="shared" ca="1" si="143"/>
        <v>4.2953066121159829</v>
      </c>
      <c r="R193" s="1">
        <f t="shared" ca="1" si="144"/>
        <v>1056</v>
      </c>
      <c r="S193" s="1"/>
      <c r="T193" s="1">
        <f t="shared" ca="1" si="145"/>
        <v>2.7326593056509488E-2</v>
      </c>
      <c r="U193" s="1">
        <f t="shared" ca="1" si="146"/>
        <v>387</v>
      </c>
      <c r="V193" s="1">
        <f t="shared" ca="1" si="147"/>
        <v>48</v>
      </c>
      <c r="W193" s="1"/>
      <c r="X193" s="1">
        <f t="shared" ca="1" si="148"/>
        <v>8.0050769187403699</v>
      </c>
      <c r="Y193" s="1">
        <f t="shared" ca="1" si="149"/>
        <v>0.67918920471177724</v>
      </c>
      <c r="Z193" s="1">
        <f t="shared" ca="1" si="150"/>
        <v>1225</v>
      </c>
      <c r="AB193" s="1">
        <f t="shared" ca="1" si="151"/>
        <v>0.20059651414956112</v>
      </c>
      <c r="AC193" s="1">
        <f t="shared" ca="1" si="152"/>
        <v>678</v>
      </c>
      <c r="AD193" s="1">
        <f t="shared" ca="1" si="153"/>
        <v>3.7254488472189561E-3</v>
      </c>
      <c r="AE193" s="1"/>
      <c r="AF193" s="1">
        <f t="shared" ca="1" si="154"/>
        <v>0.45580837043209199</v>
      </c>
      <c r="AG193" s="1">
        <f t="shared" ca="1" si="155"/>
        <v>744</v>
      </c>
      <c r="AH193" s="1">
        <f t="shared" ca="1" si="156"/>
        <v>5.8791432441955473E-3</v>
      </c>
      <c r="AJ193" s="1">
        <f t="shared" ca="1" si="157"/>
        <v>0.58937609660580836</v>
      </c>
      <c r="AK193" s="1">
        <f t="shared" ca="1" si="158"/>
        <v>8.4356342739765229E-3</v>
      </c>
      <c r="AL193" s="1"/>
      <c r="AM193" s="1">
        <f t="shared" ca="1" si="159"/>
        <v>0.15073136293955683</v>
      </c>
      <c r="AN193" s="1">
        <f t="shared" ca="1" si="160"/>
        <v>38</v>
      </c>
      <c r="AO193" s="1">
        <f t="shared" ca="1" si="161"/>
        <v>19</v>
      </c>
      <c r="AQ193" s="1">
        <f t="shared" ca="1" si="162"/>
        <v>143</v>
      </c>
      <c r="AR193" s="1">
        <f t="shared" ca="1" si="163"/>
        <v>9</v>
      </c>
      <c r="AS193" s="1">
        <f t="shared" ca="1" si="164"/>
        <v>52</v>
      </c>
      <c r="AU193" s="1">
        <f t="shared" ca="1" si="165"/>
        <v>168</v>
      </c>
      <c r="AV193" s="1">
        <f t="shared" ca="1" si="166"/>
        <v>3</v>
      </c>
      <c r="AW193" s="1">
        <f t="shared" ca="1" si="167"/>
        <v>0.14400049257047037</v>
      </c>
      <c r="AY193" s="1">
        <f t="shared" ca="1" si="168"/>
        <v>1.7770097468522841</v>
      </c>
      <c r="AZ193" s="1">
        <f t="shared" ca="1" si="169"/>
        <v>498</v>
      </c>
      <c r="BA193" s="1">
        <f t="shared" ca="1" si="170"/>
        <v>2.9294652213560633E-3</v>
      </c>
      <c r="BG193" s="1">
        <f t="shared" ca="1" si="171"/>
        <v>0.22794339354863805</v>
      </c>
      <c r="BH193" s="1">
        <f t="shared" ca="1" si="172"/>
        <v>0.21807395222804316</v>
      </c>
      <c r="BI193" s="1">
        <f t="shared" ca="1" si="173"/>
        <v>961</v>
      </c>
      <c r="BV193" s="1">
        <f t="shared" ca="1" si="174"/>
        <v>0.92897483299934025</v>
      </c>
      <c r="BW193" s="1">
        <f t="shared" ca="1" si="175"/>
        <v>265</v>
      </c>
      <c r="BX193" s="1">
        <f t="shared" ca="1" si="176"/>
        <v>1.3664114650978835E-3</v>
      </c>
      <c r="BY193" s="1">
        <f t="shared" ca="1" si="177"/>
        <v>2.8445596071034293E-2</v>
      </c>
      <c r="BZ193" s="1">
        <f t="shared" ca="1" si="178"/>
        <v>0.62799571832342105</v>
      </c>
      <c r="CB193" s="1">
        <f t="shared" ca="1" si="179"/>
        <v>405</v>
      </c>
      <c r="CC193" s="1">
        <f t="shared" ca="1" si="180"/>
        <v>6</v>
      </c>
      <c r="CD193" s="1">
        <f t="shared" ca="1" si="181"/>
        <v>4.4067392280240578E-2</v>
      </c>
      <c r="CE193" s="1">
        <f t="shared" ca="1" si="197"/>
        <v>0.82624558916497781</v>
      </c>
      <c r="CF193" s="1">
        <f t="shared" ca="1" si="197"/>
        <v>0.91488171443954047</v>
      </c>
      <c r="CH193" s="3">
        <f t="shared" ca="1" si="183"/>
        <v>6.0294341601062146E-2</v>
      </c>
      <c r="CI193" s="3">
        <f t="shared" ca="1" si="184"/>
        <v>0.19705025887552732</v>
      </c>
      <c r="CJ193" s="3">
        <f t="shared" ca="1" si="185"/>
        <v>1641</v>
      </c>
      <c r="CK193" s="3">
        <f t="shared" ca="1" si="186"/>
        <v>2.2691413885562953E-3</v>
      </c>
      <c r="CL193" s="3">
        <f t="shared" ca="1" si="187"/>
        <v>1</v>
      </c>
      <c r="CM193" s="3"/>
      <c r="CN193" s="1">
        <f t="shared" ca="1" si="188"/>
        <v>0.61543147185884217</v>
      </c>
      <c r="CO193" s="1">
        <f t="shared" ca="1" si="189"/>
        <v>0.41103217756411775</v>
      </c>
      <c r="CP193" s="1">
        <f t="shared" ca="1" si="190"/>
        <v>2</v>
      </c>
      <c r="DH193" s="1">
        <f t="shared" ca="1" si="191"/>
        <v>723</v>
      </c>
      <c r="DI193" s="1">
        <f t="shared" ca="1" si="192"/>
        <v>0.29428339488260907</v>
      </c>
      <c r="DJ193" s="1">
        <f t="shared" ca="1" si="193"/>
        <v>25</v>
      </c>
      <c r="DL193" s="1">
        <f t="shared" ca="1" si="194"/>
        <v>0.18966986969685407</v>
      </c>
      <c r="DM193" s="1">
        <f t="shared" ca="1" si="195"/>
        <v>203</v>
      </c>
      <c r="DN193" s="1">
        <f t="shared" ca="1" si="196"/>
        <v>8</v>
      </c>
    </row>
    <row r="194" spans="2:118" x14ac:dyDescent="0.25">
      <c r="B194">
        <f t="shared" ca="1" si="132"/>
        <v>270</v>
      </c>
      <c r="C194">
        <f t="shared" ca="1" si="133"/>
        <v>14</v>
      </c>
      <c r="D194">
        <f t="shared" ca="1" si="134"/>
        <v>0.17156930711097931</v>
      </c>
      <c r="F194" s="1">
        <f t="shared" ca="1" si="135"/>
        <v>26</v>
      </c>
      <c r="G194" s="1">
        <f t="shared" ca="1" si="136"/>
        <v>30</v>
      </c>
      <c r="H194" s="1">
        <f t="shared" ca="1" si="137"/>
        <v>4</v>
      </c>
      <c r="I194" s="1"/>
      <c r="J194" s="1">
        <f t="shared" ca="1" si="138"/>
        <v>10</v>
      </c>
      <c r="K194" s="1">
        <f t="shared" ca="1" si="139"/>
        <v>2.6243343430343349</v>
      </c>
      <c r="L194" s="1">
        <f t="shared" ca="1" si="140"/>
        <v>33</v>
      </c>
      <c r="M194" s="1"/>
      <c r="N194" s="1">
        <f t="shared" ca="1" si="141"/>
        <v>901</v>
      </c>
      <c r="O194" s="1">
        <f t="shared" ca="1" si="142"/>
        <v>45</v>
      </c>
      <c r="P194" s="1"/>
      <c r="Q194" s="1">
        <f t="shared" ca="1" si="143"/>
        <v>0.86067767574501175</v>
      </c>
      <c r="R194" s="1">
        <f t="shared" ca="1" si="144"/>
        <v>939</v>
      </c>
      <c r="S194" s="1"/>
      <c r="T194" s="1">
        <f t="shared" ca="1" si="145"/>
        <v>0.14632672513836245</v>
      </c>
      <c r="U194" s="1">
        <f t="shared" ca="1" si="146"/>
        <v>370</v>
      </c>
      <c r="V194" s="1">
        <f t="shared" ca="1" si="147"/>
        <v>11</v>
      </c>
      <c r="W194" s="1"/>
      <c r="X194" s="1">
        <f t="shared" ca="1" si="148"/>
        <v>6.0915923485604626</v>
      </c>
      <c r="Y194" s="1">
        <f t="shared" ca="1" si="149"/>
        <v>0.27157848661180811</v>
      </c>
      <c r="Z194" s="1">
        <f t="shared" ca="1" si="150"/>
        <v>1758</v>
      </c>
      <c r="AB194" s="1">
        <f t="shared" ca="1" si="151"/>
        <v>0.15651109157197376</v>
      </c>
      <c r="AC194" s="1">
        <f t="shared" ca="1" si="152"/>
        <v>521</v>
      </c>
      <c r="AD194" s="1">
        <f t="shared" ca="1" si="153"/>
        <v>1.6274764119535328E-3</v>
      </c>
      <c r="AE194" s="1"/>
      <c r="AF194" s="1">
        <f t="shared" ca="1" si="154"/>
        <v>0.62385847481708967</v>
      </c>
      <c r="AG194" s="1">
        <f t="shared" ca="1" si="155"/>
        <v>359</v>
      </c>
      <c r="AH194" s="1">
        <f t="shared" ca="1" si="156"/>
        <v>1.4800548289429325E-3</v>
      </c>
      <c r="AJ194" s="1">
        <f t="shared" ca="1" si="157"/>
        <v>4.9903636573683463E-2</v>
      </c>
      <c r="AK194" s="1">
        <f t="shared" ca="1" si="158"/>
        <v>7.2440176349642706E-3</v>
      </c>
      <c r="AL194" s="1"/>
      <c r="AM194" s="1">
        <f t="shared" ca="1" si="159"/>
        <v>0.17465174304046305</v>
      </c>
      <c r="AN194" s="1">
        <f t="shared" ca="1" si="160"/>
        <v>62</v>
      </c>
      <c r="AO194" s="1">
        <f t="shared" ca="1" si="161"/>
        <v>5</v>
      </c>
      <c r="AQ194" s="1">
        <f t="shared" ca="1" si="162"/>
        <v>47</v>
      </c>
      <c r="AR194" s="1">
        <f t="shared" ca="1" si="163"/>
        <v>5</v>
      </c>
      <c r="AS194" s="1">
        <f t="shared" ca="1" si="164"/>
        <v>93</v>
      </c>
      <c r="AU194" s="1">
        <f t="shared" ca="1" si="165"/>
        <v>226</v>
      </c>
      <c r="AV194" s="1">
        <f t="shared" ca="1" si="166"/>
        <v>2</v>
      </c>
      <c r="AW194" s="1">
        <f t="shared" ca="1" si="167"/>
        <v>0.16847492583784351</v>
      </c>
      <c r="AY194" s="1">
        <f t="shared" ca="1" si="168"/>
        <v>1.9862254442863549</v>
      </c>
      <c r="AZ194" s="1">
        <f t="shared" ca="1" si="169"/>
        <v>453</v>
      </c>
      <c r="BA194" s="1">
        <f t="shared" ca="1" si="170"/>
        <v>1.8101429614449571E-3</v>
      </c>
      <c r="BG194" s="1">
        <f t="shared" ca="1" si="171"/>
        <v>0.9737592137541029</v>
      </c>
      <c r="BH194" s="1">
        <f t="shared" ca="1" si="172"/>
        <v>6.3533656235335134E-2</v>
      </c>
      <c r="BI194" s="1">
        <f t="shared" ca="1" si="173"/>
        <v>409</v>
      </c>
      <c r="BV194" s="1">
        <f t="shared" ca="1" si="174"/>
        <v>0.30156070686016573</v>
      </c>
      <c r="BW194" s="1">
        <f t="shared" ca="1" si="175"/>
        <v>955</v>
      </c>
      <c r="BX194" s="1">
        <f t="shared" ca="1" si="176"/>
        <v>1.0039235386994851E-3</v>
      </c>
      <c r="BY194" s="1">
        <f t="shared" ca="1" si="177"/>
        <v>9.8037425341292353E-2</v>
      </c>
      <c r="BZ194" s="1">
        <f t="shared" ca="1" si="178"/>
        <v>0.10118168198798094</v>
      </c>
      <c r="CB194" s="1">
        <f t="shared" ca="1" si="179"/>
        <v>442</v>
      </c>
      <c r="CC194" s="1">
        <f t="shared" ca="1" si="180"/>
        <v>10</v>
      </c>
      <c r="CD194" s="1">
        <f t="shared" ca="1" si="181"/>
        <v>0.22747196883641271</v>
      </c>
      <c r="CE194" s="1">
        <f t="shared" ca="1" si="197"/>
        <v>0.58510931435896552</v>
      </c>
      <c r="CF194" s="1">
        <f t="shared" ca="1" si="197"/>
        <v>0.72039654063667569</v>
      </c>
      <c r="CH194" s="3">
        <f t="shared" ca="1" si="183"/>
        <v>0.23913170936473688</v>
      </c>
      <c r="CI194" s="3">
        <f t="shared" ca="1" si="184"/>
        <v>0.54364350950514884</v>
      </c>
      <c r="CJ194" s="3">
        <f t="shared" ca="1" si="185"/>
        <v>527</v>
      </c>
      <c r="CK194" s="3">
        <f t="shared" ca="1" si="186"/>
        <v>6.4914826558014737E-3</v>
      </c>
      <c r="CL194" s="3">
        <f t="shared" ca="1" si="187"/>
        <v>1</v>
      </c>
      <c r="CM194" s="3"/>
      <c r="CN194" s="1">
        <f t="shared" ca="1" si="188"/>
        <v>6.3815325665674125</v>
      </c>
      <c r="CO194" s="1">
        <f t="shared" ca="1" si="189"/>
        <v>0.379061279500013</v>
      </c>
      <c r="CP194" s="1">
        <f t="shared" ca="1" si="190"/>
        <v>3</v>
      </c>
      <c r="DH194" s="1">
        <f t="shared" ca="1" si="191"/>
        <v>137</v>
      </c>
      <c r="DI194" s="1">
        <f t="shared" ca="1" si="192"/>
        <v>0.53025926653152089</v>
      </c>
      <c r="DJ194" s="1">
        <f t="shared" ca="1" si="193"/>
        <v>28</v>
      </c>
      <c r="DL194" s="1">
        <f t="shared" ca="1" si="194"/>
        <v>0.14416862563046451</v>
      </c>
      <c r="DM194" s="1">
        <f t="shared" ca="1" si="195"/>
        <v>121</v>
      </c>
      <c r="DN194" s="1">
        <f t="shared" ca="1" si="196"/>
        <v>6</v>
      </c>
    </row>
    <row r="195" spans="2:118" x14ac:dyDescent="0.25">
      <c r="B195">
        <f t="shared" ca="1" si="132"/>
        <v>396</v>
      </c>
      <c r="C195">
        <f t="shared" ca="1" si="133"/>
        <v>34</v>
      </c>
      <c r="D195">
        <f t="shared" ca="1" si="134"/>
        <v>0.24151352093149681</v>
      </c>
      <c r="F195" s="1">
        <f t="shared" ca="1" si="135"/>
        <v>51</v>
      </c>
      <c r="G195" s="1">
        <f t="shared" ca="1" si="136"/>
        <v>29</v>
      </c>
      <c r="H195" s="1">
        <f t="shared" ca="1" si="137"/>
        <v>6</v>
      </c>
      <c r="I195" s="1"/>
      <c r="J195" s="1">
        <f t="shared" ca="1" si="138"/>
        <v>31</v>
      </c>
      <c r="K195" s="1">
        <f t="shared" ca="1" si="139"/>
        <v>1.5838474049583195</v>
      </c>
      <c r="L195" s="1">
        <f t="shared" ca="1" si="140"/>
        <v>8</v>
      </c>
      <c r="M195" s="1"/>
      <c r="N195" s="1">
        <f t="shared" ca="1" si="141"/>
        <v>555</v>
      </c>
      <c r="O195" s="1">
        <f t="shared" ca="1" si="142"/>
        <v>45</v>
      </c>
      <c r="P195" s="1"/>
      <c r="Q195" s="1">
        <f t="shared" ca="1" si="143"/>
        <v>2.2362162063208659</v>
      </c>
      <c r="R195" s="1">
        <f t="shared" ca="1" si="144"/>
        <v>587</v>
      </c>
      <c r="S195" s="1"/>
      <c r="T195" s="1">
        <f t="shared" ca="1" si="145"/>
        <v>9.7543777992353961E-2</v>
      </c>
      <c r="U195" s="1">
        <f t="shared" ca="1" si="146"/>
        <v>195</v>
      </c>
      <c r="V195" s="1">
        <f t="shared" ca="1" si="147"/>
        <v>31</v>
      </c>
      <c r="W195" s="1"/>
      <c r="X195" s="1">
        <f t="shared" ca="1" si="148"/>
        <v>1.2352714760596419</v>
      </c>
      <c r="Y195" s="1">
        <f t="shared" ca="1" si="149"/>
        <v>0.66792990860620427</v>
      </c>
      <c r="Z195" s="1">
        <f t="shared" ca="1" si="150"/>
        <v>149</v>
      </c>
      <c r="AB195" s="1">
        <f t="shared" ca="1" si="151"/>
        <v>0.48252980054239614</v>
      </c>
      <c r="AC195" s="1">
        <f t="shared" ca="1" si="152"/>
        <v>408</v>
      </c>
      <c r="AD195" s="1">
        <f t="shared" ca="1" si="153"/>
        <v>6.8338896413811532E-3</v>
      </c>
      <c r="AE195" s="1"/>
      <c r="AF195" s="1">
        <f t="shared" ca="1" si="154"/>
        <v>0.47675741913560787</v>
      </c>
      <c r="AG195" s="1">
        <f t="shared" ca="1" si="155"/>
        <v>551</v>
      </c>
      <c r="AH195" s="1">
        <f t="shared" ca="1" si="156"/>
        <v>6.2841781046437586E-3</v>
      </c>
      <c r="AJ195" s="1">
        <f t="shared" ca="1" si="157"/>
        <v>0.77695443098712158</v>
      </c>
      <c r="AK195" s="1">
        <f t="shared" ca="1" si="158"/>
        <v>9.6433976096055199E-4</v>
      </c>
      <c r="AL195" s="1"/>
      <c r="AM195" s="1">
        <f t="shared" ca="1" si="159"/>
        <v>5.8424802883801086E-2</v>
      </c>
      <c r="AN195" s="1">
        <f t="shared" ca="1" si="160"/>
        <v>25</v>
      </c>
      <c r="AO195" s="1">
        <f t="shared" ca="1" si="161"/>
        <v>16</v>
      </c>
      <c r="AQ195" s="1">
        <f t="shared" ca="1" si="162"/>
        <v>36</v>
      </c>
      <c r="AR195" s="1">
        <f t="shared" ca="1" si="163"/>
        <v>10</v>
      </c>
      <c r="AS195" s="1">
        <f t="shared" ca="1" si="164"/>
        <v>97</v>
      </c>
      <c r="AU195" s="1">
        <f t="shared" ca="1" si="165"/>
        <v>206</v>
      </c>
      <c r="AV195" s="1">
        <f t="shared" ca="1" si="166"/>
        <v>5</v>
      </c>
      <c r="AW195" s="1">
        <f t="shared" ca="1" si="167"/>
        <v>8.4630993675289284E-2</v>
      </c>
      <c r="AY195" s="1">
        <f t="shared" ca="1" si="168"/>
        <v>1.3545112346331749</v>
      </c>
      <c r="AZ195" s="1">
        <f t="shared" ca="1" si="169"/>
        <v>182</v>
      </c>
      <c r="BA195" s="1">
        <f t="shared" ca="1" si="170"/>
        <v>2.6406136130417697E-3</v>
      </c>
      <c r="BG195" s="1">
        <f t="shared" ca="1" si="171"/>
        <v>0.30939710780075852</v>
      </c>
      <c r="BH195" s="1">
        <f t="shared" ca="1" si="172"/>
        <v>0.60609502205419719</v>
      </c>
      <c r="BI195" s="1">
        <f t="shared" ca="1" si="173"/>
        <v>152</v>
      </c>
      <c r="BV195" s="1">
        <f t="shared" ca="1" si="174"/>
        <v>0.30726322057726663</v>
      </c>
      <c r="BW195" s="1">
        <f t="shared" ca="1" si="175"/>
        <v>270</v>
      </c>
      <c r="BX195" s="1">
        <f t="shared" ca="1" si="176"/>
        <v>9.6456095537649136E-3</v>
      </c>
      <c r="BY195" s="1">
        <f t="shared" ca="1" si="177"/>
        <v>9.0712975160785317E-2</v>
      </c>
      <c r="BZ195" s="1">
        <f t="shared" ca="1" si="178"/>
        <v>0.73987379529743946</v>
      </c>
      <c r="CB195" s="1">
        <f t="shared" ca="1" si="179"/>
        <v>495</v>
      </c>
      <c r="CC195" s="1">
        <f t="shared" ca="1" si="180"/>
        <v>12</v>
      </c>
      <c r="CD195" s="1">
        <f t="shared" ca="1" si="181"/>
        <v>0.25039721043236945</v>
      </c>
      <c r="CE195" s="1">
        <f t="shared" ca="1" si="197"/>
        <v>0.95357535055364018</v>
      </c>
      <c r="CF195" s="1">
        <f t="shared" ca="1" si="197"/>
        <v>0.94408822923981761</v>
      </c>
      <c r="CH195" s="3">
        <f t="shared" ca="1" si="183"/>
        <v>0.76317585849398628</v>
      </c>
      <c r="CI195" s="3">
        <f t="shared" ca="1" si="184"/>
        <v>0.42912658284993394</v>
      </c>
      <c r="CJ195" s="3">
        <f t="shared" ca="1" si="185"/>
        <v>1578</v>
      </c>
      <c r="CK195" s="3">
        <f t="shared" ca="1" si="186"/>
        <v>9.2135565579101134E-3</v>
      </c>
      <c r="CL195" s="3">
        <f t="shared" ca="1" si="187"/>
        <v>1</v>
      </c>
      <c r="CM195" s="3"/>
      <c r="CN195" s="1">
        <f t="shared" ca="1" si="188"/>
        <v>18.439550748890394</v>
      </c>
      <c r="CO195" s="1">
        <f t="shared" ca="1" si="189"/>
        <v>0.2450438087501228</v>
      </c>
      <c r="CP195" s="1">
        <f t="shared" ca="1" si="190"/>
        <v>2</v>
      </c>
      <c r="DH195" s="1">
        <f t="shared" ca="1" si="191"/>
        <v>681</v>
      </c>
      <c r="DI195" s="1">
        <f t="shared" ca="1" si="192"/>
        <v>0.33128408556344707</v>
      </c>
      <c r="DJ195" s="1">
        <f t="shared" ca="1" si="193"/>
        <v>15</v>
      </c>
      <c r="DL195" s="1">
        <f t="shared" ca="1" si="194"/>
        <v>5.8187748367083833E-2</v>
      </c>
      <c r="DM195" s="1">
        <f t="shared" ca="1" si="195"/>
        <v>143</v>
      </c>
      <c r="DN195" s="1">
        <f t="shared" ca="1" si="196"/>
        <v>7</v>
      </c>
    </row>
    <row r="196" spans="2:118" x14ac:dyDescent="0.25">
      <c r="B196">
        <f t="shared" ref="B196:B202" ca="1" si="198">RANDBETWEEN(15,1000)</f>
        <v>612</v>
      </c>
      <c r="C196">
        <f t="shared" ref="C196:C202" ca="1" si="199">RANDBETWEEN(2,52)</f>
        <v>21</v>
      </c>
      <c r="D196">
        <f t="shared" ref="D196:D202" ca="1" si="200">RAND()*(0.3-0.01)+0.01</f>
        <v>0.1833643361721215</v>
      </c>
      <c r="F196" s="1">
        <f t="shared" ref="F196:F202" ca="1" si="201">RANDBETWEEN(2,52)</f>
        <v>25</v>
      </c>
      <c r="G196" s="1">
        <f t="shared" ref="G196:G202" ca="1" si="202">RANDBETWEEN(2,30)</f>
        <v>10</v>
      </c>
      <c r="H196" s="1">
        <f t="shared" ref="H196:H202" ca="1" si="203">RANDBETWEEN(1,15)</f>
        <v>11</v>
      </c>
      <c r="I196" s="1"/>
      <c r="J196" s="1">
        <f t="shared" ref="J196:J202" ca="1" si="204">RANDBETWEEN(1,39)</f>
        <v>16</v>
      </c>
      <c r="K196" s="1">
        <f t="shared" ref="K196:K202" ca="1" si="205">RAND()*(3-1)+1</f>
        <v>1.8815515771064655</v>
      </c>
      <c r="L196" s="1">
        <f t="shared" ref="L196:L202" ca="1" si="206">RANDBETWEEN(2,35)</f>
        <v>11</v>
      </c>
      <c r="M196" s="1"/>
      <c r="N196" s="1">
        <f t="shared" ref="N196:N202" ca="1" si="207">RANDBETWEEN(15,1000)</f>
        <v>60</v>
      </c>
      <c r="O196" s="1">
        <f t="shared" ref="O196:O202" ca="1" si="208">RANDBETWEEN(2,52)</f>
        <v>14</v>
      </c>
      <c r="P196" s="1"/>
      <c r="Q196" s="1">
        <f t="shared" ref="Q196:Q202" ca="1" si="209">RAND()*(5-0.01)+0.01</f>
        <v>4.4112048561780259</v>
      </c>
      <c r="R196" s="1">
        <f t="shared" ref="R196:R202" ca="1" si="210">RANDBETWEEN(200,1200)</f>
        <v>648</v>
      </c>
      <c r="S196" s="1"/>
      <c r="T196" s="1">
        <f t="shared" ref="T196:T202" ca="1" si="211">RAND()*(0.2-0.01)+0.01</f>
        <v>0.15549421557557663</v>
      </c>
      <c r="U196" s="1">
        <f t="shared" ref="U196:U202" ca="1" si="212">RANDBETWEEN(50,450)</f>
        <v>295</v>
      </c>
      <c r="V196" s="1">
        <f t="shared" ref="V196:V202" ca="1" si="213">RANDBETWEEN(2,52)</f>
        <v>30</v>
      </c>
      <c r="W196" s="1"/>
      <c r="X196" s="1">
        <f t="shared" ref="X196:X202" ca="1" si="214">RAND()*(10-0.01)+0.01</f>
        <v>3.3811335689304576</v>
      </c>
      <c r="Y196" s="1">
        <f t="shared" ref="Y196:Y202" ca="1" si="215">RAND()*(1-0.0001)+0.0001</f>
        <v>0.48596295837974801</v>
      </c>
      <c r="Z196" s="1">
        <f t="shared" ref="Z196:Z202" ca="1" si="216">RANDBETWEEN(100,2000)</f>
        <v>1351</v>
      </c>
      <c r="AB196" s="1">
        <f t="shared" ref="AB196:AB202" ca="1" si="217">RAND()*(1-0.0001)+0.0001</f>
        <v>0.65345627834239994</v>
      </c>
      <c r="AC196" s="1">
        <f t="shared" ref="AC196:AC202" ca="1" si="218">RANDBETWEEN(100,1000)</f>
        <v>450</v>
      </c>
      <c r="AD196" s="1">
        <f t="shared" ref="AD196:AD202" ca="1" si="219">RAND()*(0.01-0.00001)+0.00001</f>
        <v>2.8278753034706E-4</v>
      </c>
      <c r="AE196" s="1"/>
      <c r="AF196" s="1">
        <f t="shared" ref="AF196:AF202" ca="1" si="220">RAND()*(0.9-0.1)+0.1</f>
        <v>0.48616241631938384</v>
      </c>
      <c r="AG196" s="1">
        <f t="shared" ref="AG196:AG202" ca="1" si="221">RANDBETWEEN(100,1000)</f>
        <v>146</v>
      </c>
      <c r="AH196" s="1">
        <f t="shared" ref="AH196:AH202" ca="1" si="222">RAND()*(0.01-0.00001)+0.00001</f>
        <v>4.9329199847061942E-3</v>
      </c>
      <c r="AJ196" s="1">
        <f t="shared" ref="AJ196:AJ202" ca="1" si="223">RAND()*(1-0)+0</f>
        <v>0.99732640440101672</v>
      </c>
      <c r="AK196" s="1">
        <f t="shared" ref="AK196:AK202" ca="1" si="224">RAND()*(0.01-0.00001)+0.00001</f>
        <v>6.060618645469475E-3</v>
      </c>
      <c r="AL196" s="1"/>
      <c r="AM196" s="1">
        <f t="shared" ref="AM196:AM202" ca="1" si="225">RAND()*(0.2-0.005)+0.005</f>
        <v>8.4786832616214503E-2</v>
      </c>
      <c r="AN196" s="1">
        <f t="shared" ref="AN196:AN202" ca="1" si="226">RANDBETWEEN(10,80)</f>
        <v>56</v>
      </c>
      <c r="AO196" s="1">
        <f t="shared" ref="AO196:AO202" ca="1" si="227">RANDBETWEEN(-1,20)</f>
        <v>1</v>
      </c>
      <c r="AQ196" s="1">
        <f t="shared" ref="AQ196:AQ202" ca="1" si="228">RANDBETWEEN(10,200)</f>
        <v>16</v>
      </c>
      <c r="AR196" s="1">
        <f t="shared" ref="AR196:AR202" ca="1" si="229">RANDBETWEEN(0,10)</f>
        <v>9</v>
      </c>
      <c r="AS196" s="1">
        <f t="shared" ref="AS196:AS202" ca="1" si="230">RANDBETWEEN(1,100)</f>
        <v>93</v>
      </c>
      <c r="AU196" s="1">
        <f t="shared" ref="AU196:AU202" ca="1" si="231">RANDBETWEEN(50,400)</f>
        <v>290</v>
      </c>
      <c r="AV196" s="1">
        <f t="shared" ref="AV196:AV202" ca="1" si="232">RANDBETWEEN(2,10)</f>
        <v>6</v>
      </c>
      <c r="AW196" s="1">
        <f t="shared" ref="AW196:AW202" ca="1" si="233">RAND()*(0.2-0.01)+0.01</f>
        <v>9.6759177404581967E-2</v>
      </c>
      <c r="AY196" s="1">
        <f t="shared" ref="AY196:AY202" ca="1" si="234">RAND()*(2-1.1)+1.1</f>
        <v>1.1633185651139193</v>
      </c>
      <c r="AZ196" s="1">
        <f t="shared" ref="AZ196:AZ202" ca="1" si="235">RANDBETWEEN(50,500)</f>
        <v>281</v>
      </c>
      <c r="BA196" s="1">
        <f t="shared" ref="BA196:BA202" ca="1" si="236">RAND()*(0.01-0.00001)+0.00001</f>
        <v>4.953161645654851E-3</v>
      </c>
      <c r="BG196" s="1">
        <f t="shared" ref="BG196:BG202" ca="1" si="237">RAND()*(1-0.0001)+0.0001</f>
        <v>0.72379397857529171</v>
      </c>
      <c r="BH196" s="1">
        <f t="shared" ref="BH196:BH202" ca="1" si="238">RAND()*(1-0)+0</f>
        <v>0.37867985443915209</v>
      </c>
      <c r="BI196" s="1">
        <f t="shared" ref="BI196:BI202" ca="1" si="239">RANDBETWEEN(100,1000)</f>
        <v>328</v>
      </c>
      <c r="BV196" s="1">
        <f t="shared" ref="BV196:BV202" ca="1" si="240">RAND()*(1-0.0001)+0.0001</f>
        <v>0.71514949563098795</v>
      </c>
      <c r="BW196" s="1">
        <f t="shared" ref="BW196:BW202" ca="1" si="241">RANDBETWEEN(100,1000)</f>
        <v>261</v>
      </c>
      <c r="BX196" s="1">
        <f t="shared" ref="BX196:BX202" ca="1" si="242">RAND()*(0.01-0.00001)+0.00001</f>
        <v>9.5764778551637782E-3</v>
      </c>
      <c r="BY196" s="1">
        <f t="shared" ref="BY196:BY202" ca="1" si="243">RAND()*(0.1-0.0001)+0.0001</f>
        <v>9.4095506005028681E-2</v>
      </c>
      <c r="BZ196" s="1">
        <f t="shared" ref="BZ196:BZ202" ca="1" si="244">RAND()*(1-0)+0</f>
        <v>0.99592214150786873</v>
      </c>
      <c r="CB196" s="1">
        <f t="shared" ref="CB196:CB202" ca="1" si="245">RANDBETWEEN(50,500)</f>
        <v>458</v>
      </c>
      <c r="CC196" s="1">
        <f t="shared" ref="CC196:CC202" ca="1" si="246">RANDBETWEEN(3,15)</f>
        <v>3</v>
      </c>
      <c r="CD196" s="1">
        <f t="shared" ref="CD196:CD202" ca="1" si="247">RAND()*(0.3-0.01)+0.01</f>
        <v>0.2082342412110405</v>
      </c>
      <c r="CE196" s="1">
        <f t="shared" ca="1" si="197"/>
        <v>0.95398665067936772</v>
      </c>
      <c r="CF196" s="1">
        <f t="shared" ca="1" si="197"/>
        <v>0.95498906011430473</v>
      </c>
      <c r="CH196" s="3">
        <f t="shared" ref="CH196:CH202" ca="1" si="248">RAND()*(1-0.0001)+0.0001</f>
        <v>0.85188707555747867</v>
      </c>
      <c r="CI196" s="3">
        <f t="shared" ref="CI196:CI202" ca="1" si="249">RAND()*(0.99-0.01)+0.01</f>
        <v>4.94193379326891E-2</v>
      </c>
      <c r="CJ196" s="3">
        <f t="shared" ref="CJ196:CJ202" ca="1" si="250">RANDBETWEEN(100,2000)</f>
        <v>1279</v>
      </c>
      <c r="CK196" s="3">
        <f t="shared" ref="CK196:CK202" ca="1" si="251">RAND()*(0.01-0.000001)+0.000001</f>
        <v>8.1394972994478692E-4</v>
      </c>
      <c r="CL196" s="3">
        <f t="shared" ref="CL196:CL202" ca="1" si="252">RANDBETWEEN(0,1)</f>
        <v>1</v>
      </c>
      <c r="CM196" s="3"/>
      <c r="CN196" s="1">
        <f t="shared" ref="CN196:CN202" ca="1" si="253">RAND()*(20-0.1)+0.1</f>
        <v>8.5406039617558243</v>
      </c>
      <c r="CO196" s="1">
        <f t="shared" ref="CO196:CO202" ca="1" si="254">RAND()*(0.5-0.001)+0.001</f>
        <v>0.36781476394596124</v>
      </c>
      <c r="CP196" s="1">
        <f t="shared" ref="CP196:CP202" ca="1" si="255">RANDBETWEEN(1,5)</f>
        <v>2</v>
      </c>
      <c r="DH196" s="1">
        <f t="shared" ref="DH196:DH202" ca="1" si="256">RANDBETWEEN(10,900)</f>
        <v>608</v>
      </c>
      <c r="DI196" s="1">
        <f t="shared" ref="DI196:DI202" ca="1" si="257">RAND()*(1-0.001)+0.001</f>
        <v>6.4376141191564221E-3</v>
      </c>
      <c r="DJ196" s="1">
        <f t="shared" ref="DJ196:DJ202" ca="1" si="258">RANDBETWEEN(1,30)</f>
        <v>16</v>
      </c>
      <c r="DL196" s="1">
        <f t="shared" ref="DL196:DL202" ca="1" si="259">RAND()*(0.2-0.01)+0.01</f>
        <v>0.17996041003676527</v>
      </c>
      <c r="DM196" s="1">
        <f t="shared" ref="DM196:DM202" ca="1" si="260">RANDBETWEEN(50,300)</f>
        <v>259</v>
      </c>
      <c r="DN196" s="1">
        <f t="shared" ref="DN196:DN202" ca="1" si="261">RANDBETWEEN(1,10)</f>
        <v>2</v>
      </c>
    </row>
    <row r="197" spans="2:118" x14ac:dyDescent="0.25">
      <c r="B197">
        <f t="shared" ca="1" si="198"/>
        <v>941</v>
      </c>
      <c r="C197">
        <f t="shared" ca="1" si="199"/>
        <v>19</v>
      </c>
      <c r="D197">
        <f t="shared" ca="1" si="200"/>
        <v>0.25845710624016988</v>
      </c>
      <c r="F197" s="1">
        <f t="shared" ca="1" si="201"/>
        <v>14</v>
      </c>
      <c r="G197" s="1">
        <f t="shared" ca="1" si="202"/>
        <v>20</v>
      </c>
      <c r="H197" s="1">
        <f t="shared" ca="1" si="203"/>
        <v>7</v>
      </c>
      <c r="I197" s="1"/>
      <c r="J197" s="1">
        <f t="shared" ca="1" si="204"/>
        <v>33</v>
      </c>
      <c r="K197" s="1">
        <f t="shared" ca="1" si="205"/>
        <v>2.0988848797407997</v>
      </c>
      <c r="L197" s="1">
        <f t="shared" ca="1" si="206"/>
        <v>33</v>
      </c>
      <c r="M197" s="1"/>
      <c r="N197" s="1">
        <f t="shared" ca="1" si="207"/>
        <v>349</v>
      </c>
      <c r="O197" s="1">
        <f t="shared" ca="1" si="208"/>
        <v>39</v>
      </c>
      <c r="P197" s="1"/>
      <c r="Q197" s="1">
        <f t="shared" ca="1" si="209"/>
        <v>3.5715054505663506</v>
      </c>
      <c r="R197" s="1">
        <f t="shared" ca="1" si="210"/>
        <v>283</v>
      </c>
      <c r="S197" s="1"/>
      <c r="T197" s="1">
        <f t="shared" ca="1" si="211"/>
        <v>0.16351075812155738</v>
      </c>
      <c r="U197" s="1">
        <f t="shared" ca="1" si="212"/>
        <v>328</v>
      </c>
      <c r="V197" s="1">
        <f t="shared" ca="1" si="213"/>
        <v>28</v>
      </c>
      <c r="W197" s="1"/>
      <c r="X197" s="1">
        <f t="shared" ca="1" si="214"/>
        <v>8.634463615061664</v>
      </c>
      <c r="Y197" s="1">
        <f t="shared" ca="1" si="215"/>
        <v>0.2593363427016892</v>
      </c>
      <c r="Z197" s="1">
        <f t="shared" ca="1" si="216"/>
        <v>409</v>
      </c>
      <c r="AB197" s="1">
        <f t="shared" ca="1" si="217"/>
        <v>0.3252590996367325</v>
      </c>
      <c r="AC197" s="1">
        <f t="shared" ca="1" si="218"/>
        <v>323</v>
      </c>
      <c r="AD197" s="1">
        <f t="shared" ca="1" si="219"/>
        <v>9.0899171406449621E-3</v>
      </c>
      <c r="AE197" s="1"/>
      <c r="AF197" s="1">
        <f t="shared" ca="1" si="220"/>
        <v>0.46980698249600816</v>
      </c>
      <c r="AG197" s="1">
        <f t="shared" ca="1" si="221"/>
        <v>305</v>
      </c>
      <c r="AH197" s="1">
        <f t="shared" ca="1" si="222"/>
        <v>6.4690578536115914E-3</v>
      </c>
      <c r="AJ197" s="1">
        <f t="shared" ca="1" si="223"/>
        <v>0.41191270188105589</v>
      </c>
      <c r="AK197" s="1">
        <f t="shared" ca="1" si="224"/>
        <v>1.2430187336573393E-3</v>
      </c>
      <c r="AL197" s="1"/>
      <c r="AM197" s="1">
        <f t="shared" ca="1" si="225"/>
        <v>1.2245034261404796E-2</v>
      </c>
      <c r="AN197" s="1">
        <f t="shared" ca="1" si="226"/>
        <v>64</v>
      </c>
      <c r="AO197" s="1">
        <f t="shared" ca="1" si="227"/>
        <v>2</v>
      </c>
      <c r="AQ197" s="1">
        <f t="shared" ca="1" si="228"/>
        <v>46</v>
      </c>
      <c r="AR197" s="1">
        <f t="shared" ca="1" si="229"/>
        <v>0</v>
      </c>
      <c r="AS197" s="1">
        <f t="shared" ca="1" si="230"/>
        <v>89</v>
      </c>
      <c r="AU197" s="1">
        <f t="shared" ca="1" si="231"/>
        <v>67</v>
      </c>
      <c r="AV197" s="1">
        <f t="shared" ca="1" si="232"/>
        <v>3</v>
      </c>
      <c r="AW197" s="1">
        <f t="shared" ca="1" si="233"/>
        <v>7.5862072502483849E-2</v>
      </c>
      <c r="AY197" s="1">
        <f t="shared" ca="1" si="234"/>
        <v>1.6298655563010582</v>
      </c>
      <c r="AZ197" s="1">
        <f t="shared" ca="1" si="235"/>
        <v>427</v>
      </c>
      <c r="BA197" s="1">
        <f t="shared" ca="1" si="236"/>
        <v>7.6281546681187312E-3</v>
      </c>
      <c r="BG197" s="1">
        <f t="shared" ca="1" si="237"/>
        <v>0.17214657839318401</v>
      </c>
      <c r="BH197" s="1">
        <f t="shared" ca="1" si="238"/>
        <v>0.15999103543892101</v>
      </c>
      <c r="BI197" s="1">
        <f t="shared" ca="1" si="239"/>
        <v>590</v>
      </c>
      <c r="BV197" s="1">
        <f t="shared" ca="1" si="240"/>
        <v>0.17657251961246204</v>
      </c>
      <c r="BW197" s="1">
        <f t="shared" ca="1" si="241"/>
        <v>744</v>
      </c>
      <c r="BX197" s="1">
        <f t="shared" ca="1" si="242"/>
        <v>2.062282281515687E-3</v>
      </c>
      <c r="BY197" s="1">
        <f t="shared" ca="1" si="243"/>
        <v>8.4934446317605314E-2</v>
      </c>
      <c r="BZ197" s="1">
        <f t="shared" ca="1" si="244"/>
        <v>0.55000600409913525</v>
      </c>
      <c r="CB197" s="1">
        <f t="shared" ca="1" si="245"/>
        <v>59</v>
      </c>
      <c r="CC197" s="1">
        <f t="shared" ca="1" si="246"/>
        <v>15</v>
      </c>
      <c r="CD197" s="1">
        <f t="shared" ca="1" si="247"/>
        <v>0.21939911167397252</v>
      </c>
      <c r="CE197" s="1">
        <f t="shared" ca="1" si="197"/>
        <v>0.96832127532899193</v>
      </c>
      <c r="CF197" s="1">
        <f t="shared" ca="1" si="197"/>
        <v>0.64745044800946405</v>
      </c>
      <c r="CH197" s="3">
        <f t="shared" ca="1" si="248"/>
        <v>0.46602645962509387</v>
      </c>
      <c r="CI197" s="3">
        <f t="shared" ca="1" si="249"/>
        <v>0.764303872465528</v>
      </c>
      <c r="CJ197" s="3">
        <f t="shared" ca="1" si="250"/>
        <v>934</v>
      </c>
      <c r="CK197" s="3">
        <f t="shared" ca="1" si="251"/>
        <v>3.5713900693805068E-3</v>
      </c>
      <c r="CL197" s="3">
        <f t="shared" ca="1" si="252"/>
        <v>0</v>
      </c>
      <c r="CM197" s="3"/>
      <c r="CN197" s="1">
        <f t="shared" ca="1" si="253"/>
        <v>15.860955528280639</v>
      </c>
      <c r="CO197" s="1">
        <f t="shared" ca="1" si="254"/>
        <v>0.34556809529324217</v>
      </c>
      <c r="CP197" s="1">
        <f t="shared" ca="1" si="255"/>
        <v>2</v>
      </c>
      <c r="DH197" s="1">
        <f t="shared" ca="1" si="256"/>
        <v>597</v>
      </c>
      <c r="DI197" s="1">
        <f t="shared" ca="1" si="257"/>
        <v>0.22801027577864616</v>
      </c>
      <c r="DJ197" s="1">
        <f t="shared" ca="1" si="258"/>
        <v>22</v>
      </c>
      <c r="DL197" s="1">
        <f t="shared" ca="1" si="259"/>
        <v>0.11346555680175963</v>
      </c>
      <c r="DM197" s="1">
        <f t="shared" ca="1" si="260"/>
        <v>230</v>
      </c>
      <c r="DN197" s="1">
        <f t="shared" ca="1" si="261"/>
        <v>9</v>
      </c>
    </row>
    <row r="198" spans="2:118" x14ac:dyDescent="0.25">
      <c r="B198">
        <f t="shared" ca="1" si="198"/>
        <v>101</v>
      </c>
      <c r="C198">
        <f t="shared" ca="1" si="199"/>
        <v>29</v>
      </c>
      <c r="D198">
        <f t="shared" ca="1" si="200"/>
        <v>0.1581515313918411</v>
      </c>
      <c r="F198" s="1">
        <f t="shared" ca="1" si="201"/>
        <v>6</v>
      </c>
      <c r="G198" s="1">
        <f t="shared" ca="1" si="202"/>
        <v>21</v>
      </c>
      <c r="H198" s="1">
        <f t="shared" ca="1" si="203"/>
        <v>9</v>
      </c>
      <c r="I198" s="1"/>
      <c r="J198" s="1">
        <f t="shared" ca="1" si="204"/>
        <v>27</v>
      </c>
      <c r="K198" s="1">
        <f t="shared" ca="1" si="205"/>
        <v>2.5422606228691476</v>
      </c>
      <c r="L198" s="1">
        <f t="shared" ca="1" si="206"/>
        <v>20</v>
      </c>
      <c r="M198" s="1"/>
      <c r="N198" s="1">
        <f t="shared" ca="1" si="207"/>
        <v>925</v>
      </c>
      <c r="O198" s="1">
        <f t="shared" ca="1" si="208"/>
        <v>38</v>
      </c>
      <c r="P198" s="1"/>
      <c r="Q198" s="1">
        <f t="shared" ca="1" si="209"/>
        <v>0.31773722443096919</v>
      </c>
      <c r="R198" s="1">
        <f t="shared" ca="1" si="210"/>
        <v>1125</v>
      </c>
      <c r="S198" s="1"/>
      <c r="T198" s="1">
        <f t="shared" ca="1" si="211"/>
        <v>2.4205932865731809E-2</v>
      </c>
      <c r="U198" s="1">
        <f t="shared" ca="1" si="212"/>
        <v>304</v>
      </c>
      <c r="V198" s="1">
        <f t="shared" ca="1" si="213"/>
        <v>2</v>
      </c>
      <c r="W198" s="1"/>
      <c r="X198" s="1">
        <f t="shared" ca="1" si="214"/>
        <v>5.3147620552293553</v>
      </c>
      <c r="Y198" s="1">
        <f t="shared" ca="1" si="215"/>
        <v>0.99202430439995648</v>
      </c>
      <c r="Z198" s="1">
        <f t="shared" ca="1" si="216"/>
        <v>1466</v>
      </c>
      <c r="AB198" s="1">
        <f t="shared" ca="1" si="217"/>
        <v>0.44360977176731259</v>
      </c>
      <c r="AC198" s="1">
        <f t="shared" ca="1" si="218"/>
        <v>462</v>
      </c>
      <c r="AD198" s="1">
        <f t="shared" ca="1" si="219"/>
        <v>7.7842266252131451E-3</v>
      </c>
      <c r="AE198" s="1"/>
      <c r="AF198" s="1">
        <f t="shared" ca="1" si="220"/>
        <v>0.60897370115598126</v>
      </c>
      <c r="AG198" s="1">
        <f t="shared" ca="1" si="221"/>
        <v>601</v>
      </c>
      <c r="AH198" s="1">
        <f t="shared" ca="1" si="222"/>
        <v>4.2115524009830067E-3</v>
      </c>
      <c r="AJ198" s="1">
        <f t="shared" ca="1" si="223"/>
        <v>0.50723200418788339</v>
      </c>
      <c r="AK198" s="1">
        <f t="shared" ca="1" si="224"/>
        <v>2.9281190313792007E-3</v>
      </c>
      <c r="AL198" s="1"/>
      <c r="AM198" s="1">
        <f t="shared" ca="1" si="225"/>
        <v>0.15736570427004198</v>
      </c>
      <c r="AN198" s="1">
        <f t="shared" ca="1" si="226"/>
        <v>24</v>
      </c>
      <c r="AO198" s="1">
        <f t="shared" ca="1" si="227"/>
        <v>8</v>
      </c>
      <c r="AQ198" s="1">
        <f t="shared" ca="1" si="228"/>
        <v>77</v>
      </c>
      <c r="AR198" s="1">
        <f t="shared" ca="1" si="229"/>
        <v>3</v>
      </c>
      <c r="AS198" s="1">
        <f t="shared" ca="1" si="230"/>
        <v>27</v>
      </c>
      <c r="AU198" s="1">
        <f t="shared" ca="1" si="231"/>
        <v>54</v>
      </c>
      <c r="AV198" s="1">
        <f t="shared" ca="1" si="232"/>
        <v>7</v>
      </c>
      <c r="AW198" s="1">
        <f t="shared" ca="1" si="233"/>
        <v>0.14193541445957489</v>
      </c>
      <c r="AY198" s="1">
        <f t="shared" ca="1" si="234"/>
        <v>1.8502006410578047</v>
      </c>
      <c r="AZ198" s="1">
        <f t="shared" ca="1" si="235"/>
        <v>385</v>
      </c>
      <c r="BA198" s="1">
        <f t="shared" ca="1" si="236"/>
        <v>1.7949894159696156E-4</v>
      </c>
      <c r="BG198" s="1">
        <f t="shared" ca="1" si="237"/>
        <v>0.31313623382066957</v>
      </c>
      <c r="BH198" s="1">
        <f t="shared" ca="1" si="238"/>
        <v>0.27983867306014298</v>
      </c>
      <c r="BI198" s="1">
        <f t="shared" ca="1" si="239"/>
        <v>832</v>
      </c>
      <c r="BV198" s="1">
        <f t="shared" ca="1" si="240"/>
        <v>0.13873172681891363</v>
      </c>
      <c r="BW198" s="1">
        <f t="shared" ca="1" si="241"/>
        <v>402</v>
      </c>
      <c r="BX198" s="1">
        <f t="shared" ca="1" si="242"/>
        <v>7.2768931336145131E-3</v>
      </c>
      <c r="BY198" s="1">
        <f t="shared" ca="1" si="243"/>
        <v>9.0182146487000889E-2</v>
      </c>
      <c r="BZ198" s="1">
        <f t="shared" ca="1" si="244"/>
        <v>0.40012051945227434</v>
      </c>
      <c r="CB198" s="1">
        <f t="shared" ca="1" si="245"/>
        <v>414</v>
      </c>
      <c r="CC198" s="1">
        <f t="shared" ca="1" si="246"/>
        <v>7</v>
      </c>
      <c r="CD198" s="1">
        <f t="shared" ca="1" si="247"/>
        <v>0.27387956667893093</v>
      </c>
      <c r="CE198" s="1">
        <f t="shared" ca="1" si="197"/>
        <v>0.98222968848075265</v>
      </c>
      <c r="CF198" s="1">
        <f t="shared" ca="1" si="197"/>
        <v>0.97967998394793065</v>
      </c>
      <c r="CH198" s="3">
        <f t="shared" ca="1" si="248"/>
        <v>0.8109730029283212</v>
      </c>
      <c r="CI198" s="3">
        <f t="shared" ca="1" si="249"/>
        <v>9.5740507911411796E-2</v>
      </c>
      <c r="CJ198" s="3">
        <f t="shared" ca="1" si="250"/>
        <v>284</v>
      </c>
      <c r="CK198" s="3">
        <f t="shared" ca="1" si="251"/>
        <v>6.5477276140938406E-3</v>
      </c>
      <c r="CL198" s="3">
        <f t="shared" ca="1" si="252"/>
        <v>1</v>
      </c>
      <c r="CM198" s="3"/>
      <c r="CN198" s="1">
        <f t="shared" ca="1" si="253"/>
        <v>5.6589048499320578</v>
      </c>
      <c r="CO198" s="1">
        <f t="shared" ca="1" si="254"/>
        <v>0.42289886898920709</v>
      </c>
      <c r="CP198" s="1">
        <f t="shared" ca="1" si="255"/>
        <v>1</v>
      </c>
      <c r="DH198" s="1">
        <f t="shared" ca="1" si="256"/>
        <v>880</v>
      </c>
      <c r="DI198" s="1">
        <f t="shared" ca="1" si="257"/>
        <v>0.18557931033033423</v>
      </c>
      <c r="DJ198" s="1">
        <f t="shared" ca="1" si="258"/>
        <v>5</v>
      </c>
      <c r="DL198" s="1">
        <f t="shared" ca="1" si="259"/>
        <v>0.12609018895275864</v>
      </c>
      <c r="DM198" s="1">
        <f t="shared" ca="1" si="260"/>
        <v>76</v>
      </c>
      <c r="DN198" s="1">
        <f t="shared" ca="1" si="261"/>
        <v>7</v>
      </c>
    </row>
    <row r="199" spans="2:118" x14ac:dyDescent="0.25">
      <c r="B199">
        <f t="shared" ca="1" si="198"/>
        <v>320</v>
      </c>
      <c r="C199">
        <f t="shared" ca="1" si="199"/>
        <v>48</v>
      </c>
      <c r="D199">
        <f t="shared" ca="1" si="200"/>
        <v>4.2686948681014455E-2</v>
      </c>
      <c r="F199" s="1">
        <f t="shared" ca="1" si="201"/>
        <v>52</v>
      </c>
      <c r="G199" s="1">
        <f t="shared" ca="1" si="202"/>
        <v>26</v>
      </c>
      <c r="H199" s="1">
        <f t="shared" ca="1" si="203"/>
        <v>6</v>
      </c>
      <c r="I199" s="1"/>
      <c r="J199" s="1">
        <f t="shared" ca="1" si="204"/>
        <v>31</v>
      </c>
      <c r="K199" s="1">
        <f t="shared" ca="1" si="205"/>
        <v>2.0518984213375839</v>
      </c>
      <c r="L199" s="1">
        <f t="shared" ca="1" si="206"/>
        <v>32</v>
      </c>
      <c r="M199" s="1"/>
      <c r="N199" s="1">
        <f t="shared" ca="1" si="207"/>
        <v>264</v>
      </c>
      <c r="O199" s="1">
        <f t="shared" ca="1" si="208"/>
        <v>31</v>
      </c>
      <c r="P199" s="1"/>
      <c r="Q199" s="1">
        <f t="shared" ca="1" si="209"/>
        <v>1.0713695523782885</v>
      </c>
      <c r="R199" s="1">
        <f t="shared" ca="1" si="210"/>
        <v>543</v>
      </c>
      <c r="S199" s="1"/>
      <c r="T199" s="1">
        <f t="shared" ca="1" si="211"/>
        <v>7.6481861898505962E-2</v>
      </c>
      <c r="U199" s="1">
        <f t="shared" ca="1" si="212"/>
        <v>208</v>
      </c>
      <c r="V199" s="1">
        <f t="shared" ca="1" si="213"/>
        <v>50</v>
      </c>
      <c r="W199" s="1"/>
      <c r="X199" s="1">
        <f t="shared" ca="1" si="214"/>
        <v>4.8659990830599877</v>
      </c>
      <c r="Y199" s="1">
        <f t="shared" ca="1" si="215"/>
        <v>0.81882918082510003</v>
      </c>
      <c r="Z199" s="1">
        <f t="shared" ca="1" si="216"/>
        <v>1084</v>
      </c>
      <c r="AB199" s="1">
        <f t="shared" ca="1" si="217"/>
        <v>0.65782016481233463</v>
      </c>
      <c r="AC199" s="1">
        <f t="shared" ca="1" si="218"/>
        <v>867</v>
      </c>
      <c r="AD199" s="1">
        <f t="shared" ca="1" si="219"/>
        <v>3.7586443625074089E-3</v>
      </c>
      <c r="AE199" s="1"/>
      <c r="AF199" s="1">
        <f t="shared" ca="1" si="220"/>
        <v>0.40140806663991169</v>
      </c>
      <c r="AG199" s="1">
        <f t="shared" ca="1" si="221"/>
        <v>158</v>
      </c>
      <c r="AH199" s="1">
        <f t="shared" ca="1" si="222"/>
        <v>3.8286887577843858E-3</v>
      </c>
      <c r="AJ199" s="1">
        <f t="shared" ca="1" si="223"/>
        <v>0.27863627233956123</v>
      </c>
      <c r="AK199" s="1">
        <f t="shared" ca="1" si="224"/>
        <v>8.1652100472763892E-4</v>
      </c>
      <c r="AL199" s="1"/>
      <c r="AM199" s="1">
        <f t="shared" ca="1" si="225"/>
        <v>3.4806699223812403E-2</v>
      </c>
      <c r="AN199" s="1">
        <f t="shared" ca="1" si="226"/>
        <v>64</v>
      </c>
      <c r="AO199" s="1">
        <f t="shared" ca="1" si="227"/>
        <v>13</v>
      </c>
      <c r="AQ199" s="1">
        <f t="shared" ca="1" si="228"/>
        <v>171</v>
      </c>
      <c r="AR199" s="1">
        <f t="shared" ca="1" si="229"/>
        <v>6</v>
      </c>
      <c r="AS199" s="1">
        <f t="shared" ca="1" si="230"/>
        <v>44</v>
      </c>
      <c r="AU199" s="1">
        <f t="shared" ca="1" si="231"/>
        <v>94</v>
      </c>
      <c r="AV199" s="1">
        <f t="shared" ca="1" si="232"/>
        <v>4</v>
      </c>
      <c r="AW199" s="1">
        <f t="shared" ca="1" si="233"/>
        <v>4.2956250017598556E-2</v>
      </c>
      <c r="AY199" s="1">
        <f t="shared" ca="1" si="234"/>
        <v>1.3263055628445684</v>
      </c>
      <c r="AZ199" s="1">
        <f t="shared" ca="1" si="235"/>
        <v>349</v>
      </c>
      <c r="BA199" s="1">
        <f t="shared" ca="1" si="236"/>
        <v>5.1749913168183123E-3</v>
      </c>
      <c r="BG199" s="1">
        <f t="shared" ca="1" si="237"/>
        <v>0.86906461439225535</v>
      </c>
      <c r="BH199" s="1">
        <f t="shared" ca="1" si="238"/>
        <v>0.52486584944355708</v>
      </c>
      <c r="BI199" s="1">
        <f t="shared" ca="1" si="239"/>
        <v>165</v>
      </c>
      <c r="BV199" s="1">
        <f t="shared" ca="1" si="240"/>
        <v>0.2460902539413487</v>
      </c>
      <c r="BW199" s="1">
        <f t="shared" ca="1" si="241"/>
        <v>736</v>
      </c>
      <c r="BX199" s="1">
        <f t="shared" ca="1" si="242"/>
        <v>8.8084072517772439E-3</v>
      </c>
      <c r="BY199" s="1">
        <f t="shared" ca="1" si="243"/>
        <v>3.7738452026615708E-2</v>
      </c>
      <c r="BZ199" s="1">
        <f t="shared" ca="1" si="244"/>
        <v>0.88585591496035876</v>
      </c>
      <c r="CB199" s="1">
        <f t="shared" ca="1" si="245"/>
        <v>158</v>
      </c>
      <c r="CC199" s="1">
        <f t="shared" ca="1" si="246"/>
        <v>10</v>
      </c>
      <c r="CD199" s="1">
        <f t="shared" ca="1" si="247"/>
        <v>0.22881277128531102</v>
      </c>
      <c r="CE199" s="1">
        <f t="shared" ca="1" si="197"/>
        <v>0.81615609398620603</v>
      </c>
      <c r="CF199" s="1">
        <f t="shared" ca="1" si="197"/>
        <v>0.88763502246970116</v>
      </c>
      <c r="CH199" s="3">
        <f t="shared" ca="1" si="248"/>
        <v>0.79059890163494329</v>
      </c>
      <c r="CI199" s="3">
        <f t="shared" ca="1" si="249"/>
        <v>7.6241321741841936E-2</v>
      </c>
      <c r="CJ199" s="3">
        <f t="shared" ca="1" si="250"/>
        <v>576</v>
      </c>
      <c r="CK199" s="3">
        <f t="shared" ca="1" si="251"/>
        <v>6.8915788578351673E-3</v>
      </c>
      <c r="CL199" s="3">
        <f t="shared" ca="1" si="252"/>
        <v>1</v>
      </c>
      <c r="CM199" s="3"/>
      <c r="CN199" s="1">
        <f t="shared" ca="1" si="253"/>
        <v>14.611009991143799</v>
      </c>
      <c r="CO199" s="1">
        <f t="shared" ca="1" si="254"/>
        <v>0.21968643120722897</v>
      </c>
      <c r="CP199" s="1">
        <f t="shared" ca="1" si="255"/>
        <v>2</v>
      </c>
      <c r="DH199" s="1">
        <f t="shared" ca="1" si="256"/>
        <v>127</v>
      </c>
      <c r="DI199" s="1">
        <f t="shared" ca="1" si="257"/>
        <v>2.5843544493905485E-2</v>
      </c>
      <c r="DJ199" s="1">
        <f t="shared" ca="1" si="258"/>
        <v>23</v>
      </c>
      <c r="DL199" s="1">
        <f t="shared" ca="1" si="259"/>
        <v>8.5849807178505655E-2</v>
      </c>
      <c r="DM199" s="1">
        <f t="shared" ca="1" si="260"/>
        <v>70</v>
      </c>
      <c r="DN199" s="1">
        <f t="shared" ca="1" si="261"/>
        <v>7</v>
      </c>
    </row>
    <row r="200" spans="2:118" x14ac:dyDescent="0.25">
      <c r="B200">
        <f t="shared" ca="1" si="198"/>
        <v>320</v>
      </c>
      <c r="C200">
        <f t="shared" ca="1" si="199"/>
        <v>48</v>
      </c>
      <c r="D200">
        <f t="shared" ca="1" si="200"/>
        <v>9.1600183056381415E-2</v>
      </c>
      <c r="F200" s="1">
        <f t="shared" ca="1" si="201"/>
        <v>2</v>
      </c>
      <c r="G200" s="1">
        <f t="shared" ca="1" si="202"/>
        <v>12</v>
      </c>
      <c r="H200" s="1">
        <f t="shared" ca="1" si="203"/>
        <v>11</v>
      </c>
      <c r="I200" s="1"/>
      <c r="J200" s="1">
        <f t="shared" ca="1" si="204"/>
        <v>35</v>
      </c>
      <c r="K200" s="1">
        <f t="shared" ca="1" si="205"/>
        <v>1.6506723027069343</v>
      </c>
      <c r="L200" s="1">
        <f t="shared" ca="1" si="206"/>
        <v>16</v>
      </c>
      <c r="M200" s="1"/>
      <c r="N200" s="1">
        <f t="shared" ca="1" si="207"/>
        <v>135</v>
      </c>
      <c r="O200" s="1">
        <f t="shared" ca="1" si="208"/>
        <v>40</v>
      </c>
      <c r="P200" s="1"/>
      <c r="Q200" s="1">
        <f t="shared" ca="1" si="209"/>
        <v>1.956022372636717</v>
      </c>
      <c r="R200" s="1">
        <f t="shared" ca="1" si="210"/>
        <v>1018</v>
      </c>
      <c r="S200" s="1"/>
      <c r="T200" s="1">
        <f t="shared" ca="1" si="211"/>
        <v>0.10911481860053378</v>
      </c>
      <c r="U200" s="1">
        <f t="shared" ca="1" si="212"/>
        <v>117</v>
      </c>
      <c r="V200" s="1">
        <f t="shared" ca="1" si="213"/>
        <v>20</v>
      </c>
      <c r="W200" s="1"/>
      <c r="X200" s="1">
        <f t="shared" ca="1" si="214"/>
        <v>0.40644071572806928</v>
      </c>
      <c r="Y200" s="1">
        <f t="shared" ca="1" si="215"/>
        <v>0.14942619974477278</v>
      </c>
      <c r="Z200" s="1">
        <f t="shared" ca="1" si="216"/>
        <v>395</v>
      </c>
      <c r="AB200" s="1">
        <f t="shared" ca="1" si="217"/>
        <v>0.90425551233006318</v>
      </c>
      <c r="AC200" s="1">
        <f t="shared" ca="1" si="218"/>
        <v>912</v>
      </c>
      <c r="AD200" s="1">
        <f t="shared" ca="1" si="219"/>
        <v>3.5837210332921018E-4</v>
      </c>
      <c r="AE200" s="1"/>
      <c r="AF200" s="1">
        <f t="shared" ca="1" si="220"/>
        <v>0.64418439757646007</v>
      </c>
      <c r="AG200" s="1">
        <f t="shared" ca="1" si="221"/>
        <v>410</v>
      </c>
      <c r="AH200" s="1">
        <f t="shared" ca="1" si="222"/>
        <v>1.311415241351449E-3</v>
      </c>
      <c r="AJ200" s="1">
        <f t="shared" ca="1" si="223"/>
        <v>0.12321295184250147</v>
      </c>
      <c r="AK200" s="1">
        <f t="shared" ca="1" si="224"/>
        <v>1.2978174944085947E-3</v>
      </c>
      <c r="AL200" s="1"/>
      <c r="AM200" s="1">
        <f t="shared" ca="1" si="225"/>
        <v>0.19206797786435251</v>
      </c>
      <c r="AN200" s="1">
        <f t="shared" ca="1" si="226"/>
        <v>73</v>
      </c>
      <c r="AO200" s="1">
        <f t="shared" ca="1" si="227"/>
        <v>12</v>
      </c>
      <c r="AQ200" s="1">
        <f t="shared" ca="1" si="228"/>
        <v>17</v>
      </c>
      <c r="AR200" s="1">
        <f t="shared" ca="1" si="229"/>
        <v>4</v>
      </c>
      <c r="AS200" s="1">
        <f t="shared" ca="1" si="230"/>
        <v>52</v>
      </c>
      <c r="AU200" s="1">
        <f t="shared" ca="1" si="231"/>
        <v>175</v>
      </c>
      <c r="AV200" s="1">
        <f t="shared" ca="1" si="232"/>
        <v>8</v>
      </c>
      <c r="AW200" s="1">
        <f t="shared" ca="1" si="233"/>
        <v>0.10523935325357288</v>
      </c>
      <c r="AY200" s="1">
        <f t="shared" ca="1" si="234"/>
        <v>1.3846369796194971</v>
      </c>
      <c r="AZ200" s="1">
        <f t="shared" ca="1" si="235"/>
        <v>147</v>
      </c>
      <c r="BA200" s="1">
        <f t="shared" ca="1" si="236"/>
        <v>7.4871210347581645E-3</v>
      </c>
      <c r="BG200" s="1">
        <f t="shared" ca="1" si="237"/>
        <v>0.9858208046237702</v>
      </c>
      <c r="BH200" s="1">
        <f t="shared" ca="1" si="238"/>
        <v>0.97823039723093985</v>
      </c>
      <c r="BI200" s="1">
        <f t="shared" ca="1" si="239"/>
        <v>936</v>
      </c>
      <c r="BV200" s="1">
        <f t="shared" ca="1" si="240"/>
        <v>0.22090851680876597</v>
      </c>
      <c r="BW200" s="1">
        <f t="shared" ca="1" si="241"/>
        <v>395</v>
      </c>
      <c r="BX200" s="1">
        <f t="shared" ca="1" si="242"/>
        <v>4.6767654286110601E-3</v>
      </c>
      <c r="BY200" s="1">
        <f t="shared" ca="1" si="243"/>
        <v>8.625445721364966E-2</v>
      </c>
      <c r="BZ200" s="1">
        <f t="shared" ca="1" si="244"/>
        <v>0.36745794683849198</v>
      </c>
      <c r="CB200" s="1">
        <f t="shared" ca="1" si="245"/>
        <v>429</v>
      </c>
      <c r="CC200" s="1">
        <f t="shared" ca="1" si="246"/>
        <v>8</v>
      </c>
      <c r="CD200" s="1">
        <f t="shared" ca="1" si="247"/>
        <v>0.27228325852387197</v>
      </c>
      <c r="CE200" s="1">
        <f t="shared" ca="1" si="197"/>
        <v>0.96335085403933318</v>
      </c>
      <c r="CF200" s="1">
        <f t="shared" ca="1" si="197"/>
        <v>0.94440769724009233</v>
      </c>
      <c r="CH200" s="3">
        <f t="shared" ca="1" si="248"/>
        <v>0.35263631451084665</v>
      </c>
      <c r="CI200" s="3">
        <f t="shared" ca="1" si="249"/>
        <v>3.6147454329265714E-2</v>
      </c>
      <c r="CJ200" s="3">
        <f t="shared" ca="1" si="250"/>
        <v>300</v>
      </c>
      <c r="CK200" s="3">
        <f t="shared" ca="1" si="251"/>
        <v>7.6841195006464788E-3</v>
      </c>
      <c r="CL200" s="3">
        <f t="shared" ca="1" si="252"/>
        <v>0</v>
      </c>
      <c r="CM200" s="3"/>
      <c r="CN200" s="1">
        <f t="shared" ca="1" si="253"/>
        <v>9.178057170174684</v>
      </c>
      <c r="CO200" s="1">
        <f t="shared" ca="1" si="254"/>
        <v>0.28659723577871643</v>
      </c>
      <c r="CP200" s="1">
        <f t="shared" ca="1" si="255"/>
        <v>1</v>
      </c>
      <c r="DH200" s="1">
        <f t="shared" ca="1" si="256"/>
        <v>77</v>
      </c>
      <c r="DI200" s="1">
        <f t="shared" ca="1" si="257"/>
        <v>2.6522778819091545E-2</v>
      </c>
      <c r="DJ200" s="1">
        <f t="shared" ca="1" si="258"/>
        <v>28</v>
      </c>
      <c r="DL200" s="1">
        <f t="shared" ca="1" si="259"/>
        <v>0.16962849668679705</v>
      </c>
      <c r="DM200" s="1">
        <f t="shared" ca="1" si="260"/>
        <v>88</v>
      </c>
      <c r="DN200" s="1">
        <f t="shared" ca="1" si="261"/>
        <v>1</v>
      </c>
    </row>
    <row r="201" spans="2:118" x14ac:dyDescent="0.25">
      <c r="B201">
        <f t="shared" ca="1" si="198"/>
        <v>69</v>
      </c>
      <c r="C201">
        <f t="shared" ca="1" si="199"/>
        <v>2</v>
      </c>
      <c r="D201">
        <f t="shared" ca="1" si="200"/>
        <v>2.8465018942092843E-2</v>
      </c>
      <c r="F201" s="1">
        <f t="shared" ca="1" si="201"/>
        <v>39</v>
      </c>
      <c r="G201" s="1">
        <f t="shared" ca="1" si="202"/>
        <v>18</v>
      </c>
      <c r="H201" s="1">
        <f t="shared" ca="1" si="203"/>
        <v>11</v>
      </c>
      <c r="I201" s="1"/>
      <c r="J201" s="1">
        <f t="shared" ca="1" si="204"/>
        <v>23</v>
      </c>
      <c r="K201" s="1">
        <f t="shared" ca="1" si="205"/>
        <v>2.6615105583076644</v>
      </c>
      <c r="L201" s="1">
        <f t="shared" ca="1" si="206"/>
        <v>10</v>
      </c>
      <c r="M201" s="1"/>
      <c r="N201" s="1">
        <f t="shared" ca="1" si="207"/>
        <v>217</v>
      </c>
      <c r="O201" s="1">
        <f t="shared" ca="1" si="208"/>
        <v>28</v>
      </c>
      <c r="P201" s="1"/>
      <c r="Q201" s="1">
        <f t="shared" ca="1" si="209"/>
        <v>2.3850260410114665</v>
      </c>
      <c r="R201" s="1">
        <f t="shared" ca="1" si="210"/>
        <v>923</v>
      </c>
      <c r="S201" s="1"/>
      <c r="T201" s="1">
        <f t="shared" ca="1" si="211"/>
        <v>0.14704217901347577</v>
      </c>
      <c r="U201" s="1">
        <f t="shared" ca="1" si="212"/>
        <v>216</v>
      </c>
      <c r="V201" s="1">
        <f t="shared" ca="1" si="213"/>
        <v>49</v>
      </c>
      <c r="W201" s="1"/>
      <c r="X201" s="1">
        <f t="shared" ca="1" si="214"/>
        <v>7.1583102247279458</v>
      </c>
      <c r="Y201" s="1">
        <f t="shared" ca="1" si="215"/>
        <v>3.0426489378814692E-2</v>
      </c>
      <c r="Z201" s="1">
        <f t="shared" ca="1" si="216"/>
        <v>851</v>
      </c>
      <c r="AB201" s="1">
        <f t="shared" ca="1" si="217"/>
        <v>0.95611933623918244</v>
      </c>
      <c r="AC201" s="1">
        <f t="shared" ca="1" si="218"/>
        <v>260</v>
      </c>
      <c r="AD201" s="1">
        <f t="shared" ca="1" si="219"/>
        <v>1.8955725868417409E-3</v>
      </c>
      <c r="AE201" s="1"/>
      <c r="AF201" s="1">
        <f t="shared" ca="1" si="220"/>
        <v>0.26738640418653403</v>
      </c>
      <c r="AG201" s="1">
        <f t="shared" ca="1" si="221"/>
        <v>258</v>
      </c>
      <c r="AH201" s="1">
        <f t="shared" ca="1" si="222"/>
        <v>1.950101824957487E-3</v>
      </c>
      <c r="AJ201" s="1">
        <f t="shared" ca="1" si="223"/>
        <v>0.93340282776964556</v>
      </c>
      <c r="AK201" s="1">
        <f t="shared" ca="1" si="224"/>
        <v>9.2776372401062075E-3</v>
      </c>
      <c r="AL201" s="1"/>
      <c r="AM201" s="1">
        <f t="shared" ca="1" si="225"/>
        <v>0.13724947803268028</v>
      </c>
      <c r="AN201" s="1">
        <f t="shared" ca="1" si="226"/>
        <v>78</v>
      </c>
      <c r="AO201" s="1">
        <f t="shared" ca="1" si="227"/>
        <v>15</v>
      </c>
      <c r="AQ201" s="1">
        <f t="shared" ca="1" si="228"/>
        <v>79</v>
      </c>
      <c r="AR201" s="1">
        <f t="shared" ca="1" si="229"/>
        <v>5</v>
      </c>
      <c r="AS201" s="1">
        <f t="shared" ca="1" si="230"/>
        <v>59</v>
      </c>
      <c r="AU201" s="1">
        <f t="shared" ca="1" si="231"/>
        <v>237</v>
      </c>
      <c r="AV201" s="1">
        <f t="shared" ca="1" si="232"/>
        <v>9</v>
      </c>
      <c r="AW201" s="1">
        <f t="shared" ca="1" si="233"/>
        <v>0.1755535932076063</v>
      </c>
      <c r="AY201" s="1">
        <f t="shared" ca="1" si="234"/>
        <v>1.3519670308131926</v>
      </c>
      <c r="AZ201" s="1">
        <f t="shared" ca="1" si="235"/>
        <v>77</v>
      </c>
      <c r="BA201" s="1">
        <f t="shared" ca="1" si="236"/>
        <v>2.0686456094771177E-3</v>
      </c>
      <c r="BG201" s="1">
        <f t="shared" ca="1" si="237"/>
        <v>0.66887793288883668</v>
      </c>
      <c r="BH201" s="1">
        <f t="shared" ca="1" si="238"/>
        <v>0.12372119264041637</v>
      </c>
      <c r="BI201" s="1">
        <f t="shared" ca="1" si="239"/>
        <v>421</v>
      </c>
      <c r="BV201" s="1">
        <f t="shared" ca="1" si="240"/>
        <v>0.31478596668771647</v>
      </c>
      <c r="BW201" s="1">
        <f t="shared" ca="1" si="241"/>
        <v>982</v>
      </c>
      <c r="BX201" s="1">
        <f t="shared" ca="1" si="242"/>
        <v>1.3918871160458726E-3</v>
      </c>
      <c r="BY201" s="1">
        <f t="shared" ca="1" si="243"/>
        <v>3.0136234753823796E-2</v>
      </c>
      <c r="BZ201" s="1">
        <f t="shared" ca="1" si="244"/>
        <v>0.84348272678637193</v>
      </c>
      <c r="CB201" s="1">
        <f t="shared" ca="1" si="245"/>
        <v>414</v>
      </c>
      <c r="CC201" s="1">
        <f t="shared" ca="1" si="246"/>
        <v>10</v>
      </c>
      <c r="CD201" s="1">
        <f t="shared" ca="1" si="247"/>
        <v>0.11476255569868594</v>
      </c>
      <c r="CE201" s="1">
        <f t="shared" ca="1" si="197"/>
        <v>0.52197796416659492</v>
      </c>
      <c r="CF201" s="1">
        <f t="shared" ca="1" si="197"/>
        <v>0.60929300461869218</v>
      </c>
      <c r="CH201" s="3">
        <f t="shared" ca="1" si="248"/>
        <v>4.716739684643502E-2</v>
      </c>
      <c r="CI201" s="3">
        <f t="shared" ca="1" si="249"/>
        <v>0.60034283455229864</v>
      </c>
      <c r="CJ201" s="3">
        <f t="shared" ca="1" si="250"/>
        <v>1317</v>
      </c>
      <c r="CK201" s="3">
        <f t="shared" ca="1" si="251"/>
        <v>3.4421749935931983E-3</v>
      </c>
      <c r="CL201" s="3">
        <f t="shared" ca="1" si="252"/>
        <v>1</v>
      </c>
      <c r="CM201" s="3"/>
      <c r="CN201" s="1">
        <f t="shared" ca="1" si="253"/>
        <v>19.331782815091731</v>
      </c>
      <c r="CO201" s="1">
        <f t="shared" ca="1" si="254"/>
        <v>9.6873959675098736E-2</v>
      </c>
      <c r="CP201" s="1">
        <f t="shared" ca="1" si="255"/>
        <v>1</v>
      </c>
      <c r="DH201" s="1">
        <f t="shared" ca="1" si="256"/>
        <v>773</v>
      </c>
      <c r="DI201" s="1">
        <f t="shared" ca="1" si="257"/>
        <v>0.84621820096965161</v>
      </c>
      <c r="DJ201" s="1">
        <f t="shared" ca="1" si="258"/>
        <v>24</v>
      </c>
      <c r="DL201" s="1">
        <f t="shared" ca="1" si="259"/>
        <v>3.5769517497258069E-2</v>
      </c>
      <c r="DM201" s="1">
        <f t="shared" ca="1" si="260"/>
        <v>279</v>
      </c>
      <c r="DN201" s="1">
        <f t="shared" ca="1" si="261"/>
        <v>6</v>
      </c>
    </row>
    <row r="202" spans="2:118" x14ac:dyDescent="0.25">
      <c r="B202">
        <f t="shared" ca="1" si="198"/>
        <v>312</v>
      </c>
      <c r="C202">
        <f t="shared" ca="1" si="199"/>
        <v>26</v>
      </c>
      <c r="D202">
        <f t="shared" ca="1" si="200"/>
        <v>0.24696358420409967</v>
      </c>
      <c r="F202" s="1">
        <f t="shared" ca="1" si="201"/>
        <v>22</v>
      </c>
      <c r="G202" s="1">
        <f t="shared" ca="1" si="202"/>
        <v>6</v>
      </c>
      <c r="H202" s="1">
        <f t="shared" ca="1" si="203"/>
        <v>12</v>
      </c>
      <c r="I202" s="1"/>
      <c r="J202" s="1">
        <f t="shared" ca="1" si="204"/>
        <v>25</v>
      </c>
      <c r="K202" s="1">
        <f t="shared" ca="1" si="205"/>
        <v>2.5080774791398368</v>
      </c>
      <c r="L202" s="1">
        <f t="shared" ca="1" si="206"/>
        <v>3</v>
      </c>
      <c r="M202" s="1"/>
      <c r="N202" s="1">
        <f t="shared" ca="1" si="207"/>
        <v>470</v>
      </c>
      <c r="O202" s="1">
        <f t="shared" ca="1" si="208"/>
        <v>31</v>
      </c>
      <c r="P202" s="1"/>
      <c r="Q202" s="1">
        <f t="shared" ca="1" si="209"/>
        <v>2.9859288797136845</v>
      </c>
      <c r="R202" s="1">
        <f t="shared" ca="1" si="210"/>
        <v>1052</v>
      </c>
      <c r="S202" s="1"/>
      <c r="T202" s="1">
        <f t="shared" ca="1" si="211"/>
        <v>5.189755173741091E-2</v>
      </c>
      <c r="U202" s="1">
        <f t="shared" ca="1" si="212"/>
        <v>248</v>
      </c>
      <c r="V202" s="1">
        <f t="shared" ca="1" si="213"/>
        <v>39</v>
      </c>
      <c r="W202" s="1"/>
      <c r="X202" s="1">
        <f t="shared" ca="1" si="214"/>
        <v>6.9946977463601332</v>
      </c>
      <c r="Y202" s="1">
        <f t="shared" ca="1" si="215"/>
        <v>0.53395194492507048</v>
      </c>
      <c r="Z202" s="1">
        <f t="shared" ca="1" si="216"/>
        <v>1506</v>
      </c>
      <c r="AB202" s="1">
        <f t="shared" ca="1" si="217"/>
        <v>0.24669313080660166</v>
      </c>
      <c r="AC202" s="1">
        <f t="shared" ca="1" si="218"/>
        <v>427</v>
      </c>
      <c r="AD202" s="1">
        <f t="shared" ca="1" si="219"/>
        <v>2.1718144397748825E-3</v>
      </c>
      <c r="AE202" s="1"/>
      <c r="AF202" s="1">
        <f t="shared" ca="1" si="220"/>
        <v>0.47110411935206542</v>
      </c>
      <c r="AG202" s="1">
        <f t="shared" ca="1" si="221"/>
        <v>465</v>
      </c>
      <c r="AH202" s="1">
        <f t="shared" ca="1" si="222"/>
        <v>1.3296254652186248E-3</v>
      </c>
      <c r="AJ202" s="1">
        <f t="shared" ca="1" si="223"/>
        <v>0.41905381828760391</v>
      </c>
      <c r="AK202" s="1">
        <f t="shared" ca="1" si="224"/>
        <v>3.7980458626903327E-3</v>
      </c>
      <c r="AL202" s="1"/>
      <c r="AM202" s="1">
        <f t="shared" ca="1" si="225"/>
        <v>2.9433514699785224E-2</v>
      </c>
      <c r="AN202" s="1">
        <f t="shared" ca="1" si="226"/>
        <v>35</v>
      </c>
      <c r="AO202" s="1">
        <f t="shared" ca="1" si="227"/>
        <v>10</v>
      </c>
      <c r="AQ202" s="1">
        <f t="shared" ca="1" si="228"/>
        <v>143</v>
      </c>
      <c r="AR202" s="1">
        <f t="shared" ca="1" si="229"/>
        <v>5</v>
      </c>
      <c r="AS202" s="1">
        <f t="shared" ca="1" si="230"/>
        <v>93</v>
      </c>
      <c r="AU202" s="1">
        <f t="shared" ca="1" si="231"/>
        <v>108</v>
      </c>
      <c r="AV202" s="1">
        <f t="shared" ca="1" si="232"/>
        <v>6</v>
      </c>
      <c r="AW202" s="1">
        <f t="shared" ca="1" si="233"/>
        <v>0.13928895708179326</v>
      </c>
      <c r="AY202" s="1">
        <f t="shared" ca="1" si="234"/>
        <v>1.1606579114393816</v>
      </c>
      <c r="AZ202" s="1">
        <f t="shared" ca="1" si="235"/>
        <v>118</v>
      </c>
      <c r="BA202" s="1">
        <f t="shared" ca="1" si="236"/>
        <v>5.8368230208197883E-3</v>
      </c>
      <c r="BG202" s="1">
        <f t="shared" ca="1" si="237"/>
        <v>0.23761054640539644</v>
      </c>
      <c r="BH202" s="1">
        <f t="shared" ca="1" si="238"/>
        <v>0.52642002406774568</v>
      </c>
      <c r="BI202" s="1">
        <f t="shared" ca="1" si="239"/>
        <v>990</v>
      </c>
      <c r="BV202" s="1">
        <f t="shared" ca="1" si="240"/>
        <v>7.4723466970814303E-3</v>
      </c>
      <c r="BW202" s="1">
        <f t="shared" ca="1" si="241"/>
        <v>706</v>
      </c>
      <c r="BX202" s="1">
        <f t="shared" ca="1" si="242"/>
        <v>8.339093002235733E-3</v>
      </c>
      <c r="BY202" s="1">
        <f t="shared" ca="1" si="243"/>
        <v>5.8054872215656785E-2</v>
      </c>
      <c r="BZ202" s="1">
        <f t="shared" ca="1" si="244"/>
        <v>0.79613413626925611</v>
      </c>
      <c r="CB202" s="1">
        <f t="shared" ca="1" si="245"/>
        <v>408</v>
      </c>
      <c r="CC202" s="1">
        <f t="shared" ca="1" si="246"/>
        <v>5</v>
      </c>
      <c r="CD202" s="1">
        <f t="shared" ca="1" si="247"/>
        <v>0.20900275649603731</v>
      </c>
      <c r="CE202" s="1">
        <f t="shared" ca="1" si="197"/>
        <v>0.65851545663711963</v>
      </c>
      <c r="CF202" s="1">
        <f t="shared" ca="1" si="197"/>
        <v>0.74940515601925339</v>
      </c>
      <c r="CH202" s="3">
        <f t="shared" ca="1" si="248"/>
        <v>0.5094581537319911</v>
      </c>
      <c r="CI202" s="3">
        <f t="shared" ca="1" si="249"/>
        <v>0.91204397014237881</v>
      </c>
      <c r="CJ202" s="3">
        <f t="shared" ca="1" si="250"/>
        <v>535</v>
      </c>
      <c r="CK202" s="3">
        <f t="shared" ca="1" si="251"/>
        <v>4.4694416925833563E-3</v>
      </c>
      <c r="CL202" s="3">
        <f t="shared" ca="1" si="252"/>
        <v>1</v>
      </c>
      <c r="CM202" s="3"/>
      <c r="CN202" s="1">
        <f t="shared" ca="1" si="253"/>
        <v>13.997981049562371</v>
      </c>
      <c r="CO202" s="1">
        <f t="shared" ca="1" si="254"/>
        <v>0.17655122121556255</v>
      </c>
      <c r="CP202" s="1">
        <f t="shared" ca="1" si="255"/>
        <v>1</v>
      </c>
      <c r="DH202" s="1">
        <f t="shared" ca="1" si="256"/>
        <v>539</v>
      </c>
      <c r="DI202" s="1">
        <f t="shared" ca="1" si="257"/>
        <v>0.57995087912057797</v>
      </c>
      <c r="DJ202" s="1">
        <f t="shared" ca="1" si="258"/>
        <v>1</v>
      </c>
      <c r="DL202" s="1">
        <f t="shared" ca="1" si="259"/>
        <v>3.519316341401698E-2</v>
      </c>
      <c r="DM202" s="1">
        <f t="shared" ca="1" si="260"/>
        <v>190</v>
      </c>
      <c r="DN202" s="1">
        <f t="shared" ca="1" si="261"/>
        <v>3</v>
      </c>
    </row>
  </sheetData>
  <mergeCells count="29">
    <mergeCell ref="DL1:DN1"/>
    <mergeCell ref="CB1:CF1"/>
    <mergeCell ref="AU1:AW1"/>
    <mergeCell ref="AQ1:AS1"/>
    <mergeCell ref="AM1:AO1"/>
    <mergeCell ref="BV1:BZ1"/>
    <mergeCell ref="BO1:BP1"/>
    <mergeCell ref="BR1:BT1"/>
    <mergeCell ref="BG1:BI1"/>
    <mergeCell ref="BK1:BM1"/>
    <mergeCell ref="CR1:CT1"/>
    <mergeCell ref="CV1:CX1"/>
    <mergeCell ref="CN1:CP1"/>
    <mergeCell ref="CH1:CL1"/>
    <mergeCell ref="DH1:DJ1"/>
    <mergeCell ref="DD1:DF1"/>
    <mergeCell ref="CZ1:DB1"/>
    <mergeCell ref="T1:V1"/>
    <mergeCell ref="X1:Z1"/>
    <mergeCell ref="B1:D1"/>
    <mergeCell ref="F1:H1"/>
    <mergeCell ref="J1:L1"/>
    <mergeCell ref="N1:O1"/>
    <mergeCell ref="Q1:R1"/>
    <mergeCell ref="AJ1:AK1"/>
    <mergeCell ref="AB1:AD1"/>
    <mergeCell ref="AF1:AH1"/>
    <mergeCell ref="AY1:BA1"/>
    <mergeCell ref="BC1:B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Moradian</dc:creator>
  <cp:lastModifiedBy>Sam Moradian</cp:lastModifiedBy>
  <dcterms:created xsi:type="dcterms:W3CDTF">2015-06-05T18:17:20Z</dcterms:created>
  <dcterms:modified xsi:type="dcterms:W3CDTF">2026-07-05T09:00:39Z</dcterms:modified>
</cp:coreProperties>
</file>