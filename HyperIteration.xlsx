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AA7FC39A-6C34-4F4A-83C1-A33B7F4EB228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Z3" i="1" l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<sst xmlns="http://schemas.openxmlformats.org/spreadsheetml/2006/main" count="105" uniqueCount="58">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</sst>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4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B202"/>
  <sheetViews>
    <sheetView tabSelected="1" topLeftCell="CB1" zoomScale="70" zoomScaleNormal="70" workbookViewId="0">
      <selection activeCell="CY17" sqref="CY17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106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5" t="s">
        <v>10</v>
      </c>
      <c r="O1" s="6"/>
      <c r="P1" s="1"/>
      <c r="Q1" s="5" t="s">
        <v>11</v>
      </c>
      <c r="R1" s="6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5" t="s">
        <v>24</v>
      </c>
      <c r="AK1" s="6"/>
      <c r="AM1" s="5" t="s">
        <v>26</v>
      </c>
      <c r="AN1" s="9"/>
      <c r="AO1" s="9"/>
      <c r="AQ1" s="5" t="s">
        <v>30</v>
      </c>
      <c r="AR1" s="9"/>
      <c r="AS1" s="9"/>
      <c r="AU1" s="5" t="s">
        <v>31</v>
      </c>
      <c r="AV1" s="9"/>
      <c r="AW1" s="9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5" t="s">
        <v>41</v>
      </c>
      <c r="BP1" s="6"/>
      <c r="BR1" s="4" t="s">
        <v>44</v>
      </c>
      <c r="BS1" s="4"/>
      <c r="BT1" s="4"/>
      <c r="BV1" s="7" t="s">
        <v>37</v>
      </c>
      <c r="BW1" s="8"/>
      <c r="BX1" s="8"/>
      <c r="BY1" s="8"/>
      <c r="BZ1" s="8"/>
      <c r="CB1" s="7" t="s">
        <v>50</v>
      </c>
      <c r="CC1" s="8"/>
      <c r="CD1" s="8"/>
      <c r="CE1" s="8"/>
      <c r="CF1" s="8"/>
      <c r="CH1" s="7" t="s">
        <v>22</v>
      </c>
      <c r="CI1" s="8"/>
      <c r="CJ1" s="8"/>
      <c r="CK1" s="8"/>
      <c r="CL1" s="8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</row>
    <row r="2" spans="2:106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</row>
    <row r="3" spans="2:106" x14ac:dyDescent="0.25">
      <c r="B3">
        <f ca="1">RANDBETWEEN(15,1000)</f>
        <v>238</v>
      </c>
      <c r="C3">
        <f ca="1">RANDBETWEEN(2,52)</f>
        <v>41</v>
      </c>
      <c r="D3">
        <f ca="1">RAND()*(0.3-0.01)+0.01</f>
        <v>0.21137460526865365</v>
      </c>
      <c r="F3" s="1">
        <f ca="1">RANDBETWEEN(2,52)</f>
        <v>35</v>
      </c>
      <c r="G3" s="1">
        <f ca="1">RANDBETWEEN(2,30)</f>
        <v>2</v>
      </c>
      <c r="H3" s="1">
        <f ca="1">RANDBETWEEN(1,15)</f>
        <v>11</v>
      </c>
      <c r="I3" s="1"/>
      <c r="J3" s="1">
        <f ca="1">RANDBETWEEN(1,39)</f>
        <v>17</v>
      </c>
      <c r="K3" s="1">
        <f ca="1">RAND()*(3-1)+1</f>
        <v>2.7840735388604783</v>
      </c>
      <c r="L3" s="1">
        <f ca="1">RANDBETWEEN(2,35)</f>
        <v>6</v>
      </c>
      <c r="M3" s="1"/>
      <c r="N3" s="1">
        <f ca="1">RANDBETWEEN(15,1000)</f>
        <v>617</v>
      </c>
      <c r="O3" s="1">
        <f ca="1">RANDBETWEEN(2,52)</f>
        <v>51</v>
      </c>
      <c r="P3" s="1"/>
      <c r="Q3" s="1">
        <f ca="1">RAND()*(5-0.01)+0.01</f>
        <v>2.6299778204407684</v>
      </c>
      <c r="R3" s="1">
        <f ca="1">RANDBETWEEN(200,1200)</f>
        <v>1019</v>
      </c>
      <c r="S3" s="1"/>
      <c r="T3" s="1">
        <f ca="1">RAND()*(0.2-0.01)+0.01</f>
        <v>0.16995394241482675</v>
      </c>
      <c r="U3" s="1">
        <f ca="1">RANDBETWEEN(50,450)</f>
        <v>213</v>
      </c>
      <c r="V3" s="1">
        <f ca="1">RANDBETWEEN(2,52)</f>
        <v>49</v>
      </c>
      <c r="W3" s="1"/>
      <c r="X3" s="1">
        <f ca="1">RAND()*(10-0.01)+0.01</f>
        <v>2.9337994272036849</v>
      </c>
      <c r="Y3" s="1">
        <f ca="1">RAND()*(1-0.0001)+0.0001</f>
        <v>0.3479942278155117</v>
      </c>
      <c r="Z3" s="1">
        <f ca="1">RANDBETWEEN(100,2000)</f>
        <v>463</v>
      </c>
      <c r="AB3" s="1">
        <f ca="1">RAND()*(1-0.0001)+0.0001</f>
        <v>0.27660130180102921</v>
      </c>
      <c r="AC3" s="1">
        <f ca="1">RANDBETWEEN(100,1000)</f>
        <v>688</v>
      </c>
      <c r="AD3" s="1">
        <f ca="1">RAND()*(0.01-0.00001)+0.00001</f>
        <v>4.6718833198950097E-3</v>
      </c>
      <c r="AE3" s="1"/>
      <c r="AF3" s="1">
        <f ca="1">RAND()*(0.9-0.1)+0.1</f>
        <v>0.31980972647734818</v>
      </c>
      <c r="AG3" s="1">
        <f ca="1">RANDBETWEEN(100,1000)</f>
        <v>314</v>
      </c>
      <c r="AH3" s="1">
        <f ca="1">RAND()*(0.01-0.00001)+0.00001</f>
        <v>3.6280701741479935E-3</v>
      </c>
      <c r="AJ3" s="1">
        <f ca="1">RAND()*(1-0)+0</f>
        <v>4.8946701479592902E-2</v>
      </c>
      <c r="AK3" s="1">
        <f ca="1">RAND()*(0.01-0.00001)+0.00001</f>
        <v>1.9165531927736162E-3</v>
      </c>
      <c r="AM3" s="1">
        <f ca="1">RAND()*(0.2-0.005)+0.005</f>
        <v>7.2669511006130477E-2</v>
      </c>
      <c r="AN3" s="1">
        <f ca="1">RANDBETWEEN(10,80)</f>
        <v>40</v>
      </c>
      <c r="AO3" s="1">
        <f ca="1">RANDBETWEEN(-1,20)</f>
        <v>1</v>
      </c>
      <c r="AQ3" s="1">
        <f ca="1">RANDBETWEEN(10,200)</f>
        <v>130</v>
      </c>
      <c r="AR3" s="1">
        <f ca="1">RANDBETWEEN(0,10)</f>
        <v>0</v>
      </c>
      <c r="AS3" s="1">
        <f ca="1">RANDBETWEEN(1,100)</f>
        <v>20</v>
      </c>
      <c r="AU3" s="1">
        <f ca="1">RANDBETWEEN(50,400)</f>
        <v>133</v>
      </c>
      <c r="AV3" s="1">
        <f ca="1">RANDBETWEEN(2,10)</f>
        <v>6</v>
      </c>
      <c r="AW3" s="1">
        <f ca="1">RAND()*(0.2-0.01)+0.01</f>
        <v>5.7672828189764949E-2</v>
      </c>
      <c r="AY3" s="1">
        <f ca="1">RAND()*(2-1.1)+1.1</f>
        <v>1.9310581285592268</v>
      </c>
      <c r="AZ3" s="1">
        <f ca="1">RANDBETWEEN(50,500)</f>
        <v>165</v>
      </c>
      <c r="BA3" s="1">
        <f ca="1">RAND()*(0.01-0.00001)+0.00001</f>
        <v>8.8437962988630638E-3</v>
      </c>
      <c r="BC3" s="1">
        <f ca="1">RAND()*(1-0.0001)+0.0001</f>
        <v>0.34862219120632365</v>
      </c>
      <c r="BD3" s="1">
        <f ca="1">RAND()*(1-0.0001)+0.0001</f>
        <v>0.44196426109809422</v>
      </c>
      <c r="BE3" s="1">
        <f ca="1">RANDBETWEEN(0,2)</f>
        <v>1</v>
      </c>
      <c r="BG3" s="1">
        <f ca="1">RAND()*(1-0.0001)+0.0001</f>
        <v>0.53908789953562086</v>
      </c>
      <c r="BH3" s="1">
        <f ca="1">RAND()*(1-0)+0</f>
        <v>0.64792655546952893</v>
      </c>
      <c r="BI3" s="1">
        <f ca="1">RANDBETWEEN(100,1000)</f>
        <v>934</v>
      </c>
      <c r="BK3" s="1">
        <f ca="1">RANDBETWEEN(100,600)</f>
        <v>592</v>
      </c>
      <c r="BL3" s="1">
        <f ca="1">RANDBETWEEN(3,10)</f>
        <v>3</v>
      </c>
      <c r="BM3" s="1">
        <f ca="1">RAND()*(0.3-0.01)+0.01</f>
        <v>0.22626905827615215</v>
      </c>
      <c r="BO3" s="1">
        <f ca="1">RAND()*(0.1-0.000001)+0.000001</f>
        <v>7.6514626911452194E-2</v>
      </c>
      <c r="BP3" s="1">
        <f ca="1">RANDBETWEEN(0,15)</f>
        <v>13</v>
      </c>
      <c r="BR3" s="1">
        <f ca="1">RAND()*(0.01-0.000001)+0.000001</f>
        <v>2.8631251349705788E-3</v>
      </c>
      <c r="BS3" s="1">
        <f ca="1">RAND()*(0.01-0.000001)+0.000001</f>
        <v>8.9436779235352593E-3</v>
      </c>
      <c r="BT3" s="1">
        <f ca="1">RANDBETWEEN(100,1000)</f>
        <v>870</v>
      </c>
      <c r="BV3" s="1">
        <f ca="1">RAND()*(1-0.0001)+0.0001</f>
        <v>0.91123867693260896</v>
      </c>
      <c r="BW3" s="1">
        <f ca="1">RANDBETWEEN(100,1000)</f>
        <v>790</v>
      </c>
      <c r="BX3" s="1">
        <f ca="1">RAND()*(0.01-0.00001)+0.00001</f>
        <v>6.5534808067142973E-3</v>
      </c>
      <c r="BY3" s="1">
        <f ca="1">RAND()*(0.1-0.0001)+0.0001</f>
        <v>7.1323646153585107E-2</v>
      </c>
      <c r="BZ3" s="1">
        <f ca="1">RAND()*(1-0)+0</f>
        <v>0.21517043827871396</v>
      </c>
      <c r="CB3" s="1">
        <f ca="1">RANDBETWEEN(50,500)</f>
        <v>323</v>
      </c>
      <c r="CC3" s="1">
        <f ca="1">RANDBETWEEN(3,15)</f>
        <v>14</v>
      </c>
      <c r="CD3" s="1">
        <f ca="1">RAND()*(0.3-0.01)+0.01</f>
        <v>0.16983735234360911</v>
      </c>
      <c r="CE3" s="1">
        <f ca="1">RAND()*(1-0.5)+0.5</f>
        <v>0.94210257780574258</v>
      </c>
      <c r="CF3" s="1">
        <f ca="1">RAND()*(1-0.5)+0.5</f>
        <v>0.91189509802596458</v>
      </c>
      <c r="CH3" s="3">
        <f ca="1">RAND()*(1-0.0001)+0.0001</f>
        <v>1.6747447474584311E-2</v>
      </c>
      <c r="CI3" s="3">
        <f ca="1">RAND()*(0.99-0.01)+0.01</f>
        <v>0.58407125457966147</v>
      </c>
      <c r="CJ3" s="3">
        <f ca="1">RANDBETWEEN(100,2000)</f>
        <v>1153</v>
      </c>
      <c r="CK3" s="3">
        <f ca="1">RAND()*(0.01-0.000001)+0.000001</f>
        <v>2.695687802137308E-3</v>
      </c>
      <c r="CL3" s="3">
        <f ca="1">RANDBETWEEN(0,1)</f>
        <v>1</v>
      </c>
      <c r="CM3" s="3"/>
      <c r="CN3" s="1">
        <f ca="1">RAND()*(20-0.1)+0.1</f>
        <v>6.9211131702312674</v>
      </c>
      <c r="CO3" s="1">
        <f ca="1">RAND()*(0.5-0.001)+0.001</f>
        <v>0.17006734829206172</v>
      </c>
      <c r="CP3" s="1">
        <f ca="1">RANDBETWEEN(1,5)</f>
        <v>5</v>
      </c>
      <c r="CR3" s="1"/>
      <c r="CS3" s="1">
        <f ca="1">RAND()*(1-0)+0</f>
        <v>0.85596872649758282</v>
      </c>
      <c r="CT3" s="1">
        <f ca="1">RAND()*(0.01-0.000001)+0.000001</f>
        <v>2.4290052922963414E-3</v>
      </c>
      <c r="CV3" s="1">
        <f ca="1">RAND()*(10-0.0001)+0.0001</f>
        <v>4.0259792279899935</v>
      </c>
      <c r="CW3" s="1">
        <f ca="1">RANDBETWEEN(100,2000)</f>
        <v>343</v>
      </c>
      <c r="CX3" s="1">
        <f ca="1">RAND()*(0.01-0.000001)+0.000001</f>
        <v>8.3725903992150688E-4</v>
      </c>
      <c r="CZ3" s="1">
        <f ca="1">RANDBETWEEN(10,500)</f>
        <v>175</v>
      </c>
      <c r="DA3" s="1">
        <f ca="1">RAND()*(1-0.001)+0.001</f>
        <v>0.59156200613710941</v>
      </c>
      <c r="DB3" s="1">
        <f ca="1">RANDBETWEEN(0,2)</f>
        <v>0</v>
      </c>
    </row>
    <row r="4" spans="2:106" x14ac:dyDescent="0.25">
      <c r="B4">
        <f t="shared" ref="B4:B67" ca="1" si="0">RANDBETWEEN(15,1000)</f>
        <v>125</v>
      </c>
      <c r="C4">
        <f t="shared" ref="C4:C67" ca="1" si="1">RANDBETWEEN(2,52)</f>
        <v>9</v>
      </c>
      <c r="D4">
        <f t="shared" ref="D4:D67" ca="1" si="2">RAND()*(0.3-0.01)+0.01</f>
        <v>6.189702828588043E-2</v>
      </c>
      <c r="F4" s="1">
        <f t="shared" ref="F4:F67" ca="1" si="3">RANDBETWEEN(2,52)</f>
        <v>43</v>
      </c>
      <c r="G4" s="1">
        <f t="shared" ref="G4:G67" ca="1" si="4">RANDBETWEEN(2,30)</f>
        <v>17</v>
      </c>
      <c r="H4" s="1">
        <f t="shared" ref="H4:H67" ca="1" si="5">RANDBETWEEN(1,15)</f>
        <v>4</v>
      </c>
      <c r="I4" s="1"/>
      <c r="J4" s="1">
        <f t="shared" ref="J4:J67" ca="1" si="6">RANDBETWEEN(1,39)</f>
        <v>7</v>
      </c>
      <c r="K4" s="1">
        <f t="shared" ref="K4:K67" ca="1" si="7">RAND()*(3-1)+1</f>
        <v>2.6193832316299264</v>
      </c>
      <c r="L4" s="1">
        <f t="shared" ref="L4:L67" ca="1" si="8">RANDBETWEEN(2,35)</f>
        <v>30</v>
      </c>
      <c r="M4" s="1"/>
      <c r="N4" s="1">
        <f t="shared" ref="N4:N67" ca="1" si="9">RANDBETWEEN(15,1000)</f>
        <v>70</v>
      </c>
      <c r="O4" s="1">
        <f t="shared" ref="O4:O67" ca="1" si="10">RANDBETWEEN(2,52)</f>
        <v>50</v>
      </c>
      <c r="P4" s="1"/>
      <c r="Q4" s="1">
        <f t="shared" ref="Q4:Q67" ca="1" si="11">RAND()*(5-0.01)+0.01</f>
        <v>0.76567515448361312</v>
      </c>
      <c r="R4" s="1">
        <f t="shared" ref="R4:R67" ca="1" si="12">RANDBETWEEN(200,1200)</f>
        <v>1152</v>
      </c>
      <c r="S4" s="1"/>
      <c r="T4" s="1">
        <f t="shared" ref="T4:T67" ca="1" si="13">RAND()*(0.2-0.01)+0.01</f>
        <v>0.13819626364855359</v>
      </c>
      <c r="U4" s="1">
        <f t="shared" ref="U4:U67" ca="1" si="14">RANDBETWEEN(50,450)</f>
        <v>262</v>
      </c>
      <c r="V4" s="1">
        <f t="shared" ref="V4:V67" ca="1" si="15">RANDBETWEEN(2,52)</f>
        <v>10</v>
      </c>
      <c r="W4" s="1"/>
      <c r="X4" s="1">
        <f t="shared" ref="X4:X67" ca="1" si="16">RAND()*(10-0.01)+0.01</f>
        <v>9.2199508010048277</v>
      </c>
      <c r="Y4" s="1">
        <f t="shared" ref="Y4:Y67" ca="1" si="17">RAND()*(1-0.0001)+0.0001</f>
        <v>0.5759963624663138</v>
      </c>
      <c r="Z4" s="1">
        <f t="shared" ref="Z4:Z67" ca="1" si="18">RANDBETWEEN(100,2000)</f>
        <v>932</v>
      </c>
      <c r="AB4" s="1">
        <f t="shared" ref="AB4:AB67" ca="1" si="19">RAND()*(1-0.0001)+0.0001</f>
        <v>0.17003777847490695</v>
      </c>
      <c r="AC4" s="1">
        <f t="shared" ref="AC4:AC67" ca="1" si="20">RANDBETWEEN(100,1000)</f>
        <v>585</v>
      </c>
      <c r="AD4" s="1">
        <f t="shared" ref="AD4:AD67" ca="1" si="21">RAND()*(0.01-0.00001)+0.00001</f>
        <v>6.5949043098059044E-3</v>
      </c>
      <c r="AE4" s="1"/>
      <c r="AF4" s="1">
        <f t="shared" ref="AF4:AF67" ca="1" si="22">RAND()*(0.9-0.1)+0.1</f>
        <v>0.26636987228106601</v>
      </c>
      <c r="AG4" s="1">
        <f t="shared" ref="AG4:AG67" ca="1" si="23">RANDBETWEEN(100,1000)</f>
        <v>441</v>
      </c>
      <c r="AH4" s="1">
        <f t="shared" ref="AH4:AH67" ca="1" si="24">RAND()*(0.01-0.00001)+0.00001</f>
        <v>3.940890283081846E-3</v>
      </c>
      <c r="AJ4" s="1">
        <f t="shared" ref="AJ4:AJ67" ca="1" si="25">RAND()*(1-0)+0</f>
        <v>0.12999450683861169</v>
      </c>
      <c r="AK4" s="1">
        <f t="shared" ref="AK4:AK67" ca="1" si="26">RAND()*(0.01-0.00001)+0.00001</f>
        <v>4.8212337971481854E-3</v>
      </c>
      <c r="AL4" s="1"/>
      <c r="AM4" s="1">
        <f t="shared" ref="AM4:AM67" ca="1" si="27">RAND()*(0.2-0.005)+0.005</f>
        <v>0.19031080905165168</v>
      </c>
      <c r="AN4" s="1">
        <f t="shared" ref="AN4:AN67" ca="1" si="28">RANDBETWEEN(10,80)</f>
        <v>79</v>
      </c>
      <c r="AO4" s="1">
        <f t="shared" ref="AO4:AO67" ca="1" si="29">RANDBETWEEN(-1,20)</f>
        <v>11</v>
      </c>
      <c r="AQ4" s="1">
        <f t="shared" ref="AQ4:AQ67" ca="1" si="30">RANDBETWEEN(10,200)</f>
        <v>184</v>
      </c>
      <c r="AR4" s="1">
        <f t="shared" ref="AR4:AR67" ca="1" si="31">RANDBETWEEN(0,10)</f>
        <v>7</v>
      </c>
      <c r="AS4" s="1">
        <f t="shared" ref="AS4:AS67" ca="1" si="32">RANDBETWEEN(1,100)</f>
        <v>74</v>
      </c>
      <c r="AU4" s="1">
        <f t="shared" ref="AU4:AU67" ca="1" si="33">RANDBETWEEN(50,400)</f>
        <v>72</v>
      </c>
      <c r="AV4" s="1">
        <f t="shared" ref="AV4:AV67" ca="1" si="34">RANDBETWEEN(2,10)</f>
        <v>2</v>
      </c>
      <c r="AW4" s="1">
        <f t="shared" ref="AW4:AW67" ca="1" si="35">RAND()*(0.2-0.01)+0.01</f>
        <v>0.15803133023765858</v>
      </c>
      <c r="AY4" s="1">
        <f t="shared" ref="AY4:AY67" ca="1" si="36">RAND()*(2-1.1)+1.1</f>
        <v>1.5818020774011941</v>
      </c>
      <c r="AZ4" s="1">
        <f t="shared" ref="AZ4:AZ67" ca="1" si="37">RANDBETWEEN(50,500)</f>
        <v>63</v>
      </c>
      <c r="BA4" s="1">
        <f t="shared" ref="BA4:BA67" ca="1" si="38">RAND()*(0.01-0.00001)+0.00001</f>
        <v>9.7219386558722708E-3</v>
      </c>
      <c r="BV4" s="1">
        <f t="shared" ref="BV4:BV67" ca="1" si="39">RAND()*(1-0.0001)+0.0001</f>
        <v>0.54658828225427403</v>
      </c>
      <c r="BW4" s="1">
        <f t="shared" ref="BW4:BW67" ca="1" si="40">RANDBETWEEN(100,1000)</f>
        <v>766</v>
      </c>
      <c r="BX4" s="1">
        <f t="shared" ref="BX4:BX67" ca="1" si="41">RAND()*(0.01-0.00001)+0.00001</f>
        <v>9.9987708921367626E-3</v>
      </c>
      <c r="BY4" s="1">
        <f t="shared" ref="BY4:BY67" ca="1" si="42">RAND()*(0.1-0.0001)+0.0001</f>
        <v>8.8357283345852092E-2</v>
      </c>
      <c r="BZ4" s="1">
        <f t="shared" ref="BZ4:BZ67" ca="1" si="43">RAND()*(1-0)+0</f>
        <v>0.74500433782574826</v>
      </c>
      <c r="CB4" s="1">
        <f t="shared" ref="CB4:CB67" ca="1" si="44">RANDBETWEEN(50,500)</f>
        <v>443</v>
      </c>
      <c r="CC4" s="1">
        <f t="shared" ref="CC4:CC67" ca="1" si="45">RANDBETWEEN(3,15)</f>
        <v>15</v>
      </c>
      <c r="CD4" s="1">
        <f t="shared" ref="CD4:CD67" ca="1" si="46">RAND()*(0.3-0.01)+0.01</f>
        <v>0.15563408799399756</v>
      </c>
      <c r="CE4" s="1">
        <f t="shared" ref="CE4:CF35" ca="1" si="47">RAND()*(1-0.5)+0.5</f>
        <v>0.95441417361531689</v>
      </c>
      <c r="CF4" s="1">
        <f t="shared" ca="1" si="47"/>
        <v>0.96889179782864099</v>
      </c>
      <c r="CH4" s="3">
        <f t="shared" ref="CH4:CH67" ca="1" si="48">RAND()*(1-0.0001)+0.0001</f>
        <v>0.8770806367146986</v>
      </c>
      <c r="CI4" s="3">
        <f t="shared" ref="CI4:CI67" ca="1" si="49">RAND()*(0.99-0.01)+0.01</f>
        <v>0.91765468146214735</v>
      </c>
      <c r="CJ4" s="3">
        <f t="shared" ref="CJ4:CJ67" ca="1" si="50">RANDBETWEEN(100,2000)</f>
        <v>124</v>
      </c>
      <c r="CK4" s="3">
        <f t="shared" ref="CK4:CK67" ca="1" si="51">RAND()*(0.01-0.000001)+0.000001</f>
        <v>3.1061520583945774E-3</v>
      </c>
      <c r="CL4" s="3">
        <f t="shared" ref="CL4:CL67" ca="1" si="52">RANDBETWEEN(0,1)</f>
        <v>1</v>
      </c>
      <c r="CM4" s="3"/>
      <c r="CN4" s="1">
        <f t="shared" ref="CN4:CN67" ca="1" si="53">RAND()*(20-0.1)+0.1</f>
        <v>3.0191560809437488</v>
      </c>
      <c r="CO4" s="1">
        <f t="shared" ref="CO4:CO67" ca="1" si="54">RAND()*(0.5-0.001)+0.001</f>
        <v>0.36199554554000596</v>
      </c>
      <c r="CP4" s="1">
        <f t="shared" ref="CP4:CP67" ca="1" si="55">RANDBETWEEN(1,5)</f>
        <v>1</v>
      </c>
    </row>
    <row r="5" spans="2:106" x14ac:dyDescent="0.25">
      <c r="B5">
        <f t="shared" ca="1" si="0"/>
        <v>360</v>
      </c>
      <c r="C5">
        <f t="shared" ca="1" si="1"/>
        <v>36</v>
      </c>
      <c r="D5">
        <f t="shared" ca="1" si="2"/>
        <v>2.9111690847392999E-2</v>
      </c>
      <c r="F5" s="1">
        <f t="shared" ca="1" si="3"/>
        <v>16</v>
      </c>
      <c r="G5" s="1">
        <f t="shared" ca="1" si="4"/>
        <v>18</v>
      </c>
      <c r="H5" s="1">
        <f t="shared" ca="1" si="5"/>
        <v>10</v>
      </c>
      <c r="I5" s="1"/>
      <c r="J5" s="1">
        <f t="shared" ca="1" si="6"/>
        <v>4</v>
      </c>
      <c r="K5" s="1">
        <f t="shared" ca="1" si="7"/>
        <v>1.7043759040358322</v>
      </c>
      <c r="L5" s="1">
        <f t="shared" ca="1" si="8"/>
        <v>30</v>
      </c>
      <c r="M5" s="1"/>
      <c r="N5" s="1">
        <f t="shared" ca="1" si="9"/>
        <v>534</v>
      </c>
      <c r="O5" s="1">
        <f t="shared" ca="1" si="10"/>
        <v>46</v>
      </c>
      <c r="P5" s="1"/>
      <c r="Q5" s="1">
        <f t="shared" ca="1" si="11"/>
        <v>4.8270676748059964</v>
      </c>
      <c r="R5" s="1">
        <f t="shared" ca="1" si="12"/>
        <v>281</v>
      </c>
      <c r="S5" s="1"/>
      <c r="T5" s="1">
        <f t="shared" ca="1" si="13"/>
        <v>0.15862576067019019</v>
      </c>
      <c r="U5" s="1">
        <f t="shared" ca="1" si="14"/>
        <v>74</v>
      </c>
      <c r="V5" s="1">
        <f t="shared" ca="1" si="15"/>
        <v>5</v>
      </c>
      <c r="W5" s="1"/>
      <c r="X5" s="1">
        <f t="shared" ca="1" si="16"/>
        <v>2.7722213516631471</v>
      </c>
      <c r="Y5" s="1">
        <f t="shared" ca="1" si="17"/>
        <v>0.42857969590885048</v>
      </c>
      <c r="Z5" s="1">
        <f t="shared" ca="1" si="18"/>
        <v>1022</v>
      </c>
      <c r="AB5" s="1">
        <f t="shared" ca="1" si="19"/>
        <v>0.90029946156828833</v>
      </c>
      <c r="AC5" s="1">
        <f t="shared" ca="1" si="20"/>
        <v>802</v>
      </c>
      <c r="AD5" s="1">
        <f t="shared" ca="1" si="21"/>
        <v>1.2704265955769138E-3</v>
      </c>
      <c r="AE5" s="1"/>
      <c r="AF5" s="1">
        <f t="shared" ca="1" si="22"/>
        <v>0.52944182488853941</v>
      </c>
      <c r="AG5" s="1">
        <f t="shared" ca="1" si="23"/>
        <v>570</v>
      </c>
      <c r="AH5" s="1">
        <f t="shared" ca="1" si="24"/>
        <v>8.4246344976176256E-4</v>
      </c>
      <c r="AJ5" s="1">
        <f t="shared" ca="1" si="25"/>
        <v>0.13212894176680789</v>
      </c>
      <c r="AK5" s="1">
        <f t="shared" ca="1" si="26"/>
        <v>3.1788299602763981E-3</v>
      </c>
      <c r="AL5" s="1"/>
      <c r="AM5" s="1">
        <f t="shared" ca="1" si="27"/>
        <v>9.2824269840669875E-3</v>
      </c>
      <c r="AN5" s="1">
        <f t="shared" ca="1" si="28"/>
        <v>56</v>
      </c>
      <c r="AO5" s="1">
        <f t="shared" ca="1" si="29"/>
        <v>11</v>
      </c>
      <c r="AQ5" s="1">
        <f t="shared" ca="1" si="30"/>
        <v>191</v>
      </c>
      <c r="AR5" s="1">
        <f t="shared" ca="1" si="31"/>
        <v>7</v>
      </c>
      <c r="AS5" s="1">
        <f t="shared" ca="1" si="32"/>
        <v>71</v>
      </c>
      <c r="AU5" s="1">
        <f t="shared" ca="1" si="33"/>
        <v>171</v>
      </c>
      <c r="AV5" s="1">
        <f t="shared" ca="1" si="34"/>
        <v>10</v>
      </c>
      <c r="AW5" s="1">
        <f t="shared" ca="1" si="35"/>
        <v>0.17024317521227378</v>
      </c>
      <c r="AY5" s="1">
        <f t="shared" ca="1" si="36"/>
        <v>1.9243569552535247</v>
      </c>
      <c r="AZ5" s="1">
        <f t="shared" ca="1" si="37"/>
        <v>359</v>
      </c>
      <c r="BA5" s="1">
        <f t="shared" ca="1" si="38"/>
        <v>9.0845632026101669E-3</v>
      </c>
      <c r="BV5" s="1">
        <f t="shared" ca="1" si="39"/>
        <v>6.0489552770736053E-2</v>
      </c>
      <c r="BW5" s="1">
        <f t="shared" ca="1" si="40"/>
        <v>455</v>
      </c>
      <c r="BX5" s="1">
        <f t="shared" ca="1" si="41"/>
        <v>6.7101574784450271E-3</v>
      </c>
      <c r="BY5" s="1">
        <f t="shared" ca="1" si="42"/>
        <v>6.1641394710589631E-2</v>
      </c>
      <c r="BZ5" s="1">
        <f t="shared" ca="1" si="43"/>
        <v>0.81149012638906781</v>
      </c>
      <c r="CB5" s="1">
        <f t="shared" ca="1" si="44"/>
        <v>158</v>
      </c>
      <c r="CC5" s="1">
        <f t="shared" ca="1" si="45"/>
        <v>6</v>
      </c>
      <c r="CD5" s="1">
        <f t="shared" ca="1" si="46"/>
        <v>1.0337845677718248E-2</v>
      </c>
      <c r="CE5" s="1">
        <f t="shared" ca="1" si="47"/>
        <v>0.68329315851642825</v>
      </c>
      <c r="CF5" s="1">
        <f t="shared" ca="1" si="47"/>
        <v>0.77238663716147626</v>
      </c>
      <c r="CH5" s="3">
        <f t="shared" ca="1" si="48"/>
        <v>0.95042654293936679</v>
      </c>
      <c r="CI5" s="3">
        <f t="shared" ca="1" si="49"/>
        <v>0.15319302672701823</v>
      </c>
      <c r="CJ5" s="3">
        <f t="shared" ca="1" si="50"/>
        <v>109</v>
      </c>
      <c r="CK5" s="3">
        <f t="shared" ca="1" si="51"/>
        <v>6.9608627195809555E-3</v>
      </c>
      <c r="CL5" s="3">
        <f t="shared" ca="1" si="52"/>
        <v>1</v>
      </c>
      <c r="CM5" s="3"/>
      <c r="CN5" s="1">
        <f t="shared" ca="1" si="53"/>
        <v>19.669391744374526</v>
      </c>
      <c r="CO5" s="1">
        <f t="shared" ca="1" si="54"/>
        <v>4.134304391634637E-2</v>
      </c>
      <c r="CP5" s="1">
        <f t="shared" ca="1" si="55"/>
        <v>4</v>
      </c>
    </row>
    <row r="6" spans="2:106" x14ac:dyDescent="0.25">
      <c r="B6">
        <f t="shared" ca="1" si="0"/>
        <v>662</v>
      </c>
      <c r="C6">
        <f t="shared" ca="1" si="1"/>
        <v>5</v>
      </c>
      <c r="D6">
        <f t="shared" ca="1" si="2"/>
        <v>0.21490949879874077</v>
      </c>
      <c r="F6" s="1">
        <f t="shared" ca="1" si="3"/>
        <v>46</v>
      </c>
      <c r="G6" s="1">
        <f t="shared" ca="1" si="4"/>
        <v>30</v>
      </c>
      <c r="H6" s="1">
        <f t="shared" ca="1" si="5"/>
        <v>2</v>
      </c>
      <c r="I6" s="1"/>
      <c r="J6" s="1">
        <f t="shared" ca="1" si="6"/>
        <v>4</v>
      </c>
      <c r="K6" s="1">
        <f t="shared" ca="1" si="7"/>
        <v>1.8624904568487892</v>
      </c>
      <c r="L6" s="1">
        <f t="shared" ca="1" si="8"/>
        <v>19</v>
      </c>
      <c r="M6" s="1"/>
      <c r="N6" s="1">
        <f t="shared" ca="1" si="9"/>
        <v>470</v>
      </c>
      <c r="O6" s="1">
        <f t="shared" ca="1" si="10"/>
        <v>7</v>
      </c>
      <c r="P6" s="1"/>
      <c r="Q6" s="1">
        <f t="shared" ca="1" si="11"/>
        <v>4.3930606234675755</v>
      </c>
      <c r="R6" s="1">
        <f t="shared" ca="1" si="12"/>
        <v>864</v>
      </c>
      <c r="S6" s="1"/>
      <c r="T6" s="1">
        <f t="shared" ca="1" si="13"/>
        <v>9.3249722636398774E-2</v>
      </c>
      <c r="U6" s="1">
        <f t="shared" ca="1" si="14"/>
        <v>59</v>
      </c>
      <c r="V6" s="1">
        <f t="shared" ca="1" si="15"/>
        <v>47</v>
      </c>
      <c r="W6" s="1"/>
      <c r="X6" s="1">
        <f t="shared" ca="1" si="16"/>
        <v>5.8524330503672575</v>
      </c>
      <c r="Y6" s="1">
        <f t="shared" ca="1" si="17"/>
        <v>0.82841104991035863</v>
      </c>
      <c r="Z6" s="1">
        <f t="shared" ca="1" si="18"/>
        <v>1310</v>
      </c>
      <c r="AB6" s="1">
        <f t="shared" ca="1" si="19"/>
        <v>0.40130826814917053</v>
      </c>
      <c r="AC6" s="1">
        <f t="shared" ca="1" si="20"/>
        <v>667</v>
      </c>
      <c r="AD6" s="1">
        <f t="shared" ca="1" si="21"/>
        <v>6.5938408479293362E-3</v>
      </c>
      <c r="AE6" s="1"/>
      <c r="AF6" s="1">
        <f t="shared" ca="1" si="22"/>
        <v>0.50265321917194661</v>
      </c>
      <c r="AG6" s="1">
        <f t="shared" ca="1" si="23"/>
        <v>434</v>
      </c>
      <c r="AH6" s="1">
        <f t="shared" ca="1" si="24"/>
        <v>6.8574579836444107E-3</v>
      </c>
      <c r="AJ6" s="1">
        <f t="shared" ca="1" si="25"/>
        <v>0.49583439312934374</v>
      </c>
      <c r="AK6" s="1">
        <f t="shared" ca="1" si="26"/>
        <v>3.158888500066404E-3</v>
      </c>
      <c r="AL6" s="1"/>
      <c r="AM6" s="1">
        <f t="shared" ca="1" si="27"/>
        <v>0.12034857815381146</v>
      </c>
      <c r="AN6" s="1">
        <f t="shared" ca="1" si="28"/>
        <v>15</v>
      </c>
      <c r="AO6" s="1">
        <f t="shared" ca="1" si="29"/>
        <v>12</v>
      </c>
      <c r="AQ6" s="1">
        <f t="shared" ca="1" si="30"/>
        <v>174</v>
      </c>
      <c r="AR6" s="1">
        <f t="shared" ca="1" si="31"/>
        <v>5</v>
      </c>
      <c r="AS6" s="1">
        <f t="shared" ca="1" si="32"/>
        <v>75</v>
      </c>
      <c r="AU6" s="1">
        <f t="shared" ca="1" si="33"/>
        <v>72</v>
      </c>
      <c r="AV6" s="1">
        <f t="shared" ca="1" si="34"/>
        <v>4</v>
      </c>
      <c r="AW6" s="1">
        <f t="shared" ca="1" si="35"/>
        <v>8.3177261636387625E-2</v>
      </c>
      <c r="AY6" s="1">
        <f t="shared" ca="1" si="36"/>
        <v>1.9256365637168611</v>
      </c>
      <c r="AZ6" s="1">
        <f t="shared" ca="1" si="37"/>
        <v>494</v>
      </c>
      <c r="BA6" s="1">
        <f t="shared" ca="1" si="38"/>
        <v>9.1939820597370017E-3</v>
      </c>
      <c r="BV6" s="1">
        <f t="shared" ca="1" si="39"/>
        <v>0.21756624186253601</v>
      </c>
      <c r="BW6" s="1">
        <f t="shared" ca="1" si="40"/>
        <v>918</v>
      </c>
      <c r="BX6" s="1">
        <f t="shared" ca="1" si="41"/>
        <v>5.6531885972394801E-3</v>
      </c>
      <c r="BY6" s="1">
        <f t="shared" ca="1" si="42"/>
        <v>8.2088629699388904E-2</v>
      </c>
      <c r="BZ6" s="1">
        <f t="shared" ca="1" si="43"/>
        <v>0.4398373950232255</v>
      </c>
      <c r="CB6" s="1">
        <f t="shared" ca="1" si="44"/>
        <v>68</v>
      </c>
      <c r="CC6" s="1">
        <f t="shared" ca="1" si="45"/>
        <v>14</v>
      </c>
      <c r="CD6" s="1">
        <f t="shared" ca="1" si="46"/>
        <v>3.5236982704375031E-2</v>
      </c>
      <c r="CE6" s="1">
        <f t="shared" ca="1" si="47"/>
        <v>0.57953845180111818</v>
      </c>
      <c r="CF6" s="1">
        <f t="shared" ca="1" si="47"/>
        <v>0.74951862075417708</v>
      </c>
      <c r="CH6" s="3">
        <f t="shared" ca="1" si="48"/>
        <v>0.91422771766027477</v>
      </c>
      <c r="CI6" s="3">
        <f t="shared" ca="1" si="49"/>
        <v>8.2930377243790404E-2</v>
      </c>
      <c r="CJ6" s="3">
        <f t="shared" ca="1" si="50"/>
        <v>715</v>
      </c>
      <c r="CK6" s="3">
        <f t="shared" ca="1" si="51"/>
        <v>4.3842649910378305E-3</v>
      </c>
      <c r="CL6" s="3">
        <f t="shared" ca="1" si="52"/>
        <v>1</v>
      </c>
      <c r="CM6" s="3"/>
      <c r="CN6" s="1">
        <f t="shared" ca="1" si="53"/>
        <v>12.713253220842445</v>
      </c>
      <c r="CO6" s="1">
        <f t="shared" ca="1" si="54"/>
        <v>0.22060799472046802</v>
      </c>
      <c r="CP6" s="1">
        <f t="shared" ca="1" si="55"/>
        <v>1</v>
      </c>
    </row>
    <row r="7" spans="2:106" x14ac:dyDescent="0.25">
      <c r="B7">
        <f t="shared" ca="1" si="0"/>
        <v>650</v>
      </c>
      <c r="C7">
        <f t="shared" ca="1" si="1"/>
        <v>18</v>
      </c>
      <c r="D7">
        <f t="shared" ca="1" si="2"/>
        <v>1.0774008771238916E-2</v>
      </c>
      <c r="F7" s="1">
        <f t="shared" ca="1" si="3"/>
        <v>19</v>
      </c>
      <c r="G7" s="1">
        <f t="shared" ca="1" si="4"/>
        <v>17</v>
      </c>
      <c r="H7" s="1">
        <f t="shared" ca="1" si="5"/>
        <v>13</v>
      </c>
      <c r="I7" s="1"/>
      <c r="J7" s="1">
        <f t="shared" ca="1" si="6"/>
        <v>39</v>
      </c>
      <c r="K7" s="1">
        <f t="shared" ca="1" si="7"/>
        <v>1.029681820929053</v>
      </c>
      <c r="L7" s="1">
        <f t="shared" ca="1" si="8"/>
        <v>13</v>
      </c>
      <c r="M7" s="1"/>
      <c r="N7" s="1">
        <f t="shared" ca="1" si="9"/>
        <v>391</v>
      </c>
      <c r="O7" s="1">
        <f t="shared" ca="1" si="10"/>
        <v>33</v>
      </c>
      <c r="P7" s="1"/>
      <c r="Q7" s="1">
        <f t="shared" ca="1" si="11"/>
        <v>3.2690160269096444</v>
      </c>
      <c r="R7" s="1">
        <f t="shared" ca="1" si="12"/>
        <v>778</v>
      </c>
      <c r="S7" s="1"/>
      <c r="T7" s="1">
        <f t="shared" ca="1" si="13"/>
        <v>0.17570158570209982</v>
      </c>
      <c r="U7" s="1">
        <f t="shared" ca="1" si="14"/>
        <v>448</v>
      </c>
      <c r="V7" s="1">
        <f t="shared" ca="1" si="15"/>
        <v>9</v>
      </c>
      <c r="W7" s="1"/>
      <c r="X7" s="1">
        <f t="shared" ca="1" si="16"/>
        <v>8.7045698796607187</v>
      </c>
      <c r="Y7" s="1">
        <f t="shared" ca="1" si="17"/>
        <v>0.45619395964609932</v>
      </c>
      <c r="Z7" s="1">
        <f t="shared" ca="1" si="18"/>
        <v>1034</v>
      </c>
      <c r="AB7" s="1">
        <f t="shared" ca="1" si="19"/>
        <v>0.7988791023420676</v>
      </c>
      <c r="AC7" s="1">
        <f t="shared" ca="1" si="20"/>
        <v>147</v>
      </c>
      <c r="AD7" s="1">
        <f t="shared" ca="1" si="21"/>
        <v>5.6313618639156314E-3</v>
      </c>
      <c r="AE7" s="1"/>
      <c r="AF7" s="1">
        <f t="shared" ca="1" si="22"/>
        <v>0.13373698891143909</v>
      </c>
      <c r="AG7" s="1">
        <f t="shared" ca="1" si="23"/>
        <v>681</v>
      </c>
      <c r="AH7" s="1">
        <f t="shared" ca="1" si="24"/>
        <v>9.4523544880868275E-3</v>
      </c>
      <c r="AJ7" s="1">
        <f t="shared" ca="1" si="25"/>
        <v>0.62280695110043705</v>
      </c>
      <c r="AK7" s="1">
        <f t="shared" ca="1" si="26"/>
        <v>7.2024274973418829E-3</v>
      </c>
      <c r="AL7" s="1"/>
      <c r="AM7" s="1">
        <f t="shared" ca="1" si="27"/>
        <v>4.7960306610707805E-2</v>
      </c>
      <c r="AN7" s="1">
        <f t="shared" ca="1" si="28"/>
        <v>65</v>
      </c>
      <c r="AO7" s="1">
        <f t="shared" ca="1" si="29"/>
        <v>7</v>
      </c>
      <c r="AQ7" s="1">
        <f t="shared" ca="1" si="30"/>
        <v>161</v>
      </c>
      <c r="AR7" s="1">
        <f t="shared" ca="1" si="31"/>
        <v>6</v>
      </c>
      <c r="AS7" s="1">
        <f t="shared" ca="1" si="32"/>
        <v>97</v>
      </c>
      <c r="AU7" s="1">
        <f t="shared" ca="1" si="33"/>
        <v>128</v>
      </c>
      <c r="AV7" s="1">
        <f t="shared" ca="1" si="34"/>
        <v>10</v>
      </c>
      <c r="AW7" s="1">
        <f t="shared" ca="1" si="35"/>
        <v>0.1217197405089339</v>
      </c>
      <c r="AY7" s="1">
        <f t="shared" ca="1" si="36"/>
        <v>1.9230100201911651</v>
      </c>
      <c r="AZ7" s="1">
        <f t="shared" ca="1" si="37"/>
        <v>256</v>
      </c>
      <c r="BA7" s="1">
        <f t="shared" ca="1" si="38"/>
        <v>1.7519480194458245E-4</v>
      </c>
      <c r="BV7" s="1">
        <f t="shared" ca="1" si="39"/>
        <v>7.6387366989448188E-2</v>
      </c>
      <c r="BW7" s="1">
        <f t="shared" ca="1" si="40"/>
        <v>129</v>
      </c>
      <c r="BX7" s="1">
        <f t="shared" ca="1" si="41"/>
        <v>7.1589334290790623E-3</v>
      </c>
      <c r="BY7" s="1">
        <f t="shared" ca="1" si="42"/>
        <v>9.5419709297522165E-3</v>
      </c>
      <c r="BZ7" s="1">
        <f t="shared" ca="1" si="43"/>
        <v>0.24927032352440037</v>
      </c>
      <c r="CB7" s="1">
        <f t="shared" ca="1" si="44"/>
        <v>262</v>
      </c>
      <c r="CC7" s="1">
        <f t="shared" ca="1" si="45"/>
        <v>3</v>
      </c>
      <c r="CD7" s="1">
        <f t="shared" ca="1" si="46"/>
        <v>0.12182660181802368</v>
      </c>
      <c r="CE7" s="1">
        <f t="shared" ca="1" si="47"/>
        <v>0.59894674628826583</v>
      </c>
      <c r="CF7" s="1">
        <f t="shared" ca="1" si="47"/>
        <v>0.69123601371868049</v>
      </c>
      <c r="CH7" s="3">
        <f t="shared" ca="1" si="48"/>
        <v>0.47856954203589214</v>
      </c>
      <c r="CI7" s="3">
        <f t="shared" ca="1" si="49"/>
        <v>5.8710023340523484E-2</v>
      </c>
      <c r="CJ7" s="3">
        <f t="shared" ca="1" si="50"/>
        <v>1385</v>
      </c>
      <c r="CK7" s="3">
        <f t="shared" ca="1" si="51"/>
        <v>3.8828958982748866E-4</v>
      </c>
      <c r="CL7" s="3">
        <f t="shared" ca="1" si="52"/>
        <v>1</v>
      </c>
      <c r="CM7" s="3"/>
      <c r="CN7" s="1">
        <f t="shared" ca="1" si="53"/>
        <v>8.5668532113598577</v>
      </c>
      <c r="CO7" s="1">
        <f t="shared" ca="1" si="54"/>
        <v>8.4870252997716056E-2</v>
      </c>
      <c r="CP7" s="1">
        <f t="shared" ca="1" si="55"/>
        <v>4</v>
      </c>
    </row>
    <row r="8" spans="2:106" x14ac:dyDescent="0.25">
      <c r="B8">
        <f t="shared" ca="1" si="0"/>
        <v>439</v>
      </c>
      <c r="C8">
        <f t="shared" ca="1" si="1"/>
        <v>52</v>
      </c>
      <c r="D8">
        <f t="shared" ca="1" si="2"/>
        <v>0.14594440112317719</v>
      </c>
      <c r="F8" s="1">
        <f t="shared" ca="1" si="3"/>
        <v>10</v>
      </c>
      <c r="G8" s="1">
        <f t="shared" ca="1" si="4"/>
        <v>16</v>
      </c>
      <c r="H8" s="1">
        <f t="shared" ca="1" si="5"/>
        <v>7</v>
      </c>
      <c r="I8" s="1"/>
      <c r="J8" s="1">
        <f t="shared" ca="1" si="6"/>
        <v>16</v>
      </c>
      <c r="K8" s="1">
        <f t="shared" ca="1" si="7"/>
        <v>1.8645100250332252</v>
      </c>
      <c r="L8" s="1">
        <f t="shared" ca="1" si="8"/>
        <v>11</v>
      </c>
      <c r="M8" s="1"/>
      <c r="N8" s="1">
        <f t="shared" ca="1" si="9"/>
        <v>233</v>
      </c>
      <c r="O8" s="1">
        <f t="shared" ca="1" si="10"/>
        <v>5</v>
      </c>
      <c r="P8" s="1"/>
      <c r="Q8" s="1">
        <f t="shared" ca="1" si="11"/>
        <v>0.76393819944810304</v>
      </c>
      <c r="R8" s="1">
        <f t="shared" ca="1" si="12"/>
        <v>876</v>
      </c>
      <c r="S8" s="1"/>
      <c r="T8" s="1">
        <f t="shared" ca="1" si="13"/>
        <v>0.14463367887395046</v>
      </c>
      <c r="U8" s="1">
        <f t="shared" ca="1" si="14"/>
        <v>179</v>
      </c>
      <c r="V8" s="1">
        <f t="shared" ca="1" si="15"/>
        <v>19</v>
      </c>
      <c r="W8" s="1"/>
      <c r="X8" s="1">
        <f t="shared" ca="1" si="16"/>
        <v>0.40443849858676495</v>
      </c>
      <c r="Y8" s="1">
        <f t="shared" ca="1" si="17"/>
        <v>0.75496558737903408</v>
      </c>
      <c r="Z8" s="1">
        <f t="shared" ca="1" si="18"/>
        <v>1255</v>
      </c>
      <c r="AB8" s="1">
        <f t="shared" ca="1" si="19"/>
        <v>0.5362665864866123</v>
      </c>
      <c r="AC8" s="1">
        <f t="shared" ca="1" si="20"/>
        <v>969</v>
      </c>
      <c r="AD8" s="1">
        <f t="shared" ca="1" si="21"/>
        <v>4.3006124504749981E-3</v>
      </c>
      <c r="AE8" s="1"/>
      <c r="AF8" s="1">
        <f t="shared" ca="1" si="22"/>
        <v>0.61880645753812957</v>
      </c>
      <c r="AG8" s="1">
        <f t="shared" ca="1" si="23"/>
        <v>435</v>
      </c>
      <c r="AH8" s="1">
        <f t="shared" ca="1" si="24"/>
        <v>2.1336540241395684E-3</v>
      </c>
      <c r="AJ8" s="1">
        <f t="shared" ca="1" si="25"/>
        <v>0.28097704824627612</v>
      </c>
      <c r="AK8" s="1">
        <f t="shared" ca="1" si="26"/>
        <v>1.0708563994775795E-4</v>
      </c>
      <c r="AL8" s="1"/>
      <c r="AM8" s="1">
        <f t="shared" ca="1" si="27"/>
        <v>0.18784716621873082</v>
      </c>
      <c r="AN8" s="1">
        <f t="shared" ca="1" si="28"/>
        <v>27</v>
      </c>
      <c r="AO8" s="1">
        <f t="shared" ca="1" si="29"/>
        <v>4</v>
      </c>
      <c r="AQ8" s="1">
        <f t="shared" ca="1" si="30"/>
        <v>131</v>
      </c>
      <c r="AR8" s="1">
        <f t="shared" ca="1" si="31"/>
        <v>1</v>
      </c>
      <c r="AS8" s="1">
        <f t="shared" ca="1" si="32"/>
        <v>30</v>
      </c>
      <c r="AU8" s="1">
        <f t="shared" ca="1" si="33"/>
        <v>373</v>
      </c>
      <c r="AV8" s="1">
        <f t="shared" ca="1" si="34"/>
        <v>5</v>
      </c>
      <c r="AW8" s="1">
        <f t="shared" ca="1" si="35"/>
        <v>4.8056146217678924E-2</v>
      </c>
      <c r="AY8" s="1">
        <f t="shared" ca="1" si="36"/>
        <v>1.1895088622263121</v>
      </c>
      <c r="AZ8" s="1">
        <f t="shared" ca="1" si="37"/>
        <v>172</v>
      </c>
      <c r="BA8" s="1">
        <f t="shared" ca="1" si="38"/>
        <v>3.3272309548727326E-3</v>
      </c>
      <c r="BV8" s="1">
        <f t="shared" ca="1" si="39"/>
        <v>0.13275542193252998</v>
      </c>
      <c r="BW8" s="1">
        <f t="shared" ca="1" si="40"/>
        <v>789</v>
      </c>
      <c r="BX8" s="1">
        <f t="shared" ca="1" si="41"/>
        <v>7.9489459576159351E-3</v>
      </c>
      <c r="BY8" s="1">
        <f t="shared" ca="1" si="42"/>
        <v>9.5993721257244466E-2</v>
      </c>
      <c r="BZ8" s="1">
        <f t="shared" ca="1" si="43"/>
        <v>0.49234729989798676</v>
      </c>
      <c r="CB8" s="1">
        <f t="shared" ca="1" si="44"/>
        <v>490</v>
      </c>
      <c r="CC8" s="1">
        <f t="shared" ca="1" si="45"/>
        <v>6</v>
      </c>
      <c r="CD8" s="1">
        <f t="shared" ca="1" si="46"/>
        <v>7.6723737189184807E-2</v>
      </c>
      <c r="CE8" s="1">
        <f t="shared" ca="1" si="47"/>
        <v>0.77831209277534996</v>
      </c>
      <c r="CF8" s="1">
        <f t="shared" ca="1" si="47"/>
        <v>0.61433259178870558</v>
      </c>
      <c r="CH8" s="3">
        <f t="shared" ca="1" si="48"/>
        <v>0.60265404806681666</v>
      </c>
      <c r="CI8" s="3">
        <f t="shared" ca="1" si="49"/>
        <v>5.8348932435665898E-2</v>
      </c>
      <c r="CJ8" s="3">
        <f t="shared" ca="1" si="50"/>
        <v>764</v>
      </c>
      <c r="CK8" s="3">
        <f t="shared" ca="1" si="51"/>
        <v>2.3291700496680754E-3</v>
      </c>
      <c r="CL8" s="3">
        <f t="shared" ca="1" si="52"/>
        <v>1</v>
      </c>
      <c r="CM8" s="3"/>
      <c r="CN8" s="1">
        <f t="shared" ca="1" si="53"/>
        <v>9.9341534743630469</v>
      </c>
      <c r="CO8" s="1">
        <f t="shared" ca="1" si="54"/>
        <v>0.32831028433612119</v>
      </c>
      <c r="CP8" s="1">
        <f t="shared" ca="1" si="55"/>
        <v>1</v>
      </c>
    </row>
    <row r="9" spans="2:106" x14ac:dyDescent="0.25">
      <c r="B9">
        <f t="shared" ca="1" si="0"/>
        <v>936</v>
      </c>
      <c r="C9">
        <f t="shared" ca="1" si="1"/>
        <v>19</v>
      </c>
      <c r="D9">
        <f t="shared" ca="1" si="2"/>
        <v>0.18713225497703462</v>
      </c>
      <c r="F9" s="1">
        <f t="shared" ca="1" si="3"/>
        <v>7</v>
      </c>
      <c r="G9" s="1">
        <f t="shared" ca="1" si="4"/>
        <v>28</v>
      </c>
      <c r="H9" s="1">
        <f t="shared" ca="1" si="5"/>
        <v>2</v>
      </c>
      <c r="I9" s="1"/>
      <c r="J9" s="1">
        <f t="shared" ca="1" si="6"/>
        <v>31</v>
      </c>
      <c r="K9" s="1">
        <f t="shared" ca="1" si="7"/>
        <v>1.319660518117886</v>
      </c>
      <c r="L9" s="1">
        <f t="shared" ca="1" si="8"/>
        <v>25</v>
      </c>
      <c r="M9" s="1"/>
      <c r="N9" s="1">
        <f t="shared" ca="1" si="9"/>
        <v>257</v>
      </c>
      <c r="O9" s="1">
        <f t="shared" ca="1" si="10"/>
        <v>11</v>
      </c>
      <c r="P9" s="1"/>
      <c r="Q9" s="1">
        <f t="shared" ca="1" si="11"/>
        <v>1.5394010413701709</v>
      </c>
      <c r="R9" s="1">
        <f t="shared" ca="1" si="12"/>
        <v>950</v>
      </c>
      <c r="S9" s="1"/>
      <c r="T9" s="1">
        <f t="shared" ca="1" si="13"/>
        <v>0.19792795099230506</v>
      </c>
      <c r="U9" s="1">
        <f t="shared" ca="1" si="14"/>
        <v>444</v>
      </c>
      <c r="V9" s="1">
        <f t="shared" ca="1" si="15"/>
        <v>3</v>
      </c>
      <c r="W9" s="1"/>
      <c r="X9" s="1">
        <f t="shared" ca="1" si="16"/>
        <v>7.4610283562818633</v>
      </c>
      <c r="Y9" s="1">
        <f t="shared" ca="1" si="17"/>
        <v>0.97221142519293124</v>
      </c>
      <c r="Z9" s="1">
        <f t="shared" ca="1" si="18"/>
        <v>930</v>
      </c>
      <c r="AB9" s="1">
        <f t="shared" ca="1" si="19"/>
        <v>0.7260465852077802</v>
      </c>
      <c r="AC9" s="1">
        <f t="shared" ca="1" si="20"/>
        <v>426</v>
      </c>
      <c r="AD9" s="1">
        <f t="shared" ca="1" si="21"/>
        <v>3.0362672427615303E-4</v>
      </c>
      <c r="AE9" s="1"/>
      <c r="AF9" s="1">
        <f t="shared" ca="1" si="22"/>
        <v>0.67536983834437592</v>
      </c>
      <c r="AG9" s="1">
        <f t="shared" ca="1" si="23"/>
        <v>344</v>
      </c>
      <c r="AH9" s="1">
        <f t="shared" ca="1" si="24"/>
        <v>3.6975738317421005E-3</v>
      </c>
      <c r="AJ9" s="1">
        <f t="shared" ca="1" si="25"/>
        <v>0.16730291022260346</v>
      </c>
      <c r="AK9" s="1">
        <f t="shared" ca="1" si="26"/>
        <v>5.6387658315767606E-4</v>
      </c>
      <c r="AL9" s="1"/>
      <c r="AM9" s="1">
        <f t="shared" ca="1" si="27"/>
        <v>8.5482648943423015E-2</v>
      </c>
      <c r="AN9" s="1">
        <f t="shared" ca="1" si="28"/>
        <v>12</v>
      </c>
      <c r="AO9" s="1">
        <f t="shared" ca="1" si="29"/>
        <v>7</v>
      </c>
      <c r="AQ9" s="1">
        <f t="shared" ca="1" si="30"/>
        <v>61</v>
      </c>
      <c r="AR9" s="1">
        <f t="shared" ca="1" si="31"/>
        <v>1</v>
      </c>
      <c r="AS9" s="1">
        <f t="shared" ca="1" si="32"/>
        <v>43</v>
      </c>
      <c r="AU9" s="1">
        <f t="shared" ca="1" si="33"/>
        <v>137</v>
      </c>
      <c r="AV9" s="1">
        <f t="shared" ca="1" si="34"/>
        <v>4</v>
      </c>
      <c r="AW9" s="1">
        <f t="shared" ca="1" si="35"/>
        <v>6.1603834693005302E-2</v>
      </c>
      <c r="AY9" s="1">
        <f t="shared" ca="1" si="36"/>
        <v>1.6809372756905625</v>
      </c>
      <c r="AZ9" s="1">
        <f t="shared" ca="1" si="37"/>
        <v>181</v>
      </c>
      <c r="BA9" s="1">
        <f t="shared" ca="1" si="38"/>
        <v>2.9411999226681084E-3</v>
      </c>
      <c r="BV9" s="1">
        <f t="shared" ca="1" si="39"/>
        <v>0.54481675550877728</v>
      </c>
      <c r="BW9" s="1">
        <f t="shared" ca="1" si="40"/>
        <v>132</v>
      </c>
      <c r="BX9" s="1">
        <f t="shared" ca="1" si="41"/>
        <v>6.6724390619772155E-3</v>
      </c>
      <c r="BY9" s="1">
        <f t="shared" ca="1" si="42"/>
        <v>6.4672687182223659E-2</v>
      </c>
      <c r="BZ9" s="1">
        <f t="shared" ca="1" si="43"/>
        <v>0.80325353144352518</v>
      </c>
      <c r="CB9" s="1">
        <f t="shared" ca="1" si="44"/>
        <v>307</v>
      </c>
      <c r="CC9" s="1">
        <f t="shared" ca="1" si="45"/>
        <v>13</v>
      </c>
      <c r="CD9" s="1">
        <f t="shared" ca="1" si="46"/>
        <v>0.1645853384404854</v>
      </c>
      <c r="CE9" s="1">
        <f t="shared" ca="1" si="47"/>
        <v>0.50931484192622445</v>
      </c>
      <c r="CF9" s="1">
        <f t="shared" ca="1" si="47"/>
        <v>0.80055384937841356</v>
      </c>
      <c r="CH9" s="3">
        <f t="shared" ca="1" si="48"/>
        <v>0.57778744527743475</v>
      </c>
      <c r="CI9" s="3">
        <f t="shared" ca="1" si="49"/>
        <v>0.77973415254834733</v>
      </c>
      <c r="CJ9" s="3">
        <f t="shared" ca="1" si="50"/>
        <v>363</v>
      </c>
      <c r="CK9" s="3">
        <f t="shared" ca="1" si="51"/>
        <v>6.3015215929877171E-3</v>
      </c>
      <c r="CL9" s="3">
        <f t="shared" ca="1" si="52"/>
        <v>1</v>
      </c>
      <c r="CM9" s="3"/>
      <c r="CN9" s="1">
        <f t="shared" ca="1" si="53"/>
        <v>9.5802244949859325</v>
      </c>
      <c r="CO9" s="1">
        <f t="shared" ca="1" si="54"/>
        <v>0.3868619382237099</v>
      </c>
      <c r="CP9" s="1">
        <f t="shared" ca="1" si="55"/>
        <v>2</v>
      </c>
    </row>
    <row r="10" spans="2:106" x14ac:dyDescent="0.25">
      <c r="B10">
        <f t="shared" ca="1" si="0"/>
        <v>305</v>
      </c>
      <c r="C10">
        <f t="shared" ca="1" si="1"/>
        <v>38</v>
      </c>
      <c r="D10">
        <f t="shared" ca="1" si="2"/>
        <v>0.21788778278331031</v>
      </c>
      <c r="F10" s="1">
        <f t="shared" ca="1" si="3"/>
        <v>34</v>
      </c>
      <c r="G10" s="1">
        <f t="shared" ca="1" si="4"/>
        <v>15</v>
      </c>
      <c r="H10" s="1">
        <f t="shared" ca="1" si="5"/>
        <v>12</v>
      </c>
      <c r="I10" s="1"/>
      <c r="J10" s="1">
        <f t="shared" ca="1" si="6"/>
        <v>1</v>
      </c>
      <c r="K10" s="1">
        <f t="shared" ca="1" si="7"/>
        <v>2.2928072887911917</v>
      </c>
      <c r="L10" s="1">
        <f t="shared" ca="1" si="8"/>
        <v>19</v>
      </c>
      <c r="M10" s="1"/>
      <c r="N10" s="1">
        <f t="shared" ca="1" si="9"/>
        <v>576</v>
      </c>
      <c r="O10" s="1">
        <f t="shared" ca="1" si="10"/>
        <v>15</v>
      </c>
      <c r="P10" s="1"/>
      <c r="Q10" s="1">
        <f t="shared" ca="1" si="11"/>
        <v>4.0585040818087323</v>
      </c>
      <c r="R10" s="1">
        <f t="shared" ca="1" si="12"/>
        <v>1087</v>
      </c>
      <c r="S10" s="1"/>
      <c r="T10" s="1">
        <f t="shared" ca="1" si="13"/>
        <v>0.10684013274710727</v>
      </c>
      <c r="U10" s="1">
        <f t="shared" ca="1" si="14"/>
        <v>229</v>
      </c>
      <c r="V10" s="1">
        <f t="shared" ca="1" si="15"/>
        <v>38</v>
      </c>
      <c r="W10" s="1"/>
      <c r="X10" s="1">
        <f t="shared" ca="1" si="16"/>
        <v>4.9474026633320163</v>
      </c>
      <c r="Y10" s="1">
        <f t="shared" ca="1" si="17"/>
        <v>0.23780671959840644</v>
      </c>
      <c r="Z10" s="1">
        <f t="shared" ca="1" si="18"/>
        <v>1190</v>
      </c>
      <c r="AB10" s="1">
        <f t="shared" ca="1" si="19"/>
        <v>0.84793413464637224</v>
      </c>
      <c r="AC10" s="1">
        <f t="shared" ca="1" si="20"/>
        <v>270</v>
      </c>
      <c r="AD10" s="1">
        <f t="shared" ca="1" si="21"/>
        <v>8.4837522949333093E-3</v>
      </c>
      <c r="AE10" s="1"/>
      <c r="AF10" s="1">
        <f t="shared" ca="1" si="22"/>
        <v>0.40135765436327697</v>
      </c>
      <c r="AG10" s="1">
        <f t="shared" ca="1" si="23"/>
        <v>498</v>
      </c>
      <c r="AH10" s="1">
        <f t="shared" ca="1" si="24"/>
        <v>9.589910113829217E-3</v>
      </c>
      <c r="AJ10" s="1">
        <f t="shared" ca="1" si="25"/>
        <v>0.68834005772595452</v>
      </c>
      <c r="AK10" s="1">
        <f t="shared" ca="1" si="26"/>
        <v>4.9473641723495896E-3</v>
      </c>
      <c r="AL10" s="1"/>
      <c r="AM10" s="1">
        <f t="shared" ca="1" si="27"/>
        <v>1.6906765216421753E-2</v>
      </c>
      <c r="AN10" s="1">
        <f t="shared" ca="1" si="28"/>
        <v>68</v>
      </c>
      <c r="AO10" s="1">
        <f t="shared" ca="1" si="29"/>
        <v>9</v>
      </c>
      <c r="AQ10" s="1">
        <f t="shared" ca="1" si="30"/>
        <v>94</v>
      </c>
      <c r="AR10" s="1">
        <f t="shared" ca="1" si="31"/>
        <v>4</v>
      </c>
      <c r="AS10" s="1">
        <f t="shared" ca="1" si="32"/>
        <v>51</v>
      </c>
      <c r="AU10" s="1">
        <f t="shared" ca="1" si="33"/>
        <v>123</v>
      </c>
      <c r="AV10" s="1">
        <f t="shared" ca="1" si="34"/>
        <v>7</v>
      </c>
      <c r="AW10" s="1">
        <f t="shared" ca="1" si="35"/>
        <v>0.13256267293163157</v>
      </c>
      <c r="AY10" s="1">
        <f t="shared" ca="1" si="36"/>
        <v>1.2740338234270572</v>
      </c>
      <c r="AZ10" s="1">
        <f t="shared" ca="1" si="37"/>
        <v>256</v>
      </c>
      <c r="BA10" s="1">
        <f t="shared" ca="1" si="38"/>
        <v>1.7877667650813376E-3</v>
      </c>
      <c r="BV10" s="1">
        <f t="shared" ca="1" si="39"/>
        <v>0.24198885479310325</v>
      </c>
      <c r="BW10" s="1">
        <f t="shared" ca="1" si="40"/>
        <v>751</v>
      </c>
      <c r="BX10" s="1">
        <f t="shared" ca="1" si="41"/>
        <v>4.6633447342231613E-3</v>
      </c>
      <c r="BY10" s="1">
        <f t="shared" ca="1" si="42"/>
        <v>3.0917098852272066E-2</v>
      </c>
      <c r="BZ10" s="1">
        <f t="shared" ca="1" si="43"/>
        <v>0.63517394063404675</v>
      </c>
      <c r="CB10" s="1">
        <f t="shared" ca="1" si="44"/>
        <v>350</v>
      </c>
      <c r="CC10" s="1">
        <f t="shared" ca="1" si="45"/>
        <v>6</v>
      </c>
      <c r="CD10" s="1">
        <f t="shared" ca="1" si="46"/>
        <v>0.29181258036648827</v>
      </c>
      <c r="CE10" s="1">
        <f t="shared" ca="1" si="47"/>
        <v>0.97017544909538467</v>
      </c>
      <c r="CF10" s="1">
        <f t="shared" ca="1" si="47"/>
        <v>0.88997720538301417</v>
      </c>
      <c r="CH10" s="3">
        <f t="shared" ca="1" si="48"/>
        <v>0.61022987634014447</v>
      </c>
      <c r="CI10" s="3">
        <f t="shared" ca="1" si="49"/>
        <v>0.14720955834691044</v>
      </c>
      <c r="CJ10" s="3">
        <f t="shared" ca="1" si="50"/>
        <v>1077</v>
      </c>
      <c r="CK10" s="3">
        <f t="shared" ca="1" si="51"/>
        <v>6.0439773064062917E-3</v>
      </c>
      <c r="CL10" s="3">
        <f t="shared" ca="1" si="52"/>
        <v>1</v>
      </c>
      <c r="CM10" s="3"/>
      <c r="CN10" s="1">
        <f t="shared" ca="1" si="53"/>
        <v>2.6819250332583415</v>
      </c>
      <c r="CO10" s="1">
        <f t="shared" ca="1" si="54"/>
        <v>0.38121197396724016</v>
      </c>
      <c r="CP10" s="1">
        <f t="shared" ca="1" si="55"/>
        <v>2</v>
      </c>
    </row>
    <row r="11" spans="2:106" x14ac:dyDescent="0.25">
      <c r="B11">
        <f t="shared" ca="1" si="0"/>
        <v>738</v>
      </c>
      <c r="C11">
        <f t="shared" ca="1" si="1"/>
        <v>17</v>
      </c>
      <c r="D11">
        <f t="shared" ca="1" si="2"/>
        <v>0.2516180663240849</v>
      </c>
      <c r="F11" s="1">
        <f t="shared" ca="1" si="3"/>
        <v>39</v>
      </c>
      <c r="G11" s="1">
        <f t="shared" ca="1" si="4"/>
        <v>28</v>
      </c>
      <c r="H11" s="1">
        <f t="shared" ca="1" si="5"/>
        <v>6</v>
      </c>
      <c r="I11" s="1"/>
      <c r="J11" s="1">
        <f t="shared" ca="1" si="6"/>
        <v>7</v>
      </c>
      <c r="K11" s="1">
        <f t="shared" ca="1" si="7"/>
        <v>2.4650895818622311</v>
      </c>
      <c r="L11" s="1">
        <f t="shared" ca="1" si="8"/>
        <v>26</v>
      </c>
      <c r="M11" s="1"/>
      <c r="N11" s="1">
        <f t="shared" ca="1" si="9"/>
        <v>820</v>
      </c>
      <c r="O11" s="1">
        <f t="shared" ca="1" si="10"/>
        <v>21</v>
      </c>
      <c r="P11" s="1"/>
      <c r="Q11" s="1">
        <f t="shared" ca="1" si="11"/>
        <v>0.12810048718196171</v>
      </c>
      <c r="R11" s="1">
        <f t="shared" ca="1" si="12"/>
        <v>1139</v>
      </c>
      <c r="S11" s="1"/>
      <c r="T11" s="1">
        <f t="shared" ca="1" si="13"/>
        <v>0.10451055741484731</v>
      </c>
      <c r="U11" s="1">
        <f t="shared" ca="1" si="14"/>
        <v>258</v>
      </c>
      <c r="V11" s="1">
        <f t="shared" ca="1" si="15"/>
        <v>15</v>
      </c>
      <c r="W11" s="1"/>
      <c r="X11" s="1">
        <f t="shared" ca="1" si="16"/>
        <v>5.1061719414984204</v>
      </c>
      <c r="Y11" s="1">
        <f t="shared" ca="1" si="17"/>
        <v>0.2762806401378729</v>
      </c>
      <c r="Z11" s="1">
        <f t="shared" ca="1" si="18"/>
        <v>1564</v>
      </c>
      <c r="AB11" s="1">
        <f t="shared" ca="1" si="19"/>
        <v>0.61856855768698427</v>
      </c>
      <c r="AC11" s="1">
        <f t="shared" ca="1" si="20"/>
        <v>725</v>
      </c>
      <c r="AD11" s="1">
        <f t="shared" ca="1" si="21"/>
        <v>1.5414397827690554E-3</v>
      </c>
      <c r="AE11" s="1"/>
      <c r="AF11" s="1">
        <f t="shared" ca="1" si="22"/>
        <v>0.59785261070001428</v>
      </c>
      <c r="AG11" s="1">
        <f t="shared" ca="1" si="23"/>
        <v>883</v>
      </c>
      <c r="AH11" s="1">
        <f t="shared" ca="1" si="24"/>
        <v>9.2800154842981092E-4</v>
      </c>
      <c r="AJ11" s="1">
        <f t="shared" ca="1" si="25"/>
        <v>0.24025305956710541</v>
      </c>
      <c r="AK11" s="1">
        <f t="shared" ca="1" si="26"/>
        <v>2.7705555545698571E-3</v>
      </c>
      <c r="AL11" s="1"/>
      <c r="AM11" s="1">
        <f t="shared" ca="1" si="27"/>
        <v>0.13591716758025843</v>
      </c>
      <c r="AN11" s="1">
        <f t="shared" ca="1" si="28"/>
        <v>35</v>
      </c>
      <c r="AO11" s="1">
        <f t="shared" ca="1" si="29"/>
        <v>16</v>
      </c>
      <c r="AQ11" s="1">
        <f t="shared" ca="1" si="30"/>
        <v>87</v>
      </c>
      <c r="AR11" s="1">
        <f t="shared" ca="1" si="31"/>
        <v>1</v>
      </c>
      <c r="AS11" s="1">
        <f t="shared" ca="1" si="32"/>
        <v>3</v>
      </c>
      <c r="AU11" s="1">
        <f t="shared" ca="1" si="33"/>
        <v>326</v>
      </c>
      <c r="AV11" s="1">
        <f t="shared" ca="1" si="34"/>
        <v>9</v>
      </c>
      <c r="AW11" s="1">
        <f t="shared" ca="1" si="35"/>
        <v>7.2569819016599688E-2</v>
      </c>
      <c r="AY11" s="1">
        <f t="shared" ca="1" si="36"/>
        <v>1.8361835871792898</v>
      </c>
      <c r="AZ11" s="1">
        <f t="shared" ca="1" si="37"/>
        <v>424</v>
      </c>
      <c r="BA11" s="1">
        <f t="shared" ca="1" si="38"/>
        <v>6.6645119558510144E-3</v>
      </c>
      <c r="BV11" s="1">
        <f t="shared" ca="1" si="39"/>
        <v>0.53919833857242061</v>
      </c>
      <c r="BW11" s="1">
        <f t="shared" ca="1" si="40"/>
        <v>585</v>
      </c>
      <c r="BX11" s="1">
        <f t="shared" ca="1" si="41"/>
        <v>7.6148296608391196E-3</v>
      </c>
      <c r="BY11" s="1">
        <f t="shared" ca="1" si="42"/>
        <v>9.426053562237964E-2</v>
      </c>
      <c r="BZ11" s="1">
        <f t="shared" ca="1" si="43"/>
        <v>1.3194745191133506E-2</v>
      </c>
      <c r="CB11" s="1">
        <f t="shared" ca="1" si="44"/>
        <v>218</v>
      </c>
      <c r="CC11" s="1">
        <f t="shared" ca="1" si="45"/>
        <v>6</v>
      </c>
      <c r="CD11" s="1">
        <f t="shared" ca="1" si="46"/>
        <v>5.4952689885607704E-2</v>
      </c>
      <c r="CE11" s="1">
        <f t="shared" ca="1" si="47"/>
        <v>0.94146091016151456</v>
      </c>
      <c r="CF11" s="1">
        <f t="shared" ca="1" si="47"/>
        <v>0.65211368675157555</v>
      </c>
      <c r="CH11" s="3">
        <f t="shared" ca="1" si="48"/>
        <v>0.63765852818340762</v>
      </c>
      <c r="CI11" s="3">
        <f t="shared" ca="1" si="49"/>
        <v>0.66897945737785125</v>
      </c>
      <c r="CJ11" s="3">
        <f t="shared" ca="1" si="50"/>
        <v>231</v>
      </c>
      <c r="CK11" s="3">
        <f t="shared" ca="1" si="51"/>
        <v>1.2114300677712724E-3</v>
      </c>
      <c r="CL11" s="3">
        <f t="shared" ca="1" si="52"/>
        <v>1</v>
      </c>
      <c r="CM11" s="3"/>
      <c r="CN11" s="1">
        <f t="shared" ca="1" si="53"/>
        <v>13.814708083202163</v>
      </c>
      <c r="CO11" s="1">
        <f t="shared" ca="1" si="54"/>
        <v>0.11647915781837077</v>
      </c>
      <c r="CP11" s="1">
        <f t="shared" ca="1" si="55"/>
        <v>4</v>
      </c>
    </row>
    <row r="12" spans="2:106" x14ac:dyDescent="0.25">
      <c r="B12">
        <f t="shared" ca="1" si="0"/>
        <v>548</v>
      </c>
      <c r="C12">
        <f t="shared" ca="1" si="1"/>
        <v>21</v>
      </c>
      <c r="D12">
        <f t="shared" ca="1" si="2"/>
        <v>0.24043262142346336</v>
      </c>
      <c r="F12" s="1">
        <f t="shared" ca="1" si="3"/>
        <v>43</v>
      </c>
      <c r="G12" s="1">
        <f t="shared" ca="1" si="4"/>
        <v>3</v>
      </c>
      <c r="H12" s="1">
        <f t="shared" ca="1" si="5"/>
        <v>8</v>
      </c>
      <c r="I12" s="1"/>
      <c r="J12" s="1">
        <f t="shared" ca="1" si="6"/>
        <v>38</v>
      </c>
      <c r="K12" s="1">
        <f t="shared" ca="1" si="7"/>
        <v>2.7131599167175491</v>
      </c>
      <c r="L12" s="1">
        <f t="shared" ca="1" si="8"/>
        <v>32</v>
      </c>
      <c r="M12" s="1"/>
      <c r="N12" s="1">
        <f t="shared" ca="1" si="9"/>
        <v>843</v>
      </c>
      <c r="O12" s="1">
        <f t="shared" ca="1" si="10"/>
        <v>33</v>
      </c>
      <c r="P12" s="1"/>
      <c r="Q12" s="1">
        <f t="shared" ca="1" si="11"/>
        <v>4.5788133850825563</v>
      </c>
      <c r="R12" s="1">
        <f t="shared" ca="1" si="12"/>
        <v>1031</v>
      </c>
      <c r="S12" s="1"/>
      <c r="T12" s="1">
        <f t="shared" ca="1" si="13"/>
        <v>3.2506596805517235E-2</v>
      </c>
      <c r="U12" s="1">
        <f t="shared" ca="1" si="14"/>
        <v>71</v>
      </c>
      <c r="V12" s="1">
        <f t="shared" ca="1" si="15"/>
        <v>16</v>
      </c>
      <c r="W12" s="1"/>
      <c r="X12" s="1">
        <f t="shared" ca="1" si="16"/>
        <v>7.0125155855145147</v>
      </c>
      <c r="Y12" s="1">
        <f t="shared" ca="1" si="17"/>
        <v>1.94799115784456E-2</v>
      </c>
      <c r="Z12" s="1">
        <f t="shared" ca="1" si="18"/>
        <v>1006</v>
      </c>
      <c r="AB12" s="1">
        <f t="shared" ca="1" si="19"/>
        <v>0.14116672692353724</v>
      </c>
      <c r="AC12" s="1">
        <f t="shared" ca="1" si="20"/>
        <v>701</v>
      </c>
      <c r="AD12" s="1">
        <f t="shared" ca="1" si="21"/>
        <v>2.8149086831419563E-3</v>
      </c>
      <c r="AE12" s="1"/>
      <c r="AF12" s="1">
        <f t="shared" ca="1" si="22"/>
        <v>0.42885099725871934</v>
      </c>
      <c r="AG12" s="1">
        <f t="shared" ca="1" si="23"/>
        <v>321</v>
      </c>
      <c r="AH12" s="1">
        <f t="shared" ca="1" si="24"/>
        <v>6.3954348708358281E-3</v>
      </c>
      <c r="AJ12" s="1">
        <f t="shared" ca="1" si="25"/>
        <v>0.75535095740887537</v>
      </c>
      <c r="AK12" s="1">
        <f t="shared" ca="1" si="26"/>
        <v>7.451827739042469E-3</v>
      </c>
      <c r="AL12" s="1"/>
      <c r="AM12" s="1">
        <f t="shared" ca="1" si="27"/>
        <v>4.376437450154165E-2</v>
      </c>
      <c r="AN12" s="1">
        <f t="shared" ca="1" si="28"/>
        <v>26</v>
      </c>
      <c r="AO12" s="1">
        <f t="shared" ca="1" si="29"/>
        <v>8</v>
      </c>
      <c r="AQ12" s="1">
        <f t="shared" ca="1" si="30"/>
        <v>114</v>
      </c>
      <c r="AR12" s="1">
        <f t="shared" ca="1" si="31"/>
        <v>9</v>
      </c>
      <c r="AS12" s="1">
        <f t="shared" ca="1" si="32"/>
        <v>60</v>
      </c>
      <c r="AU12" s="1">
        <f t="shared" ca="1" si="33"/>
        <v>373</v>
      </c>
      <c r="AV12" s="1">
        <f t="shared" ca="1" si="34"/>
        <v>8</v>
      </c>
      <c r="AW12" s="1">
        <f t="shared" ca="1" si="35"/>
        <v>4.0344719017053852E-2</v>
      </c>
      <c r="AY12" s="1">
        <f t="shared" ca="1" si="36"/>
        <v>1.7413451254227814</v>
      </c>
      <c r="AZ12" s="1">
        <f t="shared" ca="1" si="37"/>
        <v>330</v>
      </c>
      <c r="BA12" s="1">
        <f t="shared" ca="1" si="38"/>
        <v>2.7416737979676291E-3</v>
      </c>
      <c r="BV12" s="1">
        <f t="shared" ca="1" si="39"/>
        <v>0.87484342271766824</v>
      </c>
      <c r="BW12" s="1">
        <f t="shared" ca="1" si="40"/>
        <v>450</v>
      </c>
      <c r="BX12" s="1">
        <f t="shared" ca="1" si="41"/>
        <v>5.69974276053391E-3</v>
      </c>
      <c r="BY12" s="1">
        <f t="shared" ca="1" si="42"/>
        <v>4.8954031644614489E-2</v>
      </c>
      <c r="BZ12" s="1">
        <f t="shared" ca="1" si="43"/>
        <v>0.90613810271100104</v>
      </c>
      <c r="CB12" s="1">
        <f t="shared" ca="1" si="44"/>
        <v>411</v>
      </c>
      <c r="CC12" s="1">
        <f t="shared" ca="1" si="45"/>
        <v>9</v>
      </c>
      <c r="CD12" s="1">
        <f t="shared" ca="1" si="46"/>
        <v>0.2107200488636061</v>
      </c>
      <c r="CE12" s="1">
        <f t="shared" ca="1" si="47"/>
        <v>0.89529551976750255</v>
      </c>
      <c r="CF12" s="1">
        <f t="shared" ca="1" si="47"/>
        <v>0.96064263056072674</v>
      </c>
      <c r="CH12" s="3">
        <f t="shared" ca="1" si="48"/>
        <v>0.56798142273661556</v>
      </c>
      <c r="CI12" s="3">
        <f t="shared" ca="1" si="49"/>
        <v>0.47296770009906886</v>
      </c>
      <c r="CJ12" s="3">
        <f t="shared" ca="1" si="50"/>
        <v>1728</v>
      </c>
      <c r="CK12" s="3">
        <f t="shared" ca="1" si="51"/>
        <v>8.1553881452219919E-3</v>
      </c>
      <c r="CL12" s="3">
        <f t="shared" ca="1" si="52"/>
        <v>0</v>
      </c>
      <c r="CM12" s="3"/>
      <c r="CN12" s="1">
        <f t="shared" ca="1" si="53"/>
        <v>11.48303630563576</v>
      </c>
      <c r="CO12" s="1">
        <f t="shared" ca="1" si="54"/>
        <v>0.23815511042772983</v>
      </c>
      <c r="CP12" s="1">
        <f t="shared" ca="1" si="55"/>
        <v>3</v>
      </c>
    </row>
    <row r="13" spans="2:106" x14ac:dyDescent="0.25">
      <c r="B13">
        <f t="shared" ca="1" si="0"/>
        <v>37</v>
      </c>
      <c r="C13">
        <f t="shared" ca="1" si="1"/>
        <v>27</v>
      </c>
      <c r="D13">
        <f t="shared" ca="1" si="2"/>
        <v>4.9684688865729867E-2</v>
      </c>
      <c r="F13" s="1">
        <f t="shared" ca="1" si="3"/>
        <v>27</v>
      </c>
      <c r="G13" s="1">
        <f t="shared" ca="1" si="4"/>
        <v>20</v>
      </c>
      <c r="H13" s="1">
        <f t="shared" ca="1" si="5"/>
        <v>2</v>
      </c>
      <c r="I13" s="1"/>
      <c r="J13" s="1">
        <f t="shared" ca="1" si="6"/>
        <v>38</v>
      </c>
      <c r="K13" s="1">
        <f t="shared" ca="1" si="7"/>
        <v>1.5648340199342241</v>
      </c>
      <c r="L13" s="1">
        <f t="shared" ca="1" si="8"/>
        <v>32</v>
      </c>
      <c r="M13" s="1"/>
      <c r="N13" s="1">
        <f t="shared" ca="1" si="9"/>
        <v>624</v>
      </c>
      <c r="O13" s="1">
        <f t="shared" ca="1" si="10"/>
        <v>46</v>
      </c>
      <c r="P13" s="1"/>
      <c r="Q13" s="1">
        <f t="shared" ca="1" si="11"/>
        <v>3.9956948319857588</v>
      </c>
      <c r="R13" s="1">
        <f t="shared" ca="1" si="12"/>
        <v>1005</v>
      </c>
      <c r="S13" s="1"/>
      <c r="T13" s="1">
        <f t="shared" ca="1" si="13"/>
        <v>0.13910275109631709</v>
      </c>
      <c r="U13" s="1">
        <f t="shared" ca="1" si="14"/>
        <v>321</v>
      </c>
      <c r="V13" s="1">
        <f t="shared" ca="1" si="15"/>
        <v>23</v>
      </c>
      <c r="W13" s="1"/>
      <c r="X13" s="1">
        <f t="shared" ca="1" si="16"/>
        <v>8.5913201051454298</v>
      </c>
      <c r="Y13" s="1">
        <f t="shared" ca="1" si="17"/>
        <v>0.27062075344831088</v>
      </c>
      <c r="Z13" s="1">
        <f t="shared" ca="1" si="18"/>
        <v>1068</v>
      </c>
      <c r="AB13" s="1">
        <f t="shared" ca="1" si="19"/>
        <v>0.69085482522769315</v>
      </c>
      <c r="AC13" s="1">
        <f t="shared" ca="1" si="20"/>
        <v>951</v>
      </c>
      <c r="AD13" s="1">
        <f t="shared" ca="1" si="21"/>
        <v>8.0505076432564864E-3</v>
      </c>
      <c r="AE13" s="1"/>
      <c r="AF13" s="1">
        <f t="shared" ca="1" si="22"/>
        <v>0.65078453494584321</v>
      </c>
      <c r="AG13" s="1">
        <f t="shared" ca="1" si="23"/>
        <v>309</v>
      </c>
      <c r="AH13" s="1">
        <f t="shared" ca="1" si="24"/>
        <v>5.3406321109281899E-3</v>
      </c>
      <c r="AJ13" s="1">
        <f t="shared" ca="1" si="25"/>
        <v>0.51504667627498335</v>
      </c>
      <c r="AK13" s="1">
        <f t="shared" ca="1" si="26"/>
        <v>7.6499447550847947E-3</v>
      </c>
      <c r="AL13" s="1"/>
      <c r="AM13" s="1">
        <f t="shared" ca="1" si="27"/>
        <v>0.15818652627729257</v>
      </c>
      <c r="AN13" s="1">
        <f t="shared" ca="1" si="28"/>
        <v>48</v>
      </c>
      <c r="AO13" s="1">
        <f t="shared" ca="1" si="29"/>
        <v>11</v>
      </c>
      <c r="AQ13" s="1">
        <f t="shared" ca="1" si="30"/>
        <v>63</v>
      </c>
      <c r="AR13" s="1">
        <f t="shared" ca="1" si="31"/>
        <v>7</v>
      </c>
      <c r="AS13" s="1">
        <f t="shared" ca="1" si="32"/>
        <v>37</v>
      </c>
      <c r="AU13" s="1">
        <f t="shared" ca="1" si="33"/>
        <v>86</v>
      </c>
      <c r="AV13" s="1">
        <f t="shared" ca="1" si="34"/>
        <v>8</v>
      </c>
      <c r="AW13" s="1">
        <f t="shared" ca="1" si="35"/>
        <v>3.6435614377805285E-2</v>
      </c>
      <c r="AY13" s="1">
        <f t="shared" ca="1" si="36"/>
        <v>1.9682390129860816</v>
      </c>
      <c r="AZ13" s="1">
        <f t="shared" ca="1" si="37"/>
        <v>63</v>
      </c>
      <c r="BA13" s="1">
        <f t="shared" ca="1" si="38"/>
        <v>2.8003231750810573E-3</v>
      </c>
      <c r="BV13" s="1">
        <f t="shared" ca="1" si="39"/>
        <v>0.67063975470193626</v>
      </c>
      <c r="BW13" s="1">
        <f t="shared" ca="1" si="40"/>
        <v>893</v>
      </c>
      <c r="BX13" s="1">
        <f t="shared" ca="1" si="41"/>
        <v>6.6502590112545454E-3</v>
      </c>
      <c r="BY13" s="1">
        <f t="shared" ca="1" si="42"/>
        <v>1.4524774658098753E-2</v>
      </c>
      <c r="BZ13" s="1">
        <f t="shared" ca="1" si="43"/>
        <v>0.54007224198811143</v>
      </c>
      <c r="CB13" s="1">
        <f t="shared" ca="1" si="44"/>
        <v>205</v>
      </c>
      <c r="CC13" s="1">
        <f t="shared" ca="1" si="45"/>
        <v>11</v>
      </c>
      <c r="CD13" s="1">
        <f t="shared" ca="1" si="46"/>
        <v>0.18035694994098392</v>
      </c>
      <c r="CE13" s="1">
        <f t="shared" ca="1" si="47"/>
        <v>0.50683217653176338</v>
      </c>
      <c r="CF13" s="1">
        <f t="shared" ca="1" si="47"/>
        <v>0.6625659036353504</v>
      </c>
      <c r="CH13" s="3">
        <f t="shared" ca="1" si="48"/>
        <v>0.77858334069367785</v>
      </c>
      <c r="CI13" s="3">
        <f t="shared" ca="1" si="49"/>
        <v>0.5398061340897039</v>
      </c>
      <c r="CJ13" s="3">
        <f t="shared" ca="1" si="50"/>
        <v>1237</v>
      </c>
      <c r="CK13" s="3">
        <f t="shared" ca="1" si="51"/>
        <v>5.0033932178333244E-3</v>
      </c>
      <c r="CL13" s="3">
        <f t="shared" ca="1" si="52"/>
        <v>1</v>
      </c>
      <c r="CM13" s="3"/>
      <c r="CN13" s="1">
        <f t="shared" ca="1" si="53"/>
        <v>18.728659345003848</v>
      </c>
      <c r="CO13" s="1">
        <f t="shared" ca="1" si="54"/>
        <v>0.43187483019010076</v>
      </c>
      <c r="CP13" s="1">
        <f t="shared" ca="1" si="55"/>
        <v>4</v>
      </c>
    </row>
    <row r="14" spans="2:106" x14ac:dyDescent="0.25">
      <c r="B14">
        <f t="shared" ca="1" si="0"/>
        <v>405</v>
      </c>
      <c r="C14">
        <f t="shared" ca="1" si="1"/>
        <v>10</v>
      </c>
      <c r="D14">
        <f t="shared" ca="1" si="2"/>
        <v>2.74492189355195E-2</v>
      </c>
      <c r="F14" s="1">
        <f t="shared" ca="1" si="3"/>
        <v>24</v>
      </c>
      <c r="G14" s="1">
        <f t="shared" ca="1" si="4"/>
        <v>3</v>
      </c>
      <c r="H14" s="1">
        <f t="shared" ca="1" si="5"/>
        <v>15</v>
      </c>
      <c r="I14" s="1"/>
      <c r="J14" s="1">
        <f t="shared" ca="1" si="6"/>
        <v>29</v>
      </c>
      <c r="K14" s="1">
        <f t="shared" ca="1" si="7"/>
        <v>1.2406544050442536</v>
      </c>
      <c r="L14" s="1">
        <f t="shared" ca="1" si="8"/>
        <v>21</v>
      </c>
      <c r="M14" s="1"/>
      <c r="N14" s="1">
        <f t="shared" ca="1" si="9"/>
        <v>385</v>
      </c>
      <c r="O14" s="1">
        <f t="shared" ca="1" si="10"/>
        <v>18</v>
      </c>
      <c r="P14" s="1"/>
      <c r="Q14" s="1">
        <f t="shared" ca="1" si="11"/>
        <v>0.51537219963201353</v>
      </c>
      <c r="R14" s="1">
        <f t="shared" ca="1" si="12"/>
        <v>264</v>
      </c>
      <c r="S14" s="1"/>
      <c r="T14" s="1">
        <f t="shared" ca="1" si="13"/>
        <v>0.14597443708174296</v>
      </c>
      <c r="U14" s="1">
        <f t="shared" ca="1" si="14"/>
        <v>328</v>
      </c>
      <c r="V14" s="1">
        <f t="shared" ca="1" si="15"/>
        <v>11</v>
      </c>
      <c r="W14" s="1"/>
      <c r="X14" s="1">
        <f t="shared" ca="1" si="16"/>
        <v>8.0417753932945022</v>
      </c>
      <c r="Y14" s="1">
        <f t="shared" ca="1" si="17"/>
        <v>0.1094211928778368</v>
      </c>
      <c r="Z14" s="1">
        <f t="shared" ca="1" si="18"/>
        <v>1840</v>
      </c>
      <c r="AB14" s="1">
        <f t="shared" ca="1" si="19"/>
        <v>0.63516101394671576</v>
      </c>
      <c r="AC14" s="1">
        <f t="shared" ca="1" si="20"/>
        <v>199</v>
      </c>
      <c r="AD14" s="1">
        <f t="shared" ca="1" si="21"/>
        <v>5.2500959380418957E-3</v>
      </c>
      <c r="AE14" s="1"/>
      <c r="AF14" s="1">
        <f t="shared" ca="1" si="22"/>
        <v>0.32974829216164026</v>
      </c>
      <c r="AG14" s="1">
        <f t="shared" ca="1" si="23"/>
        <v>542</v>
      </c>
      <c r="AH14" s="1">
        <f t="shared" ca="1" si="24"/>
        <v>4.8598299895413893E-3</v>
      </c>
      <c r="AJ14" s="1">
        <f t="shared" ca="1" si="25"/>
        <v>0.26585357839330326</v>
      </c>
      <c r="AK14" s="1">
        <f t="shared" ca="1" si="26"/>
        <v>6.2448845084895404E-3</v>
      </c>
      <c r="AL14" s="1"/>
      <c r="AM14" s="1">
        <f t="shared" ca="1" si="27"/>
        <v>0.15217470304641054</v>
      </c>
      <c r="AN14" s="1">
        <f t="shared" ca="1" si="28"/>
        <v>53</v>
      </c>
      <c r="AO14" s="1">
        <f t="shared" ca="1" si="29"/>
        <v>2</v>
      </c>
      <c r="AQ14" s="1">
        <f t="shared" ca="1" si="30"/>
        <v>141</v>
      </c>
      <c r="AR14" s="1">
        <f t="shared" ca="1" si="31"/>
        <v>9</v>
      </c>
      <c r="AS14" s="1">
        <f t="shared" ca="1" si="32"/>
        <v>66</v>
      </c>
      <c r="AU14" s="1">
        <f t="shared" ca="1" si="33"/>
        <v>173</v>
      </c>
      <c r="AV14" s="1">
        <f t="shared" ca="1" si="34"/>
        <v>4</v>
      </c>
      <c r="AW14" s="1">
        <f t="shared" ca="1" si="35"/>
        <v>9.7896130645661578E-2</v>
      </c>
      <c r="AY14" s="1">
        <f t="shared" ca="1" si="36"/>
        <v>1.6493226104963847</v>
      </c>
      <c r="AZ14" s="1">
        <f t="shared" ca="1" si="37"/>
        <v>121</v>
      </c>
      <c r="BA14" s="1">
        <f t="shared" ca="1" si="38"/>
        <v>2.7377410366362688E-3</v>
      </c>
      <c r="BV14" s="1">
        <f t="shared" ca="1" si="39"/>
        <v>0.67505174078025076</v>
      </c>
      <c r="BW14" s="1">
        <f t="shared" ca="1" si="40"/>
        <v>151</v>
      </c>
      <c r="BX14" s="1">
        <f t="shared" ca="1" si="41"/>
        <v>1.7926645800974192E-4</v>
      </c>
      <c r="BY14" s="1">
        <f t="shared" ca="1" si="42"/>
        <v>7.745215903820224E-2</v>
      </c>
      <c r="BZ14" s="1">
        <f t="shared" ca="1" si="43"/>
        <v>0.76221696547370577</v>
      </c>
      <c r="CB14" s="1">
        <f t="shared" ca="1" si="44"/>
        <v>118</v>
      </c>
      <c r="CC14" s="1">
        <f t="shared" ca="1" si="45"/>
        <v>14</v>
      </c>
      <c r="CD14" s="1">
        <f t="shared" ca="1" si="46"/>
        <v>0.2531784932255241</v>
      </c>
      <c r="CE14" s="1">
        <f t="shared" ca="1" si="47"/>
        <v>0.99165377967148127</v>
      </c>
      <c r="CF14" s="1">
        <f t="shared" ca="1" si="47"/>
        <v>0.94108058819432983</v>
      </c>
      <c r="CH14" s="3">
        <f t="shared" ca="1" si="48"/>
        <v>0.90750233719140738</v>
      </c>
      <c r="CI14" s="3">
        <f t="shared" ca="1" si="49"/>
        <v>0.53732218780321861</v>
      </c>
      <c r="CJ14" s="3">
        <f t="shared" ca="1" si="50"/>
        <v>357</v>
      </c>
      <c r="CK14" s="3">
        <f t="shared" ca="1" si="51"/>
        <v>8.2160906443562714E-4</v>
      </c>
      <c r="CL14" s="3">
        <f t="shared" ca="1" si="52"/>
        <v>0</v>
      </c>
      <c r="CM14" s="3"/>
      <c r="CN14" s="1">
        <f t="shared" ca="1" si="53"/>
        <v>18.566882512945547</v>
      </c>
      <c r="CO14" s="1">
        <f t="shared" ca="1" si="54"/>
        <v>0.18970433679327939</v>
      </c>
      <c r="CP14" s="1">
        <f t="shared" ca="1" si="55"/>
        <v>4</v>
      </c>
    </row>
    <row r="15" spans="2:106" x14ac:dyDescent="0.25">
      <c r="B15">
        <f t="shared" ca="1" si="0"/>
        <v>829</v>
      </c>
      <c r="C15">
        <f t="shared" ca="1" si="1"/>
        <v>4</v>
      </c>
      <c r="D15">
        <f t="shared" ca="1" si="2"/>
        <v>0.1777971355626207</v>
      </c>
      <c r="F15" s="1">
        <f t="shared" ca="1" si="3"/>
        <v>51</v>
      </c>
      <c r="G15" s="1">
        <f t="shared" ca="1" si="4"/>
        <v>29</v>
      </c>
      <c r="H15" s="1">
        <f t="shared" ca="1" si="5"/>
        <v>8</v>
      </c>
      <c r="I15" s="1"/>
      <c r="J15" s="1">
        <f t="shared" ca="1" si="6"/>
        <v>3</v>
      </c>
      <c r="K15" s="1">
        <f t="shared" ca="1" si="7"/>
        <v>2.5759298624363214</v>
      </c>
      <c r="L15" s="1">
        <f t="shared" ca="1" si="8"/>
        <v>9</v>
      </c>
      <c r="M15" s="1"/>
      <c r="N15" s="1">
        <f t="shared" ca="1" si="9"/>
        <v>474</v>
      </c>
      <c r="O15" s="1">
        <f t="shared" ca="1" si="10"/>
        <v>34</v>
      </c>
      <c r="P15" s="1"/>
      <c r="Q15" s="1">
        <f t="shared" ca="1" si="11"/>
        <v>0.42688282140276179</v>
      </c>
      <c r="R15" s="1">
        <f t="shared" ca="1" si="12"/>
        <v>1023</v>
      </c>
      <c r="S15" s="1"/>
      <c r="T15" s="1">
        <f t="shared" ca="1" si="13"/>
        <v>4.2785636364009921E-2</v>
      </c>
      <c r="U15" s="1">
        <f t="shared" ca="1" si="14"/>
        <v>77</v>
      </c>
      <c r="V15" s="1">
        <f t="shared" ca="1" si="15"/>
        <v>4</v>
      </c>
      <c r="W15" s="1"/>
      <c r="X15" s="1">
        <f t="shared" ca="1" si="16"/>
        <v>6.8155893769778348</v>
      </c>
      <c r="Y15" s="1">
        <f t="shared" ca="1" si="17"/>
        <v>0.32383047230012413</v>
      </c>
      <c r="Z15" s="1">
        <f t="shared" ca="1" si="18"/>
        <v>1216</v>
      </c>
      <c r="AB15" s="1">
        <f t="shared" ca="1" si="19"/>
        <v>0.43332182816966686</v>
      </c>
      <c r="AC15" s="1">
        <f t="shared" ca="1" si="20"/>
        <v>119</v>
      </c>
      <c r="AD15" s="1">
        <f t="shared" ca="1" si="21"/>
        <v>9.2939332267791414E-3</v>
      </c>
      <c r="AE15" s="1"/>
      <c r="AF15" s="1">
        <f t="shared" ca="1" si="22"/>
        <v>0.60167422572739793</v>
      </c>
      <c r="AG15" s="1">
        <f t="shared" ca="1" si="23"/>
        <v>851</v>
      </c>
      <c r="AH15" s="1">
        <f t="shared" ca="1" si="24"/>
        <v>3.9188408121105271E-3</v>
      </c>
      <c r="AJ15" s="1">
        <f t="shared" ca="1" si="25"/>
        <v>0.12649633925822035</v>
      </c>
      <c r="AK15" s="1">
        <f t="shared" ca="1" si="26"/>
        <v>1.1773917641431427E-3</v>
      </c>
      <c r="AL15" s="1"/>
      <c r="AM15" s="1">
        <f t="shared" ca="1" si="27"/>
        <v>0.17187606181768444</v>
      </c>
      <c r="AN15" s="1">
        <f t="shared" ca="1" si="28"/>
        <v>15</v>
      </c>
      <c r="AO15" s="1">
        <f t="shared" ca="1" si="29"/>
        <v>18</v>
      </c>
      <c r="AQ15" s="1">
        <f t="shared" ca="1" si="30"/>
        <v>118</v>
      </c>
      <c r="AR15" s="1">
        <f t="shared" ca="1" si="31"/>
        <v>9</v>
      </c>
      <c r="AS15" s="1">
        <f t="shared" ca="1" si="32"/>
        <v>59</v>
      </c>
      <c r="AU15" s="1">
        <f t="shared" ca="1" si="33"/>
        <v>104</v>
      </c>
      <c r="AV15" s="1">
        <f t="shared" ca="1" si="34"/>
        <v>2</v>
      </c>
      <c r="AW15" s="1">
        <f t="shared" ca="1" si="35"/>
        <v>2.4843090296256358E-2</v>
      </c>
      <c r="AY15" s="1">
        <f t="shared" ca="1" si="36"/>
        <v>1.2332939959634057</v>
      </c>
      <c r="AZ15" s="1">
        <f t="shared" ca="1" si="37"/>
        <v>268</v>
      </c>
      <c r="BA15" s="1">
        <f t="shared" ca="1" si="38"/>
        <v>1.8750362410514818E-3</v>
      </c>
      <c r="BV15" s="1">
        <f t="shared" ca="1" si="39"/>
        <v>7.315642130701433E-2</v>
      </c>
      <c r="BW15" s="1">
        <f t="shared" ca="1" si="40"/>
        <v>340</v>
      </c>
      <c r="BX15" s="1">
        <f t="shared" ca="1" si="41"/>
        <v>7.4857921088809787E-4</v>
      </c>
      <c r="BY15" s="1">
        <f t="shared" ca="1" si="42"/>
        <v>4.9659129880259945E-2</v>
      </c>
      <c r="BZ15" s="1">
        <f t="shared" ca="1" si="43"/>
        <v>0.78313665775413999</v>
      </c>
      <c r="CB15" s="1">
        <f t="shared" ca="1" si="44"/>
        <v>494</v>
      </c>
      <c r="CC15" s="1">
        <f t="shared" ca="1" si="45"/>
        <v>8</v>
      </c>
      <c r="CD15" s="1">
        <f t="shared" ca="1" si="46"/>
        <v>0.10256299795993044</v>
      </c>
      <c r="CE15" s="1">
        <f t="shared" ca="1" si="47"/>
        <v>0.99662599528527007</v>
      </c>
      <c r="CF15" s="1">
        <f t="shared" ca="1" si="47"/>
        <v>0.50350818965183508</v>
      </c>
      <c r="CH15" s="3">
        <f t="shared" ca="1" si="48"/>
        <v>0.59689931556021569</v>
      </c>
      <c r="CI15" s="3">
        <f t="shared" ca="1" si="49"/>
        <v>0.1799456692095022</v>
      </c>
      <c r="CJ15" s="3">
        <f t="shared" ca="1" si="50"/>
        <v>1583</v>
      </c>
      <c r="CK15" s="3">
        <f t="shared" ca="1" si="51"/>
        <v>8.0973609041879863E-3</v>
      </c>
      <c r="CL15" s="3">
        <f t="shared" ca="1" si="52"/>
        <v>0</v>
      </c>
      <c r="CM15" s="3"/>
      <c r="CN15" s="1">
        <f t="shared" ca="1" si="53"/>
        <v>18.705818110876294</v>
      </c>
      <c r="CO15" s="1">
        <f t="shared" ca="1" si="54"/>
        <v>0.47273929433094641</v>
      </c>
      <c r="CP15" s="1">
        <f t="shared" ca="1" si="55"/>
        <v>3</v>
      </c>
    </row>
    <row r="16" spans="2:106" x14ac:dyDescent="0.25">
      <c r="B16">
        <f t="shared" ca="1" si="0"/>
        <v>211</v>
      </c>
      <c r="C16">
        <f t="shared" ca="1" si="1"/>
        <v>43</v>
      </c>
      <c r="D16">
        <f t="shared" ca="1" si="2"/>
        <v>0.24771016883754268</v>
      </c>
      <c r="F16" s="1">
        <f t="shared" ca="1" si="3"/>
        <v>47</v>
      </c>
      <c r="G16" s="1">
        <f t="shared" ca="1" si="4"/>
        <v>15</v>
      </c>
      <c r="H16" s="1">
        <f t="shared" ca="1" si="5"/>
        <v>12</v>
      </c>
      <c r="I16" s="1"/>
      <c r="J16" s="1">
        <f t="shared" ca="1" si="6"/>
        <v>24</v>
      </c>
      <c r="K16" s="1">
        <f t="shared" ca="1" si="7"/>
        <v>2.0715647158890076</v>
      </c>
      <c r="L16" s="1">
        <f t="shared" ca="1" si="8"/>
        <v>16</v>
      </c>
      <c r="M16" s="1"/>
      <c r="N16" s="1">
        <f t="shared" ca="1" si="9"/>
        <v>308</v>
      </c>
      <c r="O16" s="1">
        <f t="shared" ca="1" si="10"/>
        <v>45</v>
      </c>
      <c r="P16" s="1"/>
      <c r="Q16" s="1">
        <f t="shared" ca="1" si="11"/>
        <v>2.9987490254513367</v>
      </c>
      <c r="R16" s="1">
        <f t="shared" ca="1" si="12"/>
        <v>680</v>
      </c>
      <c r="S16" s="1"/>
      <c r="T16" s="1">
        <f t="shared" ca="1" si="13"/>
        <v>6.8195241464309123E-2</v>
      </c>
      <c r="U16" s="1">
        <f t="shared" ca="1" si="14"/>
        <v>125</v>
      </c>
      <c r="V16" s="1">
        <f t="shared" ca="1" si="15"/>
        <v>3</v>
      </c>
      <c r="W16" s="1"/>
      <c r="X16" s="1">
        <f t="shared" ca="1" si="16"/>
        <v>9.5865306038297824</v>
      </c>
      <c r="Y16" s="1">
        <f t="shared" ca="1" si="17"/>
        <v>0.11077027851717353</v>
      </c>
      <c r="Z16" s="1">
        <f t="shared" ca="1" si="18"/>
        <v>608</v>
      </c>
      <c r="AB16" s="1">
        <f t="shared" ca="1" si="19"/>
        <v>0.14410003499869978</v>
      </c>
      <c r="AC16" s="1">
        <f t="shared" ca="1" si="20"/>
        <v>381</v>
      </c>
      <c r="AD16" s="1">
        <f t="shared" ca="1" si="21"/>
        <v>3.2552812562037991E-3</v>
      </c>
      <c r="AE16" s="1"/>
      <c r="AF16" s="1">
        <f t="shared" ca="1" si="22"/>
        <v>0.64008715169879171</v>
      </c>
      <c r="AG16" s="1">
        <f t="shared" ca="1" si="23"/>
        <v>489</v>
      </c>
      <c r="AH16" s="1">
        <f t="shared" ca="1" si="24"/>
        <v>7.601465318874275E-3</v>
      </c>
      <c r="AJ16" s="1">
        <f t="shared" ca="1" si="25"/>
        <v>0.74225686498942089</v>
      </c>
      <c r="AK16" s="1">
        <f t="shared" ca="1" si="26"/>
        <v>5.4503812429904219E-3</v>
      </c>
      <c r="AL16" s="1"/>
      <c r="AM16" s="1">
        <f t="shared" ca="1" si="27"/>
        <v>0.14305879341355543</v>
      </c>
      <c r="AN16" s="1">
        <f t="shared" ca="1" si="28"/>
        <v>59</v>
      </c>
      <c r="AO16" s="1">
        <f t="shared" ca="1" si="29"/>
        <v>10</v>
      </c>
      <c r="AQ16" s="1">
        <f t="shared" ca="1" si="30"/>
        <v>28</v>
      </c>
      <c r="AR16" s="1">
        <f t="shared" ca="1" si="31"/>
        <v>2</v>
      </c>
      <c r="AS16" s="1">
        <f t="shared" ca="1" si="32"/>
        <v>23</v>
      </c>
      <c r="AU16" s="1">
        <f t="shared" ca="1" si="33"/>
        <v>363</v>
      </c>
      <c r="AV16" s="1">
        <f t="shared" ca="1" si="34"/>
        <v>9</v>
      </c>
      <c r="AW16" s="1">
        <f t="shared" ca="1" si="35"/>
        <v>0.15637970581228924</v>
      </c>
      <c r="AY16" s="1">
        <f t="shared" ca="1" si="36"/>
        <v>1.2880536704007444</v>
      </c>
      <c r="AZ16" s="1">
        <f t="shared" ca="1" si="37"/>
        <v>450</v>
      </c>
      <c r="BA16" s="1">
        <f t="shared" ca="1" si="38"/>
        <v>2.2142981922723454E-4</v>
      </c>
      <c r="BV16" s="1">
        <f t="shared" ca="1" si="39"/>
        <v>0.3849449190106215</v>
      </c>
      <c r="BW16" s="1">
        <f t="shared" ca="1" si="40"/>
        <v>692</v>
      </c>
      <c r="BX16" s="1">
        <f t="shared" ca="1" si="41"/>
        <v>7.2338406910345716E-3</v>
      </c>
      <c r="BY16" s="1">
        <f t="shared" ca="1" si="42"/>
        <v>3.1875836687828091E-2</v>
      </c>
      <c r="BZ16" s="1">
        <f t="shared" ca="1" si="43"/>
        <v>1.2521580329758364E-2</v>
      </c>
      <c r="CB16" s="1">
        <f t="shared" ca="1" si="44"/>
        <v>477</v>
      </c>
      <c r="CC16" s="1">
        <f t="shared" ca="1" si="45"/>
        <v>15</v>
      </c>
      <c r="CD16" s="1">
        <f t="shared" ca="1" si="46"/>
        <v>9.8527929298399555E-2</v>
      </c>
      <c r="CE16" s="1">
        <f t="shared" ca="1" si="47"/>
        <v>0.9015450854437953</v>
      </c>
      <c r="CF16" s="1">
        <f t="shared" ca="1" si="47"/>
        <v>0.61563455195146666</v>
      </c>
      <c r="CH16" s="3">
        <f t="shared" ca="1" si="48"/>
        <v>0.22932698231261714</v>
      </c>
      <c r="CI16" s="3">
        <f t="shared" ca="1" si="49"/>
        <v>0.39779157759488182</v>
      </c>
      <c r="CJ16" s="3">
        <f t="shared" ca="1" si="50"/>
        <v>1856</v>
      </c>
      <c r="CK16" s="3">
        <f t="shared" ca="1" si="51"/>
        <v>9.3501229682383998E-3</v>
      </c>
      <c r="CL16" s="3">
        <f t="shared" ca="1" si="52"/>
        <v>0</v>
      </c>
      <c r="CM16" s="3"/>
      <c r="CN16" s="1">
        <f t="shared" ca="1" si="53"/>
        <v>2.3799151359508763</v>
      </c>
      <c r="CO16" s="1">
        <f t="shared" ca="1" si="54"/>
        <v>0.24622002878769358</v>
      </c>
      <c r="CP16" s="1">
        <f t="shared" ca="1" si="55"/>
        <v>5</v>
      </c>
    </row>
    <row r="17" spans="2:94" x14ac:dyDescent="0.25">
      <c r="B17">
        <f t="shared" ca="1" si="0"/>
        <v>179</v>
      </c>
      <c r="C17">
        <f t="shared" ca="1" si="1"/>
        <v>10</v>
      </c>
      <c r="D17">
        <f t="shared" ca="1" si="2"/>
        <v>0.27626248053419283</v>
      </c>
      <c r="F17" s="1">
        <f t="shared" ca="1" si="3"/>
        <v>51</v>
      </c>
      <c r="G17" s="1">
        <f t="shared" ca="1" si="4"/>
        <v>10</v>
      </c>
      <c r="H17" s="1">
        <f t="shared" ca="1" si="5"/>
        <v>6</v>
      </c>
      <c r="I17" s="1"/>
      <c r="J17" s="1">
        <f t="shared" ca="1" si="6"/>
        <v>34</v>
      </c>
      <c r="K17" s="1">
        <f t="shared" ca="1" si="7"/>
        <v>1.2833499438253262</v>
      </c>
      <c r="L17" s="1">
        <f t="shared" ca="1" si="8"/>
        <v>4</v>
      </c>
      <c r="M17" s="1"/>
      <c r="N17" s="1">
        <f t="shared" ca="1" si="9"/>
        <v>815</v>
      </c>
      <c r="O17" s="1">
        <f t="shared" ca="1" si="10"/>
        <v>39</v>
      </c>
      <c r="P17" s="1"/>
      <c r="Q17" s="1">
        <f t="shared" ca="1" si="11"/>
        <v>1.3931150899537528</v>
      </c>
      <c r="R17" s="1">
        <f t="shared" ca="1" si="12"/>
        <v>356</v>
      </c>
      <c r="S17" s="1"/>
      <c r="T17" s="1">
        <f t="shared" ca="1" si="13"/>
        <v>0.10274959219540884</v>
      </c>
      <c r="U17" s="1">
        <f t="shared" ca="1" si="14"/>
        <v>243</v>
      </c>
      <c r="V17" s="1">
        <f t="shared" ca="1" si="15"/>
        <v>18</v>
      </c>
      <c r="W17" s="1"/>
      <c r="X17" s="1">
        <f t="shared" ca="1" si="16"/>
        <v>0.29165324410166676</v>
      </c>
      <c r="Y17" s="1">
        <f t="shared" ca="1" si="17"/>
        <v>0.78450028620208223</v>
      </c>
      <c r="Z17" s="1">
        <f t="shared" ca="1" si="18"/>
        <v>491</v>
      </c>
      <c r="AB17" s="1">
        <f t="shared" ca="1" si="19"/>
        <v>0.14086046712554992</v>
      </c>
      <c r="AC17" s="1">
        <f t="shared" ca="1" si="20"/>
        <v>543</v>
      </c>
      <c r="AD17" s="1">
        <f t="shared" ca="1" si="21"/>
        <v>9.8645090226871929E-3</v>
      </c>
      <c r="AE17" s="1"/>
      <c r="AF17" s="1">
        <f t="shared" ca="1" si="22"/>
        <v>0.82482457837545642</v>
      </c>
      <c r="AG17" s="1">
        <f t="shared" ca="1" si="23"/>
        <v>614</v>
      </c>
      <c r="AH17" s="1">
        <f t="shared" ca="1" si="24"/>
        <v>9.0158495169789486E-3</v>
      </c>
      <c r="AJ17" s="1">
        <f t="shared" ca="1" si="25"/>
        <v>0.7648300488138251</v>
      </c>
      <c r="AK17" s="1">
        <f t="shared" ca="1" si="26"/>
        <v>4.4017416813083186E-3</v>
      </c>
      <c r="AL17" s="1"/>
      <c r="AM17" s="1">
        <f t="shared" ca="1" si="27"/>
        <v>0.18317120905382356</v>
      </c>
      <c r="AN17" s="1">
        <f t="shared" ca="1" si="28"/>
        <v>59</v>
      </c>
      <c r="AO17" s="1">
        <f t="shared" ca="1" si="29"/>
        <v>1</v>
      </c>
      <c r="AQ17" s="1">
        <f t="shared" ca="1" si="30"/>
        <v>120</v>
      </c>
      <c r="AR17" s="1">
        <f t="shared" ca="1" si="31"/>
        <v>7</v>
      </c>
      <c r="AS17" s="1">
        <f t="shared" ca="1" si="32"/>
        <v>24</v>
      </c>
      <c r="AU17" s="1">
        <f t="shared" ca="1" si="33"/>
        <v>313</v>
      </c>
      <c r="AV17" s="1">
        <f t="shared" ca="1" si="34"/>
        <v>9</v>
      </c>
      <c r="AW17" s="1">
        <f t="shared" ca="1" si="35"/>
        <v>5.8526839444022316E-2</v>
      </c>
      <c r="AY17" s="1">
        <f t="shared" ca="1" si="36"/>
        <v>1.298389252651776</v>
      </c>
      <c r="AZ17" s="1">
        <f t="shared" ca="1" si="37"/>
        <v>210</v>
      </c>
      <c r="BA17" s="1">
        <f t="shared" ca="1" si="38"/>
        <v>8.7658459398702905E-3</v>
      </c>
      <c r="BV17" s="1">
        <f t="shared" ca="1" si="39"/>
        <v>0.76229880203681211</v>
      </c>
      <c r="BW17" s="1">
        <f t="shared" ca="1" si="40"/>
        <v>679</v>
      </c>
      <c r="BX17" s="1">
        <f t="shared" ca="1" si="41"/>
        <v>1.2852464813940016E-3</v>
      </c>
      <c r="BY17" s="1">
        <f t="shared" ca="1" si="42"/>
        <v>8.1439329007031366E-2</v>
      </c>
      <c r="BZ17" s="1">
        <f t="shared" ca="1" si="43"/>
        <v>0.11261074227035139</v>
      </c>
      <c r="CB17" s="1">
        <f t="shared" ca="1" si="44"/>
        <v>334</v>
      </c>
      <c r="CC17" s="1">
        <f t="shared" ca="1" si="45"/>
        <v>13</v>
      </c>
      <c r="CD17" s="1">
        <f t="shared" ca="1" si="46"/>
        <v>1.788601654848011E-2</v>
      </c>
      <c r="CE17" s="1">
        <f t="shared" ca="1" si="47"/>
        <v>0.67003872853141622</v>
      </c>
      <c r="CF17" s="1">
        <f t="shared" ca="1" si="47"/>
        <v>0.79687533434594626</v>
      </c>
      <c r="CH17" s="3">
        <f t="shared" ca="1" si="48"/>
        <v>0.70822983322552013</v>
      </c>
      <c r="CI17" s="3">
        <f t="shared" ca="1" si="49"/>
        <v>0.35200352298635057</v>
      </c>
      <c r="CJ17" s="3">
        <f t="shared" ca="1" si="50"/>
        <v>589</v>
      </c>
      <c r="CK17" s="3">
        <f t="shared" ca="1" si="51"/>
        <v>8.162883984543982E-3</v>
      </c>
      <c r="CL17" s="3">
        <f t="shared" ca="1" si="52"/>
        <v>1</v>
      </c>
      <c r="CM17" s="3"/>
      <c r="CN17" s="1">
        <f t="shared" ca="1" si="53"/>
        <v>2.8752351773721081</v>
      </c>
      <c r="CO17" s="1">
        <f t="shared" ca="1" si="54"/>
        <v>0.42060852596458681</v>
      </c>
      <c r="CP17" s="1">
        <f t="shared" ca="1" si="55"/>
        <v>2</v>
      </c>
    </row>
    <row r="18" spans="2:94" x14ac:dyDescent="0.25">
      <c r="B18">
        <f t="shared" ca="1" si="0"/>
        <v>158</v>
      </c>
      <c r="C18">
        <f t="shared" ca="1" si="1"/>
        <v>34</v>
      </c>
      <c r="D18">
        <f t="shared" ca="1" si="2"/>
        <v>4.4696081647443146E-2</v>
      </c>
      <c r="F18" s="1">
        <f t="shared" ca="1" si="3"/>
        <v>31</v>
      </c>
      <c r="G18" s="1">
        <f t="shared" ca="1" si="4"/>
        <v>21</v>
      </c>
      <c r="H18" s="1">
        <f t="shared" ca="1" si="5"/>
        <v>15</v>
      </c>
      <c r="I18" s="1"/>
      <c r="J18" s="1">
        <f t="shared" ca="1" si="6"/>
        <v>28</v>
      </c>
      <c r="K18" s="1">
        <f t="shared" ca="1" si="7"/>
        <v>1.821156657813112</v>
      </c>
      <c r="L18" s="1">
        <f t="shared" ca="1" si="8"/>
        <v>23</v>
      </c>
      <c r="M18" s="1"/>
      <c r="N18" s="1">
        <f t="shared" ca="1" si="9"/>
        <v>617</v>
      </c>
      <c r="O18" s="1">
        <f t="shared" ca="1" si="10"/>
        <v>48</v>
      </c>
      <c r="P18" s="1"/>
      <c r="Q18" s="1">
        <f t="shared" ca="1" si="11"/>
        <v>0.91509306463311013</v>
      </c>
      <c r="R18" s="1">
        <f t="shared" ca="1" si="12"/>
        <v>238</v>
      </c>
      <c r="S18" s="1"/>
      <c r="T18" s="1">
        <f t="shared" ca="1" si="13"/>
        <v>0.1251659443693901</v>
      </c>
      <c r="U18" s="1">
        <f t="shared" ca="1" si="14"/>
        <v>101</v>
      </c>
      <c r="V18" s="1">
        <f t="shared" ca="1" si="15"/>
        <v>32</v>
      </c>
      <c r="W18" s="1"/>
      <c r="X18" s="1">
        <f t="shared" ca="1" si="16"/>
        <v>3.9479288879405248</v>
      </c>
      <c r="Y18" s="1">
        <f t="shared" ca="1" si="17"/>
        <v>4.9745532450809003E-2</v>
      </c>
      <c r="Z18" s="1">
        <f t="shared" ca="1" si="18"/>
        <v>1312</v>
      </c>
      <c r="AB18" s="1">
        <f t="shared" ca="1" si="19"/>
        <v>0.57756672660968944</v>
      </c>
      <c r="AC18" s="1">
        <f t="shared" ca="1" si="20"/>
        <v>105</v>
      </c>
      <c r="AD18" s="1">
        <f t="shared" ca="1" si="21"/>
        <v>4.2092432771552871E-3</v>
      </c>
      <c r="AE18" s="1"/>
      <c r="AF18" s="1">
        <f t="shared" ca="1" si="22"/>
        <v>0.76269744629666414</v>
      </c>
      <c r="AG18" s="1">
        <f t="shared" ca="1" si="23"/>
        <v>271</v>
      </c>
      <c r="AH18" s="1">
        <f t="shared" ca="1" si="24"/>
        <v>5.1380136954990016E-3</v>
      </c>
      <c r="AJ18" s="1">
        <f t="shared" ca="1" si="25"/>
        <v>0.75641901356815966</v>
      </c>
      <c r="AK18" s="1">
        <f t="shared" ca="1" si="26"/>
        <v>7.0794101288236691E-3</v>
      </c>
      <c r="AL18" s="1"/>
      <c r="AM18" s="1">
        <f t="shared" ca="1" si="27"/>
        <v>0.15161783438320697</v>
      </c>
      <c r="AN18" s="1">
        <f t="shared" ca="1" si="28"/>
        <v>44</v>
      </c>
      <c r="AO18" s="1">
        <f t="shared" ca="1" si="29"/>
        <v>9</v>
      </c>
      <c r="AQ18" s="1">
        <f t="shared" ca="1" si="30"/>
        <v>198</v>
      </c>
      <c r="AR18" s="1">
        <f t="shared" ca="1" si="31"/>
        <v>3</v>
      </c>
      <c r="AS18" s="1">
        <f t="shared" ca="1" si="32"/>
        <v>65</v>
      </c>
      <c r="AU18" s="1">
        <f t="shared" ca="1" si="33"/>
        <v>87</v>
      </c>
      <c r="AV18" s="1">
        <f t="shared" ca="1" si="34"/>
        <v>3</v>
      </c>
      <c r="AW18" s="1">
        <f t="shared" ca="1" si="35"/>
        <v>0.12833182958734571</v>
      </c>
      <c r="AY18" s="1">
        <f t="shared" ca="1" si="36"/>
        <v>1.6570878380249061</v>
      </c>
      <c r="AZ18" s="1">
        <f t="shared" ca="1" si="37"/>
        <v>382</v>
      </c>
      <c r="BA18" s="1">
        <f t="shared" ca="1" si="38"/>
        <v>2.1729829623926894E-3</v>
      </c>
      <c r="BV18" s="1">
        <f t="shared" ca="1" si="39"/>
        <v>0.88089528291617902</v>
      </c>
      <c r="BW18" s="1">
        <f t="shared" ca="1" si="40"/>
        <v>155</v>
      </c>
      <c r="BX18" s="1">
        <f t="shared" ca="1" si="41"/>
        <v>5.8726655139993561E-4</v>
      </c>
      <c r="BY18" s="1">
        <f t="shared" ca="1" si="42"/>
        <v>6.8809625018059151E-2</v>
      </c>
      <c r="BZ18" s="1">
        <f t="shared" ca="1" si="43"/>
        <v>0.33293548674326867</v>
      </c>
      <c r="CB18" s="1">
        <f t="shared" ca="1" si="44"/>
        <v>276</v>
      </c>
      <c r="CC18" s="1">
        <f t="shared" ca="1" si="45"/>
        <v>15</v>
      </c>
      <c r="CD18" s="1">
        <f t="shared" ca="1" si="46"/>
        <v>0.16182652960363003</v>
      </c>
      <c r="CE18" s="1">
        <f t="shared" ca="1" si="47"/>
        <v>0.68336802698836729</v>
      </c>
      <c r="CF18" s="1">
        <f t="shared" ca="1" si="47"/>
        <v>0.99166168599637472</v>
      </c>
      <c r="CH18" s="3">
        <f t="shared" ca="1" si="48"/>
        <v>0.39614670519697298</v>
      </c>
      <c r="CI18" s="3">
        <f t="shared" ca="1" si="49"/>
        <v>0.33309400682028217</v>
      </c>
      <c r="CJ18" s="3">
        <f t="shared" ca="1" si="50"/>
        <v>1104</v>
      </c>
      <c r="CK18" s="3">
        <f t="shared" ca="1" si="51"/>
        <v>1.4710360432756277E-3</v>
      </c>
      <c r="CL18" s="3">
        <f t="shared" ca="1" si="52"/>
        <v>1</v>
      </c>
      <c r="CM18" s="3"/>
      <c r="CN18" s="1">
        <f t="shared" ca="1" si="53"/>
        <v>16.43004229223067</v>
      </c>
      <c r="CO18" s="1">
        <f t="shared" ca="1" si="54"/>
        <v>0.36806856183901371</v>
      </c>
      <c r="CP18" s="1">
        <f t="shared" ca="1" si="55"/>
        <v>3</v>
      </c>
    </row>
    <row r="19" spans="2:94" x14ac:dyDescent="0.25">
      <c r="B19">
        <f t="shared" ca="1" si="0"/>
        <v>871</v>
      </c>
      <c r="C19">
        <f t="shared" ca="1" si="1"/>
        <v>15</v>
      </c>
      <c r="D19">
        <f t="shared" ca="1" si="2"/>
        <v>0.1999042983279147</v>
      </c>
      <c r="F19" s="1">
        <f t="shared" ca="1" si="3"/>
        <v>34</v>
      </c>
      <c r="G19" s="1">
        <f t="shared" ca="1" si="4"/>
        <v>25</v>
      </c>
      <c r="H19" s="1">
        <f t="shared" ca="1" si="5"/>
        <v>11</v>
      </c>
      <c r="I19" s="1"/>
      <c r="J19" s="1">
        <f t="shared" ca="1" si="6"/>
        <v>3</v>
      </c>
      <c r="K19" s="1">
        <f t="shared" ca="1" si="7"/>
        <v>1.0045044673355259</v>
      </c>
      <c r="L19" s="1">
        <f t="shared" ca="1" si="8"/>
        <v>8</v>
      </c>
      <c r="M19" s="1"/>
      <c r="N19" s="1">
        <f t="shared" ca="1" si="9"/>
        <v>639</v>
      </c>
      <c r="O19" s="1">
        <f t="shared" ca="1" si="10"/>
        <v>42</v>
      </c>
      <c r="P19" s="1"/>
      <c r="Q19" s="1">
        <f t="shared" ca="1" si="11"/>
        <v>3.5146910696387179</v>
      </c>
      <c r="R19" s="1">
        <f t="shared" ca="1" si="12"/>
        <v>351</v>
      </c>
      <c r="S19" s="1"/>
      <c r="T19" s="1">
        <f t="shared" ca="1" si="13"/>
        <v>7.5821527523400475E-2</v>
      </c>
      <c r="U19" s="1">
        <f t="shared" ca="1" si="14"/>
        <v>210</v>
      </c>
      <c r="V19" s="1">
        <f t="shared" ca="1" si="15"/>
        <v>22</v>
      </c>
      <c r="W19" s="1"/>
      <c r="X19" s="1">
        <f t="shared" ca="1" si="16"/>
        <v>4.9817636195305051</v>
      </c>
      <c r="Y19" s="1">
        <f t="shared" ca="1" si="17"/>
        <v>0.71251253691471761</v>
      </c>
      <c r="Z19" s="1">
        <f t="shared" ca="1" si="18"/>
        <v>1486</v>
      </c>
      <c r="AB19" s="1">
        <f t="shared" ca="1" si="19"/>
        <v>1.0970508322714238E-2</v>
      </c>
      <c r="AC19" s="1">
        <f t="shared" ca="1" si="20"/>
        <v>144</v>
      </c>
      <c r="AD19" s="1">
        <f t="shared" ca="1" si="21"/>
        <v>1.5532656266950791E-3</v>
      </c>
      <c r="AE19" s="1"/>
      <c r="AF19" s="1">
        <f t="shared" ca="1" si="22"/>
        <v>0.60019930624186602</v>
      </c>
      <c r="AG19" s="1">
        <f t="shared" ca="1" si="23"/>
        <v>509</v>
      </c>
      <c r="AH19" s="1">
        <f t="shared" ca="1" si="24"/>
        <v>3.9366258528807721E-3</v>
      </c>
      <c r="AJ19" s="1">
        <f t="shared" ca="1" si="25"/>
        <v>0.72692647793878606</v>
      </c>
      <c r="AK19" s="1">
        <f t="shared" ca="1" si="26"/>
        <v>1.5607608040308077E-3</v>
      </c>
      <c r="AL19" s="1"/>
      <c r="AM19" s="1">
        <f t="shared" ca="1" si="27"/>
        <v>4.7193760800660733E-2</v>
      </c>
      <c r="AN19" s="1">
        <f t="shared" ca="1" si="28"/>
        <v>48</v>
      </c>
      <c r="AO19" s="1">
        <f t="shared" ca="1" si="29"/>
        <v>3</v>
      </c>
      <c r="AQ19" s="1">
        <f t="shared" ca="1" si="30"/>
        <v>81</v>
      </c>
      <c r="AR19" s="1">
        <f t="shared" ca="1" si="31"/>
        <v>10</v>
      </c>
      <c r="AS19" s="1">
        <f t="shared" ca="1" si="32"/>
        <v>57</v>
      </c>
      <c r="AU19" s="1">
        <f t="shared" ca="1" si="33"/>
        <v>239</v>
      </c>
      <c r="AV19" s="1">
        <f t="shared" ca="1" si="34"/>
        <v>10</v>
      </c>
      <c r="AW19" s="1">
        <f t="shared" ca="1" si="35"/>
        <v>0.17785674000457652</v>
      </c>
      <c r="AY19" s="1">
        <f t="shared" ca="1" si="36"/>
        <v>1.3214018002032302</v>
      </c>
      <c r="AZ19" s="1">
        <f t="shared" ca="1" si="37"/>
        <v>239</v>
      </c>
      <c r="BA19" s="1">
        <f t="shared" ca="1" si="38"/>
        <v>9.8762033827547151E-3</v>
      </c>
      <c r="BV19" s="1">
        <f t="shared" ca="1" si="39"/>
        <v>7.5642164959349611E-2</v>
      </c>
      <c r="BW19" s="1">
        <f t="shared" ca="1" si="40"/>
        <v>960</v>
      </c>
      <c r="BX19" s="1">
        <f t="shared" ca="1" si="41"/>
        <v>2.3507908913609427E-3</v>
      </c>
      <c r="BY19" s="1">
        <f t="shared" ca="1" si="42"/>
        <v>3.9550304084484095E-2</v>
      </c>
      <c r="BZ19" s="1">
        <f t="shared" ca="1" si="43"/>
        <v>0.22314547553696584</v>
      </c>
      <c r="CB19" s="1">
        <f t="shared" ca="1" si="44"/>
        <v>452</v>
      </c>
      <c r="CC19" s="1">
        <f t="shared" ca="1" si="45"/>
        <v>9</v>
      </c>
      <c r="CD19" s="1">
        <f t="shared" ca="1" si="46"/>
        <v>0.16865763136727993</v>
      </c>
      <c r="CE19" s="1">
        <f t="shared" ca="1" si="47"/>
        <v>0.81096649959302947</v>
      </c>
      <c r="CF19" s="1">
        <f t="shared" ca="1" si="47"/>
        <v>0.55937557472610255</v>
      </c>
      <c r="CH19" s="3">
        <f t="shared" ca="1" si="48"/>
        <v>0.4754133775372017</v>
      </c>
      <c r="CI19" s="3">
        <f t="shared" ca="1" si="49"/>
        <v>0.94677526694213077</v>
      </c>
      <c r="CJ19" s="3">
        <f t="shared" ca="1" si="50"/>
        <v>1881</v>
      </c>
      <c r="CK19" s="3">
        <f t="shared" ca="1" si="51"/>
        <v>5.2148018542918654E-3</v>
      </c>
      <c r="CL19" s="3">
        <f t="shared" ca="1" si="52"/>
        <v>1</v>
      </c>
      <c r="CM19" s="3"/>
      <c r="CN19" s="1">
        <f t="shared" ca="1" si="53"/>
        <v>18.177784888083163</v>
      </c>
      <c r="CO19" s="1">
        <f t="shared" ca="1" si="54"/>
        <v>0.21106249551211748</v>
      </c>
      <c r="CP19" s="1">
        <f t="shared" ca="1" si="55"/>
        <v>2</v>
      </c>
    </row>
    <row r="20" spans="2:94" x14ac:dyDescent="0.25">
      <c r="B20">
        <f t="shared" ca="1" si="0"/>
        <v>841</v>
      </c>
      <c r="C20">
        <f t="shared" ca="1" si="1"/>
        <v>30</v>
      </c>
      <c r="D20">
        <f t="shared" ca="1" si="2"/>
        <v>9.4721772220083489E-2</v>
      </c>
      <c r="F20" s="1">
        <f t="shared" ca="1" si="3"/>
        <v>16</v>
      </c>
      <c r="G20" s="1">
        <f t="shared" ca="1" si="4"/>
        <v>6</v>
      </c>
      <c r="H20" s="1">
        <f t="shared" ca="1" si="5"/>
        <v>6</v>
      </c>
      <c r="I20" s="1"/>
      <c r="J20" s="1">
        <f t="shared" ca="1" si="6"/>
        <v>14</v>
      </c>
      <c r="K20" s="1">
        <f t="shared" ca="1" si="7"/>
        <v>1.5374266128765577</v>
      </c>
      <c r="L20" s="1">
        <f t="shared" ca="1" si="8"/>
        <v>23</v>
      </c>
      <c r="M20" s="1"/>
      <c r="N20" s="1">
        <f t="shared" ca="1" si="9"/>
        <v>806</v>
      </c>
      <c r="O20" s="1">
        <f t="shared" ca="1" si="10"/>
        <v>22</v>
      </c>
      <c r="P20" s="1"/>
      <c r="Q20" s="1">
        <f t="shared" ca="1" si="11"/>
        <v>3.5272087604237976</v>
      </c>
      <c r="R20" s="1">
        <f t="shared" ca="1" si="12"/>
        <v>995</v>
      </c>
      <c r="S20" s="1"/>
      <c r="T20" s="1">
        <f t="shared" ca="1" si="13"/>
        <v>4.6354889916445055E-2</v>
      </c>
      <c r="U20" s="1">
        <f t="shared" ca="1" si="14"/>
        <v>405</v>
      </c>
      <c r="V20" s="1">
        <f t="shared" ca="1" si="15"/>
        <v>25</v>
      </c>
      <c r="W20" s="1"/>
      <c r="X20" s="1">
        <f t="shared" ca="1" si="16"/>
        <v>1.7320144294222868</v>
      </c>
      <c r="Y20" s="1">
        <f t="shared" ca="1" si="17"/>
        <v>0.47402170687186723</v>
      </c>
      <c r="Z20" s="1">
        <f t="shared" ca="1" si="18"/>
        <v>1125</v>
      </c>
      <c r="AB20" s="1">
        <f t="shared" ca="1" si="19"/>
        <v>0.26449727710962101</v>
      </c>
      <c r="AC20" s="1">
        <f t="shared" ca="1" si="20"/>
        <v>875</v>
      </c>
      <c r="AD20" s="1">
        <f t="shared" ca="1" si="21"/>
        <v>2.406509264248977E-5</v>
      </c>
      <c r="AE20" s="1"/>
      <c r="AF20" s="1">
        <f t="shared" ca="1" si="22"/>
        <v>0.54137254889274067</v>
      </c>
      <c r="AG20" s="1">
        <f t="shared" ca="1" si="23"/>
        <v>100</v>
      </c>
      <c r="AH20" s="1">
        <f t="shared" ca="1" si="24"/>
        <v>4.3419326507924553E-3</v>
      </c>
      <c r="AJ20" s="1">
        <f t="shared" ca="1" si="25"/>
        <v>0.93626400300715351</v>
      </c>
      <c r="AK20" s="1">
        <f t="shared" ca="1" si="26"/>
        <v>4.2005768937983757E-3</v>
      </c>
      <c r="AL20" s="1"/>
      <c r="AM20" s="1">
        <f t="shared" ca="1" si="27"/>
        <v>0.14377219349508519</v>
      </c>
      <c r="AN20" s="1">
        <f t="shared" ca="1" si="28"/>
        <v>56</v>
      </c>
      <c r="AO20" s="1">
        <f t="shared" ca="1" si="29"/>
        <v>8</v>
      </c>
      <c r="AQ20" s="1">
        <f t="shared" ca="1" si="30"/>
        <v>25</v>
      </c>
      <c r="AR20" s="1">
        <f t="shared" ca="1" si="31"/>
        <v>8</v>
      </c>
      <c r="AS20" s="1">
        <f t="shared" ca="1" si="32"/>
        <v>93</v>
      </c>
      <c r="AU20" s="1">
        <f t="shared" ca="1" si="33"/>
        <v>55</v>
      </c>
      <c r="AV20" s="1">
        <f t="shared" ca="1" si="34"/>
        <v>6</v>
      </c>
      <c r="AW20" s="1">
        <f t="shared" ca="1" si="35"/>
        <v>4.2506105052721323E-2</v>
      </c>
      <c r="AY20" s="1">
        <f t="shared" ca="1" si="36"/>
        <v>1.2017756392118377</v>
      </c>
      <c r="AZ20" s="1">
        <f t="shared" ca="1" si="37"/>
        <v>59</v>
      </c>
      <c r="BA20" s="1">
        <f t="shared" ca="1" si="38"/>
        <v>6.6721215984797654E-3</v>
      </c>
      <c r="BV20" s="1">
        <f t="shared" ca="1" si="39"/>
        <v>0.23233657219439441</v>
      </c>
      <c r="BW20" s="1">
        <f t="shared" ca="1" si="40"/>
        <v>914</v>
      </c>
      <c r="BX20" s="1">
        <f t="shared" ca="1" si="41"/>
        <v>4.8621022999266262E-3</v>
      </c>
      <c r="BY20" s="1">
        <f t="shared" ca="1" si="42"/>
        <v>1.3794274189368483E-2</v>
      </c>
      <c r="BZ20" s="1">
        <f t="shared" ca="1" si="43"/>
        <v>0.61252792699811454</v>
      </c>
      <c r="CB20" s="1">
        <f t="shared" ca="1" si="44"/>
        <v>485</v>
      </c>
      <c r="CC20" s="1">
        <f t="shared" ca="1" si="45"/>
        <v>12</v>
      </c>
      <c r="CD20" s="1">
        <f t="shared" ca="1" si="46"/>
        <v>0.21546353036375007</v>
      </c>
      <c r="CE20" s="1">
        <f t="shared" ca="1" si="47"/>
        <v>0.78605775866171612</v>
      </c>
      <c r="CF20" s="1">
        <f t="shared" ca="1" si="47"/>
        <v>0.65834900713652944</v>
      </c>
      <c r="CH20" s="3">
        <f t="shared" ca="1" si="48"/>
        <v>0.42353330158422747</v>
      </c>
      <c r="CI20" s="3">
        <f t="shared" ca="1" si="49"/>
        <v>0.72133689271437818</v>
      </c>
      <c r="CJ20" s="3">
        <f t="shared" ca="1" si="50"/>
        <v>518</v>
      </c>
      <c r="CK20" s="3">
        <f t="shared" ca="1" si="51"/>
        <v>4.8483888812993845E-3</v>
      </c>
      <c r="CL20" s="3">
        <f t="shared" ca="1" si="52"/>
        <v>1</v>
      </c>
      <c r="CM20" s="3"/>
      <c r="CN20" s="1">
        <f t="shared" ca="1" si="53"/>
        <v>12.402740602631152</v>
      </c>
      <c r="CO20" s="1">
        <f t="shared" ca="1" si="54"/>
        <v>0.36155196191776628</v>
      </c>
      <c r="CP20" s="1">
        <f t="shared" ca="1" si="55"/>
        <v>5</v>
      </c>
    </row>
    <row r="21" spans="2:94" x14ac:dyDescent="0.25">
      <c r="B21">
        <f t="shared" ca="1" si="0"/>
        <v>581</v>
      </c>
      <c r="C21">
        <f t="shared" ca="1" si="1"/>
        <v>45</v>
      </c>
      <c r="D21">
        <f t="shared" ca="1" si="2"/>
        <v>0.29993267032406268</v>
      </c>
      <c r="F21" s="1">
        <f t="shared" ca="1" si="3"/>
        <v>13</v>
      </c>
      <c r="G21" s="1">
        <f t="shared" ca="1" si="4"/>
        <v>18</v>
      </c>
      <c r="H21" s="1">
        <f t="shared" ca="1" si="5"/>
        <v>3</v>
      </c>
      <c r="I21" s="1"/>
      <c r="J21" s="1">
        <f t="shared" ca="1" si="6"/>
        <v>16</v>
      </c>
      <c r="K21" s="1">
        <f t="shared" ca="1" si="7"/>
        <v>2.9383453150371803</v>
      </c>
      <c r="L21" s="1">
        <f t="shared" ca="1" si="8"/>
        <v>21</v>
      </c>
      <c r="M21" s="1"/>
      <c r="N21" s="1">
        <f t="shared" ca="1" si="9"/>
        <v>598</v>
      </c>
      <c r="O21" s="1">
        <f t="shared" ca="1" si="10"/>
        <v>7</v>
      </c>
      <c r="P21" s="1"/>
      <c r="Q21" s="1">
        <f t="shared" ca="1" si="11"/>
        <v>0.71771121625353673</v>
      </c>
      <c r="R21" s="1">
        <f t="shared" ca="1" si="12"/>
        <v>1070</v>
      </c>
      <c r="S21" s="1"/>
      <c r="T21" s="1">
        <f t="shared" ca="1" si="13"/>
        <v>8.7607231175883704E-2</v>
      </c>
      <c r="U21" s="1">
        <f t="shared" ca="1" si="14"/>
        <v>403</v>
      </c>
      <c r="V21" s="1">
        <f t="shared" ca="1" si="15"/>
        <v>23</v>
      </c>
      <c r="W21" s="1"/>
      <c r="X21" s="1">
        <f t="shared" ca="1" si="16"/>
        <v>4.3688350029507257</v>
      </c>
      <c r="Y21" s="1">
        <f t="shared" ca="1" si="17"/>
        <v>8.6864332419502657E-3</v>
      </c>
      <c r="Z21" s="1">
        <f t="shared" ca="1" si="18"/>
        <v>1595</v>
      </c>
      <c r="AB21" s="1">
        <f t="shared" ca="1" si="19"/>
        <v>0.514599476253361</v>
      </c>
      <c r="AC21" s="1">
        <f t="shared" ca="1" si="20"/>
        <v>163</v>
      </c>
      <c r="AD21" s="1">
        <f t="shared" ca="1" si="21"/>
        <v>6.4606685170995265E-3</v>
      </c>
      <c r="AE21" s="1"/>
      <c r="AF21" s="1">
        <f t="shared" ca="1" si="22"/>
        <v>0.49678531349418542</v>
      </c>
      <c r="AG21" s="1">
        <f t="shared" ca="1" si="23"/>
        <v>540</v>
      </c>
      <c r="AH21" s="1">
        <f t="shared" ca="1" si="24"/>
        <v>9.1367499296947981E-3</v>
      </c>
      <c r="AJ21" s="1">
        <f t="shared" ca="1" si="25"/>
        <v>0.62890948416840531</v>
      </c>
      <c r="AK21" s="1">
        <f t="shared" ca="1" si="26"/>
        <v>7.9965326222920709E-3</v>
      </c>
      <c r="AL21" s="1"/>
      <c r="AM21" s="1">
        <f t="shared" ca="1" si="27"/>
        <v>7.2739678136614E-2</v>
      </c>
      <c r="AN21" s="1">
        <f t="shared" ca="1" si="28"/>
        <v>48</v>
      </c>
      <c r="AO21" s="1">
        <f t="shared" ca="1" si="29"/>
        <v>-1</v>
      </c>
      <c r="AQ21" s="1">
        <f t="shared" ca="1" si="30"/>
        <v>199</v>
      </c>
      <c r="AR21" s="1">
        <f t="shared" ca="1" si="31"/>
        <v>10</v>
      </c>
      <c r="AS21" s="1">
        <f t="shared" ca="1" si="32"/>
        <v>82</v>
      </c>
      <c r="AU21" s="1">
        <f t="shared" ca="1" si="33"/>
        <v>153</v>
      </c>
      <c r="AV21" s="1">
        <f t="shared" ca="1" si="34"/>
        <v>7</v>
      </c>
      <c r="AW21" s="1">
        <f t="shared" ca="1" si="35"/>
        <v>9.1333082722275458E-2</v>
      </c>
      <c r="AY21" s="1">
        <f t="shared" ca="1" si="36"/>
        <v>1.7452962288056915</v>
      </c>
      <c r="AZ21" s="1">
        <f t="shared" ca="1" si="37"/>
        <v>478</v>
      </c>
      <c r="BA21" s="1">
        <f t="shared" ca="1" si="38"/>
        <v>7.2438815873012586E-3</v>
      </c>
      <c r="BV21" s="1">
        <f t="shared" ca="1" si="39"/>
        <v>3.734697939730159E-2</v>
      </c>
      <c r="BW21" s="1">
        <f t="shared" ca="1" si="40"/>
        <v>433</v>
      </c>
      <c r="BX21" s="1">
        <f t="shared" ca="1" si="41"/>
        <v>3.4874025644414347E-3</v>
      </c>
      <c r="BY21" s="1">
        <f t="shared" ca="1" si="42"/>
        <v>9.1325165737241989E-2</v>
      </c>
      <c r="BZ21" s="1">
        <f t="shared" ca="1" si="43"/>
        <v>0.22833466994397733</v>
      </c>
      <c r="CB21" s="1">
        <f t="shared" ca="1" si="44"/>
        <v>72</v>
      </c>
      <c r="CC21" s="1">
        <f t="shared" ca="1" si="45"/>
        <v>8</v>
      </c>
      <c r="CD21" s="1">
        <f t="shared" ca="1" si="46"/>
        <v>5.455660120793919E-2</v>
      </c>
      <c r="CE21" s="1">
        <f t="shared" ca="1" si="47"/>
        <v>0.88801043661529344</v>
      </c>
      <c r="CF21" s="1">
        <f t="shared" ca="1" si="47"/>
        <v>0.6722480013694927</v>
      </c>
      <c r="CH21" s="3">
        <f t="shared" ca="1" si="48"/>
        <v>0.40747159223485468</v>
      </c>
      <c r="CI21" s="3">
        <f t="shared" ca="1" si="49"/>
        <v>0.31141830480267896</v>
      </c>
      <c r="CJ21" s="3">
        <f t="shared" ca="1" si="50"/>
        <v>1352</v>
      </c>
      <c r="CK21" s="3">
        <f t="shared" ca="1" si="51"/>
        <v>4.6486156831820986E-3</v>
      </c>
      <c r="CL21" s="3">
        <f t="shared" ca="1" si="52"/>
        <v>1</v>
      </c>
      <c r="CM21" s="3"/>
      <c r="CN21" s="1">
        <f t="shared" ca="1" si="53"/>
        <v>5.2679395830433169</v>
      </c>
      <c r="CO21" s="1">
        <f t="shared" ca="1" si="54"/>
        <v>0.28617744944083862</v>
      </c>
      <c r="CP21" s="1">
        <f t="shared" ca="1" si="55"/>
        <v>3</v>
      </c>
    </row>
    <row r="22" spans="2:94" x14ac:dyDescent="0.25">
      <c r="B22">
        <f t="shared" ca="1" si="0"/>
        <v>213</v>
      </c>
      <c r="C22">
        <f t="shared" ca="1" si="1"/>
        <v>2</v>
      </c>
      <c r="D22">
        <f t="shared" ca="1" si="2"/>
        <v>0.28903365249819157</v>
      </c>
      <c r="F22" s="1">
        <f t="shared" ca="1" si="3"/>
        <v>4</v>
      </c>
      <c r="G22" s="1">
        <f t="shared" ca="1" si="4"/>
        <v>8</v>
      </c>
      <c r="H22" s="1">
        <f t="shared" ca="1" si="5"/>
        <v>5</v>
      </c>
      <c r="I22" s="1"/>
      <c r="J22" s="1">
        <f t="shared" ca="1" si="6"/>
        <v>9</v>
      </c>
      <c r="K22" s="1">
        <f t="shared" ca="1" si="7"/>
        <v>2.1785076430479946</v>
      </c>
      <c r="L22" s="1">
        <f t="shared" ca="1" si="8"/>
        <v>9</v>
      </c>
      <c r="M22" s="1"/>
      <c r="N22" s="1">
        <f t="shared" ca="1" si="9"/>
        <v>147</v>
      </c>
      <c r="O22" s="1">
        <f t="shared" ca="1" si="10"/>
        <v>45</v>
      </c>
      <c r="P22" s="1"/>
      <c r="Q22" s="1">
        <f t="shared" ca="1" si="11"/>
        <v>0.11150737127681706</v>
      </c>
      <c r="R22" s="1">
        <f t="shared" ca="1" si="12"/>
        <v>614</v>
      </c>
      <c r="S22" s="1"/>
      <c r="T22" s="1">
        <f t="shared" ca="1" si="13"/>
        <v>9.9943579253916684E-2</v>
      </c>
      <c r="U22" s="1">
        <f t="shared" ca="1" si="14"/>
        <v>438</v>
      </c>
      <c r="V22" s="1">
        <f t="shared" ca="1" si="15"/>
        <v>48</v>
      </c>
      <c r="W22" s="1"/>
      <c r="X22" s="1">
        <f t="shared" ca="1" si="16"/>
        <v>8.2786124145553579</v>
      </c>
      <c r="Y22" s="1">
        <f t="shared" ca="1" si="17"/>
        <v>0.81071255701660905</v>
      </c>
      <c r="Z22" s="1">
        <f t="shared" ca="1" si="18"/>
        <v>380</v>
      </c>
      <c r="AB22" s="1">
        <f t="shared" ca="1" si="19"/>
        <v>7.2882214760951816E-2</v>
      </c>
      <c r="AC22" s="1">
        <f t="shared" ca="1" si="20"/>
        <v>904</v>
      </c>
      <c r="AD22" s="1">
        <f t="shared" ca="1" si="21"/>
        <v>6.7628525304326967E-3</v>
      </c>
      <c r="AE22" s="1"/>
      <c r="AF22" s="1">
        <f t="shared" ca="1" si="22"/>
        <v>0.83428537655681623</v>
      </c>
      <c r="AG22" s="1">
        <f t="shared" ca="1" si="23"/>
        <v>888</v>
      </c>
      <c r="AH22" s="1">
        <f t="shared" ca="1" si="24"/>
        <v>8.3360187153402215E-4</v>
      </c>
      <c r="AJ22" s="1">
        <f t="shared" ca="1" si="25"/>
        <v>0.37479883164246675</v>
      </c>
      <c r="AK22" s="1">
        <f t="shared" ca="1" si="26"/>
        <v>4.9078812731663743E-3</v>
      </c>
      <c r="AL22" s="1"/>
      <c r="AM22" s="1">
        <f t="shared" ca="1" si="27"/>
        <v>0.11867936494456495</v>
      </c>
      <c r="AN22" s="1">
        <f t="shared" ca="1" si="28"/>
        <v>68</v>
      </c>
      <c r="AO22" s="1">
        <f t="shared" ca="1" si="29"/>
        <v>0</v>
      </c>
      <c r="AQ22" s="1">
        <f t="shared" ca="1" si="30"/>
        <v>34</v>
      </c>
      <c r="AR22" s="1">
        <f t="shared" ca="1" si="31"/>
        <v>1</v>
      </c>
      <c r="AS22" s="1">
        <f t="shared" ca="1" si="32"/>
        <v>7</v>
      </c>
      <c r="AU22" s="1">
        <f t="shared" ca="1" si="33"/>
        <v>303</v>
      </c>
      <c r="AV22" s="1">
        <f t="shared" ca="1" si="34"/>
        <v>2</v>
      </c>
      <c r="AW22" s="1">
        <f t="shared" ca="1" si="35"/>
        <v>7.4714162461572198E-2</v>
      </c>
      <c r="AY22" s="1">
        <f t="shared" ca="1" si="36"/>
        <v>1.7516461707637474</v>
      </c>
      <c r="AZ22" s="1">
        <f t="shared" ca="1" si="37"/>
        <v>363</v>
      </c>
      <c r="BA22" s="1">
        <f t="shared" ca="1" si="38"/>
        <v>9.3353350739088254E-3</v>
      </c>
      <c r="BV22" s="1">
        <f t="shared" ca="1" si="39"/>
        <v>0.14667937391609503</v>
      </c>
      <c r="BW22" s="1">
        <f t="shared" ca="1" si="40"/>
        <v>176</v>
      </c>
      <c r="BX22" s="1">
        <f t="shared" ca="1" si="41"/>
        <v>9.4469300737839157E-3</v>
      </c>
      <c r="BY22" s="1">
        <f t="shared" ca="1" si="42"/>
        <v>1.7640311387296007E-2</v>
      </c>
      <c r="BZ22" s="1">
        <f t="shared" ca="1" si="43"/>
        <v>0.22668929702776142</v>
      </c>
      <c r="CB22" s="1">
        <f t="shared" ca="1" si="44"/>
        <v>66</v>
      </c>
      <c r="CC22" s="1">
        <f t="shared" ca="1" si="45"/>
        <v>7</v>
      </c>
      <c r="CD22" s="1">
        <f t="shared" ca="1" si="46"/>
        <v>5.4380603989044395E-2</v>
      </c>
      <c r="CE22" s="1">
        <f t="shared" ca="1" si="47"/>
        <v>0.97026414014325746</v>
      </c>
      <c r="CF22" s="1">
        <f t="shared" ca="1" si="47"/>
        <v>0.58770417473644643</v>
      </c>
      <c r="CH22" s="3">
        <f t="shared" ca="1" si="48"/>
        <v>0.2396988516140113</v>
      </c>
      <c r="CI22" s="3">
        <f t="shared" ca="1" si="49"/>
        <v>0.31907708982838118</v>
      </c>
      <c r="CJ22" s="3">
        <f t="shared" ca="1" si="50"/>
        <v>255</v>
      </c>
      <c r="CK22" s="3">
        <f t="shared" ca="1" si="51"/>
        <v>5.1945192458690012E-3</v>
      </c>
      <c r="CL22" s="3">
        <f t="shared" ca="1" si="52"/>
        <v>0</v>
      </c>
      <c r="CM22" s="3"/>
      <c r="CN22" s="1">
        <f t="shared" ca="1" si="53"/>
        <v>3.5927627329725746</v>
      </c>
      <c r="CO22" s="1">
        <f t="shared" ca="1" si="54"/>
        <v>0.19684628740697335</v>
      </c>
      <c r="CP22" s="1">
        <f t="shared" ca="1" si="55"/>
        <v>4</v>
      </c>
    </row>
    <row r="23" spans="2:94" x14ac:dyDescent="0.25">
      <c r="B23">
        <f t="shared" ca="1" si="0"/>
        <v>799</v>
      </c>
      <c r="C23">
        <f t="shared" ca="1" si="1"/>
        <v>4</v>
      </c>
      <c r="D23">
        <f t="shared" ca="1" si="2"/>
        <v>1.1352079639049618E-2</v>
      </c>
      <c r="F23" s="1">
        <f t="shared" ca="1" si="3"/>
        <v>21</v>
      </c>
      <c r="G23" s="1">
        <f t="shared" ca="1" si="4"/>
        <v>14</v>
      </c>
      <c r="H23" s="1">
        <f t="shared" ca="1" si="5"/>
        <v>14</v>
      </c>
      <c r="I23" s="1"/>
      <c r="J23" s="1">
        <f t="shared" ca="1" si="6"/>
        <v>18</v>
      </c>
      <c r="K23" s="1">
        <f t="shared" ca="1" si="7"/>
        <v>1.8033169605022612</v>
      </c>
      <c r="L23" s="1">
        <f t="shared" ca="1" si="8"/>
        <v>8</v>
      </c>
      <c r="M23" s="1"/>
      <c r="N23" s="1">
        <f t="shared" ca="1" si="9"/>
        <v>291</v>
      </c>
      <c r="O23" s="1">
        <f t="shared" ca="1" si="10"/>
        <v>28</v>
      </c>
      <c r="P23" s="1"/>
      <c r="Q23" s="1">
        <f t="shared" ca="1" si="11"/>
        <v>4.7170252182357064</v>
      </c>
      <c r="R23" s="1">
        <f t="shared" ca="1" si="12"/>
        <v>219</v>
      </c>
      <c r="S23" s="1"/>
      <c r="T23" s="1">
        <f t="shared" ca="1" si="13"/>
        <v>0.16513280662658189</v>
      </c>
      <c r="U23" s="1">
        <f t="shared" ca="1" si="14"/>
        <v>131</v>
      </c>
      <c r="V23" s="1">
        <f t="shared" ca="1" si="15"/>
        <v>22</v>
      </c>
      <c r="W23" s="1"/>
      <c r="X23" s="1">
        <f t="shared" ca="1" si="16"/>
        <v>6.9261329271006726</v>
      </c>
      <c r="Y23" s="1">
        <f t="shared" ca="1" si="17"/>
        <v>5.5490344079685554E-4</v>
      </c>
      <c r="Z23" s="1">
        <f t="shared" ca="1" si="18"/>
        <v>650</v>
      </c>
      <c r="AB23" s="1">
        <f t="shared" ca="1" si="19"/>
        <v>0.87134211333429012</v>
      </c>
      <c r="AC23" s="1">
        <f t="shared" ca="1" si="20"/>
        <v>668</v>
      </c>
      <c r="AD23" s="1">
        <f t="shared" ca="1" si="21"/>
        <v>9.6470967279066403E-3</v>
      </c>
      <c r="AE23" s="1"/>
      <c r="AF23" s="1">
        <f t="shared" ca="1" si="22"/>
        <v>0.14277495046897207</v>
      </c>
      <c r="AG23" s="1">
        <f t="shared" ca="1" si="23"/>
        <v>973</v>
      </c>
      <c r="AH23" s="1">
        <f t="shared" ca="1" si="24"/>
        <v>7.2171202157863285E-3</v>
      </c>
      <c r="AJ23" s="1">
        <f t="shared" ca="1" si="25"/>
        <v>0.78028370782402223</v>
      </c>
      <c r="AK23" s="1">
        <f t="shared" ca="1" si="26"/>
        <v>4.5984889498718699E-3</v>
      </c>
      <c r="AL23" s="1"/>
      <c r="AM23" s="1">
        <f t="shared" ca="1" si="27"/>
        <v>4.5974867112808494E-2</v>
      </c>
      <c r="AN23" s="1">
        <f t="shared" ca="1" si="28"/>
        <v>65</v>
      </c>
      <c r="AO23" s="1">
        <f t="shared" ca="1" si="29"/>
        <v>13</v>
      </c>
      <c r="AQ23" s="1">
        <f t="shared" ca="1" si="30"/>
        <v>174</v>
      </c>
      <c r="AR23" s="1">
        <f t="shared" ca="1" si="31"/>
        <v>2</v>
      </c>
      <c r="AS23" s="1">
        <f t="shared" ca="1" si="32"/>
        <v>5</v>
      </c>
      <c r="AU23" s="1">
        <f t="shared" ca="1" si="33"/>
        <v>85</v>
      </c>
      <c r="AV23" s="1">
        <f t="shared" ca="1" si="34"/>
        <v>4</v>
      </c>
      <c r="AW23" s="1">
        <f t="shared" ca="1" si="35"/>
        <v>5.4040957279038251E-2</v>
      </c>
      <c r="AY23" s="1">
        <f t="shared" ca="1" si="36"/>
        <v>1.1172115793437942</v>
      </c>
      <c r="AZ23" s="1">
        <f t="shared" ca="1" si="37"/>
        <v>147</v>
      </c>
      <c r="BA23" s="1">
        <f t="shared" ca="1" si="38"/>
        <v>3.7669921087833225E-3</v>
      </c>
      <c r="BV23" s="1">
        <f t="shared" ca="1" si="39"/>
        <v>0.22994023427503768</v>
      </c>
      <c r="BW23" s="1">
        <f t="shared" ca="1" si="40"/>
        <v>246</v>
      </c>
      <c r="BX23" s="1">
        <f t="shared" ca="1" si="41"/>
        <v>1.536987058604543E-3</v>
      </c>
      <c r="BY23" s="1">
        <f t="shared" ca="1" si="42"/>
        <v>9.6434056750546455E-4</v>
      </c>
      <c r="BZ23" s="1">
        <f t="shared" ca="1" si="43"/>
        <v>0.4067536462515261</v>
      </c>
      <c r="CB23" s="1">
        <f t="shared" ca="1" si="44"/>
        <v>477</v>
      </c>
      <c r="CC23" s="1">
        <f t="shared" ca="1" si="45"/>
        <v>9</v>
      </c>
      <c r="CD23" s="1">
        <f t="shared" ca="1" si="46"/>
        <v>0.10834609213668286</v>
      </c>
      <c r="CE23" s="1">
        <f t="shared" ca="1" si="47"/>
        <v>0.90937432095263449</v>
      </c>
      <c r="CF23" s="1">
        <f t="shared" ca="1" si="47"/>
        <v>0.90750047740482365</v>
      </c>
      <c r="CH23" s="3">
        <f t="shared" ca="1" si="48"/>
        <v>0.38237319281807874</v>
      </c>
      <c r="CI23" s="3">
        <f t="shared" ca="1" si="49"/>
        <v>0.79751413809544103</v>
      </c>
      <c r="CJ23" s="3">
        <f t="shared" ca="1" si="50"/>
        <v>254</v>
      </c>
      <c r="CK23" s="3">
        <f t="shared" ca="1" si="51"/>
        <v>6.3109299278414277E-3</v>
      </c>
      <c r="CL23" s="3">
        <f t="shared" ca="1" si="52"/>
        <v>0</v>
      </c>
      <c r="CM23" s="3"/>
      <c r="CN23" s="1">
        <f t="shared" ca="1" si="53"/>
        <v>17.62162451930698</v>
      </c>
      <c r="CO23" s="1">
        <f t="shared" ca="1" si="54"/>
        <v>8.5317166091605112E-2</v>
      </c>
      <c r="CP23" s="1">
        <f t="shared" ca="1" si="55"/>
        <v>3</v>
      </c>
    </row>
    <row r="24" spans="2:94" x14ac:dyDescent="0.25">
      <c r="B24">
        <f t="shared" ca="1" si="0"/>
        <v>588</v>
      </c>
      <c r="C24">
        <f t="shared" ca="1" si="1"/>
        <v>37</v>
      </c>
      <c r="D24">
        <f t="shared" ca="1" si="2"/>
        <v>0.25837216699401155</v>
      </c>
      <c r="F24" s="1">
        <f t="shared" ca="1" si="3"/>
        <v>16</v>
      </c>
      <c r="G24" s="1">
        <f t="shared" ca="1" si="4"/>
        <v>12</v>
      </c>
      <c r="H24" s="1">
        <f t="shared" ca="1" si="5"/>
        <v>10</v>
      </c>
      <c r="I24" s="1"/>
      <c r="J24" s="1">
        <f t="shared" ca="1" si="6"/>
        <v>13</v>
      </c>
      <c r="K24" s="1">
        <f t="shared" ca="1" si="7"/>
        <v>1.470389953531861</v>
      </c>
      <c r="L24" s="1">
        <f t="shared" ca="1" si="8"/>
        <v>15</v>
      </c>
      <c r="M24" s="1"/>
      <c r="N24" s="1">
        <f t="shared" ca="1" si="9"/>
        <v>105</v>
      </c>
      <c r="O24" s="1">
        <f t="shared" ca="1" si="10"/>
        <v>16</v>
      </c>
      <c r="P24" s="1"/>
      <c r="Q24" s="1">
        <f t="shared" ca="1" si="11"/>
        <v>1.4018792419524144</v>
      </c>
      <c r="R24" s="1">
        <f t="shared" ca="1" si="12"/>
        <v>693</v>
      </c>
      <c r="S24" s="1"/>
      <c r="T24" s="1">
        <f t="shared" ca="1" si="13"/>
        <v>8.4906178117723483E-2</v>
      </c>
      <c r="U24" s="1">
        <f t="shared" ca="1" si="14"/>
        <v>290</v>
      </c>
      <c r="V24" s="1">
        <f t="shared" ca="1" si="15"/>
        <v>49</v>
      </c>
      <c r="W24" s="1"/>
      <c r="X24" s="1">
        <f t="shared" ca="1" si="16"/>
        <v>4.7279416322581413</v>
      </c>
      <c r="Y24" s="1">
        <f t="shared" ca="1" si="17"/>
        <v>0.84290207858024468</v>
      </c>
      <c r="Z24" s="1">
        <f t="shared" ca="1" si="18"/>
        <v>786</v>
      </c>
      <c r="AB24" s="1">
        <f t="shared" ca="1" si="19"/>
        <v>0.45753158913644049</v>
      </c>
      <c r="AC24" s="1">
        <f t="shared" ca="1" si="20"/>
        <v>816</v>
      </c>
      <c r="AD24" s="1">
        <f t="shared" ca="1" si="21"/>
        <v>3.4704752536784248E-3</v>
      </c>
      <c r="AE24" s="1"/>
      <c r="AF24" s="1">
        <f t="shared" ca="1" si="22"/>
        <v>0.58469159522357728</v>
      </c>
      <c r="AG24" s="1">
        <f t="shared" ca="1" si="23"/>
        <v>784</v>
      </c>
      <c r="AH24" s="1">
        <f t="shared" ca="1" si="24"/>
        <v>7.5483035652180238E-4</v>
      </c>
      <c r="AJ24" s="1">
        <f t="shared" ca="1" si="25"/>
        <v>0.29796968178589189</v>
      </c>
      <c r="AK24" s="1">
        <f t="shared" ca="1" si="26"/>
        <v>5.5909109636214684E-3</v>
      </c>
      <c r="AL24" s="1"/>
      <c r="AM24" s="1">
        <f t="shared" ca="1" si="27"/>
        <v>0.19321706348293746</v>
      </c>
      <c r="AN24" s="1">
        <f t="shared" ca="1" si="28"/>
        <v>38</v>
      </c>
      <c r="AO24" s="1">
        <f t="shared" ca="1" si="29"/>
        <v>-1</v>
      </c>
      <c r="AQ24" s="1">
        <f t="shared" ca="1" si="30"/>
        <v>118</v>
      </c>
      <c r="AR24" s="1">
        <f t="shared" ca="1" si="31"/>
        <v>0</v>
      </c>
      <c r="AS24" s="1">
        <f t="shared" ca="1" si="32"/>
        <v>30</v>
      </c>
      <c r="AU24" s="1">
        <f t="shared" ca="1" si="33"/>
        <v>350</v>
      </c>
      <c r="AV24" s="1">
        <f t="shared" ca="1" si="34"/>
        <v>5</v>
      </c>
      <c r="AW24" s="1">
        <f t="shared" ca="1" si="35"/>
        <v>0.11141326481846188</v>
      </c>
      <c r="AY24" s="1">
        <f t="shared" ca="1" si="36"/>
        <v>1.2262742810225618</v>
      </c>
      <c r="AZ24" s="1">
        <f t="shared" ca="1" si="37"/>
        <v>106</v>
      </c>
      <c r="BA24" s="1">
        <f t="shared" ca="1" si="38"/>
        <v>9.5752068112783702E-3</v>
      </c>
      <c r="BV24" s="1">
        <f t="shared" ca="1" si="39"/>
        <v>3.4668823249591287E-2</v>
      </c>
      <c r="BW24" s="1">
        <f t="shared" ca="1" si="40"/>
        <v>730</v>
      </c>
      <c r="BX24" s="1">
        <f t="shared" ca="1" si="41"/>
        <v>8.7084013458562336E-3</v>
      </c>
      <c r="BY24" s="1">
        <f t="shared" ca="1" si="42"/>
        <v>2.3511498990877535E-2</v>
      </c>
      <c r="BZ24" s="1">
        <f t="shared" ca="1" si="43"/>
        <v>0.68849931390865426</v>
      </c>
      <c r="CB24" s="1">
        <f t="shared" ca="1" si="44"/>
        <v>485</v>
      </c>
      <c r="CC24" s="1">
        <f t="shared" ca="1" si="45"/>
        <v>9</v>
      </c>
      <c r="CD24" s="1">
        <f t="shared" ca="1" si="46"/>
        <v>4.2122390348635505E-2</v>
      </c>
      <c r="CE24" s="1">
        <f t="shared" ca="1" si="47"/>
        <v>0.72351899559653199</v>
      </c>
      <c r="CF24" s="1">
        <f t="shared" ca="1" si="47"/>
        <v>0.53477170172620792</v>
      </c>
      <c r="CH24" s="3">
        <f t="shared" ca="1" si="48"/>
        <v>0.65705880335508127</v>
      </c>
      <c r="CI24" s="3">
        <f t="shared" ca="1" si="49"/>
        <v>0.75742960959592986</v>
      </c>
      <c r="CJ24" s="3">
        <f t="shared" ca="1" si="50"/>
        <v>689</v>
      </c>
      <c r="CK24" s="3">
        <f t="shared" ca="1" si="51"/>
        <v>1.0353038002920681E-3</v>
      </c>
      <c r="CL24" s="3">
        <f t="shared" ca="1" si="52"/>
        <v>1</v>
      </c>
      <c r="CM24" s="3"/>
      <c r="CN24" s="1">
        <f t="shared" ca="1" si="53"/>
        <v>2.1083330957853765</v>
      </c>
      <c r="CO24" s="1">
        <f t="shared" ca="1" si="54"/>
        <v>4.5573316826726606E-2</v>
      </c>
      <c r="CP24" s="1">
        <f t="shared" ca="1" si="55"/>
        <v>4</v>
      </c>
    </row>
    <row r="25" spans="2:94" x14ac:dyDescent="0.25">
      <c r="B25">
        <f t="shared" ca="1" si="0"/>
        <v>453</v>
      </c>
      <c r="C25">
        <f t="shared" ca="1" si="1"/>
        <v>26</v>
      </c>
      <c r="D25">
        <f t="shared" ca="1" si="2"/>
        <v>0.16846460642991781</v>
      </c>
      <c r="F25" s="1">
        <f t="shared" ca="1" si="3"/>
        <v>27</v>
      </c>
      <c r="G25" s="1">
        <f t="shared" ca="1" si="4"/>
        <v>22</v>
      </c>
      <c r="H25" s="1">
        <f t="shared" ca="1" si="5"/>
        <v>5</v>
      </c>
      <c r="I25" s="1"/>
      <c r="J25" s="1">
        <f t="shared" ca="1" si="6"/>
        <v>1</v>
      </c>
      <c r="K25" s="1">
        <f t="shared" ca="1" si="7"/>
        <v>1.6588842027605251</v>
      </c>
      <c r="L25" s="1">
        <f t="shared" ca="1" si="8"/>
        <v>24</v>
      </c>
      <c r="M25" s="1"/>
      <c r="N25" s="1">
        <f t="shared" ca="1" si="9"/>
        <v>313</v>
      </c>
      <c r="O25" s="1">
        <f t="shared" ca="1" si="10"/>
        <v>13</v>
      </c>
      <c r="P25" s="1"/>
      <c r="Q25" s="1">
        <f t="shared" ca="1" si="11"/>
        <v>0.79728376801952938</v>
      </c>
      <c r="R25" s="1">
        <f t="shared" ca="1" si="12"/>
        <v>411</v>
      </c>
      <c r="S25" s="1"/>
      <c r="T25" s="1">
        <f t="shared" ca="1" si="13"/>
        <v>1.4094602567579762E-2</v>
      </c>
      <c r="U25" s="1">
        <f t="shared" ca="1" si="14"/>
        <v>136</v>
      </c>
      <c r="V25" s="1">
        <f t="shared" ca="1" si="15"/>
        <v>5</v>
      </c>
      <c r="W25" s="1"/>
      <c r="X25" s="1">
        <f t="shared" ca="1" si="16"/>
        <v>7.8175562937952634</v>
      </c>
      <c r="Y25" s="1">
        <f t="shared" ca="1" si="17"/>
        <v>0.95857678288652914</v>
      </c>
      <c r="Z25" s="1">
        <f t="shared" ca="1" si="18"/>
        <v>809</v>
      </c>
      <c r="AB25" s="1">
        <f t="shared" ca="1" si="19"/>
        <v>0.96911372818281427</v>
      </c>
      <c r="AC25" s="1">
        <f t="shared" ca="1" si="20"/>
        <v>613</v>
      </c>
      <c r="AD25" s="1">
        <f t="shared" ca="1" si="21"/>
        <v>8.7731079767175999E-4</v>
      </c>
      <c r="AE25" s="1"/>
      <c r="AF25" s="1">
        <f t="shared" ca="1" si="22"/>
        <v>0.22703915586016354</v>
      </c>
      <c r="AG25" s="1">
        <f t="shared" ca="1" si="23"/>
        <v>630</v>
      </c>
      <c r="AH25" s="1">
        <f t="shared" ca="1" si="24"/>
        <v>6.8061168024380345E-3</v>
      </c>
      <c r="AJ25" s="1">
        <f t="shared" ca="1" si="25"/>
        <v>0.19228759001523676</v>
      </c>
      <c r="AK25" s="1">
        <f t="shared" ca="1" si="26"/>
        <v>9.8561542140509339E-3</v>
      </c>
      <c r="AL25" s="1"/>
      <c r="AM25" s="1">
        <f t="shared" ca="1" si="27"/>
        <v>0.15828570988347496</v>
      </c>
      <c r="AN25" s="1">
        <f t="shared" ca="1" si="28"/>
        <v>37</v>
      </c>
      <c r="AO25" s="1">
        <f t="shared" ca="1" si="29"/>
        <v>10</v>
      </c>
      <c r="AQ25" s="1">
        <f t="shared" ca="1" si="30"/>
        <v>24</v>
      </c>
      <c r="AR25" s="1">
        <f t="shared" ca="1" si="31"/>
        <v>1</v>
      </c>
      <c r="AS25" s="1">
        <f t="shared" ca="1" si="32"/>
        <v>2</v>
      </c>
      <c r="AU25" s="1">
        <f t="shared" ca="1" si="33"/>
        <v>90</v>
      </c>
      <c r="AV25" s="1">
        <f t="shared" ca="1" si="34"/>
        <v>8</v>
      </c>
      <c r="AW25" s="1">
        <f t="shared" ca="1" si="35"/>
        <v>0.15678952863960785</v>
      </c>
      <c r="AY25" s="1">
        <f t="shared" ca="1" si="36"/>
        <v>1.9845278182128196</v>
      </c>
      <c r="AZ25" s="1">
        <f t="shared" ca="1" si="37"/>
        <v>433</v>
      </c>
      <c r="BA25" s="1">
        <f t="shared" ca="1" si="38"/>
        <v>3.6852432948725226E-3</v>
      </c>
      <c r="BV25" s="1">
        <f t="shared" ca="1" si="39"/>
        <v>0.59310227121177339</v>
      </c>
      <c r="BW25" s="1">
        <f t="shared" ca="1" si="40"/>
        <v>839</v>
      </c>
      <c r="BX25" s="1">
        <f t="shared" ca="1" si="41"/>
        <v>5.7310701998696855E-3</v>
      </c>
      <c r="BY25" s="1">
        <f t="shared" ca="1" si="42"/>
        <v>3.6334755384598875E-3</v>
      </c>
      <c r="BZ25" s="1">
        <f t="shared" ca="1" si="43"/>
        <v>0.43185016329612336</v>
      </c>
      <c r="CB25" s="1">
        <f t="shared" ca="1" si="44"/>
        <v>257</v>
      </c>
      <c r="CC25" s="1">
        <f t="shared" ca="1" si="45"/>
        <v>13</v>
      </c>
      <c r="CD25" s="1">
        <f t="shared" ca="1" si="46"/>
        <v>0.1505269398208233</v>
      </c>
      <c r="CE25" s="1">
        <f t="shared" ca="1" si="47"/>
        <v>0.86038461641159292</v>
      </c>
      <c r="CF25" s="1">
        <f t="shared" ca="1" si="47"/>
        <v>0.68624252219733051</v>
      </c>
      <c r="CH25" s="3">
        <f t="shared" ca="1" si="48"/>
        <v>0.66512688148873778</v>
      </c>
      <c r="CI25" s="3">
        <f t="shared" ca="1" si="49"/>
        <v>0.6567168256283159</v>
      </c>
      <c r="CJ25" s="3">
        <f t="shared" ca="1" si="50"/>
        <v>490</v>
      </c>
      <c r="CK25" s="3">
        <f t="shared" ca="1" si="51"/>
        <v>4.1979731788960106E-4</v>
      </c>
      <c r="CL25" s="3">
        <f t="shared" ca="1" si="52"/>
        <v>0</v>
      </c>
      <c r="CM25" s="3"/>
      <c r="CN25" s="1">
        <f t="shared" ca="1" si="53"/>
        <v>7.3535581967593817</v>
      </c>
      <c r="CO25" s="1">
        <f t="shared" ca="1" si="54"/>
        <v>4.4654603995295826E-2</v>
      </c>
      <c r="CP25" s="1">
        <f t="shared" ca="1" si="55"/>
        <v>2</v>
      </c>
    </row>
    <row r="26" spans="2:94" x14ac:dyDescent="0.25">
      <c r="B26">
        <f t="shared" ca="1" si="0"/>
        <v>761</v>
      </c>
      <c r="C26">
        <f t="shared" ca="1" si="1"/>
        <v>21</v>
      </c>
      <c r="D26">
        <f t="shared" ca="1" si="2"/>
        <v>9.615070032377003E-2</v>
      </c>
      <c r="F26" s="1">
        <f t="shared" ca="1" si="3"/>
        <v>6</v>
      </c>
      <c r="G26" s="1">
        <f t="shared" ca="1" si="4"/>
        <v>24</v>
      </c>
      <c r="H26" s="1">
        <f t="shared" ca="1" si="5"/>
        <v>5</v>
      </c>
      <c r="I26" s="1"/>
      <c r="J26" s="1">
        <f t="shared" ca="1" si="6"/>
        <v>31</v>
      </c>
      <c r="K26" s="1">
        <f t="shared" ca="1" si="7"/>
        <v>2.1953934788301224</v>
      </c>
      <c r="L26" s="1">
        <f t="shared" ca="1" si="8"/>
        <v>34</v>
      </c>
      <c r="M26" s="1"/>
      <c r="N26" s="1">
        <f t="shared" ca="1" si="9"/>
        <v>90</v>
      </c>
      <c r="O26" s="1">
        <f t="shared" ca="1" si="10"/>
        <v>17</v>
      </c>
      <c r="P26" s="1"/>
      <c r="Q26" s="1">
        <f t="shared" ca="1" si="11"/>
        <v>4.8236496453640898</v>
      </c>
      <c r="R26" s="1">
        <f t="shared" ca="1" si="12"/>
        <v>201</v>
      </c>
      <c r="S26" s="1"/>
      <c r="T26" s="1">
        <f t="shared" ca="1" si="13"/>
        <v>0.18895668250214417</v>
      </c>
      <c r="U26" s="1">
        <f t="shared" ca="1" si="14"/>
        <v>51</v>
      </c>
      <c r="V26" s="1">
        <f t="shared" ca="1" si="15"/>
        <v>49</v>
      </c>
      <c r="W26" s="1"/>
      <c r="X26" s="1">
        <f t="shared" ca="1" si="16"/>
        <v>5.6843280962724831</v>
      </c>
      <c r="Y26" s="1">
        <f t="shared" ca="1" si="17"/>
        <v>0.17931537532942668</v>
      </c>
      <c r="Z26" s="1">
        <f t="shared" ca="1" si="18"/>
        <v>1793</v>
      </c>
      <c r="AB26" s="1">
        <f t="shared" ca="1" si="19"/>
        <v>0.65190773890533826</v>
      </c>
      <c r="AC26" s="1">
        <f t="shared" ca="1" si="20"/>
        <v>158</v>
      </c>
      <c r="AD26" s="1">
        <f t="shared" ca="1" si="21"/>
        <v>6.8645250854360842E-3</v>
      </c>
      <c r="AE26" s="1"/>
      <c r="AF26" s="1">
        <f t="shared" ca="1" si="22"/>
        <v>0.30054305474774667</v>
      </c>
      <c r="AG26" s="1">
        <f t="shared" ca="1" si="23"/>
        <v>919</v>
      </c>
      <c r="AH26" s="1">
        <f t="shared" ca="1" si="24"/>
        <v>1.3591654380250312E-3</v>
      </c>
      <c r="AJ26" s="1">
        <f t="shared" ca="1" si="25"/>
        <v>0.93491924799176962</v>
      </c>
      <c r="AK26" s="1">
        <f t="shared" ca="1" si="26"/>
        <v>8.3340110886953259E-3</v>
      </c>
      <c r="AL26" s="1"/>
      <c r="AM26" s="1">
        <f t="shared" ca="1" si="27"/>
        <v>3.7327441189158414E-2</v>
      </c>
      <c r="AN26" s="1">
        <f t="shared" ca="1" si="28"/>
        <v>58</v>
      </c>
      <c r="AO26" s="1">
        <f t="shared" ca="1" si="29"/>
        <v>1</v>
      </c>
      <c r="AQ26" s="1">
        <f t="shared" ca="1" si="30"/>
        <v>150</v>
      </c>
      <c r="AR26" s="1">
        <f t="shared" ca="1" si="31"/>
        <v>10</v>
      </c>
      <c r="AS26" s="1">
        <f t="shared" ca="1" si="32"/>
        <v>35</v>
      </c>
      <c r="AU26" s="1">
        <f t="shared" ca="1" si="33"/>
        <v>154</v>
      </c>
      <c r="AV26" s="1">
        <f t="shared" ca="1" si="34"/>
        <v>4</v>
      </c>
      <c r="AW26" s="1">
        <f t="shared" ca="1" si="35"/>
        <v>0.17777515796731294</v>
      </c>
      <c r="AY26" s="1">
        <f t="shared" ca="1" si="36"/>
        <v>1.3568142739248499</v>
      </c>
      <c r="AZ26" s="1">
        <f t="shared" ca="1" si="37"/>
        <v>72</v>
      </c>
      <c r="BA26" s="1">
        <f t="shared" ca="1" si="38"/>
        <v>5.2343276030079287E-3</v>
      </c>
      <c r="BV26" s="1">
        <f t="shared" ca="1" si="39"/>
        <v>0.54696448631388439</v>
      </c>
      <c r="BW26" s="1">
        <f t="shared" ca="1" si="40"/>
        <v>386</v>
      </c>
      <c r="BX26" s="1">
        <f t="shared" ca="1" si="41"/>
        <v>9.4610650713570117E-3</v>
      </c>
      <c r="BY26" s="1">
        <f t="shared" ca="1" si="42"/>
        <v>7.6269104356593648E-2</v>
      </c>
      <c r="BZ26" s="1">
        <f t="shared" ca="1" si="43"/>
        <v>0.18041179409376507</v>
      </c>
      <c r="CB26" s="1">
        <f t="shared" ca="1" si="44"/>
        <v>334</v>
      </c>
      <c r="CC26" s="1">
        <f t="shared" ca="1" si="45"/>
        <v>8</v>
      </c>
      <c r="CD26" s="1">
        <f t="shared" ca="1" si="46"/>
        <v>5.2321386738576586E-2</v>
      </c>
      <c r="CE26" s="1">
        <f t="shared" ca="1" si="47"/>
        <v>0.74960997068828195</v>
      </c>
      <c r="CF26" s="1">
        <f t="shared" ca="1" si="47"/>
        <v>0.90832450023165934</v>
      </c>
      <c r="CH26" s="3">
        <f t="shared" ca="1" si="48"/>
        <v>0.31951943069177596</v>
      </c>
      <c r="CI26" s="3">
        <f t="shared" ca="1" si="49"/>
        <v>0.83301587726726178</v>
      </c>
      <c r="CJ26" s="3">
        <f t="shared" ca="1" si="50"/>
        <v>1095</v>
      </c>
      <c r="CK26" s="3">
        <f t="shared" ca="1" si="51"/>
        <v>2.161534881404149E-3</v>
      </c>
      <c r="CL26" s="3">
        <f t="shared" ca="1" si="52"/>
        <v>0</v>
      </c>
      <c r="CM26" s="3"/>
      <c r="CN26" s="1">
        <f t="shared" ca="1" si="53"/>
        <v>4.0971230887799779</v>
      </c>
      <c r="CO26" s="1">
        <f t="shared" ca="1" si="54"/>
        <v>0.38692736606116623</v>
      </c>
      <c r="CP26" s="1">
        <f t="shared" ca="1" si="55"/>
        <v>3</v>
      </c>
    </row>
    <row r="27" spans="2:94" x14ac:dyDescent="0.25">
      <c r="B27">
        <f t="shared" ca="1" si="0"/>
        <v>427</v>
      </c>
      <c r="C27">
        <f t="shared" ca="1" si="1"/>
        <v>33</v>
      </c>
      <c r="D27">
        <f t="shared" ca="1" si="2"/>
        <v>0.18531020049643135</v>
      </c>
      <c r="F27" s="1">
        <f t="shared" ca="1" si="3"/>
        <v>30</v>
      </c>
      <c r="G27" s="1">
        <f t="shared" ca="1" si="4"/>
        <v>26</v>
      </c>
      <c r="H27" s="1">
        <f t="shared" ca="1" si="5"/>
        <v>6</v>
      </c>
      <c r="I27" s="1"/>
      <c r="J27" s="1">
        <f t="shared" ca="1" si="6"/>
        <v>37</v>
      </c>
      <c r="K27" s="1">
        <f t="shared" ca="1" si="7"/>
        <v>2.3190724054282885</v>
      </c>
      <c r="L27" s="1">
        <f t="shared" ca="1" si="8"/>
        <v>12</v>
      </c>
      <c r="M27" s="1"/>
      <c r="N27" s="1">
        <f t="shared" ca="1" si="9"/>
        <v>278</v>
      </c>
      <c r="O27" s="1">
        <f t="shared" ca="1" si="10"/>
        <v>48</v>
      </c>
      <c r="P27" s="1"/>
      <c r="Q27" s="1">
        <f t="shared" ca="1" si="11"/>
        <v>1.7087584809735001</v>
      </c>
      <c r="R27" s="1">
        <f t="shared" ca="1" si="12"/>
        <v>950</v>
      </c>
      <c r="S27" s="1"/>
      <c r="T27" s="1">
        <f t="shared" ca="1" si="13"/>
        <v>1.6155946062278326E-2</v>
      </c>
      <c r="U27" s="1">
        <f t="shared" ca="1" si="14"/>
        <v>284</v>
      </c>
      <c r="V27" s="1">
        <f t="shared" ca="1" si="15"/>
        <v>51</v>
      </c>
      <c r="W27" s="1"/>
      <c r="X27" s="1">
        <f t="shared" ca="1" si="16"/>
        <v>9.2160405801222183</v>
      </c>
      <c r="Y27" s="1">
        <f t="shared" ca="1" si="17"/>
        <v>9.4253989578728561E-2</v>
      </c>
      <c r="Z27" s="1">
        <f t="shared" ca="1" si="18"/>
        <v>861</v>
      </c>
      <c r="AB27" s="1">
        <f t="shared" ca="1" si="19"/>
        <v>0.93097298214310664</v>
      </c>
      <c r="AC27" s="1">
        <f t="shared" ca="1" si="20"/>
        <v>761</v>
      </c>
      <c r="AD27" s="1">
        <f t="shared" ca="1" si="21"/>
        <v>2.3567518940301145E-3</v>
      </c>
      <c r="AE27" s="1"/>
      <c r="AF27" s="1">
        <f t="shared" ca="1" si="22"/>
        <v>0.16736648122143719</v>
      </c>
      <c r="AG27" s="1">
        <f t="shared" ca="1" si="23"/>
        <v>803</v>
      </c>
      <c r="AH27" s="1">
        <f t="shared" ca="1" si="24"/>
        <v>2.1142544571321081E-3</v>
      </c>
      <c r="AJ27" s="1">
        <f t="shared" ca="1" si="25"/>
        <v>0.68092528606918679</v>
      </c>
      <c r="AK27" s="1">
        <f t="shared" ca="1" si="26"/>
        <v>9.0229582930625007E-3</v>
      </c>
      <c r="AL27" s="1"/>
      <c r="AM27" s="1">
        <f t="shared" ca="1" si="27"/>
        <v>0.12921546329002462</v>
      </c>
      <c r="AN27" s="1">
        <f t="shared" ca="1" si="28"/>
        <v>35</v>
      </c>
      <c r="AO27" s="1">
        <f t="shared" ca="1" si="29"/>
        <v>12</v>
      </c>
      <c r="AQ27" s="1">
        <f t="shared" ca="1" si="30"/>
        <v>99</v>
      </c>
      <c r="AR27" s="1">
        <f t="shared" ca="1" si="31"/>
        <v>9</v>
      </c>
      <c r="AS27" s="1">
        <f t="shared" ca="1" si="32"/>
        <v>58</v>
      </c>
      <c r="AU27" s="1">
        <f t="shared" ca="1" si="33"/>
        <v>115</v>
      </c>
      <c r="AV27" s="1">
        <f t="shared" ca="1" si="34"/>
        <v>9</v>
      </c>
      <c r="AW27" s="1">
        <f t="shared" ca="1" si="35"/>
        <v>6.6082853966161509E-2</v>
      </c>
      <c r="AY27" s="1">
        <f t="shared" ca="1" si="36"/>
        <v>1.9983590947154235</v>
      </c>
      <c r="AZ27" s="1">
        <f t="shared" ca="1" si="37"/>
        <v>137</v>
      </c>
      <c r="BA27" s="1">
        <f t="shared" ca="1" si="38"/>
        <v>7.8331650503511655E-3</v>
      </c>
      <c r="BV27" s="1">
        <f t="shared" ca="1" si="39"/>
        <v>0.77762254859417435</v>
      </c>
      <c r="BW27" s="1">
        <f t="shared" ca="1" si="40"/>
        <v>295</v>
      </c>
      <c r="BX27" s="1">
        <f t="shared" ca="1" si="41"/>
        <v>8.1986593432434533E-3</v>
      </c>
      <c r="BY27" s="1">
        <f t="shared" ca="1" si="42"/>
        <v>5.4095841381311328E-2</v>
      </c>
      <c r="BZ27" s="1">
        <f t="shared" ca="1" si="43"/>
        <v>0.43951877844392218</v>
      </c>
      <c r="CB27" s="1">
        <f t="shared" ca="1" si="44"/>
        <v>367</v>
      </c>
      <c r="CC27" s="1">
        <f t="shared" ca="1" si="45"/>
        <v>6</v>
      </c>
      <c r="CD27" s="1">
        <f t="shared" ca="1" si="46"/>
        <v>0.20842538344625389</v>
      </c>
      <c r="CE27" s="1">
        <f t="shared" ca="1" si="47"/>
        <v>0.5047978473405258</v>
      </c>
      <c r="CF27" s="1">
        <f t="shared" ca="1" si="47"/>
        <v>0.89104056902550732</v>
      </c>
      <c r="CH27" s="3">
        <f t="shared" ca="1" si="48"/>
        <v>0.35826904755743505</v>
      </c>
      <c r="CI27" s="3">
        <f t="shared" ca="1" si="49"/>
        <v>9.5912287990159967E-2</v>
      </c>
      <c r="CJ27" s="3">
        <f t="shared" ca="1" si="50"/>
        <v>1011</v>
      </c>
      <c r="CK27" s="3">
        <f t="shared" ca="1" si="51"/>
        <v>9.6493101591530218E-3</v>
      </c>
      <c r="CL27" s="3">
        <f t="shared" ca="1" si="52"/>
        <v>0</v>
      </c>
      <c r="CM27" s="3"/>
      <c r="CN27" s="1">
        <f t="shared" ca="1" si="53"/>
        <v>4.1675482675256488</v>
      </c>
      <c r="CO27" s="1">
        <f t="shared" ca="1" si="54"/>
        <v>4.4853741054668203E-2</v>
      </c>
      <c r="CP27" s="1">
        <f t="shared" ca="1" si="55"/>
        <v>3</v>
      </c>
    </row>
    <row r="28" spans="2:94" x14ac:dyDescent="0.25">
      <c r="B28">
        <f t="shared" ca="1" si="0"/>
        <v>224</v>
      </c>
      <c r="C28">
        <f t="shared" ca="1" si="1"/>
        <v>25</v>
      </c>
      <c r="D28">
        <f t="shared" ca="1" si="2"/>
        <v>0.21605315703874103</v>
      </c>
      <c r="F28" s="1">
        <f t="shared" ca="1" si="3"/>
        <v>29</v>
      </c>
      <c r="G28" s="1">
        <f t="shared" ca="1" si="4"/>
        <v>27</v>
      </c>
      <c r="H28" s="1">
        <f t="shared" ca="1" si="5"/>
        <v>4</v>
      </c>
      <c r="I28" s="1"/>
      <c r="J28" s="1">
        <f t="shared" ca="1" si="6"/>
        <v>22</v>
      </c>
      <c r="K28" s="1">
        <f t="shared" ca="1" si="7"/>
        <v>2.9535002186256261</v>
      </c>
      <c r="L28" s="1">
        <f t="shared" ca="1" si="8"/>
        <v>31</v>
      </c>
      <c r="M28" s="1"/>
      <c r="N28" s="1">
        <f t="shared" ca="1" si="9"/>
        <v>137</v>
      </c>
      <c r="O28" s="1">
        <f t="shared" ca="1" si="10"/>
        <v>33</v>
      </c>
      <c r="P28" s="1"/>
      <c r="Q28" s="1">
        <f t="shared" ca="1" si="11"/>
        <v>1.1171499284210027E-2</v>
      </c>
      <c r="R28" s="1">
        <f t="shared" ca="1" si="12"/>
        <v>269</v>
      </c>
      <c r="S28" s="1"/>
      <c r="T28" s="1">
        <f t="shared" ca="1" si="13"/>
        <v>4.5692216179634752E-2</v>
      </c>
      <c r="U28" s="1">
        <f t="shared" ca="1" si="14"/>
        <v>418</v>
      </c>
      <c r="V28" s="1">
        <f t="shared" ca="1" si="15"/>
        <v>45</v>
      </c>
      <c r="W28" s="1"/>
      <c r="X28" s="1">
        <f t="shared" ca="1" si="16"/>
        <v>2.5653168769056975</v>
      </c>
      <c r="Y28" s="1">
        <f t="shared" ca="1" si="17"/>
        <v>0.55366139762824995</v>
      </c>
      <c r="Z28" s="1">
        <f t="shared" ca="1" si="18"/>
        <v>1747</v>
      </c>
      <c r="AB28" s="1">
        <f t="shared" ca="1" si="19"/>
        <v>0.19302901534563457</v>
      </c>
      <c r="AC28" s="1">
        <f t="shared" ca="1" si="20"/>
        <v>637</v>
      </c>
      <c r="AD28" s="1">
        <f t="shared" ca="1" si="21"/>
        <v>8.2694959710466875E-3</v>
      </c>
      <c r="AE28" s="1"/>
      <c r="AF28" s="1">
        <f t="shared" ca="1" si="22"/>
        <v>0.61906082151766872</v>
      </c>
      <c r="AG28" s="1">
        <f t="shared" ca="1" si="23"/>
        <v>841</v>
      </c>
      <c r="AH28" s="1">
        <f t="shared" ca="1" si="24"/>
        <v>9.1343600536658576E-3</v>
      </c>
      <c r="AJ28" s="1">
        <f t="shared" ca="1" si="25"/>
        <v>0.93354557087146828</v>
      </c>
      <c r="AK28" s="1">
        <f t="shared" ca="1" si="26"/>
        <v>3.2727998077405128E-3</v>
      </c>
      <c r="AL28" s="1"/>
      <c r="AM28" s="1">
        <f t="shared" ca="1" si="27"/>
        <v>6.5175397415760089E-2</v>
      </c>
      <c r="AN28" s="1">
        <f t="shared" ca="1" si="28"/>
        <v>39</v>
      </c>
      <c r="AO28" s="1">
        <f t="shared" ca="1" si="29"/>
        <v>20</v>
      </c>
      <c r="AQ28" s="1">
        <f t="shared" ca="1" si="30"/>
        <v>73</v>
      </c>
      <c r="AR28" s="1">
        <f t="shared" ca="1" si="31"/>
        <v>0</v>
      </c>
      <c r="AS28" s="1">
        <f t="shared" ca="1" si="32"/>
        <v>13</v>
      </c>
      <c r="AU28" s="1">
        <f t="shared" ca="1" si="33"/>
        <v>256</v>
      </c>
      <c r="AV28" s="1">
        <f t="shared" ca="1" si="34"/>
        <v>10</v>
      </c>
      <c r="AW28" s="1">
        <f t="shared" ca="1" si="35"/>
        <v>7.9550323833320766E-2</v>
      </c>
      <c r="AY28" s="1">
        <f t="shared" ca="1" si="36"/>
        <v>1.9112639720062436</v>
      </c>
      <c r="AZ28" s="1">
        <f t="shared" ca="1" si="37"/>
        <v>310</v>
      </c>
      <c r="BA28" s="1">
        <f t="shared" ca="1" si="38"/>
        <v>7.5658226060955616E-3</v>
      </c>
      <c r="BV28" s="1">
        <f t="shared" ca="1" si="39"/>
        <v>0.52948061442521677</v>
      </c>
      <c r="BW28" s="1">
        <f t="shared" ca="1" si="40"/>
        <v>429</v>
      </c>
      <c r="BX28" s="1">
        <f t="shared" ca="1" si="41"/>
        <v>1.2343928958990324E-3</v>
      </c>
      <c r="BY28" s="1">
        <f t="shared" ca="1" si="42"/>
        <v>5.6427546227270288E-2</v>
      </c>
      <c r="BZ28" s="1">
        <f t="shared" ca="1" si="43"/>
        <v>0.4225628406177504</v>
      </c>
      <c r="CB28" s="1">
        <f t="shared" ca="1" si="44"/>
        <v>259</v>
      </c>
      <c r="CC28" s="1">
        <f t="shared" ca="1" si="45"/>
        <v>6</v>
      </c>
      <c r="CD28" s="1">
        <f t="shared" ca="1" si="46"/>
        <v>2.1209788818368706E-2</v>
      </c>
      <c r="CE28" s="1">
        <f t="shared" ca="1" si="47"/>
        <v>0.61638279158482412</v>
      </c>
      <c r="CF28" s="1">
        <f t="shared" ca="1" si="47"/>
        <v>0.71727147530613689</v>
      </c>
      <c r="CH28" s="3">
        <f t="shared" ca="1" si="48"/>
        <v>0.36889601394242882</v>
      </c>
      <c r="CI28" s="3">
        <f t="shared" ca="1" si="49"/>
        <v>0.93157177122101231</v>
      </c>
      <c r="CJ28" s="3">
        <f t="shared" ca="1" si="50"/>
        <v>1343</v>
      </c>
      <c r="CK28" s="3">
        <f t="shared" ca="1" si="51"/>
        <v>5.6311064014313451E-3</v>
      </c>
      <c r="CL28" s="3">
        <f t="shared" ca="1" si="52"/>
        <v>0</v>
      </c>
      <c r="CM28" s="3"/>
      <c r="CN28" s="1">
        <f t="shared" ca="1" si="53"/>
        <v>19.286975251003398</v>
      </c>
      <c r="CO28" s="1">
        <f t="shared" ca="1" si="54"/>
        <v>9.737854925831263E-2</v>
      </c>
      <c r="CP28" s="1">
        <f t="shared" ca="1" si="55"/>
        <v>3</v>
      </c>
    </row>
    <row r="29" spans="2:94" x14ac:dyDescent="0.25">
      <c r="B29">
        <f t="shared" ca="1" si="0"/>
        <v>985</v>
      </c>
      <c r="C29">
        <f t="shared" ca="1" si="1"/>
        <v>31</v>
      </c>
      <c r="D29">
        <f t="shared" ca="1" si="2"/>
        <v>0.29187742285748375</v>
      </c>
      <c r="F29" s="1">
        <f t="shared" ca="1" si="3"/>
        <v>12</v>
      </c>
      <c r="G29" s="1">
        <f t="shared" ca="1" si="4"/>
        <v>13</v>
      </c>
      <c r="H29" s="1">
        <f t="shared" ca="1" si="5"/>
        <v>12</v>
      </c>
      <c r="I29" s="1"/>
      <c r="J29" s="1">
        <f t="shared" ca="1" si="6"/>
        <v>21</v>
      </c>
      <c r="K29" s="1">
        <f t="shared" ca="1" si="7"/>
        <v>2.2368044224945276</v>
      </c>
      <c r="L29" s="1">
        <f t="shared" ca="1" si="8"/>
        <v>3</v>
      </c>
      <c r="M29" s="1"/>
      <c r="N29" s="1">
        <f t="shared" ca="1" si="9"/>
        <v>862</v>
      </c>
      <c r="O29" s="1">
        <f t="shared" ca="1" si="10"/>
        <v>42</v>
      </c>
      <c r="P29" s="1"/>
      <c r="Q29" s="1">
        <f t="shared" ca="1" si="11"/>
        <v>0.82070074444736385</v>
      </c>
      <c r="R29" s="1">
        <f t="shared" ca="1" si="12"/>
        <v>1033</v>
      </c>
      <c r="S29" s="1"/>
      <c r="T29" s="1">
        <f t="shared" ca="1" si="13"/>
        <v>0.13270843597270002</v>
      </c>
      <c r="U29" s="1">
        <f t="shared" ca="1" si="14"/>
        <v>341</v>
      </c>
      <c r="V29" s="1">
        <f t="shared" ca="1" si="15"/>
        <v>40</v>
      </c>
      <c r="W29" s="1"/>
      <c r="X29" s="1">
        <f t="shared" ca="1" si="16"/>
        <v>9.5838205785751747</v>
      </c>
      <c r="Y29" s="1">
        <f t="shared" ca="1" si="17"/>
        <v>9.2234834702410257E-2</v>
      </c>
      <c r="Z29" s="1">
        <f t="shared" ca="1" si="18"/>
        <v>194</v>
      </c>
      <c r="AB29" s="1">
        <f t="shared" ca="1" si="19"/>
        <v>0.81566065519842856</v>
      </c>
      <c r="AC29" s="1">
        <f t="shared" ca="1" si="20"/>
        <v>538</v>
      </c>
      <c r="AD29" s="1">
        <f t="shared" ca="1" si="21"/>
        <v>2.9774154677610488E-3</v>
      </c>
      <c r="AE29" s="1"/>
      <c r="AF29" s="1">
        <f t="shared" ca="1" si="22"/>
        <v>0.34622341366802067</v>
      </c>
      <c r="AG29" s="1">
        <f t="shared" ca="1" si="23"/>
        <v>352</v>
      </c>
      <c r="AH29" s="1">
        <f t="shared" ca="1" si="24"/>
        <v>3.455009996281276E-3</v>
      </c>
      <c r="AJ29" s="1">
        <f t="shared" ca="1" si="25"/>
        <v>0.96429057324271816</v>
      </c>
      <c r="AK29" s="1">
        <f t="shared" ca="1" si="26"/>
        <v>2.1823884367322397E-3</v>
      </c>
      <c r="AL29" s="1"/>
      <c r="AM29" s="1">
        <f t="shared" ca="1" si="27"/>
        <v>0.12664276435982785</v>
      </c>
      <c r="AN29" s="1">
        <f t="shared" ca="1" si="28"/>
        <v>39</v>
      </c>
      <c r="AO29" s="1">
        <f t="shared" ca="1" si="29"/>
        <v>9</v>
      </c>
      <c r="AQ29" s="1">
        <f t="shared" ca="1" si="30"/>
        <v>14</v>
      </c>
      <c r="AR29" s="1">
        <f t="shared" ca="1" si="31"/>
        <v>6</v>
      </c>
      <c r="AS29" s="1">
        <f t="shared" ca="1" si="32"/>
        <v>34</v>
      </c>
      <c r="AU29" s="1">
        <f t="shared" ca="1" si="33"/>
        <v>230</v>
      </c>
      <c r="AV29" s="1">
        <f t="shared" ca="1" si="34"/>
        <v>3</v>
      </c>
      <c r="AW29" s="1">
        <f t="shared" ca="1" si="35"/>
        <v>0.19465641030836417</v>
      </c>
      <c r="AY29" s="1">
        <f t="shared" ca="1" si="36"/>
        <v>1.3171934467512068</v>
      </c>
      <c r="AZ29" s="1">
        <f t="shared" ca="1" si="37"/>
        <v>367</v>
      </c>
      <c r="BA29" s="1">
        <f t="shared" ca="1" si="38"/>
        <v>3.6038192321622706E-3</v>
      </c>
      <c r="BV29" s="1">
        <f t="shared" ca="1" si="39"/>
        <v>0.12958726332977683</v>
      </c>
      <c r="BW29" s="1">
        <f t="shared" ca="1" si="40"/>
        <v>526</v>
      </c>
      <c r="BX29" s="1">
        <f t="shared" ca="1" si="41"/>
        <v>3.919899096997065E-3</v>
      </c>
      <c r="BY29" s="1">
        <f t="shared" ca="1" si="42"/>
        <v>8.1133424303926255E-2</v>
      </c>
      <c r="BZ29" s="1">
        <f t="shared" ca="1" si="43"/>
        <v>0.18424004688064477</v>
      </c>
      <c r="CB29" s="1">
        <f t="shared" ca="1" si="44"/>
        <v>318</v>
      </c>
      <c r="CC29" s="1">
        <f t="shared" ca="1" si="45"/>
        <v>3</v>
      </c>
      <c r="CD29" s="1">
        <f t="shared" ca="1" si="46"/>
        <v>0.12378988868095529</v>
      </c>
      <c r="CE29" s="1">
        <f t="shared" ca="1" si="47"/>
        <v>0.82877543761951467</v>
      </c>
      <c r="CF29" s="1">
        <f t="shared" ca="1" si="47"/>
        <v>0.65382991289833425</v>
      </c>
      <c r="CH29" s="3">
        <f t="shared" ca="1" si="48"/>
        <v>0.63877830700958893</v>
      </c>
      <c r="CI29" s="3">
        <f t="shared" ca="1" si="49"/>
        <v>0.8398417135893137</v>
      </c>
      <c r="CJ29" s="3">
        <f t="shared" ca="1" si="50"/>
        <v>1800</v>
      </c>
      <c r="CK29" s="3">
        <f t="shared" ca="1" si="51"/>
        <v>6.9548063773775103E-3</v>
      </c>
      <c r="CL29" s="3">
        <f t="shared" ca="1" si="52"/>
        <v>1</v>
      </c>
      <c r="CM29" s="3"/>
      <c r="CN29" s="1">
        <f t="shared" ca="1" si="53"/>
        <v>1.8058709039442962</v>
      </c>
      <c r="CO29" s="1">
        <f t="shared" ca="1" si="54"/>
        <v>0.45333983275440221</v>
      </c>
      <c r="CP29" s="1">
        <f t="shared" ca="1" si="55"/>
        <v>5</v>
      </c>
    </row>
    <row r="30" spans="2:94" x14ac:dyDescent="0.25">
      <c r="B30">
        <f t="shared" ca="1" si="0"/>
        <v>416</v>
      </c>
      <c r="C30">
        <f t="shared" ca="1" si="1"/>
        <v>9</v>
      </c>
      <c r="D30">
        <f t="shared" ca="1" si="2"/>
        <v>1.802826089199077E-2</v>
      </c>
      <c r="F30" s="1">
        <f t="shared" ca="1" si="3"/>
        <v>9</v>
      </c>
      <c r="G30" s="1">
        <f t="shared" ca="1" si="4"/>
        <v>26</v>
      </c>
      <c r="H30" s="1">
        <f t="shared" ca="1" si="5"/>
        <v>6</v>
      </c>
      <c r="I30" s="1"/>
      <c r="J30" s="1">
        <f t="shared" ca="1" si="6"/>
        <v>37</v>
      </c>
      <c r="K30" s="1">
        <f t="shared" ca="1" si="7"/>
        <v>2.1171443674402317</v>
      </c>
      <c r="L30" s="1">
        <f t="shared" ca="1" si="8"/>
        <v>2</v>
      </c>
      <c r="M30" s="1"/>
      <c r="N30" s="1">
        <f t="shared" ca="1" si="9"/>
        <v>33</v>
      </c>
      <c r="O30" s="1">
        <f t="shared" ca="1" si="10"/>
        <v>24</v>
      </c>
      <c r="P30" s="1"/>
      <c r="Q30" s="1">
        <f t="shared" ca="1" si="11"/>
        <v>1.107230691552751</v>
      </c>
      <c r="R30" s="1">
        <f t="shared" ca="1" si="12"/>
        <v>925</v>
      </c>
      <c r="S30" s="1"/>
      <c r="T30" s="1">
        <f t="shared" ca="1" si="13"/>
        <v>1.566395252748037E-2</v>
      </c>
      <c r="U30" s="1">
        <f t="shared" ca="1" si="14"/>
        <v>270</v>
      </c>
      <c r="V30" s="1">
        <f t="shared" ca="1" si="15"/>
        <v>33</v>
      </c>
      <c r="W30" s="1"/>
      <c r="X30" s="1">
        <f t="shared" ca="1" si="16"/>
        <v>5.6178477819103403</v>
      </c>
      <c r="Y30" s="1">
        <f t="shared" ca="1" si="17"/>
        <v>0.6776166768952766</v>
      </c>
      <c r="Z30" s="1">
        <f t="shared" ca="1" si="18"/>
        <v>1080</v>
      </c>
      <c r="AB30" s="1">
        <f t="shared" ca="1" si="19"/>
        <v>0.4153926427540493</v>
      </c>
      <c r="AC30" s="1">
        <f t="shared" ca="1" si="20"/>
        <v>512</v>
      </c>
      <c r="AD30" s="1">
        <f t="shared" ca="1" si="21"/>
        <v>7.7343301519564511E-3</v>
      </c>
      <c r="AE30" s="1"/>
      <c r="AF30" s="1">
        <f t="shared" ca="1" si="22"/>
        <v>0.86972321871661451</v>
      </c>
      <c r="AG30" s="1">
        <f t="shared" ca="1" si="23"/>
        <v>909</v>
      </c>
      <c r="AH30" s="1">
        <f t="shared" ca="1" si="24"/>
        <v>8.9317879719034016E-3</v>
      </c>
      <c r="AJ30" s="1">
        <f t="shared" ca="1" si="25"/>
        <v>0.51795548200794428</v>
      </c>
      <c r="AK30" s="1">
        <f t="shared" ca="1" si="26"/>
        <v>9.9125121138382219E-3</v>
      </c>
      <c r="AL30" s="1"/>
      <c r="AM30" s="1">
        <f t="shared" ca="1" si="27"/>
        <v>4.8330791464919358E-2</v>
      </c>
      <c r="AN30" s="1">
        <f t="shared" ca="1" si="28"/>
        <v>72</v>
      </c>
      <c r="AO30" s="1">
        <f t="shared" ca="1" si="29"/>
        <v>14</v>
      </c>
      <c r="AQ30" s="1">
        <f t="shared" ca="1" si="30"/>
        <v>134</v>
      </c>
      <c r="AR30" s="1">
        <f t="shared" ca="1" si="31"/>
        <v>5</v>
      </c>
      <c r="AS30" s="1">
        <f t="shared" ca="1" si="32"/>
        <v>99</v>
      </c>
      <c r="AU30" s="1">
        <f t="shared" ca="1" si="33"/>
        <v>275</v>
      </c>
      <c r="AV30" s="1">
        <f t="shared" ca="1" si="34"/>
        <v>6</v>
      </c>
      <c r="AW30" s="1">
        <f t="shared" ca="1" si="35"/>
        <v>4.2604895032962359E-2</v>
      </c>
      <c r="AY30" s="1">
        <f t="shared" ca="1" si="36"/>
        <v>1.2371576856372299</v>
      </c>
      <c r="AZ30" s="1">
        <f t="shared" ca="1" si="37"/>
        <v>331</v>
      </c>
      <c r="BA30" s="1">
        <f t="shared" ca="1" si="38"/>
        <v>7.9625297315079422E-3</v>
      </c>
      <c r="BV30" s="1">
        <f t="shared" ca="1" si="39"/>
        <v>0.1852949687877388</v>
      </c>
      <c r="BW30" s="1">
        <f t="shared" ca="1" si="40"/>
        <v>145</v>
      </c>
      <c r="BX30" s="1">
        <f t="shared" ca="1" si="41"/>
        <v>2.7386265118046161E-3</v>
      </c>
      <c r="BY30" s="1">
        <f t="shared" ca="1" si="42"/>
        <v>4.5644453885068485E-2</v>
      </c>
      <c r="BZ30" s="1">
        <f t="shared" ca="1" si="43"/>
        <v>7.1921674345925002E-3</v>
      </c>
      <c r="CB30" s="1">
        <f t="shared" ca="1" si="44"/>
        <v>53</v>
      </c>
      <c r="CC30" s="1">
        <f t="shared" ca="1" si="45"/>
        <v>12</v>
      </c>
      <c r="CD30" s="1">
        <f t="shared" ca="1" si="46"/>
        <v>0.18131507510054726</v>
      </c>
      <c r="CE30" s="1">
        <f t="shared" ca="1" si="47"/>
        <v>0.58056501490607615</v>
      </c>
      <c r="CF30" s="1">
        <f t="shared" ca="1" si="47"/>
        <v>0.89165701441569212</v>
      </c>
      <c r="CH30" s="3">
        <f t="shared" ca="1" si="48"/>
        <v>0.23203652941004821</v>
      </c>
      <c r="CI30" s="3">
        <f t="shared" ca="1" si="49"/>
        <v>0.92441196693782557</v>
      </c>
      <c r="CJ30" s="3">
        <f t="shared" ca="1" si="50"/>
        <v>491</v>
      </c>
      <c r="CK30" s="3">
        <f t="shared" ca="1" si="51"/>
        <v>8.2529080638440687E-3</v>
      </c>
      <c r="CL30" s="3">
        <f t="shared" ca="1" si="52"/>
        <v>0</v>
      </c>
      <c r="CM30" s="3"/>
      <c r="CN30" s="1">
        <f t="shared" ca="1" si="53"/>
        <v>11.649835660391405</v>
      </c>
      <c r="CO30" s="1">
        <f t="shared" ca="1" si="54"/>
        <v>0.29533664560034839</v>
      </c>
      <c r="CP30" s="1">
        <f t="shared" ca="1" si="55"/>
        <v>4</v>
      </c>
    </row>
    <row r="31" spans="2:94" x14ac:dyDescent="0.25">
      <c r="B31">
        <f t="shared" ca="1" si="0"/>
        <v>389</v>
      </c>
      <c r="C31">
        <f t="shared" ca="1" si="1"/>
        <v>31</v>
      </c>
      <c r="D31">
        <f t="shared" ca="1" si="2"/>
        <v>8.0512318689380413E-2</v>
      </c>
      <c r="F31" s="1">
        <f t="shared" ca="1" si="3"/>
        <v>41</v>
      </c>
      <c r="G31" s="1">
        <f t="shared" ca="1" si="4"/>
        <v>8</v>
      </c>
      <c r="H31" s="1">
        <f t="shared" ca="1" si="5"/>
        <v>1</v>
      </c>
      <c r="I31" s="1"/>
      <c r="J31" s="1">
        <f t="shared" ca="1" si="6"/>
        <v>38</v>
      </c>
      <c r="K31" s="1">
        <f t="shared" ca="1" si="7"/>
        <v>2.4697523615281067</v>
      </c>
      <c r="L31" s="1">
        <f t="shared" ca="1" si="8"/>
        <v>19</v>
      </c>
      <c r="M31" s="1"/>
      <c r="N31" s="1">
        <f t="shared" ca="1" si="9"/>
        <v>69</v>
      </c>
      <c r="O31" s="1">
        <f t="shared" ca="1" si="10"/>
        <v>27</v>
      </c>
      <c r="P31" s="1"/>
      <c r="Q31" s="1">
        <f t="shared" ca="1" si="11"/>
        <v>2.8903971563061934</v>
      </c>
      <c r="R31" s="1">
        <f t="shared" ca="1" si="12"/>
        <v>676</v>
      </c>
      <c r="S31" s="1"/>
      <c r="T31" s="1">
        <f t="shared" ca="1" si="13"/>
        <v>4.3453981343183755E-2</v>
      </c>
      <c r="U31" s="1">
        <f t="shared" ca="1" si="14"/>
        <v>447</v>
      </c>
      <c r="V31" s="1">
        <f t="shared" ca="1" si="15"/>
        <v>9</v>
      </c>
      <c r="W31" s="1"/>
      <c r="X31" s="1">
        <f t="shared" ca="1" si="16"/>
        <v>7.1575183514070382</v>
      </c>
      <c r="Y31" s="1">
        <f t="shared" ca="1" si="17"/>
        <v>0.26143178269915818</v>
      </c>
      <c r="Z31" s="1">
        <f t="shared" ca="1" si="18"/>
        <v>575</v>
      </c>
      <c r="AB31" s="1">
        <f t="shared" ca="1" si="19"/>
        <v>0.27119764564417004</v>
      </c>
      <c r="AC31" s="1">
        <f t="shared" ca="1" si="20"/>
        <v>478</v>
      </c>
      <c r="AD31" s="1">
        <f t="shared" ca="1" si="21"/>
        <v>5.8661361055110097E-3</v>
      </c>
      <c r="AE31" s="1"/>
      <c r="AF31" s="1">
        <f t="shared" ca="1" si="22"/>
        <v>0.66268823948143396</v>
      </c>
      <c r="AG31" s="1">
        <f t="shared" ca="1" si="23"/>
        <v>460</v>
      </c>
      <c r="AH31" s="1">
        <f t="shared" ca="1" si="24"/>
        <v>7.8975283162407497E-3</v>
      </c>
      <c r="AJ31" s="1">
        <f t="shared" ca="1" si="25"/>
        <v>0.56793788884181617</v>
      </c>
      <c r="AK31" s="1">
        <f t="shared" ca="1" si="26"/>
        <v>7.0345583665510645E-3</v>
      </c>
      <c r="AL31" s="1"/>
      <c r="AM31" s="1">
        <f t="shared" ca="1" si="27"/>
        <v>4.5685648382921856E-2</v>
      </c>
      <c r="AN31" s="1">
        <f t="shared" ca="1" si="28"/>
        <v>53</v>
      </c>
      <c r="AO31" s="1">
        <f t="shared" ca="1" si="29"/>
        <v>11</v>
      </c>
      <c r="AQ31" s="1">
        <f t="shared" ca="1" si="30"/>
        <v>161</v>
      </c>
      <c r="AR31" s="1">
        <f t="shared" ca="1" si="31"/>
        <v>9</v>
      </c>
      <c r="AS31" s="1">
        <f t="shared" ca="1" si="32"/>
        <v>97</v>
      </c>
      <c r="AU31" s="1">
        <f t="shared" ca="1" si="33"/>
        <v>321</v>
      </c>
      <c r="AV31" s="1">
        <f t="shared" ca="1" si="34"/>
        <v>4</v>
      </c>
      <c r="AW31" s="1">
        <f t="shared" ca="1" si="35"/>
        <v>0.12641256560063202</v>
      </c>
      <c r="AY31" s="1">
        <f t="shared" ca="1" si="36"/>
        <v>1.5521796699538641</v>
      </c>
      <c r="AZ31" s="1">
        <f t="shared" ca="1" si="37"/>
        <v>198</v>
      </c>
      <c r="BA31" s="1">
        <f t="shared" ca="1" si="38"/>
        <v>6.8063500204275131E-3</v>
      </c>
      <c r="BV31" s="1">
        <f t="shared" ca="1" si="39"/>
        <v>0.98800478817826665</v>
      </c>
      <c r="BW31" s="1">
        <f t="shared" ca="1" si="40"/>
        <v>140</v>
      </c>
      <c r="BX31" s="1">
        <f t="shared" ca="1" si="41"/>
        <v>3.0285313381565324E-3</v>
      </c>
      <c r="BY31" s="1">
        <f t="shared" ca="1" si="42"/>
        <v>6.782923762688213E-2</v>
      </c>
      <c r="BZ31" s="1">
        <f t="shared" ca="1" si="43"/>
        <v>0.67496188483406261</v>
      </c>
      <c r="CB31" s="1">
        <f t="shared" ca="1" si="44"/>
        <v>246</v>
      </c>
      <c r="CC31" s="1">
        <f t="shared" ca="1" si="45"/>
        <v>12</v>
      </c>
      <c r="CD31" s="1">
        <f t="shared" ca="1" si="46"/>
        <v>0.19630442756651104</v>
      </c>
      <c r="CE31" s="1">
        <f t="shared" ca="1" si="47"/>
        <v>0.79022776328735322</v>
      </c>
      <c r="CF31" s="1">
        <f t="shared" ca="1" si="47"/>
        <v>0.88109244472487125</v>
      </c>
      <c r="CH31" s="3">
        <f t="shared" ca="1" si="48"/>
        <v>0.65359164700988981</v>
      </c>
      <c r="CI31" s="3">
        <f t="shared" ca="1" si="49"/>
        <v>0.58567174779348186</v>
      </c>
      <c r="CJ31" s="3">
        <f t="shared" ca="1" si="50"/>
        <v>249</v>
      </c>
      <c r="CK31" s="3">
        <f t="shared" ca="1" si="51"/>
        <v>6.121993314642301E-3</v>
      </c>
      <c r="CL31" s="3">
        <f t="shared" ca="1" si="52"/>
        <v>0</v>
      </c>
      <c r="CM31" s="3"/>
      <c r="CN31" s="1">
        <f t="shared" ca="1" si="53"/>
        <v>17.300107029166369</v>
      </c>
      <c r="CO31" s="1">
        <f t="shared" ca="1" si="54"/>
        <v>0.47522363920175931</v>
      </c>
      <c r="CP31" s="1">
        <f t="shared" ca="1" si="55"/>
        <v>4</v>
      </c>
    </row>
    <row r="32" spans="2:94" x14ac:dyDescent="0.25">
      <c r="B32">
        <f t="shared" ca="1" si="0"/>
        <v>269</v>
      </c>
      <c r="C32">
        <f t="shared" ca="1" si="1"/>
        <v>51</v>
      </c>
      <c r="D32">
        <f t="shared" ca="1" si="2"/>
        <v>0.29812649064146646</v>
      </c>
      <c r="F32" s="1">
        <f t="shared" ca="1" si="3"/>
        <v>49</v>
      </c>
      <c r="G32" s="1">
        <f t="shared" ca="1" si="4"/>
        <v>30</v>
      </c>
      <c r="H32" s="1">
        <f t="shared" ca="1" si="5"/>
        <v>13</v>
      </c>
      <c r="I32" s="1"/>
      <c r="J32" s="1">
        <f t="shared" ca="1" si="6"/>
        <v>10</v>
      </c>
      <c r="K32" s="1">
        <f t="shared" ca="1" si="7"/>
        <v>1.7918348950678251</v>
      </c>
      <c r="L32" s="1">
        <f t="shared" ca="1" si="8"/>
        <v>35</v>
      </c>
      <c r="M32" s="1"/>
      <c r="N32" s="1">
        <f t="shared" ca="1" si="9"/>
        <v>272</v>
      </c>
      <c r="O32" s="1">
        <f t="shared" ca="1" si="10"/>
        <v>13</v>
      </c>
      <c r="P32" s="1"/>
      <c r="Q32" s="1">
        <f t="shared" ca="1" si="11"/>
        <v>1.2489226915602469</v>
      </c>
      <c r="R32" s="1">
        <f t="shared" ca="1" si="12"/>
        <v>1175</v>
      </c>
      <c r="S32" s="1"/>
      <c r="T32" s="1">
        <f t="shared" ca="1" si="13"/>
        <v>3.9951533329173915E-2</v>
      </c>
      <c r="U32" s="1">
        <f t="shared" ca="1" si="14"/>
        <v>172</v>
      </c>
      <c r="V32" s="1">
        <f t="shared" ca="1" si="15"/>
        <v>7</v>
      </c>
      <c r="W32" s="1"/>
      <c r="X32" s="1">
        <f t="shared" ca="1" si="16"/>
        <v>4.2464262732627001</v>
      </c>
      <c r="Y32" s="1">
        <f t="shared" ca="1" si="17"/>
        <v>0.31048772139806702</v>
      </c>
      <c r="Z32" s="1">
        <f t="shared" ca="1" si="18"/>
        <v>1048</v>
      </c>
      <c r="AB32" s="1">
        <f t="shared" ca="1" si="19"/>
        <v>0.2790564656441672</v>
      </c>
      <c r="AC32" s="1">
        <f t="shared" ca="1" si="20"/>
        <v>103</v>
      </c>
      <c r="AD32" s="1">
        <f t="shared" ca="1" si="21"/>
        <v>4.5828706595887909E-3</v>
      </c>
      <c r="AE32" s="1"/>
      <c r="AF32" s="1">
        <f t="shared" ca="1" si="22"/>
        <v>0.71429719383237422</v>
      </c>
      <c r="AG32" s="1">
        <f t="shared" ca="1" si="23"/>
        <v>258</v>
      </c>
      <c r="AH32" s="1">
        <f t="shared" ca="1" si="24"/>
        <v>3.840556223221788E-3</v>
      </c>
      <c r="AJ32" s="1">
        <f t="shared" ca="1" si="25"/>
        <v>0.88421327871983546</v>
      </c>
      <c r="AK32" s="1">
        <f t="shared" ca="1" si="26"/>
        <v>3.6349045355116931E-3</v>
      </c>
      <c r="AL32" s="1"/>
      <c r="AM32" s="1">
        <f t="shared" ca="1" si="27"/>
        <v>0.1219383823384817</v>
      </c>
      <c r="AN32" s="1">
        <f t="shared" ca="1" si="28"/>
        <v>42</v>
      </c>
      <c r="AO32" s="1">
        <f t="shared" ca="1" si="29"/>
        <v>20</v>
      </c>
      <c r="AQ32" s="1">
        <f t="shared" ca="1" si="30"/>
        <v>37</v>
      </c>
      <c r="AR32" s="1">
        <f t="shared" ca="1" si="31"/>
        <v>5</v>
      </c>
      <c r="AS32" s="1">
        <f t="shared" ca="1" si="32"/>
        <v>81</v>
      </c>
      <c r="AU32" s="1">
        <f t="shared" ca="1" si="33"/>
        <v>367</v>
      </c>
      <c r="AV32" s="1">
        <f t="shared" ca="1" si="34"/>
        <v>9</v>
      </c>
      <c r="AW32" s="1">
        <f t="shared" ca="1" si="35"/>
        <v>0.11393867540709626</v>
      </c>
      <c r="AY32" s="1">
        <f t="shared" ca="1" si="36"/>
        <v>1.4121635443366465</v>
      </c>
      <c r="AZ32" s="1">
        <f t="shared" ca="1" si="37"/>
        <v>238</v>
      </c>
      <c r="BA32" s="1">
        <f t="shared" ca="1" si="38"/>
        <v>4.0293458674542709E-3</v>
      </c>
      <c r="BV32" s="1">
        <f t="shared" ca="1" si="39"/>
        <v>0.45080086593507351</v>
      </c>
      <c r="BW32" s="1">
        <f t="shared" ca="1" si="40"/>
        <v>833</v>
      </c>
      <c r="BX32" s="1">
        <f t="shared" ca="1" si="41"/>
        <v>9.9971498555044645E-3</v>
      </c>
      <c r="BY32" s="1">
        <f t="shared" ca="1" si="42"/>
        <v>5.0660585976951868E-2</v>
      </c>
      <c r="BZ32" s="1">
        <f t="shared" ca="1" si="43"/>
        <v>0.40597109798488762</v>
      </c>
      <c r="CB32" s="1">
        <f t="shared" ca="1" si="44"/>
        <v>413</v>
      </c>
      <c r="CC32" s="1">
        <f t="shared" ca="1" si="45"/>
        <v>4</v>
      </c>
      <c r="CD32" s="1">
        <f t="shared" ca="1" si="46"/>
        <v>0.21399037456028308</v>
      </c>
      <c r="CE32" s="1">
        <f t="shared" ca="1" si="47"/>
        <v>0.73181839055523756</v>
      </c>
      <c r="CF32" s="1">
        <f t="shared" ca="1" si="47"/>
        <v>0.6833671608118399</v>
      </c>
      <c r="CH32" s="3">
        <f t="shared" ca="1" si="48"/>
        <v>0.21553897792717297</v>
      </c>
      <c r="CI32" s="3">
        <f t="shared" ca="1" si="49"/>
        <v>8.5518754945330358E-2</v>
      </c>
      <c r="CJ32" s="3">
        <f t="shared" ca="1" si="50"/>
        <v>995</v>
      </c>
      <c r="CK32" s="3">
        <f t="shared" ca="1" si="51"/>
        <v>3.9062077821662417E-4</v>
      </c>
      <c r="CL32" s="3">
        <f t="shared" ca="1" si="52"/>
        <v>0</v>
      </c>
      <c r="CM32" s="3"/>
      <c r="CN32" s="1">
        <f t="shared" ca="1" si="53"/>
        <v>15.750896481239765</v>
      </c>
      <c r="CO32" s="1">
        <f t="shared" ca="1" si="54"/>
        <v>1.7283757705856762E-2</v>
      </c>
      <c r="CP32" s="1">
        <f t="shared" ca="1" si="55"/>
        <v>4</v>
      </c>
    </row>
    <row r="33" spans="2:94" x14ac:dyDescent="0.25">
      <c r="B33">
        <f t="shared" ca="1" si="0"/>
        <v>334</v>
      </c>
      <c r="C33">
        <f t="shared" ca="1" si="1"/>
        <v>15</v>
      </c>
      <c r="D33">
        <f t="shared" ca="1" si="2"/>
        <v>0.23076027340862332</v>
      </c>
      <c r="F33" s="1">
        <f t="shared" ca="1" si="3"/>
        <v>45</v>
      </c>
      <c r="G33" s="1">
        <f t="shared" ca="1" si="4"/>
        <v>19</v>
      </c>
      <c r="H33" s="1">
        <f t="shared" ca="1" si="5"/>
        <v>7</v>
      </c>
      <c r="I33" s="1"/>
      <c r="J33" s="1">
        <f t="shared" ca="1" si="6"/>
        <v>25</v>
      </c>
      <c r="K33" s="1">
        <f t="shared" ca="1" si="7"/>
        <v>2.1790808899997947</v>
      </c>
      <c r="L33" s="1">
        <f t="shared" ca="1" si="8"/>
        <v>31</v>
      </c>
      <c r="M33" s="1"/>
      <c r="N33" s="1">
        <f t="shared" ca="1" si="9"/>
        <v>535</v>
      </c>
      <c r="O33" s="1">
        <f t="shared" ca="1" si="10"/>
        <v>19</v>
      </c>
      <c r="P33" s="1"/>
      <c r="Q33" s="1">
        <f t="shared" ca="1" si="11"/>
        <v>2.7924137980274879</v>
      </c>
      <c r="R33" s="1">
        <f t="shared" ca="1" si="12"/>
        <v>1178</v>
      </c>
      <c r="S33" s="1"/>
      <c r="T33" s="1">
        <f t="shared" ca="1" si="13"/>
        <v>0.16281227497776765</v>
      </c>
      <c r="U33" s="1">
        <f t="shared" ca="1" si="14"/>
        <v>211</v>
      </c>
      <c r="V33" s="1">
        <f t="shared" ca="1" si="15"/>
        <v>22</v>
      </c>
      <c r="W33" s="1"/>
      <c r="X33" s="1">
        <f t="shared" ca="1" si="16"/>
        <v>4.2127065539959219</v>
      </c>
      <c r="Y33" s="1">
        <f t="shared" ca="1" si="17"/>
        <v>2.4831467486202321E-2</v>
      </c>
      <c r="Z33" s="1">
        <f t="shared" ca="1" si="18"/>
        <v>1345</v>
      </c>
      <c r="AB33" s="1">
        <f t="shared" ca="1" si="19"/>
        <v>0.57085469107643805</v>
      </c>
      <c r="AC33" s="1">
        <f t="shared" ca="1" si="20"/>
        <v>408</v>
      </c>
      <c r="AD33" s="1">
        <f t="shared" ca="1" si="21"/>
        <v>7.3724353560573781E-3</v>
      </c>
      <c r="AE33" s="1"/>
      <c r="AF33" s="1">
        <f t="shared" ca="1" si="22"/>
        <v>0.38687933119636553</v>
      </c>
      <c r="AG33" s="1">
        <f t="shared" ca="1" si="23"/>
        <v>496</v>
      </c>
      <c r="AH33" s="1">
        <f t="shared" ca="1" si="24"/>
        <v>7.2532762250814269E-3</v>
      </c>
      <c r="AJ33" s="1">
        <f t="shared" ca="1" si="25"/>
        <v>2.2072120205877455E-2</v>
      </c>
      <c r="AK33" s="1">
        <f t="shared" ca="1" si="26"/>
        <v>4.2738238929181695E-3</v>
      </c>
      <c r="AL33" s="1"/>
      <c r="AM33" s="1">
        <f t="shared" ca="1" si="27"/>
        <v>3.3816722594049886E-2</v>
      </c>
      <c r="AN33" s="1">
        <f t="shared" ca="1" si="28"/>
        <v>22</v>
      </c>
      <c r="AO33" s="1">
        <f t="shared" ca="1" si="29"/>
        <v>12</v>
      </c>
      <c r="AQ33" s="1">
        <f t="shared" ca="1" si="30"/>
        <v>89</v>
      </c>
      <c r="AR33" s="1">
        <f t="shared" ca="1" si="31"/>
        <v>5</v>
      </c>
      <c r="AS33" s="1">
        <f t="shared" ca="1" si="32"/>
        <v>2</v>
      </c>
      <c r="AU33" s="1">
        <f t="shared" ca="1" si="33"/>
        <v>202</v>
      </c>
      <c r="AV33" s="1">
        <f t="shared" ca="1" si="34"/>
        <v>4</v>
      </c>
      <c r="AW33" s="1">
        <f t="shared" ca="1" si="35"/>
        <v>7.3134416754017162E-2</v>
      </c>
      <c r="AY33" s="1">
        <f t="shared" ca="1" si="36"/>
        <v>1.4158269346050472</v>
      </c>
      <c r="AZ33" s="1">
        <f t="shared" ca="1" si="37"/>
        <v>223</v>
      </c>
      <c r="BA33" s="1">
        <f t="shared" ca="1" si="38"/>
        <v>8.6224688860041237E-3</v>
      </c>
      <c r="BV33" s="1">
        <f t="shared" ca="1" si="39"/>
        <v>0.66364949272830676</v>
      </c>
      <c r="BW33" s="1">
        <f t="shared" ca="1" si="40"/>
        <v>623</v>
      </c>
      <c r="BX33" s="1">
        <f t="shared" ca="1" si="41"/>
        <v>7.12652374503617E-3</v>
      </c>
      <c r="BY33" s="1">
        <f t="shared" ca="1" si="42"/>
        <v>1.973762557043994E-2</v>
      </c>
      <c r="BZ33" s="1">
        <f t="shared" ca="1" si="43"/>
        <v>0.58539489062731498</v>
      </c>
      <c r="CB33" s="1">
        <f t="shared" ca="1" si="44"/>
        <v>321</v>
      </c>
      <c r="CC33" s="1">
        <f t="shared" ca="1" si="45"/>
        <v>15</v>
      </c>
      <c r="CD33" s="1">
        <f t="shared" ca="1" si="46"/>
        <v>0.28911540720348095</v>
      </c>
      <c r="CE33" s="1">
        <f t="shared" ca="1" si="47"/>
        <v>0.56619858757607</v>
      </c>
      <c r="CF33" s="1">
        <f t="shared" ca="1" si="47"/>
        <v>0.55902163119322146</v>
      </c>
      <c r="CH33" s="3">
        <f t="shared" ca="1" si="48"/>
        <v>4.496989537637204E-2</v>
      </c>
      <c r="CI33" s="3">
        <f t="shared" ca="1" si="49"/>
        <v>0.46233726409013237</v>
      </c>
      <c r="CJ33" s="3">
        <f t="shared" ca="1" si="50"/>
        <v>1131</v>
      </c>
      <c r="CK33" s="3">
        <f t="shared" ca="1" si="51"/>
        <v>6.7657267561711471E-3</v>
      </c>
      <c r="CL33" s="3">
        <f t="shared" ca="1" si="52"/>
        <v>1</v>
      </c>
      <c r="CM33" s="3"/>
      <c r="CN33" s="1">
        <f t="shared" ca="1" si="53"/>
        <v>11.292687092204099</v>
      </c>
      <c r="CO33" s="1">
        <f t="shared" ca="1" si="54"/>
        <v>0.4375303834516599</v>
      </c>
      <c r="CP33" s="1">
        <f t="shared" ca="1" si="55"/>
        <v>3</v>
      </c>
    </row>
    <row r="34" spans="2:94" x14ac:dyDescent="0.25">
      <c r="B34">
        <f t="shared" ca="1" si="0"/>
        <v>690</v>
      </c>
      <c r="C34">
        <f t="shared" ca="1" si="1"/>
        <v>24</v>
      </c>
      <c r="D34">
        <f t="shared" ca="1" si="2"/>
        <v>0.18067609292719708</v>
      </c>
      <c r="F34" s="1">
        <f t="shared" ca="1" si="3"/>
        <v>26</v>
      </c>
      <c r="G34" s="1">
        <f t="shared" ca="1" si="4"/>
        <v>2</v>
      </c>
      <c r="H34" s="1">
        <f t="shared" ca="1" si="5"/>
        <v>10</v>
      </c>
      <c r="I34" s="1"/>
      <c r="J34" s="1">
        <f t="shared" ca="1" si="6"/>
        <v>39</v>
      </c>
      <c r="K34" s="1">
        <f t="shared" ca="1" si="7"/>
        <v>1.8903675436986367</v>
      </c>
      <c r="L34" s="1">
        <f t="shared" ca="1" si="8"/>
        <v>17</v>
      </c>
      <c r="M34" s="1"/>
      <c r="N34" s="1">
        <f t="shared" ca="1" si="9"/>
        <v>936</v>
      </c>
      <c r="O34" s="1">
        <f t="shared" ca="1" si="10"/>
        <v>32</v>
      </c>
      <c r="P34" s="1"/>
      <c r="Q34" s="1">
        <f t="shared" ca="1" si="11"/>
        <v>2.2176415839875689</v>
      </c>
      <c r="R34" s="1">
        <f t="shared" ca="1" si="12"/>
        <v>311</v>
      </c>
      <c r="S34" s="1"/>
      <c r="T34" s="1">
        <f t="shared" ca="1" si="13"/>
        <v>0.18466456653700039</v>
      </c>
      <c r="U34" s="1">
        <f t="shared" ca="1" si="14"/>
        <v>80</v>
      </c>
      <c r="V34" s="1">
        <f t="shared" ca="1" si="15"/>
        <v>5</v>
      </c>
      <c r="W34" s="1"/>
      <c r="X34" s="1">
        <f t="shared" ca="1" si="16"/>
        <v>3.7978026052799803</v>
      </c>
      <c r="Y34" s="1">
        <f t="shared" ca="1" si="17"/>
        <v>0.50832300218851412</v>
      </c>
      <c r="Z34" s="1">
        <f t="shared" ca="1" si="18"/>
        <v>876</v>
      </c>
      <c r="AB34" s="1">
        <f t="shared" ca="1" si="19"/>
        <v>1.2537838385381098E-2</v>
      </c>
      <c r="AC34" s="1">
        <f t="shared" ca="1" si="20"/>
        <v>890</v>
      </c>
      <c r="AD34" s="1">
        <f t="shared" ca="1" si="21"/>
        <v>1.6766724137035752E-3</v>
      </c>
      <c r="AE34" s="1"/>
      <c r="AF34" s="1">
        <f t="shared" ca="1" si="22"/>
        <v>0.56538700935594299</v>
      </c>
      <c r="AG34" s="1">
        <f t="shared" ca="1" si="23"/>
        <v>442</v>
      </c>
      <c r="AH34" s="1">
        <f t="shared" ca="1" si="24"/>
        <v>6.313423852141683E-3</v>
      </c>
      <c r="AJ34" s="1">
        <f t="shared" ca="1" si="25"/>
        <v>0.88646500984055998</v>
      </c>
      <c r="AK34" s="1">
        <f t="shared" ca="1" si="26"/>
        <v>7.4622502128234153E-3</v>
      </c>
      <c r="AL34" s="1"/>
      <c r="AM34" s="1">
        <f t="shared" ca="1" si="27"/>
        <v>0.10410694051613793</v>
      </c>
      <c r="AN34" s="1">
        <f t="shared" ca="1" si="28"/>
        <v>11</v>
      </c>
      <c r="AO34" s="1">
        <f t="shared" ca="1" si="29"/>
        <v>19</v>
      </c>
      <c r="AQ34" s="1">
        <f t="shared" ca="1" si="30"/>
        <v>92</v>
      </c>
      <c r="AR34" s="1">
        <f t="shared" ca="1" si="31"/>
        <v>0</v>
      </c>
      <c r="AS34" s="1">
        <f t="shared" ca="1" si="32"/>
        <v>79</v>
      </c>
      <c r="AU34" s="1">
        <f t="shared" ca="1" si="33"/>
        <v>309</v>
      </c>
      <c r="AV34" s="1">
        <f t="shared" ca="1" si="34"/>
        <v>7</v>
      </c>
      <c r="AW34" s="1">
        <f t="shared" ca="1" si="35"/>
        <v>0.13809381635305515</v>
      </c>
      <c r="AY34" s="1">
        <f t="shared" ca="1" si="36"/>
        <v>1.6350736167621442</v>
      </c>
      <c r="AZ34" s="1">
        <f t="shared" ca="1" si="37"/>
        <v>77</v>
      </c>
      <c r="BA34" s="1">
        <f t="shared" ca="1" si="38"/>
        <v>3.6241716623271213E-3</v>
      </c>
      <c r="BV34" s="1">
        <f t="shared" ca="1" si="39"/>
        <v>0.5984306220721648</v>
      </c>
      <c r="BW34" s="1">
        <f t="shared" ca="1" si="40"/>
        <v>178</v>
      </c>
      <c r="BX34" s="1">
        <f t="shared" ca="1" si="41"/>
        <v>3.0126515419036321E-3</v>
      </c>
      <c r="BY34" s="1">
        <f t="shared" ca="1" si="42"/>
        <v>7.8812058682714473E-2</v>
      </c>
      <c r="BZ34" s="1">
        <f t="shared" ca="1" si="43"/>
        <v>0.9616386881274922</v>
      </c>
      <c r="CB34" s="1">
        <f t="shared" ca="1" si="44"/>
        <v>441</v>
      </c>
      <c r="CC34" s="1">
        <f t="shared" ca="1" si="45"/>
        <v>10</v>
      </c>
      <c r="CD34" s="1">
        <f t="shared" ca="1" si="46"/>
        <v>0.21830104538070902</v>
      </c>
      <c r="CE34" s="1">
        <f t="shared" ca="1" si="47"/>
        <v>0.73297801177546695</v>
      </c>
      <c r="CF34" s="1">
        <f t="shared" ca="1" si="47"/>
        <v>0.7710228098629297</v>
      </c>
      <c r="CH34" s="3">
        <f t="shared" ca="1" si="48"/>
        <v>0.14440545458062093</v>
      </c>
      <c r="CI34" s="3">
        <f t="shared" ca="1" si="49"/>
        <v>8.7539348234907069E-2</v>
      </c>
      <c r="CJ34" s="3">
        <f t="shared" ca="1" si="50"/>
        <v>870</v>
      </c>
      <c r="CK34" s="3">
        <f t="shared" ca="1" si="51"/>
        <v>2.5965971861479169E-3</v>
      </c>
      <c r="CL34" s="3">
        <f t="shared" ca="1" si="52"/>
        <v>1</v>
      </c>
      <c r="CM34" s="3"/>
      <c r="CN34" s="1">
        <f t="shared" ca="1" si="53"/>
        <v>15.29008817484273</v>
      </c>
      <c r="CO34" s="1">
        <f t="shared" ca="1" si="54"/>
        <v>0.45773597857774601</v>
      </c>
      <c r="CP34" s="1">
        <f t="shared" ca="1" si="55"/>
        <v>5</v>
      </c>
    </row>
    <row r="35" spans="2:94" x14ac:dyDescent="0.25">
      <c r="B35">
        <f t="shared" ca="1" si="0"/>
        <v>409</v>
      </c>
      <c r="C35">
        <f t="shared" ca="1" si="1"/>
        <v>16</v>
      </c>
      <c r="D35">
        <f t="shared" ca="1" si="2"/>
        <v>0.19520634957117339</v>
      </c>
      <c r="F35" s="1">
        <f t="shared" ca="1" si="3"/>
        <v>9</v>
      </c>
      <c r="G35" s="1">
        <f t="shared" ca="1" si="4"/>
        <v>12</v>
      </c>
      <c r="H35" s="1">
        <f t="shared" ca="1" si="5"/>
        <v>13</v>
      </c>
      <c r="I35" s="1"/>
      <c r="J35" s="1">
        <f t="shared" ca="1" si="6"/>
        <v>21</v>
      </c>
      <c r="K35" s="1">
        <f t="shared" ca="1" si="7"/>
        <v>2.6495634346085843</v>
      </c>
      <c r="L35" s="1">
        <f t="shared" ca="1" si="8"/>
        <v>2</v>
      </c>
      <c r="M35" s="1"/>
      <c r="N35" s="1">
        <f t="shared" ca="1" si="9"/>
        <v>872</v>
      </c>
      <c r="O35" s="1">
        <f t="shared" ca="1" si="10"/>
        <v>25</v>
      </c>
      <c r="P35" s="1"/>
      <c r="Q35" s="1">
        <f t="shared" ca="1" si="11"/>
        <v>2.5855222120865471</v>
      </c>
      <c r="R35" s="1">
        <f t="shared" ca="1" si="12"/>
        <v>327</v>
      </c>
      <c r="S35" s="1"/>
      <c r="T35" s="1">
        <f t="shared" ca="1" si="13"/>
        <v>0.19860693491711504</v>
      </c>
      <c r="U35" s="1">
        <f t="shared" ca="1" si="14"/>
        <v>292</v>
      </c>
      <c r="V35" s="1">
        <f t="shared" ca="1" si="15"/>
        <v>45</v>
      </c>
      <c r="W35" s="1"/>
      <c r="X35" s="1">
        <f t="shared" ca="1" si="16"/>
        <v>4.058928000149252</v>
      </c>
      <c r="Y35" s="1">
        <f t="shared" ca="1" si="17"/>
        <v>0.23128184448445735</v>
      </c>
      <c r="Z35" s="1">
        <f t="shared" ca="1" si="18"/>
        <v>1286</v>
      </c>
      <c r="AB35" s="1">
        <f t="shared" ca="1" si="19"/>
        <v>0.45243680082828541</v>
      </c>
      <c r="AC35" s="1">
        <f t="shared" ca="1" si="20"/>
        <v>427</v>
      </c>
      <c r="AD35" s="1">
        <f t="shared" ca="1" si="21"/>
        <v>5.6695301421011779E-3</v>
      </c>
      <c r="AE35" s="1"/>
      <c r="AF35" s="1">
        <f t="shared" ca="1" si="22"/>
        <v>0.83559340002273963</v>
      </c>
      <c r="AG35" s="1">
        <f t="shared" ca="1" si="23"/>
        <v>579</v>
      </c>
      <c r="AH35" s="1">
        <f t="shared" ca="1" si="24"/>
        <v>4.5737978304828389E-3</v>
      </c>
      <c r="AJ35" s="1">
        <f t="shared" ca="1" si="25"/>
        <v>1.1730147397509882E-2</v>
      </c>
      <c r="AK35" s="1">
        <f t="shared" ca="1" si="26"/>
        <v>2.6785859138886127E-4</v>
      </c>
      <c r="AL35" s="1"/>
      <c r="AM35" s="1">
        <f t="shared" ca="1" si="27"/>
        <v>1.1254134761768465E-2</v>
      </c>
      <c r="AN35" s="1">
        <f t="shared" ca="1" si="28"/>
        <v>42</v>
      </c>
      <c r="AO35" s="1">
        <f t="shared" ca="1" si="29"/>
        <v>5</v>
      </c>
      <c r="AQ35" s="1">
        <f t="shared" ca="1" si="30"/>
        <v>177</v>
      </c>
      <c r="AR35" s="1">
        <f t="shared" ca="1" si="31"/>
        <v>3</v>
      </c>
      <c r="AS35" s="1">
        <f t="shared" ca="1" si="32"/>
        <v>60</v>
      </c>
      <c r="AU35" s="1">
        <f t="shared" ca="1" si="33"/>
        <v>68</v>
      </c>
      <c r="AV35" s="1">
        <f t="shared" ca="1" si="34"/>
        <v>2</v>
      </c>
      <c r="AW35" s="1">
        <f t="shared" ca="1" si="35"/>
        <v>0.11742040479485145</v>
      </c>
      <c r="AY35" s="1">
        <f t="shared" ca="1" si="36"/>
        <v>1.9088377104157304</v>
      </c>
      <c r="AZ35" s="1">
        <f t="shared" ca="1" si="37"/>
        <v>286</v>
      </c>
      <c r="BA35" s="1">
        <f t="shared" ca="1" si="38"/>
        <v>8.0585041526594157E-3</v>
      </c>
      <c r="BV35" s="1">
        <f t="shared" ca="1" si="39"/>
        <v>0.14729185148674098</v>
      </c>
      <c r="BW35" s="1">
        <f t="shared" ca="1" si="40"/>
        <v>148</v>
      </c>
      <c r="BX35" s="1">
        <f t="shared" ca="1" si="41"/>
        <v>6.7641015420028911E-3</v>
      </c>
      <c r="BY35" s="1">
        <f t="shared" ca="1" si="42"/>
        <v>1.2467832919356161E-2</v>
      </c>
      <c r="BZ35" s="1">
        <f t="shared" ca="1" si="43"/>
        <v>0.27101120607829021</v>
      </c>
      <c r="CB35" s="1">
        <f t="shared" ca="1" si="44"/>
        <v>353</v>
      </c>
      <c r="CC35" s="1">
        <f t="shared" ca="1" si="45"/>
        <v>13</v>
      </c>
      <c r="CD35" s="1">
        <f t="shared" ca="1" si="46"/>
        <v>0.1239588987674628</v>
      </c>
      <c r="CE35" s="1">
        <f t="shared" ca="1" si="47"/>
        <v>0.77503706968246711</v>
      </c>
      <c r="CF35" s="1">
        <f t="shared" ca="1" si="47"/>
        <v>0.82671413808303207</v>
      </c>
      <c r="CH35" s="3">
        <f t="shared" ca="1" si="48"/>
        <v>0.98988336273982513</v>
      </c>
      <c r="CI35" s="3">
        <f t="shared" ca="1" si="49"/>
        <v>0.16392195172044183</v>
      </c>
      <c r="CJ35" s="3">
        <f t="shared" ca="1" si="50"/>
        <v>1066</v>
      </c>
      <c r="CK35" s="3">
        <f t="shared" ca="1" si="51"/>
        <v>6.9423480250525261E-3</v>
      </c>
      <c r="CL35" s="3">
        <f t="shared" ca="1" si="52"/>
        <v>0</v>
      </c>
      <c r="CM35" s="3"/>
      <c r="CN35" s="1">
        <f t="shared" ca="1" si="53"/>
        <v>15.801230655152573</v>
      </c>
      <c r="CO35" s="1">
        <f t="shared" ca="1" si="54"/>
        <v>4.31861011382541E-2</v>
      </c>
      <c r="CP35" s="1">
        <f t="shared" ca="1" si="55"/>
        <v>5</v>
      </c>
    </row>
    <row r="36" spans="2:94" x14ac:dyDescent="0.25">
      <c r="B36">
        <f t="shared" ca="1" si="0"/>
        <v>33</v>
      </c>
      <c r="C36">
        <f t="shared" ca="1" si="1"/>
        <v>15</v>
      </c>
      <c r="D36">
        <f t="shared" ca="1" si="2"/>
        <v>0.2828456337582016</v>
      </c>
      <c r="F36" s="1">
        <f t="shared" ca="1" si="3"/>
        <v>5</v>
      </c>
      <c r="G36" s="1">
        <f t="shared" ca="1" si="4"/>
        <v>15</v>
      </c>
      <c r="H36" s="1">
        <f t="shared" ca="1" si="5"/>
        <v>5</v>
      </c>
      <c r="I36" s="1"/>
      <c r="J36" s="1">
        <f t="shared" ca="1" si="6"/>
        <v>34</v>
      </c>
      <c r="K36" s="1">
        <f t="shared" ca="1" si="7"/>
        <v>1.9355966808081917</v>
      </c>
      <c r="L36" s="1">
        <f t="shared" ca="1" si="8"/>
        <v>18</v>
      </c>
      <c r="M36" s="1"/>
      <c r="N36" s="1">
        <f t="shared" ca="1" si="9"/>
        <v>914</v>
      </c>
      <c r="O36" s="1">
        <f t="shared" ca="1" si="10"/>
        <v>31</v>
      </c>
      <c r="P36" s="1"/>
      <c r="Q36" s="1">
        <f t="shared" ca="1" si="11"/>
        <v>4.5640970922480726</v>
      </c>
      <c r="R36" s="1">
        <f t="shared" ca="1" si="12"/>
        <v>788</v>
      </c>
      <c r="S36" s="1"/>
      <c r="T36" s="1">
        <f t="shared" ca="1" si="13"/>
        <v>6.5036813450610909E-2</v>
      </c>
      <c r="U36" s="1">
        <f t="shared" ca="1" si="14"/>
        <v>159</v>
      </c>
      <c r="V36" s="1">
        <f t="shared" ca="1" si="15"/>
        <v>46</v>
      </c>
      <c r="W36" s="1"/>
      <c r="X36" s="1">
        <f t="shared" ca="1" si="16"/>
        <v>8.8901564418461199</v>
      </c>
      <c r="Y36" s="1">
        <f t="shared" ca="1" si="17"/>
        <v>0.81045558678847074</v>
      </c>
      <c r="Z36" s="1">
        <f t="shared" ca="1" si="18"/>
        <v>1015</v>
      </c>
      <c r="AB36" s="1">
        <f t="shared" ca="1" si="19"/>
        <v>4.6792525361293094E-2</v>
      </c>
      <c r="AC36" s="1">
        <f t="shared" ca="1" si="20"/>
        <v>394</v>
      </c>
      <c r="AD36" s="1">
        <f t="shared" ca="1" si="21"/>
        <v>1.6707146844107434E-3</v>
      </c>
      <c r="AE36" s="1"/>
      <c r="AF36" s="1">
        <f t="shared" ca="1" si="22"/>
        <v>0.51378086325849071</v>
      </c>
      <c r="AG36" s="1">
        <f t="shared" ca="1" si="23"/>
        <v>404</v>
      </c>
      <c r="AH36" s="1">
        <f t="shared" ca="1" si="24"/>
        <v>2.5530281636750242E-3</v>
      </c>
      <c r="AJ36" s="1">
        <f t="shared" ca="1" si="25"/>
        <v>0.4486516310951818</v>
      </c>
      <c r="AK36" s="1">
        <f t="shared" ca="1" si="26"/>
        <v>5.8715049312297743E-3</v>
      </c>
      <c r="AL36" s="1"/>
      <c r="AM36" s="1">
        <f t="shared" ca="1" si="27"/>
        <v>0.13325013575651032</v>
      </c>
      <c r="AN36" s="1">
        <f t="shared" ca="1" si="28"/>
        <v>77</v>
      </c>
      <c r="AO36" s="1">
        <f t="shared" ca="1" si="29"/>
        <v>5</v>
      </c>
      <c r="AQ36" s="1">
        <f t="shared" ca="1" si="30"/>
        <v>107</v>
      </c>
      <c r="AR36" s="1">
        <f t="shared" ca="1" si="31"/>
        <v>0</v>
      </c>
      <c r="AS36" s="1">
        <f t="shared" ca="1" si="32"/>
        <v>24</v>
      </c>
      <c r="AU36" s="1">
        <f t="shared" ca="1" si="33"/>
        <v>370</v>
      </c>
      <c r="AV36" s="1">
        <f t="shared" ca="1" si="34"/>
        <v>10</v>
      </c>
      <c r="AW36" s="1">
        <f t="shared" ca="1" si="35"/>
        <v>0.14582713629496807</v>
      </c>
      <c r="AY36" s="1">
        <f t="shared" ca="1" si="36"/>
        <v>1.6880369110273832</v>
      </c>
      <c r="AZ36" s="1">
        <f t="shared" ca="1" si="37"/>
        <v>85</v>
      </c>
      <c r="BA36" s="1">
        <f t="shared" ca="1" si="38"/>
        <v>3.445771671076148E-3</v>
      </c>
      <c r="BV36" s="1">
        <f t="shared" ca="1" si="39"/>
        <v>4.1885995025555192E-2</v>
      </c>
      <c r="BW36" s="1">
        <f t="shared" ca="1" si="40"/>
        <v>311</v>
      </c>
      <c r="BX36" s="1">
        <f t="shared" ca="1" si="41"/>
        <v>8.2032083606228216E-3</v>
      </c>
      <c r="BY36" s="1">
        <f t="shared" ca="1" si="42"/>
        <v>7.3731847641023668E-2</v>
      </c>
      <c r="BZ36" s="1">
        <f t="shared" ca="1" si="43"/>
        <v>0.39839059454125958</v>
      </c>
      <c r="CB36" s="1">
        <f t="shared" ca="1" si="44"/>
        <v>183</v>
      </c>
      <c r="CC36" s="1">
        <f t="shared" ca="1" si="45"/>
        <v>14</v>
      </c>
      <c r="CD36" s="1">
        <f t="shared" ca="1" si="46"/>
        <v>2.6822983459682356E-2</v>
      </c>
      <c r="CE36" s="1">
        <f t="shared" ref="CE36:CF67" ca="1" si="56">RAND()*(1-0.5)+0.5</f>
        <v>0.86206587549995317</v>
      </c>
      <c r="CF36" s="1">
        <f t="shared" ca="1" si="56"/>
        <v>0.65090819426881952</v>
      </c>
      <c r="CH36" s="3">
        <f t="shared" ca="1" si="48"/>
        <v>0.83897473888620111</v>
      </c>
      <c r="CI36" s="3">
        <f t="shared" ca="1" si="49"/>
        <v>0.19907086064224083</v>
      </c>
      <c r="CJ36" s="3">
        <f t="shared" ca="1" si="50"/>
        <v>347</v>
      </c>
      <c r="CK36" s="3">
        <f t="shared" ca="1" si="51"/>
        <v>2.1623018812319435E-3</v>
      </c>
      <c r="CL36" s="3">
        <f t="shared" ca="1" si="52"/>
        <v>0</v>
      </c>
      <c r="CM36" s="3"/>
      <c r="CN36" s="1">
        <f t="shared" ca="1" si="53"/>
        <v>10.253463951996403</v>
      </c>
      <c r="CO36" s="1">
        <f t="shared" ca="1" si="54"/>
        <v>0.40861058072062978</v>
      </c>
      <c r="CP36" s="1">
        <f t="shared" ca="1" si="55"/>
        <v>3</v>
      </c>
    </row>
    <row r="37" spans="2:94" x14ac:dyDescent="0.25">
      <c r="B37">
        <f t="shared" ca="1" si="0"/>
        <v>761</v>
      </c>
      <c r="C37">
        <f t="shared" ca="1" si="1"/>
        <v>20</v>
      </c>
      <c r="D37">
        <f t="shared" ca="1" si="2"/>
        <v>0.20960847745622546</v>
      </c>
      <c r="F37" s="1">
        <f t="shared" ca="1" si="3"/>
        <v>37</v>
      </c>
      <c r="G37" s="1">
        <f t="shared" ca="1" si="4"/>
        <v>17</v>
      </c>
      <c r="H37" s="1">
        <f t="shared" ca="1" si="5"/>
        <v>3</v>
      </c>
      <c r="I37" s="1"/>
      <c r="J37" s="1">
        <f t="shared" ca="1" si="6"/>
        <v>35</v>
      </c>
      <c r="K37" s="1">
        <f t="shared" ca="1" si="7"/>
        <v>2.8229408330296013</v>
      </c>
      <c r="L37" s="1">
        <f t="shared" ca="1" si="8"/>
        <v>28</v>
      </c>
      <c r="M37" s="1"/>
      <c r="N37" s="1">
        <f t="shared" ca="1" si="9"/>
        <v>735</v>
      </c>
      <c r="O37" s="1">
        <f t="shared" ca="1" si="10"/>
        <v>51</v>
      </c>
      <c r="P37" s="1"/>
      <c r="Q37" s="1">
        <f t="shared" ca="1" si="11"/>
        <v>3.6935040687504834</v>
      </c>
      <c r="R37" s="1">
        <f t="shared" ca="1" si="12"/>
        <v>425</v>
      </c>
      <c r="S37" s="1"/>
      <c r="T37" s="1">
        <f t="shared" ca="1" si="13"/>
        <v>8.5978263807741304E-2</v>
      </c>
      <c r="U37" s="1">
        <f t="shared" ca="1" si="14"/>
        <v>326</v>
      </c>
      <c r="V37" s="1">
        <f t="shared" ca="1" si="15"/>
        <v>33</v>
      </c>
      <c r="W37" s="1"/>
      <c r="X37" s="1">
        <f t="shared" ca="1" si="16"/>
        <v>3.7299998640949688</v>
      </c>
      <c r="Y37" s="1">
        <f t="shared" ca="1" si="17"/>
        <v>0.40641732870596964</v>
      </c>
      <c r="Z37" s="1">
        <f t="shared" ca="1" si="18"/>
        <v>1548</v>
      </c>
      <c r="AB37" s="1">
        <f t="shared" ca="1" si="19"/>
        <v>0.68421360547717824</v>
      </c>
      <c r="AC37" s="1">
        <f t="shared" ca="1" si="20"/>
        <v>680</v>
      </c>
      <c r="AD37" s="1">
        <f t="shared" ca="1" si="21"/>
        <v>7.1781030563446346E-3</v>
      </c>
      <c r="AE37" s="1"/>
      <c r="AF37" s="1">
        <f t="shared" ca="1" si="22"/>
        <v>0.77931713911475797</v>
      </c>
      <c r="AG37" s="1">
        <f t="shared" ca="1" si="23"/>
        <v>358</v>
      </c>
      <c r="AH37" s="1">
        <f t="shared" ca="1" si="24"/>
        <v>7.9407716075146229E-3</v>
      </c>
      <c r="AJ37" s="1">
        <f t="shared" ca="1" si="25"/>
        <v>0.25691644324995333</v>
      </c>
      <c r="AK37" s="1">
        <f t="shared" ca="1" si="26"/>
        <v>1.9174114813849329E-3</v>
      </c>
      <c r="AL37" s="1"/>
      <c r="AM37" s="1">
        <f t="shared" ca="1" si="27"/>
        <v>0.14129839215355289</v>
      </c>
      <c r="AN37" s="1">
        <f t="shared" ca="1" si="28"/>
        <v>76</v>
      </c>
      <c r="AO37" s="1">
        <f t="shared" ca="1" si="29"/>
        <v>16</v>
      </c>
      <c r="AQ37" s="1">
        <f t="shared" ca="1" si="30"/>
        <v>175</v>
      </c>
      <c r="AR37" s="1">
        <f t="shared" ca="1" si="31"/>
        <v>4</v>
      </c>
      <c r="AS37" s="1">
        <f t="shared" ca="1" si="32"/>
        <v>39</v>
      </c>
      <c r="AU37" s="1">
        <f t="shared" ca="1" si="33"/>
        <v>149</v>
      </c>
      <c r="AV37" s="1">
        <f t="shared" ca="1" si="34"/>
        <v>9</v>
      </c>
      <c r="AW37" s="1">
        <f t="shared" ca="1" si="35"/>
        <v>0.11799446494070891</v>
      </c>
      <c r="AY37" s="1">
        <f t="shared" ca="1" si="36"/>
        <v>1.9184018520216028</v>
      </c>
      <c r="AZ37" s="1">
        <f t="shared" ca="1" si="37"/>
        <v>447</v>
      </c>
      <c r="BA37" s="1">
        <f t="shared" ca="1" si="38"/>
        <v>2.7250131132126117E-3</v>
      </c>
      <c r="BV37" s="1">
        <f t="shared" ca="1" si="39"/>
        <v>0.8594797879889986</v>
      </c>
      <c r="BW37" s="1">
        <f t="shared" ca="1" si="40"/>
        <v>329</v>
      </c>
      <c r="BX37" s="1">
        <f t="shared" ca="1" si="41"/>
        <v>4.9039040784499728E-3</v>
      </c>
      <c r="BY37" s="1">
        <f t="shared" ca="1" si="42"/>
        <v>1.4001743926972799E-2</v>
      </c>
      <c r="BZ37" s="1">
        <f t="shared" ca="1" si="43"/>
        <v>0.16531295795096423</v>
      </c>
      <c r="CB37" s="1">
        <f t="shared" ca="1" si="44"/>
        <v>369</v>
      </c>
      <c r="CC37" s="1">
        <f t="shared" ca="1" si="45"/>
        <v>6</v>
      </c>
      <c r="CD37" s="1">
        <f t="shared" ca="1" si="46"/>
        <v>0.27987992604486472</v>
      </c>
      <c r="CE37" s="1">
        <f t="shared" ca="1" si="56"/>
        <v>0.79985079036169893</v>
      </c>
      <c r="CF37" s="1">
        <f t="shared" ca="1" si="56"/>
        <v>0.77230038794824241</v>
      </c>
      <c r="CH37" s="3">
        <f t="shared" ca="1" si="48"/>
        <v>0.49057549010962004</v>
      </c>
      <c r="CI37" s="3">
        <f t="shared" ca="1" si="49"/>
        <v>0.23187940625427328</v>
      </c>
      <c r="CJ37" s="3">
        <f t="shared" ca="1" si="50"/>
        <v>305</v>
      </c>
      <c r="CK37" s="3">
        <f t="shared" ca="1" si="51"/>
        <v>2.5134223705781805E-3</v>
      </c>
      <c r="CL37" s="3">
        <f t="shared" ca="1" si="52"/>
        <v>1</v>
      </c>
      <c r="CM37" s="3"/>
      <c r="CN37" s="1">
        <f t="shared" ca="1" si="53"/>
        <v>0.78132995505666702</v>
      </c>
      <c r="CO37" s="1">
        <f t="shared" ca="1" si="54"/>
        <v>0.28602637856897345</v>
      </c>
      <c r="CP37" s="1">
        <f t="shared" ca="1" si="55"/>
        <v>3</v>
      </c>
    </row>
    <row r="38" spans="2:94" x14ac:dyDescent="0.25">
      <c r="B38">
        <f t="shared" ca="1" si="0"/>
        <v>198</v>
      </c>
      <c r="C38">
        <f t="shared" ca="1" si="1"/>
        <v>30</v>
      </c>
      <c r="D38">
        <f t="shared" ca="1" si="2"/>
        <v>0.23828437468600239</v>
      </c>
      <c r="F38" s="1">
        <f t="shared" ca="1" si="3"/>
        <v>11</v>
      </c>
      <c r="G38" s="1">
        <f t="shared" ca="1" si="4"/>
        <v>9</v>
      </c>
      <c r="H38" s="1">
        <f t="shared" ca="1" si="5"/>
        <v>2</v>
      </c>
      <c r="I38" s="1"/>
      <c r="J38" s="1">
        <f t="shared" ca="1" si="6"/>
        <v>3</v>
      </c>
      <c r="K38" s="1">
        <f t="shared" ca="1" si="7"/>
        <v>2.2375039170388078</v>
      </c>
      <c r="L38" s="1">
        <f t="shared" ca="1" si="8"/>
        <v>15</v>
      </c>
      <c r="M38" s="1"/>
      <c r="N38" s="1">
        <f t="shared" ca="1" si="9"/>
        <v>22</v>
      </c>
      <c r="O38" s="1">
        <f t="shared" ca="1" si="10"/>
        <v>6</v>
      </c>
      <c r="P38" s="1"/>
      <c r="Q38" s="1">
        <f t="shared" ca="1" si="11"/>
        <v>4.4018081518598695</v>
      </c>
      <c r="R38" s="1">
        <f t="shared" ca="1" si="12"/>
        <v>288</v>
      </c>
      <c r="S38" s="1"/>
      <c r="T38" s="1">
        <f t="shared" ca="1" si="13"/>
        <v>0.19287761550756513</v>
      </c>
      <c r="U38" s="1">
        <f t="shared" ca="1" si="14"/>
        <v>450</v>
      </c>
      <c r="V38" s="1">
        <f t="shared" ca="1" si="15"/>
        <v>48</v>
      </c>
      <c r="W38" s="1"/>
      <c r="X38" s="1">
        <f t="shared" ca="1" si="16"/>
        <v>2.759818733915802</v>
      </c>
      <c r="Y38" s="1">
        <f t="shared" ca="1" si="17"/>
        <v>0.48888281916902826</v>
      </c>
      <c r="Z38" s="1">
        <f t="shared" ca="1" si="18"/>
        <v>1035</v>
      </c>
      <c r="AB38" s="1">
        <f t="shared" ca="1" si="19"/>
        <v>0.98226945530071752</v>
      </c>
      <c r="AC38" s="1">
        <f t="shared" ca="1" si="20"/>
        <v>144</v>
      </c>
      <c r="AD38" s="1">
        <f t="shared" ca="1" si="21"/>
        <v>4.076388042386231E-3</v>
      </c>
      <c r="AE38" s="1"/>
      <c r="AF38" s="1">
        <f t="shared" ca="1" si="22"/>
        <v>0.68890205473643129</v>
      </c>
      <c r="AG38" s="1">
        <f t="shared" ca="1" si="23"/>
        <v>645</v>
      </c>
      <c r="AH38" s="1">
        <f t="shared" ca="1" si="24"/>
        <v>9.6373948064643038E-3</v>
      </c>
      <c r="AJ38" s="1">
        <f t="shared" ca="1" si="25"/>
        <v>0.97195618464815414</v>
      </c>
      <c r="AK38" s="1">
        <f t="shared" ca="1" si="26"/>
        <v>1.3991571874067874E-3</v>
      </c>
      <c r="AL38" s="1"/>
      <c r="AM38" s="1">
        <f t="shared" ca="1" si="27"/>
        <v>0.18826922572309876</v>
      </c>
      <c r="AN38" s="1">
        <f t="shared" ca="1" si="28"/>
        <v>50</v>
      </c>
      <c r="AO38" s="1">
        <f t="shared" ca="1" si="29"/>
        <v>4</v>
      </c>
      <c r="AQ38" s="1">
        <f t="shared" ca="1" si="30"/>
        <v>32</v>
      </c>
      <c r="AR38" s="1">
        <f t="shared" ca="1" si="31"/>
        <v>1</v>
      </c>
      <c r="AS38" s="1">
        <f t="shared" ca="1" si="32"/>
        <v>22</v>
      </c>
      <c r="AU38" s="1">
        <f t="shared" ca="1" si="33"/>
        <v>364</v>
      </c>
      <c r="AV38" s="1">
        <f t="shared" ca="1" si="34"/>
        <v>8</v>
      </c>
      <c r="AW38" s="1">
        <f t="shared" ca="1" si="35"/>
        <v>3.9558602520379016E-2</v>
      </c>
      <c r="AY38" s="1">
        <f t="shared" ca="1" si="36"/>
        <v>1.2630072395638514</v>
      </c>
      <c r="AZ38" s="1">
        <f t="shared" ca="1" si="37"/>
        <v>134</v>
      </c>
      <c r="BA38" s="1">
        <f t="shared" ca="1" si="38"/>
        <v>4.5744932909587447E-3</v>
      </c>
      <c r="BV38" s="1">
        <f t="shared" ca="1" si="39"/>
        <v>0.84164066921058645</v>
      </c>
      <c r="BW38" s="1">
        <f t="shared" ca="1" si="40"/>
        <v>845</v>
      </c>
      <c r="BX38" s="1">
        <f t="shared" ca="1" si="41"/>
        <v>5.0317342585424951E-3</v>
      </c>
      <c r="BY38" s="1">
        <f t="shared" ca="1" si="42"/>
        <v>5.8289101107255083E-2</v>
      </c>
      <c r="BZ38" s="1">
        <f t="shared" ca="1" si="43"/>
        <v>0.94915893469786328</v>
      </c>
      <c r="CB38" s="1">
        <f t="shared" ca="1" si="44"/>
        <v>132</v>
      </c>
      <c r="CC38" s="1">
        <f t="shared" ca="1" si="45"/>
        <v>3</v>
      </c>
      <c r="CD38" s="1">
        <f t="shared" ca="1" si="46"/>
        <v>0.10769434527049733</v>
      </c>
      <c r="CE38" s="1">
        <f t="shared" ca="1" si="56"/>
        <v>0.64414270063765988</v>
      </c>
      <c r="CF38" s="1">
        <f t="shared" ca="1" si="56"/>
        <v>0.69446873770160478</v>
      </c>
      <c r="CH38" s="3">
        <f t="shared" ca="1" si="48"/>
        <v>0.1087292711514407</v>
      </c>
      <c r="CI38" s="3">
        <f t="shared" ca="1" si="49"/>
        <v>0.1736800469698708</v>
      </c>
      <c r="CJ38" s="3">
        <f t="shared" ca="1" si="50"/>
        <v>1535</v>
      </c>
      <c r="CK38" s="3">
        <f t="shared" ca="1" si="51"/>
        <v>2.1865925932944914E-3</v>
      </c>
      <c r="CL38" s="3">
        <f t="shared" ca="1" si="52"/>
        <v>1</v>
      </c>
      <c r="CM38" s="3"/>
      <c r="CN38" s="1">
        <f t="shared" ca="1" si="53"/>
        <v>11.071593730830932</v>
      </c>
      <c r="CO38" s="1">
        <f t="shared" ca="1" si="54"/>
        <v>0.38453326860018355</v>
      </c>
      <c r="CP38" s="1">
        <f t="shared" ca="1" si="55"/>
        <v>4</v>
      </c>
    </row>
    <row r="39" spans="2:94" x14ac:dyDescent="0.25">
      <c r="B39">
        <f t="shared" ca="1" si="0"/>
        <v>86</v>
      </c>
      <c r="C39">
        <f t="shared" ca="1" si="1"/>
        <v>4</v>
      </c>
      <c r="D39">
        <f t="shared" ca="1" si="2"/>
        <v>0.2069658813676272</v>
      </c>
      <c r="F39" s="1">
        <f t="shared" ca="1" si="3"/>
        <v>44</v>
      </c>
      <c r="G39" s="1">
        <f t="shared" ca="1" si="4"/>
        <v>15</v>
      </c>
      <c r="H39" s="1">
        <f t="shared" ca="1" si="5"/>
        <v>11</v>
      </c>
      <c r="I39" s="1"/>
      <c r="J39" s="1">
        <f t="shared" ca="1" si="6"/>
        <v>38</v>
      </c>
      <c r="K39" s="1">
        <f t="shared" ca="1" si="7"/>
        <v>2.0888533905402324</v>
      </c>
      <c r="L39" s="1">
        <f t="shared" ca="1" si="8"/>
        <v>30</v>
      </c>
      <c r="M39" s="1"/>
      <c r="N39" s="1">
        <f t="shared" ca="1" si="9"/>
        <v>783</v>
      </c>
      <c r="O39" s="1">
        <f t="shared" ca="1" si="10"/>
        <v>47</v>
      </c>
      <c r="P39" s="1"/>
      <c r="Q39" s="1">
        <f t="shared" ca="1" si="11"/>
        <v>2.0810472256229149</v>
      </c>
      <c r="R39" s="1">
        <f t="shared" ca="1" si="12"/>
        <v>1015</v>
      </c>
      <c r="S39" s="1"/>
      <c r="T39" s="1">
        <f t="shared" ca="1" si="13"/>
        <v>0.16149937449807716</v>
      </c>
      <c r="U39" s="1">
        <f t="shared" ca="1" si="14"/>
        <v>171</v>
      </c>
      <c r="V39" s="1">
        <f t="shared" ca="1" si="15"/>
        <v>26</v>
      </c>
      <c r="W39" s="1"/>
      <c r="X39" s="1">
        <f t="shared" ca="1" si="16"/>
        <v>3.6086950853756874</v>
      </c>
      <c r="Y39" s="1">
        <f t="shared" ca="1" si="17"/>
        <v>0.40657746769494785</v>
      </c>
      <c r="Z39" s="1">
        <f t="shared" ca="1" si="18"/>
        <v>1380</v>
      </c>
      <c r="AB39" s="1">
        <f t="shared" ca="1" si="19"/>
        <v>5.6973743668402015E-2</v>
      </c>
      <c r="AC39" s="1">
        <f t="shared" ca="1" si="20"/>
        <v>337</v>
      </c>
      <c r="AD39" s="1">
        <f t="shared" ca="1" si="21"/>
        <v>2.6921403698052034E-3</v>
      </c>
      <c r="AE39" s="1"/>
      <c r="AF39" s="1">
        <f t="shared" ca="1" si="22"/>
        <v>0.28183669806555434</v>
      </c>
      <c r="AG39" s="1">
        <f t="shared" ca="1" si="23"/>
        <v>371</v>
      </c>
      <c r="AH39" s="1">
        <f t="shared" ca="1" si="24"/>
        <v>8.3346720029579095E-3</v>
      </c>
      <c r="AJ39" s="1">
        <f t="shared" ca="1" si="25"/>
        <v>0.80646880470642468</v>
      </c>
      <c r="AK39" s="1">
        <f t="shared" ca="1" si="26"/>
        <v>1.1083242985419624E-4</v>
      </c>
      <c r="AL39" s="1"/>
      <c r="AM39" s="1">
        <f t="shared" ca="1" si="27"/>
        <v>5.3100766299994967E-2</v>
      </c>
      <c r="AN39" s="1">
        <f t="shared" ca="1" si="28"/>
        <v>18</v>
      </c>
      <c r="AO39" s="1">
        <f t="shared" ca="1" si="29"/>
        <v>15</v>
      </c>
      <c r="AQ39" s="1">
        <f t="shared" ca="1" si="30"/>
        <v>25</v>
      </c>
      <c r="AR39" s="1">
        <f t="shared" ca="1" si="31"/>
        <v>8</v>
      </c>
      <c r="AS39" s="1">
        <f t="shared" ca="1" si="32"/>
        <v>48</v>
      </c>
      <c r="AU39" s="1">
        <f t="shared" ca="1" si="33"/>
        <v>164</v>
      </c>
      <c r="AV39" s="1">
        <f t="shared" ca="1" si="34"/>
        <v>6</v>
      </c>
      <c r="AW39" s="1">
        <f t="shared" ca="1" si="35"/>
        <v>2.3843321652260271E-2</v>
      </c>
      <c r="AY39" s="1">
        <f t="shared" ca="1" si="36"/>
        <v>1.830394920925059</v>
      </c>
      <c r="AZ39" s="1">
        <f t="shared" ca="1" si="37"/>
        <v>203</v>
      </c>
      <c r="BA39" s="1">
        <f t="shared" ca="1" si="38"/>
        <v>9.1350158558944974E-3</v>
      </c>
      <c r="BV39" s="1">
        <f t="shared" ca="1" si="39"/>
        <v>0.84617015365468939</v>
      </c>
      <c r="BW39" s="1">
        <f t="shared" ca="1" si="40"/>
        <v>484</v>
      </c>
      <c r="BX39" s="1">
        <f t="shared" ca="1" si="41"/>
        <v>1.3259116162013578E-4</v>
      </c>
      <c r="BY39" s="1">
        <f t="shared" ca="1" si="42"/>
        <v>3.9096435931574421E-2</v>
      </c>
      <c r="BZ39" s="1">
        <f t="shared" ca="1" si="43"/>
        <v>0.18491375875293925</v>
      </c>
      <c r="CB39" s="1">
        <f t="shared" ca="1" si="44"/>
        <v>311</v>
      </c>
      <c r="CC39" s="1">
        <f t="shared" ca="1" si="45"/>
        <v>5</v>
      </c>
      <c r="CD39" s="1">
        <f t="shared" ca="1" si="46"/>
        <v>0.100301846077678</v>
      </c>
      <c r="CE39" s="1">
        <f t="shared" ca="1" si="56"/>
        <v>0.91976551081584446</v>
      </c>
      <c r="CF39" s="1">
        <f t="shared" ca="1" si="56"/>
        <v>0.53538850975567709</v>
      </c>
      <c r="CH39" s="3">
        <f t="shared" ca="1" si="48"/>
        <v>0.80388992837765061</v>
      </c>
      <c r="CI39" s="3">
        <f t="shared" ca="1" si="49"/>
        <v>0.88054737934244021</v>
      </c>
      <c r="CJ39" s="3">
        <f t="shared" ca="1" si="50"/>
        <v>493</v>
      </c>
      <c r="CK39" s="3">
        <f t="shared" ca="1" si="51"/>
        <v>1.1630616055856257E-3</v>
      </c>
      <c r="CL39" s="3">
        <f t="shared" ca="1" si="52"/>
        <v>1</v>
      </c>
      <c r="CM39" s="3"/>
      <c r="CN39" s="1">
        <f t="shared" ca="1" si="53"/>
        <v>8.3381977727748264</v>
      </c>
      <c r="CO39" s="1">
        <f t="shared" ca="1" si="54"/>
        <v>0.33101115104794865</v>
      </c>
      <c r="CP39" s="1">
        <f t="shared" ca="1" si="55"/>
        <v>2</v>
      </c>
    </row>
    <row r="40" spans="2:94" x14ac:dyDescent="0.25">
      <c r="B40">
        <f t="shared" ca="1" si="0"/>
        <v>843</v>
      </c>
      <c r="C40">
        <f t="shared" ca="1" si="1"/>
        <v>8</v>
      </c>
      <c r="D40">
        <f t="shared" ca="1" si="2"/>
        <v>0.28559848570341034</v>
      </c>
      <c r="F40" s="1">
        <f t="shared" ca="1" si="3"/>
        <v>39</v>
      </c>
      <c r="G40" s="1">
        <f t="shared" ca="1" si="4"/>
        <v>29</v>
      </c>
      <c r="H40" s="1">
        <f t="shared" ca="1" si="5"/>
        <v>7</v>
      </c>
      <c r="I40" s="1"/>
      <c r="J40" s="1">
        <f t="shared" ca="1" si="6"/>
        <v>30</v>
      </c>
      <c r="K40" s="1">
        <f t="shared" ca="1" si="7"/>
        <v>2.2304448749665307</v>
      </c>
      <c r="L40" s="1">
        <f t="shared" ca="1" si="8"/>
        <v>10</v>
      </c>
      <c r="M40" s="1"/>
      <c r="N40" s="1">
        <f t="shared" ca="1" si="9"/>
        <v>535</v>
      </c>
      <c r="O40" s="1">
        <f t="shared" ca="1" si="10"/>
        <v>6</v>
      </c>
      <c r="P40" s="1"/>
      <c r="Q40" s="1">
        <f t="shared" ca="1" si="11"/>
        <v>1.6900953786075246</v>
      </c>
      <c r="R40" s="1">
        <f t="shared" ca="1" si="12"/>
        <v>1167</v>
      </c>
      <c r="S40" s="1"/>
      <c r="T40" s="1">
        <f t="shared" ca="1" si="13"/>
        <v>0.19294703685007958</v>
      </c>
      <c r="U40" s="1">
        <f t="shared" ca="1" si="14"/>
        <v>162</v>
      </c>
      <c r="V40" s="1">
        <f t="shared" ca="1" si="15"/>
        <v>46</v>
      </c>
      <c r="W40" s="1"/>
      <c r="X40" s="1">
        <f t="shared" ca="1" si="16"/>
        <v>7.5569754649968299</v>
      </c>
      <c r="Y40" s="1">
        <f t="shared" ca="1" si="17"/>
        <v>0.27536872624993119</v>
      </c>
      <c r="Z40" s="1">
        <f t="shared" ca="1" si="18"/>
        <v>192</v>
      </c>
      <c r="AB40" s="1">
        <f t="shared" ca="1" si="19"/>
        <v>0.29602450752207554</v>
      </c>
      <c r="AC40" s="1">
        <f t="shared" ca="1" si="20"/>
        <v>207</v>
      </c>
      <c r="AD40" s="1">
        <f t="shared" ca="1" si="21"/>
        <v>1.1414430791924549E-3</v>
      </c>
      <c r="AE40" s="1"/>
      <c r="AF40" s="1">
        <f t="shared" ca="1" si="22"/>
        <v>0.51699813480538148</v>
      </c>
      <c r="AG40" s="1">
        <f t="shared" ca="1" si="23"/>
        <v>324</v>
      </c>
      <c r="AH40" s="1">
        <f t="shared" ca="1" si="24"/>
        <v>2.9042637108634421E-3</v>
      </c>
      <c r="AJ40" s="1">
        <f t="shared" ca="1" si="25"/>
        <v>0.67594930100576889</v>
      </c>
      <c r="AK40" s="1">
        <f t="shared" ca="1" si="26"/>
        <v>1.8430694447599122E-3</v>
      </c>
      <c r="AL40" s="1"/>
      <c r="AM40" s="1">
        <f t="shared" ca="1" si="27"/>
        <v>1.8993513919978312E-2</v>
      </c>
      <c r="AN40" s="1">
        <f t="shared" ca="1" si="28"/>
        <v>37</v>
      </c>
      <c r="AO40" s="1">
        <f t="shared" ca="1" si="29"/>
        <v>7</v>
      </c>
      <c r="AQ40" s="1">
        <f t="shared" ca="1" si="30"/>
        <v>149</v>
      </c>
      <c r="AR40" s="1">
        <f t="shared" ca="1" si="31"/>
        <v>5</v>
      </c>
      <c r="AS40" s="1">
        <f t="shared" ca="1" si="32"/>
        <v>39</v>
      </c>
      <c r="AU40" s="1">
        <f t="shared" ca="1" si="33"/>
        <v>93</v>
      </c>
      <c r="AV40" s="1">
        <f t="shared" ca="1" si="34"/>
        <v>4</v>
      </c>
      <c r="AW40" s="1">
        <f t="shared" ca="1" si="35"/>
        <v>0.16396241493371341</v>
      </c>
      <c r="AY40" s="1">
        <f t="shared" ca="1" si="36"/>
        <v>1.5363133675247265</v>
      </c>
      <c r="AZ40" s="1">
        <f t="shared" ca="1" si="37"/>
        <v>211</v>
      </c>
      <c r="BA40" s="1">
        <f t="shared" ca="1" si="38"/>
        <v>6.7319848573845946E-3</v>
      </c>
      <c r="BV40" s="1">
        <f t="shared" ca="1" si="39"/>
        <v>2.8125643088954121E-2</v>
      </c>
      <c r="BW40" s="1">
        <f t="shared" ca="1" si="40"/>
        <v>219</v>
      </c>
      <c r="BX40" s="1">
        <f t="shared" ca="1" si="41"/>
        <v>3.1480398371420606E-3</v>
      </c>
      <c r="BY40" s="1">
        <f t="shared" ca="1" si="42"/>
        <v>7.6775270553308628E-2</v>
      </c>
      <c r="BZ40" s="1">
        <f t="shared" ca="1" si="43"/>
        <v>0.29906015971907618</v>
      </c>
      <c r="CB40" s="1">
        <f t="shared" ca="1" si="44"/>
        <v>174</v>
      </c>
      <c r="CC40" s="1">
        <f t="shared" ca="1" si="45"/>
        <v>6</v>
      </c>
      <c r="CD40" s="1">
        <f t="shared" ca="1" si="46"/>
        <v>0.15980346629557815</v>
      </c>
      <c r="CE40" s="1">
        <f t="shared" ca="1" si="56"/>
        <v>0.82469879854543948</v>
      </c>
      <c r="CF40" s="1">
        <f t="shared" ca="1" si="56"/>
        <v>0.82375874663642701</v>
      </c>
      <c r="CH40" s="3">
        <f t="shared" ca="1" si="48"/>
        <v>0.76978272227095501</v>
      </c>
      <c r="CI40" s="3">
        <f t="shared" ca="1" si="49"/>
        <v>0.70635774547763308</v>
      </c>
      <c r="CJ40" s="3">
        <f t="shared" ca="1" si="50"/>
        <v>340</v>
      </c>
      <c r="CK40" s="3">
        <f t="shared" ca="1" si="51"/>
        <v>3.848014064809255E-3</v>
      </c>
      <c r="CL40" s="3">
        <f t="shared" ca="1" si="52"/>
        <v>0</v>
      </c>
      <c r="CM40" s="3"/>
      <c r="CN40" s="1">
        <f t="shared" ca="1" si="53"/>
        <v>16.820270977200309</v>
      </c>
      <c r="CO40" s="1">
        <f t="shared" ca="1" si="54"/>
        <v>0.21974292373435797</v>
      </c>
      <c r="CP40" s="1">
        <f t="shared" ca="1" si="55"/>
        <v>2</v>
      </c>
    </row>
    <row r="41" spans="2:94" x14ac:dyDescent="0.25">
      <c r="B41">
        <f t="shared" ca="1" si="0"/>
        <v>241</v>
      </c>
      <c r="C41">
        <f t="shared" ca="1" si="1"/>
        <v>2</v>
      </c>
      <c r="D41">
        <f t="shared" ca="1" si="2"/>
        <v>0.13919799568170049</v>
      </c>
      <c r="F41" s="1">
        <f t="shared" ca="1" si="3"/>
        <v>21</v>
      </c>
      <c r="G41" s="1">
        <f t="shared" ca="1" si="4"/>
        <v>7</v>
      </c>
      <c r="H41" s="1">
        <f t="shared" ca="1" si="5"/>
        <v>6</v>
      </c>
      <c r="I41" s="1"/>
      <c r="J41" s="1">
        <f t="shared" ca="1" si="6"/>
        <v>28</v>
      </c>
      <c r="K41" s="1">
        <f t="shared" ca="1" si="7"/>
        <v>2.4898442103466296</v>
      </c>
      <c r="L41" s="1">
        <f t="shared" ca="1" si="8"/>
        <v>15</v>
      </c>
      <c r="M41" s="1"/>
      <c r="N41" s="1">
        <f t="shared" ca="1" si="9"/>
        <v>459</v>
      </c>
      <c r="O41" s="1">
        <f t="shared" ca="1" si="10"/>
        <v>31</v>
      </c>
      <c r="P41" s="1"/>
      <c r="Q41" s="1">
        <f t="shared" ca="1" si="11"/>
        <v>2.1919396846561376</v>
      </c>
      <c r="R41" s="1">
        <f t="shared" ca="1" si="12"/>
        <v>347</v>
      </c>
      <c r="S41" s="1"/>
      <c r="T41" s="1">
        <f t="shared" ca="1" si="13"/>
        <v>0.19705198774730448</v>
      </c>
      <c r="U41" s="1">
        <f t="shared" ca="1" si="14"/>
        <v>154</v>
      </c>
      <c r="V41" s="1">
        <f t="shared" ca="1" si="15"/>
        <v>39</v>
      </c>
      <c r="W41" s="1"/>
      <c r="X41" s="1">
        <f t="shared" ca="1" si="16"/>
        <v>9.1432533819759314</v>
      </c>
      <c r="Y41" s="1">
        <f t="shared" ca="1" si="17"/>
        <v>0.71203508107371272</v>
      </c>
      <c r="Z41" s="1">
        <f t="shared" ca="1" si="18"/>
        <v>752</v>
      </c>
      <c r="AB41" s="1">
        <f t="shared" ca="1" si="19"/>
        <v>0.78694666685018089</v>
      </c>
      <c r="AC41" s="1">
        <f t="shared" ca="1" si="20"/>
        <v>123</v>
      </c>
      <c r="AD41" s="1">
        <f t="shared" ca="1" si="21"/>
        <v>4.8750402666051639E-3</v>
      </c>
      <c r="AE41" s="1"/>
      <c r="AF41" s="1">
        <f t="shared" ca="1" si="22"/>
        <v>0.66777930460987511</v>
      </c>
      <c r="AG41" s="1">
        <f t="shared" ca="1" si="23"/>
        <v>444</v>
      </c>
      <c r="AH41" s="1">
        <f t="shared" ca="1" si="24"/>
        <v>2.5449591873338336E-3</v>
      </c>
      <c r="AJ41" s="1">
        <f t="shared" ca="1" si="25"/>
        <v>0.64815223004849942</v>
      </c>
      <c r="AK41" s="1">
        <f t="shared" ca="1" si="26"/>
        <v>4.2703612176242826E-3</v>
      </c>
      <c r="AL41" s="1"/>
      <c r="AM41" s="1">
        <f t="shared" ca="1" si="27"/>
        <v>3.5849148291028532E-2</v>
      </c>
      <c r="AN41" s="1">
        <f t="shared" ca="1" si="28"/>
        <v>20</v>
      </c>
      <c r="AO41" s="1">
        <f t="shared" ca="1" si="29"/>
        <v>16</v>
      </c>
      <c r="AQ41" s="1">
        <f t="shared" ca="1" si="30"/>
        <v>74</v>
      </c>
      <c r="AR41" s="1">
        <f t="shared" ca="1" si="31"/>
        <v>4</v>
      </c>
      <c r="AS41" s="1">
        <f t="shared" ca="1" si="32"/>
        <v>16</v>
      </c>
      <c r="AU41" s="1">
        <f t="shared" ca="1" si="33"/>
        <v>328</v>
      </c>
      <c r="AV41" s="1">
        <f t="shared" ca="1" si="34"/>
        <v>5</v>
      </c>
      <c r="AW41" s="1">
        <f t="shared" ca="1" si="35"/>
        <v>5.4318021450119769E-2</v>
      </c>
      <c r="AY41" s="1">
        <f t="shared" ca="1" si="36"/>
        <v>1.7641661497987273</v>
      </c>
      <c r="AZ41" s="1">
        <f t="shared" ca="1" si="37"/>
        <v>59</v>
      </c>
      <c r="BA41" s="1">
        <f t="shared" ca="1" si="38"/>
        <v>7.562906857175429E-3</v>
      </c>
      <c r="BV41" s="1">
        <f t="shared" ca="1" si="39"/>
        <v>0.28277189392370233</v>
      </c>
      <c r="BW41" s="1">
        <f t="shared" ca="1" si="40"/>
        <v>339</v>
      </c>
      <c r="BX41" s="1">
        <f t="shared" ca="1" si="41"/>
        <v>1.5786714776919392E-3</v>
      </c>
      <c r="BY41" s="1">
        <f t="shared" ca="1" si="42"/>
        <v>4.5537063908814906E-3</v>
      </c>
      <c r="BZ41" s="1">
        <f t="shared" ca="1" si="43"/>
        <v>0.19241350993168027</v>
      </c>
      <c r="CB41" s="1">
        <f t="shared" ca="1" si="44"/>
        <v>364</v>
      </c>
      <c r="CC41" s="1">
        <f t="shared" ca="1" si="45"/>
        <v>14</v>
      </c>
      <c r="CD41" s="1">
        <f t="shared" ca="1" si="46"/>
        <v>0.19012744854080252</v>
      </c>
      <c r="CE41" s="1">
        <f t="shared" ca="1" si="56"/>
        <v>0.99931763703771925</v>
      </c>
      <c r="CF41" s="1">
        <f t="shared" ca="1" si="56"/>
        <v>0.87574868432957642</v>
      </c>
      <c r="CH41" s="3">
        <f t="shared" ca="1" si="48"/>
        <v>0.29162955808674801</v>
      </c>
      <c r="CI41" s="3">
        <f t="shared" ca="1" si="49"/>
        <v>0.84384855542382287</v>
      </c>
      <c r="CJ41" s="3">
        <f t="shared" ca="1" si="50"/>
        <v>335</v>
      </c>
      <c r="CK41" s="3">
        <f t="shared" ca="1" si="51"/>
        <v>3.8770805753540086E-3</v>
      </c>
      <c r="CL41" s="3">
        <f t="shared" ca="1" si="52"/>
        <v>1</v>
      </c>
      <c r="CM41" s="3"/>
      <c r="CN41" s="1">
        <f t="shared" ca="1" si="53"/>
        <v>9.51527481247434</v>
      </c>
      <c r="CO41" s="1">
        <f t="shared" ca="1" si="54"/>
        <v>1.9265674580776083E-2</v>
      </c>
      <c r="CP41" s="1">
        <f t="shared" ca="1" si="55"/>
        <v>4</v>
      </c>
    </row>
    <row r="42" spans="2:94" x14ac:dyDescent="0.25">
      <c r="B42">
        <f t="shared" ca="1" si="0"/>
        <v>333</v>
      </c>
      <c r="C42">
        <f t="shared" ca="1" si="1"/>
        <v>44</v>
      </c>
      <c r="D42">
        <f t="shared" ca="1" si="2"/>
        <v>0.29246046488891969</v>
      </c>
      <c r="F42" s="1">
        <f t="shared" ca="1" si="3"/>
        <v>44</v>
      </c>
      <c r="G42" s="1">
        <f t="shared" ca="1" si="4"/>
        <v>5</v>
      </c>
      <c r="H42" s="1">
        <f t="shared" ca="1" si="5"/>
        <v>10</v>
      </c>
      <c r="I42" s="1"/>
      <c r="J42" s="1">
        <f t="shared" ca="1" si="6"/>
        <v>14</v>
      </c>
      <c r="K42" s="1">
        <f t="shared" ca="1" si="7"/>
        <v>2.9761160837315126</v>
      </c>
      <c r="L42" s="1">
        <f t="shared" ca="1" si="8"/>
        <v>7</v>
      </c>
      <c r="M42" s="1"/>
      <c r="N42" s="1">
        <f t="shared" ca="1" si="9"/>
        <v>665</v>
      </c>
      <c r="O42" s="1">
        <f t="shared" ca="1" si="10"/>
        <v>28</v>
      </c>
      <c r="P42" s="1"/>
      <c r="Q42" s="1">
        <f t="shared" ca="1" si="11"/>
        <v>3.5755601051967725</v>
      </c>
      <c r="R42" s="1">
        <f t="shared" ca="1" si="12"/>
        <v>1168</v>
      </c>
      <c r="S42" s="1"/>
      <c r="T42" s="1">
        <f t="shared" ca="1" si="13"/>
        <v>0.14889026661662805</v>
      </c>
      <c r="U42" s="1">
        <f t="shared" ca="1" si="14"/>
        <v>208</v>
      </c>
      <c r="V42" s="1">
        <f t="shared" ca="1" si="15"/>
        <v>26</v>
      </c>
      <c r="W42" s="1"/>
      <c r="X42" s="1">
        <f t="shared" ca="1" si="16"/>
        <v>9.515096976695304</v>
      </c>
      <c r="Y42" s="1">
        <f t="shared" ca="1" si="17"/>
        <v>0.32254008895072567</v>
      </c>
      <c r="Z42" s="1">
        <f t="shared" ca="1" si="18"/>
        <v>1911</v>
      </c>
      <c r="AB42" s="1">
        <f t="shared" ca="1" si="19"/>
        <v>0.12343185850559392</v>
      </c>
      <c r="AC42" s="1">
        <f t="shared" ca="1" si="20"/>
        <v>205</v>
      </c>
      <c r="AD42" s="1">
        <f t="shared" ca="1" si="21"/>
        <v>4.2077726358525783E-3</v>
      </c>
      <c r="AE42" s="1"/>
      <c r="AF42" s="1">
        <f t="shared" ca="1" si="22"/>
        <v>0.5057228021729433</v>
      </c>
      <c r="AG42" s="1">
        <f t="shared" ca="1" si="23"/>
        <v>395</v>
      </c>
      <c r="AH42" s="1">
        <f t="shared" ca="1" si="24"/>
        <v>3.8738666194886103E-3</v>
      </c>
      <c r="AJ42" s="1">
        <f t="shared" ca="1" si="25"/>
        <v>0.56479976693245648</v>
      </c>
      <c r="AK42" s="1">
        <f t="shared" ca="1" si="26"/>
        <v>5.05802837576715E-3</v>
      </c>
      <c r="AL42" s="1"/>
      <c r="AM42" s="1">
        <f t="shared" ca="1" si="27"/>
        <v>6.3164611060958858E-2</v>
      </c>
      <c r="AN42" s="1">
        <f t="shared" ca="1" si="28"/>
        <v>16</v>
      </c>
      <c r="AO42" s="1">
        <f t="shared" ca="1" si="29"/>
        <v>1</v>
      </c>
      <c r="AQ42" s="1">
        <f t="shared" ca="1" si="30"/>
        <v>174</v>
      </c>
      <c r="AR42" s="1">
        <f t="shared" ca="1" si="31"/>
        <v>9</v>
      </c>
      <c r="AS42" s="1">
        <f t="shared" ca="1" si="32"/>
        <v>33</v>
      </c>
      <c r="AU42" s="1">
        <f t="shared" ca="1" si="33"/>
        <v>111</v>
      </c>
      <c r="AV42" s="1">
        <f t="shared" ca="1" si="34"/>
        <v>10</v>
      </c>
      <c r="AW42" s="1">
        <f t="shared" ca="1" si="35"/>
        <v>0.11422316144412077</v>
      </c>
      <c r="AY42" s="1">
        <f t="shared" ca="1" si="36"/>
        <v>1.7598904271838998</v>
      </c>
      <c r="AZ42" s="1">
        <f t="shared" ca="1" si="37"/>
        <v>224</v>
      </c>
      <c r="BA42" s="1">
        <f t="shared" ca="1" si="38"/>
        <v>6.7866350283917161E-3</v>
      </c>
      <c r="BV42" s="1">
        <f t="shared" ca="1" si="39"/>
        <v>0.93651955405132792</v>
      </c>
      <c r="BW42" s="1">
        <f t="shared" ca="1" si="40"/>
        <v>693</v>
      </c>
      <c r="BX42" s="1">
        <f t="shared" ca="1" si="41"/>
        <v>7.3194476757609704E-3</v>
      </c>
      <c r="BY42" s="1">
        <f t="shared" ca="1" si="42"/>
        <v>1.8128924028642732E-2</v>
      </c>
      <c r="BZ42" s="1">
        <f t="shared" ca="1" si="43"/>
        <v>0.83853205883064041</v>
      </c>
      <c r="CB42" s="1">
        <f t="shared" ca="1" si="44"/>
        <v>236</v>
      </c>
      <c r="CC42" s="1">
        <f t="shared" ca="1" si="45"/>
        <v>14</v>
      </c>
      <c r="CD42" s="1">
        <f t="shared" ca="1" si="46"/>
        <v>0.25628610645329125</v>
      </c>
      <c r="CE42" s="1">
        <f t="shared" ca="1" si="56"/>
        <v>0.70368654274519682</v>
      </c>
      <c r="CF42" s="1">
        <f t="shared" ca="1" si="56"/>
        <v>0.72942013744065082</v>
      </c>
      <c r="CH42" s="3">
        <f t="shared" ca="1" si="48"/>
        <v>0.18439265250022152</v>
      </c>
      <c r="CI42" s="3">
        <f t="shared" ca="1" si="49"/>
        <v>9.5108789539269684E-2</v>
      </c>
      <c r="CJ42" s="3">
        <f t="shared" ca="1" si="50"/>
        <v>305</v>
      </c>
      <c r="CK42" s="3">
        <f t="shared" ca="1" si="51"/>
        <v>1.7597359681546687E-3</v>
      </c>
      <c r="CL42" s="3">
        <f t="shared" ca="1" si="52"/>
        <v>1</v>
      </c>
      <c r="CM42" s="3"/>
      <c r="CN42" s="1">
        <f t="shared" ca="1" si="53"/>
        <v>19.981752571212283</v>
      </c>
      <c r="CO42" s="1">
        <f t="shared" ca="1" si="54"/>
        <v>0.14671359490522065</v>
      </c>
      <c r="CP42" s="1">
        <f t="shared" ca="1" si="55"/>
        <v>2</v>
      </c>
    </row>
    <row r="43" spans="2:94" x14ac:dyDescent="0.25">
      <c r="B43">
        <f t="shared" ca="1" si="0"/>
        <v>869</v>
      </c>
      <c r="C43">
        <f t="shared" ca="1" si="1"/>
        <v>27</v>
      </c>
      <c r="D43">
        <f t="shared" ca="1" si="2"/>
        <v>6.13371821750167E-2</v>
      </c>
      <c r="F43" s="1">
        <f t="shared" ca="1" si="3"/>
        <v>34</v>
      </c>
      <c r="G43" s="1">
        <f t="shared" ca="1" si="4"/>
        <v>14</v>
      </c>
      <c r="H43" s="1">
        <f t="shared" ca="1" si="5"/>
        <v>10</v>
      </c>
      <c r="I43" s="1"/>
      <c r="J43" s="1">
        <f t="shared" ca="1" si="6"/>
        <v>10</v>
      </c>
      <c r="K43" s="1">
        <f t="shared" ca="1" si="7"/>
        <v>2.2189441235097203</v>
      </c>
      <c r="L43" s="1">
        <f t="shared" ca="1" si="8"/>
        <v>2</v>
      </c>
      <c r="M43" s="1"/>
      <c r="N43" s="1">
        <f t="shared" ca="1" si="9"/>
        <v>291</v>
      </c>
      <c r="O43" s="1">
        <f t="shared" ca="1" si="10"/>
        <v>24</v>
      </c>
      <c r="P43" s="1"/>
      <c r="Q43" s="1">
        <f t="shared" ca="1" si="11"/>
        <v>0.30508394839949649</v>
      </c>
      <c r="R43" s="1">
        <f t="shared" ca="1" si="12"/>
        <v>788</v>
      </c>
      <c r="S43" s="1"/>
      <c r="T43" s="1">
        <f t="shared" ca="1" si="13"/>
        <v>1.632078358987106E-2</v>
      </c>
      <c r="U43" s="1">
        <f t="shared" ca="1" si="14"/>
        <v>147</v>
      </c>
      <c r="V43" s="1">
        <f t="shared" ca="1" si="15"/>
        <v>16</v>
      </c>
      <c r="W43" s="1"/>
      <c r="X43" s="1">
        <f t="shared" ca="1" si="16"/>
        <v>4.0761926993916653</v>
      </c>
      <c r="Y43" s="1">
        <f t="shared" ca="1" si="17"/>
        <v>0.1475734250682868</v>
      </c>
      <c r="Z43" s="1">
        <f t="shared" ca="1" si="18"/>
        <v>562</v>
      </c>
      <c r="AB43" s="1">
        <f t="shared" ca="1" si="19"/>
        <v>0.91894350215941145</v>
      </c>
      <c r="AC43" s="1">
        <f t="shared" ca="1" si="20"/>
        <v>376</v>
      </c>
      <c r="AD43" s="1">
        <f t="shared" ca="1" si="21"/>
        <v>3.5778960708939601E-3</v>
      </c>
      <c r="AE43" s="1"/>
      <c r="AF43" s="1">
        <f t="shared" ca="1" si="22"/>
        <v>0.86547135363007788</v>
      </c>
      <c r="AG43" s="1">
        <f t="shared" ca="1" si="23"/>
        <v>832</v>
      </c>
      <c r="AH43" s="1">
        <f t="shared" ca="1" si="24"/>
        <v>4.5803913990321524E-3</v>
      </c>
      <c r="AJ43" s="1">
        <f t="shared" ca="1" si="25"/>
        <v>0.42459684779058882</v>
      </c>
      <c r="AK43" s="1">
        <f t="shared" ca="1" si="26"/>
        <v>3.0708412326128994E-3</v>
      </c>
      <c r="AL43" s="1"/>
      <c r="AM43" s="1">
        <f t="shared" ca="1" si="27"/>
        <v>0.16950787619092689</v>
      </c>
      <c r="AN43" s="1">
        <f t="shared" ca="1" si="28"/>
        <v>40</v>
      </c>
      <c r="AO43" s="1">
        <f t="shared" ca="1" si="29"/>
        <v>5</v>
      </c>
      <c r="AQ43" s="1">
        <f t="shared" ca="1" si="30"/>
        <v>26</v>
      </c>
      <c r="AR43" s="1">
        <f t="shared" ca="1" si="31"/>
        <v>0</v>
      </c>
      <c r="AS43" s="1">
        <f t="shared" ca="1" si="32"/>
        <v>100</v>
      </c>
      <c r="AU43" s="1">
        <f t="shared" ca="1" si="33"/>
        <v>57</v>
      </c>
      <c r="AV43" s="1">
        <f t="shared" ca="1" si="34"/>
        <v>8</v>
      </c>
      <c r="AW43" s="1">
        <f t="shared" ca="1" si="35"/>
        <v>0.19127257727255687</v>
      </c>
      <c r="AY43" s="1">
        <f t="shared" ca="1" si="36"/>
        <v>1.4214383061076536</v>
      </c>
      <c r="AZ43" s="1">
        <f t="shared" ca="1" si="37"/>
        <v>296</v>
      </c>
      <c r="BA43" s="1">
        <f t="shared" ca="1" si="38"/>
        <v>2.6991416852693113E-3</v>
      </c>
      <c r="BV43" s="1">
        <f t="shared" ca="1" si="39"/>
        <v>0.87597038233553814</v>
      </c>
      <c r="BW43" s="1">
        <f t="shared" ca="1" si="40"/>
        <v>859</v>
      </c>
      <c r="BX43" s="1">
        <f t="shared" ca="1" si="41"/>
        <v>3.6545279884961797E-3</v>
      </c>
      <c r="BY43" s="1">
        <f t="shared" ca="1" si="42"/>
        <v>7.4840916048757606E-3</v>
      </c>
      <c r="BZ43" s="1">
        <f t="shared" ca="1" si="43"/>
        <v>0.4062360977262276</v>
      </c>
      <c r="CB43" s="1">
        <f t="shared" ca="1" si="44"/>
        <v>295</v>
      </c>
      <c r="CC43" s="1">
        <f t="shared" ca="1" si="45"/>
        <v>5</v>
      </c>
      <c r="CD43" s="1">
        <f t="shared" ca="1" si="46"/>
        <v>5.7811527029686519E-2</v>
      </c>
      <c r="CE43" s="1">
        <f t="shared" ca="1" si="56"/>
        <v>0.57638222656191884</v>
      </c>
      <c r="CF43" s="1">
        <f t="shared" ca="1" si="56"/>
        <v>0.89949614179859949</v>
      </c>
      <c r="CH43" s="3">
        <f t="shared" ca="1" si="48"/>
        <v>4.491487257577842E-2</v>
      </c>
      <c r="CI43" s="3">
        <f t="shared" ca="1" si="49"/>
        <v>0.24403957373778523</v>
      </c>
      <c r="CJ43" s="3">
        <f t="shared" ca="1" si="50"/>
        <v>338</v>
      </c>
      <c r="CK43" s="3">
        <f t="shared" ca="1" si="51"/>
        <v>6.8192759059308439E-3</v>
      </c>
      <c r="CL43" s="3">
        <f t="shared" ca="1" si="52"/>
        <v>1</v>
      </c>
      <c r="CM43" s="3"/>
      <c r="CN43" s="1">
        <f t="shared" ca="1" si="53"/>
        <v>13.184174845737868</v>
      </c>
      <c r="CO43" s="1">
        <f t="shared" ca="1" si="54"/>
        <v>0.19994462178079211</v>
      </c>
      <c r="CP43" s="1">
        <f t="shared" ca="1" si="55"/>
        <v>2</v>
      </c>
    </row>
    <row r="44" spans="2:94" x14ac:dyDescent="0.25">
      <c r="B44">
        <f t="shared" ca="1" si="0"/>
        <v>688</v>
      </c>
      <c r="C44">
        <f t="shared" ca="1" si="1"/>
        <v>40</v>
      </c>
      <c r="D44">
        <f t="shared" ca="1" si="2"/>
        <v>0.19584887037684567</v>
      </c>
      <c r="F44" s="1">
        <f t="shared" ca="1" si="3"/>
        <v>6</v>
      </c>
      <c r="G44" s="1">
        <f t="shared" ca="1" si="4"/>
        <v>17</v>
      </c>
      <c r="H44" s="1">
        <f t="shared" ca="1" si="5"/>
        <v>13</v>
      </c>
      <c r="I44" s="1"/>
      <c r="J44" s="1">
        <f t="shared" ca="1" si="6"/>
        <v>5</v>
      </c>
      <c r="K44" s="1">
        <f t="shared" ca="1" si="7"/>
        <v>1.3564575740946245</v>
      </c>
      <c r="L44" s="1">
        <f t="shared" ca="1" si="8"/>
        <v>26</v>
      </c>
      <c r="M44" s="1"/>
      <c r="N44" s="1">
        <f t="shared" ca="1" si="9"/>
        <v>944</v>
      </c>
      <c r="O44" s="1">
        <f t="shared" ca="1" si="10"/>
        <v>45</v>
      </c>
      <c r="P44" s="1"/>
      <c r="Q44" s="1">
        <f t="shared" ca="1" si="11"/>
        <v>1.6239765490003562</v>
      </c>
      <c r="R44" s="1">
        <f t="shared" ca="1" si="12"/>
        <v>1169</v>
      </c>
      <c r="S44" s="1"/>
      <c r="T44" s="1">
        <f t="shared" ca="1" si="13"/>
        <v>1.5775829128874527E-2</v>
      </c>
      <c r="U44" s="1">
        <f t="shared" ca="1" si="14"/>
        <v>443</v>
      </c>
      <c r="V44" s="1">
        <f t="shared" ca="1" si="15"/>
        <v>33</v>
      </c>
      <c r="W44" s="1"/>
      <c r="X44" s="1">
        <f t="shared" ca="1" si="16"/>
        <v>2.4644965999541659</v>
      </c>
      <c r="Y44" s="1">
        <f t="shared" ca="1" si="17"/>
        <v>0.33180888187752566</v>
      </c>
      <c r="Z44" s="1">
        <f t="shared" ca="1" si="18"/>
        <v>602</v>
      </c>
      <c r="AB44" s="1">
        <f t="shared" ca="1" si="19"/>
        <v>0.81714859636040127</v>
      </c>
      <c r="AC44" s="1">
        <f t="shared" ca="1" si="20"/>
        <v>548</v>
      </c>
      <c r="AD44" s="1">
        <f t="shared" ca="1" si="21"/>
        <v>8.7471877559404387E-3</v>
      </c>
      <c r="AE44" s="1"/>
      <c r="AF44" s="1">
        <f t="shared" ca="1" si="22"/>
        <v>0.13309074098221238</v>
      </c>
      <c r="AG44" s="1">
        <f t="shared" ca="1" si="23"/>
        <v>545</v>
      </c>
      <c r="AH44" s="1">
        <f t="shared" ca="1" si="24"/>
        <v>7.298086834106831E-3</v>
      </c>
      <c r="AJ44" s="1">
        <f t="shared" ca="1" si="25"/>
        <v>0.43030024369181019</v>
      </c>
      <c r="AK44" s="1">
        <f t="shared" ca="1" si="26"/>
        <v>7.3053401969525493E-3</v>
      </c>
      <c r="AL44" s="1"/>
      <c r="AM44" s="1">
        <f t="shared" ca="1" si="27"/>
        <v>5.9482407040005146E-2</v>
      </c>
      <c r="AN44" s="1">
        <f t="shared" ca="1" si="28"/>
        <v>56</v>
      </c>
      <c r="AO44" s="1">
        <f t="shared" ca="1" si="29"/>
        <v>13</v>
      </c>
      <c r="AQ44" s="1">
        <f t="shared" ca="1" si="30"/>
        <v>157</v>
      </c>
      <c r="AR44" s="1">
        <f t="shared" ca="1" si="31"/>
        <v>7</v>
      </c>
      <c r="AS44" s="1">
        <f t="shared" ca="1" si="32"/>
        <v>66</v>
      </c>
      <c r="AU44" s="1">
        <f t="shared" ca="1" si="33"/>
        <v>306</v>
      </c>
      <c r="AV44" s="1">
        <f t="shared" ca="1" si="34"/>
        <v>10</v>
      </c>
      <c r="AW44" s="1">
        <f t="shared" ca="1" si="35"/>
        <v>2.4030085852207374E-2</v>
      </c>
      <c r="AY44" s="1">
        <f t="shared" ca="1" si="36"/>
        <v>1.6939838616323761</v>
      </c>
      <c r="AZ44" s="1">
        <f t="shared" ca="1" si="37"/>
        <v>401</v>
      </c>
      <c r="BA44" s="1">
        <f t="shared" ca="1" si="38"/>
        <v>9.1122251997919953E-3</v>
      </c>
      <c r="BV44" s="1">
        <f t="shared" ca="1" si="39"/>
        <v>0.67181932623111817</v>
      </c>
      <c r="BW44" s="1">
        <f t="shared" ca="1" si="40"/>
        <v>584</v>
      </c>
      <c r="BX44" s="1">
        <f t="shared" ca="1" si="41"/>
        <v>5.8288582356460141E-3</v>
      </c>
      <c r="BY44" s="1">
        <f t="shared" ca="1" si="42"/>
        <v>9.7804820189230173E-4</v>
      </c>
      <c r="BZ44" s="1">
        <f t="shared" ca="1" si="43"/>
        <v>0.2781982705025281</v>
      </c>
      <c r="CB44" s="1">
        <f t="shared" ca="1" si="44"/>
        <v>261</v>
      </c>
      <c r="CC44" s="1">
        <f t="shared" ca="1" si="45"/>
        <v>4</v>
      </c>
      <c r="CD44" s="1">
        <f t="shared" ca="1" si="46"/>
        <v>0.213589443541084</v>
      </c>
      <c r="CE44" s="1">
        <f t="shared" ca="1" si="56"/>
        <v>0.73736200831614385</v>
      </c>
      <c r="CF44" s="1">
        <f t="shared" ca="1" si="56"/>
        <v>0.58402435615913406</v>
      </c>
      <c r="CH44" s="3">
        <f t="shared" ca="1" si="48"/>
        <v>1.9281688189872036E-2</v>
      </c>
      <c r="CI44" s="3">
        <f t="shared" ca="1" si="49"/>
        <v>0.37221713489162439</v>
      </c>
      <c r="CJ44" s="3">
        <f t="shared" ca="1" si="50"/>
        <v>708</v>
      </c>
      <c r="CK44" s="3">
        <f t="shared" ca="1" si="51"/>
        <v>2.4778467255573188E-3</v>
      </c>
      <c r="CL44" s="3">
        <f t="shared" ca="1" si="52"/>
        <v>0</v>
      </c>
      <c r="CM44" s="3"/>
      <c r="CN44" s="1">
        <f t="shared" ca="1" si="53"/>
        <v>1.2750400304637151</v>
      </c>
      <c r="CO44" s="1">
        <f t="shared" ca="1" si="54"/>
        <v>9.762797235666091E-3</v>
      </c>
      <c r="CP44" s="1">
        <f t="shared" ca="1" si="55"/>
        <v>2</v>
      </c>
    </row>
    <row r="45" spans="2:94" x14ac:dyDescent="0.25">
      <c r="B45">
        <f t="shared" ca="1" si="0"/>
        <v>145</v>
      </c>
      <c r="C45">
        <f t="shared" ca="1" si="1"/>
        <v>28</v>
      </c>
      <c r="D45">
        <f t="shared" ca="1" si="2"/>
        <v>0.2192031439241291</v>
      </c>
      <c r="F45" s="1">
        <f t="shared" ca="1" si="3"/>
        <v>8</v>
      </c>
      <c r="G45" s="1">
        <f t="shared" ca="1" si="4"/>
        <v>15</v>
      </c>
      <c r="H45" s="1">
        <f t="shared" ca="1" si="5"/>
        <v>10</v>
      </c>
      <c r="I45" s="1"/>
      <c r="J45" s="1">
        <f t="shared" ca="1" si="6"/>
        <v>26</v>
      </c>
      <c r="K45" s="1">
        <f t="shared" ca="1" si="7"/>
        <v>1.1726405874618238</v>
      </c>
      <c r="L45" s="1">
        <f t="shared" ca="1" si="8"/>
        <v>25</v>
      </c>
      <c r="M45" s="1"/>
      <c r="N45" s="1">
        <f t="shared" ca="1" si="9"/>
        <v>994</v>
      </c>
      <c r="O45" s="1">
        <f t="shared" ca="1" si="10"/>
        <v>37</v>
      </c>
      <c r="P45" s="1"/>
      <c r="Q45" s="1">
        <f t="shared" ca="1" si="11"/>
        <v>3.3534019402208148</v>
      </c>
      <c r="R45" s="1">
        <f t="shared" ca="1" si="12"/>
        <v>1001</v>
      </c>
      <c r="S45" s="1"/>
      <c r="T45" s="1">
        <f t="shared" ca="1" si="13"/>
        <v>4.1895642439152773E-2</v>
      </c>
      <c r="U45" s="1">
        <f t="shared" ca="1" si="14"/>
        <v>54</v>
      </c>
      <c r="V45" s="1">
        <f t="shared" ca="1" si="15"/>
        <v>31</v>
      </c>
      <c r="W45" s="1"/>
      <c r="X45" s="1">
        <f t="shared" ca="1" si="16"/>
        <v>2.4277463344155099</v>
      </c>
      <c r="Y45" s="1">
        <f t="shared" ca="1" si="17"/>
        <v>0.30945311017692062</v>
      </c>
      <c r="Z45" s="1">
        <f t="shared" ca="1" si="18"/>
        <v>1047</v>
      </c>
      <c r="AB45" s="1">
        <f t="shared" ca="1" si="19"/>
        <v>0.83227058471773885</v>
      </c>
      <c r="AC45" s="1">
        <f t="shared" ca="1" si="20"/>
        <v>485</v>
      </c>
      <c r="AD45" s="1">
        <f t="shared" ca="1" si="21"/>
        <v>1.7906094970193643E-3</v>
      </c>
      <c r="AE45" s="1"/>
      <c r="AF45" s="1">
        <f t="shared" ca="1" si="22"/>
        <v>0.29732761898956162</v>
      </c>
      <c r="AG45" s="1">
        <f t="shared" ca="1" si="23"/>
        <v>273</v>
      </c>
      <c r="AH45" s="1">
        <f t="shared" ca="1" si="24"/>
        <v>9.7121433308323089E-3</v>
      </c>
      <c r="AJ45" s="1">
        <f t="shared" ca="1" si="25"/>
        <v>0.55791205589738502</v>
      </c>
      <c r="AK45" s="1">
        <f t="shared" ca="1" si="26"/>
        <v>4.0383915497784308E-3</v>
      </c>
      <c r="AL45" s="1"/>
      <c r="AM45" s="1">
        <f t="shared" ca="1" si="27"/>
        <v>0.10357798337559697</v>
      </c>
      <c r="AN45" s="1">
        <f t="shared" ca="1" si="28"/>
        <v>21</v>
      </c>
      <c r="AO45" s="1">
        <f t="shared" ca="1" si="29"/>
        <v>18</v>
      </c>
      <c r="AQ45" s="1">
        <f t="shared" ca="1" si="30"/>
        <v>169</v>
      </c>
      <c r="AR45" s="1">
        <f t="shared" ca="1" si="31"/>
        <v>8</v>
      </c>
      <c r="AS45" s="1">
        <f t="shared" ca="1" si="32"/>
        <v>77</v>
      </c>
      <c r="AU45" s="1">
        <f t="shared" ca="1" si="33"/>
        <v>95</v>
      </c>
      <c r="AV45" s="1">
        <f t="shared" ca="1" si="34"/>
        <v>9</v>
      </c>
      <c r="AW45" s="1">
        <f t="shared" ca="1" si="35"/>
        <v>9.3134000170417994E-2</v>
      </c>
      <c r="AY45" s="1">
        <f t="shared" ca="1" si="36"/>
        <v>1.8254798463309281</v>
      </c>
      <c r="AZ45" s="1">
        <f t="shared" ca="1" si="37"/>
        <v>51</v>
      </c>
      <c r="BA45" s="1">
        <f t="shared" ca="1" si="38"/>
        <v>3.6572108036064281E-3</v>
      </c>
      <c r="BV45" s="1">
        <f t="shared" ca="1" si="39"/>
        <v>0.40003020920542404</v>
      </c>
      <c r="BW45" s="1">
        <f t="shared" ca="1" si="40"/>
        <v>574</v>
      </c>
      <c r="BX45" s="1">
        <f t="shared" ca="1" si="41"/>
        <v>8.3485014269050611E-3</v>
      </c>
      <c r="BY45" s="1">
        <f t="shared" ca="1" si="42"/>
        <v>9.2251997296579236E-2</v>
      </c>
      <c r="BZ45" s="1">
        <f t="shared" ca="1" si="43"/>
        <v>0.68122525599007433</v>
      </c>
      <c r="CB45" s="1">
        <f t="shared" ca="1" si="44"/>
        <v>95</v>
      </c>
      <c r="CC45" s="1">
        <f t="shared" ca="1" si="45"/>
        <v>8</v>
      </c>
      <c r="CD45" s="1">
        <f t="shared" ca="1" si="46"/>
        <v>0.21897679471755732</v>
      </c>
      <c r="CE45" s="1">
        <f t="shared" ca="1" si="56"/>
        <v>0.855061954729878</v>
      </c>
      <c r="CF45" s="1">
        <f t="shared" ca="1" si="56"/>
        <v>0.96082450871293623</v>
      </c>
      <c r="CH45" s="3">
        <f t="shared" ca="1" si="48"/>
        <v>0.94011785894803601</v>
      </c>
      <c r="CI45" s="3">
        <f t="shared" ca="1" si="49"/>
        <v>9.9030307331867323E-2</v>
      </c>
      <c r="CJ45" s="3">
        <f t="shared" ca="1" si="50"/>
        <v>1997</v>
      </c>
      <c r="CK45" s="3">
        <f t="shared" ca="1" si="51"/>
        <v>7.6490441859448531E-3</v>
      </c>
      <c r="CL45" s="3">
        <f t="shared" ca="1" si="52"/>
        <v>0</v>
      </c>
      <c r="CM45" s="3"/>
      <c r="CN45" s="1">
        <f t="shared" ca="1" si="53"/>
        <v>11.342512975202901</v>
      </c>
      <c r="CO45" s="1">
        <f t="shared" ca="1" si="54"/>
        <v>0.43872641469436413</v>
      </c>
      <c r="CP45" s="1">
        <f t="shared" ca="1" si="55"/>
        <v>1</v>
      </c>
    </row>
    <row r="46" spans="2:94" x14ac:dyDescent="0.25">
      <c r="B46">
        <f t="shared" ca="1" si="0"/>
        <v>135</v>
      </c>
      <c r="C46">
        <f t="shared" ca="1" si="1"/>
        <v>13</v>
      </c>
      <c r="D46">
        <f t="shared" ca="1" si="2"/>
        <v>0.26351656640798771</v>
      </c>
      <c r="F46" s="1">
        <f t="shared" ca="1" si="3"/>
        <v>37</v>
      </c>
      <c r="G46" s="1">
        <f t="shared" ca="1" si="4"/>
        <v>5</v>
      </c>
      <c r="H46" s="1">
        <f t="shared" ca="1" si="5"/>
        <v>10</v>
      </c>
      <c r="I46" s="1"/>
      <c r="J46" s="1">
        <f t="shared" ca="1" si="6"/>
        <v>25</v>
      </c>
      <c r="K46" s="1">
        <f t="shared" ca="1" si="7"/>
        <v>2.0143546147838887</v>
      </c>
      <c r="L46" s="1">
        <f t="shared" ca="1" si="8"/>
        <v>15</v>
      </c>
      <c r="M46" s="1"/>
      <c r="N46" s="1">
        <f t="shared" ca="1" si="9"/>
        <v>797</v>
      </c>
      <c r="O46" s="1">
        <f t="shared" ca="1" si="10"/>
        <v>21</v>
      </c>
      <c r="P46" s="1"/>
      <c r="Q46" s="1">
        <f t="shared" ca="1" si="11"/>
        <v>4.9442142191209202</v>
      </c>
      <c r="R46" s="1">
        <f t="shared" ca="1" si="12"/>
        <v>560</v>
      </c>
      <c r="S46" s="1"/>
      <c r="T46" s="1">
        <f t="shared" ca="1" si="13"/>
        <v>3.785201192528586E-2</v>
      </c>
      <c r="U46" s="1">
        <f t="shared" ca="1" si="14"/>
        <v>447</v>
      </c>
      <c r="V46" s="1">
        <f t="shared" ca="1" si="15"/>
        <v>44</v>
      </c>
      <c r="W46" s="1"/>
      <c r="X46" s="1">
        <f t="shared" ca="1" si="16"/>
        <v>0.48882564965124559</v>
      </c>
      <c r="Y46" s="1">
        <f t="shared" ca="1" si="17"/>
        <v>0.25546009504510159</v>
      </c>
      <c r="Z46" s="1">
        <f t="shared" ca="1" si="18"/>
        <v>972</v>
      </c>
      <c r="AB46" s="1">
        <f t="shared" ca="1" si="19"/>
        <v>0.22963195568049868</v>
      </c>
      <c r="AC46" s="1">
        <f t="shared" ca="1" si="20"/>
        <v>148</v>
      </c>
      <c r="AD46" s="1">
        <f t="shared" ca="1" si="21"/>
        <v>6.3051835140748433E-3</v>
      </c>
      <c r="AE46" s="1"/>
      <c r="AF46" s="1">
        <f t="shared" ca="1" si="22"/>
        <v>0.56365297990219976</v>
      </c>
      <c r="AG46" s="1">
        <f t="shared" ca="1" si="23"/>
        <v>237</v>
      </c>
      <c r="AH46" s="1">
        <f t="shared" ca="1" si="24"/>
        <v>6.2419686151699077E-3</v>
      </c>
      <c r="AJ46" s="1">
        <f t="shared" ca="1" si="25"/>
        <v>0.76158287377474554</v>
      </c>
      <c r="AK46" s="1">
        <f t="shared" ca="1" si="26"/>
        <v>9.9595277777079407E-3</v>
      </c>
      <c r="AL46" s="1"/>
      <c r="AM46" s="1">
        <f t="shared" ca="1" si="27"/>
        <v>0.16670408472600123</v>
      </c>
      <c r="AN46" s="1">
        <f t="shared" ca="1" si="28"/>
        <v>15</v>
      </c>
      <c r="AO46" s="1">
        <f t="shared" ca="1" si="29"/>
        <v>11</v>
      </c>
      <c r="AQ46" s="1">
        <f t="shared" ca="1" si="30"/>
        <v>89</v>
      </c>
      <c r="AR46" s="1">
        <f t="shared" ca="1" si="31"/>
        <v>9</v>
      </c>
      <c r="AS46" s="1">
        <f t="shared" ca="1" si="32"/>
        <v>4</v>
      </c>
      <c r="AU46" s="1">
        <f t="shared" ca="1" si="33"/>
        <v>123</v>
      </c>
      <c r="AV46" s="1">
        <f t="shared" ca="1" si="34"/>
        <v>2</v>
      </c>
      <c r="AW46" s="1">
        <f t="shared" ca="1" si="35"/>
        <v>0.18354936942475178</v>
      </c>
      <c r="AY46" s="1">
        <f t="shared" ca="1" si="36"/>
        <v>1.7623944050326603</v>
      </c>
      <c r="AZ46" s="1">
        <f t="shared" ca="1" si="37"/>
        <v>499</v>
      </c>
      <c r="BA46" s="1">
        <f t="shared" ca="1" si="38"/>
        <v>2.6700719239299087E-3</v>
      </c>
      <c r="BV46" s="1">
        <f t="shared" ca="1" si="39"/>
        <v>0.31235349048053945</v>
      </c>
      <c r="BW46" s="1">
        <f t="shared" ca="1" si="40"/>
        <v>691</v>
      </c>
      <c r="BX46" s="1">
        <f t="shared" ca="1" si="41"/>
        <v>8.3525458282137921E-3</v>
      </c>
      <c r="BY46" s="1">
        <f t="shared" ca="1" si="42"/>
        <v>9.3968978768584455E-2</v>
      </c>
      <c r="BZ46" s="1">
        <f t="shared" ca="1" si="43"/>
        <v>0.3571809521828978</v>
      </c>
      <c r="CB46" s="1">
        <f t="shared" ca="1" si="44"/>
        <v>413</v>
      </c>
      <c r="CC46" s="1">
        <f t="shared" ca="1" si="45"/>
        <v>6</v>
      </c>
      <c r="CD46" s="1">
        <f t="shared" ca="1" si="46"/>
        <v>0.14995923461547303</v>
      </c>
      <c r="CE46" s="1">
        <f t="shared" ca="1" si="56"/>
        <v>0.67742244294758236</v>
      </c>
      <c r="CF46" s="1">
        <f t="shared" ca="1" si="56"/>
        <v>0.533308817319883</v>
      </c>
      <c r="CH46" s="3">
        <f t="shared" ca="1" si="48"/>
        <v>0.11073453616555723</v>
      </c>
      <c r="CI46" s="3">
        <f t="shared" ca="1" si="49"/>
        <v>0.50316167959418789</v>
      </c>
      <c r="CJ46" s="3">
        <f t="shared" ca="1" si="50"/>
        <v>1819</v>
      </c>
      <c r="CK46" s="3">
        <f t="shared" ca="1" si="51"/>
        <v>8.7793771244149173E-3</v>
      </c>
      <c r="CL46" s="3">
        <f t="shared" ca="1" si="52"/>
        <v>0</v>
      </c>
      <c r="CM46" s="3"/>
      <c r="CN46" s="1">
        <f t="shared" ca="1" si="53"/>
        <v>13.709136454671373</v>
      </c>
      <c r="CO46" s="1">
        <f t="shared" ca="1" si="54"/>
        <v>0.47914606587645192</v>
      </c>
      <c r="CP46" s="1">
        <f t="shared" ca="1" si="55"/>
        <v>3</v>
      </c>
    </row>
    <row r="47" spans="2:94" x14ac:dyDescent="0.25">
      <c r="B47">
        <f t="shared" ca="1" si="0"/>
        <v>78</v>
      </c>
      <c r="C47">
        <f t="shared" ca="1" si="1"/>
        <v>44</v>
      </c>
      <c r="D47">
        <f t="shared" ca="1" si="2"/>
        <v>4.185557565666112E-2</v>
      </c>
      <c r="F47" s="1">
        <f t="shared" ca="1" si="3"/>
        <v>23</v>
      </c>
      <c r="G47" s="1">
        <f t="shared" ca="1" si="4"/>
        <v>8</v>
      </c>
      <c r="H47" s="1">
        <f t="shared" ca="1" si="5"/>
        <v>7</v>
      </c>
      <c r="I47" s="1"/>
      <c r="J47" s="1">
        <f t="shared" ca="1" si="6"/>
        <v>8</v>
      </c>
      <c r="K47" s="1">
        <f t="shared" ca="1" si="7"/>
        <v>2.0488694827150478</v>
      </c>
      <c r="L47" s="1">
        <f t="shared" ca="1" si="8"/>
        <v>13</v>
      </c>
      <c r="M47" s="1"/>
      <c r="N47" s="1">
        <f t="shared" ca="1" si="9"/>
        <v>519</v>
      </c>
      <c r="O47" s="1">
        <f t="shared" ca="1" si="10"/>
        <v>9</v>
      </c>
      <c r="P47" s="1"/>
      <c r="Q47" s="1">
        <f t="shared" ca="1" si="11"/>
        <v>3.7757880690045753</v>
      </c>
      <c r="R47" s="1">
        <f t="shared" ca="1" si="12"/>
        <v>325</v>
      </c>
      <c r="S47" s="1"/>
      <c r="T47" s="1">
        <f t="shared" ca="1" si="13"/>
        <v>1.9195541376789468E-2</v>
      </c>
      <c r="U47" s="1">
        <f t="shared" ca="1" si="14"/>
        <v>124</v>
      </c>
      <c r="V47" s="1">
        <f t="shared" ca="1" si="15"/>
        <v>38</v>
      </c>
      <c r="W47" s="1"/>
      <c r="X47" s="1">
        <f t="shared" ca="1" si="16"/>
        <v>2.1751344190798507</v>
      </c>
      <c r="Y47" s="1">
        <f t="shared" ca="1" si="17"/>
        <v>0.29080765245149232</v>
      </c>
      <c r="Z47" s="1">
        <f t="shared" ca="1" si="18"/>
        <v>1635</v>
      </c>
      <c r="AB47" s="1">
        <f t="shared" ca="1" si="19"/>
        <v>0.21708589387510629</v>
      </c>
      <c r="AC47" s="1">
        <f t="shared" ca="1" si="20"/>
        <v>995</v>
      </c>
      <c r="AD47" s="1">
        <f t="shared" ca="1" si="21"/>
        <v>9.3444971198316084E-3</v>
      </c>
      <c r="AE47" s="1"/>
      <c r="AF47" s="1">
        <f t="shared" ca="1" si="22"/>
        <v>0.71565262057811807</v>
      </c>
      <c r="AG47" s="1">
        <f t="shared" ca="1" si="23"/>
        <v>925</v>
      </c>
      <c r="AH47" s="1">
        <f t="shared" ca="1" si="24"/>
        <v>7.794815070222603E-3</v>
      </c>
      <c r="AJ47" s="1">
        <f t="shared" ca="1" si="25"/>
        <v>0.24245928252587601</v>
      </c>
      <c r="AK47" s="1">
        <f t="shared" ca="1" si="26"/>
        <v>6.3443400389143617E-3</v>
      </c>
      <c r="AL47" s="1"/>
      <c r="AM47" s="1">
        <f t="shared" ca="1" si="27"/>
        <v>7.6503493816531737E-2</v>
      </c>
      <c r="AN47" s="1">
        <f t="shared" ca="1" si="28"/>
        <v>74</v>
      </c>
      <c r="AO47" s="1">
        <f t="shared" ca="1" si="29"/>
        <v>0</v>
      </c>
      <c r="AQ47" s="1">
        <f t="shared" ca="1" si="30"/>
        <v>194</v>
      </c>
      <c r="AR47" s="1">
        <f t="shared" ca="1" si="31"/>
        <v>7</v>
      </c>
      <c r="AS47" s="1">
        <f t="shared" ca="1" si="32"/>
        <v>18</v>
      </c>
      <c r="AU47" s="1">
        <f t="shared" ca="1" si="33"/>
        <v>214</v>
      </c>
      <c r="AV47" s="1">
        <f t="shared" ca="1" si="34"/>
        <v>2</v>
      </c>
      <c r="AW47" s="1">
        <f t="shared" ca="1" si="35"/>
        <v>0.19436395070360249</v>
      </c>
      <c r="AY47" s="1">
        <f t="shared" ca="1" si="36"/>
        <v>1.7128830718561177</v>
      </c>
      <c r="AZ47" s="1">
        <f t="shared" ca="1" si="37"/>
        <v>404</v>
      </c>
      <c r="BA47" s="1">
        <f t="shared" ca="1" si="38"/>
        <v>1.6778680372615431E-3</v>
      </c>
      <c r="BV47" s="1">
        <f t="shared" ca="1" si="39"/>
        <v>0.21944824423421952</v>
      </c>
      <c r="BW47" s="1">
        <f t="shared" ca="1" si="40"/>
        <v>186</v>
      </c>
      <c r="BX47" s="1">
        <f t="shared" ca="1" si="41"/>
        <v>6.3028978572064768E-3</v>
      </c>
      <c r="BY47" s="1">
        <f t="shared" ca="1" si="42"/>
        <v>4.7087148885375366E-2</v>
      </c>
      <c r="BZ47" s="1">
        <f t="shared" ca="1" si="43"/>
        <v>0.32068082877236026</v>
      </c>
      <c r="CB47" s="1">
        <f t="shared" ca="1" si="44"/>
        <v>169</v>
      </c>
      <c r="CC47" s="1">
        <f t="shared" ca="1" si="45"/>
        <v>12</v>
      </c>
      <c r="CD47" s="1">
        <f t="shared" ca="1" si="46"/>
        <v>0.20166859927881206</v>
      </c>
      <c r="CE47" s="1">
        <f t="shared" ca="1" si="56"/>
        <v>0.5699045785269905</v>
      </c>
      <c r="CF47" s="1">
        <f t="shared" ca="1" si="56"/>
        <v>0.65267619476704408</v>
      </c>
      <c r="CH47" s="3">
        <f t="shared" ca="1" si="48"/>
        <v>3.4589778025062808E-2</v>
      </c>
      <c r="CI47" s="3">
        <f t="shared" ca="1" si="49"/>
        <v>0.9094302131816584</v>
      </c>
      <c r="CJ47" s="3">
        <f t="shared" ca="1" si="50"/>
        <v>1432</v>
      </c>
      <c r="CK47" s="3">
        <f t="shared" ca="1" si="51"/>
        <v>2.9325287016718367E-4</v>
      </c>
      <c r="CL47" s="3">
        <f t="shared" ca="1" si="52"/>
        <v>0</v>
      </c>
      <c r="CM47" s="3"/>
      <c r="CN47" s="1">
        <f t="shared" ca="1" si="53"/>
        <v>5.09510212116205</v>
      </c>
      <c r="CO47" s="1">
        <f t="shared" ca="1" si="54"/>
        <v>2.1636932774043847E-2</v>
      </c>
      <c r="CP47" s="1">
        <f t="shared" ca="1" si="55"/>
        <v>1</v>
      </c>
    </row>
    <row r="48" spans="2:94" x14ac:dyDescent="0.25">
      <c r="B48">
        <f t="shared" ca="1" si="0"/>
        <v>865</v>
      </c>
      <c r="C48">
        <f t="shared" ca="1" si="1"/>
        <v>12</v>
      </c>
      <c r="D48">
        <f t="shared" ca="1" si="2"/>
        <v>0.1351182848981248</v>
      </c>
      <c r="F48" s="1">
        <f t="shared" ca="1" si="3"/>
        <v>8</v>
      </c>
      <c r="G48" s="1">
        <f t="shared" ca="1" si="4"/>
        <v>14</v>
      </c>
      <c r="H48" s="1">
        <f t="shared" ca="1" si="5"/>
        <v>7</v>
      </c>
      <c r="I48" s="1"/>
      <c r="J48" s="1">
        <f t="shared" ca="1" si="6"/>
        <v>17</v>
      </c>
      <c r="K48" s="1">
        <f t="shared" ca="1" si="7"/>
        <v>1.828196523378824</v>
      </c>
      <c r="L48" s="1">
        <f t="shared" ca="1" si="8"/>
        <v>15</v>
      </c>
      <c r="M48" s="1"/>
      <c r="N48" s="1">
        <f t="shared" ca="1" si="9"/>
        <v>571</v>
      </c>
      <c r="O48" s="1">
        <f t="shared" ca="1" si="10"/>
        <v>6</v>
      </c>
      <c r="P48" s="1"/>
      <c r="Q48" s="1">
        <f t="shared" ca="1" si="11"/>
        <v>2.4660771760312552</v>
      </c>
      <c r="R48" s="1">
        <f t="shared" ca="1" si="12"/>
        <v>317</v>
      </c>
      <c r="S48" s="1"/>
      <c r="T48" s="1">
        <f t="shared" ca="1" si="13"/>
        <v>9.1765454805354127E-2</v>
      </c>
      <c r="U48" s="1">
        <f t="shared" ca="1" si="14"/>
        <v>435</v>
      </c>
      <c r="V48" s="1">
        <f t="shared" ca="1" si="15"/>
        <v>44</v>
      </c>
      <c r="W48" s="1"/>
      <c r="X48" s="1">
        <f t="shared" ca="1" si="16"/>
        <v>8.4449771527390141</v>
      </c>
      <c r="Y48" s="1">
        <f t="shared" ca="1" si="17"/>
        <v>7.4051057615418608E-2</v>
      </c>
      <c r="Z48" s="1">
        <f t="shared" ca="1" si="18"/>
        <v>690</v>
      </c>
      <c r="AB48" s="1">
        <f t="shared" ca="1" si="19"/>
        <v>0.33311190912066491</v>
      </c>
      <c r="AC48" s="1">
        <f t="shared" ca="1" si="20"/>
        <v>109</v>
      </c>
      <c r="AD48" s="1">
        <f t="shared" ca="1" si="21"/>
        <v>3.0630500808389309E-3</v>
      </c>
      <c r="AE48" s="1"/>
      <c r="AF48" s="1">
        <f t="shared" ca="1" si="22"/>
        <v>0.4449811868201512</v>
      </c>
      <c r="AG48" s="1">
        <f t="shared" ca="1" si="23"/>
        <v>692</v>
      </c>
      <c r="AH48" s="1">
        <f t="shared" ca="1" si="24"/>
        <v>1.2161036497745629E-4</v>
      </c>
      <c r="AJ48" s="1">
        <f t="shared" ca="1" si="25"/>
        <v>0.32694569991551681</v>
      </c>
      <c r="AK48" s="1">
        <f t="shared" ca="1" si="26"/>
        <v>7.6110321115935861E-3</v>
      </c>
      <c r="AL48" s="1"/>
      <c r="AM48" s="1">
        <f t="shared" ca="1" si="27"/>
        <v>2.5328420647499458E-2</v>
      </c>
      <c r="AN48" s="1">
        <f t="shared" ca="1" si="28"/>
        <v>17</v>
      </c>
      <c r="AO48" s="1">
        <f t="shared" ca="1" si="29"/>
        <v>1</v>
      </c>
      <c r="AQ48" s="1">
        <f t="shared" ca="1" si="30"/>
        <v>167</v>
      </c>
      <c r="AR48" s="1">
        <f t="shared" ca="1" si="31"/>
        <v>6</v>
      </c>
      <c r="AS48" s="1">
        <f t="shared" ca="1" si="32"/>
        <v>28</v>
      </c>
      <c r="AU48" s="1">
        <f t="shared" ca="1" si="33"/>
        <v>181</v>
      </c>
      <c r="AV48" s="1">
        <f t="shared" ca="1" si="34"/>
        <v>5</v>
      </c>
      <c r="AW48" s="1">
        <f t="shared" ca="1" si="35"/>
        <v>0.17039799284577253</v>
      </c>
      <c r="AY48" s="1">
        <f t="shared" ca="1" si="36"/>
        <v>1.1455690236411571</v>
      </c>
      <c r="AZ48" s="1">
        <f t="shared" ca="1" si="37"/>
        <v>467</v>
      </c>
      <c r="BA48" s="1">
        <f t="shared" ca="1" si="38"/>
        <v>5.7666156313168253E-3</v>
      </c>
      <c r="BV48" s="1">
        <f t="shared" ca="1" si="39"/>
        <v>0.29361345500949471</v>
      </c>
      <c r="BW48" s="1">
        <f t="shared" ca="1" si="40"/>
        <v>781</v>
      </c>
      <c r="BX48" s="1">
        <f t="shared" ca="1" si="41"/>
        <v>8.8702420600742949E-3</v>
      </c>
      <c r="BY48" s="1">
        <f t="shared" ca="1" si="42"/>
        <v>5.9546203045737552E-2</v>
      </c>
      <c r="BZ48" s="1">
        <f t="shared" ca="1" si="43"/>
        <v>0.41106044963307786</v>
      </c>
      <c r="CB48" s="1">
        <f t="shared" ca="1" si="44"/>
        <v>142</v>
      </c>
      <c r="CC48" s="1">
        <f t="shared" ca="1" si="45"/>
        <v>7</v>
      </c>
      <c r="CD48" s="1">
        <f t="shared" ca="1" si="46"/>
        <v>0.22556389257856005</v>
      </c>
      <c r="CE48" s="1">
        <f t="shared" ca="1" si="56"/>
        <v>0.9338194137489868</v>
      </c>
      <c r="CF48" s="1">
        <f t="shared" ca="1" si="56"/>
        <v>0.8986000487231276</v>
      </c>
      <c r="CH48" s="3">
        <f t="shared" ca="1" si="48"/>
        <v>0.11414952063978946</v>
      </c>
      <c r="CI48" s="3">
        <f t="shared" ca="1" si="49"/>
        <v>0.40559285591093119</v>
      </c>
      <c r="CJ48" s="3">
        <f t="shared" ca="1" si="50"/>
        <v>893</v>
      </c>
      <c r="CK48" s="3">
        <f t="shared" ca="1" si="51"/>
        <v>3.3038960301346293E-3</v>
      </c>
      <c r="CL48" s="3">
        <f t="shared" ca="1" si="52"/>
        <v>0</v>
      </c>
      <c r="CM48" s="3"/>
      <c r="CN48" s="1">
        <f t="shared" ca="1" si="53"/>
        <v>14.955167763088967</v>
      </c>
      <c r="CO48" s="1">
        <f t="shared" ca="1" si="54"/>
        <v>0.4129500491991247</v>
      </c>
      <c r="CP48" s="1">
        <f t="shared" ca="1" si="55"/>
        <v>5</v>
      </c>
    </row>
    <row r="49" spans="2:94" x14ac:dyDescent="0.25">
      <c r="B49">
        <f t="shared" ca="1" si="0"/>
        <v>386</v>
      </c>
      <c r="C49">
        <f t="shared" ca="1" si="1"/>
        <v>16</v>
      </c>
      <c r="D49">
        <f t="shared" ca="1" si="2"/>
        <v>0.28463186687902575</v>
      </c>
      <c r="F49" s="1">
        <f t="shared" ca="1" si="3"/>
        <v>11</v>
      </c>
      <c r="G49" s="1">
        <f t="shared" ca="1" si="4"/>
        <v>19</v>
      </c>
      <c r="H49" s="1">
        <f t="shared" ca="1" si="5"/>
        <v>4</v>
      </c>
      <c r="I49" s="1"/>
      <c r="J49" s="1">
        <f t="shared" ca="1" si="6"/>
        <v>39</v>
      </c>
      <c r="K49" s="1">
        <f t="shared" ca="1" si="7"/>
        <v>1.9740327076848723</v>
      </c>
      <c r="L49" s="1">
        <f t="shared" ca="1" si="8"/>
        <v>12</v>
      </c>
      <c r="M49" s="1"/>
      <c r="N49" s="1">
        <f t="shared" ca="1" si="9"/>
        <v>998</v>
      </c>
      <c r="O49" s="1">
        <f t="shared" ca="1" si="10"/>
        <v>10</v>
      </c>
      <c r="P49" s="1"/>
      <c r="Q49" s="1">
        <f t="shared" ca="1" si="11"/>
        <v>3.6927876905931634E-2</v>
      </c>
      <c r="R49" s="1">
        <f t="shared" ca="1" si="12"/>
        <v>418</v>
      </c>
      <c r="S49" s="1"/>
      <c r="T49" s="1">
        <f t="shared" ca="1" si="13"/>
        <v>0.14223633585546566</v>
      </c>
      <c r="U49" s="1">
        <f t="shared" ca="1" si="14"/>
        <v>439</v>
      </c>
      <c r="V49" s="1">
        <f t="shared" ca="1" si="15"/>
        <v>32</v>
      </c>
      <c r="W49" s="1"/>
      <c r="X49" s="1">
        <f t="shared" ca="1" si="16"/>
        <v>5.1125189791845438</v>
      </c>
      <c r="Y49" s="1">
        <f t="shared" ca="1" si="17"/>
        <v>0.8964442065830146</v>
      </c>
      <c r="Z49" s="1">
        <f t="shared" ca="1" si="18"/>
        <v>1948</v>
      </c>
      <c r="AB49" s="1">
        <f t="shared" ca="1" si="19"/>
        <v>0.59243953742354027</v>
      </c>
      <c r="AC49" s="1">
        <f t="shared" ca="1" si="20"/>
        <v>265</v>
      </c>
      <c r="AD49" s="1">
        <f t="shared" ca="1" si="21"/>
        <v>4.7324302318603705E-3</v>
      </c>
      <c r="AE49" s="1"/>
      <c r="AF49" s="1">
        <f t="shared" ca="1" si="22"/>
        <v>0.11914082660221706</v>
      </c>
      <c r="AG49" s="1">
        <f t="shared" ca="1" si="23"/>
        <v>992</v>
      </c>
      <c r="AH49" s="1">
        <f t="shared" ca="1" si="24"/>
        <v>4.909873894592195E-3</v>
      </c>
      <c r="AJ49" s="1">
        <f t="shared" ca="1" si="25"/>
        <v>0.63123736031357791</v>
      </c>
      <c r="AK49" s="1">
        <f t="shared" ca="1" si="26"/>
        <v>8.1842782413044397E-3</v>
      </c>
      <c r="AL49" s="1"/>
      <c r="AM49" s="1">
        <f t="shared" ca="1" si="27"/>
        <v>0.1396302646782491</v>
      </c>
      <c r="AN49" s="1">
        <f t="shared" ca="1" si="28"/>
        <v>44</v>
      </c>
      <c r="AO49" s="1">
        <f t="shared" ca="1" si="29"/>
        <v>17</v>
      </c>
      <c r="AQ49" s="1">
        <f t="shared" ca="1" si="30"/>
        <v>167</v>
      </c>
      <c r="AR49" s="1">
        <f t="shared" ca="1" si="31"/>
        <v>9</v>
      </c>
      <c r="AS49" s="1">
        <f t="shared" ca="1" si="32"/>
        <v>87</v>
      </c>
      <c r="AU49" s="1">
        <f t="shared" ca="1" si="33"/>
        <v>392</v>
      </c>
      <c r="AV49" s="1">
        <f t="shared" ca="1" si="34"/>
        <v>3</v>
      </c>
      <c r="AW49" s="1">
        <f t="shared" ca="1" si="35"/>
        <v>3.6801333364029451E-2</v>
      </c>
      <c r="AY49" s="1">
        <f t="shared" ca="1" si="36"/>
        <v>1.8615082357693296</v>
      </c>
      <c r="AZ49" s="1">
        <f t="shared" ca="1" si="37"/>
        <v>342</v>
      </c>
      <c r="BA49" s="1">
        <f t="shared" ca="1" si="38"/>
        <v>4.9440945026774877E-3</v>
      </c>
      <c r="BV49" s="1">
        <f t="shared" ca="1" si="39"/>
        <v>0.22739740619726653</v>
      </c>
      <c r="BW49" s="1">
        <f t="shared" ca="1" si="40"/>
        <v>158</v>
      </c>
      <c r="BX49" s="1">
        <f t="shared" ca="1" si="41"/>
        <v>5.4267641583876985E-3</v>
      </c>
      <c r="BY49" s="1">
        <f t="shared" ca="1" si="42"/>
        <v>6.587713007101352E-2</v>
      </c>
      <c r="BZ49" s="1">
        <f t="shared" ca="1" si="43"/>
        <v>0.4386384421200209</v>
      </c>
      <c r="CB49" s="1">
        <f t="shared" ca="1" si="44"/>
        <v>190</v>
      </c>
      <c r="CC49" s="1">
        <f t="shared" ca="1" si="45"/>
        <v>4</v>
      </c>
      <c r="CD49" s="1">
        <f t="shared" ca="1" si="46"/>
        <v>0.13958495400367912</v>
      </c>
      <c r="CE49" s="1">
        <f t="shared" ca="1" si="56"/>
        <v>0.62097350654236827</v>
      </c>
      <c r="CF49" s="1">
        <f t="shared" ca="1" si="56"/>
        <v>0.75186888807279939</v>
      </c>
      <c r="CH49" s="3">
        <f t="shared" ca="1" si="48"/>
        <v>9.5854182908284236E-2</v>
      </c>
      <c r="CI49" s="3">
        <f t="shared" ca="1" si="49"/>
        <v>0.17533862449312529</v>
      </c>
      <c r="CJ49" s="3">
        <f t="shared" ca="1" si="50"/>
        <v>1888</v>
      </c>
      <c r="CK49" s="3">
        <f t="shared" ca="1" si="51"/>
        <v>5.7628645126277436E-3</v>
      </c>
      <c r="CL49" s="3">
        <f t="shared" ca="1" si="52"/>
        <v>0</v>
      </c>
      <c r="CM49" s="3"/>
      <c r="CN49" s="1">
        <f t="shared" ca="1" si="53"/>
        <v>0.51682809775038696</v>
      </c>
      <c r="CO49" s="1">
        <f t="shared" ca="1" si="54"/>
        <v>0.43246751647708509</v>
      </c>
      <c r="CP49" s="1">
        <f t="shared" ca="1" si="55"/>
        <v>1</v>
      </c>
    </row>
    <row r="50" spans="2:94" x14ac:dyDescent="0.25">
      <c r="B50">
        <f t="shared" ca="1" si="0"/>
        <v>93</v>
      </c>
      <c r="C50">
        <f t="shared" ca="1" si="1"/>
        <v>6</v>
      </c>
      <c r="D50">
        <f t="shared" ca="1" si="2"/>
        <v>0.26154441980688981</v>
      </c>
      <c r="F50" s="1">
        <f t="shared" ca="1" si="3"/>
        <v>24</v>
      </c>
      <c r="G50" s="1">
        <f t="shared" ca="1" si="4"/>
        <v>16</v>
      </c>
      <c r="H50" s="1">
        <f t="shared" ca="1" si="5"/>
        <v>6</v>
      </c>
      <c r="I50" s="1"/>
      <c r="J50" s="1">
        <f t="shared" ca="1" si="6"/>
        <v>6</v>
      </c>
      <c r="K50" s="1">
        <f t="shared" ca="1" si="7"/>
        <v>1.0533809592140881</v>
      </c>
      <c r="L50" s="1">
        <f t="shared" ca="1" si="8"/>
        <v>10</v>
      </c>
      <c r="M50" s="1"/>
      <c r="N50" s="1">
        <f t="shared" ca="1" si="9"/>
        <v>654</v>
      </c>
      <c r="O50" s="1">
        <f t="shared" ca="1" si="10"/>
        <v>48</v>
      </c>
      <c r="P50" s="1"/>
      <c r="Q50" s="1">
        <f t="shared" ca="1" si="11"/>
        <v>0.54206570250330266</v>
      </c>
      <c r="R50" s="1">
        <f t="shared" ca="1" si="12"/>
        <v>950</v>
      </c>
      <c r="S50" s="1"/>
      <c r="T50" s="1">
        <f t="shared" ca="1" si="13"/>
        <v>9.0542690996632924E-2</v>
      </c>
      <c r="U50" s="1">
        <f t="shared" ca="1" si="14"/>
        <v>168</v>
      </c>
      <c r="V50" s="1">
        <f t="shared" ca="1" si="15"/>
        <v>33</v>
      </c>
      <c r="W50" s="1"/>
      <c r="X50" s="1">
        <f t="shared" ca="1" si="16"/>
        <v>6.2981017169290343</v>
      </c>
      <c r="Y50" s="1">
        <f t="shared" ca="1" si="17"/>
        <v>7.0127503882110379E-2</v>
      </c>
      <c r="Z50" s="1">
        <f t="shared" ca="1" si="18"/>
        <v>983</v>
      </c>
      <c r="AB50" s="1">
        <f t="shared" ca="1" si="19"/>
        <v>0.39255547879617664</v>
      </c>
      <c r="AC50" s="1">
        <f t="shared" ca="1" si="20"/>
        <v>950</v>
      </c>
      <c r="AD50" s="1">
        <f t="shared" ca="1" si="21"/>
        <v>4.4734252326009763E-3</v>
      </c>
      <c r="AE50" s="1"/>
      <c r="AF50" s="1">
        <f t="shared" ca="1" si="22"/>
        <v>0.79547740533501476</v>
      </c>
      <c r="AG50" s="1">
        <f t="shared" ca="1" si="23"/>
        <v>524</v>
      </c>
      <c r="AH50" s="1">
        <f t="shared" ca="1" si="24"/>
        <v>9.0935381608922821E-3</v>
      </c>
      <c r="AJ50" s="1">
        <f t="shared" ca="1" si="25"/>
        <v>0.28944501999661998</v>
      </c>
      <c r="AK50" s="1">
        <f t="shared" ca="1" si="26"/>
        <v>2.6127696544784302E-3</v>
      </c>
      <c r="AL50" s="1"/>
      <c r="AM50" s="1">
        <f t="shared" ca="1" si="27"/>
        <v>0.14681170629982998</v>
      </c>
      <c r="AN50" s="1">
        <f t="shared" ca="1" si="28"/>
        <v>52</v>
      </c>
      <c r="AO50" s="1">
        <f t="shared" ca="1" si="29"/>
        <v>1</v>
      </c>
      <c r="AQ50" s="1">
        <f t="shared" ca="1" si="30"/>
        <v>196</v>
      </c>
      <c r="AR50" s="1">
        <f t="shared" ca="1" si="31"/>
        <v>1</v>
      </c>
      <c r="AS50" s="1">
        <f t="shared" ca="1" si="32"/>
        <v>64</v>
      </c>
      <c r="AU50" s="1">
        <f t="shared" ca="1" si="33"/>
        <v>136</v>
      </c>
      <c r="AV50" s="1">
        <f t="shared" ca="1" si="34"/>
        <v>6</v>
      </c>
      <c r="AW50" s="1">
        <f t="shared" ca="1" si="35"/>
        <v>0.12907874122535867</v>
      </c>
      <c r="AY50" s="1">
        <f t="shared" ca="1" si="36"/>
        <v>1.2703154731839934</v>
      </c>
      <c r="AZ50" s="1">
        <f t="shared" ca="1" si="37"/>
        <v>351</v>
      </c>
      <c r="BA50" s="1">
        <f t="shared" ca="1" si="38"/>
        <v>6.7405487658031386E-3</v>
      </c>
      <c r="BV50" s="1">
        <f t="shared" ca="1" si="39"/>
        <v>0.89639124294859029</v>
      </c>
      <c r="BW50" s="1">
        <f t="shared" ca="1" si="40"/>
        <v>971</v>
      </c>
      <c r="BX50" s="1">
        <f t="shared" ca="1" si="41"/>
        <v>8.5755165685825661E-4</v>
      </c>
      <c r="BY50" s="1">
        <f t="shared" ca="1" si="42"/>
        <v>3.9647315579058977E-3</v>
      </c>
      <c r="BZ50" s="1">
        <f t="shared" ca="1" si="43"/>
        <v>0.64104472965249026</v>
      </c>
      <c r="CB50" s="1">
        <f t="shared" ca="1" si="44"/>
        <v>285</v>
      </c>
      <c r="CC50" s="1">
        <f t="shared" ca="1" si="45"/>
        <v>13</v>
      </c>
      <c r="CD50" s="1">
        <f t="shared" ca="1" si="46"/>
        <v>7.4163227295116069E-2</v>
      </c>
      <c r="CE50" s="1">
        <f t="shared" ca="1" si="56"/>
        <v>0.81862944366455936</v>
      </c>
      <c r="CF50" s="1">
        <f t="shared" ca="1" si="56"/>
        <v>0.93180529817899371</v>
      </c>
      <c r="CH50" s="3">
        <f t="shared" ca="1" si="48"/>
        <v>0.22673911942563271</v>
      </c>
      <c r="CI50" s="3">
        <f t="shared" ca="1" si="49"/>
        <v>4.7493153287880403E-2</v>
      </c>
      <c r="CJ50" s="3">
        <f t="shared" ca="1" si="50"/>
        <v>1742</v>
      </c>
      <c r="CK50" s="3">
        <f t="shared" ca="1" si="51"/>
        <v>1.1855315586085503E-3</v>
      </c>
      <c r="CL50" s="3">
        <f t="shared" ca="1" si="52"/>
        <v>1</v>
      </c>
      <c r="CM50" s="3"/>
      <c r="CN50" s="1">
        <f t="shared" ca="1" si="53"/>
        <v>14.131817416635554</v>
      </c>
      <c r="CO50" s="1">
        <f t="shared" ca="1" si="54"/>
        <v>0.27892722519541141</v>
      </c>
      <c r="CP50" s="1">
        <f t="shared" ca="1" si="55"/>
        <v>4</v>
      </c>
    </row>
    <row r="51" spans="2:94" x14ac:dyDescent="0.25">
      <c r="B51">
        <f t="shared" ca="1" si="0"/>
        <v>720</v>
      </c>
      <c r="C51">
        <f t="shared" ca="1" si="1"/>
        <v>34</v>
      </c>
      <c r="D51">
        <f t="shared" ca="1" si="2"/>
        <v>2.4492717072925885E-2</v>
      </c>
      <c r="F51" s="1">
        <f t="shared" ca="1" si="3"/>
        <v>48</v>
      </c>
      <c r="G51" s="1">
        <f t="shared" ca="1" si="4"/>
        <v>4</v>
      </c>
      <c r="H51" s="1">
        <f t="shared" ca="1" si="5"/>
        <v>8</v>
      </c>
      <c r="I51" s="1"/>
      <c r="J51" s="1">
        <f t="shared" ca="1" si="6"/>
        <v>24</v>
      </c>
      <c r="K51" s="1">
        <f t="shared" ca="1" si="7"/>
        <v>2.2684999855203563</v>
      </c>
      <c r="L51" s="1">
        <f t="shared" ca="1" si="8"/>
        <v>25</v>
      </c>
      <c r="M51" s="1"/>
      <c r="N51" s="1">
        <f t="shared" ca="1" si="9"/>
        <v>626</v>
      </c>
      <c r="O51" s="1">
        <f t="shared" ca="1" si="10"/>
        <v>32</v>
      </c>
      <c r="P51" s="1"/>
      <c r="Q51" s="1">
        <f t="shared" ca="1" si="11"/>
        <v>1.9882835898416649</v>
      </c>
      <c r="R51" s="1">
        <f t="shared" ca="1" si="12"/>
        <v>282</v>
      </c>
      <c r="S51" s="1"/>
      <c r="T51" s="1">
        <f t="shared" ca="1" si="13"/>
        <v>8.9606566773511379E-2</v>
      </c>
      <c r="U51" s="1">
        <f t="shared" ca="1" si="14"/>
        <v>346</v>
      </c>
      <c r="V51" s="1">
        <f t="shared" ca="1" si="15"/>
        <v>23</v>
      </c>
      <c r="W51" s="1"/>
      <c r="X51" s="1">
        <f t="shared" ca="1" si="16"/>
        <v>7.0531282471665167</v>
      </c>
      <c r="Y51" s="1">
        <f t="shared" ca="1" si="17"/>
        <v>8.5751907640361114E-2</v>
      </c>
      <c r="Z51" s="1">
        <f t="shared" ca="1" si="18"/>
        <v>348</v>
      </c>
      <c r="AB51" s="1">
        <f t="shared" ca="1" si="19"/>
        <v>0.62696177573747203</v>
      </c>
      <c r="AC51" s="1">
        <f t="shared" ca="1" si="20"/>
        <v>258</v>
      </c>
      <c r="AD51" s="1">
        <f t="shared" ca="1" si="21"/>
        <v>5.6920696279126664E-3</v>
      </c>
      <c r="AE51" s="1"/>
      <c r="AF51" s="1">
        <f t="shared" ca="1" si="22"/>
        <v>0.656787028265718</v>
      </c>
      <c r="AG51" s="1">
        <f t="shared" ca="1" si="23"/>
        <v>813</v>
      </c>
      <c r="AH51" s="1">
        <f t="shared" ca="1" si="24"/>
        <v>9.5585523859563273E-3</v>
      </c>
      <c r="AJ51" s="1">
        <f t="shared" ca="1" si="25"/>
        <v>0.43415891684276142</v>
      </c>
      <c r="AK51" s="1">
        <f t="shared" ca="1" si="26"/>
        <v>8.9800205018000581E-3</v>
      </c>
      <c r="AL51" s="1"/>
      <c r="AM51" s="1">
        <f t="shared" ca="1" si="27"/>
        <v>7.076870046766906E-2</v>
      </c>
      <c r="AN51" s="1">
        <f t="shared" ca="1" si="28"/>
        <v>59</v>
      </c>
      <c r="AO51" s="1">
        <f t="shared" ca="1" si="29"/>
        <v>18</v>
      </c>
      <c r="AQ51" s="1">
        <f t="shared" ca="1" si="30"/>
        <v>129</v>
      </c>
      <c r="AR51" s="1">
        <f t="shared" ca="1" si="31"/>
        <v>6</v>
      </c>
      <c r="AS51" s="1">
        <f t="shared" ca="1" si="32"/>
        <v>92</v>
      </c>
      <c r="AU51" s="1">
        <f t="shared" ca="1" si="33"/>
        <v>357</v>
      </c>
      <c r="AV51" s="1">
        <f t="shared" ca="1" si="34"/>
        <v>5</v>
      </c>
      <c r="AW51" s="1">
        <f t="shared" ca="1" si="35"/>
        <v>0.13049999033345602</v>
      </c>
      <c r="AY51" s="1">
        <f t="shared" ca="1" si="36"/>
        <v>1.9725852267696065</v>
      </c>
      <c r="AZ51" s="1">
        <f t="shared" ca="1" si="37"/>
        <v>245</v>
      </c>
      <c r="BA51" s="1">
        <f t="shared" ca="1" si="38"/>
        <v>7.0117937745292035E-3</v>
      </c>
      <c r="BV51" s="1">
        <f t="shared" ca="1" si="39"/>
        <v>0.45874449908672676</v>
      </c>
      <c r="BW51" s="1">
        <f t="shared" ca="1" si="40"/>
        <v>419</v>
      </c>
      <c r="BX51" s="1">
        <f t="shared" ca="1" si="41"/>
        <v>8.4604752651404359E-3</v>
      </c>
      <c r="BY51" s="1">
        <f t="shared" ca="1" si="42"/>
        <v>5.2746034831690609E-2</v>
      </c>
      <c r="BZ51" s="1">
        <f t="shared" ca="1" si="43"/>
        <v>0.54065874079455345</v>
      </c>
      <c r="CB51" s="1">
        <f t="shared" ca="1" si="44"/>
        <v>432</v>
      </c>
      <c r="CC51" s="1">
        <f t="shared" ca="1" si="45"/>
        <v>14</v>
      </c>
      <c r="CD51" s="1">
        <f t="shared" ca="1" si="46"/>
        <v>0.14074610114451194</v>
      </c>
      <c r="CE51" s="1">
        <f t="shared" ca="1" si="56"/>
        <v>0.84042442988302646</v>
      </c>
      <c r="CF51" s="1">
        <f t="shared" ca="1" si="56"/>
        <v>0.99912583344003036</v>
      </c>
      <c r="CH51" s="3">
        <f t="shared" ca="1" si="48"/>
        <v>0.49403924217973827</v>
      </c>
      <c r="CI51" s="3">
        <f t="shared" ca="1" si="49"/>
        <v>0.31695157973404825</v>
      </c>
      <c r="CJ51" s="3">
        <f t="shared" ca="1" si="50"/>
        <v>1915</v>
      </c>
      <c r="CK51" s="3">
        <f t="shared" ca="1" si="51"/>
        <v>1.7458879092176417E-3</v>
      </c>
      <c r="CL51" s="3">
        <f t="shared" ca="1" si="52"/>
        <v>0</v>
      </c>
      <c r="CM51" s="3"/>
      <c r="CN51" s="1">
        <f t="shared" ca="1" si="53"/>
        <v>19.218323116359471</v>
      </c>
      <c r="CO51" s="1">
        <f t="shared" ca="1" si="54"/>
        <v>0.29288960236405692</v>
      </c>
      <c r="CP51" s="1">
        <f t="shared" ca="1" si="55"/>
        <v>5</v>
      </c>
    </row>
    <row r="52" spans="2:94" x14ac:dyDescent="0.25">
      <c r="B52">
        <f t="shared" ca="1" si="0"/>
        <v>585</v>
      </c>
      <c r="C52">
        <f t="shared" ca="1" si="1"/>
        <v>15</v>
      </c>
      <c r="D52">
        <f t="shared" ca="1" si="2"/>
        <v>0.16960491940367975</v>
      </c>
      <c r="F52" s="1">
        <f t="shared" ca="1" si="3"/>
        <v>4</v>
      </c>
      <c r="G52" s="1">
        <f t="shared" ca="1" si="4"/>
        <v>24</v>
      </c>
      <c r="H52" s="1">
        <f t="shared" ca="1" si="5"/>
        <v>8</v>
      </c>
      <c r="I52" s="1"/>
      <c r="J52" s="1">
        <f t="shared" ca="1" si="6"/>
        <v>36</v>
      </c>
      <c r="K52" s="1">
        <f t="shared" ca="1" si="7"/>
        <v>1.5708014549430622</v>
      </c>
      <c r="L52" s="1">
        <f t="shared" ca="1" si="8"/>
        <v>27</v>
      </c>
      <c r="M52" s="1"/>
      <c r="N52" s="1">
        <f t="shared" ca="1" si="9"/>
        <v>823</v>
      </c>
      <c r="O52" s="1">
        <f t="shared" ca="1" si="10"/>
        <v>33</v>
      </c>
      <c r="P52" s="1"/>
      <c r="Q52" s="1">
        <f t="shared" ca="1" si="11"/>
        <v>2.3198418949326469</v>
      </c>
      <c r="R52" s="1">
        <f t="shared" ca="1" si="12"/>
        <v>1051</v>
      </c>
      <c r="S52" s="1"/>
      <c r="T52" s="1">
        <f t="shared" ca="1" si="13"/>
        <v>0.14723951635675206</v>
      </c>
      <c r="U52" s="1">
        <f t="shared" ca="1" si="14"/>
        <v>296</v>
      </c>
      <c r="V52" s="1">
        <f t="shared" ca="1" si="15"/>
        <v>27</v>
      </c>
      <c r="W52" s="1"/>
      <c r="X52" s="1">
        <f t="shared" ca="1" si="16"/>
        <v>8.9195367530895826</v>
      </c>
      <c r="Y52" s="1">
        <f t="shared" ca="1" si="17"/>
        <v>0.48956021446610248</v>
      </c>
      <c r="Z52" s="1">
        <f t="shared" ca="1" si="18"/>
        <v>1287</v>
      </c>
      <c r="AB52" s="1">
        <f t="shared" ca="1" si="19"/>
        <v>9.3817054280948942E-2</v>
      </c>
      <c r="AC52" s="1">
        <f t="shared" ca="1" si="20"/>
        <v>495</v>
      </c>
      <c r="AD52" s="1">
        <f t="shared" ca="1" si="21"/>
        <v>9.2375762736184169E-3</v>
      </c>
      <c r="AE52" s="1"/>
      <c r="AF52" s="1">
        <f t="shared" ca="1" si="22"/>
        <v>0.3471511064715152</v>
      </c>
      <c r="AG52" s="1">
        <f t="shared" ca="1" si="23"/>
        <v>197</v>
      </c>
      <c r="AH52" s="1">
        <f t="shared" ca="1" si="24"/>
        <v>5.9716279093368369E-3</v>
      </c>
      <c r="AJ52" s="1">
        <f t="shared" ca="1" si="25"/>
        <v>0.51049896862914634</v>
      </c>
      <c r="AK52" s="1">
        <f t="shared" ca="1" si="26"/>
        <v>2.9553697715011553E-3</v>
      </c>
      <c r="AL52" s="1"/>
      <c r="AM52" s="1">
        <f t="shared" ca="1" si="27"/>
        <v>9.9510673480519105E-2</v>
      </c>
      <c r="AN52" s="1">
        <f t="shared" ca="1" si="28"/>
        <v>53</v>
      </c>
      <c r="AO52" s="1">
        <f t="shared" ca="1" si="29"/>
        <v>5</v>
      </c>
      <c r="AQ52" s="1">
        <f t="shared" ca="1" si="30"/>
        <v>110</v>
      </c>
      <c r="AR52" s="1">
        <f t="shared" ca="1" si="31"/>
        <v>4</v>
      </c>
      <c r="AS52" s="1">
        <f t="shared" ca="1" si="32"/>
        <v>1</v>
      </c>
      <c r="AU52" s="1">
        <f t="shared" ca="1" si="33"/>
        <v>209</v>
      </c>
      <c r="AV52" s="1">
        <f t="shared" ca="1" si="34"/>
        <v>8</v>
      </c>
      <c r="AW52" s="1">
        <f t="shared" ca="1" si="35"/>
        <v>0.10562167022141827</v>
      </c>
      <c r="AY52" s="1">
        <f t="shared" ca="1" si="36"/>
        <v>1.7004697302290208</v>
      </c>
      <c r="AZ52" s="1">
        <f t="shared" ca="1" si="37"/>
        <v>136</v>
      </c>
      <c r="BA52" s="1">
        <f t="shared" ca="1" si="38"/>
        <v>2.1085650561458429E-3</v>
      </c>
      <c r="BV52" s="1">
        <f t="shared" ca="1" si="39"/>
        <v>0.97677255156011622</v>
      </c>
      <c r="BW52" s="1">
        <f t="shared" ca="1" si="40"/>
        <v>196</v>
      </c>
      <c r="BX52" s="1">
        <f t="shared" ca="1" si="41"/>
        <v>7.7023227388238044E-3</v>
      </c>
      <c r="BY52" s="1">
        <f t="shared" ca="1" si="42"/>
        <v>9.3815192999169086E-2</v>
      </c>
      <c r="BZ52" s="1">
        <f t="shared" ca="1" si="43"/>
        <v>0.77043089812979026</v>
      </c>
      <c r="CB52" s="1">
        <f t="shared" ca="1" si="44"/>
        <v>416</v>
      </c>
      <c r="CC52" s="1">
        <f t="shared" ca="1" si="45"/>
        <v>9</v>
      </c>
      <c r="CD52" s="1">
        <f t="shared" ca="1" si="46"/>
        <v>0.18572965797505042</v>
      </c>
      <c r="CE52" s="1">
        <f t="shared" ca="1" si="56"/>
        <v>0.95319302055680111</v>
      </c>
      <c r="CF52" s="1">
        <f t="shared" ca="1" si="56"/>
        <v>0.65291889499032985</v>
      </c>
      <c r="CH52" s="3">
        <f t="shared" ca="1" si="48"/>
        <v>0.33442477229014028</v>
      </c>
      <c r="CI52" s="3">
        <f t="shared" ca="1" si="49"/>
        <v>0.49102802091255932</v>
      </c>
      <c r="CJ52" s="3">
        <f t="shared" ca="1" si="50"/>
        <v>942</v>
      </c>
      <c r="CK52" s="3">
        <f t="shared" ca="1" si="51"/>
        <v>9.6340656324820709E-3</v>
      </c>
      <c r="CL52" s="3">
        <f t="shared" ca="1" si="52"/>
        <v>0</v>
      </c>
      <c r="CM52" s="3"/>
      <c r="CN52" s="1">
        <f t="shared" ca="1" si="53"/>
        <v>4.2848651967990801</v>
      </c>
      <c r="CO52" s="1">
        <f t="shared" ca="1" si="54"/>
        <v>0.44053608920567949</v>
      </c>
      <c r="CP52" s="1">
        <f t="shared" ca="1" si="55"/>
        <v>2</v>
      </c>
    </row>
    <row r="53" spans="2:94" x14ac:dyDescent="0.25">
      <c r="B53">
        <f t="shared" ca="1" si="0"/>
        <v>286</v>
      </c>
      <c r="C53">
        <f t="shared" ca="1" si="1"/>
        <v>23</v>
      </c>
      <c r="D53">
        <f t="shared" ca="1" si="2"/>
        <v>7.4105781796105816E-2</v>
      </c>
      <c r="F53" s="1">
        <f t="shared" ca="1" si="3"/>
        <v>4</v>
      </c>
      <c r="G53" s="1">
        <f t="shared" ca="1" si="4"/>
        <v>25</v>
      </c>
      <c r="H53" s="1">
        <f t="shared" ca="1" si="5"/>
        <v>10</v>
      </c>
      <c r="I53" s="1"/>
      <c r="J53" s="1">
        <f t="shared" ca="1" si="6"/>
        <v>19</v>
      </c>
      <c r="K53" s="1">
        <f t="shared" ca="1" si="7"/>
        <v>1.8866293136719692</v>
      </c>
      <c r="L53" s="1">
        <f t="shared" ca="1" si="8"/>
        <v>33</v>
      </c>
      <c r="M53" s="1"/>
      <c r="N53" s="1">
        <f t="shared" ca="1" si="9"/>
        <v>513</v>
      </c>
      <c r="O53" s="1">
        <f t="shared" ca="1" si="10"/>
        <v>44</v>
      </c>
      <c r="P53" s="1"/>
      <c r="Q53" s="1">
        <f t="shared" ca="1" si="11"/>
        <v>2.5631923944930231</v>
      </c>
      <c r="R53" s="1">
        <f t="shared" ca="1" si="12"/>
        <v>1086</v>
      </c>
      <c r="S53" s="1"/>
      <c r="T53" s="1">
        <f t="shared" ca="1" si="13"/>
        <v>0.11775785577197068</v>
      </c>
      <c r="U53" s="1">
        <f t="shared" ca="1" si="14"/>
        <v>256</v>
      </c>
      <c r="V53" s="1">
        <f t="shared" ca="1" si="15"/>
        <v>8</v>
      </c>
      <c r="W53" s="1"/>
      <c r="X53" s="1">
        <f t="shared" ca="1" si="16"/>
        <v>9.4098472932146588</v>
      </c>
      <c r="Y53" s="1">
        <f t="shared" ca="1" si="17"/>
        <v>0.81617019118318845</v>
      </c>
      <c r="Z53" s="1">
        <f t="shared" ca="1" si="18"/>
        <v>1759</v>
      </c>
      <c r="AB53" s="1">
        <f t="shared" ca="1" si="19"/>
        <v>0.10663263263228394</v>
      </c>
      <c r="AC53" s="1">
        <f t="shared" ca="1" si="20"/>
        <v>371</v>
      </c>
      <c r="AD53" s="1">
        <f t="shared" ca="1" si="21"/>
        <v>1.899096729541938E-3</v>
      </c>
      <c r="AE53" s="1"/>
      <c r="AF53" s="1">
        <f t="shared" ca="1" si="22"/>
        <v>0.29967568036275771</v>
      </c>
      <c r="AG53" s="1">
        <f t="shared" ca="1" si="23"/>
        <v>324</v>
      </c>
      <c r="AH53" s="1">
        <f t="shared" ca="1" si="24"/>
        <v>8.8044190587990463E-3</v>
      </c>
      <c r="AJ53" s="1">
        <f t="shared" ca="1" si="25"/>
        <v>0.98450715598251926</v>
      </c>
      <c r="AK53" s="1">
        <f t="shared" ca="1" si="26"/>
        <v>7.6696828954777247E-3</v>
      </c>
      <c r="AL53" s="1"/>
      <c r="AM53" s="1">
        <f t="shared" ca="1" si="27"/>
        <v>0.15707307911727167</v>
      </c>
      <c r="AN53" s="1">
        <f t="shared" ca="1" si="28"/>
        <v>60</v>
      </c>
      <c r="AO53" s="1">
        <f t="shared" ca="1" si="29"/>
        <v>13</v>
      </c>
      <c r="AQ53" s="1">
        <f t="shared" ca="1" si="30"/>
        <v>59</v>
      </c>
      <c r="AR53" s="1">
        <f t="shared" ca="1" si="31"/>
        <v>5</v>
      </c>
      <c r="AS53" s="1">
        <f t="shared" ca="1" si="32"/>
        <v>71</v>
      </c>
      <c r="AU53" s="1">
        <f t="shared" ca="1" si="33"/>
        <v>389</v>
      </c>
      <c r="AV53" s="1">
        <f t="shared" ca="1" si="34"/>
        <v>10</v>
      </c>
      <c r="AW53" s="1">
        <f t="shared" ca="1" si="35"/>
        <v>9.6927272606614059E-2</v>
      </c>
      <c r="AY53" s="1">
        <f t="shared" ca="1" si="36"/>
        <v>1.7093201021807576</v>
      </c>
      <c r="AZ53" s="1">
        <f t="shared" ca="1" si="37"/>
        <v>314</v>
      </c>
      <c r="BA53" s="1">
        <f t="shared" ca="1" si="38"/>
        <v>4.5631399849026758E-3</v>
      </c>
      <c r="BV53" s="1">
        <f t="shared" ca="1" si="39"/>
        <v>0.82966926143544084</v>
      </c>
      <c r="BW53" s="1">
        <f t="shared" ca="1" si="40"/>
        <v>671</v>
      </c>
      <c r="BX53" s="1">
        <f t="shared" ca="1" si="41"/>
        <v>4.2062465054627243E-4</v>
      </c>
      <c r="BY53" s="1">
        <f t="shared" ca="1" si="42"/>
        <v>3.1600096172613362E-2</v>
      </c>
      <c r="BZ53" s="1">
        <f t="shared" ca="1" si="43"/>
        <v>0.83016764722693004</v>
      </c>
      <c r="CB53" s="1">
        <f t="shared" ca="1" si="44"/>
        <v>407</v>
      </c>
      <c r="CC53" s="1">
        <f t="shared" ca="1" si="45"/>
        <v>8</v>
      </c>
      <c r="CD53" s="1">
        <f t="shared" ca="1" si="46"/>
        <v>0.25290956109542645</v>
      </c>
      <c r="CE53" s="1">
        <f t="shared" ca="1" si="56"/>
        <v>0.80451640660444468</v>
      </c>
      <c r="CF53" s="1">
        <f t="shared" ca="1" si="56"/>
        <v>0.92092270742480487</v>
      </c>
      <c r="CH53" s="3">
        <f t="shared" ca="1" si="48"/>
        <v>0.42587579662816649</v>
      </c>
      <c r="CI53" s="3">
        <f t="shared" ca="1" si="49"/>
        <v>0.75873173101226266</v>
      </c>
      <c r="CJ53" s="3">
        <f t="shared" ca="1" si="50"/>
        <v>256</v>
      </c>
      <c r="CK53" s="3">
        <f t="shared" ca="1" si="51"/>
        <v>5.2090919901920567E-3</v>
      </c>
      <c r="CL53" s="3">
        <f t="shared" ca="1" si="52"/>
        <v>0</v>
      </c>
      <c r="CM53" s="3"/>
      <c r="CN53" s="1">
        <f t="shared" ca="1" si="53"/>
        <v>6.8054628365651988</v>
      </c>
      <c r="CO53" s="1">
        <f t="shared" ca="1" si="54"/>
        <v>0.28141031659821453</v>
      </c>
      <c r="CP53" s="1">
        <f t="shared" ca="1" si="55"/>
        <v>5</v>
      </c>
    </row>
    <row r="54" spans="2:94" x14ac:dyDescent="0.25">
      <c r="B54">
        <f t="shared" ca="1" si="0"/>
        <v>891</v>
      </c>
      <c r="C54">
        <f t="shared" ca="1" si="1"/>
        <v>9</v>
      </c>
      <c r="D54">
        <f t="shared" ca="1" si="2"/>
        <v>0.17067488243134349</v>
      </c>
      <c r="F54" s="1">
        <f t="shared" ca="1" si="3"/>
        <v>15</v>
      </c>
      <c r="G54" s="1">
        <f t="shared" ca="1" si="4"/>
        <v>7</v>
      </c>
      <c r="H54" s="1">
        <f t="shared" ca="1" si="5"/>
        <v>15</v>
      </c>
      <c r="I54" s="1"/>
      <c r="J54" s="1">
        <f t="shared" ca="1" si="6"/>
        <v>9</v>
      </c>
      <c r="K54" s="1">
        <f t="shared" ca="1" si="7"/>
        <v>2.172457448393045</v>
      </c>
      <c r="L54" s="1">
        <f t="shared" ca="1" si="8"/>
        <v>9</v>
      </c>
      <c r="M54" s="1"/>
      <c r="N54" s="1">
        <f t="shared" ca="1" si="9"/>
        <v>178</v>
      </c>
      <c r="O54" s="1">
        <f t="shared" ca="1" si="10"/>
        <v>18</v>
      </c>
      <c r="P54" s="1"/>
      <c r="Q54" s="1">
        <f t="shared" ca="1" si="11"/>
        <v>1.5580093449076706</v>
      </c>
      <c r="R54" s="1">
        <f t="shared" ca="1" si="12"/>
        <v>638</v>
      </c>
      <c r="S54" s="1"/>
      <c r="T54" s="1">
        <f t="shared" ca="1" si="13"/>
        <v>0.16289332914000407</v>
      </c>
      <c r="U54" s="1">
        <f t="shared" ca="1" si="14"/>
        <v>287</v>
      </c>
      <c r="V54" s="1">
        <f t="shared" ca="1" si="15"/>
        <v>40</v>
      </c>
      <c r="W54" s="1"/>
      <c r="X54" s="1">
        <f t="shared" ca="1" si="16"/>
        <v>1.4738233095043942</v>
      </c>
      <c r="Y54" s="1">
        <f t="shared" ca="1" si="17"/>
        <v>0.58646900029979143</v>
      </c>
      <c r="Z54" s="1">
        <f t="shared" ca="1" si="18"/>
        <v>574</v>
      </c>
      <c r="AB54" s="1">
        <f t="shared" ca="1" si="19"/>
        <v>0.38241240001312637</v>
      </c>
      <c r="AC54" s="1">
        <f t="shared" ca="1" si="20"/>
        <v>199</v>
      </c>
      <c r="AD54" s="1">
        <f t="shared" ca="1" si="21"/>
        <v>8.505005358663888E-3</v>
      </c>
      <c r="AE54" s="1"/>
      <c r="AF54" s="1">
        <f t="shared" ca="1" si="22"/>
        <v>0.23450732804447461</v>
      </c>
      <c r="AG54" s="1">
        <f t="shared" ca="1" si="23"/>
        <v>784</v>
      </c>
      <c r="AH54" s="1">
        <f t="shared" ca="1" si="24"/>
        <v>2.1551661215400007E-3</v>
      </c>
      <c r="AJ54" s="1">
        <f t="shared" ca="1" si="25"/>
        <v>0.51534862727373698</v>
      </c>
      <c r="AK54" s="1">
        <f t="shared" ca="1" si="26"/>
        <v>1.8002018271135235E-3</v>
      </c>
      <c r="AL54" s="1"/>
      <c r="AM54" s="1">
        <f t="shared" ca="1" si="27"/>
        <v>0.10234453319171054</v>
      </c>
      <c r="AN54" s="1">
        <f t="shared" ca="1" si="28"/>
        <v>38</v>
      </c>
      <c r="AO54" s="1">
        <f t="shared" ca="1" si="29"/>
        <v>9</v>
      </c>
      <c r="AQ54" s="1">
        <f t="shared" ca="1" si="30"/>
        <v>96</v>
      </c>
      <c r="AR54" s="1">
        <f t="shared" ca="1" si="31"/>
        <v>8</v>
      </c>
      <c r="AS54" s="1">
        <f t="shared" ca="1" si="32"/>
        <v>50</v>
      </c>
      <c r="AU54" s="1">
        <f t="shared" ca="1" si="33"/>
        <v>102</v>
      </c>
      <c r="AV54" s="1">
        <f t="shared" ca="1" si="34"/>
        <v>4</v>
      </c>
      <c r="AW54" s="1">
        <f t="shared" ca="1" si="35"/>
        <v>0.13146745870612284</v>
      </c>
      <c r="AY54" s="1">
        <f t="shared" ca="1" si="36"/>
        <v>1.5520752670572675</v>
      </c>
      <c r="AZ54" s="1">
        <f t="shared" ca="1" si="37"/>
        <v>101</v>
      </c>
      <c r="BA54" s="1">
        <f t="shared" ca="1" si="38"/>
        <v>2.2683375440337001E-3</v>
      </c>
      <c r="BV54" s="1">
        <f t="shared" ca="1" si="39"/>
        <v>1.0579501777124011E-2</v>
      </c>
      <c r="BW54" s="1">
        <f t="shared" ca="1" si="40"/>
        <v>553</v>
      </c>
      <c r="BX54" s="1">
        <f t="shared" ca="1" si="41"/>
        <v>5.0582825553987458E-4</v>
      </c>
      <c r="BY54" s="1">
        <f t="shared" ca="1" si="42"/>
        <v>6.4767835952677641E-2</v>
      </c>
      <c r="BZ54" s="1">
        <f t="shared" ca="1" si="43"/>
        <v>0.73226169326204038</v>
      </c>
      <c r="CB54" s="1">
        <f t="shared" ca="1" si="44"/>
        <v>443</v>
      </c>
      <c r="CC54" s="1">
        <f t="shared" ca="1" si="45"/>
        <v>11</v>
      </c>
      <c r="CD54" s="1">
        <f t="shared" ca="1" si="46"/>
        <v>0.24945761109625167</v>
      </c>
      <c r="CE54" s="1">
        <f t="shared" ca="1" si="56"/>
        <v>0.99844679167498895</v>
      </c>
      <c r="CF54" s="1">
        <f t="shared" ca="1" si="56"/>
        <v>0.75647318875604896</v>
      </c>
      <c r="CH54" s="3">
        <f t="shared" ca="1" si="48"/>
        <v>0.69246334125964459</v>
      </c>
      <c r="CI54" s="3">
        <f t="shared" ca="1" si="49"/>
        <v>0.62860356319170529</v>
      </c>
      <c r="CJ54" s="3">
        <f t="shared" ca="1" si="50"/>
        <v>1017</v>
      </c>
      <c r="CK54" s="3">
        <f t="shared" ca="1" si="51"/>
        <v>2.9997412281154976E-3</v>
      </c>
      <c r="CL54" s="3">
        <f t="shared" ca="1" si="52"/>
        <v>1</v>
      </c>
      <c r="CM54" s="3"/>
      <c r="CN54" s="1">
        <f t="shared" ca="1" si="53"/>
        <v>15.275712086112854</v>
      </c>
      <c r="CO54" s="1">
        <f t="shared" ca="1" si="54"/>
        <v>0.46557378339426631</v>
      </c>
      <c r="CP54" s="1">
        <f t="shared" ca="1" si="55"/>
        <v>4</v>
      </c>
    </row>
    <row r="55" spans="2:94" x14ac:dyDescent="0.25">
      <c r="B55">
        <f t="shared" ca="1" si="0"/>
        <v>419</v>
      </c>
      <c r="C55">
        <f t="shared" ca="1" si="1"/>
        <v>9</v>
      </c>
      <c r="D55">
        <f t="shared" ca="1" si="2"/>
        <v>0.22415374948305394</v>
      </c>
      <c r="F55" s="1">
        <f t="shared" ca="1" si="3"/>
        <v>42</v>
      </c>
      <c r="G55" s="1">
        <f t="shared" ca="1" si="4"/>
        <v>29</v>
      </c>
      <c r="H55" s="1">
        <f t="shared" ca="1" si="5"/>
        <v>6</v>
      </c>
      <c r="I55" s="1"/>
      <c r="J55" s="1">
        <f t="shared" ca="1" si="6"/>
        <v>9</v>
      </c>
      <c r="K55" s="1">
        <f t="shared" ca="1" si="7"/>
        <v>1.8047183329992025</v>
      </c>
      <c r="L55" s="1">
        <f t="shared" ca="1" si="8"/>
        <v>27</v>
      </c>
      <c r="M55" s="1"/>
      <c r="N55" s="1">
        <f t="shared" ca="1" si="9"/>
        <v>78</v>
      </c>
      <c r="O55" s="1">
        <f t="shared" ca="1" si="10"/>
        <v>52</v>
      </c>
      <c r="P55" s="1"/>
      <c r="Q55" s="1">
        <f t="shared" ca="1" si="11"/>
        <v>2.2256383464894198</v>
      </c>
      <c r="R55" s="1">
        <f t="shared" ca="1" si="12"/>
        <v>897</v>
      </c>
      <c r="S55" s="1"/>
      <c r="T55" s="1">
        <f t="shared" ca="1" si="13"/>
        <v>0.158154256672254</v>
      </c>
      <c r="U55" s="1">
        <f t="shared" ca="1" si="14"/>
        <v>164</v>
      </c>
      <c r="V55" s="1">
        <f t="shared" ca="1" si="15"/>
        <v>30</v>
      </c>
      <c r="W55" s="1"/>
      <c r="X55" s="1">
        <f t="shared" ca="1" si="16"/>
        <v>4.1348157708979478</v>
      </c>
      <c r="Y55" s="1">
        <f t="shared" ca="1" si="17"/>
        <v>0.67502215094030693</v>
      </c>
      <c r="Z55" s="1">
        <f t="shared" ca="1" si="18"/>
        <v>454</v>
      </c>
      <c r="AB55" s="1">
        <f t="shared" ca="1" si="19"/>
        <v>0.49317330125697245</v>
      </c>
      <c r="AC55" s="1">
        <f t="shared" ca="1" si="20"/>
        <v>476</v>
      </c>
      <c r="AD55" s="1">
        <f t="shared" ca="1" si="21"/>
        <v>4.1441732273086391E-3</v>
      </c>
      <c r="AE55" s="1"/>
      <c r="AF55" s="1">
        <f t="shared" ca="1" si="22"/>
        <v>0.30182858876163304</v>
      </c>
      <c r="AG55" s="1">
        <f t="shared" ca="1" si="23"/>
        <v>446</v>
      </c>
      <c r="AH55" s="1">
        <f t="shared" ca="1" si="24"/>
        <v>3.7355338007324327E-3</v>
      </c>
      <c r="AJ55" s="1">
        <f t="shared" ca="1" si="25"/>
        <v>0.93866128932499249</v>
      </c>
      <c r="AK55" s="1">
        <f t="shared" ca="1" si="26"/>
        <v>8.5457196004498758E-3</v>
      </c>
      <c r="AL55" s="1"/>
      <c r="AM55" s="1">
        <f t="shared" ca="1" si="27"/>
        <v>0.10775614388606199</v>
      </c>
      <c r="AN55" s="1">
        <f t="shared" ca="1" si="28"/>
        <v>80</v>
      </c>
      <c r="AO55" s="1">
        <f t="shared" ca="1" si="29"/>
        <v>19</v>
      </c>
      <c r="AQ55" s="1">
        <f t="shared" ca="1" si="30"/>
        <v>112</v>
      </c>
      <c r="AR55" s="1">
        <f t="shared" ca="1" si="31"/>
        <v>5</v>
      </c>
      <c r="AS55" s="1">
        <f t="shared" ca="1" si="32"/>
        <v>39</v>
      </c>
      <c r="AU55" s="1">
        <f t="shared" ca="1" si="33"/>
        <v>283</v>
      </c>
      <c r="AV55" s="1">
        <f t="shared" ca="1" si="34"/>
        <v>3</v>
      </c>
      <c r="AW55" s="1">
        <f t="shared" ca="1" si="35"/>
        <v>7.2812187397959471E-2</v>
      </c>
      <c r="AY55" s="1">
        <f t="shared" ca="1" si="36"/>
        <v>1.3085286320135905</v>
      </c>
      <c r="AZ55" s="1">
        <f t="shared" ca="1" si="37"/>
        <v>279</v>
      </c>
      <c r="BA55" s="1">
        <f t="shared" ca="1" si="38"/>
        <v>9.9508796114662554E-3</v>
      </c>
      <c r="BV55" s="1">
        <f t="shared" ca="1" si="39"/>
        <v>0.29431038977179003</v>
      </c>
      <c r="BW55" s="1">
        <f t="shared" ca="1" si="40"/>
        <v>651</v>
      </c>
      <c r="BX55" s="1">
        <f t="shared" ca="1" si="41"/>
        <v>5.4712672317873447E-3</v>
      </c>
      <c r="BY55" s="1">
        <f t="shared" ca="1" si="42"/>
        <v>5.4656208232120064E-2</v>
      </c>
      <c r="BZ55" s="1">
        <f t="shared" ca="1" si="43"/>
        <v>0.74859521036551691</v>
      </c>
      <c r="CB55" s="1">
        <f t="shared" ca="1" si="44"/>
        <v>352</v>
      </c>
      <c r="CC55" s="1">
        <f t="shared" ca="1" si="45"/>
        <v>7</v>
      </c>
      <c r="CD55" s="1">
        <f t="shared" ca="1" si="46"/>
        <v>0.2383940002760567</v>
      </c>
      <c r="CE55" s="1">
        <f t="shared" ca="1" si="56"/>
        <v>0.51017631462776292</v>
      </c>
      <c r="CF55" s="1">
        <f t="shared" ca="1" si="56"/>
        <v>0.98934621392415711</v>
      </c>
      <c r="CH55" s="3">
        <f t="shared" ca="1" si="48"/>
        <v>0.55722578891355157</v>
      </c>
      <c r="CI55" s="3">
        <f t="shared" ca="1" si="49"/>
        <v>0.95658091991519423</v>
      </c>
      <c r="CJ55" s="3">
        <f t="shared" ca="1" si="50"/>
        <v>1353</v>
      </c>
      <c r="CK55" s="3">
        <f t="shared" ca="1" si="51"/>
        <v>3.4571812273310868E-3</v>
      </c>
      <c r="CL55" s="3">
        <f t="shared" ca="1" si="52"/>
        <v>1</v>
      </c>
      <c r="CM55" s="3"/>
      <c r="CN55" s="1">
        <f t="shared" ca="1" si="53"/>
        <v>16.685021975156229</v>
      </c>
      <c r="CO55" s="1">
        <f t="shared" ca="1" si="54"/>
        <v>0.41375034155956647</v>
      </c>
      <c r="CP55" s="1">
        <f t="shared" ca="1" si="55"/>
        <v>2</v>
      </c>
    </row>
    <row r="56" spans="2:94" x14ac:dyDescent="0.25">
      <c r="B56">
        <f t="shared" ca="1" si="0"/>
        <v>161</v>
      </c>
      <c r="C56">
        <f t="shared" ca="1" si="1"/>
        <v>2</v>
      </c>
      <c r="D56">
        <f t="shared" ca="1" si="2"/>
        <v>6.378556761770636E-2</v>
      </c>
      <c r="F56" s="1">
        <f t="shared" ca="1" si="3"/>
        <v>25</v>
      </c>
      <c r="G56" s="1">
        <f t="shared" ca="1" si="4"/>
        <v>15</v>
      </c>
      <c r="H56" s="1">
        <f t="shared" ca="1" si="5"/>
        <v>8</v>
      </c>
      <c r="I56" s="1"/>
      <c r="J56" s="1">
        <f t="shared" ca="1" si="6"/>
        <v>4</v>
      </c>
      <c r="K56" s="1">
        <f t="shared" ca="1" si="7"/>
        <v>1.9790709372943165</v>
      </c>
      <c r="L56" s="1">
        <f t="shared" ca="1" si="8"/>
        <v>16</v>
      </c>
      <c r="M56" s="1"/>
      <c r="N56" s="1">
        <f t="shared" ca="1" si="9"/>
        <v>18</v>
      </c>
      <c r="O56" s="1">
        <f t="shared" ca="1" si="10"/>
        <v>17</v>
      </c>
      <c r="P56" s="1"/>
      <c r="Q56" s="1">
        <f t="shared" ca="1" si="11"/>
        <v>0.11745192033650194</v>
      </c>
      <c r="R56" s="1">
        <f t="shared" ca="1" si="12"/>
        <v>793</v>
      </c>
      <c r="S56" s="1"/>
      <c r="T56" s="1">
        <f t="shared" ca="1" si="13"/>
        <v>3.1844436975346307E-2</v>
      </c>
      <c r="U56" s="1">
        <f t="shared" ca="1" si="14"/>
        <v>151</v>
      </c>
      <c r="V56" s="1">
        <f t="shared" ca="1" si="15"/>
        <v>38</v>
      </c>
      <c r="W56" s="1"/>
      <c r="X56" s="1">
        <f t="shared" ca="1" si="16"/>
        <v>5.9971826653133347</v>
      </c>
      <c r="Y56" s="1">
        <f t="shared" ca="1" si="17"/>
        <v>0.31029438335240178</v>
      </c>
      <c r="Z56" s="1">
        <f t="shared" ca="1" si="18"/>
        <v>834</v>
      </c>
      <c r="AB56" s="1">
        <f t="shared" ca="1" si="19"/>
        <v>0.74815747091989782</v>
      </c>
      <c r="AC56" s="1">
        <f t="shared" ca="1" si="20"/>
        <v>233</v>
      </c>
      <c r="AD56" s="1">
        <f t="shared" ca="1" si="21"/>
        <v>8.5486182833362893E-3</v>
      </c>
      <c r="AE56" s="1"/>
      <c r="AF56" s="1">
        <f t="shared" ca="1" si="22"/>
        <v>0.37614254667193248</v>
      </c>
      <c r="AG56" s="1">
        <f t="shared" ca="1" si="23"/>
        <v>376</v>
      </c>
      <c r="AH56" s="1">
        <f t="shared" ca="1" si="24"/>
        <v>6.6885051032135349E-3</v>
      </c>
      <c r="AJ56" s="1">
        <f t="shared" ca="1" si="25"/>
        <v>0.36842720707829169</v>
      </c>
      <c r="AK56" s="1">
        <f t="shared" ca="1" si="26"/>
        <v>1.1420381941929254E-4</v>
      </c>
      <c r="AL56" s="1"/>
      <c r="AM56" s="1">
        <f t="shared" ca="1" si="27"/>
        <v>0.19082298853959409</v>
      </c>
      <c r="AN56" s="1">
        <f t="shared" ca="1" si="28"/>
        <v>45</v>
      </c>
      <c r="AO56" s="1">
        <f t="shared" ca="1" si="29"/>
        <v>1</v>
      </c>
      <c r="AQ56" s="1">
        <f t="shared" ca="1" si="30"/>
        <v>74</v>
      </c>
      <c r="AR56" s="1">
        <f t="shared" ca="1" si="31"/>
        <v>3</v>
      </c>
      <c r="AS56" s="1">
        <f t="shared" ca="1" si="32"/>
        <v>43</v>
      </c>
      <c r="AU56" s="1">
        <f t="shared" ca="1" si="33"/>
        <v>353</v>
      </c>
      <c r="AV56" s="1">
        <f t="shared" ca="1" si="34"/>
        <v>6</v>
      </c>
      <c r="AW56" s="1">
        <f t="shared" ca="1" si="35"/>
        <v>1.6679155452133953E-2</v>
      </c>
      <c r="AY56" s="1">
        <f t="shared" ca="1" si="36"/>
        <v>1.7350903130114776</v>
      </c>
      <c r="AZ56" s="1">
        <f t="shared" ca="1" si="37"/>
        <v>87</v>
      </c>
      <c r="BA56" s="1">
        <f t="shared" ca="1" si="38"/>
        <v>4.961129358076178E-3</v>
      </c>
      <c r="BV56" s="1">
        <f t="shared" ca="1" si="39"/>
        <v>0.76411674447443145</v>
      </c>
      <c r="BW56" s="1">
        <f t="shared" ca="1" si="40"/>
        <v>668</v>
      </c>
      <c r="BX56" s="1">
        <f t="shared" ca="1" si="41"/>
        <v>6.0700339783335104E-3</v>
      </c>
      <c r="BY56" s="1">
        <f t="shared" ca="1" si="42"/>
        <v>3.3864785765582918E-2</v>
      </c>
      <c r="BZ56" s="1">
        <f t="shared" ca="1" si="43"/>
        <v>0.80503770309095757</v>
      </c>
      <c r="CB56" s="1">
        <f t="shared" ca="1" si="44"/>
        <v>238</v>
      </c>
      <c r="CC56" s="1">
        <f t="shared" ca="1" si="45"/>
        <v>6</v>
      </c>
      <c r="CD56" s="1">
        <f t="shared" ca="1" si="46"/>
        <v>0.25208517935501085</v>
      </c>
      <c r="CE56" s="1">
        <f t="shared" ca="1" si="56"/>
        <v>0.76940753286324315</v>
      </c>
      <c r="CF56" s="1">
        <f t="shared" ca="1" si="56"/>
        <v>0.5889272559253228</v>
      </c>
      <c r="CH56" s="3">
        <f t="shared" ca="1" si="48"/>
        <v>0.68778091166416955</v>
      </c>
      <c r="CI56" s="3">
        <f t="shared" ca="1" si="49"/>
        <v>0.38648521438003475</v>
      </c>
      <c r="CJ56" s="3">
        <f t="shared" ca="1" si="50"/>
        <v>729</v>
      </c>
      <c r="CK56" s="3">
        <f t="shared" ca="1" si="51"/>
        <v>4.9380781885269877E-3</v>
      </c>
      <c r="CL56" s="3">
        <f t="shared" ca="1" si="52"/>
        <v>0</v>
      </c>
      <c r="CM56" s="3"/>
      <c r="CN56" s="1">
        <f t="shared" ca="1" si="53"/>
        <v>18.537570340181357</v>
      </c>
      <c r="CO56" s="1">
        <f t="shared" ca="1" si="54"/>
        <v>0.48886713599894788</v>
      </c>
      <c r="CP56" s="1">
        <f t="shared" ca="1" si="55"/>
        <v>5</v>
      </c>
    </row>
    <row r="57" spans="2:94" x14ac:dyDescent="0.25">
      <c r="B57">
        <f t="shared" ca="1" si="0"/>
        <v>460</v>
      </c>
      <c r="C57">
        <f t="shared" ca="1" si="1"/>
        <v>20</v>
      </c>
      <c r="D57">
        <f t="shared" ca="1" si="2"/>
        <v>5.0446902469250585E-2</v>
      </c>
      <c r="F57" s="1">
        <f t="shared" ca="1" si="3"/>
        <v>23</v>
      </c>
      <c r="G57" s="1">
        <f t="shared" ca="1" si="4"/>
        <v>8</v>
      </c>
      <c r="H57" s="1">
        <f t="shared" ca="1" si="5"/>
        <v>7</v>
      </c>
      <c r="I57" s="1"/>
      <c r="J57" s="1">
        <f t="shared" ca="1" si="6"/>
        <v>30</v>
      </c>
      <c r="K57" s="1">
        <f t="shared" ca="1" si="7"/>
        <v>2.0753879845757117</v>
      </c>
      <c r="L57" s="1">
        <f t="shared" ca="1" si="8"/>
        <v>32</v>
      </c>
      <c r="M57" s="1"/>
      <c r="N57" s="1">
        <f t="shared" ca="1" si="9"/>
        <v>77</v>
      </c>
      <c r="O57" s="1">
        <f t="shared" ca="1" si="10"/>
        <v>9</v>
      </c>
      <c r="P57" s="1"/>
      <c r="Q57" s="1">
        <f t="shared" ca="1" si="11"/>
        <v>2.4148226201960661</v>
      </c>
      <c r="R57" s="1">
        <f t="shared" ca="1" si="12"/>
        <v>672</v>
      </c>
      <c r="S57" s="1"/>
      <c r="T57" s="1">
        <f t="shared" ca="1" si="13"/>
        <v>9.5625255766681433E-2</v>
      </c>
      <c r="U57" s="1">
        <f t="shared" ca="1" si="14"/>
        <v>252</v>
      </c>
      <c r="V57" s="1">
        <f t="shared" ca="1" si="15"/>
        <v>17</v>
      </c>
      <c r="W57" s="1"/>
      <c r="X57" s="1">
        <f t="shared" ca="1" si="16"/>
        <v>9.050144414785299</v>
      </c>
      <c r="Y57" s="1">
        <f t="shared" ca="1" si="17"/>
        <v>0.21633781059582424</v>
      </c>
      <c r="Z57" s="1">
        <f t="shared" ca="1" si="18"/>
        <v>135</v>
      </c>
      <c r="AB57" s="1">
        <f t="shared" ca="1" si="19"/>
        <v>0.12948760311607946</v>
      </c>
      <c r="AC57" s="1">
        <f t="shared" ca="1" si="20"/>
        <v>886</v>
      </c>
      <c r="AD57" s="1">
        <f t="shared" ca="1" si="21"/>
        <v>4.0060630594420448E-3</v>
      </c>
      <c r="AE57" s="1"/>
      <c r="AF57" s="1">
        <f t="shared" ca="1" si="22"/>
        <v>0.31093980453469905</v>
      </c>
      <c r="AG57" s="1">
        <f t="shared" ca="1" si="23"/>
        <v>134</v>
      </c>
      <c r="AH57" s="1">
        <f t="shared" ca="1" si="24"/>
        <v>7.2067187315403595E-3</v>
      </c>
      <c r="AJ57" s="1">
        <f t="shared" ca="1" si="25"/>
        <v>0.72570420204744779</v>
      </c>
      <c r="AK57" s="1">
        <f t="shared" ca="1" si="26"/>
        <v>5.7234567958534344E-3</v>
      </c>
      <c r="AL57" s="1"/>
      <c r="AM57" s="1">
        <f t="shared" ca="1" si="27"/>
        <v>0.15829604105127476</v>
      </c>
      <c r="AN57" s="1">
        <f t="shared" ca="1" si="28"/>
        <v>73</v>
      </c>
      <c r="AO57" s="1">
        <f t="shared" ca="1" si="29"/>
        <v>1</v>
      </c>
      <c r="AQ57" s="1">
        <f t="shared" ca="1" si="30"/>
        <v>66</v>
      </c>
      <c r="AR57" s="1">
        <f t="shared" ca="1" si="31"/>
        <v>5</v>
      </c>
      <c r="AS57" s="1">
        <f t="shared" ca="1" si="32"/>
        <v>68</v>
      </c>
      <c r="AU57" s="1">
        <f t="shared" ca="1" si="33"/>
        <v>303</v>
      </c>
      <c r="AV57" s="1">
        <f t="shared" ca="1" si="34"/>
        <v>10</v>
      </c>
      <c r="AW57" s="1">
        <f t="shared" ca="1" si="35"/>
        <v>0.19559856098465156</v>
      </c>
      <c r="AY57" s="1">
        <f t="shared" ca="1" si="36"/>
        <v>1.6941141349141708</v>
      </c>
      <c r="AZ57" s="1">
        <f t="shared" ca="1" si="37"/>
        <v>138</v>
      </c>
      <c r="BA57" s="1">
        <f t="shared" ca="1" si="38"/>
        <v>6.2657491667705845E-3</v>
      </c>
      <c r="BV57" s="1">
        <f t="shared" ca="1" si="39"/>
        <v>0.46851686059496694</v>
      </c>
      <c r="BW57" s="1">
        <f t="shared" ca="1" si="40"/>
        <v>364</v>
      </c>
      <c r="BX57" s="1">
        <f t="shared" ca="1" si="41"/>
        <v>4.5754606200497745E-3</v>
      </c>
      <c r="BY57" s="1">
        <f t="shared" ca="1" si="42"/>
        <v>5.2092126248585766E-2</v>
      </c>
      <c r="BZ57" s="1">
        <f t="shared" ca="1" si="43"/>
        <v>0.48438781892710159</v>
      </c>
      <c r="CB57" s="1">
        <f t="shared" ca="1" si="44"/>
        <v>484</v>
      </c>
      <c r="CC57" s="1">
        <f t="shared" ca="1" si="45"/>
        <v>13</v>
      </c>
      <c r="CD57" s="1">
        <f t="shared" ca="1" si="46"/>
        <v>0.17065763146423338</v>
      </c>
      <c r="CE57" s="1">
        <f t="shared" ca="1" si="56"/>
        <v>0.70983150038537701</v>
      </c>
      <c r="CF57" s="1">
        <f t="shared" ca="1" si="56"/>
        <v>0.83022327675448737</v>
      </c>
      <c r="CH57" s="3">
        <f t="shared" ca="1" si="48"/>
        <v>9.3662860749875759E-2</v>
      </c>
      <c r="CI57" s="3">
        <f t="shared" ca="1" si="49"/>
        <v>0.60538952767750009</v>
      </c>
      <c r="CJ57" s="3">
        <f t="shared" ca="1" si="50"/>
        <v>1215</v>
      </c>
      <c r="CK57" s="3">
        <f t="shared" ca="1" si="51"/>
        <v>9.3739936180737074E-3</v>
      </c>
      <c r="CL57" s="3">
        <f t="shared" ca="1" si="52"/>
        <v>1</v>
      </c>
      <c r="CM57" s="3"/>
      <c r="CN57" s="1">
        <f t="shared" ca="1" si="53"/>
        <v>19.279181499221945</v>
      </c>
      <c r="CO57" s="1">
        <f t="shared" ca="1" si="54"/>
        <v>0.20391160100993572</v>
      </c>
      <c r="CP57" s="1">
        <f t="shared" ca="1" si="55"/>
        <v>3</v>
      </c>
    </row>
    <row r="58" spans="2:94" x14ac:dyDescent="0.25">
      <c r="B58">
        <f t="shared" ca="1" si="0"/>
        <v>347</v>
      </c>
      <c r="C58">
        <f t="shared" ca="1" si="1"/>
        <v>16</v>
      </c>
      <c r="D58">
        <f t="shared" ca="1" si="2"/>
        <v>0.21517009966309825</v>
      </c>
      <c r="F58" s="1">
        <f t="shared" ca="1" si="3"/>
        <v>18</v>
      </c>
      <c r="G58" s="1">
        <f t="shared" ca="1" si="4"/>
        <v>9</v>
      </c>
      <c r="H58" s="1">
        <f t="shared" ca="1" si="5"/>
        <v>1</v>
      </c>
      <c r="I58" s="1"/>
      <c r="J58" s="1">
        <f t="shared" ca="1" si="6"/>
        <v>25</v>
      </c>
      <c r="K58" s="1">
        <f t="shared" ca="1" si="7"/>
        <v>1.4353032765603819</v>
      </c>
      <c r="L58" s="1">
        <f t="shared" ca="1" si="8"/>
        <v>7</v>
      </c>
      <c r="M58" s="1"/>
      <c r="N58" s="1">
        <f t="shared" ca="1" si="9"/>
        <v>457</v>
      </c>
      <c r="O58" s="1">
        <f t="shared" ca="1" si="10"/>
        <v>26</v>
      </c>
      <c r="P58" s="1"/>
      <c r="Q58" s="1">
        <f t="shared" ca="1" si="11"/>
        <v>3.9603576403728722</v>
      </c>
      <c r="R58" s="1">
        <f t="shared" ca="1" si="12"/>
        <v>891</v>
      </c>
      <c r="S58" s="1"/>
      <c r="T58" s="1">
        <f t="shared" ca="1" si="13"/>
        <v>0.15586986562076807</v>
      </c>
      <c r="U58" s="1">
        <f t="shared" ca="1" si="14"/>
        <v>69</v>
      </c>
      <c r="V58" s="1">
        <f t="shared" ca="1" si="15"/>
        <v>49</v>
      </c>
      <c r="W58" s="1"/>
      <c r="X58" s="1">
        <f t="shared" ca="1" si="16"/>
        <v>5.9526026243249825</v>
      </c>
      <c r="Y58" s="1">
        <f t="shared" ca="1" si="17"/>
        <v>0.36529912763321293</v>
      </c>
      <c r="Z58" s="1">
        <f t="shared" ca="1" si="18"/>
        <v>1231</v>
      </c>
      <c r="AB58" s="1">
        <f t="shared" ca="1" si="19"/>
        <v>0.64513893144293877</v>
      </c>
      <c r="AC58" s="1">
        <f t="shared" ca="1" si="20"/>
        <v>317</v>
      </c>
      <c r="AD58" s="1">
        <f t="shared" ca="1" si="21"/>
        <v>3.5386905741500497E-3</v>
      </c>
      <c r="AE58" s="1"/>
      <c r="AF58" s="1">
        <f t="shared" ca="1" si="22"/>
        <v>0.79650213780717383</v>
      </c>
      <c r="AG58" s="1">
        <f t="shared" ca="1" si="23"/>
        <v>284</v>
      </c>
      <c r="AH58" s="1">
        <f t="shared" ca="1" si="24"/>
        <v>3.0118216195960251E-3</v>
      </c>
      <c r="AJ58" s="1">
        <f t="shared" ca="1" si="25"/>
        <v>0.75278691673068987</v>
      </c>
      <c r="AK58" s="1">
        <f t="shared" ca="1" si="26"/>
        <v>8.255804219226005E-4</v>
      </c>
      <c r="AL58" s="1"/>
      <c r="AM58" s="1">
        <f t="shared" ca="1" si="27"/>
        <v>0.18826204463826085</v>
      </c>
      <c r="AN58" s="1">
        <f t="shared" ca="1" si="28"/>
        <v>21</v>
      </c>
      <c r="AO58" s="1">
        <f t="shared" ca="1" si="29"/>
        <v>16</v>
      </c>
      <c r="AQ58" s="1">
        <f t="shared" ca="1" si="30"/>
        <v>89</v>
      </c>
      <c r="AR58" s="1">
        <f t="shared" ca="1" si="31"/>
        <v>6</v>
      </c>
      <c r="AS58" s="1">
        <f t="shared" ca="1" si="32"/>
        <v>15</v>
      </c>
      <c r="AU58" s="1">
        <f t="shared" ca="1" si="33"/>
        <v>163</v>
      </c>
      <c r="AV58" s="1">
        <f t="shared" ca="1" si="34"/>
        <v>8</v>
      </c>
      <c r="AW58" s="1">
        <f t="shared" ca="1" si="35"/>
        <v>5.0845180430478393E-2</v>
      </c>
      <c r="AY58" s="1">
        <f t="shared" ca="1" si="36"/>
        <v>1.8545779360884653</v>
      </c>
      <c r="AZ58" s="1">
        <f t="shared" ca="1" si="37"/>
        <v>493</v>
      </c>
      <c r="BA58" s="1">
        <f t="shared" ca="1" si="38"/>
        <v>4.0979024831130639E-3</v>
      </c>
      <c r="BV58" s="1">
        <f t="shared" ca="1" si="39"/>
        <v>0.85681108384887694</v>
      </c>
      <c r="BW58" s="1">
        <f t="shared" ca="1" si="40"/>
        <v>562</v>
      </c>
      <c r="BX58" s="1">
        <f t="shared" ca="1" si="41"/>
        <v>4.498517056657287E-3</v>
      </c>
      <c r="BY58" s="1">
        <f t="shared" ca="1" si="42"/>
        <v>1.6851354456120519E-2</v>
      </c>
      <c r="BZ58" s="1">
        <f t="shared" ca="1" si="43"/>
        <v>0.29868386200226549</v>
      </c>
      <c r="CB58" s="1">
        <f t="shared" ca="1" si="44"/>
        <v>282</v>
      </c>
      <c r="CC58" s="1">
        <f t="shared" ca="1" si="45"/>
        <v>10</v>
      </c>
      <c r="CD58" s="1">
        <f t="shared" ca="1" si="46"/>
        <v>0.29593886249711793</v>
      </c>
      <c r="CE58" s="1">
        <f t="shared" ca="1" si="56"/>
        <v>0.76981729082772743</v>
      </c>
      <c r="CF58" s="1">
        <f t="shared" ca="1" si="56"/>
        <v>0.99040701718884638</v>
      </c>
      <c r="CH58" s="3">
        <f t="shared" ca="1" si="48"/>
        <v>0.58430030849532544</v>
      </c>
      <c r="CI58" s="3">
        <f t="shared" ca="1" si="49"/>
        <v>0.20024859349758914</v>
      </c>
      <c r="CJ58" s="3">
        <f t="shared" ca="1" si="50"/>
        <v>1840</v>
      </c>
      <c r="CK58" s="3">
        <f t="shared" ca="1" si="51"/>
        <v>2.2928074806920998E-3</v>
      </c>
      <c r="CL58" s="3">
        <f t="shared" ca="1" si="52"/>
        <v>0</v>
      </c>
      <c r="CM58" s="3"/>
      <c r="CN58" s="1">
        <f t="shared" ca="1" si="53"/>
        <v>17.206119867603725</v>
      </c>
      <c r="CO58" s="1">
        <f t="shared" ca="1" si="54"/>
        <v>0.17257285851884394</v>
      </c>
      <c r="CP58" s="1">
        <f t="shared" ca="1" si="55"/>
        <v>3</v>
      </c>
    </row>
    <row r="59" spans="2:94" x14ac:dyDescent="0.25">
      <c r="B59">
        <f t="shared" ca="1" si="0"/>
        <v>820</v>
      </c>
      <c r="C59">
        <f t="shared" ca="1" si="1"/>
        <v>24</v>
      </c>
      <c r="D59">
        <f t="shared" ca="1" si="2"/>
        <v>0.22457399270828868</v>
      </c>
      <c r="F59" s="1">
        <f t="shared" ca="1" si="3"/>
        <v>48</v>
      </c>
      <c r="G59" s="1">
        <f t="shared" ca="1" si="4"/>
        <v>16</v>
      </c>
      <c r="H59" s="1">
        <f t="shared" ca="1" si="5"/>
        <v>7</v>
      </c>
      <c r="I59" s="1"/>
      <c r="J59" s="1">
        <f t="shared" ca="1" si="6"/>
        <v>16</v>
      </c>
      <c r="K59" s="1">
        <f t="shared" ca="1" si="7"/>
        <v>1.0469226810384713</v>
      </c>
      <c r="L59" s="1">
        <f t="shared" ca="1" si="8"/>
        <v>7</v>
      </c>
      <c r="M59" s="1"/>
      <c r="N59" s="1">
        <f t="shared" ca="1" si="9"/>
        <v>781</v>
      </c>
      <c r="O59" s="1">
        <f t="shared" ca="1" si="10"/>
        <v>3</v>
      </c>
      <c r="P59" s="1"/>
      <c r="Q59" s="1">
        <f t="shared" ca="1" si="11"/>
        <v>3.6106128911075039</v>
      </c>
      <c r="R59" s="1">
        <f t="shared" ca="1" si="12"/>
        <v>1197</v>
      </c>
      <c r="S59" s="1"/>
      <c r="T59" s="1">
        <f t="shared" ca="1" si="13"/>
        <v>0.13801536337303222</v>
      </c>
      <c r="U59" s="1">
        <f t="shared" ca="1" si="14"/>
        <v>123</v>
      </c>
      <c r="V59" s="1">
        <f t="shared" ca="1" si="15"/>
        <v>51</v>
      </c>
      <c r="W59" s="1"/>
      <c r="X59" s="1">
        <f t="shared" ca="1" si="16"/>
        <v>6.2233931120672041</v>
      </c>
      <c r="Y59" s="1">
        <f t="shared" ca="1" si="17"/>
        <v>0.55955080794634982</v>
      </c>
      <c r="Z59" s="1">
        <f t="shared" ca="1" si="18"/>
        <v>1138</v>
      </c>
      <c r="AB59" s="1">
        <f t="shared" ca="1" si="19"/>
        <v>0.52575073115674997</v>
      </c>
      <c r="AC59" s="1">
        <f t="shared" ca="1" si="20"/>
        <v>584</v>
      </c>
      <c r="AD59" s="1">
        <f t="shared" ca="1" si="21"/>
        <v>5.8833744389614785E-3</v>
      </c>
      <c r="AE59" s="1"/>
      <c r="AF59" s="1">
        <f t="shared" ca="1" si="22"/>
        <v>0.58021300251680463</v>
      </c>
      <c r="AG59" s="1">
        <f t="shared" ca="1" si="23"/>
        <v>416</v>
      </c>
      <c r="AH59" s="1">
        <f t="shared" ca="1" si="24"/>
        <v>8.9657616329274711E-4</v>
      </c>
      <c r="AJ59" s="1">
        <f t="shared" ca="1" si="25"/>
        <v>0.95086770670238208</v>
      </c>
      <c r="AK59" s="1">
        <f t="shared" ca="1" si="26"/>
        <v>9.4465629694551641E-3</v>
      </c>
      <c r="AL59" s="1"/>
      <c r="AM59" s="1">
        <f t="shared" ca="1" si="27"/>
        <v>6.7083133585361027E-2</v>
      </c>
      <c r="AN59" s="1">
        <f t="shared" ca="1" si="28"/>
        <v>36</v>
      </c>
      <c r="AO59" s="1">
        <f t="shared" ca="1" si="29"/>
        <v>16</v>
      </c>
      <c r="AQ59" s="1">
        <f t="shared" ca="1" si="30"/>
        <v>137</v>
      </c>
      <c r="AR59" s="1">
        <f t="shared" ca="1" si="31"/>
        <v>5</v>
      </c>
      <c r="AS59" s="1">
        <f t="shared" ca="1" si="32"/>
        <v>89</v>
      </c>
      <c r="AU59" s="1">
        <f t="shared" ca="1" si="33"/>
        <v>247</v>
      </c>
      <c r="AV59" s="1">
        <f t="shared" ca="1" si="34"/>
        <v>5</v>
      </c>
      <c r="AW59" s="1">
        <f t="shared" ca="1" si="35"/>
        <v>4.5527098379240634E-2</v>
      </c>
      <c r="AY59" s="1">
        <f t="shared" ca="1" si="36"/>
        <v>1.4670787766501874</v>
      </c>
      <c r="AZ59" s="1">
        <f t="shared" ca="1" si="37"/>
        <v>418</v>
      </c>
      <c r="BA59" s="1">
        <f t="shared" ca="1" si="38"/>
        <v>5.4576629078816512E-3</v>
      </c>
      <c r="BV59" s="1">
        <f t="shared" ca="1" si="39"/>
        <v>0.46048144753247094</v>
      </c>
      <c r="BW59" s="1">
        <f t="shared" ca="1" si="40"/>
        <v>208</v>
      </c>
      <c r="BX59" s="1">
        <f t="shared" ca="1" si="41"/>
        <v>1.9697940483711393E-4</v>
      </c>
      <c r="BY59" s="1">
        <f t="shared" ca="1" si="42"/>
        <v>7.4168108809116867E-2</v>
      </c>
      <c r="BZ59" s="1">
        <f t="shared" ca="1" si="43"/>
        <v>0.17809173169639037</v>
      </c>
      <c r="CB59" s="1">
        <f t="shared" ca="1" si="44"/>
        <v>271</v>
      </c>
      <c r="CC59" s="1">
        <f t="shared" ca="1" si="45"/>
        <v>14</v>
      </c>
      <c r="CD59" s="1">
        <f t="shared" ca="1" si="46"/>
        <v>0.26536120774146282</v>
      </c>
      <c r="CE59" s="1">
        <f t="shared" ca="1" si="56"/>
        <v>0.89956928478196674</v>
      </c>
      <c r="CF59" s="1">
        <f t="shared" ca="1" si="56"/>
        <v>0.75081972636096406</v>
      </c>
      <c r="CH59" s="3">
        <f t="shared" ca="1" si="48"/>
        <v>0.46008317552826239</v>
      </c>
      <c r="CI59" s="3">
        <f t="shared" ca="1" si="49"/>
        <v>8.6876028043576928E-2</v>
      </c>
      <c r="CJ59" s="3">
        <f t="shared" ca="1" si="50"/>
        <v>719</v>
      </c>
      <c r="CK59" s="3">
        <f t="shared" ca="1" si="51"/>
        <v>8.8110896635903487E-3</v>
      </c>
      <c r="CL59" s="3">
        <f t="shared" ca="1" si="52"/>
        <v>1</v>
      </c>
      <c r="CM59" s="3"/>
      <c r="CN59" s="1">
        <f t="shared" ca="1" si="53"/>
        <v>8.5125386662289966</v>
      </c>
      <c r="CO59" s="1">
        <f t="shared" ca="1" si="54"/>
        <v>8.6860417690472883E-2</v>
      </c>
      <c r="CP59" s="1">
        <f t="shared" ca="1" si="55"/>
        <v>5</v>
      </c>
    </row>
    <row r="60" spans="2:94" x14ac:dyDescent="0.25">
      <c r="B60">
        <f t="shared" ca="1" si="0"/>
        <v>33</v>
      </c>
      <c r="C60">
        <f t="shared" ca="1" si="1"/>
        <v>41</v>
      </c>
      <c r="D60">
        <f t="shared" ca="1" si="2"/>
        <v>0.17407325945757907</v>
      </c>
      <c r="F60" s="1">
        <f t="shared" ca="1" si="3"/>
        <v>42</v>
      </c>
      <c r="G60" s="1">
        <f t="shared" ca="1" si="4"/>
        <v>19</v>
      </c>
      <c r="H60" s="1">
        <f t="shared" ca="1" si="5"/>
        <v>12</v>
      </c>
      <c r="I60" s="1"/>
      <c r="J60" s="1">
        <f t="shared" ca="1" si="6"/>
        <v>18</v>
      </c>
      <c r="K60" s="1">
        <f t="shared" ca="1" si="7"/>
        <v>1.4368854214420224</v>
      </c>
      <c r="L60" s="1">
        <f t="shared" ca="1" si="8"/>
        <v>17</v>
      </c>
      <c r="M60" s="1"/>
      <c r="N60" s="1">
        <f t="shared" ca="1" si="9"/>
        <v>954</v>
      </c>
      <c r="O60" s="1">
        <f t="shared" ca="1" si="10"/>
        <v>52</v>
      </c>
      <c r="P60" s="1"/>
      <c r="Q60" s="1">
        <f t="shared" ca="1" si="11"/>
        <v>0.42568243345231654</v>
      </c>
      <c r="R60" s="1">
        <f t="shared" ca="1" si="12"/>
        <v>380</v>
      </c>
      <c r="S60" s="1"/>
      <c r="T60" s="1">
        <f t="shared" ca="1" si="13"/>
        <v>3.5524493053250818E-2</v>
      </c>
      <c r="U60" s="1">
        <f t="shared" ca="1" si="14"/>
        <v>426</v>
      </c>
      <c r="V60" s="1">
        <f t="shared" ca="1" si="15"/>
        <v>44</v>
      </c>
      <c r="W60" s="1"/>
      <c r="X60" s="1">
        <f t="shared" ca="1" si="16"/>
        <v>8.5903620697275951</v>
      </c>
      <c r="Y60" s="1">
        <f t="shared" ca="1" si="17"/>
        <v>3.7853074056042352E-2</v>
      </c>
      <c r="Z60" s="1">
        <f t="shared" ca="1" si="18"/>
        <v>1247</v>
      </c>
      <c r="AB60" s="1">
        <f t="shared" ca="1" si="19"/>
        <v>0.3452138596908701</v>
      </c>
      <c r="AC60" s="1">
        <f t="shared" ca="1" si="20"/>
        <v>410</v>
      </c>
      <c r="AD60" s="1">
        <f t="shared" ca="1" si="21"/>
        <v>8.5023687161774417E-3</v>
      </c>
      <c r="AE60" s="1"/>
      <c r="AF60" s="1">
        <f t="shared" ca="1" si="22"/>
        <v>0.29781491400384841</v>
      </c>
      <c r="AG60" s="1">
        <f t="shared" ca="1" si="23"/>
        <v>834</v>
      </c>
      <c r="AH60" s="1">
        <f t="shared" ca="1" si="24"/>
        <v>4.1886284027220248E-3</v>
      </c>
      <c r="AJ60" s="1">
        <f t="shared" ca="1" si="25"/>
        <v>0.63515819733352186</v>
      </c>
      <c r="AK60" s="1">
        <f t="shared" ca="1" si="26"/>
        <v>3.0008306186683235E-3</v>
      </c>
      <c r="AL60" s="1"/>
      <c r="AM60" s="1">
        <f t="shared" ca="1" si="27"/>
        <v>0.19676920791189254</v>
      </c>
      <c r="AN60" s="1">
        <f t="shared" ca="1" si="28"/>
        <v>29</v>
      </c>
      <c r="AO60" s="1">
        <f t="shared" ca="1" si="29"/>
        <v>1</v>
      </c>
      <c r="AQ60" s="1">
        <f t="shared" ca="1" si="30"/>
        <v>197</v>
      </c>
      <c r="AR60" s="1">
        <f t="shared" ca="1" si="31"/>
        <v>6</v>
      </c>
      <c r="AS60" s="1">
        <f t="shared" ca="1" si="32"/>
        <v>53</v>
      </c>
      <c r="AU60" s="1">
        <f t="shared" ca="1" si="33"/>
        <v>278</v>
      </c>
      <c r="AV60" s="1">
        <f t="shared" ca="1" si="34"/>
        <v>9</v>
      </c>
      <c r="AW60" s="1">
        <f t="shared" ca="1" si="35"/>
        <v>6.200358144491936E-2</v>
      </c>
      <c r="AY60" s="1">
        <f t="shared" ca="1" si="36"/>
        <v>1.1645161732457832</v>
      </c>
      <c r="AZ60" s="1">
        <f t="shared" ca="1" si="37"/>
        <v>351</v>
      </c>
      <c r="BA60" s="1">
        <f t="shared" ca="1" si="38"/>
        <v>6.1505750362835492E-3</v>
      </c>
      <c r="BV60" s="1">
        <f t="shared" ca="1" si="39"/>
        <v>0.43275597922245795</v>
      </c>
      <c r="BW60" s="1">
        <f t="shared" ca="1" si="40"/>
        <v>332</v>
      </c>
      <c r="BX60" s="1">
        <f t="shared" ca="1" si="41"/>
        <v>5.7992762805824322E-3</v>
      </c>
      <c r="BY60" s="1">
        <f t="shared" ca="1" si="42"/>
        <v>5.0728342851446923E-2</v>
      </c>
      <c r="BZ60" s="1">
        <f t="shared" ca="1" si="43"/>
        <v>0.65102445204832904</v>
      </c>
      <c r="CB60" s="1">
        <f t="shared" ca="1" si="44"/>
        <v>499</v>
      </c>
      <c r="CC60" s="1">
        <f t="shared" ca="1" si="45"/>
        <v>11</v>
      </c>
      <c r="CD60" s="1">
        <f t="shared" ca="1" si="46"/>
        <v>8.9945784599191531E-2</v>
      </c>
      <c r="CE60" s="1">
        <f t="shared" ca="1" si="56"/>
        <v>0.59566172033838027</v>
      </c>
      <c r="CF60" s="1">
        <f t="shared" ca="1" si="56"/>
        <v>0.84332030951671721</v>
      </c>
      <c r="CH60" s="3">
        <f t="shared" ca="1" si="48"/>
        <v>0.80392109294153902</v>
      </c>
      <c r="CI60" s="3">
        <f t="shared" ca="1" si="49"/>
        <v>0.21477824984766727</v>
      </c>
      <c r="CJ60" s="3">
        <f t="shared" ca="1" si="50"/>
        <v>1192</v>
      </c>
      <c r="CK60" s="3">
        <f t="shared" ca="1" si="51"/>
        <v>9.4019846591633545E-3</v>
      </c>
      <c r="CL60" s="3">
        <f t="shared" ca="1" si="52"/>
        <v>1</v>
      </c>
      <c r="CM60" s="3"/>
      <c r="CN60" s="1">
        <f t="shared" ca="1" si="53"/>
        <v>18.112713625713091</v>
      </c>
      <c r="CO60" s="1">
        <f t="shared" ca="1" si="54"/>
        <v>0.25079281299454903</v>
      </c>
      <c r="CP60" s="1">
        <f t="shared" ca="1" si="55"/>
        <v>3</v>
      </c>
    </row>
    <row r="61" spans="2:94" x14ac:dyDescent="0.25">
      <c r="B61">
        <f t="shared" ca="1" si="0"/>
        <v>304</v>
      </c>
      <c r="C61">
        <f t="shared" ca="1" si="1"/>
        <v>8</v>
      </c>
      <c r="D61">
        <f t="shared" ca="1" si="2"/>
        <v>0.16865922546133413</v>
      </c>
      <c r="F61" s="1">
        <f t="shared" ca="1" si="3"/>
        <v>8</v>
      </c>
      <c r="G61" s="1">
        <f t="shared" ca="1" si="4"/>
        <v>30</v>
      </c>
      <c r="H61" s="1">
        <f t="shared" ca="1" si="5"/>
        <v>5</v>
      </c>
      <c r="I61" s="1"/>
      <c r="J61" s="1">
        <f t="shared" ca="1" si="6"/>
        <v>27</v>
      </c>
      <c r="K61" s="1">
        <f t="shared" ca="1" si="7"/>
        <v>1.8910076331956986</v>
      </c>
      <c r="L61" s="1">
        <f t="shared" ca="1" si="8"/>
        <v>33</v>
      </c>
      <c r="M61" s="1"/>
      <c r="N61" s="1">
        <f t="shared" ca="1" si="9"/>
        <v>914</v>
      </c>
      <c r="O61" s="1">
        <f t="shared" ca="1" si="10"/>
        <v>35</v>
      </c>
      <c r="P61" s="1"/>
      <c r="Q61" s="1">
        <f t="shared" ca="1" si="11"/>
        <v>2.1595167900709171</v>
      </c>
      <c r="R61" s="1">
        <f t="shared" ca="1" si="12"/>
        <v>243</v>
      </c>
      <c r="S61" s="1"/>
      <c r="T61" s="1">
        <f t="shared" ca="1" si="13"/>
        <v>0.15382288378028508</v>
      </c>
      <c r="U61" s="1">
        <f t="shared" ca="1" si="14"/>
        <v>130</v>
      </c>
      <c r="V61" s="1">
        <f t="shared" ca="1" si="15"/>
        <v>34</v>
      </c>
      <c r="W61" s="1"/>
      <c r="X61" s="1">
        <f t="shared" ca="1" si="16"/>
        <v>6.4432454556086034</v>
      </c>
      <c r="Y61" s="1">
        <f t="shared" ca="1" si="17"/>
        <v>0.77642632840807391</v>
      </c>
      <c r="Z61" s="1">
        <f t="shared" ca="1" si="18"/>
        <v>133</v>
      </c>
      <c r="AB61" s="1">
        <f t="shared" ca="1" si="19"/>
        <v>0.61536022495923903</v>
      </c>
      <c r="AC61" s="1">
        <f t="shared" ca="1" si="20"/>
        <v>464</v>
      </c>
      <c r="AD61" s="1">
        <f t="shared" ca="1" si="21"/>
        <v>7.9469763058503604E-3</v>
      </c>
      <c r="AE61" s="1"/>
      <c r="AF61" s="1">
        <f t="shared" ca="1" si="22"/>
        <v>0.23142500398837484</v>
      </c>
      <c r="AG61" s="1">
        <f t="shared" ca="1" si="23"/>
        <v>602</v>
      </c>
      <c r="AH61" s="1">
        <f t="shared" ca="1" si="24"/>
        <v>6.7247170507537283E-3</v>
      </c>
      <c r="AJ61" s="1">
        <f t="shared" ca="1" si="25"/>
        <v>0.37329469152558792</v>
      </c>
      <c r="AK61" s="1">
        <f t="shared" ca="1" si="26"/>
        <v>5.4276445590910787E-3</v>
      </c>
      <c r="AL61" s="1"/>
      <c r="AM61" s="1">
        <f t="shared" ca="1" si="27"/>
        <v>6.1730137839100585E-2</v>
      </c>
      <c r="AN61" s="1">
        <f t="shared" ca="1" si="28"/>
        <v>76</v>
      </c>
      <c r="AO61" s="1">
        <f t="shared" ca="1" si="29"/>
        <v>17</v>
      </c>
      <c r="AQ61" s="1">
        <f t="shared" ca="1" si="30"/>
        <v>34</v>
      </c>
      <c r="AR61" s="1">
        <f t="shared" ca="1" si="31"/>
        <v>2</v>
      </c>
      <c r="AS61" s="1">
        <f t="shared" ca="1" si="32"/>
        <v>77</v>
      </c>
      <c r="AU61" s="1">
        <f t="shared" ca="1" si="33"/>
        <v>274</v>
      </c>
      <c r="AV61" s="1">
        <f t="shared" ca="1" si="34"/>
        <v>2</v>
      </c>
      <c r="AW61" s="1">
        <f t="shared" ca="1" si="35"/>
        <v>0.1110532429478633</v>
      </c>
      <c r="AY61" s="1">
        <f t="shared" ca="1" si="36"/>
        <v>1.5687432200389235</v>
      </c>
      <c r="AZ61" s="1">
        <f t="shared" ca="1" si="37"/>
        <v>81</v>
      </c>
      <c r="BA61" s="1">
        <f t="shared" ca="1" si="38"/>
        <v>2.5769058868814372E-3</v>
      </c>
      <c r="BV61" s="1">
        <f t="shared" ca="1" si="39"/>
        <v>5.8462104002103291E-2</v>
      </c>
      <c r="BW61" s="1">
        <f t="shared" ca="1" si="40"/>
        <v>213</v>
      </c>
      <c r="BX61" s="1">
        <f t="shared" ca="1" si="41"/>
        <v>7.4350435828811215E-3</v>
      </c>
      <c r="BY61" s="1">
        <f t="shared" ca="1" si="42"/>
        <v>2.8346603539354448E-2</v>
      </c>
      <c r="BZ61" s="1">
        <f t="shared" ca="1" si="43"/>
        <v>0.13093870946601516</v>
      </c>
      <c r="CB61" s="1">
        <f t="shared" ca="1" si="44"/>
        <v>318</v>
      </c>
      <c r="CC61" s="1">
        <f t="shared" ca="1" si="45"/>
        <v>12</v>
      </c>
      <c r="CD61" s="1">
        <f t="shared" ca="1" si="46"/>
        <v>2.9619080380664353E-2</v>
      </c>
      <c r="CE61" s="1">
        <f t="shared" ca="1" si="56"/>
        <v>0.57038260315696743</v>
      </c>
      <c r="CF61" s="1">
        <f t="shared" ca="1" si="56"/>
        <v>0.58497131910728606</v>
      </c>
      <c r="CH61" s="3">
        <f t="shared" ca="1" si="48"/>
        <v>0.85433666424592414</v>
      </c>
      <c r="CI61" s="3">
        <f t="shared" ca="1" si="49"/>
        <v>0.16225615882798872</v>
      </c>
      <c r="CJ61" s="3">
        <f t="shared" ca="1" si="50"/>
        <v>1376</v>
      </c>
      <c r="CK61" s="3">
        <f t="shared" ca="1" si="51"/>
        <v>5.2481612569750154E-3</v>
      </c>
      <c r="CL61" s="3">
        <f t="shared" ca="1" si="52"/>
        <v>0</v>
      </c>
      <c r="CM61" s="3"/>
      <c r="CN61" s="1">
        <f t="shared" ca="1" si="53"/>
        <v>17.47592049764793</v>
      </c>
      <c r="CO61" s="1">
        <f t="shared" ca="1" si="54"/>
        <v>0.2964356013135731</v>
      </c>
      <c r="CP61" s="1">
        <f t="shared" ca="1" si="55"/>
        <v>4</v>
      </c>
    </row>
    <row r="62" spans="2:94" x14ac:dyDescent="0.25">
      <c r="B62">
        <f t="shared" ca="1" si="0"/>
        <v>607</v>
      </c>
      <c r="C62">
        <f t="shared" ca="1" si="1"/>
        <v>44</v>
      </c>
      <c r="D62">
        <f t="shared" ca="1" si="2"/>
        <v>0.22679792667317628</v>
      </c>
      <c r="F62" s="1">
        <f t="shared" ca="1" si="3"/>
        <v>35</v>
      </c>
      <c r="G62" s="1">
        <f t="shared" ca="1" si="4"/>
        <v>23</v>
      </c>
      <c r="H62" s="1">
        <f t="shared" ca="1" si="5"/>
        <v>15</v>
      </c>
      <c r="I62" s="1"/>
      <c r="J62" s="1">
        <f t="shared" ca="1" si="6"/>
        <v>17</v>
      </c>
      <c r="K62" s="1">
        <f t="shared" ca="1" si="7"/>
        <v>1.7919070387174796</v>
      </c>
      <c r="L62" s="1">
        <f t="shared" ca="1" si="8"/>
        <v>16</v>
      </c>
      <c r="M62" s="1"/>
      <c r="N62" s="1">
        <f t="shared" ca="1" si="9"/>
        <v>797</v>
      </c>
      <c r="O62" s="1">
        <f t="shared" ca="1" si="10"/>
        <v>19</v>
      </c>
      <c r="P62" s="1"/>
      <c r="Q62" s="1">
        <f t="shared" ca="1" si="11"/>
        <v>0.4337834094751834</v>
      </c>
      <c r="R62" s="1">
        <f t="shared" ca="1" si="12"/>
        <v>896</v>
      </c>
      <c r="S62" s="1"/>
      <c r="T62" s="1">
        <f t="shared" ca="1" si="13"/>
        <v>0.11595890957160812</v>
      </c>
      <c r="U62" s="1">
        <f t="shared" ca="1" si="14"/>
        <v>391</v>
      </c>
      <c r="V62" s="1">
        <f t="shared" ca="1" si="15"/>
        <v>13</v>
      </c>
      <c r="W62" s="1"/>
      <c r="X62" s="1">
        <f t="shared" ca="1" si="16"/>
        <v>8.7991307498276381</v>
      </c>
      <c r="Y62" s="1">
        <f t="shared" ca="1" si="17"/>
        <v>0.69077573858092844</v>
      </c>
      <c r="Z62" s="1">
        <f t="shared" ca="1" si="18"/>
        <v>781</v>
      </c>
      <c r="AB62" s="1">
        <f t="shared" ca="1" si="19"/>
        <v>0.43006918303565939</v>
      </c>
      <c r="AC62" s="1">
        <f t="shared" ca="1" si="20"/>
        <v>801</v>
      </c>
      <c r="AD62" s="1">
        <f t="shared" ca="1" si="21"/>
        <v>7.9108717747539171E-3</v>
      </c>
      <c r="AE62" s="1"/>
      <c r="AF62" s="1">
        <f t="shared" ca="1" si="22"/>
        <v>0.26100642061720059</v>
      </c>
      <c r="AG62" s="1">
        <f t="shared" ca="1" si="23"/>
        <v>990</v>
      </c>
      <c r="AH62" s="1">
        <f t="shared" ca="1" si="24"/>
        <v>5.2031415772539318E-3</v>
      </c>
      <c r="AJ62" s="1">
        <f t="shared" ca="1" si="25"/>
        <v>0.37717502160960104</v>
      </c>
      <c r="AK62" s="1">
        <f t="shared" ca="1" si="26"/>
        <v>6.9279281386664246E-3</v>
      </c>
      <c r="AL62" s="1"/>
      <c r="AM62" s="1">
        <f t="shared" ca="1" si="27"/>
        <v>8.080439431468027E-2</v>
      </c>
      <c r="AN62" s="1">
        <f t="shared" ca="1" si="28"/>
        <v>71</v>
      </c>
      <c r="AO62" s="1">
        <f t="shared" ca="1" si="29"/>
        <v>5</v>
      </c>
      <c r="AQ62" s="1">
        <f t="shared" ca="1" si="30"/>
        <v>115</v>
      </c>
      <c r="AR62" s="1">
        <f t="shared" ca="1" si="31"/>
        <v>4</v>
      </c>
      <c r="AS62" s="1">
        <f t="shared" ca="1" si="32"/>
        <v>45</v>
      </c>
      <c r="AU62" s="1">
        <f t="shared" ca="1" si="33"/>
        <v>392</v>
      </c>
      <c r="AV62" s="1">
        <f t="shared" ca="1" si="34"/>
        <v>9</v>
      </c>
      <c r="AW62" s="1">
        <f t="shared" ca="1" si="35"/>
        <v>0.18138203218426344</v>
      </c>
      <c r="AY62" s="1">
        <f t="shared" ca="1" si="36"/>
        <v>1.2570794546108646</v>
      </c>
      <c r="AZ62" s="1">
        <f t="shared" ca="1" si="37"/>
        <v>467</v>
      </c>
      <c r="BA62" s="1">
        <f t="shared" ca="1" si="38"/>
        <v>6.6045999716928651E-3</v>
      </c>
      <c r="BV62" s="1">
        <f t="shared" ca="1" si="39"/>
        <v>0.85461219476841255</v>
      </c>
      <c r="BW62" s="1">
        <f t="shared" ca="1" si="40"/>
        <v>815</v>
      </c>
      <c r="BX62" s="1">
        <f t="shared" ca="1" si="41"/>
        <v>6.3417838472446821E-4</v>
      </c>
      <c r="BY62" s="1">
        <f t="shared" ca="1" si="42"/>
        <v>8.5530290771388892E-2</v>
      </c>
      <c r="BZ62" s="1">
        <f t="shared" ca="1" si="43"/>
        <v>0.17552090477294802</v>
      </c>
      <c r="CB62" s="1">
        <f t="shared" ca="1" si="44"/>
        <v>373</v>
      </c>
      <c r="CC62" s="1">
        <f t="shared" ca="1" si="45"/>
        <v>11</v>
      </c>
      <c r="CD62" s="1">
        <f t="shared" ca="1" si="46"/>
        <v>0.18196227376735072</v>
      </c>
      <c r="CE62" s="1">
        <f t="shared" ca="1" si="56"/>
        <v>0.80774132283856437</v>
      </c>
      <c r="CF62" s="1">
        <f t="shared" ca="1" si="56"/>
        <v>0.65305760598300799</v>
      </c>
      <c r="CH62" s="3">
        <f t="shared" ca="1" si="48"/>
        <v>2.8646660520282863E-2</v>
      </c>
      <c r="CI62" s="3">
        <f t="shared" ca="1" si="49"/>
        <v>0.98780712252358971</v>
      </c>
      <c r="CJ62" s="3">
        <f t="shared" ca="1" si="50"/>
        <v>489</v>
      </c>
      <c r="CK62" s="3">
        <f t="shared" ca="1" si="51"/>
        <v>8.0056806868801424E-3</v>
      </c>
      <c r="CL62" s="3">
        <f t="shared" ca="1" si="52"/>
        <v>0</v>
      </c>
      <c r="CM62" s="3"/>
      <c r="CN62" s="1">
        <f t="shared" ca="1" si="53"/>
        <v>1.3791778737763263</v>
      </c>
      <c r="CO62" s="1">
        <f t="shared" ca="1" si="54"/>
        <v>0.3385611807188238</v>
      </c>
      <c r="CP62" s="1">
        <f t="shared" ca="1" si="55"/>
        <v>2</v>
      </c>
    </row>
    <row r="63" spans="2:94" x14ac:dyDescent="0.25">
      <c r="B63">
        <f t="shared" ca="1" si="0"/>
        <v>322</v>
      </c>
      <c r="C63">
        <f t="shared" ca="1" si="1"/>
        <v>15</v>
      </c>
      <c r="D63">
        <f t="shared" ca="1" si="2"/>
        <v>2.0076070896557482E-2</v>
      </c>
      <c r="F63" s="1">
        <f t="shared" ca="1" si="3"/>
        <v>32</v>
      </c>
      <c r="G63" s="1">
        <f t="shared" ca="1" si="4"/>
        <v>15</v>
      </c>
      <c r="H63" s="1">
        <f t="shared" ca="1" si="5"/>
        <v>15</v>
      </c>
      <c r="I63" s="1"/>
      <c r="J63" s="1">
        <f t="shared" ca="1" si="6"/>
        <v>10</v>
      </c>
      <c r="K63" s="1">
        <f t="shared" ca="1" si="7"/>
        <v>1.6302649264774365</v>
      </c>
      <c r="L63" s="1">
        <f t="shared" ca="1" si="8"/>
        <v>21</v>
      </c>
      <c r="M63" s="1"/>
      <c r="N63" s="1">
        <f t="shared" ca="1" si="9"/>
        <v>560</v>
      </c>
      <c r="O63" s="1">
        <f t="shared" ca="1" si="10"/>
        <v>37</v>
      </c>
      <c r="P63" s="1"/>
      <c r="Q63" s="1">
        <f t="shared" ca="1" si="11"/>
        <v>3.5078022528452575</v>
      </c>
      <c r="R63" s="1">
        <f t="shared" ca="1" si="12"/>
        <v>319</v>
      </c>
      <c r="S63" s="1"/>
      <c r="T63" s="1">
        <f t="shared" ca="1" si="13"/>
        <v>0.19241624464430412</v>
      </c>
      <c r="U63" s="1">
        <f t="shared" ca="1" si="14"/>
        <v>446</v>
      </c>
      <c r="V63" s="1">
        <f t="shared" ca="1" si="15"/>
        <v>36</v>
      </c>
      <c r="W63" s="1"/>
      <c r="X63" s="1">
        <f t="shared" ca="1" si="16"/>
        <v>8.5632716945266196</v>
      </c>
      <c r="Y63" s="1">
        <f t="shared" ca="1" si="17"/>
        <v>0.95117359611700203</v>
      </c>
      <c r="Z63" s="1">
        <f t="shared" ca="1" si="18"/>
        <v>1041</v>
      </c>
      <c r="AB63" s="1">
        <f t="shared" ca="1" si="19"/>
        <v>0.52723477700611543</v>
      </c>
      <c r="AC63" s="1">
        <f t="shared" ca="1" si="20"/>
        <v>938</v>
      </c>
      <c r="AD63" s="1">
        <f t="shared" ca="1" si="21"/>
        <v>9.7486893117617567E-3</v>
      </c>
      <c r="AE63" s="1"/>
      <c r="AF63" s="1">
        <f t="shared" ca="1" si="22"/>
        <v>0.35769173922092434</v>
      </c>
      <c r="AG63" s="1">
        <f t="shared" ca="1" si="23"/>
        <v>792</v>
      </c>
      <c r="AH63" s="1">
        <f t="shared" ca="1" si="24"/>
        <v>6.1154877008684425E-3</v>
      </c>
      <c r="AJ63" s="1">
        <f t="shared" ca="1" si="25"/>
        <v>0.40044420931890767</v>
      </c>
      <c r="AK63" s="1">
        <f t="shared" ca="1" si="26"/>
        <v>4.0396051685808419E-3</v>
      </c>
      <c r="AL63" s="1"/>
      <c r="AM63" s="1">
        <f t="shared" ca="1" si="27"/>
        <v>7.9281456903555134E-2</v>
      </c>
      <c r="AN63" s="1">
        <f t="shared" ca="1" si="28"/>
        <v>76</v>
      </c>
      <c r="AO63" s="1">
        <f t="shared" ca="1" si="29"/>
        <v>11</v>
      </c>
      <c r="AQ63" s="1">
        <f t="shared" ca="1" si="30"/>
        <v>67</v>
      </c>
      <c r="AR63" s="1">
        <f t="shared" ca="1" si="31"/>
        <v>0</v>
      </c>
      <c r="AS63" s="1">
        <f t="shared" ca="1" si="32"/>
        <v>57</v>
      </c>
      <c r="AU63" s="1">
        <f t="shared" ca="1" si="33"/>
        <v>304</v>
      </c>
      <c r="AV63" s="1">
        <f t="shared" ca="1" si="34"/>
        <v>4</v>
      </c>
      <c r="AW63" s="1">
        <f t="shared" ca="1" si="35"/>
        <v>0.18046988499031177</v>
      </c>
      <c r="AY63" s="1">
        <f t="shared" ca="1" si="36"/>
        <v>1.9262602014581316</v>
      </c>
      <c r="AZ63" s="1">
        <f t="shared" ca="1" si="37"/>
        <v>256</v>
      </c>
      <c r="BA63" s="1">
        <f t="shared" ca="1" si="38"/>
        <v>8.2653906522206482E-3</v>
      </c>
      <c r="BV63" s="1">
        <f t="shared" ca="1" si="39"/>
        <v>0.12939780091675235</v>
      </c>
      <c r="BW63" s="1">
        <f t="shared" ca="1" si="40"/>
        <v>553</v>
      </c>
      <c r="BX63" s="1">
        <f t="shared" ca="1" si="41"/>
        <v>8.6703574084294292E-3</v>
      </c>
      <c r="BY63" s="1">
        <f t="shared" ca="1" si="42"/>
        <v>2.8361934012971175E-2</v>
      </c>
      <c r="BZ63" s="1">
        <f t="shared" ca="1" si="43"/>
        <v>7.631121322168144E-3</v>
      </c>
      <c r="CB63" s="1">
        <f t="shared" ca="1" si="44"/>
        <v>443</v>
      </c>
      <c r="CC63" s="1">
        <f t="shared" ca="1" si="45"/>
        <v>3</v>
      </c>
      <c r="CD63" s="1">
        <f t="shared" ca="1" si="46"/>
        <v>0.14249016517888421</v>
      </c>
      <c r="CE63" s="1">
        <f t="shared" ca="1" si="56"/>
        <v>0.51460108759292644</v>
      </c>
      <c r="CF63" s="1">
        <f t="shared" ca="1" si="56"/>
        <v>0.76375646530113417</v>
      </c>
      <c r="CH63" s="3">
        <f t="shared" ca="1" si="48"/>
        <v>0.81281182799653262</v>
      </c>
      <c r="CI63" s="3">
        <f t="shared" ca="1" si="49"/>
        <v>0.90183519511721855</v>
      </c>
      <c r="CJ63" s="3">
        <f t="shared" ca="1" si="50"/>
        <v>724</v>
      </c>
      <c r="CK63" s="3">
        <f t="shared" ca="1" si="51"/>
        <v>1.1351715399949174E-3</v>
      </c>
      <c r="CL63" s="3">
        <f t="shared" ca="1" si="52"/>
        <v>0</v>
      </c>
      <c r="CM63" s="3"/>
      <c r="CN63" s="1">
        <f t="shared" ca="1" si="53"/>
        <v>10.075643004530775</v>
      </c>
      <c r="CO63" s="1">
        <f t="shared" ca="1" si="54"/>
        <v>0.23094597822974725</v>
      </c>
      <c r="CP63" s="1">
        <f t="shared" ca="1" si="55"/>
        <v>4</v>
      </c>
    </row>
    <row r="64" spans="2:94" x14ac:dyDescent="0.25">
      <c r="B64">
        <f t="shared" ca="1" si="0"/>
        <v>366</v>
      </c>
      <c r="C64">
        <f t="shared" ca="1" si="1"/>
        <v>18</v>
      </c>
      <c r="D64">
        <f t="shared" ca="1" si="2"/>
        <v>0.14531371326129502</v>
      </c>
      <c r="F64" s="1">
        <f t="shared" ca="1" si="3"/>
        <v>19</v>
      </c>
      <c r="G64" s="1">
        <f t="shared" ca="1" si="4"/>
        <v>24</v>
      </c>
      <c r="H64" s="1">
        <f t="shared" ca="1" si="5"/>
        <v>1</v>
      </c>
      <c r="I64" s="1"/>
      <c r="J64" s="1">
        <f t="shared" ca="1" si="6"/>
        <v>28</v>
      </c>
      <c r="K64" s="1">
        <f t="shared" ca="1" si="7"/>
        <v>2.5320742929391518</v>
      </c>
      <c r="L64" s="1">
        <f t="shared" ca="1" si="8"/>
        <v>30</v>
      </c>
      <c r="M64" s="1"/>
      <c r="N64" s="1">
        <f t="shared" ca="1" si="9"/>
        <v>750</v>
      </c>
      <c r="O64" s="1">
        <f t="shared" ca="1" si="10"/>
        <v>35</v>
      </c>
      <c r="P64" s="1"/>
      <c r="Q64" s="1">
        <f t="shared" ca="1" si="11"/>
        <v>2.3313374743684276</v>
      </c>
      <c r="R64" s="1">
        <f t="shared" ca="1" si="12"/>
        <v>694</v>
      </c>
      <c r="S64" s="1"/>
      <c r="T64" s="1">
        <f t="shared" ca="1" si="13"/>
        <v>2.4572723485994232E-2</v>
      </c>
      <c r="U64" s="1">
        <f t="shared" ca="1" si="14"/>
        <v>244</v>
      </c>
      <c r="V64" s="1">
        <f t="shared" ca="1" si="15"/>
        <v>26</v>
      </c>
      <c r="W64" s="1"/>
      <c r="X64" s="1">
        <f t="shared" ca="1" si="16"/>
        <v>4.7031791050993377</v>
      </c>
      <c r="Y64" s="1">
        <f t="shared" ca="1" si="17"/>
        <v>3.7482272519054692E-2</v>
      </c>
      <c r="Z64" s="1">
        <f t="shared" ca="1" si="18"/>
        <v>735</v>
      </c>
      <c r="AB64" s="1">
        <f t="shared" ca="1" si="19"/>
        <v>0.8963927589447318</v>
      </c>
      <c r="AC64" s="1">
        <f t="shared" ca="1" si="20"/>
        <v>242</v>
      </c>
      <c r="AD64" s="1">
        <f t="shared" ca="1" si="21"/>
        <v>4.5599933218662132E-4</v>
      </c>
      <c r="AE64" s="1"/>
      <c r="AF64" s="1">
        <f t="shared" ca="1" si="22"/>
        <v>0.68207458180480196</v>
      </c>
      <c r="AG64" s="1">
        <f t="shared" ca="1" si="23"/>
        <v>543</v>
      </c>
      <c r="AH64" s="1">
        <f t="shared" ca="1" si="24"/>
        <v>9.8282065334695176E-3</v>
      </c>
      <c r="AJ64" s="1">
        <f t="shared" ca="1" si="25"/>
        <v>0.41780565361428079</v>
      </c>
      <c r="AK64" s="1">
        <f t="shared" ca="1" si="26"/>
        <v>2.4570617666751083E-3</v>
      </c>
      <c r="AL64" s="1"/>
      <c r="AM64" s="1">
        <f t="shared" ca="1" si="27"/>
        <v>0.12161412137292854</v>
      </c>
      <c r="AN64" s="1">
        <f t="shared" ca="1" si="28"/>
        <v>73</v>
      </c>
      <c r="AO64" s="1">
        <f t="shared" ca="1" si="29"/>
        <v>9</v>
      </c>
      <c r="AQ64" s="1">
        <f t="shared" ca="1" si="30"/>
        <v>156</v>
      </c>
      <c r="AR64" s="1">
        <f t="shared" ca="1" si="31"/>
        <v>0</v>
      </c>
      <c r="AS64" s="1">
        <f t="shared" ca="1" si="32"/>
        <v>21</v>
      </c>
      <c r="AU64" s="1">
        <f t="shared" ca="1" si="33"/>
        <v>322</v>
      </c>
      <c r="AV64" s="1">
        <f t="shared" ca="1" si="34"/>
        <v>5</v>
      </c>
      <c r="AW64" s="1">
        <f t="shared" ca="1" si="35"/>
        <v>6.0608247010336645E-2</v>
      </c>
      <c r="AY64" s="1">
        <f t="shared" ca="1" si="36"/>
        <v>1.9426072821981197</v>
      </c>
      <c r="AZ64" s="1">
        <f t="shared" ca="1" si="37"/>
        <v>101</v>
      </c>
      <c r="BA64" s="1">
        <f t="shared" ca="1" si="38"/>
        <v>9.6838497849076038E-3</v>
      </c>
      <c r="BV64" s="1">
        <f t="shared" ca="1" si="39"/>
        <v>3.8703913640588186E-2</v>
      </c>
      <c r="BW64" s="1">
        <f t="shared" ca="1" si="40"/>
        <v>710</v>
      </c>
      <c r="BX64" s="1">
        <f t="shared" ca="1" si="41"/>
        <v>4.1999561799157849E-3</v>
      </c>
      <c r="BY64" s="1">
        <f t="shared" ca="1" si="42"/>
        <v>4.1822028518307859E-2</v>
      </c>
      <c r="BZ64" s="1">
        <f t="shared" ca="1" si="43"/>
        <v>0.82216789690024816</v>
      </c>
      <c r="CB64" s="1">
        <f t="shared" ca="1" si="44"/>
        <v>161</v>
      </c>
      <c r="CC64" s="1">
        <f t="shared" ca="1" si="45"/>
        <v>13</v>
      </c>
      <c r="CD64" s="1">
        <f t="shared" ca="1" si="46"/>
        <v>6.2859017394543609E-2</v>
      </c>
      <c r="CE64" s="1">
        <f t="shared" ca="1" si="56"/>
        <v>0.7221122583671693</v>
      </c>
      <c r="CF64" s="1">
        <f t="shared" ca="1" si="56"/>
        <v>0.73715133464484328</v>
      </c>
      <c r="CH64" s="3">
        <f t="shared" ca="1" si="48"/>
        <v>0.31222167264599543</v>
      </c>
      <c r="CI64" s="3">
        <f t="shared" ca="1" si="49"/>
        <v>0.79023177991058291</v>
      </c>
      <c r="CJ64" s="3">
        <f t="shared" ca="1" si="50"/>
        <v>447</v>
      </c>
      <c r="CK64" s="3">
        <f t="shared" ca="1" si="51"/>
        <v>7.8904373196503341E-3</v>
      </c>
      <c r="CL64" s="3">
        <f t="shared" ca="1" si="52"/>
        <v>1</v>
      </c>
      <c r="CM64" s="3"/>
      <c r="CN64" s="1">
        <f t="shared" ca="1" si="53"/>
        <v>2.4676650460175926</v>
      </c>
      <c r="CO64" s="1">
        <f t="shared" ca="1" si="54"/>
        <v>5.8512085044238681E-2</v>
      </c>
      <c r="CP64" s="1">
        <f t="shared" ca="1" si="55"/>
        <v>2</v>
      </c>
    </row>
    <row r="65" spans="2:94" x14ac:dyDescent="0.25">
      <c r="B65">
        <f t="shared" ca="1" si="0"/>
        <v>410</v>
      </c>
      <c r="C65">
        <f t="shared" ca="1" si="1"/>
        <v>18</v>
      </c>
      <c r="D65">
        <f t="shared" ca="1" si="2"/>
        <v>0.25007950333742829</v>
      </c>
      <c r="F65" s="1">
        <f t="shared" ca="1" si="3"/>
        <v>6</v>
      </c>
      <c r="G65" s="1">
        <f t="shared" ca="1" si="4"/>
        <v>4</v>
      </c>
      <c r="H65" s="1">
        <f t="shared" ca="1" si="5"/>
        <v>12</v>
      </c>
      <c r="I65" s="1"/>
      <c r="J65" s="1">
        <f t="shared" ca="1" si="6"/>
        <v>9</v>
      </c>
      <c r="K65" s="1">
        <f t="shared" ca="1" si="7"/>
        <v>1.7723272288761915</v>
      </c>
      <c r="L65" s="1">
        <f t="shared" ca="1" si="8"/>
        <v>2</v>
      </c>
      <c r="M65" s="1"/>
      <c r="N65" s="1">
        <f t="shared" ca="1" si="9"/>
        <v>927</v>
      </c>
      <c r="O65" s="1">
        <f t="shared" ca="1" si="10"/>
        <v>16</v>
      </c>
      <c r="P65" s="1"/>
      <c r="Q65" s="1">
        <f t="shared" ca="1" si="11"/>
        <v>2.2669353030300821</v>
      </c>
      <c r="R65" s="1">
        <f t="shared" ca="1" si="12"/>
        <v>528</v>
      </c>
      <c r="S65" s="1"/>
      <c r="T65" s="1">
        <f t="shared" ca="1" si="13"/>
        <v>0.17634227907181491</v>
      </c>
      <c r="U65" s="1">
        <f t="shared" ca="1" si="14"/>
        <v>381</v>
      </c>
      <c r="V65" s="1">
        <f t="shared" ca="1" si="15"/>
        <v>30</v>
      </c>
      <c r="W65" s="1"/>
      <c r="X65" s="1">
        <f t="shared" ca="1" si="16"/>
        <v>2.9973220568976471</v>
      </c>
      <c r="Y65" s="1">
        <f t="shared" ca="1" si="17"/>
        <v>0.41881479125322707</v>
      </c>
      <c r="Z65" s="1">
        <f t="shared" ca="1" si="18"/>
        <v>1492</v>
      </c>
      <c r="AB65" s="1">
        <f t="shared" ca="1" si="19"/>
        <v>0.76691122885715735</v>
      </c>
      <c r="AC65" s="1">
        <f t="shared" ca="1" si="20"/>
        <v>868</v>
      </c>
      <c r="AD65" s="1">
        <f t="shared" ca="1" si="21"/>
        <v>1.6786125517693154E-5</v>
      </c>
      <c r="AE65" s="1"/>
      <c r="AF65" s="1">
        <f t="shared" ca="1" si="22"/>
        <v>0.71483965494561363</v>
      </c>
      <c r="AG65" s="1">
        <f t="shared" ca="1" si="23"/>
        <v>727</v>
      </c>
      <c r="AH65" s="1">
        <f t="shared" ca="1" si="24"/>
        <v>8.4550180180074271E-3</v>
      </c>
      <c r="AJ65" s="1">
        <f t="shared" ca="1" si="25"/>
        <v>0.5984824586566112</v>
      </c>
      <c r="AK65" s="1">
        <f t="shared" ca="1" si="26"/>
        <v>3.6269806200574812E-3</v>
      </c>
      <c r="AL65" s="1"/>
      <c r="AM65" s="1">
        <f t="shared" ca="1" si="27"/>
        <v>0.1407282673126774</v>
      </c>
      <c r="AN65" s="1">
        <f t="shared" ca="1" si="28"/>
        <v>54</v>
      </c>
      <c r="AO65" s="1">
        <f t="shared" ca="1" si="29"/>
        <v>13</v>
      </c>
      <c r="AQ65" s="1">
        <f t="shared" ca="1" si="30"/>
        <v>53</v>
      </c>
      <c r="AR65" s="1">
        <f t="shared" ca="1" si="31"/>
        <v>9</v>
      </c>
      <c r="AS65" s="1">
        <f t="shared" ca="1" si="32"/>
        <v>58</v>
      </c>
      <c r="AU65" s="1">
        <f t="shared" ca="1" si="33"/>
        <v>378</v>
      </c>
      <c r="AV65" s="1">
        <f t="shared" ca="1" si="34"/>
        <v>6</v>
      </c>
      <c r="AW65" s="1">
        <f t="shared" ca="1" si="35"/>
        <v>6.5316000385949952E-2</v>
      </c>
      <c r="AY65" s="1">
        <f t="shared" ca="1" si="36"/>
        <v>1.1533515519518225</v>
      </c>
      <c r="AZ65" s="1">
        <f t="shared" ca="1" si="37"/>
        <v>200</v>
      </c>
      <c r="BA65" s="1">
        <f t="shared" ca="1" si="38"/>
        <v>8.9055334447460562E-3</v>
      </c>
      <c r="BV65" s="1">
        <f t="shared" ca="1" si="39"/>
        <v>0.47030291364125471</v>
      </c>
      <c r="BW65" s="1">
        <f t="shared" ca="1" si="40"/>
        <v>202</v>
      </c>
      <c r="BX65" s="1">
        <f t="shared" ca="1" si="41"/>
        <v>4.5495121313756234E-3</v>
      </c>
      <c r="BY65" s="1">
        <f t="shared" ca="1" si="42"/>
        <v>7.4728569460667152E-2</v>
      </c>
      <c r="BZ65" s="1">
        <f t="shared" ca="1" si="43"/>
        <v>5.8656752052346772E-2</v>
      </c>
      <c r="CB65" s="1">
        <f t="shared" ca="1" si="44"/>
        <v>447</v>
      </c>
      <c r="CC65" s="1">
        <f t="shared" ca="1" si="45"/>
        <v>10</v>
      </c>
      <c r="CD65" s="1">
        <f t="shared" ca="1" si="46"/>
        <v>8.6182953974136084E-2</v>
      </c>
      <c r="CE65" s="1">
        <f t="shared" ca="1" si="56"/>
        <v>0.94206904926769242</v>
      </c>
      <c r="CF65" s="1">
        <f t="shared" ca="1" si="56"/>
        <v>0.6181350080877912</v>
      </c>
      <c r="CH65" s="3">
        <f t="shared" ca="1" si="48"/>
        <v>0.99555171359664241</v>
      </c>
      <c r="CI65" s="3">
        <f t="shared" ca="1" si="49"/>
        <v>0.74434126342393703</v>
      </c>
      <c r="CJ65" s="3">
        <f t="shared" ca="1" si="50"/>
        <v>284</v>
      </c>
      <c r="CK65" s="3">
        <f t="shared" ca="1" si="51"/>
        <v>5.0358895529705391E-3</v>
      </c>
      <c r="CL65" s="3">
        <f t="shared" ca="1" si="52"/>
        <v>1</v>
      </c>
      <c r="CM65" s="3"/>
      <c r="CN65" s="1">
        <f t="shared" ca="1" si="53"/>
        <v>9.616800226458734</v>
      </c>
      <c r="CO65" s="1">
        <f t="shared" ca="1" si="54"/>
        <v>0.11920674341403373</v>
      </c>
      <c r="CP65" s="1">
        <f t="shared" ca="1" si="55"/>
        <v>2</v>
      </c>
    </row>
    <row r="66" spans="2:94" x14ac:dyDescent="0.25">
      <c r="B66">
        <f t="shared" ca="1" si="0"/>
        <v>817</v>
      </c>
      <c r="C66">
        <f t="shared" ca="1" si="1"/>
        <v>24</v>
      </c>
      <c r="D66">
        <f t="shared" ca="1" si="2"/>
        <v>0.16259099863711152</v>
      </c>
      <c r="F66" s="1">
        <f t="shared" ca="1" si="3"/>
        <v>20</v>
      </c>
      <c r="G66" s="1">
        <f t="shared" ca="1" si="4"/>
        <v>6</v>
      </c>
      <c r="H66" s="1">
        <f t="shared" ca="1" si="5"/>
        <v>9</v>
      </c>
      <c r="I66" s="1"/>
      <c r="J66" s="1">
        <f t="shared" ca="1" si="6"/>
        <v>27</v>
      </c>
      <c r="K66" s="1">
        <f t="shared" ca="1" si="7"/>
        <v>1.5214037610398692</v>
      </c>
      <c r="L66" s="1">
        <f t="shared" ca="1" si="8"/>
        <v>4</v>
      </c>
      <c r="M66" s="1"/>
      <c r="N66" s="1">
        <f t="shared" ca="1" si="9"/>
        <v>99</v>
      </c>
      <c r="O66" s="1">
        <f t="shared" ca="1" si="10"/>
        <v>22</v>
      </c>
      <c r="P66" s="1"/>
      <c r="Q66" s="1">
        <f t="shared" ca="1" si="11"/>
        <v>1.2521106855960775</v>
      </c>
      <c r="R66" s="1">
        <f t="shared" ca="1" si="12"/>
        <v>784</v>
      </c>
      <c r="S66" s="1"/>
      <c r="T66" s="1">
        <f t="shared" ca="1" si="13"/>
        <v>0.12329778947143369</v>
      </c>
      <c r="U66" s="1">
        <f t="shared" ca="1" si="14"/>
        <v>446</v>
      </c>
      <c r="V66" s="1">
        <f t="shared" ca="1" si="15"/>
        <v>18</v>
      </c>
      <c r="W66" s="1"/>
      <c r="X66" s="1">
        <f t="shared" ca="1" si="16"/>
        <v>6.15685729344656</v>
      </c>
      <c r="Y66" s="1">
        <f t="shared" ca="1" si="17"/>
        <v>0.44806618137717358</v>
      </c>
      <c r="Z66" s="1">
        <f t="shared" ca="1" si="18"/>
        <v>1093</v>
      </c>
      <c r="AB66" s="1">
        <f t="shared" ca="1" si="19"/>
        <v>3.3470728505966288E-2</v>
      </c>
      <c r="AC66" s="1">
        <f t="shared" ca="1" si="20"/>
        <v>689</v>
      </c>
      <c r="AD66" s="1">
        <f t="shared" ca="1" si="21"/>
        <v>5.1311265276015802E-3</v>
      </c>
      <c r="AE66" s="1"/>
      <c r="AF66" s="1">
        <f t="shared" ca="1" si="22"/>
        <v>0.56538333737670532</v>
      </c>
      <c r="AG66" s="1">
        <f t="shared" ca="1" si="23"/>
        <v>267</v>
      </c>
      <c r="AH66" s="1">
        <f t="shared" ca="1" si="24"/>
        <v>4.6223932568634938E-3</v>
      </c>
      <c r="AJ66" s="1">
        <f t="shared" ca="1" si="25"/>
        <v>0.26000359700465669</v>
      </c>
      <c r="AK66" s="1">
        <f t="shared" ca="1" si="26"/>
        <v>6.2229745198035431E-3</v>
      </c>
      <c r="AL66" s="1"/>
      <c r="AM66" s="1">
        <f t="shared" ca="1" si="27"/>
        <v>8.4913758129421146E-2</v>
      </c>
      <c r="AN66" s="1">
        <f t="shared" ca="1" si="28"/>
        <v>42</v>
      </c>
      <c r="AO66" s="1">
        <f t="shared" ca="1" si="29"/>
        <v>18</v>
      </c>
      <c r="AQ66" s="1">
        <f t="shared" ca="1" si="30"/>
        <v>48</v>
      </c>
      <c r="AR66" s="1">
        <f t="shared" ca="1" si="31"/>
        <v>2</v>
      </c>
      <c r="AS66" s="1">
        <f t="shared" ca="1" si="32"/>
        <v>31</v>
      </c>
      <c r="AU66" s="1">
        <f t="shared" ca="1" si="33"/>
        <v>203</v>
      </c>
      <c r="AV66" s="1">
        <f t="shared" ca="1" si="34"/>
        <v>8</v>
      </c>
      <c r="AW66" s="1">
        <f t="shared" ca="1" si="35"/>
        <v>0.13692253706132035</v>
      </c>
      <c r="AY66" s="1">
        <f t="shared" ca="1" si="36"/>
        <v>1.2962773729702106</v>
      </c>
      <c r="AZ66" s="1">
        <f t="shared" ca="1" si="37"/>
        <v>202</v>
      </c>
      <c r="BA66" s="1">
        <f t="shared" ca="1" si="38"/>
        <v>8.7417540655920709E-3</v>
      </c>
      <c r="BV66" s="1">
        <f t="shared" ca="1" si="39"/>
        <v>0.52222305763946497</v>
      </c>
      <c r="BW66" s="1">
        <f t="shared" ca="1" si="40"/>
        <v>431</v>
      </c>
      <c r="BX66" s="1">
        <f t="shared" ca="1" si="41"/>
        <v>5.599754301229401E-3</v>
      </c>
      <c r="BY66" s="1">
        <f t="shared" ca="1" si="42"/>
        <v>5.1128699710549556E-2</v>
      </c>
      <c r="BZ66" s="1">
        <f t="shared" ca="1" si="43"/>
        <v>0.87048117980371775</v>
      </c>
      <c r="CB66" s="1">
        <f t="shared" ca="1" si="44"/>
        <v>424</v>
      </c>
      <c r="CC66" s="1">
        <f t="shared" ca="1" si="45"/>
        <v>12</v>
      </c>
      <c r="CD66" s="1">
        <f t="shared" ca="1" si="46"/>
        <v>0.29386827691659101</v>
      </c>
      <c r="CE66" s="1">
        <f t="shared" ca="1" si="56"/>
        <v>0.81949649182942763</v>
      </c>
      <c r="CF66" s="1">
        <f t="shared" ca="1" si="56"/>
        <v>0.81466189552796242</v>
      </c>
      <c r="CH66" s="3">
        <f t="shared" ca="1" si="48"/>
        <v>0.26525803667608661</v>
      </c>
      <c r="CI66" s="3">
        <f t="shared" ca="1" si="49"/>
        <v>0.25361444321700977</v>
      </c>
      <c r="CJ66" s="3">
        <f t="shared" ca="1" si="50"/>
        <v>1876</v>
      </c>
      <c r="CK66" s="3">
        <f t="shared" ca="1" si="51"/>
        <v>4.7592198966990235E-3</v>
      </c>
      <c r="CL66" s="3">
        <f t="shared" ca="1" si="52"/>
        <v>0</v>
      </c>
      <c r="CM66" s="3"/>
      <c r="CN66" s="1">
        <f t="shared" ca="1" si="53"/>
        <v>12.658512702366924</v>
      </c>
      <c r="CO66" s="1">
        <f t="shared" ca="1" si="54"/>
        <v>0.14604048887449644</v>
      </c>
      <c r="CP66" s="1">
        <f t="shared" ca="1" si="55"/>
        <v>4</v>
      </c>
    </row>
    <row r="67" spans="2:94" x14ac:dyDescent="0.25">
      <c r="B67">
        <f t="shared" ca="1" si="0"/>
        <v>272</v>
      </c>
      <c r="C67">
        <f t="shared" ca="1" si="1"/>
        <v>27</v>
      </c>
      <c r="D67">
        <f t="shared" ca="1" si="2"/>
        <v>1.2440961168216177E-2</v>
      </c>
      <c r="F67" s="1">
        <f t="shared" ca="1" si="3"/>
        <v>3</v>
      </c>
      <c r="G67" s="1">
        <f t="shared" ca="1" si="4"/>
        <v>17</v>
      </c>
      <c r="H67" s="1">
        <f t="shared" ca="1" si="5"/>
        <v>15</v>
      </c>
      <c r="I67" s="1"/>
      <c r="J67" s="1">
        <f t="shared" ca="1" si="6"/>
        <v>21</v>
      </c>
      <c r="K67" s="1">
        <f t="shared" ca="1" si="7"/>
        <v>1.939704312477758</v>
      </c>
      <c r="L67" s="1">
        <f t="shared" ca="1" si="8"/>
        <v>15</v>
      </c>
      <c r="M67" s="1"/>
      <c r="N67" s="1">
        <f t="shared" ca="1" si="9"/>
        <v>251</v>
      </c>
      <c r="O67" s="1">
        <f t="shared" ca="1" si="10"/>
        <v>19</v>
      </c>
      <c r="P67" s="1"/>
      <c r="Q67" s="1">
        <f t="shared" ca="1" si="11"/>
        <v>4.8186012575119976</v>
      </c>
      <c r="R67" s="1">
        <f t="shared" ca="1" si="12"/>
        <v>230</v>
      </c>
      <c r="S67" s="1"/>
      <c r="T67" s="1">
        <f t="shared" ca="1" si="13"/>
        <v>0.12821053620816455</v>
      </c>
      <c r="U67" s="1">
        <f t="shared" ca="1" si="14"/>
        <v>409</v>
      </c>
      <c r="V67" s="1">
        <f t="shared" ca="1" si="15"/>
        <v>11</v>
      </c>
      <c r="W67" s="1"/>
      <c r="X67" s="1">
        <f t="shared" ca="1" si="16"/>
        <v>2.1413425324495634</v>
      </c>
      <c r="Y67" s="1">
        <f t="shared" ca="1" si="17"/>
        <v>0.97752742318477515</v>
      </c>
      <c r="Z67" s="1">
        <f t="shared" ca="1" si="18"/>
        <v>132</v>
      </c>
      <c r="AB67" s="1">
        <f t="shared" ca="1" si="19"/>
        <v>0.67888486781159973</v>
      </c>
      <c r="AC67" s="1">
        <f t="shared" ca="1" si="20"/>
        <v>577</v>
      </c>
      <c r="AD67" s="1">
        <f t="shared" ca="1" si="21"/>
        <v>1.982544543378434E-3</v>
      </c>
      <c r="AE67" s="1"/>
      <c r="AF67" s="1">
        <f t="shared" ca="1" si="22"/>
        <v>0.65340977536021982</v>
      </c>
      <c r="AG67" s="1">
        <f t="shared" ca="1" si="23"/>
        <v>473</v>
      </c>
      <c r="AH67" s="1">
        <f t="shared" ca="1" si="24"/>
        <v>5.935936947998704E-3</v>
      </c>
      <c r="AJ67" s="1">
        <f t="shared" ca="1" si="25"/>
        <v>0.36897803335793111</v>
      </c>
      <c r="AK67" s="1">
        <f t="shared" ca="1" si="26"/>
        <v>4.4321617640307783E-3</v>
      </c>
      <c r="AL67" s="1"/>
      <c r="AM67" s="1">
        <f t="shared" ca="1" si="27"/>
        <v>1.1565255746704542E-2</v>
      </c>
      <c r="AN67" s="1">
        <f t="shared" ca="1" si="28"/>
        <v>56</v>
      </c>
      <c r="AO67" s="1">
        <f t="shared" ca="1" si="29"/>
        <v>11</v>
      </c>
      <c r="AQ67" s="1">
        <f t="shared" ca="1" si="30"/>
        <v>52</v>
      </c>
      <c r="AR67" s="1">
        <f t="shared" ca="1" si="31"/>
        <v>2</v>
      </c>
      <c r="AS67" s="1">
        <f t="shared" ca="1" si="32"/>
        <v>33</v>
      </c>
      <c r="AU67" s="1">
        <f t="shared" ca="1" si="33"/>
        <v>148</v>
      </c>
      <c r="AV67" s="1">
        <f t="shared" ca="1" si="34"/>
        <v>2</v>
      </c>
      <c r="AW67" s="1">
        <f t="shared" ca="1" si="35"/>
        <v>2.8856864515043719E-2</v>
      </c>
      <c r="AY67" s="1">
        <f t="shared" ca="1" si="36"/>
        <v>1.7462077191273249</v>
      </c>
      <c r="AZ67" s="1">
        <f t="shared" ca="1" si="37"/>
        <v>417</v>
      </c>
      <c r="BA67" s="1">
        <f t="shared" ca="1" si="38"/>
        <v>9.8574467804707876E-3</v>
      </c>
      <c r="BV67" s="1">
        <f t="shared" ca="1" si="39"/>
        <v>0.46285406121651013</v>
      </c>
      <c r="BW67" s="1">
        <f t="shared" ca="1" si="40"/>
        <v>741</v>
      </c>
      <c r="BX67" s="1">
        <f t="shared" ca="1" si="41"/>
        <v>8.5542496264568099E-3</v>
      </c>
      <c r="BY67" s="1">
        <f t="shared" ca="1" si="42"/>
        <v>1.1589116570398451E-2</v>
      </c>
      <c r="BZ67" s="1">
        <f t="shared" ca="1" si="43"/>
        <v>0.44218185725248738</v>
      </c>
      <c r="CB67" s="1">
        <f t="shared" ca="1" si="44"/>
        <v>105</v>
      </c>
      <c r="CC67" s="1">
        <f t="shared" ca="1" si="45"/>
        <v>8</v>
      </c>
      <c r="CD67" s="1">
        <f t="shared" ca="1" si="46"/>
        <v>0.1972045632602373</v>
      </c>
      <c r="CE67" s="1">
        <f t="shared" ca="1" si="56"/>
        <v>0.7133365227190458</v>
      </c>
      <c r="CF67" s="1">
        <f t="shared" ca="1" si="56"/>
        <v>0.8894188775024523</v>
      </c>
      <c r="CH67" s="3">
        <f t="shared" ca="1" si="48"/>
        <v>0.31516094142809387</v>
      </c>
      <c r="CI67" s="3">
        <f t="shared" ca="1" si="49"/>
        <v>0.84011239452339592</v>
      </c>
      <c r="CJ67" s="3">
        <f t="shared" ca="1" si="50"/>
        <v>916</v>
      </c>
      <c r="CK67" s="3">
        <f t="shared" ca="1" si="51"/>
        <v>2.6318640414446479E-3</v>
      </c>
      <c r="CL67" s="3">
        <f t="shared" ca="1" si="52"/>
        <v>0</v>
      </c>
      <c r="CM67" s="3"/>
      <c r="CN67" s="1">
        <f t="shared" ca="1" si="53"/>
        <v>8.8892521530559669</v>
      </c>
      <c r="CO67" s="1">
        <f t="shared" ca="1" si="54"/>
        <v>0.28260168541638403</v>
      </c>
      <c r="CP67" s="1">
        <f t="shared" ca="1" si="55"/>
        <v>1</v>
      </c>
    </row>
    <row r="68" spans="2:94" x14ac:dyDescent="0.25">
      <c r="B68">
        <f t="shared" ref="B68:B131" ca="1" si="57">RANDBETWEEN(15,1000)</f>
        <v>459</v>
      </c>
      <c r="C68">
        <f t="shared" ref="C68:C131" ca="1" si="58">RANDBETWEEN(2,52)</f>
        <v>36</v>
      </c>
      <c r="D68">
        <f t="shared" ref="D68:D131" ca="1" si="59">RAND()*(0.3-0.01)+0.01</f>
        <v>0.1913456346437952</v>
      </c>
      <c r="F68" s="1">
        <f t="shared" ref="F68:F131" ca="1" si="60">RANDBETWEEN(2,52)</f>
        <v>49</v>
      </c>
      <c r="G68" s="1">
        <f t="shared" ref="G68:G131" ca="1" si="61">RANDBETWEEN(2,30)</f>
        <v>29</v>
      </c>
      <c r="H68" s="1">
        <f t="shared" ref="H68:H131" ca="1" si="62">RANDBETWEEN(1,15)</f>
        <v>5</v>
      </c>
      <c r="I68" s="1"/>
      <c r="J68" s="1">
        <f t="shared" ref="J68:J131" ca="1" si="63">RANDBETWEEN(1,39)</f>
        <v>14</v>
      </c>
      <c r="K68" s="1">
        <f t="shared" ref="K68:K131" ca="1" si="64">RAND()*(3-1)+1</f>
        <v>2.5772054588561142</v>
      </c>
      <c r="L68" s="1">
        <f t="shared" ref="L68:L131" ca="1" si="65">RANDBETWEEN(2,35)</f>
        <v>7</v>
      </c>
      <c r="M68" s="1"/>
      <c r="N68" s="1">
        <f t="shared" ref="N68:N131" ca="1" si="66">RANDBETWEEN(15,1000)</f>
        <v>601</v>
      </c>
      <c r="O68" s="1">
        <f t="shared" ref="O68:O131" ca="1" si="67">RANDBETWEEN(2,52)</f>
        <v>41</v>
      </c>
      <c r="P68" s="1"/>
      <c r="Q68" s="1">
        <f t="shared" ref="Q68:Q131" ca="1" si="68">RAND()*(5-0.01)+0.01</f>
        <v>4.0112659826575046</v>
      </c>
      <c r="R68" s="1">
        <f t="shared" ref="R68:R131" ca="1" si="69">RANDBETWEEN(200,1200)</f>
        <v>634</v>
      </c>
      <c r="S68" s="1"/>
      <c r="T68" s="1">
        <f t="shared" ref="T68:T131" ca="1" si="70">RAND()*(0.2-0.01)+0.01</f>
        <v>9.8188071403866622E-2</v>
      </c>
      <c r="U68" s="1">
        <f t="shared" ref="U68:U131" ca="1" si="71">RANDBETWEEN(50,450)</f>
        <v>220</v>
      </c>
      <c r="V68" s="1">
        <f t="shared" ref="V68:V131" ca="1" si="72">RANDBETWEEN(2,52)</f>
        <v>26</v>
      </c>
      <c r="W68" s="1"/>
      <c r="X68" s="1">
        <f t="shared" ref="X68:X131" ca="1" si="73">RAND()*(10-0.01)+0.01</f>
        <v>8.2918900327351484</v>
      </c>
      <c r="Y68" s="1">
        <f t="shared" ref="Y68:Y131" ca="1" si="74">RAND()*(1-0.0001)+0.0001</f>
        <v>0.37109958974527063</v>
      </c>
      <c r="Z68" s="1">
        <f t="shared" ref="Z68:Z131" ca="1" si="75">RANDBETWEEN(100,2000)</f>
        <v>223</v>
      </c>
      <c r="AB68" s="1">
        <f t="shared" ref="AB68:AB131" ca="1" si="76">RAND()*(1-0.0001)+0.0001</f>
        <v>0.31064887543699593</v>
      </c>
      <c r="AC68" s="1">
        <f t="shared" ref="AC68:AC131" ca="1" si="77">RANDBETWEEN(100,1000)</f>
        <v>121</v>
      </c>
      <c r="AD68" s="1">
        <f t="shared" ref="AD68:AD131" ca="1" si="78">RAND()*(0.01-0.00001)+0.00001</f>
        <v>5.8239060326738534E-3</v>
      </c>
      <c r="AE68" s="1"/>
      <c r="AF68" s="1">
        <f t="shared" ref="AF68:AF131" ca="1" si="79">RAND()*(0.9-0.1)+0.1</f>
        <v>0.14573323467464441</v>
      </c>
      <c r="AG68" s="1">
        <f t="shared" ref="AG68:AG131" ca="1" si="80">RANDBETWEEN(100,1000)</f>
        <v>478</v>
      </c>
      <c r="AH68" s="1">
        <f t="shared" ref="AH68:AH131" ca="1" si="81">RAND()*(0.01-0.00001)+0.00001</f>
        <v>5.3163847797624E-3</v>
      </c>
      <c r="AJ68" s="1">
        <f t="shared" ref="AJ68:AJ131" ca="1" si="82">RAND()*(1-0)+0</f>
        <v>0.19257637779445125</v>
      </c>
      <c r="AK68" s="1">
        <f t="shared" ref="AK68:AK131" ca="1" si="83">RAND()*(0.01-0.00001)+0.00001</f>
        <v>5.8440598379995547E-3</v>
      </c>
      <c r="AL68" s="1"/>
      <c r="AM68" s="1">
        <f t="shared" ref="AM68:AM131" ca="1" si="84">RAND()*(0.2-0.005)+0.005</f>
        <v>0.1269583002913699</v>
      </c>
      <c r="AN68" s="1">
        <f t="shared" ref="AN68:AN131" ca="1" si="85">RANDBETWEEN(10,80)</f>
        <v>58</v>
      </c>
      <c r="AO68" s="1">
        <f t="shared" ref="AO68:AO131" ca="1" si="86">RANDBETWEEN(-1,20)</f>
        <v>6</v>
      </c>
      <c r="AQ68" s="1">
        <f t="shared" ref="AQ68:AQ131" ca="1" si="87">RANDBETWEEN(10,200)</f>
        <v>97</v>
      </c>
      <c r="AR68" s="1">
        <f t="shared" ref="AR68:AR131" ca="1" si="88">RANDBETWEEN(0,10)</f>
        <v>4</v>
      </c>
      <c r="AS68" s="1">
        <f t="shared" ref="AS68:AS131" ca="1" si="89">RANDBETWEEN(1,100)</f>
        <v>46</v>
      </c>
      <c r="AU68" s="1">
        <f t="shared" ref="AU68:AU131" ca="1" si="90">RANDBETWEEN(50,400)</f>
        <v>122</v>
      </c>
      <c r="AV68" s="1">
        <f t="shared" ref="AV68:AV131" ca="1" si="91">RANDBETWEEN(2,10)</f>
        <v>10</v>
      </c>
      <c r="AW68" s="1">
        <f t="shared" ref="AW68:AW131" ca="1" si="92">RAND()*(0.2-0.01)+0.01</f>
        <v>0.13002554805140076</v>
      </c>
      <c r="AY68" s="1">
        <f t="shared" ref="AY68:AY131" ca="1" si="93">RAND()*(2-1.1)+1.1</f>
        <v>1.803834790307459</v>
      </c>
      <c r="AZ68" s="1">
        <f t="shared" ref="AZ68:AZ131" ca="1" si="94">RANDBETWEEN(50,500)</f>
        <v>133</v>
      </c>
      <c r="BA68" s="1">
        <f t="shared" ref="BA68:BA131" ca="1" si="95">RAND()*(0.01-0.00001)+0.00001</f>
        <v>5.898969763156809E-3</v>
      </c>
      <c r="BV68" s="1">
        <f t="shared" ref="BV68:BV131" ca="1" si="96">RAND()*(1-0.0001)+0.0001</f>
        <v>0.73350424207430531</v>
      </c>
      <c r="BW68" s="1">
        <f t="shared" ref="BW68:BW131" ca="1" si="97">RANDBETWEEN(100,1000)</f>
        <v>750</v>
      </c>
      <c r="BX68" s="1">
        <f t="shared" ref="BX68:BX131" ca="1" si="98">RAND()*(0.01-0.00001)+0.00001</f>
        <v>7.7719998554532429E-3</v>
      </c>
      <c r="BY68" s="1">
        <f t="shared" ref="BY68:BY131" ca="1" si="99">RAND()*(0.1-0.0001)+0.0001</f>
        <v>7.4929208512914116E-3</v>
      </c>
      <c r="BZ68" s="1">
        <f t="shared" ref="BZ68:BZ131" ca="1" si="100">RAND()*(1-0)+0</f>
        <v>0.64379402661378293</v>
      </c>
      <c r="CB68" s="1">
        <f t="shared" ref="CB68:CB131" ca="1" si="101">RANDBETWEEN(50,500)</f>
        <v>419</v>
      </c>
      <c r="CC68" s="1">
        <f t="shared" ref="CC68:CC131" ca="1" si="102">RANDBETWEEN(3,15)</f>
        <v>9</v>
      </c>
      <c r="CD68" s="1">
        <f t="shared" ref="CD68:CD131" ca="1" si="103">RAND()*(0.3-0.01)+0.01</f>
        <v>0.12756120740824206</v>
      </c>
      <c r="CE68" s="1">
        <f t="shared" ref="CE68:CF99" ca="1" si="104">RAND()*(1-0.5)+0.5</f>
        <v>0.85282466607315421</v>
      </c>
      <c r="CF68" s="1">
        <f t="shared" ca="1" si="104"/>
        <v>0.50522286489707025</v>
      </c>
      <c r="CH68" s="3">
        <f t="shared" ref="CH68:CH131" ca="1" si="105">RAND()*(1-0.0001)+0.0001</f>
        <v>0.34735727042591863</v>
      </c>
      <c r="CI68" s="3">
        <f t="shared" ref="CI68:CI131" ca="1" si="106">RAND()*(0.99-0.01)+0.01</f>
        <v>0.34520027162502537</v>
      </c>
      <c r="CJ68" s="3">
        <f t="shared" ref="CJ68:CJ131" ca="1" si="107">RANDBETWEEN(100,2000)</f>
        <v>1430</v>
      </c>
      <c r="CK68" s="3">
        <f t="shared" ref="CK68:CK131" ca="1" si="108">RAND()*(0.01-0.000001)+0.000001</f>
        <v>5.2119046943431132E-3</v>
      </c>
      <c r="CL68" s="3">
        <f t="shared" ref="CL68:CL131" ca="1" si="109">RANDBETWEEN(0,1)</f>
        <v>0</v>
      </c>
      <c r="CM68" s="3"/>
      <c r="CN68" s="1">
        <f t="shared" ref="CN68:CN131" ca="1" si="110">RAND()*(20-0.1)+0.1</f>
        <v>19.621254477390178</v>
      </c>
      <c r="CO68" s="1">
        <f t="shared" ref="CO68:CO131" ca="1" si="111">RAND()*(0.5-0.001)+0.001</f>
        <v>0.40665313676405013</v>
      </c>
      <c r="CP68" s="1">
        <f t="shared" ref="CP68:CP131" ca="1" si="112">RANDBETWEEN(1,5)</f>
        <v>2</v>
      </c>
    </row>
    <row r="69" spans="2:94" x14ac:dyDescent="0.25">
      <c r="B69">
        <f t="shared" ca="1" si="57"/>
        <v>134</v>
      </c>
      <c r="C69">
        <f t="shared" ca="1" si="58"/>
        <v>25</v>
      </c>
      <c r="D69">
        <f t="shared" ca="1" si="59"/>
        <v>0.14816352937763752</v>
      </c>
      <c r="F69" s="1">
        <f t="shared" ca="1" si="60"/>
        <v>39</v>
      </c>
      <c r="G69" s="1">
        <f t="shared" ca="1" si="61"/>
        <v>5</v>
      </c>
      <c r="H69" s="1">
        <f t="shared" ca="1" si="62"/>
        <v>15</v>
      </c>
      <c r="I69" s="1"/>
      <c r="J69" s="1">
        <f t="shared" ca="1" si="63"/>
        <v>18</v>
      </c>
      <c r="K69" s="1">
        <f t="shared" ca="1" si="64"/>
        <v>1.8151717882407279</v>
      </c>
      <c r="L69" s="1">
        <f t="shared" ca="1" si="65"/>
        <v>32</v>
      </c>
      <c r="M69" s="1"/>
      <c r="N69" s="1">
        <f t="shared" ca="1" si="66"/>
        <v>200</v>
      </c>
      <c r="O69" s="1">
        <f t="shared" ca="1" si="67"/>
        <v>37</v>
      </c>
      <c r="P69" s="1"/>
      <c r="Q69" s="1">
        <f t="shared" ca="1" si="68"/>
        <v>3.8431551815116833</v>
      </c>
      <c r="R69" s="1">
        <f t="shared" ca="1" si="69"/>
        <v>208</v>
      </c>
      <c r="S69" s="1"/>
      <c r="T69" s="1">
        <f t="shared" ca="1" si="70"/>
        <v>0.14395575367877614</v>
      </c>
      <c r="U69" s="1">
        <f t="shared" ca="1" si="71"/>
        <v>112</v>
      </c>
      <c r="V69" s="1">
        <f t="shared" ca="1" si="72"/>
        <v>10</v>
      </c>
      <c r="W69" s="1"/>
      <c r="X69" s="1">
        <f t="shared" ca="1" si="73"/>
        <v>8.8010448392308298</v>
      </c>
      <c r="Y69" s="1">
        <f t="shared" ca="1" si="74"/>
        <v>7.4172223164949799E-2</v>
      </c>
      <c r="Z69" s="1">
        <f t="shared" ca="1" si="75"/>
        <v>1498</v>
      </c>
      <c r="AB69" s="1">
        <f t="shared" ca="1" si="76"/>
        <v>0.62842776724263283</v>
      </c>
      <c r="AC69" s="1">
        <f t="shared" ca="1" si="77"/>
        <v>253</v>
      </c>
      <c r="AD69" s="1">
        <f t="shared" ca="1" si="78"/>
        <v>1.0249178702135971E-3</v>
      </c>
      <c r="AE69" s="1"/>
      <c r="AF69" s="1">
        <f t="shared" ca="1" si="79"/>
        <v>0.1650257211263913</v>
      </c>
      <c r="AG69" s="1">
        <f t="shared" ca="1" si="80"/>
        <v>778</v>
      </c>
      <c r="AH69" s="1">
        <f t="shared" ca="1" si="81"/>
        <v>6.1225667404295522E-3</v>
      </c>
      <c r="AJ69" s="1">
        <f t="shared" ca="1" si="82"/>
        <v>0.85419819644041628</v>
      </c>
      <c r="AK69" s="1">
        <f t="shared" ca="1" si="83"/>
        <v>3.3481556261903945E-3</v>
      </c>
      <c r="AL69" s="1"/>
      <c r="AM69" s="1">
        <f t="shared" ca="1" si="84"/>
        <v>1.9275347177074301E-2</v>
      </c>
      <c r="AN69" s="1">
        <f t="shared" ca="1" si="85"/>
        <v>16</v>
      </c>
      <c r="AO69" s="1">
        <f t="shared" ca="1" si="86"/>
        <v>14</v>
      </c>
      <c r="AQ69" s="1">
        <f t="shared" ca="1" si="87"/>
        <v>154</v>
      </c>
      <c r="AR69" s="1">
        <f t="shared" ca="1" si="88"/>
        <v>2</v>
      </c>
      <c r="AS69" s="1">
        <f t="shared" ca="1" si="89"/>
        <v>5</v>
      </c>
      <c r="AU69" s="1">
        <f t="shared" ca="1" si="90"/>
        <v>353</v>
      </c>
      <c r="AV69" s="1">
        <f t="shared" ca="1" si="91"/>
        <v>2</v>
      </c>
      <c r="AW69" s="1">
        <f t="shared" ca="1" si="92"/>
        <v>0.1161760882812177</v>
      </c>
      <c r="AY69" s="1">
        <f t="shared" ca="1" si="93"/>
        <v>1.3881968812739238</v>
      </c>
      <c r="AZ69" s="1">
        <f t="shared" ca="1" si="94"/>
        <v>300</v>
      </c>
      <c r="BA69" s="1">
        <f t="shared" ca="1" si="95"/>
        <v>9.7722805364200307E-4</v>
      </c>
      <c r="BV69" s="1">
        <f t="shared" ca="1" si="96"/>
        <v>0.36322568856292042</v>
      </c>
      <c r="BW69" s="1">
        <f t="shared" ca="1" si="97"/>
        <v>425</v>
      </c>
      <c r="BX69" s="1">
        <f t="shared" ca="1" si="98"/>
        <v>5.9130050735395588E-3</v>
      </c>
      <c r="BY69" s="1">
        <f t="shared" ca="1" si="99"/>
        <v>4.2442187346724294E-2</v>
      </c>
      <c r="BZ69" s="1">
        <f t="shared" ca="1" si="100"/>
        <v>0.8006507448808714</v>
      </c>
      <c r="CB69" s="1">
        <f t="shared" ca="1" si="101"/>
        <v>72</v>
      </c>
      <c r="CC69" s="1">
        <f t="shared" ca="1" si="102"/>
        <v>8</v>
      </c>
      <c r="CD69" s="1">
        <f t="shared" ca="1" si="103"/>
        <v>0.13523972588563027</v>
      </c>
      <c r="CE69" s="1">
        <f t="shared" ca="1" si="104"/>
        <v>0.88683769840417737</v>
      </c>
      <c r="CF69" s="1">
        <f t="shared" ca="1" si="104"/>
        <v>0.64916811504500171</v>
      </c>
      <c r="CH69" s="3">
        <f t="shared" ca="1" si="105"/>
        <v>0.13797913672170337</v>
      </c>
      <c r="CI69" s="3">
        <f t="shared" ca="1" si="106"/>
        <v>0.33882826842269448</v>
      </c>
      <c r="CJ69" s="3">
        <f t="shared" ca="1" si="107"/>
        <v>1368</v>
      </c>
      <c r="CK69" s="3">
        <f t="shared" ca="1" si="108"/>
        <v>5.6700472764363401E-3</v>
      </c>
      <c r="CL69" s="3">
        <f t="shared" ca="1" si="109"/>
        <v>1</v>
      </c>
      <c r="CM69" s="3"/>
      <c r="CN69" s="1">
        <f t="shared" ca="1" si="110"/>
        <v>9.3204520566800504</v>
      </c>
      <c r="CO69" s="1">
        <f t="shared" ca="1" si="111"/>
        <v>0.46352988662346073</v>
      </c>
      <c r="CP69" s="1">
        <f t="shared" ca="1" si="112"/>
        <v>4</v>
      </c>
    </row>
    <row r="70" spans="2:94" x14ac:dyDescent="0.25">
      <c r="B70">
        <f t="shared" ca="1" si="57"/>
        <v>289</v>
      </c>
      <c r="C70">
        <f t="shared" ca="1" si="58"/>
        <v>2</v>
      </c>
      <c r="D70">
        <f t="shared" ca="1" si="59"/>
        <v>0.21687605113101618</v>
      </c>
      <c r="F70" s="1">
        <f t="shared" ca="1" si="60"/>
        <v>39</v>
      </c>
      <c r="G70" s="1">
        <f t="shared" ca="1" si="61"/>
        <v>20</v>
      </c>
      <c r="H70" s="1">
        <f t="shared" ca="1" si="62"/>
        <v>15</v>
      </c>
      <c r="I70" s="1"/>
      <c r="J70" s="1">
        <f t="shared" ca="1" si="63"/>
        <v>2</v>
      </c>
      <c r="K70" s="1">
        <f t="shared" ca="1" si="64"/>
        <v>1.9041638057983534</v>
      </c>
      <c r="L70" s="1">
        <f t="shared" ca="1" si="65"/>
        <v>8</v>
      </c>
      <c r="M70" s="1"/>
      <c r="N70" s="1">
        <f t="shared" ca="1" si="66"/>
        <v>787</v>
      </c>
      <c r="O70" s="1">
        <f t="shared" ca="1" si="67"/>
        <v>33</v>
      </c>
      <c r="P70" s="1"/>
      <c r="Q70" s="1">
        <f t="shared" ca="1" si="68"/>
        <v>1.5912672751375208</v>
      </c>
      <c r="R70" s="1">
        <f t="shared" ca="1" si="69"/>
        <v>738</v>
      </c>
      <c r="S70" s="1"/>
      <c r="T70" s="1">
        <f t="shared" ca="1" si="70"/>
        <v>2.6317861420787736E-2</v>
      </c>
      <c r="U70" s="1">
        <f t="shared" ca="1" si="71"/>
        <v>73</v>
      </c>
      <c r="V70" s="1">
        <f t="shared" ca="1" si="72"/>
        <v>33</v>
      </c>
      <c r="W70" s="1"/>
      <c r="X70" s="1">
        <f t="shared" ca="1" si="73"/>
        <v>8.2252741835169356</v>
      </c>
      <c r="Y70" s="1">
        <f t="shared" ca="1" si="74"/>
        <v>0.97626624364837222</v>
      </c>
      <c r="Z70" s="1">
        <f t="shared" ca="1" si="75"/>
        <v>876</v>
      </c>
      <c r="AB70" s="1">
        <f t="shared" ca="1" si="76"/>
        <v>0.52997886478121592</v>
      </c>
      <c r="AC70" s="1">
        <f t="shared" ca="1" si="77"/>
        <v>431</v>
      </c>
      <c r="AD70" s="1">
        <f t="shared" ca="1" si="78"/>
        <v>2.8251093600872696E-3</v>
      </c>
      <c r="AE70" s="1"/>
      <c r="AF70" s="1">
        <f t="shared" ca="1" si="79"/>
        <v>0.79178031110049085</v>
      </c>
      <c r="AG70" s="1">
        <f t="shared" ca="1" si="80"/>
        <v>284</v>
      </c>
      <c r="AH70" s="1">
        <f t="shared" ca="1" si="81"/>
        <v>2.9044864024863745E-3</v>
      </c>
      <c r="AJ70" s="1">
        <f t="shared" ca="1" si="82"/>
        <v>0.21398423442890058</v>
      </c>
      <c r="AK70" s="1">
        <f t="shared" ca="1" si="83"/>
        <v>5.8639400578842779E-3</v>
      </c>
      <c r="AL70" s="1"/>
      <c r="AM70" s="1">
        <f t="shared" ca="1" si="84"/>
        <v>9.4530026089399449E-2</v>
      </c>
      <c r="AN70" s="1">
        <f t="shared" ca="1" si="85"/>
        <v>30</v>
      </c>
      <c r="AO70" s="1">
        <f t="shared" ca="1" si="86"/>
        <v>14</v>
      </c>
      <c r="AQ70" s="1">
        <f t="shared" ca="1" si="87"/>
        <v>149</v>
      </c>
      <c r="AR70" s="1">
        <f t="shared" ca="1" si="88"/>
        <v>7</v>
      </c>
      <c r="AS70" s="1">
        <f t="shared" ca="1" si="89"/>
        <v>75</v>
      </c>
      <c r="AU70" s="1">
        <f t="shared" ca="1" si="90"/>
        <v>123</v>
      </c>
      <c r="AV70" s="1">
        <f t="shared" ca="1" si="91"/>
        <v>3</v>
      </c>
      <c r="AW70" s="1">
        <f t="shared" ca="1" si="92"/>
        <v>0.1246062648523981</v>
      </c>
      <c r="AY70" s="1">
        <f t="shared" ca="1" si="93"/>
        <v>1.9791922228892331</v>
      </c>
      <c r="AZ70" s="1">
        <f t="shared" ca="1" si="94"/>
        <v>438</v>
      </c>
      <c r="BA70" s="1">
        <f t="shared" ca="1" si="95"/>
        <v>2.9983437053970989E-3</v>
      </c>
      <c r="BV70" s="1">
        <f t="shared" ca="1" si="96"/>
        <v>0.27392008882937285</v>
      </c>
      <c r="BW70" s="1">
        <f t="shared" ca="1" si="97"/>
        <v>354</v>
      </c>
      <c r="BX70" s="1">
        <f t="shared" ca="1" si="98"/>
        <v>1.9356515083501114E-3</v>
      </c>
      <c r="BY70" s="1">
        <f t="shared" ca="1" si="99"/>
        <v>7.6804428672681752E-2</v>
      </c>
      <c r="BZ70" s="1">
        <f t="shared" ca="1" si="100"/>
        <v>0.52220926910083876</v>
      </c>
      <c r="CB70" s="1">
        <f t="shared" ca="1" si="101"/>
        <v>421</v>
      </c>
      <c r="CC70" s="1">
        <f t="shared" ca="1" si="102"/>
        <v>7</v>
      </c>
      <c r="CD70" s="1">
        <f t="shared" ca="1" si="103"/>
        <v>3.0697828757313861E-2</v>
      </c>
      <c r="CE70" s="1">
        <f t="shared" ca="1" si="104"/>
        <v>0.88420673529008464</v>
      </c>
      <c r="CF70" s="1">
        <f t="shared" ca="1" si="104"/>
        <v>0.63135121963314045</v>
      </c>
      <c r="CH70" s="3">
        <f t="shared" ca="1" si="105"/>
        <v>0.84789087337649272</v>
      </c>
      <c r="CI70" s="3">
        <f t="shared" ca="1" si="106"/>
        <v>0.77836116912726305</v>
      </c>
      <c r="CJ70" s="3">
        <f t="shared" ca="1" si="107"/>
        <v>610</v>
      </c>
      <c r="CK70" s="3">
        <f t="shared" ca="1" si="108"/>
        <v>8.7823846322388644E-3</v>
      </c>
      <c r="CL70" s="3">
        <f t="shared" ca="1" si="109"/>
        <v>0</v>
      </c>
      <c r="CM70" s="3"/>
      <c r="CN70" s="1">
        <f t="shared" ca="1" si="110"/>
        <v>4.8181275275030035</v>
      </c>
      <c r="CO70" s="1">
        <f t="shared" ca="1" si="111"/>
        <v>5.1681228831403372E-2</v>
      </c>
      <c r="CP70" s="1">
        <f t="shared" ca="1" si="112"/>
        <v>4</v>
      </c>
    </row>
    <row r="71" spans="2:94" x14ac:dyDescent="0.25">
      <c r="B71">
        <f t="shared" ca="1" si="57"/>
        <v>22</v>
      </c>
      <c r="C71">
        <f t="shared" ca="1" si="58"/>
        <v>37</v>
      </c>
      <c r="D71">
        <f t="shared" ca="1" si="59"/>
        <v>0.25210848362236399</v>
      </c>
      <c r="F71" s="1">
        <f t="shared" ca="1" si="60"/>
        <v>45</v>
      </c>
      <c r="G71" s="1">
        <f t="shared" ca="1" si="61"/>
        <v>21</v>
      </c>
      <c r="H71" s="1">
        <f t="shared" ca="1" si="62"/>
        <v>2</v>
      </c>
      <c r="I71" s="1"/>
      <c r="J71" s="1">
        <f t="shared" ca="1" si="63"/>
        <v>12</v>
      </c>
      <c r="K71" s="1">
        <f t="shared" ca="1" si="64"/>
        <v>1.4471761437496624</v>
      </c>
      <c r="L71" s="1">
        <f t="shared" ca="1" si="65"/>
        <v>25</v>
      </c>
      <c r="M71" s="1"/>
      <c r="N71" s="1">
        <f t="shared" ca="1" si="66"/>
        <v>24</v>
      </c>
      <c r="O71" s="1">
        <f t="shared" ca="1" si="67"/>
        <v>18</v>
      </c>
      <c r="P71" s="1"/>
      <c r="Q71" s="1">
        <f t="shared" ca="1" si="68"/>
        <v>3.2052320641035741</v>
      </c>
      <c r="R71" s="1">
        <f t="shared" ca="1" si="69"/>
        <v>810</v>
      </c>
      <c r="S71" s="1"/>
      <c r="T71" s="1">
        <f t="shared" ca="1" si="70"/>
        <v>0.18431685059147979</v>
      </c>
      <c r="U71" s="1">
        <f t="shared" ca="1" si="71"/>
        <v>195</v>
      </c>
      <c r="V71" s="1">
        <f t="shared" ca="1" si="72"/>
        <v>40</v>
      </c>
      <c r="W71" s="1"/>
      <c r="X71" s="1">
        <f t="shared" ca="1" si="73"/>
        <v>2.7995690720093895</v>
      </c>
      <c r="Y71" s="1">
        <f t="shared" ca="1" si="74"/>
        <v>0.4744042320579519</v>
      </c>
      <c r="Z71" s="1">
        <f t="shared" ca="1" si="75"/>
        <v>374</v>
      </c>
      <c r="AB71" s="1">
        <f t="shared" ca="1" si="76"/>
        <v>0.27424176469378858</v>
      </c>
      <c r="AC71" s="1">
        <f t="shared" ca="1" si="77"/>
        <v>199</v>
      </c>
      <c r="AD71" s="1">
        <f t="shared" ca="1" si="78"/>
        <v>3.0885819450388874E-3</v>
      </c>
      <c r="AE71" s="1"/>
      <c r="AF71" s="1">
        <f t="shared" ca="1" si="79"/>
        <v>0.68987861823421814</v>
      </c>
      <c r="AG71" s="1">
        <f t="shared" ca="1" si="80"/>
        <v>138</v>
      </c>
      <c r="AH71" s="1">
        <f t="shared" ca="1" si="81"/>
        <v>7.2351029197936251E-3</v>
      </c>
      <c r="AJ71" s="1">
        <f t="shared" ca="1" si="82"/>
        <v>0.2364512962392421</v>
      </c>
      <c r="AK71" s="1">
        <f t="shared" ca="1" si="83"/>
        <v>5.7573511349773496E-3</v>
      </c>
      <c r="AL71" s="1"/>
      <c r="AM71" s="1">
        <f t="shared" ca="1" si="84"/>
        <v>1.5903024806808549E-2</v>
      </c>
      <c r="AN71" s="1">
        <f t="shared" ca="1" si="85"/>
        <v>33</v>
      </c>
      <c r="AO71" s="1">
        <f t="shared" ca="1" si="86"/>
        <v>9</v>
      </c>
      <c r="AQ71" s="1">
        <f t="shared" ca="1" si="87"/>
        <v>116</v>
      </c>
      <c r="AR71" s="1">
        <f t="shared" ca="1" si="88"/>
        <v>1</v>
      </c>
      <c r="AS71" s="1">
        <f t="shared" ca="1" si="89"/>
        <v>45</v>
      </c>
      <c r="AU71" s="1">
        <f t="shared" ca="1" si="90"/>
        <v>259</v>
      </c>
      <c r="AV71" s="1">
        <f t="shared" ca="1" si="91"/>
        <v>3</v>
      </c>
      <c r="AW71" s="1">
        <f t="shared" ca="1" si="92"/>
        <v>0.10564483997884301</v>
      </c>
      <c r="AY71" s="1">
        <f t="shared" ca="1" si="93"/>
        <v>1.3358148936582417</v>
      </c>
      <c r="AZ71" s="1">
        <f t="shared" ca="1" si="94"/>
        <v>200</v>
      </c>
      <c r="BA71" s="1">
        <f t="shared" ca="1" si="95"/>
        <v>7.2908352600659513E-3</v>
      </c>
      <c r="BV71" s="1">
        <f t="shared" ca="1" si="96"/>
        <v>0.12956967183200782</v>
      </c>
      <c r="BW71" s="1">
        <f t="shared" ca="1" si="97"/>
        <v>504</v>
      </c>
      <c r="BX71" s="1">
        <f t="shared" ca="1" si="98"/>
        <v>5.4169348382506512E-3</v>
      </c>
      <c r="BY71" s="1">
        <f t="shared" ca="1" si="99"/>
        <v>9.9746525486210602E-2</v>
      </c>
      <c r="BZ71" s="1">
        <f t="shared" ca="1" si="100"/>
        <v>0.19538127408575234</v>
      </c>
      <c r="CB71" s="1">
        <f t="shared" ca="1" si="101"/>
        <v>462</v>
      </c>
      <c r="CC71" s="1">
        <f t="shared" ca="1" si="102"/>
        <v>11</v>
      </c>
      <c r="CD71" s="1">
        <f t="shared" ca="1" si="103"/>
        <v>4.6412572917900775E-2</v>
      </c>
      <c r="CE71" s="1">
        <f t="shared" ca="1" si="104"/>
        <v>0.70609180484494005</v>
      </c>
      <c r="CF71" s="1">
        <f t="shared" ca="1" si="104"/>
        <v>0.56089733732359681</v>
      </c>
      <c r="CH71" s="3">
        <f t="shared" ca="1" si="105"/>
        <v>0.4297968827238185</v>
      </c>
      <c r="CI71" s="3">
        <f t="shared" ca="1" si="106"/>
        <v>0.73604740978160421</v>
      </c>
      <c r="CJ71" s="3">
        <f t="shared" ca="1" si="107"/>
        <v>1447</v>
      </c>
      <c r="CK71" s="3">
        <f t="shared" ca="1" si="108"/>
        <v>7.2004480617923758E-3</v>
      </c>
      <c r="CL71" s="3">
        <f t="shared" ca="1" si="109"/>
        <v>1</v>
      </c>
      <c r="CM71" s="3"/>
      <c r="CN71" s="1">
        <f t="shared" ca="1" si="110"/>
        <v>13.931715685874737</v>
      </c>
      <c r="CO71" s="1">
        <f t="shared" ca="1" si="111"/>
        <v>0.16007984582448781</v>
      </c>
      <c r="CP71" s="1">
        <f t="shared" ca="1" si="112"/>
        <v>2</v>
      </c>
    </row>
    <row r="72" spans="2:94" x14ac:dyDescent="0.25">
      <c r="B72">
        <f t="shared" ca="1" si="57"/>
        <v>427</v>
      </c>
      <c r="C72">
        <f t="shared" ca="1" si="58"/>
        <v>2</v>
      </c>
      <c r="D72">
        <f t="shared" ca="1" si="59"/>
        <v>0.15191001757455722</v>
      </c>
      <c r="F72" s="1">
        <f t="shared" ca="1" si="60"/>
        <v>26</v>
      </c>
      <c r="G72" s="1">
        <f t="shared" ca="1" si="61"/>
        <v>27</v>
      </c>
      <c r="H72" s="1">
        <f t="shared" ca="1" si="62"/>
        <v>5</v>
      </c>
      <c r="I72" s="1"/>
      <c r="J72" s="1">
        <f t="shared" ca="1" si="63"/>
        <v>15</v>
      </c>
      <c r="K72" s="1">
        <f t="shared" ca="1" si="64"/>
        <v>1.7472323812220603</v>
      </c>
      <c r="L72" s="1">
        <f t="shared" ca="1" si="65"/>
        <v>18</v>
      </c>
      <c r="M72" s="1"/>
      <c r="N72" s="1">
        <f t="shared" ca="1" si="66"/>
        <v>761</v>
      </c>
      <c r="O72" s="1">
        <f t="shared" ca="1" si="67"/>
        <v>4</v>
      </c>
      <c r="P72" s="1"/>
      <c r="Q72" s="1">
        <f t="shared" ca="1" si="68"/>
        <v>0.3193008358499419</v>
      </c>
      <c r="R72" s="1">
        <f t="shared" ca="1" si="69"/>
        <v>1149</v>
      </c>
      <c r="S72" s="1"/>
      <c r="T72" s="1">
        <f t="shared" ca="1" si="70"/>
        <v>0.15667566157762919</v>
      </c>
      <c r="U72" s="1">
        <f t="shared" ca="1" si="71"/>
        <v>363</v>
      </c>
      <c r="V72" s="1">
        <f t="shared" ca="1" si="72"/>
        <v>19</v>
      </c>
      <c r="W72" s="1"/>
      <c r="X72" s="1">
        <f t="shared" ca="1" si="73"/>
        <v>0.86783576590581668</v>
      </c>
      <c r="Y72" s="1">
        <f t="shared" ca="1" si="74"/>
        <v>0.38858269260120232</v>
      </c>
      <c r="Z72" s="1">
        <f t="shared" ca="1" si="75"/>
        <v>585</v>
      </c>
      <c r="AB72" s="1">
        <f t="shared" ca="1" si="76"/>
        <v>0.63414210889044997</v>
      </c>
      <c r="AC72" s="1">
        <f t="shared" ca="1" si="77"/>
        <v>559</v>
      </c>
      <c r="AD72" s="1">
        <f t="shared" ca="1" si="78"/>
        <v>4.3351594666873449E-3</v>
      </c>
      <c r="AE72" s="1"/>
      <c r="AF72" s="1">
        <f t="shared" ca="1" si="79"/>
        <v>0.4084792394309783</v>
      </c>
      <c r="AG72" s="1">
        <f t="shared" ca="1" si="80"/>
        <v>986</v>
      </c>
      <c r="AH72" s="1">
        <f t="shared" ca="1" si="81"/>
        <v>5.5757240845215397E-3</v>
      </c>
      <c r="AJ72" s="1">
        <f t="shared" ca="1" si="82"/>
        <v>0.27514766959241033</v>
      </c>
      <c r="AK72" s="1">
        <f t="shared" ca="1" si="83"/>
        <v>3.61403520794877E-3</v>
      </c>
      <c r="AL72" s="1"/>
      <c r="AM72" s="1">
        <f t="shared" ca="1" si="84"/>
        <v>0.17271377624084625</v>
      </c>
      <c r="AN72" s="1">
        <f t="shared" ca="1" si="85"/>
        <v>50</v>
      </c>
      <c r="AO72" s="1">
        <f t="shared" ca="1" si="86"/>
        <v>20</v>
      </c>
      <c r="AQ72" s="1">
        <f t="shared" ca="1" si="87"/>
        <v>160</v>
      </c>
      <c r="AR72" s="1">
        <f t="shared" ca="1" si="88"/>
        <v>2</v>
      </c>
      <c r="AS72" s="1">
        <f t="shared" ca="1" si="89"/>
        <v>84</v>
      </c>
      <c r="AU72" s="1">
        <f t="shared" ca="1" si="90"/>
        <v>221</v>
      </c>
      <c r="AV72" s="1">
        <f t="shared" ca="1" si="91"/>
        <v>8</v>
      </c>
      <c r="AW72" s="1">
        <f t="shared" ca="1" si="92"/>
        <v>8.0994298436753598E-2</v>
      </c>
      <c r="AY72" s="1">
        <f t="shared" ca="1" si="93"/>
        <v>1.3962547671624921</v>
      </c>
      <c r="AZ72" s="1">
        <f t="shared" ca="1" si="94"/>
        <v>239</v>
      </c>
      <c r="BA72" s="1">
        <f t="shared" ca="1" si="95"/>
        <v>2.8927953245434478E-3</v>
      </c>
      <c r="BV72" s="1">
        <f t="shared" ca="1" si="96"/>
        <v>3.4844741362093007E-2</v>
      </c>
      <c r="BW72" s="1">
        <f t="shared" ca="1" si="97"/>
        <v>558</v>
      </c>
      <c r="BX72" s="1">
        <f t="shared" ca="1" si="98"/>
        <v>5.1539190212195323E-4</v>
      </c>
      <c r="BY72" s="1">
        <f t="shared" ca="1" si="99"/>
        <v>7.3205591358463482E-2</v>
      </c>
      <c r="BZ72" s="1">
        <f t="shared" ca="1" si="100"/>
        <v>0.59339438025181357</v>
      </c>
      <c r="CB72" s="1">
        <f t="shared" ca="1" si="101"/>
        <v>198</v>
      </c>
      <c r="CC72" s="1">
        <f t="shared" ca="1" si="102"/>
        <v>6</v>
      </c>
      <c r="CD72" s="1">
        <f t="shared" ca="1" si="103"/>
        <v>6.46392554188049E-2</v>
      </c>
      <c r="CE72" s="1">
        <f t="shared" ca="1" si="104"/>
        <v>0.90864023560593576</v>
      </c>
      <c r="CF72" s="1">
        <f t="shared" ca="1" si="104"/>
        <v>0.66506330311951767</v>
      </c>
      <c r="CH72" s="3">
        <f t="shared" ca="1" si="105"/>
        <v>0.90824220253540033</v>
      </c>
      <c r="CI72" s="3">
        <f t="shared" ca="1" si="106"/>
        <v>0.36458706775220551</v>
      </c>
      <c r="CJ72" s="3">
        <f t="shared" ca="1" si="107"/>
        <v>169</v>
      </c>
      <c r="CK72" s="3">
        <f t="shared" ca="1" si="108"/>
        <v>5.837853575513377E-3</v>
      </c>
      <c r="CL72" s="3">
        <f t="shared" ca="1" si="109"/>
        <v>0</v>
      </c>
      <c r="CM72" s="3"/>
      <c r="CN72" s="1">
        <f t="shared" ca="1" si="110"/>
        <v>10.168068663533134</v>
      </c>
      <c r="CO72" s="1">
        <f t="shared" ca="1" si="111"/>
        <v>0.32723591614691483</v>
      </c>
      <c r="CP72" s="1">
        <f t="shared" ca="1" si="112"/>
        <v>1</v>
      </c>
    </row>
    <row r="73" spans="2:94" x14ac:dyDescent="0.25">
      <c r="B73">
        <f t="shared" ca="1" si="57"/>
        <v>687</v>
      </c>
      <c r="C73">
        <f t="shared" ca="1" si="58"/>
        <v>42</v>
      </c>
      <c r="D73">
        <f t="shared" ca="1" si="59"/>
        <v>0.20944033140121915</v>
      </c>
      <c r="F73" s="1">
        <f t="shared" ca="1" si="60"/>
        <v>27</v>
      </c>
      <c r="G73" s="1">
        <f t="shared" ca="1" si="61"/>
        <v>16</v>
      </c>
      <c r="H73" s="1">
        <f t="shared" ca="1" si="62"/>
        <v>14</v>
      </c>
      <c r="I73" s="1"/>
      <c r="J73" s="1">
        <f t="shared" ca="1" si="63"/>
        <v>35</v>
      </c>
      <c r="K73" s="1">
        <f t="shared" ca="1" si="64"/>
        <v>1.2036905163852121</v>
      </c>
      <c r="L73" s="1">
        <f t="shared" ca="1" si="65"/>
        <v>8</v>
      </c>
      <c r="M73" s="1"/>
      <c r="N73" s="1">
        <f t="shared" ca="1" si="66"/>
        <v>299</v>
      </c>
      <c r="O73" s="1">
        <f t="shared" ca="1" si="67"/>
        <v>51</v>
      </c>
      <c r="P73" s="1"/>
      <c r="Q73" s="1">
        <f t="shared" ca="1" si="68"/>
        <v>4.2374173541479925</v>
      </c>
      <c r="R73" s="1">
        <f t="shared" ca="1" si="69"/>
        <v>1041</v>
      </c>
      <c r="S73" s="1"/>
      <c r="T73" s="1">
        <f t="shared" ca="1" si="70"/>
        <v>7.276147981774217E-2</v>
      </c>
      <c r="U73" s="1">
        <f t="shared" ca="1" si="71"/>
        <v>193</v>
      </c>
      <c r="V73" s="1">
        <f t="shared" ca="1" si="72"/>
        <v>2</v>
      </c>
      <c r="W73" s="1"/>
      <c r="X73" s="1">
        <f t="shared" ca="1" si="73"/>
        <v>4.0672051408466814</v>
      </c>
      <c r="Y73" s="1">
        <f t="shared" ca="1" si="74"/>
        <v>0.56731963958836362</v>
      </c>
      <c r="Z73" s="1">
        <f t="shared" ca="1" si="75"/>
        <v>1891</v>
      </c>
      <c r="AB73" s="1">
        <f t="shared" ca="1" si="76"/>
        <v>0.12276047487002476</v>
      </c>
      <c r="AC73" s="1">
        <f t="shared" ca="1" si="77"/>
        <v>359</v>
      </c>
      <c r="AD73" s="1">
        <f t="shared" ca="1" si="78"/>
        <v>4.5359807678350813E-3</v>
      </c>
      <c r="AE73" s="1"/>
      <c r="AF73" s="1">
        <f t="shared" ca="1" si="79"/>
        <v>0.18901060831462049</v>
      </c>
      <c r="AG73" s="1">
        <f t="shared" ca="1" si="80"/>
        <v>854</v>
      </c>
      <c r="AH73" s="1">
        <f t="shared" ca="1" si="81"/>
        <v>6.1257891229192282E-3</v>
      </c>
      <c r="AJ73" s="1">
        <f t="shared" ca="1" si="82"/>
        <v>0.58298788059884388</v>
      </c>
      <c r="AK73" s="1">
        <f t="shared" ca="1" si="83"/>
        <v>2.5150454919225826E-3</v>
      </c>
      <c r="AL73" s="1"/>
      <c r="AM73" s="1">
        <f t="shared" ca="1" si="84"/>
        <v>9.7318090195213522E-2</v>
      </c>
      <c r="AN73" s="1">
        <f t="shared" ca="1" si="85"/>
        <v>19</v>
      </c>
      <c r="AO73" s="1">
        <f t="shared" ca="1" si="86"/>
        <v>-1</v>
      </c>
      <c r="AQ73" s="1">
        <f t="shared" ca="1" si="87"/>
        <v>198</v>
      </c>
      <c r="AR73" s="1">
        <f t="shared" ca="1" si="88"/>
        <v>5</v>
      </c>
      <c r="AS73" s="1">
        <f t="shared" ca="1" si="89"/>
        <v>49</v>
      </c>
      <c r="AU73" s="1">
        <f t="shared" ca="1" si="90"/>
        <v>108</v>
      </c>
      <c r="AV73" s="1">
        <f t="shared" ca="1" si="91"/>
        <v>4</v>
      </c>
      <c r="AW73" s="1">
        <f t="shared" ca="1" si="92"/>
        <v>0.16132744469310692</v>
      </c>
      <c r="AY73" s="1">
        <f t="shared" ca="1" si="93"/>
        <v>1.9776046073800271</v>
      </c>
      <c r="AZ73" s="1">
        <f t="shared" ca="1" si="94"/>
        <v>229</v>
      </c>
      <c r="BA73" s="1">
        <f t="shared" ca="1" si="95"/>
        <v>6.2677864201032595E-3</v>
      </c>
      <c r="BV73" s="1">
        <f t="shared" ca="1" si="96"/>
        <v>0.3802927392231451</v>
      </c>
      <c r="BW73" s="1">
        <f t="shared" ca="1" si="97"/>
        <v>749</v>
      </c>
      <c r="BX73" s="1">
        <f t="shared" ca="1" si="98"/>
        <v>1.0061218049491974E-3</v>
      </c>
      <c r="BY73" s="1">
        <f t="shared" ca="1" si="99"/>
        <v>2.9526081973221541E-3</v>
      </c>
      <c r="BZ73" s="1">
        <f t="shared" ca="1" si="100"/>
        <v>0.40603172249374286</v>
      </c>
      <c r="CB73" s="1">
        <f t="shared" ca="1" si="101"/>
        <v>72</v>
      </c>
      <c r="CC73" s="1">
        <f t="shared" ca="1" si="102"/>
        <v>8</v>
      </c>
      <c r="CD73" s="1">
        <f t="shared" ca="1" si="103"/>
        <v>3.0795536752332722E-2</v>
      </c>
      <c r="CE73" s="1">
        <f t="shared" ca="1" si="104"/>
        <v>0.91489200011373528</v>
      </c>
      <c r="CF73" s="1">
        <f t="shared" ca="1" si="104"/>
        <v>0.76169326631550494</v>
      </c>
      <c r="CH73" s="3">
        <f t="shared" ca="1" si="105"/>
        <v>0.18386436338021914</v>
      </c>
      <c r="CI73" s="3">
        <f t="shared" ca="1" si="106"/>
        <v>0.84691678620204824</v>
      </c>
      <c r="CJ73" s="3">
        <f t="shared" ca="1" si="107"/>
        <v>850</v>
      </c>
      <c r="CK73" s="3">
        <f t="shared" ca="1" si="108"/>
        <v>1.6932116563836449E-4</v>
      </c>
      <c r="CL73" s="3">
        <f t="shared" ca="1" si="109"/>
        <v>0</v>
      </c>
      <c r="CM73" s="3"/>
      <c r="CN73" s="1">
        <f t="shared" ca="1" si="110"/>
        <v>13.138844643970518</v>
      </c>
      <c r="CO73" s="1">
        <f t="shared" ca="1" si="111"/>
        <v>0.40486075776100194</v>
      </c>
      <c r="CP73" s="1">
        <f t="shared" ca="1" si="112"/>
        <v>5</v>
      </c>
    </row>
    <row r="74" spans="2:94" x14ac:dyDescent="0.25">
      <c r="B74">
        <f t="shared" ca="1" si="57"/>
        <v>23</v>
      </c>
      <c r="C74">
        <f t="shared" ca="1" si="58"/>
        <v>34</v>
      </c>
      <c r="D74">
        <f t="shared" ca="1" si="59"/>
        <v>0.23310607975422426</v>
      </c>
      <c r="F74" s="1">
        <f t="shared" ca="1" si="60"/>
        <v>19</v>
      </c>
      <c r="G74" s="1">
        <f t="shared" ca="1" si="61"/>
        <v>16</v>
      </c>
      <c r="H74" s="1">
        <f t="shared" ca="1" si="62"/>
        <v>4</v>
      </c>
      <c r="I74" s="1"/>
      <c r="J74" s="1">
        <f t="shared" ca="1" si="63"/>
        <v>23</v>
      </c>
      <c r="K74" s="1">
        <f t="shared" ca="1" si="64"/>
        <v>1.8299826671281478</v>
      </c>
      <c r="L74" s="1">
        <f t="shared" ca="1" si="65"/>
        <v>10</v>
      </c>
      <c r="M74" s="1"/>
      <c r="N74" s="1">
        <f t="shared" ca="1" si="66"/>
        <v>684</v>
      </c>
      <c r="O74" s="1">
        <f t="shared" ca="1" si="67"/>
        <v>51</v>
      </c>
      <c r="P74" s="1"/>
      <c r="Q74" s="1">
        <f t="shared" ca="1" si="68"/>
        <v>4.5090232917475239</v>
      </c>
      <c r="R74" s="1">
        <f t="shared" ca="1" si="69"/>
        <v>276</v>
      </c>
      <c r="S74" s="1"/>
      <c r="T74" s="1">
        <f t="shared" ca="1" si="70"/>
        <v>0.12604034515399462</v>
      </c>
      <c r="U74" s="1">
        <f t="shared" ca="1" si="71"/>
        <v>396</v>
      </c>
      <c r="V74" s="1">
        <f t="shared" ca="1" si="72"/>
        <v>29</v>
      </c>
      <c r="W74" s="1"/>
      <c r="X74" s="1">
        <f t="shared" ca="1" si="73"/>
        <v>8.6602919185150018</v>
      </c>
      <c r="Y74" s="1">
        <f t="shared" ca="1" si="74"/>
        <v>0.70983221872393321</v>
      </c>
      <c r="Z74" s="1">
        <f t="shared" ca="1" si="75"/>
        <v>851</v>
      </c>
      <c r="AB74" s="1">
        <f t="shared" ca="1" si="76"/>
        <v>2.4250672695954652E-2</v>
      </c>
      <c r="AC74" s="1">
        <f t="shared" ca="1" si="77"/>
        <v>470</v>
      </c>
      <c r="AD74" s="1">
        <f t="shared" ca="1" si="78"/>
        <v>7.0174765303843744E-3</v>
      </c>
      <c r="AE74" s="1"/>
      <c r="AF74" s="1">
        <f t="shared" ca="1" si="79"/>
        <v>0.13782477107376254</v>
      </c>
      <c r="AG74" s="1">
        <f t="shared" ca="1" si="80"/>
        <v>869</v>
      </c>
      <c r="AH74" s="1">
        <f t="shared" ca="1" si="81"/>
        <v>5.988197255534052E-3</v>
      </c>
      <c r="AJ74" s="1">
        <f t="shared" ca="1" si="82"/>
        <v>9.8506665383771064E-2</v>
      </c>
      <c r="AK74" s="1">
        <f t="shared" ca="1" si="83"/>
        <v>8.6852358927136889E-3</v>
      </c>
      <c r="AL74" s="1"/>
      <c r="AM74" s="1">
        <f t="shared" ca="1" si="84"/>
        <v>2.0272235106538979E-2</v>
      </c>
      <c r="AN74" s="1">
        <f t="shared" ca="1" si="85"/>
        <v>18</v>
      </c>
      <c r="AO74" s="1">
        <f t="shared" ca="1" si="86"/>
        <v>3</v>
      </c>
      <c r="AQ74" s="1">
        <f t="shared" ca="1" si="87"/>
        <v>200</v>
      </c>
      <c r="AR74" s="1">
        <f t="shared" ca="1" si="88"/>
        <v>10</v>
      </c>
      <c r="AS74" s="1">
        <f t="shared" ca="1" si="89"/>
        <v>17</v>
      </c>
      <c r="AU74" s="1">
        <f t="shared" ca="1" si="90"/>
        <v>230</v>
      </c>
      <c r="AV74" s="1">
        <f t="shared" ca="1" si="91"/>
        <v>5</v>
      </c>
      <c r="AW74" s="1">
        <f t="shared" ca="1" si="92"/>
        <v>7.8346608543995153E-2</v>
      </c>
      <c r="AY74" s="1">
        <f t="shared" ca="1" si="93"/>
        <v>1.245382291865553</v>
      </c>
      <c r="AZ74" s="1">
        <f t="shared" ca="1" si="94"/>
        <v>400</v>
      </c>
      <c r="BA74" s="1">
        <f t="shared" ca="1" si="95"/>
        <v>8.8074701899114542E-3</v>
      </c>
      <c r="BV74" s="1">
        <f t="shared" ca="1" si="96"/>
        <v>5.8422538989190545E-2</v>
      </c>
      <c r="BW74" s="1">
        <f t="shared" ca="1" si="97"/>
        <v>856</v>
      </c>
      <c r="BX74" s="1">
        <f t="shared" ca="1" si="98"/>
        <v>1.6444336094844452E-3</v>
      </c>
      <c r="BY74" s="1">
        <f t="shared" ca="1" si="99"/>
        <v>1.2327076157242812E-2</v>
      </c>
      <c r="BZ74" s="1">
        <f t="shared" ca="1" si="100"/>
        <v>0.41362376233204323</v>
      </c>
      <c r="CB74" s="1">
        <f t="shared" ca="1" si="101"/>
        <v>475</v>
      </c>
      <c r="CC74" s="1">
        <f t="shared" ca="1" si="102"/>
        <v>8</v>
      </c>
      <c r="CD74" s="1">
        <f t="shared" ca="1" si="103"/>
        <v>0.18304090745470517</v>
      </c>
      <c r="CE74" s="1">
        <f t="shared" ca="1" si="104"/>
        <v>0.72034201602711556</v>
      </c>
      <c r="CF74" s="1">
        <f t="shared" ca="1" si="104"/>
        <v>0.9520906914187024</v>
      </c>
      <c r="CH74" s="3">
        <f t="shared" ca="1" si="105"/>
        <v>0.7708182045782761</v>
      </c>
      <c r="CI74" s="3">
        <f t="shared" ca="1" si="106"/>
        <v>0.40666721213299251</v>
      </c>
      <c r="CJ74" s="3">
        <f t="shared" ca="1" si="107"/>
        <v>1942</v>
      </c>
      <c r="CK74" s="3">
        <f t="shared" ca="1" si="108"/>
        <v>3.7367254120570983E-3</v>
      </c>
      <c r="CL74" s="3">
        <f t="shared" ca="1" si="109"/>
        <v>1</v>
      </c>
      <c r="CM74" s="3"/>
      <c r="CN74" s="1">
        <f t="shared" ca="1" si="110"/>
        <v>15.613366259279648</v>
      </c>
      <c r="CO74" s="1">
        <f t="shared" ca="1" si="111"/>
        <v>0.3294120458452145</v>
      </c>
      <c r="CP74" s="1">
        <f t="shared" ca="1" si="112"/>
        <v>1</v>
      </c>
    </row>
    <row r="75" spans="2:94" x14ac:dyDescent="0.25">
      <c r="B75">
        <f t="shared" ca="1" si="57"/>
        <v>379</v>
      </c>
      <c r="C75">
        <f t="shared" ca="1" si="58"/>
        <v>14</v>
      </c>
      <c r="D75">
        <f t="shared" ca="1" si="59"/>
        <v>4.0624759318993203E-2</v>
      </c>
      <c r="F75" s="1">
        <f t="shared" ca="1" si="60"/>
        <v>41</v>
      </c>
      <c r="G75" s="1">
        <f t="shared" ca="1" si="61"/>
        <v>8</v>
      </c>
      <c r="H75" s="1">
        <f t="shared" ca="1" si="62"/>
        <v>15</v>
      </c>
      <c r="I75" s="1"/>
      <c r="J75" s="1">
        <f t="shared" ca="1" si="63"/>
        <v>12</v>
      </c>
      <c r="K75" s="1">
        <f t="shared" ca="1" si="64"/>
        <v>1.2881496340268892</v>
      </c>
      <c r="L75" s="1">
        <f t="shared" ca="1" si="65"/>
        <v>3</v>
      </c>
      <c r="M75" s="1"/>
      <c r="N75" s="1">
        <f t="shared" ca="1" si="66"/>
        <v>951</v>
      </c>
      <c r="O75" s="1">
        <f t="shared" ca="1" si="67"/>
        <v>42</v>
      </c>
      <c r="P75" s="1"/>
      <c r="Q75" s="1">
        <f t="shared" ca="1" si="68"/>
        <v>1.5322162850947278</v>
      </c>
      <c r="R75" s="1">
        <f t="shared" ca="1" si="69"/>
        <v>722</v>
      </c>
      <c r="S75" s="1"/>
      <c r="T75" s="1">
        <f t="shared" ca="1" si="70"/>
        <v>0.18427228136282681</v>
      </c>
      <c r="U75" s="1">
        <f t="shared" ca="1" si="71"/>
        <v>393</v>
      </c>
      <c r="V75" s="1">
        <f t="shared" ca="1" si="72"/>
        <v>7</v>
      </c>
      <c r="W75" s="1"/>
      <c r="X75" s="1">
        <f t="shared" ca="1" si="73"/>
        <v>7.3563490836974248</v>
      </c>
      <c r="Y75" s="1">
        <f t="shared" ca="1" si="74"/>
        <v>0.92803215572197606</v>
      </c>
      <c r="Z75" s="1">
        <f t="shared" ca="1" si="75"/>
        <v>952</v>
      </c>
      <c r="AB75" s="1">
        <f t="shared" ca="1" si="76"/>
        <v>0.14610802026395284</v>
      </c>
      <c r="AC75" s="1">
        <f t="shared" ca="1" si="77"/>
        <v>865</v>
      </c>
      <c r="AD75" s="1">
        <f t="shared" ca="1" si="78"/>
        <v>6.4857455718327029E-3</v>
      </c>
      <c r="AE75" s="1"/>
      <c r="AF75" s="1">
        <f t="shared" ca="1" si="79"/>
        <v>0.41977358420314859</v>
      </c>
      <c r="AG75" s="1">
        <f t="shared" ca="1" si="80"/>
        <v>774</v>
      </c>
      <c r="AH75" s="1">
        <f t="shared" ca="1" si="81"/>
        <v>3.715492869009723E-3</v>
      </c>
      <c r="AJ75" s="1">
        <f t="shared" ca="1" si="82"/>
        <v>0.33462669594642025</v>
      </c>
      <c r="AK75" s="1">
        <f t="shared" ca="1" si="83"/>
        <v>8.9401524968832236E-3</v>
      </c>
      <c r="AL75" s="1"/>
      <c r="AM75" s="1">
        <f t="shared" ca="1" si="84"/>
        <v>0.16348138329565376</v>
      </c>
      <c r="AN75" s="1">
        <f t="shared" ca="1" si="85"/>
        <v>56</v>
      </c>
      <c r="AO75" s="1">
        <f t="shared" ca="1" si="86"/>
        <v>15</v>
      </c>
      <c r="AQ75" s="1">
        <f t="shared" ca="1" si="87"/>
        <v>68</v>
      </c>
      <c r="AR75" s="1">
        <f t="shared" ca="1" si="88"/>
        <v>4</v>
      </c>
      <c r="AS75" s="1">
        <f t="shared" ca="1" si="89"/>
        <v>84</v>
      </c>
      <c r="AU75" s="1">
        <f t="shared" ca="1" si="90"/>
        <v>177</v>
      </c>
      <c r="AV75" s="1">
        <f t="shared" ca="1" si="91"/>
        <v>6</v>
      </c>
      <c r="AW75" s="1">
        <f t="shared" ca="1" si="92"/>
        <v>0.17486074065332988</v>
      </c>
      <c r="AY75" s="1">
        <f t="shared" ca="1" si="93"/>
        <v>1.3774229478999742</v>
      </c>
      <c r="AZ75" s="1">
        <f t="shared" ca="1" si="94"/>
        <v>345</v>
      </c>
      <c r="BA75" s="1">
        <f t="shared" ca="1" si="95"/>
        <v>4.4970680658550826E-3</v>
      </c>
      <c r="BV75" s="1">
        <f t="shared" ca="1" si="96"/>
        <v>0.52026047284078525</v>
      </c>
      <c r="BW75" s="1">
        <f t="shared" ca="1" si="97"/>
        <v>876</v>
      </c>
      <c r="BX75" s="1">
        <f t="shared" ca="1" si="98"/>
        <v>2.9224220281475516E-3</v>
      </c>
      <c r="BY75" s="1">
        <f t="shared" ca="1" si="99"/>
        <v>1.3007858673231976E-2</v>
      </c>
      <c r="BZ75" s="1">
        <f t="shared" ca="1" si="100"/>
        <v>0.76377062680296914</v>
      </c>
      <c r="CB75" s="1">
        <f t="shared" ca="1" si="101"/>
        <v>228</v>
      </c>
      <c r="CC75" s="1">
        <f t="shared" ca="1" si="102"/>
        <v>7</v>
      </c>
      <c r="CD75" s="1">
        <f t="shared" ca="1" si="103"/>
        <v>0.28438325661819264</v>
      </c>
      <c r="CE75" s="1">
        <f t="shared" ca="1" si="104"/>
        <v>0.83917457513723359</v>
      </c>
      <c r="CF75" s="1">
        <f t="shared" ca="1" si="104"/>
        <v>0.66693472741941728</v>
      </c>
      <c r="CH75" s="3">
        <f t="shared" ca="1" si="105"/>
        <v>0.18650157054040156</v>
      </c>
      <c r="CI75" s="3">
        <f t="shared" ca="1" si="106"/>
        <v>0.42370288784121618</v>
      </c>
      <c r="CJ75" s="3">
        <f t="shared" ca="1" si="107"/>
        <v>1427</v>
      </c>
      <c r="CK75" s="3">
        <f t="shared" ca="1" si="108"/>
        <v>8.647436766763085E-3</v>
      </c>
      <c r="CL75" s="3">
        <f t="shared" ca="1" si="109"/>
        <v>0</v>
      </c>
      <c r="CM75" s="3"/>
      <c r="CN75" s="1">
        <f t="shared" ca="1" si="110"/>
        <v>11.000492384169041</v>
      </c>
      <c r="CO75" s="1">
        <f t="shared" ca="1" si="111"/>
        <v>0.19871976747078657</v>
      </c>
      <c r="CP75" s="1">
        <f t="shared" ca="1" si="112"/>
        <v>3</v>
      </c>
    </row>
    <row r="76" spans="2:94" x14ac:dyDescent="0.25">
      <c r="B76">
        <f t="shared" ca="1" si="57"/>
        <v>386</v>
      </c>
      <c r="C76">
        <f t="shared" ca="1" si="58"/>
        <v>42</v>
      </c>
      <c r="D76">
        <f t="shared" ca="1" si="59"/>
        <v>0.20458803442334428</v>
      </c>
      <c r="F76" s="1">
        <f t="shared" ca="1" si="60"/>
        <v>11</v>
      </c>
      <c r="G76" s="1">
        <f t="shared" ca="1" si="61"/>
        <v>29</v>
      </c>
      <c r="H76" s="1">
        <f t="shared" ca="1" si="62"/>
        <v>6</v>
      </c>
      <c r="I76" s="1"/>
      <c r="J76" s="1">
        <f t="shared" ca="1" si="63"/>
        <v>6</v>
      </c>
      <c r="K76" s="1">
        <f t="shared" ca="1" si="64"/>
        <v>1.4269571002218171</v>
      </c>
      <c r="L76" s="1">
        <f t="shared" ca="1" si="65"/>
        <v>14</v>
      </c>
      <c r="M76" s="1"/>
      <c r="N76" s="1">
        <f t="shared" ca="1" si="66"/>
        <v>863</v>
      </c>
      <c r="O76" s="1">
        <f t="shared" ca="1" si="67"/>
        <v>52</v>
      </c>
      <c r="P76" s="1"/>
      <c r="Q76" s="1">
        <f t="shared" ca="1" si="68"/>
        <v>2.819330335918524</v>
      </c>
      <c r="R76" s="1">
        <f t="shared" ca="1" si="69"/>
        <v>377</v>
      </c>
      <c r="S76" s="1"/>
      <c r="T76" s="1">
        <f t="shared" ca="1" si="70"/>
        <v>0.10564345819647945</v>
      </c>
      <c r="U76" s="1">
        <f t="shared" ca="1" si="71"/>
        <v>399</v>
      </c>
      <c r="V76" s="1">
        <f t="shared" ca="1" si="72"/>
        <v>22</v>
      </c>
      <c r="W76" s="1"/>
      <c r="X76" s="1">
        <f t="shared" ca="1" si="73"/>
        <v>2.4027803321455323</v>
      </c>
      <c r="Y76" s="1">
        <f t="shared" ca="1" si="74"/>
        <v>0.77248126347988899</v>
      </c>
      <c r="Z76" s="1">
        <f t="shared" ca="1" si="75"/>
        <v>1587</v>
      </c>
      <c r="AB76" s="1">
        <f t="shared" ca="1" si="76"/>
        <v>0.44919733839359455</v>
      </c>
      <c r="AC76" s="1">
        <f t="shared" ca="1" si="77"/>
        <v>983</v>
      </c>
      <c r="AD76" s="1">
        <f t="shared" ca="1" si="78"/>
        <v>6.6119186047386615E-3</v>
      </c>
      <c r="AE76" s="1"/>
      <c r="AF76" s="1">
        <f t="shared" ca="1" si="79"/>
        <v>0.59088095098053595</v>
      </c>
      <c r="AG76" s="1">
        <f t="shared" ca="1" si="80"/>
        <v>441</v>
      </c>
      <c r="AH76" s="1">
        <f t="shared" ca="1" si="81"/>
        <v>8.4902044446695281E-3</v>
      </c>
      <c r="AJ76" s="1">
        <f t="shared" ca="1" si="82"/>
        <v>0.89524391604610132</v>
      </c>
      <c r="AK76" s="1">
        <f t="shared" ca="1" si="83"/>
        <v>7.8392023367926389E-3</v>
      </c>
      <c r="AL76" s="1"/>
      <c r="AM76" s="1">
        <f t="shared" ca="1" si="84"/>
        <v>4.5859448252790307E-2</v>
      </c>
      <c r="AN76" s="1">
        <f t="shared" ca="1" si="85"/>
        <v>28</v>
      </c>
      <c r="AO76" s="1">
        <f t="shared" ca="1" si="86"/>
        <v>12</v>
      </c>
      <c r="AQ76" s="1">
        <f t="shared" ca="1" si="87"/>
        <v>79</v>
      </c>
      <c r="AR76" s="1">
        <f t="shared" ca="1" si="88"/>
        <v>0</v>
      </c>
      <c r="AS76" s="1">
        <f t="shared" ca="1" si="89"/>
        <v>29</v>
      </c>
      <c r="AU76" s="1">
        <f t="shared" ca="1" si="90"/>
        <v>203</v>
      </c>
      <c r="AV76" s="1">
        <f t="shared" ca="1" si="91"/>
        <v>4</v>
      </c>
      <c r="AW76" s="1">
        <f t="shared" ca="1" si="92"/>
        <v>0.10156609747092668</v>
      </c>
      <c r="AY76" s="1">
        <f t="shared" ca="1" si="93"/>
        <v>1.768866116335434</v>
      </c>
      <c r="AZ76" s="1">
        <f t="shared" ca="1" si="94"/>
        <v>110</v>
      </c>
      <c r="BA76" s="1">
        <f t="shared" ca="1" si="95"/>
        <v>5.5040526559237048E-3</v>
      </c>
      <c r="BV76" s="1">
        <f t="shared" ca="1" si="96"/>
        <v>0.51911845592697425</v>
      </c>
      <c r="BW76" s="1">
        <f t="shared" ca="1" si="97"/>
        <v>635</v>
      </c>
      <c r="BX76" s="1">
        <f t="shared" ca="1" si="98"/>
        <v>4.3657536942986446E-3</v>
      </c>
      <c r="BY76" s="1">
        <f t="shared" ca="1" si="99"/>
        <v>1.6231835889453639E-2</v>
      </c>
      <c r="BZ76" s="1">
        <f t="shared" ca="1" si="100"/>
        <v>0.80406121102267125</v>
      </c>
      <c r="CB76" s="1">
        <f t="shared" ca="1" si="101"/>
        <v>301</v>
      </c>
      <c r="CC76" s="1">
        <f t="shared" ca="1" si="102"/>
        <v>6</v>
      </c>
      <c r="CD76" s="1">
        <f t="shared" ca="1" si="103"/>
        <v>0.15763322168318378</v>
      </c>
      <c r="CE76" s="1">
        <f t="shared" ca="1" si="104"/>
        <v>0.54914935533917286</v>
      </c>
      <c r="CF76" s="1">
        <f t="shared" ca="1" si="104"/>
        <v>0.77683366022091604</v>
      </c>
      <c r="CH76" s="3">
        <f t="shared" ca="1" si="105"/>
        <v>0.55010569648036944</v>
      </c>
      <c r="CI76" s="3">
        <f t="shared" ca="1" si="106"/>
        <v>0.13536233348250343</v>
      </c>
      <c r="CJ76" s="3">
        <f t="shared" ca="1" si="107"/>
        <v>1203</v>
      </c>
      <c r="CK76" s="3">
        <f t="shared" ca="1" si="108"/>
        <v>2.7233872767453361E-3</v>
      </c>
      <c r="CL76" s="3">
        <f t="shared" ca="1" si="109"/>
        <v>0</v>
      </c>
      <c r="CM76" s="3"/>
      <c r="CN76" s="1">
        <f t="shared" ca="1" si="110"/>
        <v>8.634376115134307</v>
      </c>
      <c r="CO76" s="1">
        <f t="shared" ca="1" si="111"/>
        <v>0.43613041820687887</v>
      </c>
      <c r="CP76" s="1">
        <f t="shared" ca="1" si="112"/>
        <v>1</v>
      </c>
    </row>
    <row r="77" spans="2:94" x14ac:dyDescent="0.25">
      <c r="B77">
        <f t="shared" ca="1" si="57"/>
        <v>194</v>
      </c>
      <c r="C77">
        <f t="shared" ca="1" si="58"/>
        <v>47</v>
      </c>
      <c r="D77">
        <f t="shared" ca="1" si="59"/>
        <v>0.1607721995399666</v>
      </c>
      <c r="F77" s="1">
        <f t="shared" ca="1" si="60"/>
        <v>43</v>
      </c>
      <c r="G77" s="1">
        <f t="shared" ca="1" si="61"/>
        <v>4</v>
      </c>
      <c r="H77" s="1">
        <f t="shared" ca="1" si="62"/>
        <v>14</v>
      </c>
      <c r="I77" s="1"/>
      <c r="J77" s="1">
        <f t="shared" ca="1" si="63"/>
        <v>3</v>
      </c>
      <c r="K77" s="1">
        <f t="shared" ca="1" si="64"/>
        <v>1.8877053684467433</v>
      </c>
      <c r="L77" s="1">
        <f t="shared" ca="1" si="65"/>
        <v>30</v>
      </c>
      <c r="M77" s="1"/>
      <c r="N77" s="1">
        <f t="shared" ca="1" si="66"/>
        <v>17</v>
      </c>
      <c r="O77" s="1">
        <f t="shared" ca="1" si="67"/>
        <v>26</v>
      </c>
      <c r="P77" s="1"/>
      <c r="Q77" s="1">
        <f t="shared" ca="1" si="68"/>
        <v>4.4778398877669643</v>
      </c>
      <c r="R77" s="1">
        <f t="shared" ca="1" si="69"/>
        <v>297</v>
      </c>
      <c r="S77" s="1"/>
      <c r="T77" s="1">
        <f t="shared" ca="1" si="70"/>
        <v>9.8849449674365847E-2</v>
      </c>
      <c r="U77" s="1">
        <f t="shared" ca="1" si="71"/>
        <v>396</v>
      </c>
      <c r="V77" s="1">
        <f t="shared" ca="1" si="72"/>
        <v>18</v>
      </c>
      <c r="W77" s="1"/>
      <c r="X77" s="1">
        <f t="shared" ca="1" si="73"/>
        <v>5.5402546487964113</v>
      </c>
      <c r="Y77" s="1">
        <f t="shared" ca="1" si="74"/>
        <v>0.89899353938769899</v>
      </c>
      <c r="Z77" s="1">
        <f t="shared" ca="1" si="75"/>
        <v>256</v>
      </c>
      <c r="AB77" s="1">
        <f t="shared" ca="1" si="76"/>
        <v>0.6954867873964572</v>
      </c>
      <c r="AC77" s="1">
        <f t="shared" ca="1" si="77"/>
        <v>958</v>
      </c>
      <c r="AD77" s="1">
        <f t="shared" ca="1" si="78"/>
        <v>2.194247962757973E-3</v>
      </c>
      <c r="AE77" s="1"/>
      <c r="AF77" s="1">
        <f t="shared" ca="1" si="79"/>
        <v>0.58781390104781928</v>
      </c>
      <c r="AG77" s="1">
        <f t="shared" ca="1" si="80"/>
        <v>282</v>
      </c>
      <c r="AH77" s="1">
        <f t="shared" ca="1" si="81"/>
        <v>8.954710388969887E-3</v>
      </c>
      <c r="AJ77" s="1">
        <f t="shared" ca="1" si="82"/>
        <v>0.59356474634165846</v>
      </c>
      <c r="AK77" s="1">
        <f t="shared" ca="1" si="83"/>
        <v>3.6871661926675243E-3</v>
      </c>
      <c r="AL77" s="1"/>
      <c r="AM77" s="1">
        <f t="shared" ca="1" si="84"/>
        <v>0.15503488258902121</v>
      </c>
      <c r="AN77" s="1">
        <f t="shared" ca="1" si="85"/>
        <v>30</v>
      </c>
      <c r="AO77" s="1">
        <f t="shared" ca="1" si="86"/>
        <v>2</v>
      </c>
      <c r="AQ77" s="1">
        <f t="shared" ca="1" si="87"/>
        <v>134</v>
      </c>
      <c r="AR77" s="1">
        <f t="shared" ca="1" si="88"/>
        <v>1</v>
      </c>
      <c r="AS77" s="1">
        <f t="shared" ca="1" si="89"/>
        <v>68</v>
      </c>
      <c r="AU77" s="1">
        <f t="shared" ca="1" si="90"/>
        <v>150</v>
      </c>
      <c r="AV77" s="1">
        <f t="shared" ca="1" si="91"/>
        <v>3</v>
      </c>
      <c r="AW77" s="1">
        <f t="shared" ca="1" si="92"/>
        <v>9.0568730487816537E-2</v>
      </c>
      <c r="AY77" s="1">
        <f t="shared" ca="1" si="93"/>
        <v>1.5240761550728354</v>
      </c>
      <c r="AZ77" s="1">
        <f t="shared" ca="1" si="94"/>
        <v>304</v>
      </c>
      <c r="BA77" s="1">
        <f t="shared" ca="1" si="95"/>
        <v>6.7015240835341097E-3</v>
      </c>
      <c r="BV77" s="1">
        <f t="shared" ca="1" si="96"/>
        <v>0.75227395593809487</v>
      </c>
      <c r="BW77" s="1">
        <f t="shared" ca="1" si="97"/>
        <v>795</v>
      </c>
      <c r="BX77" s="1">
        <f t="shared" ca="1" si="98"/>
        <v>3.2347151332669352E-3</v>
      </c>
      <c r="BY77" s="1">
        <f t="shared" ca="1" si="99"/>
        <v>9.6721614527247243E-3</v>
      </c>
      <c r="BZ77" s="1">
        <f t="shared" ca="1" si="100"/>
        <v>0.64356378506873291</v>
      </c>
      <c r="CB77" s="1">
        <f t="shared" ca="1" si="101"/>
        <v>235</v>
      </c>
      <c r="CC77" s="1">
        <f t="shared" ca="1" si="102"/>
        <v>4</v>
      </c>
      <c r="CD77" s="1">
        <f t="shared" ca="1" si="103"/>
        <v>6.0005282974559024E-2</v>
      </c>
      <c r="CE77" s="1">
        <f t="shared" ca="1" si="104"/>
        <v>0.94017925294256499</v>
      </c>
      <c r="CF77" s="1">
        <f t="shared" ca="1" si="104"/>
        <v>0.73770134552569944</v>
      </c>
      <c r="CH77" s="3">
        <f t="shared" ca="1" si="105"/>
        <v>1.4316256553164973E-2</v>
      </c>
      <c r="CI77" s="3">
        <f t="shared" ca="1" si="106"/>
        <v>0.93833434993046061</v>
      </c>
      <c r="CJ77" s="3">
        <f t="shared" ca="1" si="107"/>
        <v>1404</v>
      </c>
      <c r="CK77" s="3">
        <f t="shared" ca="1" si="108"/>
        <v>3.251526220027497E-4</v>
      </c>
      <c r="CL77" s="3">
        <f t="shared" ca="1" si="109"/>
        <v>1</v>
      </c>
      <c r="CM77" s="3"/>
      <c r="CN77" s="1">
        <f t="shared" ca="1" si="110"/>
        <v>9.2389739700179376</v>
      </c>
      <c r="CO77" s="1">
        <f t="shared" ca="1" si="111"/>
        <v>8.5954934537746427E-2</v>
      </c>
      <c r="CP77" s="1">
        <f t="shared" ca="1" si="112"/>
        <v>5</v>
      </c>
    </row>
    <row r="78" spans="2:94" x14ac:dyDescent="0.25">
      <c r="B78">
        <f t="shared" ca="1" si="57"/>
        <v>93</v>
      </c>
      <c r="C78">
        <f t="shared" ca="1" si="58"/>
        <v>37</v>
      </c>
      <c r="D78">
        <f t="shared" ca="1" si="59"/>
        <v>0.26147702849733334</v>
      </c>
      <c r="F78" s="1">
        <f t="shared" ca="1" si="60"/>
        <v>38</v>
      </c>
      <c r="G78" s="1">
        <f t="shared" ca="1" si="61"/>
        <v>9</v>
      </c>
      <c r="H78" s="1">
        <f t="shared" ca="1" si="62"/>
        <v>10</v>
      </c>
      <c r="I78" s="1"/>
      <c r="J78" s="1">
        <f t="shared" ca="1" si="63"/>
        <v>19</v>
      </c>
      <c r="K78" s="1">
        <f t="shared" ca="1" si="64"/>
        <v>1.8234081348645372</v>
      </c>
      <c r="L78" s="1">
        <f t="shared" ca="1" si="65"/>
        <v>26</v>
      </c>
      <c r="M78" s="1"/>
      <c r="N78" s="1">
        <f t="shared" ca="1" si="66"/>
        <v>451</v>
      </c>
      <c r="O78" s="1">
        <f t="shared" ca="1" si="67"/>
        <v>30</v>
      </c>
      <c r="P78" s="1"/>
      <c r="Q78" s="1">
        <f t="shared" ca="1" si="68"/>
        <v>2.2702231628604777</v>
      </c>
      <c r="R78" s="1">
        <f t="shared" ca="1" si="69"/>
        <v>970</v>
      </c>
      <c r="S78" s="1"/>
      <c r="T78" s="1">
        <f t="shared" ca="1" si="70"/>
        <v>0.1397398510072573</v>
      </c>
      <c r="U78" s="1">
        <f t="shared" ca="1" si="71"/>
        <v>288</v>
      </c>
      <c r="V78" s="1">
        <f t="shared" ca="1" si="72"/>
        <v>39</v>
      </c>
      <c r="W78" s="1"/>
      <c r="X78" s="1">
        <f t="shared" ca="1" si="73"/>
        <v>9.0030921803122688</v>
      </c>
      <c r="Y78" s="1">
        <f t="shared" ca="1" si="74"/>
        <v>0.99937993408201986</v>
      </c>
      <c r="Z78" s="1">
        <f t="shared" ca="1" si="75"/>
        <v>709</v>
      </c>
      <c r="AB78" s="1">
        <f t="shared" ca="1" si="76"/>
        <v>0.51879842142231714</v>
      </c>
      <c r="AC78" s="1">
        <f t="shared" ca="1" si="77"/>
        <v>656</v>
      </c>
      <c r="AD78" s="1">
        <f t="shared" ca="1" si="78"/>
        <v>8.0081975710412263E-3</v>
      </c>
      <c r="AE78" s="1"/>
      <c r="AF78" s="1">
        <f t="shared" ca="1" si="79"/>
        <v>0.25170656119250823</v>
      </c>
      <c r="AG78" s="1">
        <f t="shared" ca="1" si="80"/>
        <v>814</v>
      </c>
      <c r="AH78" s="1">
        <f t="shared" ca="1" si="81"/>
        <v>5.6496540445716099E-3</v>
      </c>
      <c r="AJ78" s="1">
        <f t="shared" ca="1" si="82"/>
        <v>0.80150367109478549</v>
      </c>
      <c r="AK78" s="1">
        <f t="shared" ca="1" si="83"/>
        <v>2.080563898853196E-3</v>
      </c>
      <c r="AL78" s="1"/>
      <c r="AM78" s="1">
        <f t="shared" ca="1" si="84"/>
        <v>7.6807169461607816E-2</v>
      </c>
      <c r="AN78" s="1">
        <f t="shared" ca="1" si="85"/>
        <v>50</v>
      </c>
      <c r="AO78" s="1">
        <f t="shared" ca="1" si="86"/>
        <v>9</v>
      </c>
      <c r="AQ78" s="1">
        <f t="shared" ca="1" si="87"/>
        <v>66</v>
      </c>
      <c r="AR78" s="1">
        <f t="shared" ca="1" si="88"/>
        <v>4</v>
      </c>
      <c r="AS78" s="1">
        <f t="shared" ca="1" si="89"/>
        <v>28</v>
      </c>
      <c r="AU78" s="1">
        <f t="shared" ca="1" si="90"/>
        <v>366</v>
      </c>
      <c r="AV78" s="1">
        <f t="shared" ca="1" si="91"/>
        <v>9</v>
      </c>
      <c r="AW78" s="1">
        <f t="shared" ca="1" si="92"/>
        <v>0.19084156621463355</v>
      </c>
      <c r="AY78" s="1">
        <f t="shared" ca="1" si="93"/>
        <v>1.9270544190385297</v>
      </c>
      <c r="AZ78" s="1">
        <f t="shared" ca="1" si="94"/>
        <v>52</v>
      </c>
      <c r="BA78" s="1">
        <f t="shared" ca="1" si="95"/>
        <v>8.5089902029729419E-5</v>
      </c>
      <c r="BV78" s="1">
        <f t="shared" ca="1" si="96"/>
        <v>0.298633464546465</v>
      </c>
      <c r="BW78" s="1">
        <f t="shared" ca="1" si="97"/>
        <v>932</v>
      </c>
      <c r="BX78" s="1">
        <f t="shared" ca="1" si="98"/>
        <v>8.3023281181316445E-3</v>
      </c>
      <c r="BY78" s="1">
        <f t="shared" ca="1" si="99"/>
        <v>7.6842020123969401E-2</v>
      </c>
      <c r="BZ78" s="1">
        <f t="shared" ca="1" si="100"/>
        <v>0.39635918003065707</v>
      </c>
      <c r="CB78" s="1">
        <f t="shared" ca="1" si="101"/>
        <v>347</v>
      </c>
      <c r="CC78" s="1">
        <f t="shared" ca="1" si="102"/>
        <v>6</v>
      </c>
      <c r="CD78" s="1">
        <f t="shared" ca="1" si="103"/>
        <v>9.4140644354488295E-2</v>
      </c>
      <c r="CE78" s="1">
        <f t="shared" ca="1" si="104"/>
        <v>0.84926293383638485</v>
      </c>
      <c r="CF78" s="1">
        <f t="shared" ca="1" si="104"/>
        <v>0.8364701556541011</v>
      </c>
      <c r="CH78" s="3">
        <f t="shared" ca="1" si="105"/>
        <v>0.58861822749686921</v>
      </c>
      <c r="CI78" s="3">
        <f t="shared" ca="1" si="106"/>
        <v>0.31042271734164356</v>
      </c>
      <c r="CJ78" s="3">
        <f t="shared" ca="1" si="107"/>
        <v>1270</v>
      </c>
      <c r="CK78" s="3">
        <f t="shared" ca="1" si="108"/>
        <v>8.3680648323455429E-3</v>
      </c>
      <c r="CL78" s="3">
        <f t="shared" ca="1" si="109"/>
        <v>1</v>
      </c>
      <c r="CM78" s="3"/>
      <c r="CN78" s="1">
        <f t="shared" ca="1" si="110"/>
        <v>15.548498159090375</v>
      </c>
      <c r="CO78" s="1">
        <f t="shared" ca="1" si="111"/>
        <v>0.16707327867950075</v>
      </c>
      <c r="CP78" s="1">
        <f t="shared" ca="1" si="112"/>
        <v>2</v>
      </c>
    </row>
    <row r="79" spans="2:94" x14ac:dyDescent="0.25">
      <c r="B79">
        <f t="shared" ca="1" si="57"/>
        <v>750</v>
      </c>
      <c r="C79">
        <f t="shared" ca="1" si="58"/>
        <v>34</v>
      </c>
      <c r="D79">
        <f t="shared" ca="1" si="59"/>
        <v>4.472188959178925E-2</v>
      </c>
      <c r="F79" s="1">
        <f t="shared" ca="1" si="60"/>
        <v>52</v>
      </c>
      <c r="G79" s="1">
        <f t="shared" ca="1" si="61"/>
        <v>17</v>
      </c>
      <c r="H79" s="1">
        <f t="shared" ca="1" si="62"/>
        <v>14</v>
      </c>
      <c r="I79" s="1"/>
      <c r="J79" s="1">
        <f t="shared" ca="1" si="63"/>
        <v>33</v>
      </c>
      <c r="K79" s="1">
        <f t="shared" ca="1" si="64"/>
        <v>1.3686682425572043</v>
      </c>
      <c r="L79" s="1">
        <f t="shared" ca="1" si="65"/>
        <v>29</v>
      </c>
      <c r="M79" s="1"/>
      <c r="N79" s="1">
        <f t="shared" ca="1" si="66"/>
        <v>125</v>
      </c>
      <c r="O79" s="1">
        <f t="shared" ca="1" si="67"/>
        <v>25</v>
      </c>
      <c r="P79" s="1"/>
      <c r="Q79" s="1">
        <f t="shared" ca="1" si="68"/>
        <v>3.1118968882703789E-2</v>
      </c>
      <c r="R79" s="1">
        <f t="shared" ca="1" si="69"/>
        <v>227</v>
      </c>
      <c r="S79" s="1"/>
      <c r="T79" s="1">
        <f t="shared" ca="1" si="70"/>
        <v>0.18801093089937482</v>
      </c>
      <c r="U79" s="1">
        <f t="shared" ca="1" si="71"/>
        <v>258</v>
      </c>
      <c r="V79" s="1">
        <f t="shared" ca="1" si="72"/>
        <v>29</v>
      </c>
      <c r="W79" s="1"/>
      <c r="X79" s="1">
        <f t="shared" ca="1" si="73"/>
        <v>7.3213059321486176</v>
      </c>
      <c r="Y79" s="1">
        <f t="shared" ca="1" si="74"/>
        <v>0.15339623990566476</v>
      </c>
      <c r="Z79" s="1">
        <f t="shared" ca="1" si="75"/>
        <v>451</v>
      </c>
      <c r="AB79" s="1">
        <f t="shared" ca="1" si="76"/>
        <v>0.95114107575789231</v>
      </c>
      <c r="AC79" s="1">
        <f t="shared" ca="1" si="77"/>
        <v>968</v>
      </c>
      <c r="AD79" s="1">
        <f t="shared" ca="1" si="78"/>
        <v>1.9309886095491486E-3</v>
      </c>
      <c r="AE79" s="1"/>
      <c r="AF79" s="1">
        <f t="shared" ca="1" si="79"/>
        <v>0.86246686224201752</v>
      </c>
      <c r="AG79" s="1">
        <f t="shared" ca="1" si="80"/>
        <v>879</v>
      </c>
      <c r="AH79" s="1">
        <f t="shared" ca="1" si="81"/>
        <v>2.0625434728356938E-3</v>
      </c>
      <c r="AJ79" s="1">
        <f t="shared" ca="1" si="82"/>
        <v>0.26263543363271546</v>
      </c>
      <c r="AK79" s="1">
        <f t="shared" ca="1" si="83"/>
        <v>7.0145795896862841E-3</v>
      </c>
      <c r="AL79" s="1"/>
      <c r="AM79" s="1">
        <f t="shared" ca="1" si="84"/>
        <v>0.1600197245795742</v>
      </c>
      <c r="AN79" s="1">
        <f t="shared" ca="1" si="85"/>
        <v>35</v>
      </c>
      <c r="AO79" s="1">
        <f t="shared" ca="1" si="86"/>
        <v>14</v>
      </c>
      <c r="AQ79" s="1">
        <f t="shared" ca="1" si="87"/>
        <v>24</v>
      </c>
      <c r="AR79" s="1">
        <f t="shared" ca="1" si="88"/>
        <v>4</v>
      </c>
      <c r="AS79" s="1">
        <f t="shared" ca="1" si="89"/>
        <v>42</v>
      </c>
      <c r="AU79" s="1">
        <f t="shared" ca="1" si="90"/>
        <v>326</v>
      </c>
      <c r="AV79" s="1">
        <f t="shared" ca="1" si="91"/>
        <v>9</v>
      </c>
      <c r="AW79" s="1">
        <f t="shared" ca="1" si="92"/>
        <v>5.8173445168677715E-2</v>
      </c>
      <c r="AY79" s="1">
        <f t="shared" ca="1" si="93"/>
        <v>1.4071737887127622</v>
      </c>
      <c r="AZ79" s="1">
        <f t="shared" ca="1" si="94"/>
        <v>410</v>
      </c>
      <c r="BA79" s="1">
        <f t="shared" ca="1" si="95"/>
        <v>4.2680205344190775E-3</v>
      </c>
      <c r="BV79" s="1">
        <f t="shared" ca="1" si="96"/>
        <v>0.79251269941256774</v>
      </c>
      <c r="BW79" s="1">
        <f t="shared" ca="1" si="97"/>
        <v>878</v>
      </c>
      <c r="BX79" s="1">
        <f t="shared" ca="1" si="98"/>
        <v>7.4222533424302701E-3</v>
      </c>
      <c r="BY79" s="1">
        <f t="shared" ca="1" si="99"/>
        <v>6.0266422845777441E-2</v>
      </c>
      <c r="BZ79" s="1">
        <f t="shared" ca="1" si="100"/>
        <v>0.11830578091408583</v>
      </c>
      <c r="CB79" s="1">
        <f t="shared" ca="1" si="101"/>
        <v>402</v>
      </c>
      <c r="CC79" s="1">
        <f t="shared" ca="1" si="102"/>
        <v>8</v>
      </c>
      <c r="CD79" s="1">
        <f t="shared" ca="1" si="103"/>
        <v>2.645430723372199E-2</v>
      </c>
      <c r="CE79" s="1">
        <f t="shared" ca="1" si="104"/>
        <v>0.96957978990650351</v>
      </c>
      <c r="CF79" s="1">
        <f t="shared" ca="1" si="104"/>
        <v>0.74949129158708538</v>
      </c>
      <c r="CH79" s="3">
        <f t="shared" ca="1" si="105"/>
        <v>0.65552672431952186</v>
      </c>
      <c r="CI79" s="3">
        <f t="shared" ca="1" si="106"/>
        <v>0.5542020463414411</v>
      </c>
      <c r="CJ79" s="3">
        <f t="shared" ca="1" si="107"/>
        <v>438</v>
      </c>
      <c r="CK79" s="3">
        <f t="shared" ca="1" si="108"/>
        <v>7.3746801684314743E-3</v>
      </c>
      <c r="CL79" s="3">
        <f t="shared" ca="1" si="109"/>
        <v>1</v>
      </c>
      <c r="CM79" s="3"/>
      <c r="CN79" s="1">
        <f t="shared" ca="1" si="110"/>
        <v>6.8424601080584253</v>
      </c>
      <c r="CO79" s="1">
        <f t="shared" ca="1" si="111"/>
        <v>0.12367664023796773</v>
      </c>
      <c r="CP79" s="1">
        <f t="shared" ca="1" si="112"/>
        <v>5</v>
      </c>
    </row>
    <row r="80" spans="2:94" x14ac:dyDescent="0.25">
      <c r="B80">
        <f t="shared" ca="1" si="57"/>
        <v>177</v>
      </c>
      <c r="C80">
        <f t="shared" ca="1" si="58"/>
        <v>5</v>
      </c>
      <c r="D80">
        <f t="shared" ca="1" si="59"/>
        <v>3.6163983850102936E-2</v>
      </c>
      <c r="F80" s="1">
        <f t="shared" ca="1" si="60"/>
        <v>4</v>
      </c>
      <c r="G80" s="1">
        <f t="shared" ca="1" si="61"/>
        <v>27</v>
      </c>
      <c r="H80" s="1">
        <f t="shared" ca="1" si="62"/>
        <v>4</v>
      </c>
      <c r="I80" s="1"/>
      <c r="J80" s="1">
        <f t="shared" ca="1" si="63"/>
        <v>35</v>
      </c>
      <c r="K80" s="1">
        <f t="shared" ca="1" si="64"/>
        <v>1.4639024775887057</v>
      </c>
      <c r="L80" s="1">
        <f t="shared" ca="1" si="65"/>
        <v>17</v>
      </c>
      <c r="M80" s="1"/>
      <c r="N80" s="1">
        <f t="shared" ca="1" si="66"/>
        <v>933</v>
      </c>
      <c r="O80" s="1">
        <f t="shared" ca="1" si="67"/>
        <v>22</v>
      </c>
      <c r="P80" s="1"/>
      <c r="Q80" s="1">
        <f t="shared" ca="1" si="68"/>
        <v>0.30570438251879478</v>
      </c>
      <c r="R80" s="1">
        <f t="shared" ca="1" si="69"/>
        <v>1110</v>
      </c>
      <c r="S80" s="1"/>
      <c r="T80" s="1">
        <f t="shared" ca="1" si="70"/>
        <v>2.0932023039002434E-2</v>
      </c>
      <c r="U80" s="1">
        <f t="shared" ca="1" si="71"/>
        <v>116</v>
      </c>
      <c r="V80" s="1">
        <f t="shared" ca="1" si="72"/>
        <v>8</v>
      </c>
      <c r="W80" s="1"/>
      <c r="X80" s="1">
        <f t="shared" ca="1" si="73"/>
        <v>0.32553917337846044</v>
      </c>
      <c r="Y80" s="1">
        <f t="shared" ca="1" si="74"/>
        <v>0.24721190152206995</v>
      </c>
      <c r="Z80" s="1">
        <f t="shared" ca="1" si="75"/>
        <v>413</v>
      </c>
      <c r="AB80" s="1">
        <f t="shared" ca="1" si="76"/>
        <v>0.36486815111427284</v>
      </c>
      <c r="AC80" s="1">
        <f t="shared" ca="1" si="77"/>
        <v>567</v>
      </c>
      <c r="AD80" s="1">
        <f t="shared" ca="1" si="78"/>
        <v>1.3374202637541708E-3</v>
      </c>
      <c r="AE80" s="1"/>
      <c r="AF80" s="1">
        <f t="shared" ca="1" si="79"/>
        <v>0.75102545392241127</v>
      </c>
      <c r="AG80" s="1">
        <f t="shared" ca="1" si="80"/>
        <v>967</v>
      </c>
      <c r="AH80" s="1">
        <f t="shared" ca="1" si="81"/>
        <v>4.8225257753397102E-3</v>
      </c>
      <c r="AJ80" s="1">
        <f t="shared" ca="1" si="82"/>
        <v>2.9607401198649907E-2</v>
      </c>
      <c r="AK80" s="1">
        <f t="shared" ca="1" si="83"/>
        <v>3.3290380310536799E-3</v>
      </c>
      <c r="AL80" s="1"/>
      <c r="AM80" s="1">
        <f t="shared" ca="1" si="84"/>
        <v>0.18784512928545288</v>
      </c>
      <c r="AN80" s="1">
        <f t="shared" ca="1" si="85"/>
        <v>52</v>
      </c>
      <c r="AO80" s="1">
        <f t="shared" ca="1" si="86"/>
        <v>13</v>
      </c>
      <c r="AQ80" s="1">
        <f t="shared" ca="1" si="87"/>
        <v>146</v>
      </c>
      <c r="AR80" s="1">
        <f t="shared" ca="1" si="88"/>
        <v>0</v>
      </c>
      <c r="AS80" s="1">
        <f t="shared" ca="1" si="89"/>
        <v>29</v>
      </c>
      <c r="AU80" s="1">
        <f t="shared" ca="1" si="90"/>
        <v>116</v>
      </c>
      <c r="AV80" s="1">
        <f t="shared" ca="1" si="91"/>
        <v>6</v>
      </c>
      <c r="AW80" s="1">
        <f t="shared" ca="1" si="92"/>
        <v>0.11650374844850436</v>
      </c>
      <c r="AY80" s="1">
        <f t="shared" ca="1" si="93"/>
        <v>1.3437586918597655</v>
      </c>
      <c r="AZ80" s="1">
        <f t="shared" ca="1" si="94"/>
        <v>450</v>
      </c>
      <c r="BA80" s="1">
        <f t="shared" ca="1" si="95"/>
        <v>4.5602711970375951E-4</v>
      </c>
      <c r="BV80" s="1">
        <f t="shared" ca="1" si="96"/>
        <v>0.2528339930177646</v>
      </c>
      <c r="BW80" s="1">
        <f t="shared" ca="1" si="97"/>
        <v>652</v>
      </c>
      <c r="BX80" s="1">
        <f t="shared" ca="1" si="98"/>
        <v>5.7995542781748999E-3</v>
      </c>
      <c r="BY80" s="1">
        <f t="shared" ca="1" si="99"/>
        <v>8.5298087694022875E-2</v>
      </c>
      <c r="BZ80" s="1">
        <f t="shared" ca="1" si="100"/>
        <v>0.18203338597789143</v>
      </c>
      <c r="CB80" s="1">
        <f t="shared" ca="1" si="101"/>
        <v>207</v>
      </c>
      <c r="CC80" s="1">
        <f t="shared" ca="1" si="102"/>
        <v>6</v>
      </c>
      <c r="CD80" s="1">
        <f t="shared" ca="1" si="103"/>
        <v>0.13168809249813729</v>
      </c>
      <c r="CE80" s="1">
        <f t="shared" ca="1" si="104"/>
        <v>0.58962285194084441</v>
      </c>
      <c r="CF80" s="1">
        <f t="shared" ca="1" si="104"/>
        <v>0.90441655322895587</v>
      </c>
      <c r="CH80" s="3">
        <f t="shared" ca="1" si="105"/>
        <v>0.1805253364857593</v>
      </c>
      <c r="CI80" s="3">
        <f t="shared" ca="1" si="106"/>
        <v>0.87486671094284663</v>
      </c>
      <c r="CJ80" s="3">
        <f t="shared" ca="1" si="107"/>
        <v>1837</v>
      </c>
      <c r="CK80" s="3">
        <f t="shared" ca="1" si="108"/>
        <v>6.3044154563790481E-3</v>
      </c>
      <c r="CL80" s="3">
        <f t="shared" ca="1" si="109"/>
        <v>1</v>
      </c>
      <c r="CM80" s="3"/>
      <c r="CN80" s="1">
        <f t="shared" ca="1" si="110"/>
        <v>5.8099619875202073</v>
      </c>
      <c r="CO80" s="1">
        <f t="shared" ca="1" si="111"/>
        <v>0.37880531729361899</v>
      </c>
      <c r="CP80" s="1">
        <f t="shared" ca="1" si="112"/>
        <v>5</v>
      </c>
    </row>
    <row r="81" spans="2:94" x14ac:dyDescent="0.25">
      <c r="B81">
        <f t="shared" ca="1" si="57"/>
        <v>738</v>
      </c>
      <c r="C81">
        <f t="shared" ca="1" si="58"/>
        <v>41</v>
      </c>
      <c r="D81">
        <f t="shared" ca="1" si="59"/>
        <v>2.8084733820363729E-2</v>
      </c>
      <c r="F81" s="1">
        <f t="shared" ca="1" si="60"/>
        <v>14</v>
      </c>
      <c r="G81" s="1">
        <f t="shared" ca="1" si="61"/>
        <v>20</v>
      </c>
      <c r="H81" s="1">
        <f t="shared" ca="1" si="62"/>
        <v>4</v>
      </c>
      <c r="I81" s="1"/>
      <c r="J81" s="1">
        <f t="shared" ca="1" si="63"/>
        <v>11</v>
      </c>
      <c r="K81" s="1">
        <f t="shared" ca="1" si="64"/>
        <v>2.4087970951457778</v>
      </c>
      <c r="L81" s="1">
        <f t="shared" ca="1" si="65"/>
        <v>29</v>
      </c>
      <c r="M81" s="1"/>
      <c r="N81" s="1">
        <f t="shared" ca="1" si="66"/>
        <v>774</v>
      </c>
      <c r="O81" s="1">
        <f t="shared" ca="1" si="67"/>
        <v>14</v>
      </c>
      <c r="P81" s="1"/>
      <c r="Q81" s="1">
        <f t="shared" ca="1" si="68"/>
        <v>1.4766146793511659</v>
      </c>
      <c r="R81" s="1">
        <f t="shared" ca="1" si="69"/>
        <v>626</v>
      </c>
      <c r="S81" s="1"/>
      <c r="T81" s="1">
        <f t="shared" ca="1" si="70"/>
        <v>0.12241720044658061</v>
      </c>
      <c r="U81" s="1">
        <f t="shared" ca="1" si="71"/>
        <v>230</v>
      </c>
      <c r="V81" s="1">
        <f t="shared" ca="1" si="72"/>
        <v>40</v>
      </c>
      <c r="W81" s="1"/>
      <c r="X81" s="1">
        <f t="shared" ca="1" si="73"/>
        <v>5.7953743369575408</v>
      </c>
      <c r="Y81" s="1">
        <f t="shared" ca="1" si="74"/>
        <v>0.73020936693780858</v>
      </c>
      <c r="Z81" s="1">
        <f t="shared" ca="1" si="75"/>
        <v>1754</v>
      </c>
      <c r="AB81" s="1">
        <f t="shared" ca="1" si="76"/>
        <v>1.0653324130569346E-3</v>
      </c>
      <c r="AC81" s="1">
        <f t="shared" ca="1" si="77"/>
        <v>526</v>
      </c>
      <c r="AD81" s="1">
        <f t="shared" ca="1" si="78"/>
        <v>9.5402170474720872E-3</v>
      </c>
      <c r="AE81" s="1"/>
      <c r="AF81" s="1">
        <f t="shared" ca="1" si="79"/>
        <v>0.37290975148194661</v>
      </c>
      <c r="AG81" s="1">
        <f t="shared" ca="1" si="80"/>
        <v>135</v>
      </c>
      <c r="AH81" s="1">
        <f t="shared" ca="1" si="81"/>
        <v>5.2392376478152518E-3</v>
      </c>
      <c r="AJ81" s="1">
        <f t="shared" ca="1" si="82"/>
        <v>0.74498439549816675</v>
      </c>
      <c r="AK81" s="1">
        <f t="shared" ca="1" si="83"/>
        <v>9.0718973498423363E-3</v>
      </c>
      <c r="AL81" s="1"/>
      <c r="AM81" s="1">
        <f t="shared" ca="1" si="84"/>
        <v>2.195892420509531E-2</v>
      </c>
      <c r="AN81" s="1">
        <f t="shared" ca="1" si="85"/>
        <v>51</v>
      </c>
      <c r="AO81" s="1">
        <f t="shared" ca="1" si="86"/>
        <v>11</v>
      </c>
      <c r="AQ81" s="1">
        <f t="shared" ca="1" si="87"/>
        <v>42</v>
      </c>
      <c r="AR81" s="1">
        <f t="shared" ca="1" si="88"/>
        <v>5</v>
      </c>
      <c r="AS81" s="1">
        <f t="shared" ca="1" si="89"/>
        <v>55</v>
      </c>
      <c r="AU81" s="1">
        <f t="shared" ca="1" si="90"/>
        <v>134</v>
      </c>
      <c r="AV81" s="1">
        <f t="shared" ca="1" si="91"/>
        <v>9</v>
      </c>
      <c r="AW81" s="1">
        <f t="shared" ca="1" si="92"/>
        <v>5.6297648093469599E-2</v>
      </c>
      <c r="AY81" s="1">
        <f t="shared" ca="1" si="93"/>
        <v>1.8247410308236742</v>
      </c>
      <c r="AZ81" s="1">
        <f t="shared" ca="1" si="94"/>
        <v>390</v>
      </c>
      <c r="BA81" s="1">
        <f t="shared" ca="1" si="95"/>
        <v>2.3484905459741409E-3</v>
      </c>
      <c r="BV81" s="1">
        <f t="shared" ca="1" si="96"/>
        <v>0.9771300815229399</v>
      </c>
      <c r="BW81" s="1">
        <f t="shared" ca="1" si="97"/>
        <v>558</v>
      </c>
      <c r="BX81" s="1">
        <f t="shared" ca="1" si="98"/>
        <v>3.8973347564992405E-3</v>
      </c>
      <c r="BY81" s="1">
        <f t="shared" ca="1" si="99"/>
        <v>8.5671213632519852E-2</v>
      </c>
      <c r="BZ81" s="1">
        <f t="shared" ca="1" si="100"/>
        <v>8.1124285068634228E-2</v>
      </c>
      <c r="CB81" s="1">
        <f t="shared" ca="1" si="101"/>
        <v>425</v>
      </c>
      <c r="CC81" s="1">
        <f t="shared" ca="1" si="102"/>
        <v>3</v>
      </c>
      <c r="CD81" s="1">
        <f t="shared" ca="1" si="103"/>
        <v>0.2069457174041591</v>
      </c>
      <c r="CE81" s="1">
        <f t="shared" ca="1" si="104"/>
        <v>0.75092290520672078</v>
      </c>
      <c r="CF81" s="1">
        <f t="shared" ca="1" si="104"/>
        <v>0.7184839825757936</v>
      </c>
      <c r="CH81" s="3">
        <f t="shared" ca="1" si="105"/>
        <v>0.6006553545551504</v>
      </c>
      <c r="CI81" s="3">
        <f t="shared" ca="1" si="106"/>
        <v>0.49850931725266584</v>
      </c>
      <c r="CJ81" s="3">
        <f t="shared" ca="1" si="107"/>
        <v>1225</v>
      </c>
      <c r="CK81" s="3">
        <f t="shared" ca="1" si="108"/>
        <v>5.9328629154235622E-3</v>
      </c>
      <c r="CL81" s="3">
        <f t="shared" ca="1" si="109"/>
        <v>1</v>
      </c>
      <c r="CM81" s="3"/>
      <c r="CN81" s="1">
        <f t="shared" ca="1" si="110"/>
        <v>12.356824448246412</v>
      </c>
      <c r="CO81" s="1">
        <f t="shared" ca="1" si="111"/>
        <v>0.39867113787536562</v>
      </c>
      <c r="CP81" s="1">
        <f t="shared" ca="1" si="112"/>
        <v>3</v>
      </c>
    </row>
    <row r="82" spans="2:94" x14ac:dyDescent="0.25">
      <c r="B82">
        <f t="shared" ca="1" si="57"/>
        <v>914</v>
      </c>
      <c r="C82">
        <f t="shared" ca="1" si="58"/>
        <v>31</v>
      </c>
      <c r="D82">
        <f t="shared" ca="1" si="59"/>
        <v>6.0980354699005861E-2</v>
      </c>
      <c r="F82" s="1">
        <f t="shared" ca="1" si="60"/>
        <v>15</v>
      </c>
      <c r="G82" s="1">
        <f t="shared" ca="1" si="61"/>
        <v>27</v>
      </c>
      <c r="H82" s="1">
        <f t="shared" ca="1" si="62"/>
        <v>3</v>
      </c>
      <c r="I82" s="1"/>
      <c r="J82" s="1">
        <f t="shared" ca="1" si="63"/>
        <v>12</v>
      </c>
      <c r="K82" s="1">
        <f t="shared" ca="1" si="64"/>
        <v>2.4882131181215517</v>
      </c>
      <c r="L82" s="1">
        <f t="shared" ca="1" si="65"/>
        <v>6</v>
      </c>
      <c r="M82" s="1"/>
      <c r="N82" s="1">
        <f t="shared" ca="1" si="66"/>
        <v>701</v>
      </c>
      <c r="O82" s="1">
        <f t="shared" ca="1" si="67"/>
        <v>44</v>
      </c>
      <c r="P82" s="1"/>
      <c r="Q82" s="1">
        <f t="shared" ca="1" si="68"/>
        <v>4.0395506826146264</v>
      </c>
      <c r="R82" s="1">
        <f t="shared" ca="1" si="69"/>
        <v>229</v>
      </c>
      <c r="S82" s="1"/>
      <c r="T82" s="1">
        <f t="shared" ca="1" si="70"/>
        <v>8.3468012501147007E-2</v>
      </c>
      <c r="U82" s="1">
        <f t="shared" ca="1" si="71"/>
        <v>348</v>
      </c>
      <c r="V82" s="1">
        <f t="shared" ca="1" si="72"/>
        <v>31</v>
      </c>
      <c r="W82" s="1"/>
      <c r="X82" s="1">
        <f t="shared" ca="1" si="73"/>
        <v>3.6182862733195105</v>
      </c>
      <c r="Y82" s="1">
        <f t="shared" ca="1" si="74"/>
        <v>0.96362127584384827</v>
      </c>
      <c r="Z82" s="1">
        <f t="shared" ca="1" si="75"/>
        <v>1782</v>
      </c>
      <c r="AB82" s="1">
        <f t="shared" ca="1" si="76"/>
        <v>0.52712408947092892</v>
      </c>
      <c r="AC82" s="1">
        <f t="shared" ca="1" si="77"/>
        <v>485</v>
      </c>
      <c r="AD82" s="1">
        <f t="shared" ca="1" si="78"/>
        <v>6.2364676724105074E-3</v>
      </c>
      <c r="AE82" s="1"/>
      <c r="AF82" s="1">
        <f t="shared" ca="1" si="79"/>
        <v>0.79009378282983611</v>
      </c>
      <c r="AG82" s="1">
        <f t="shared" ca="1" si="80"/>
        <v>230</v>
      </c>
      <c r="AH82" s="1">
        <f t="shared" ca="1" si="81"/>
        <v>1.9054182219923436E-3</v>
      </c>
      <c r="AJ82" s="1">
        <f t="shared" ca="1" si="82"/>
        <v>0.27170594142439952</v>
      </c>
      <c r="AK82" s="1">
        <f t="shared" ca="1" si="83"/>
        <v>1.2173337404227616E-3</v>
      </c>
      <c r="AL82" s="1"/>
      <c r="AM82" s="1">
        <f t="shared" ca="1" si="84"/>
        <v>4.9498878380358158E-2</v>
      </c>
      <c r="AN82" s="1">
        <f t="shared" ca="1" si="85"/>
        <v>23</v>
      </c>
      <c r="AO82" s="1">
        <f t="shared" ca="1" si="86"/>
        <v>5</v>
      </c>
      <c r="AQ82" s="1">
        <f t="shared" ca="1" si="87"/>
        <v>137</v>
      </c>
      <c r="AR82" s="1">
        <f t="shared" ca="1" si="88"/>
        <v>6</v>
      </c>
      <c r="AS82" s="1">
        <f t="shared" ca="1" si="89"/>
        <v>83</v>
      </c>
      <c r="AU82" s="1">
        <f t="shared" ca="1" si="90"/>
        <v>287</v>
      </c>
      <c r="AV82" s="1">
        <f t="shared" ca="1" si="91"/>
        <v>8</v>
      </c>
      <c r="AW82" s="1">
        <f t="shared" ca="1" si="92"/>
        <v>0.16812357393917002</v>
      </c>
      <c r="AY82" s="1">
        <f t="shared" ca="1" si="93"/>
        <v>1.9797184451002396</v>
      </c>
      <c r="AZ82" s="1">
        <f t="shared" ca="1" si="94"/>
        <v>350</v>
      </c>
      <c r="BA82" s="1">
        <f t="shared" ca="1" si="95"/>
        <v>8.46438236483767E-3</v>
      </c>
      <c r="BV82" s="1">
        <f t="shared" ca="1" si="96"/>
        <v>0.82187439896329195</v>
      </c>
      <c r="BW82" s="1">
        <f t="shared" ca="1" si="97"/>
        <v>548</v>
      </c>
      <c r="BX82" s="1">
        <f t="shared" ca="1" si="98"/>
        <v>7.0998376126595701E-3</v>
      </c>
      <c r="BY82" s="1">
        <f t="shared" ca="1" si="99"/>
        <v>6.3735391725526086E-2</v>
      </c>
      <c r="BZ82" s="1">
        <f t="shared" ca="1" si="100"/>
        <v>0.9386384736735166</v>
      </c>
      <c r="CB82" s="1">
        <f t="shared" ca="1" si="101"/>
        <v>408</v>
      </c>
      <c r="CC82" s="1">
        <f t="shared" ca="1" si="102"/>
        <v>13</v>
      </c>
      <c r="CD82" s="1">
        <f t="shared" ca="1" si="103"/>
        <v>0.26838964297688112</v>
      </c>
      <c r="CE82" s="1">
        <f t="shared" ca="1" si="104"/>
        <v>0.79933416838446303</v>
      </c>
      <c r="CF82" s="1">
        <f t="shared" ca="1" si="104"/>
        <v>0.99698844520400276</v>
      </c>
      <c r="CH82" s="3">
        <f t="shared" ca="1" si="105"/>
        <v>7.2305376503867827E-2</v>
      </c>
      <c r="CI82" s="3">
        <f t="shared" ca="1" si="106"/>
        <v>0.41568540738681031</v>
      </c>
      <c r="CJ82" s="3">
        <f t="shared" ca="1" si="107"/>
        <v>517</v>
      </c>
      <c r="CK82" s="3">
        <f t="shared" ca="1" si="108"/>
        <v>9.3335964102903065E-3</v>
      </c>
      <c r="CL82" s="3">
        <f t="shared" ca="1" si="109"/>
        <v>0</v>
      </c>
      <c r="CM82" s="3"/>
      <c r="CN82" s="1">
        <f t="shared" ca="1" si="110"/>
        <v>1.7869951453874937</v>
      </c>
      <c r="CO82" s="1">
        <f t="shared" ca="1" si="111"/>
        <v>0.43659481181716803</v>
      </c>
      <c r="CP82" s="1">
        <f t="shared" ca="1" si="112"/>
        <v>4</v>
      </c>
    </row>
    <row r="83" spans="2:94" x14ac:dyDescent="0.25">
      <c r="B83">
        <f t="shared" ca="1" si="57"/>
        <v>712</v>
      </c>
      <c r="C83">
        <f t="shared" ca="1" si="58"/>
        <v>8</v>
      </c>
      <c r="D83">
        <f t="shared" ca="1" si="59"/>
        <v>2.7529471258262148E-2</v>
      </c>
      <c r="F83" s="1">
        <f t="shared" ca="1" si="60"/>
        <v>38</v>
      </c>
      <c r="G83" s="1">
        <f t="shared" ca="1" si="61"/>
        <v>11</v>
      </c>
      <c r="H83" s="1">
        <f t="shared" ca="1" si="62"/>
        <v>3</v>
      </c>
      <c r="I83" s="1"/>
      <c r="J83" s="1">
        <f t="shared" ca="1" si="63"/>
        <v>19</v>
      </c>
      <c r="K83" s="1">
        <f t="shared" ca="1" si="64"/>
        <v>1.2142799488535316</v>
      </c>
      <c r="L83" s="1">
        <f t="shared" ca="1" si="65"/>
        <v>12</v>
      </c>
      <c r="M83" s="1"/>
      <c r="N83" s="1">
        <f t="shared" ca="1" si="66"/>
        <v>540</v>
      </c>
      <c r="O83" s="1">
        <f t="shared" ca="1" si="67"/>
        <v>40</v>
      </c>
      <c r="P83" s="1"/>
      <c r="Q83" s="1">
        <f t="shared" ca="1" si="68"/>
        <v>4.6271666478552014</v>
      </c>
      <c r="R83" s="1">
        <f t="shared" ca="1" si="69"/>
        <v>996</v>
      </c>
      <c r="S83" s="1"/>
      <c r="T83" s="1">
        <f t="shared" ca="1" si="70"/>
        <v>0.11144361697968339</v>
      </c>
      <c r="U83" s="1">
        <f t="shared" ca="1" si="71"/>
        <v>83</v>
      </c>
      <c r="V83" s="1">
        <f t="shared" ca="1" si="72"/>
        <v>14</v>
      </c>
      <c r="W83" s="1"/>
      <c r="X83" s="1">
        <f t="shared" ca="1" si="73"/>
        <v>2.447618711323988</v>
      </c>
      <c r="Y83" s="1">
        <f t="shared" ca="1" si="74"/>
        <v>0.88348655841385615</v>
      </c>
      <c r="Z83" s="1">
        <f t="shared" ca="1" si="75"/>
        <v>1975</v>
      </c>
      <c r="AB83" s="1">
        <f t="shared" ca="1" si="76"/>
        <v>0.67583952256071933</v>
      </c>
      <c r="AC83" s="1">
        <f t="shared" ca="1" si="77"/>
        <v>532</v>
      </c>
      <c r="AD83" s="1">
        <f t="shared" ca="1" si="78"/>
        <v>6.6677658485663222E-3</v>
      </c>
      <c r="AE83" s="1"/>
      <c r="AF83" s="1">
        <f t="shared" ca="1" si="79"/>
        <v>0.48296071418538611</v>
      </c>
      <c r="AG83" s="1">
        <f t="shared" ca="1" si="80"/>
        <v>839</v>
      </c>
      <c r="AH83" s="1">
        <f t="shared" ca="1" si="81"/>
        <v>3.5226688815443775E-3</v>
      </c>
      <c r="AJ83" s="1">
        <f t="shared" ca="1" si="82"/>
        <v>0.25375046451626038</v>
      </c>
      <c r="AK83" s="1">
        <f t="shared" ca="1" si="83"/>
        <v>9.2895050563807507E-3</v>
      </c>
      <c r="AL83" s="1"/>
      <c r="AM83" s="1">
        <f t="shared" ca="1" si="84"/>
        <v>8.6261309013080129E-2</v>
      </c>
      <c r="AN83" s="1">
        <f t="shared" ca="1" si="85"/>
        <v>19</v>
      </c>
      <c r="AO83" s="1">
        <f t="shared" ca="1" si="86"/>
        <v>2</v>
      </c>
      <c r="AQ83" s="1">
        <f t="shared" ca="1" si="87"/>
        <v>115</v>
      </c>
      <c r="AR83" s="1">
        <f t="shared" ca="1" si="88"/>
        <v>2</v>
      </c>
      <c r="AS83" s="1">
        <f t="shared" ca="1" si="89"/>
        <v>2</v>
      </c>
      <c r="AU83" s="1">
        <f t="shared" ca="1" si="90"/>
        <v>296</v>
      </c>
      <c r="AV83" s="1">
        <f t="shared" ca="1" si="91"/>
        <v>6</v>
      </c>
      <c r="AW83" s="1">
        <f t="shared" ca="1" si="92"/>
        <v>0.18920513259218308</v>
      </c>
      <c r="AY83" s="1">
        <f t="shared" ca="1" si="93"/>
        <v>1.9898945277229458</v>
      </c>
      <c r="AZ83" s="1">
        <f t="shared" ca="1" si="94"/>
        <v>369</v>
      </c>
      <c r="BA83" s="1">
        <f t="shared" ca="1" si="95"/>
        <v>4.7013344993894332E-3</v>
      </c>
      <c r="BV83" s="1">
        <f t="shared" ca="1" si="96"/>
        <v>0.38987178706620357</v>
      </c>
      <c r="BW83" s="1">
        <f t="shared" ca="1" si="97"/>
        <v>894</v>
      </c>
      <c r="BX83" s="1">
        <f t="shared" ca="1" si="98"/>
        <v>8.8844844120753164E-3</v>
      </c>
      <c r="BY83" s="1">
        <f t="shared" ca="1" si="99"/>
        <v>9.9638086481759383E-2</v>
      </c>
      <c r="BZ83" s="1">
        <f t="shared" ca="1" si="100"/>
        <v>0.67069925043254053</v>
      </c>
      <c r="CB83" s="1">
        <f t="shared" ca="1" si="101"/>
        <v>293</v>
      </c>
      <c r="CC83" s="1">
        <f t="shared" ca="1" si="102"/>
        <v>10</v>
      </c>
      <c r="CD83" s="1">
        <f t="shared" ca="1" si="103"/>
        <v>2.7146750385175979E-2</v>
      </c>
      <c r="CE83" s="1">
        <f t="shared" ca="1" si="104"/>
        <v>0.74004712011035156</v>
      </c>
      <c r="CF83" s="1">
        <f t="shared" ca="1" si="104"/>
        <v>0.70875996986870216</v>
      </c>
      <c r="CH83" s="3">
        <f t="shared" ca="1" si="105"/>
        <v>0.26618739012428477</v>
      </c>
      <c r="CI83" s="3">
        <f t="shared" ca="1" si="106"/>
        <v>0.4375266077737206</v>
      </c>
      <c r="CJ83" s="3">
        <f t="shared" ca="1" si="107"/>
        <v>654</v>
      </c>
      <c r="CK83" s="3">
        <f t="shared" ca="1" si="108"/>
        <v>9.4430763818638571E-4</v>
      </c>
      <c r="CL83" s="3">
        <f t="shared" ca="1" si="109"/>
        <v>1</v>
      </c>
      <c r="CM83" s="3"/>
      <c r="CN83" s="1">
        <f t="shared" ca="1" si="110"/>
        <v>18.862831616665638</v>
      </c>
      <c r="CO83" s="1">
        <f t="shared" ca="1" si="111"/>
        <v>0.41062055737787234</v>
      </c>
      <c r="CP83" s="1">
        <f t="shared" ca="1" si="112"/>
        <v>3</v>
      </c>
    </row>
    <row r="84" spans="2:94" x14ac:dyDescent="0.25">
      <c r="B84">
        <f t="shared" ca="1" si="57"/>
        <v>112</v>
      </c>
      <c r="C84">
        <f t="shared" ca="1" si="58"/>
        <v>45</v>
      </c>
      <c r="D84">
        <f t="shared" ca="1" si="59"/>
        <v>0.24218242202619192</v>
      </c>
      <c r="F84" s="1">
        <f t="shared" ca="1" si="60"/>
        <v>12</v>
      </c>
      <c r="G84" s="1">
        <f t="shared" ca="1" si="61"/>
        <v>29</v>
      </c>
      <c r="H84" s="1">
        <f t="shared" ca="1" si="62"/>
        <v>10</v>
      </c>
      <c r="I84" s="1"/>
      <c r="J84" s="1">
        <f t="shared" ca="1" si="63"/>
        <v>11</v>
      </c>
      <c r="K84" s="1">
        <f t="shared" ca="1" si="64"/>
        <v>2.0064846480540837</v>
      </c>
      <c r="L84" s="1">
        <f t="shared" ca="1" si="65"/>
        <v>29</v>
      </c>
      <c r="M84" s="1"/>
      <c r="N84" s="1">
        <f t="shared" ca="1" si="66"/>
        <v>648</v>
      </c>
      <c r="O84" s="1">
        <f t="shared" ca="1" si="67"/>
        <v>23</v>
      </c>
      <c r="P84" s="1"/>
      <c r="Q84" s="1">
        <f t="shared" ca="1" si="68"/>
        <v>4.244454003572609</v>
      </c>
      <c r="R84" s="1">
        <f t="shared" ca="1" si="69"/>
        <v>638</v>
      </c>
      <c r="S84" s="1"/>
      <c r="T84" s="1">
        <f t="shared" ca="1" si="70"/>
        <v>0.18067731867727954</v>
      </c>
      <c r="U84" s="1">
        <f t="shared" ca="1" si="71"/>
        <v>111</v>
      </c>
      <c r="V84" s="1">
        <f t="shared" ca="1" si="72"/>
        <v>16</v>
      </c>
      <c r="W84" s="1"/>
      <c r="X84" s="1">
        <f t="shared" ca="1" si="73"/>
        <v>2.3677575849833725</v>
      </c>
      <c r="Y84" s="1">
        <f t="shared" ca="1" si="74"/>
        <v>0.24977594182258336</v>
      </c>
      <c r="Z84" s="1">
        <f t="shared" ca="1" si="75"/>
        <v>164</v>
      </c>
      <c r="AB84" s="1">
        <f t="shared" ca="1" si="76"/>
        <v>0.5067848082579125</v>
      </c>
      <c r="AC84" s="1">
        <f t="shared" ca="1" si="77"/>
        <v>459</v>
      </c>
      <c r="AD84" s="1">
        <f t="shared" ca="1" si="78"/>
        <v>9.2668721698935894E-3</v>
      </c>
      <c r="AE84" s="1"/>
      <c r="AF84" s="1">
        <f t="shared" ca="1" si="79"/>
        <v>0.27252981615440652</v>
      </c>
      <c r="AG84" s="1">
        <f t="shared" ca="1" si="80"/>
        <v>107</v>
      </c>
      <c r="AH84" s="1">
        <f t="shared" ca="1" si="81"/>
        <v>6.6754974493449838E-3</v>
      </c>
      <c r="AJ84" s="1">
        <f t="shared" ca="1" si="82"/>
        <v>9.1968348803442734E-2</v>
      </c>
      <c r="AK84" s="1">
        <f t="shared" ca="1" si="83"/>
        <v>6.180381906563853E-3</v>
      </c>
      <c r="AL84" s="1"/>
      <c r="AM84" s="1">
        <f t="shared" ca="1" si="84"/>
        <v>0.14791960277029739</v>
      </c>
      <c r="AN84" s="1">
        <f t="shared" ca="1" si="85"/>
        <v>23</v>
      </c>
      <c r="AO84" s="1">
        <f t="shared" ca="1" si="86"/>
        <v>0</v>
      </c>
      <c r="AQ84" s="1">
        <f t="shared" ca="1" si="87"/>
        <v>127</v>
      </c>
      <c r="AR84" s="1">
        <f t="shared" ca="1" si="88"/>
        <v>4</v>
      </c>
      <c r="AS84" s="1">
        <f t="shared" ca="1" si="89"/>
        <v>29</v>
      </c>
      <c r="AU84" s="1">
        <f t="shared" ca="1" si="90"/>
        <v>258</v>
      </c>
      <c r="AV84" s="1">
        <f t="shared" ca="1" si="91"/>
        <v>10</v>
      </c>
      <c r="AW84" s="1">
        <f t="shared" ca="1" si="92"/>
        <v>3.9395014889916084E-2</v>
      </c>
      <c r="AY84" s="1">
        <f t="shared" ca="1" si="93"/>
        <v>1.1608655641535615</v>
      </c>
      <c r="AZ84" s="1">
        <f t="shared" ca="1" si="94"/>
        <v>179</v>
      </c>
      <c r="BA84" s="1">
        <f t="shared" ca="1" si="95"/>
        <v>8.5972730843307272E-3</v>
      </c>
      <c r="BV84" s="1">
        <f t="shared" ca="1" si="96"/>
        <v>0.25250321833049533</v>
      </c>
      <c r="BW84" s="1">
        <f t="shared" ca="1" si="97"/>
        <v>161</v>
      </c>
      <c r="BX84" s="1">
        <f t="shared" ca="1" si="98"/>
        <v>5.2747830810292969E-3</v>
      </c>
      <c r="BY84" s="1">
        <f t="shared" ca="1" si="99"/>
        <v>7.9658020525033665E-2</v>
      </c>
      <c r="BZ84" s="1">
        <f t="shared" ca="1" si="100"/>
        <v>0.49692738456759955</v>
      </c>
      <c r="CB84" s="1">
        <f t="shared" ca="1" si="101"/>
        <v>126</v>
      </c>
      <c r="CC84" s="1">
        <f t="shared" ca="1" si="102"/>
        <v>3</v>
      </c>
      <c r="CD84" s="1">
        <f t="shared" ca="1" si="103"/>
        <v>0.12902976517170489</v>
      </c>
      <c r="CE84" s="1">
        <f t="shared" ca="1" si="104"/>
        <v>0.58252049633632064</v>
      </c>
      <c r="CF84" s="1">
        <f t="shared" ca="1" si="104"/>
        <v>0.69719749853171697</v>
      </c>
      <c r="CH84" s="3">
        <f t="shared" ca="1" si="105"/>
        <v>0.8617761428375158</v>
      </c>
      <c r="CI84" s="3">
        <f t="shared" ca="1" si="106"/>
        <v>0.54216169477083509</v>
      </c>
      <c r="CJ84" s="3">
        <f t="shared" ca="1" si="107"/>
        <v>888</v>
      </c>
      <c r="CK84" s="3">
        <f t="shared" ca="1" si="108"/>
        <v>3.342653067861222E-3</v>
      </c>
      <c r="CL84" s="3">
        <f t="shared" ca="1" si="109"/>
        <v>0</v>
      </c>
      <c r="CM84" s="3"/>
      <c r="CN84" s="1">
        <f t="shared" ca="1" si="110"/>
        <v>14.536305275782983</v>
      </c>
      <c r="CO84" s="1">
        <f t="shared" ca="1" si="111"/>
        <v>0.1930056873641369</v>
      </c>
      <c r="CP84" s="1">
        <f t="shared" ca="1" si="112"/>
        <v>2</v>
      </c>
    </row>
    <row r="85" spans="2:94" x14ac:dyDescent="0.25">
      <c r="B85">
        <f t="shared" ca="1" si="57"/>
        <v>479</v>
      </c>
      <c r="C85">
        <f t="shared" ca="1" si="58"/>
        <v>14</v>
      </c>
      <c r="D85">
        <f t="shared" ca="1" si="59"/>
        <v>2.4985075274236775E-2</v>
      </c>
      <c r="F85" s="1">
        <f t="shared" ca="1" si="60"/>
        <v>37</v>
      </c>
      <c r="G85" s="1">
        <f t="shared" ca="1" si="61"/>
        <v>29</v>
      </c>
      <c r="H85" s="1">
        <f t="shared" ca="1" si="62"/>
        <v>13</v>
      </c>
      <c r="I85" s="1"/>
      <c r="J85" s="1">
        <f t="shared" ca="1" si="63"/>
        <v>37</v>
      </c>
      <c r="K85" s="1">
        <f t="shared" ca="1" si="64"/>
        <v>1.6029540030125475</v>
      </c>
      <c r="L85" s="1">
        <f t="shared" ca="1" si="65"/>
        <v>17</v>
      </c>
      <c r="M85" s="1"/>
      <c r="N85" s="1">
        <f t="shared" ca="1" si="66"/>
        <v>761</v>
      </c>
      <c r="O85" s="1">
        <f t="shared" ca="1" si="67"/>
        <v>38</v>
      </c>
      <c r="P85" s="1"/>
      <c r="Q85" s="1">
        <f t="shared" ca="1" si="68"/>
        <v>6.1264219016342811E-2</v>
      </c>
      <c r="R85" s="1">
        <f t="shared" ca="1" si="69"/>
        <v>257</v>
      </c>
      <c r="S85" s="1"/>
      <c r="T85" s="1">
        <f t="shared" ca="1" si="70"/>
        <v>0.13490920278111573</v>
      </c>
      <c r="U85" s="1">
        <f t="shared" ca="1" si="71"/>
        <v>366</v>
      </c>
      <c r="V85" s="1">
        <f t="shared" ca="1" si="72"/>
        <v>36</v>
      </c>
      <c r="W85" s="1"/>
      <c r="X85" s="1">
        <f t="shared" ca="1" si="73"/>
        <v>5.925696502987666</v>
      </c>
      <c r="Y85" s="1">
        <f t="shared" ca="1" si="74"/>
        <v>0.5849161660923865</v>
      </c>
      <c r="Z85" s="1">
        <f t="shared" ca="1" si="75"/>
        <v>484</v>
      </c>
      <c r="AB85" s="1">
        <f t="shared" ca="1" si="76"/>
        <v>0.25847882530568472</v>
      </c>
      <c r="AC85" s="1">
        <f t="shared" ca="1" si="77"/>
        <v>813</v>
      </c>
      <c r="AD85" s="1">
        <f t="shared" ca="1" si="78"/>
        <v>3.2536081346673496E-3</v>
      </c>
      <c r="AE85" s="1"/>
      <c r="AF85" s="1">
        <f t="shared" ca="1" si="79"/>
        <v>0.74528739424730239</v>
      </c>
      <c r="AG85" s="1">
        <f t="shared" ca="1" si="80"/>
        <v>898</v>
      </c>
      <c r="AH85" s="1">
        <f t="shared" ca="1" si="81"/>
        <v>5.3381485538717419E-3</v>
      </c>
      <c r="AJ85" s="1">
        <f t="shared" ca="1" si="82"/>
        <v>0.96563323648968225</v>
      </c>
      <c r="AK85" s="1">
        <f t="shared" ca="1" si="83"/>
        <v>6.4820665394063033E-3</v>
      </c>
      <c r="AL85" s="1"/>
      <c r="AM85" s="1">
        <f t="shared" ca="1" si="84"/>
        <v>3.5398076914190127E-2</v>
      </c>
      <c r="AN85" s="1">
        <f t="shared" ca="1" si="85"/>
        <v>67</v>
      </c>
      <c r="AO85" s="1">
        <f t="shared" ca="1" si="86"/>
        <v>2</v>
      </c>
      <c r="AQ85" s="1">
        <f t="shared" ca="1" si="87"/>
        <v>109</v>
      </c>
      <c r="AR85" s="1">
        <f t="shared" ca="1" si="88"/>
        <v>10</v>
      </c>
      <c r="AS85" s="1">
        <f t="shared" ca="1" si="89"/>
        <v>60</v>
      </c>
      <c r="AU85" s="1">
        <f t="shared" ca="1" si="90"/>
        <v>225</v>
      </c>
      <c r="AV85" s="1">
        <f t="shared" ca="1" si="91"/>
        <v>5</v>
      </c>
      <c r="AW85" s="1">
        <f t="shared" ca="1" si="92"/>
        <v>0.19654655467664839</v>
      </c>
      <c r="AY85" s="1">
        <f t="shared" ca="1" si="93"/>
        <v>1.7344068419146046</v>
      </c>
      <c r="AZ85" s="1">
        <f t="shared" ca="1" si="94"/>
        <v>163</v>
      </c>
      <c r="BA85" s="1">
        <f t="shared" ca="1" si="95"/>
        <v>1.1609380623763908E-3</v>
      </c>
      <c r="BV85" s="1">
        <f t="shared" ca="1" si="96"/>
        <v>0.37838922673665398</v>
      </c>
      <c r="BW85" s="1">
        <f t="shared" ca="1" si="97"/>
        <v>348</v>
      </c>
      <c r="BX85" s="1">
        <f t="shared" ca="1" si="98"/>
        <v>7.5527499542029832E-3</v>
      </c>
      <c r="BY85" s="1">
        <f t="shared" ca="1" si="99"/>
        <v>7.797900491870075E-3</v>
      </c>
      <c r="BZ85" s="1">
        <f t="shared" ca="1" si="100"/>
        <v>0.53695895278159078</v>
      </c>
      <c r="CB85" s="1">
        <f t="shared" ca="1" si="101"/>
        <v>455</v>
      </c>
      <c r="CC85" s="1">
        <f t="shared" ca="1" si="102"/>
        <v>14</v>
      </c>
      <c r="CD85" s="1">
        <f t="shared" ca="1" si="103"/>
        <v>4.839170223574165E-2</v>
      </c>
      <c r="CE85" s="1">
        <f t="shared" ca="1" si="104"/>
        <v>0.80957395633605311</v>
      </c>
      <c r="CF85" s="1">
        <f t="shared" ca="1" si="104"/>
        <v>0.80842347134572745</v>
      </c>
      <c r="CH85" s="3">
        <f t="shared" ca="1" si="105"/>
        <v>0.24341005553213244</v>
      </c>
      <c r="CI85" s="3">
        <f t="shared" ca="1" si="106"/>
        <v>0.32824791973465944</v>
      </c>
      <c r="CJ85" s="3">
        <f t="shared" ca="1" si="107"/>
        <v>1984</v>
      </c>
      <c r="CK85" s="3">
        <f t="shared" ca="1" si="108"/>
        <v>6.8695488196349672E-3</v>
      </c>
      <c r="CL85" s="3">
        <f t="shared" ca="1" si="109"/>
        <v>0</v>
      </c>
      <c r="CM85" s="3"/>
      <c r="CN85" s="1">
        <f t="shared" ca="1" si="110"/>
        <v>19.982517570340434</v>
      </c>
      <c r="CO85" s="1">
        <f t="shared" ca="1" si="111"/>
        <v>6.473741892027253E-2</v>
      </c>
      <c r="CP85" s="1">
        <f t="shared" ca="1" si="112"/>
        <v>1</v>
      </c>
    </row>
    <row r="86" spans="2:94" x14ac:dyDescent="0.25">
      <c r="B86">
        <f t="shared" ca="1" si="57"/>
        <v>183</v>
      </c>
      <c r="C86">
        <f t="shared" ca="1" si="58"/>
        <v>42</v>
      </c>
      <c r="D86">
        <f t="shared" ca="1" si="59"/>
        <v>3.0756339815382755E-2</v>
      </c>
      <c r="F86" s="1">
        <f t="shared" ca="1" si="60"/>
        <v>43</v>
      </c>
      <c r="G86" s="1">
        <f t="shared" ca="1" si="61"/>
        <v>3</v>
      </c>
      <c r="H86" s="1">
        <f t="shared" ca="1" si="62"/>
        <v>7</v>
      </c>
      <c r="I86" s="1"/>
      <c r="J86" s="1">
        <f t="shared" ca="1" si="63"/>
        <v>26</v>
      </c>
      <c r="K86" s="1">
        <f t="shared" ca="1" si="64"/>
        <v>1.3166511209319733</v>
      </c>
      <c r="L86" s="1">
        <f t="shared" ca="1" si="65"/>
        <v>32</v>
      </c>
      <c r="M86" s="1"/>
      <c r="N86" s="1">
        <f t="shared" ca="1" si="66"/>
        <v>647</v>
      </c>
      <c r="O86" s="1">
        <f t="shared" ca="1" si="67"/>
        <v>29</v>
      </c>
      <c r="P86" s="1"/>
      <c r="Q86" s="1">
        <f t="shared" ca="1" si="68"/>
        <v>1.7695671299601257</v>
      </c>
      <c r="R86" s="1">
        <f t="shared" ca="1" si="69"/>
        <v>217</v>
      </c>
      <c r="S86" s="1"/>
      <c r="T86" s="1">
        <f t="shared" ca="1" si="70"/>
        <v>0.13613834521041501</v>
      </c>
      <c r="U86" s="1">
        <f t="shared" ca="1" si="71"/>
        <v>307</v>
      </c>
      <c r="V86" s="1">
        <f t="shared" ca="1" si="72"/>
        <v>14</v>
      </c>
      <c r="W86" s="1"/>
      <c r="X86" s="1">
        <f t="shared" ca="1" si="73"/>
        <v>4.5804330955201085</v>
      </c>
      <c r="Y86" s="1">
        <f t="shared" ca="1" si="74"/>
        <v>0.16191724334446281</v>
      </c>
      <c r="Z86" s="1">
        <f t="shared" ca="1" si="75"/>
        <v>770</v>
      </c>
      <c r="AB86" s="1">
        <f t="shared" ca="1" si="76"/>
        <v>0.42423550424713108</v>
      </c>
      <c r="AC86" s="1">
        <f t="shared" ca="1" si="77"/>
        <v>661</v>
      </c>
      <c r="AD86" s="1">
        <f t="shared" ca="1" si="78"/>
        <v>1.4998856341395558E-3</v>
      </c>
      <c r="AE86" s="1"/>
      <c r="AF86" s="1">
        <f t="shared" ca="1" si="79"/>
        <v>0.70939461254299163</v>
      </c>
      <c r="AG86" s="1">
        <f t="shared" ca="1" si="80"/>
        <v>331</v>
      </c>
      <c r="AH86" s="1">
        <f t="shared" ca="1" si="81"/>
        <v>6.0567967465610341E-3</v>
      </c>
      <c r="AJ86" s="1">
        <f t="shared" ca="1" si="82"/>
        <v>0.49268982212425305</v>
      </c>
      <c r="AK86" s="1">
        <f t="shared" ca="1" si="83"/>
        <v>7.8154736733544229E-4</v>
      </c>
      <c r="AL86" s="1"/>
      <c r="AM86" s="1">
        <f t="shared" ca="1" si="84"/>
        <v>9.9802831248299861E-2</v>
      </c>
      <c r="AN86" s="1">
        <f t="shared" ca="1" si="85"/>
        <v>75</v>
      </c>
      <c r="AO86" s="1">
        <f t="shared" ca="1" si="86"/>
        <v>8</v>
      </c>
      <c r="AQ86" s="1">
        <f t="shared" ca="1" si="87"/>
        <v>71</v>
      </c>
      <c r="AR86" s="1">
        <f t="shared" ca="1" si="88"/>
        <v>0</v>
      </c>
      <c r="AS86" s="1">
        <f t="shared" ca="1" si="89"/>
        <v>77</v>
      </c>
      <c r="AU86" s="1">
        <f t="shared" ca="1" si="90"/>
        <v>353</v>
      </c>
      <c r="AV86" s="1">
        <f t="shared" ca="1" si="91"/>
        <v>7</v>
      </c>
      <c r="AW86" s="1">
        <f t="shared" ca="1" si="92"/>
        <v>7.0859500291821781E-2</v>
      </c>
      <c r="AY86" s="1">
        <f t="shared" ca="1" si="93"/>
        <v>1.2163719233270314</v>
      </c>
      <c r="AZ86" s="1">
        <f t="shared" ca="1" si="94"/>
        <v>189</v>
      </c>
      <c r="BA86" s="1">
        <f t="shared" ca="1" si="95"/>
        <v>6.0432234123305858E-3</v>
      </c>
      <c r="BV86" s="1">
        <f t="shared" ca="1" si="96"/>
        <v>0.48416855701383654</v>
      </c>
      <c r="BW86" s="1">
        <f t="shared" ca="1" si="97"/>
        <v>548</v>
      </c>
      <c r="BX86" s="1">
        <f t="shared" ca="1" si="98"/>
        <v>9.3646137168441092E-3</v>
      </c>
      <c r="BY86" s="1">
        <f t="shared" ca="1" si="99"/>
        <v>7.3399646470197671E-2</v>
      </c>
      <c r="BZ86" s="1">
        <f t="shared" ca="1" si="100"/>
        <v>0.63026313239710985</v>
      </c>
      <c r="CB86" s="1">
        <f t="shared" ca="1" si="101"/>
        <v>123</v>
      </c>
      <c r="CC86" s="1">
        <f t="shared" ca="1" si="102"/>
        <v>4</v>
      </c>
      <c r="CD86" s="1">
        <f t="shared" ca="1" si="103"/>
        <v>3.8794235586465782E-2</v>
      </c>
      <c r="CE86" s="1">
        <f t="shared" ca="1" si="104"/>
        <v>0.71866169330780361</v>
      </c>
      <c r="CF86" s="1">
        <f t="shared" ca="1" si="104"/>
        <v>0.9453636436904358</v>
      </c>
      <c r="CH86" s="3">
        <f t="shared" ca="1" si="105"/>
        <v>0.64897321874709435</v>
      </c>
      <c r="CI86" s="3">
        <f t="shared" ca="1" si="106"/>
        <v>6.3734336469540631E-2</v>
      </c>
      <c r="CJ86" s="3">
        <f t="shared" ca="1" si="107"/>
        <v>1424</v>
      </c>
      <c r="CK86" s="3">
        <f t="shared" ca="1" si="108"/>
        <v>8.2257081664036385E-4</v>
      </c>
      <c r="CL86" s="3">
        <f t="shared" ca="1" si="109"/>
        <v>1</v>
      </c>
      <c r="CM86" s="3"/>
      <c r="CN86" s="1">
        <f t="shared" ca="1" si="110"/>
        <v>13.760246386096538</v>
      </c>
      <c r="CO86" s="1">
        <f t="shared" ca="1" si="111"/>
        <v>0.24013395446155175</v>
      </c>
      <c r="CP86" s="1">
        <f t="shared" ca="1" si="112"/>
        <v>2</v>
      </c>
    </row>
    <row r="87" spans="2:94" x14ac:dyDescent="0.25">
      <c r="B87">
        <f t="shared" ca="1" si="57"/>
        <v>850</v>
      </c>
      <c r="C87">
        <f t="shared" ca="1" si="58"/>
        <v>30</v>
      </c>
      <c r="D87">
        <f t="shared" ca="1" si="59"/>
        <v>8.257741353014926E-2</v>
      </c>
      <c r="F87" s="1">
        <f t="shared" ca="1" si="60"/>
        <v>12</v>
      </c>
      <c r="G87" s="1">
        <f t="shared" ca="1" si="61"/>
        <v>21</v>
      </c>
      <c r="H87" s="1">
        <f t="shared" ca="1" si="62"/>
        <v>12</v>
      </c>
      <c r="I87" s="1"/>
      <c r="J87" s="1">
        <f t="shared" ca="1" si="63"/>
        <v>16</v>
      </c>
      <c r="K87" s="1">
        <f t="shared" ca="1" si="64"/>
        <v>1.6817447992615668</v>
      </c>
      <c r="L87" s="1">
        <f t="shared" ca="1" si="65"/>
        <v>31</v>
      </c>
      <c r="M87" s="1"/>
      <c r="N87" s="1">
        <f t="shared" ca="1" si="66"/>
        <v>339</v>
      </c>
      <c r="O87" s="1">
        <f t="shared" ca="1" si="67"/>
        <v>23</v>
      </c>
      <c r="P87" s="1"/>
      <c r="Q87" s="1">
        <f t="shared" ca="1" si="68"/>
        <v>1.0751361725196884</v>
      </c>
      <c r="R87" s="1">
        <f t="shared" ca="1" si="69"/>
        <v>1135</v>
      </c>
      <c r="S87" s="1"/>
      <c r="T87" s="1">
        <f t="shared" ca="1" si="70"/>
        <v>0.17746775807102694</v>
      </c>
      <c r="U87" s="1">
        <f t="shared" ca="1" si="71"/>
        <v>235</v>
      </c>
      <c r="V87" s="1">
        <f t="shared" ca="1" si="72"/>
        <v>4</v>
      </c>
      <c r="W87" s="1"/>
      <c r="X87" s="1">
        <f t="shared" ca="1" si="73"/>
        <v>6.9303778738698236</v>
      </c>
      <c r="Y87" s="1">
        <f t="shared" ca="1" si="74"/>
        <v>0.48715968888859401</v>
      </c>
      <c r="Z87" s="1">
        <f t="shared" ca="1" si="75"/>
        <v>1762</v>
      </c>
      <c r="AB87" s="1">
        <f t="shared" ca="1" si="76"/>
        <v>0.62474942213078721</v>
      </c>
      <c r="AC87" s="1">
        <f t="shared" ca="1" si="77"/>
        <v>280</v>
      </c>
      <c r="AD87" s="1">
        <f t="shared" ca="1" si="78"/>
        <v>6.5628622396312125E-3</v>
      </c>
      <c r="AE87" s="1"/>
      <c r="AF87" s="1">
        <f t="shared" ca="1" si="79"/>
        <v>0.25098017625548663</v>
      </c>
      <c r="AG87" s="1">
        <f t="shared" ca="1" si="80"/>
        <v>801</v>
      </c>
      <c r="AH87" s="1">
        <f t="shared" ca="1" si="81"/>
        <v>4.3995620152810101E-3</v>
      </c>
      <c r="AJ87" s="1">
        <f t="shared" ca="1" si="82"/>
        <v>0.968575013483993</v>
      </c>
      <c r="AK87" s="1">
        <f t="shared" ca="1" si="83"/>
        <v>2.8305026833021343E-4</v>
      </c>
      <c r="AL87" s="1"/>
      <c r="AM87" s="1">
        <f t="shared" ca="1" si="84"/>
        <v>4.1782691640222358E-2</v>
      </c>
      <c r="AN87" s="1">
        <f t="shared" ca="1" si="85"/>
        <v>65</v>
      </c>
      <c r="AO87" s="1">
        <f t="shared" ca="1" si="86"/>
        <v>3</v>
      </c>
      <c r="AQ87" s="1">
        <f t="shared" ca="1" si="87"/>
        <v>154</v>
      </c>
      <c r="AR87" s="1">
        <f t="shared" ca="1" si="88"/>
        <v>1</v>
      </c>
      <c r="AS87" s="1">
        <f t="shared" ca="1" si="89"/>
        <v>35</v>
      </c>
      <c r="AU87" s="1">
        <f t="shared" ca="1" si="90"/>
        <v>209</v>
      </c>
      <c r="AV87" s="1">
        <f t="shared" ca="1" si="91"/>
        <v>3</v>
      </c>
      <c r="AW87" s="1">
        <f t="shared" ca="1" si="92"/>
        <v>0.18876917225259446</v>
      </c>
      <c r="AY87" s="1">
        <f t="shared" ca="1" si="93"/>
        <v>1.1704119705839633</v>
      </c>
      <c r="AZ87" s="1">
        <f t="shared" ca="1" si="94"/>
        <v>454</v>
      </c>
      <c r="BA87" s="1">
        <f t="shared" ca="1" si="95"/>
        <v>9.1313152241147555E-3</v>
      </c>
      <c r="BV87" s="1">
        <f t="shared" ca="1" si="96"/>
        <v>0.99779216555746397</v>
      </c>
      <c r="BW87" s="1">
        <f t="shared" ca="1" si="97"/>
        <v>383</v>
      </c>
      <c r="BX87" s="1">
        <f t="shared" ca="1" si="98"/>
        <v>3.3229781070605491E-3</v>
      </c>
      <c r="BY87" s="1">
        <f t="shared" ca="1" si="99"/>
        <v>6.0406369990675536E-2</v>
      </c>
      <c r="BZ87" s="1">
        <f t="shared" ca="1" si="100"/>
        <v>0.50392166191990062</v>
      </c>
      <c r="CB87" s="1">
        <f t="shared" ca="1" si="101"/>
        <v>377</v>
      </c>
      <c r="CC87" s="1">
        <f t="shared" ca="1" si="102"/>
        <v>15</v>
      </c>
      <c r="CD87" s="1">
        <f t="shared" ca="1" si="103"/>
        <v>0.15294285683497452</v>
      </c>
      <c r="CE87" s="1">
        <f t="shared" ca="1" si="104"/>
        <v>0.51044290492774613</v>
      </c>
      <c r="CF87" s="1">
        <f t="shared" ca="1" si="104"/>
        <v>0.64658619161715669</v>
      </c>
      <c r="CH87" s="3">
        <f t="shared" ca="1" si="105"/>
        <v>0.8161456145674687</v>
      </c>
      <c r="CI87" s="3">
        <f t="shared" ca="1" si="106"/>
        <v>0.8406567636874509</v>
      </c>
      <c r="CJ87" s="3">
        <f t="shared" ca="1" si="107"/>
        <v>1718</v>
      </c>
      <c r="CK87" s="3">
        <f t="shared" ca="1" si="108"/>
        <v>7.960353722063147E-3</v>
      </c>
      <c r="CL87" s="3">
        <f t="shared" ca="1" si="109"/>
        <v>0</v>
      </c>
      <c r="CM87" s="3"/>
      <c r="CN87" s="1">
        <f t="shared" ca="1" si="110"/>
        <v>12.038312302111947</v>
      </c>
      <c r="CO87" s="1">
        <f t="shared" ca="1" si="111"/>
        <v>0.35564786574492024</v>
      </c>
      <c r="CP87" s="1">
        <f t="shared" ca="1" si="112"/>
        <v>1</v>
      </c>
    </row>
    <row r="88" spans="2:94" x14ac:dyDescent="0.25">
      <c r="B88">
        <f t="shared" ca="1" si="57"/>
        <v>111</v>
      </c>
      <c r="C88">
        <f t="shared" ca="1" si="58"/>
        <v>20</v>
      </c>
      <c r="D88">
        <f t="shared" ca="1" si="59"/>
        <v>0.1321192071053239</v>
      </c>
      <c r="F88" s="1">
        <f t="shared" ca="1" si="60"/>
        <v>6</v>
      </c>
      <c r="G88" s="1">
        <f t="shared" ca="1" si="61"/>
        <v>8</v>
      </c>
      <c r="H88" s="1">
        <f t="shared" ca="1" si="62"/>
        <v>15</v>
      </c>
      <c r="I88" s="1"/>
      <c r="J88" s="1">
        <f t="shared" ca="1" si="63"/>
        <v>31</v>
      </c>
      <c r="K88" s="1">
        <f t="shared" ca="1" si="64"/>
        <v>1.1910712378433386</v>
      </c>
      <c r="L88" s="1">
        <f t="shared" ca="1" si="65"/>
        <v>8</v>
      </c>
      <c r="M88" s="1"/>
      <c r="N88" s="1">
        <f t="shared" ca="1" si="66"/>
        <v>887</v>
      </c>
      <c r="O88" s="1">
        <f t="shared" ca="1" si="67"/>
        <v>7</v>
      </c>
      <c r="P88" s="1"/>
      <c r="Q88" s="1">
        <f t="shared" ca="1" si="68"/>
        <v>1.4206995865396994</v>
      </c>
      <c r="R88" s="1">
        <f t="shared" ca="1" si="69"/>
        <v>581</v>
      </c>
      <c r="S88" s="1"/>
      <c r="T88" s="1">
        <f t="shared" ca="1" si="70"/>
        <v>2.6946304885353628E-2</v>
      </c>
      <c r="U88" s="1">
        <f t="shared" ca="1" si="71"/>
        <v>368</v>
      </c>
      <c r="V88" s="1">
        <f t="shared" ca="1" si="72"/>
        <v>42</v>
      </c>
      <c r="W88" s="1"/>
      <c r="X88" s="1">
        <f t="shared" ca="1" si="73"/>
        <v>7.2327523375152438</v>
      </c>
      <c r="Y88" s="1">
        <f t="shared" ca="1" si="74"/>
        <v>0.34310728614708641</v>
      </c>
      <c r="Z88" s="1">
        <f t="shared" ca="1" si="75"/>
        <v>969</v>
      </c>
      <c r="AB88" s="1">
        <f t="shared" ca="1" si="76"/>
        <v>0.92724306294468528</v>
      </c>
      <c r="AC88" s="1">
        <f t="shared" ca="1" si="77"/>
        <v>369</v>
      </c>
      <c r="AD88" s="1">
        <f t="shared" ca="1" si="78"/>
        <v>8.5370495628684148E-3</v>
      </c>
      <c r="AE88" s="1"/>
      <c r="AF88" s="1">
        <f t="shared" ca="1" si="79"/>
        <v>0.7487439482067535</v>
      </c>
      <c r="AG88" s="1">
        <f t="shared" ca="1" si="80"/>
        <v>275</v>
      </c>
      <c r="AH88" s="1">
        <f t="shared" ca="1" si="81"/>
        <v>7.6950850613196342E-3</v>
      </c>
      <c r="AJ88" s="1">
        <f t="shared" ca="1" si="82"/>
        <v>0.88689711314466202</v>
      </c>
      <c r="AK88" s="1">
        <f t="shared" ca="1" si="83"/>
        <v>4.1809876368287396E-3</v>
      </c>
      <c r="AL88" s="1"/>
      <c r="AM88" s="1">
        <f t="shared" ca="1" si="84"/>
        <v>0.17923298441139868</v>
      </c>
      <c r="AN88" s="1">
        <f t="shared" ca="1" si="85"/>
        <v>34</v>
      </c>
      <c r="AO88" s="1">
        <f t="shared" ca="1" si="86"/>
        <v>6</v>
      </c>
      <c r="AQ88" s="1">
        <f t="shared" ca="1" si="87"/>
        <v>65</v>
      </c>
      <c r="AR88" s="1">
        <f t="shared" ca="1" si="88"/>
        <v>10</v>
      </c>
      <c r="AS88" s="1">
        <f t="shared" ca="1" si="89"/>
        <v>74</v>
      </c>
      <c r="AU88" s="1">
        <f t="shared" ca="1" si="90"/>
        <v>299</v>
      </c>
      <c r="AV88" s="1">
        <f t="shared" ca="1" si="91"/>
        <v>4</v>
      </c>
      <c r="AW88" s="1">
        <f t="shared" ca="1" si="92"/>
        <v>0.15849025989042376</v>
      </c>
      <c r="AY88" s="1">
        <f t="shared" ca="1" si="93"/>
        <v>1.8232638446806377</v>
      </c>
      <c r="AZ88" s="1">
        <f t="shared" ca="1" si="94"/>
        <v>259</v>
      </c>
      <c r="BA88" s="1">
        <f t="shared" ca="1" si="95"/>
        <v>4.2081039265740704E-3</v>
      </c>
      <c r="BV88" s="1">
        <f t="shared" ca="1" si="96"/>
        <v>0.17928333321536705</v>
      </c>
      <c r="BW88" s="1">
        <f t="shared" ca="1" si="97"/>
        <v>328</v>
      </c>
      <c r="BX88" s="1">
        <f t="shared" ca="1" si="98"/>
        <v>2.9601647521393429E-3</v>
      </c>
      <c r="BY88" s="1">
        <f t="shared" ca="1" si="99"/>
        <v>8.7222055404758483E-2</v>
      </c>
      <c r="BZ88" s="1">
        <f t="shared" ca="1" si="100"/>
        <v>0.4873191221368609</v>
      </c>
      <c r="CB88" s="1">
        <f t="shared" ca="1" si="101"/>
        <v>303</v>
      </c>
      <c r="CC88" s="1">
        <f t="shared" ca="1" si="102"/>
        <v>15</v>
      </c>
      <c r="CD88" s="1">
        <f t="shared" ca="1" si="103"/>
        <v>0.18458195026180207</v>
      </c>
      <c r="CE88" s="1">
        <f t="shared" ca="1" si="104"/>
        <v>0.87240108666397653</v>
      </c>
      <c r="CF88" s="1">
        <f t="shared" ca="1" si="104"/>
        <v>0.85172129159195431</v>
      </c>
      <c r="CH88" s="3">
        <f t="shared" ca="1" si="105"/>
        <v>0.55217830908454202</v>
      </c>
      <c r="CI88" s="3">
        <f t="shared" ca="1" si="106"/>
        <v>0.56249653590363669</v>
      </c>
      <c r="CJ88" s="3">
        <f t="shared" ca="1" si="107"/>
        <v>706</v>
      </c>
      <c r="CK88" s="3">
        <f t="shared" ca="1" si="108"/>
        <v>3.4873945799984243E-3</v>
      </c>
      <c r="CL88" s="3">
        <f t="shared" ca="1" si="109"/>
        <v>1</v>
      </c>
      <c r="CM88" s="3"/>
      <c r="CN88" s="1">
        <f t="shared" ca="1" si="110"/>
        <v>10.870445517488038</v>
      </c>
      <c r="CO88" s="1">
        <f t="shared" ca="1" si="111"/>
        <v>0.25140541151975027</v>
      </c>
      <c r="CP88" s="1">
        <f t="shared" ca="1" si="112"/>
        <v>4</v>
      </c>
    </row>
    <row r="89" spans="2:94" x14ac:dyDescent="0.25">
      <c r="B89">
        <f t="shared" ca="1" si="57"/>
        <v>721</v>
      </c>
      <c r="C89">
        <f t="shared" ca="1" si="58"/>
        <v>16</v>
      </c>
      <c r="D89">
        <f t="shared" ca="1" si="59"/>
        <v>0.20153631659676396</v>
      </c>
      <c r="F89" s="1">
        <f t="shared" ca="1" si="60"/>
        <v>17</v>
      </c>
      <c r="G89" s="1">
        <f t="shared" ca="1" si="61"/>
        <v>29</v>
      </c>
      <c r="H89" s="1">
        <f t="shared" ca="1" si="62"/>
        <v>1</v>
      </c>
      <c r="I89" s="1"/>
      <c r="J89" s="1">
        <f t="shared" ca="1" si="63"/>
        <v>26</v>
      </c>
      <c r="K89" s="1">
        <f t="shared" ca="1" si="64"/>
        <v>2.2086496532495201</v>
      </c>
      <c r="L89" s="1">
        <f t="shared" ca="1" si="65"/>
        <v>19</v>
      </c>
      <c r="M89" s="1"/>
      <c r="N89" s="1">
        <f t="shared" ca="1" si="66"/>
        <v>666</v>
      </c>
      <c r="O89" s="1">
        <f t="shared" ca="1" si="67"/>
        <v>4</v>
      </c>
      <c r="P89" s="1"/>
      <c r="Q89" s="1">
        <f t="shared" ca="1" si="68"/>
        <v>4.3884283587425541</v>
      </c>
      <c r="R89" s="1">
        <f t="shared" ca="1" si="69"/>
        <v>1115</v>
      </c>
      <c r="S89" s="1"/>
      <c r="T89" s="1">
        <f t="shared" ca="1" si="70"/>
        <v>0.18626432907762117</v>
      </c>
      <c r="U89" s="1">
        <f t="shared" ca="1" si="71"/>
        <v>138</v>
      </c>
      <c r="V89" s="1">
        <f t="shared" ca="1" si="72"/>
        <v>2</v>
      </c>
      <c r="W89" s="1"/>
      <c r="X89" s="1">
        <f t="shared" ca="1" si="73"/>
        <v>2.7175051390246119</v>
      </c>
      <c r="Y89" s="1">
        <f t="shared" ca="1" si="74"/>
        <v>0.19545682291044389</v>
      </c>
      <c r="Z89" s="1">
        <f t="shared" ca="1" si="75"/>
        <v>243</v>
      </c>
      <c r="AB89" s="1">
        <f t="shared" ca="1" si="76"/>
        <v>0.43511594740286469</v>
      </c>
      <c r="AC89" s="1">
        <f t="shared" ca="1" si="77"/>
        <v>826</v>
      </c>
      <c r="AD89" s="1">
        <f t="shared" ca="1" si="78"/>
        <v>2.2721736074134665E-3</v>
      </c>
      <c r="AE89" s="1"/>
      <c r="AF89" s="1">
        <f t="shared" ca="1" si="79"/>
        <v>0.70405236406932514</v>
      </c>
      <c r="AG89" s="1">
        <f t="shared" ca="1" si="80"/>
        <v>239</v>
      </c>
      <c r="AH89" s="1">
        <f t="shared" ca="1" si="81"/>
        <v>1.9925919230459831E-3</v>
      </c>
      <c r="AJ89" s="1">
        <f t="shared" ca="1" si="82"/>
        <v>0.54349911663605677</v>
      </c>
      <c r="AK89" s="1">
        <f t="shared" ca="1" si="83"/>
        <v>6.4644747779747033E-3</v>
      </c>
      <c r="AL89" s="1"/>
      <c r="AM89" s="1">
        <f t="shared" ca="1" si="84"/>
        <v>0.12508290169371705</v>
      </c>
      <c r="AN89" s="1">
        <f t="shared" ca="1" si="85"/>
        <v>78</v>
      </c>
      <c r="AO89" s="1">
        <f t="shared" ca="1" si="86"/>
        <v>18</v>
      </c>
      <c r="AQ89" s="1">
        <f t="shared" ca="1" si="87"/>
        <v>31</v>
      </c>
      <c r="AR89" s="1">
        <f t="shared" ca="1" si="88"/>
        <v>1</v>
      </c>
      <c r="AS89" s="1">
        <f t="shared" ca="1" si="89"/>
        <v>34</v>
      </c>
      <c r="AU89" s="1">
        <f t="shared" ca="1" si="90"/>
        <v>102</v>
      </c>
      <c r="AV89" s="1">
        <f t="shared" ca="1" si="91"/>
        <v>4</v>
      </c>
      <c r="AW89" s="1">
        <f t="shared" ca="1" si="92"/>
        <v>0.10727417533368708</v>
      </c>
      <c r="AY89" s="1">
        <f t="shared" ca="1" si="93"/>
        <v>1.662960932221033</v>
      </c>
      <c r="AZ89" s="1">
        <f t="shared" ca="1" si="94"/>
        <v>320</v>
      </c>
      <c r="BA89" s="1">
        <f t="shared" ca="1" si="95"/>
        <v>9.2523076487057102E-3</v>
      </c>
      <c r="BV89" s="1">
        <f t="shared" ca="1" si="96"/>
        <v>6.3741057986398661E-2</v>
      </c>
      <c r="BW89" s="1">
        <f t="shared" ca="1" si="97"/>
        <v>498</v>
      </c>
      <c r="BX89" s="1">
        <f t="shared" ca="1" si="98"/>
        <v>9.1390162224968229E-3</v>
      </c>
      <c r="BY89" s="1">
        <f t="shared" ca="1" si="99"/>
        <v>8.2808504450072956E-2</v>
      </c>
      <c r="BZ89" s="1">
        <f t="shared" ca="1" si="100"/>
        <v>0.20628570959699588</v>
      </c>
      <c r="CB89" s="1">
        <f t="shared" ca="1" si="101"/>
        <v>216</v>
      </c>
      <c r="CC89" s="1">
        <f t="shared" ca="1" si="102"/>
        <v>11</v>
      </c>
      <c r="CD89" s="1">
        <f t="shared" ca="1" si="103"/>
        <v>0.11374364828396534</v>
      </c>
      <c r="CE89" s="1">
        <f t="shared" ca="1" si="104"/>
        <v>0.62120349742923864</v>
      </c>
      <c r="CF89" s="1">
        <f t="shared" ca="1" si="104"/>
        <v>0.64181622139609462</v>
      </c>
      <c r="CH89" s="3">
        <f t="shared" ca="1" si="105"/>
        <v>0.5359664435146102</v>
      </c>
      <c r="CI89" s="3">
        <f t="shared" ca="1" si="106"/>
        <v>0.90089562278041802</v>
      </c>
      <c r="CJ89" s="3">
        <f t="shared" ca="1" si="107"/>
        <v>619</v>
      </c>
      <c r="CK89" s="3">
        <f t="shared" ca="1" si="108"/>
        <v>6.7360792561206922E-3</v>
      </c>
      <c r="CL89" s="3">
        <f t="shared" ca="1" si="109"/>
        <v>0</v>
      </c>
      <c r="CM89" s="3"/>
      <c r="CN89" s="1">
        <f t="shared" ca="1" si="110"/>
        <v>18.809627296268424</v>
      </c>
      <c r="CO89" s="1">
        <f t="shared" ca="1" si="111"/>
        <v>2.1375353681211771E-2</v>
      </c>
      <c r="CP89" s="1">
        <f t="shared" ca="1" si="112"/>
        <v>3</v>
      </c>
    </row>
    <row r="90" spans="2:94" x14ac:dyDescent="0.25">
      <c r="B90">
        <f t="shared" ca="1" si="57"/>
        <v>508</v>
      </c>
      <c r="C90">
        <f t="shared" ca="1" si="58"/>
        <v>15</v>
      </c>
      <c r="D90">
        <f t="shared" ca="1" si="59"/>
        <v>0.12004578952668062</v>
      </c>
      <c r="F90" s="1">
        <f t="shared" ca="1" si="60"/>
        <v>13</v>
      </c>
      <c r="G90" s="1">
        <f t="shared" ca="1" si="61"/>
        <v>14</v>
      </c>
      <c r="H90" s="1">
        <f t="shared" ca="1" si="62"/>
        <v>8</v>
      </c>
      <c r="I90" s="1"/>
      <c r="J90" s="1">
        <f t="shared" ca="1" si="63"/>
        <v>39</v>
      </c>
      <c r="K90" s="1">
        <f t="shared" ca="1" si="64"/>
        <v>1.5618922229335097</v>
      </c>
      <c r="L90" s="1">
        <f t="shared" ca="1" si="65"/>
        <v>11</v>
      </c>
      <c r="M90" s="1"/>
      <c r="N90" s="1">
        <f t="shared" ca="1" si="66"/>
        <v>730</v>
      </c>
      <c r="O90" s="1">
        <f t="shared" ca="1" si="67"/>
        <v>19</v>
      </c>
      <c r="P90" s="1"/>
      <c r="Q90" s="1">
        <f t="shared" ca="1" si="68"/>
        <v>4.0082841210937143</v>
      </c>
      <c r="R90" s="1">
        <f t="shared" ca="1" si="69"/>
        <v>988</v>
      </c>
      <c r="S90" s="1"/>
      <c r="T90" s="1">
        <f t="shared" ca="1" si="70"/>
        <v>6.3260303364689324E-2</v>
      </c>
      <c r="U90" s="1">
        <f t="shared" ca="1" si="71"/>
        <v>423</v>
      </c>
      <c r="V90" s="1">
        <f t="shared" ca="1" si="72"/>
        <v>11</v>
      </c>
      <c r="W90" s="1"/>
      <c r="X90" s="1">
        <f t="shared" ca="1" si="73"/>
        <v>9.6548150617844622E-2</v>
      </c>
      <c r="Y90" s="1">
        <f t="shared" ca="1" si="74"/>
        <v>0.87905196859522239</v>
      </c>
      <c r="Z90" s="1">
        <f t="shared" ca="1" si="75"/>
        <v>343</v>
      </c>
      <c r="AB90" s="1">
        <f t="shared" ca="1" si="76"/>
        <v>0.78071602856676559</v>
      </c>
      <c r="AC90" s="1">
        <f t="shared" ca="1" si="77"/>
        <v>516</v>
      </c>
      <c r="AD90" s="1">
        <f t="shared" ca="1" si="78"/>
        <v>7.8692353648378045E-3</v>
      </c>
      <c r="AE90" s="1"/>
      <c r="AF90" s="1">
        <f t="shared" ca="1" si="79"/>
        <v>0.47076848913209457</v>
      </c>
      <c r="AG90" s="1">
        <f t="shared" ca="1" si="80"/>
        <v>876</v>
      </c>
      <c r="AH90" s="1">
        <f t="shared" ca="1" si="81"/>
        <v>4.9504202204052002E-4</v>
      </c>
      <c r="AJ90" s="1">
        <f t="shared" ca="1" si="82"/>
        <v>0.7439587273848014</v>
      </c>
      <c r="AK90" s="1">
        <f t="shared" ca="1" si="83"/>
        <v>3.5394562744707654E-4</v>
      </c>
      <c r="AL90" s="1"/>
      <c r="AM90" s="1">
        <f t="shared" ca="1" si="84"/>
        <v>2.6021778808789694E-2</v>
      </c>
      <c r="AN90" s="1">
        <f t="shared" ca="1" si="85"/>
        <v>37</v>
      </c>
      <c r="AO90" s="1">
        <f t="shared" ca="1" si="86"/>
        <v>0</v>
      </c>
      <c r="AQ90" s="1">
        <f t="shared" ca="1" si="87"/>
        <v>78</v>
      </c>
      <c r="AR90" s="1">
        <f t="shared" ca="1" si="88"/>
        <v>8</v>
      </c>
      <c r="AS90" s="1">
        <f t="shared" ca="1" si="89"/>
        <v>52</v>
      </c>
      <c r="AU90" s="1">
        <f t="shared" ca="1" si="90"/>
        <v>245</v>
      </c>
      <c r="AV90" s="1">
        <f t="shared" ca="1" si="91"/>
        <v>8</v>
      </c>
      <c r="AW90" s="1">
        <f t="shared" ca="1" si="92"/>
        <v>2.0025773430190033E-2</v>
      </c>
      <c r="AY90" s="1">
        <f t="shared" ca="1" si="93"/>
        <v>1.7749056624758297</v>
      </c>
      <c r="AZ90" s="1">
        <f t="shared" ca="1" si="94"/>
        <v>212</v>
      </c>
      <c r="BA90" s="1">
        <f t="shared" ca="1" si="95"/>
        <v>6.1537547539339292E-3</v>
      </c>
      <c r="BV90" s="1">
        <f t="shared" ca="1" si="96"/>
        <v>0.11755036731857697</v>
      </c>
      <c r="BW90" s="1">
        <f t="shared" ca="1" si="97"/>
        <v>516</v>
      </c>
      <c r="BX90" s="1">
        <f t="shared" ca="1" si="98"/>
        <v>6.726637286416157E-3</v>
      </c>
      <c r="BY90" s="1">
        <f t="shared" ca="1" si="99"/>
        <v>3.2430772702597255E-2</v>
      </c>
      <c r="BZ90" s="1">
        <f t="shared" ca="1" si="100"/>
        <v>0.13444274156110347</v>
      </c>
      <c r="CB90" s="1">
        <f t="shared" ca="1" si="101"/>
        <v>228</v>
      </c>
      <c r="CC90" s="1">
        <f t="shared" ca="1" si="102"/>
        <v>5</v>
      </c>
      <c r="CD90" s="1">
        <f t="shared" ca="1" si="103"/>
        <v>0.24029739328406097</v>
      </c>
      <c r="CE90" s="1">
        <f t="shared" ca="1" si="104"/>
        <v>0.55585900487342532</v>
      </c>
      <c r="CF90" s="1">
        <f t="shared" ca="1" si="104"/>
        <v>0.77621866512816418</v>
      </c>
      <c r="CH90" s="3">
        <f t="shared" ca="1" si="105"/>
        <v>0.94353616216118841</v>
      </c>
      <c r="CI90" s="3">
        <f t="shared" ca="1" si="106"/>
        <v>0.88325313641041991</v>
      </c>
      <c r="CJ90" s="3">
        <f t="shared" ca="1" si="107"/>
        <v>1942</v>
      </c>
      <c r="CK90" s="3">
        <f t="shared" ca="1" si="108"/>
        <v>1.0049810954924976E-3</v>
      </c>
      <c r="CL90" s="3">
        <f t="shared" ca="1" si="109"/>
        <v>0</v>
      </c>
      <c r="CM90" s="3"/>
      <c r="CN90" s="1">
        <f t="shared" ca="1" si="110"/>
        <v>0.3459019537998817</v>
      </c>
      <c r="CO90" s="1">
        <f t="shared" ca="1" si="111"/>
        <v>0.48139507739933002</v>
      </c>
      <c r="CP90" s="1">
        <f t="shared" ca="1" si="112"/>
        <v>5</v>
      </c>
    </row>
    <row r="91" spans="2:94" x14ac:dyDescent="0.25">
      <c r="B91">
        <f t="shared" ca="1" si="57"/>
        <v>217</v>
      </c>
      <c r="C91">
        <f t="shared" ca="1" si="58"/>
        <v>13</v>
      </c>
      <c r="D91">
        <f t="shared" ca="1" si="59"/>
        <v>6.2983258703378606E-2</v>
      </c>
      <c r="F91" s="1">
        <f t="shared" ca="1" si="60"/>
        <v>18</v>
      </c>
      <c r="G91" s="1">
        <f t="shared" ca="1" si="61"/>
        <v>19</v>
      </c>
      <c r="H91" s="1">
        <f t="shared" ca="1" si="62"/>
        <v>6</v>
      </c>
      <c r="I91" s="1"/>
      <c r="J91" s="1">
        <f t="shared" ca="1" si="63"/>
        <v>12</v>
      </c>
      <c r="K91" s="1">
        <f t="shared" ca="1" si="64"/>
        <v>2.1153644925919597</v>
      </c>
      <c r="L91" s="1">
        <f t="shared" ca="1" si="65"/>
        <v>19</v>
      </c>
      <c r="M91" s="1"/>
      <c r="N91" s="1">
        <f t="shared" ca="1" si="66"/>
        <v>778</v>
      </c>
      <c r="O91" s="1">
        <f t="shared" ca="1" si="67"/>
        <v>45</v>
      </c>
      <c r="P91" s="1"/>
      <c r="Q91" s="1">
        <f t="shared" ca="1" si="68"/>
        <v>4.1708979042771661</v>
      </c>
      <c r="R91" s="1">
        <f t="shared" ca="1" si="69"/>
        <v>783</v>
      </c>
      <c r="S91" s="1"/>
      <c r="T91" s="1">
        <f t="shared" ca="1" si="70"/>
        <v>2.5028609016924129E-2</v>
      </c>
      <c r="U91" s="1">
        <f t="shared" ca="1" si="71"/>
        <v>66</v>
      </c>
      <c r="V91" s="1">
        <f t="shared" ca="1" si="72"/>
        <v>40</v>
      </c>
      <c r="W91" s="1"/>
      <c r="X91" s="1">
        <f t="shared" ca="1" si="73"/>
        <v>4.257084066393106</v>
      </c>
      <c r="Y91" s="1">
        <f t="shared" ca="1" si="74"/>
        <v>1.8848375450693396E-2</v>
      </c>
      <c r="Z91" s="1">
        <f t="shared" ca="1" si="75"/>
        <v>1957</v>
      </c>
      <c r="AB91" s="1">
        <f t="shared" ca="1" si="76"/>
        <v>0.39865657593171927</v>
      </c>
      <c r="AC91" s="1">
        <f t="shared" ca="1" si="77"/>
        <v>432</v>
      </c>
      <c r="AD91" s="1">
        <f t="shared" ca="1" si="78"/>
        <v>2.9229927257328541E-3</v>
      </c>
      <c r="AE91" s="1"/>
      <c r="AF91" s="1">
        <f t="shared" ca="1" si="79"/>
        <v>0.12850567806785609</v>
      </c>
      <c r="AG91" s="1">
        <f t="shared" ca="1" si="80"/>
        <v>172</v>
      </c>
      <c r="AH91" s="1">
        <f t="shared" ca="1" si="81"/>
        <v>2.1090645693985842E-3</v>
      </c>
      <c r="AJ91" s="1">
        <f t="shared" ca="1" si="82"/>
        <v>0.46801622434063239</v>
      </c>
      <c r="AK91" s="1">
        <f t="shared" ca="1" si="83"/>
        <v>3.8444848526412896E-3</v>
      </c>
      <c r="AL91" s="1"/>
      <c r="AM91" s="1">
        <f t="shared" ca="1" si="84"/>
        <v>4.3293131321094358E-2</v>
      </c>
      <c r="AN91" s="1">
        <f t="shared" ca="1" si="85"/>
        <v>12</v>
      </c>
      <c r="AO91" s="1">
        <f t="shared" ca="1" si="86"/>
        <v>19</v>
      </c>
      <c r="AQ91" s="1">
        <f t="shared" ca="1" si="87"/>
        <v>113</v>
      </c>
      <c r="AR91" s="1">
        <f t="shared" ca="1" si="88"/>
        <v>1</v>
      </c>
      <c r="AS91" s="1">
        <f t="shared" ca="1" si="89"/>
        <v>66</v>
      </c>
      <c r="AU91" s="1">
        <f t="shared" ca="1" si="90"/>
        <v>238</v>
      </c>
      <c r="AV91" s="1">
        <f t="shared" ca="1" si="91"/>
        <v>3</v>
      </c>
      <c r="AW91" s="1">
        <f t="shared" ca="1" si="92"/>
        <v>6.6469363344034638E-2</v>
      </c>
      <c r="AY91" s="1">
        <f t="shared" ca="1" si="93"/>
        <v>1.2099149604576709</v>
      </c>
      <c r="AZ91" s="1">
        <f t="shared" ca="1" si="94"/>
        <v>210</v>
      </c>
      <c r="BA91" s="1">
        <f t="shared" ca="1" si="95"/>
        <v>8.9605985884515487E-4</v>
      </c>
      <c r="BV91" s="1">
        <f t="shared" ca="1" si="96"/>
        <v>0.85837936413393345</v>
      </c>
      <c r="BW91" s="1">
        <f t="shared" ca="1" si="97"/>
        <v>433</v>
      </c>
      <c r="BX91" s="1">
        <f t="shared" ca="1" si="98"/>
        <v>2.9518901593094775E-3</v>
      </c>
      <c r="BY91" s="1">
        <f t="shared" ca="1" si="99"/>
        <v>6.8866450055075371E-2</v>
      </c>
      <c r="BZ91" s="1">
        <f t="shared" ca="1" si="100"/>
        <v>0.87801547617179787</v>
      </c>
      <c r="CB91" s="1">
        <f t="shared" ca="1" si="101"/>
        <v>332</v>
      </c>
      <c r="CC91" s="1">
        <f t="shared" ca="1" si="102"/>
        <v>11</v>
      </c>
      <c r="CD91" s="1">
        <f t="shared" ca="1" si="103"/>
        <v>0.26754668349527488</v>
      </c>
      <c r="CE91" s="1">
        <f t="shared" ca="1" si="104"/>
        <v>0.97653846366219921</v>
      </c>
      <c r="CF91" s="1">
        <f t="shared" ca="1" si="104"/>
        <v>0.76743955057694402</v>
      </c>
      <c r="CH91" s="3">
        <f t="shared" ca="1" si="105"/>
        <v>0.27659284390654088</v>
      </c>
      <c r="CI91" s="3">
        <f t="shared" ca="1" si="106"/>
        <v>0.65711756107034303</v>
      </c>
      <c r="CJ91" s="3">
        <f t="shared" ca="1" si="107"/>
        <v>1429</v>
      </c>
      <c r="CK91" s="3">
        <f t="shared" ca="1" si="108"/>
        <v>1.8563285237736635E-3</v>
      </c>
      <c r="CL91" s="3">
        <f t="shared" ca="1" si="109"/>
        <v>0</v>
      </c>
      <c r="CM91" s="3"/>
      <c r="CN91" s="1">
        <f t="shared" ca="1" si="110"/>
        <v>6.9496853285738114</v>
      </c>
      <c r="CO91" s="1">
        <f t="shared" ca="1" si="111"/>
        <v>0.3893795118755532</v>
      </c>
      <c r="CP91" s="1">
        <f t="shared" ca="1" si="112"/>
        <v>2</v>
      </c>
    </row>
    <row r="92" spans="2:94" x14ac:dyDescent="0.25">
      <c r="B92">
        <f t="shared" ca="1" si="57"/>
        <v>328</v>
      </c>
      <c r="C92">
        <f t="shared" ca="1" si="58"/>
        <v>39</v>
      </c>
      <c r="D92">
        <f t="shared" ca="1" si="59"/>
        <v>2.4972027751234357E-2</v>
      </c>
      <c r="F92" s="1">
        <f t="shared" ca="1" si="60"/>
        <v>50</v>
      </c>
      <c r="G92" s="1">
        <f t="shared" ca="1" si="61"/>
        <v>13</v>
      </c>
      <c r="H92" s="1">
        <f t="shared" ca="1" si="62"/>
        <v>10</v>
      </c>
      <c r="I92" s="1"/>
      <c r="J92" s="1">
        <f t="shared" ca="1" si="63"/>
        <v>12</v>
      </c>
      <c r="K92" s="1">
        <f t="shared" ca="1" si="64"/>
        <v>1.6522662530686534</v>
      </c>
      <c r="L92" s="1">
        <f t="shared" ca="1" si="65"/>
        <v>12</v>
      </c>
      <c r="M92" s="1"/>
      <c r="N92" s="1">
        <f t="shared" ca="1" si="66"/>
        <v>555</v>
      </c>
      <c r="O92" s="1">
        <f t="shared" ca="1" si="67"/>
        <v>11</v>
      </c>
      <c r="P92" s="1"/>
      <c r="Q92" s="1">
        <f t="shared" ca="1" si="68"/>
        <v>1.0953791745789641</v>
      </c>
      <c r="R92" s="1">
        <f t="shared" ca="1" si="69"/>
        <v>1189</v>
      </c>
      <c r="S92" s="1"/>
      <c r="T92" s="1">
        <f t="shared" ca="1" si="70"/>
        <v>8.4870134314584317E-2</v>
      </c>
      <c r="U92" s="1">
        <f t="shared" ca="1" si="71"/>
        <v>369</v>
      </c>
      <c r="V92" s="1">
        <f t="shared" ca="1" si="72"/>
        <v>37</v>
      </c>
      <c r="W92" s="1"/>
      <c r="X92" s="1">
        <f t="shared" ca="1" si="73"/>
        <v>6.3599074676364449</v>
      </c>
      <c r="Y92" s="1">
        <f t="shared" ca="1" si="74"/>
        <v>0.18058828164022844</v>
      </c>
      <c r="Z92" s="1">
        <f t="shared" ca="1" si="75"/>
        <v>1662</v>
      </c>
      <c r="AB92" s="1">
        <f t="shared" ca="1" si="76"/>
        <v>0.67387759130513281</v>
      </c>
      <c r="AC92" s="1">
        <f t="shared" ca="1" si="77"/>
        <v>186</v>
      </c>
      <c r="AD92" s="1">
        <f t="shared" ca="1" si="78"/>
        <v>1.2742527128110546E-3</v>
      </c>
      <c r="AE92" s="1"/>
      <c r="AF92" s="1">
        <f t="shared" ca="1" si="79"/>
        <v>0.40759887507750603</v>
      </c>
      <c r="AG92" s="1">
        <f t="shared" ca="1" si="80"/>
        <v>599</v>
      </c>
      <c r="AH92" s="1">
        <f t="shared" ca="1" si="81"/>
        <v>1.2930505594187132E-3</v>
      </c>
      <c r="AJ92" s="1">
        <f t="shared" ca="1" si="82"/>
        <v>0.39800566568930063</v>
      </c>
      <c r="AK92" s="1">
        <f t="shared" ca="1" si="83"/>
        <v>5.8067928234468878E-3</v>
      </c>
      <c r="AL92" s="1"/>
      <c r="AM92" s="1">
        <f t="shared" ca="1" si="84"/>
        <v>0.10709424632973444</v>
      </c>
      <c r="AN92" s="1">
        <f t="shared" ca="1" si="85"/>
        <v>12</v>
      </c>
      <c r="AO92" s="1">
        <f t="shared" ca="1" si="86"/>
        <v>12</v>
      </c>
      <c r="AQ92" s="1">
        <f t="shared" ca="1" si="87"/>
        <v>37</v>
      </c>
      <c r="AR92" s="1">
        <f t="shared" ca="1" si="88"/>
        <v>5</v>
      </c>
      <c r="AS92" s="1">
        <f t="shared" ca="1" si="89"/>
        <v>98</v>
      </c>
      <c r="AU92" s="1">
        <f t="shared" ca="1" si="90"/>
        <v>175</v>
      </c>
      <c r="AV92" s="1">
        <f t="shared" ca="1" si="91"/>
        <v>8</v>
      </c>
      <c r="AW92" s="1">
        <f t="shared" ca="1" si="92"/>
        <v>0.14084081228376577</v>
      </c>
      <c r="AY92" s="1">
        <f t="shared" ca="1" si="93"/>
        <v>1.8421732941303897</v>
      </c>
      <c r="AZ92" s="1">
        <f t="shared" ca="1" si="94"/>
        <v>305</v>
      </c>
      <c r="BA92" s="1">
        <f t="shared" ca="1" si="95"/>
        <v>1.9517925120078466E-3</v>
      </c>
      <c r="BV92" s="1">
        <f t="shared" ca="1" si="96"/>
        <v>0.41008204882143157</v>
      </c>
      <c r="BW92" s="1">
        <f t="shared" ca="1" si="97"/>
        <v>656</v>
      </c>
      <c r="BX92" s="1">
        <f t="shared" ca="1" si="98"/>
        <v>2.0058901584211145E-3</v>
      </c>
      <c r="BY92" s="1">
        <f t="shared" ca="1" si="99"/>
        <v>8.7725752776459803E-2</v>
      </c>
      <c r="BZ92" s="1">
        <f t="shared" ca="1" si="100"/>
        <v>0.94417436475804384</v>
      </c>
      <c r="CB92" s="1">
        <f t="shared" ca="1" si="101"/>
        <v>381</v>
      </c>
      <c r="CC92" s="1">
        <f t="shared" ca="1" si="102"/>
        <v>10</v>
      </c>
      <c r="CD92" s="1">
        <f t="shared" ca="1" si="103"/>
        <v>0.20935347505479726</v>
      </c>
      <c r="CE92" s="1">
        <f t="shared" ca="1" si="104"/>
        <v>0.61161751178042312</v>
      </c>
      <c r="CF92" s="1">
        <f t="shared" ca="1" si="104"/>
        <v>0.51792104422407015</v>
      </c>
      <c r="CH92" s="3">
        <f t="shared" ca="1" si="105"/>
        <v>0.67309798072569615</v>
      </c>
      <c r="CI92" s="3">
        <f t="shared" ca="1" si="106"/>
        <v>0.81159220985772107</v>
      </c>
      <c r="CJ92" s="3">
        <f t="shared" ca="1" si="107"/>
        <v>1448</v>
      </c>
      <c r="CK92" s="3">
        <f t="shared" ca="1" si="108"/>
        <v>6.4024270871212699E-3</v>
      </c>
      <c r="CL92" s="3">
        <f t="shared" ca="1" si="109"/>
        <v>1</v>
      </c>
      <c r="CM92" s="3"/>
      <c r="CN92" s="1">
        <f t="shared" ca="1" si="110"/>
        <v>14.499810928144781</v>
      </c>
      <c r="CO92" s="1">
        <f t="shared" ca="1" si="111"/>
        <v>0.12917336793273315</v>
      </c>
      <c r="CP92" s="1">
        <f t="shared" ca="1" si="112"/>
        <v>1</v>
      </c>
    </row>
    <row r="93" spans="2:94" x14ac:dyDescent="0.25">
      <c r="B93">
        <f t="shared" ca="1" si="57"/>
        <v>601</v>
      </c>
      <c r="C93">
        <f t="shared" ca="1" si="58"/>
        <v>33</v>
      </c>
      <c r="D93">
        <f t="shared" ca="1" si="59"/>
        <v>0.16245973841874645</v>
      </c>
      <c r="F93" s="1">
        <f t="shared" ca="1" si="60"/>
        <v>18</v>
      </c>
      <c r="G93" s="1">
        <f t="shared" ca="1" si="61"/>
        <v>19</v>
      </c>
      <c r="H93" s="1">
        <f t="shared" ca="1" si="62"/>
        <v>3</v>
      </c>
      <c r="I93" s="1"/>
      <c r="J93" s="1">
        <f t="shared" ca="1" si="63"/>
        <v>15</v>
      </c>
      <c r="K93" s="1">
        <f t="shared" ca="1" si="64"/>
        <v>1.7643972770171765</v>
      </c>
      <c r="L93" s="1">
        <f t="shared" ca="1" si="65"/>
        <v>24</v>
      </c>
      <c r="M93" s="1"/>
      <c r="N93" s="1">
        <f t="shared" ca="1" si="66"/>
        <v>699</v>
      </c>
      <c r="O93" s="1">
        <f t="shared" ca="1" si="67"/>
        <v>25</v>
      </c>
      <c r="P93" s="1"/>
      <c r="Q93" s="1">
        <f t="shared" ca="1" si="68"/>
        <v>0.93936849239282794</v>
      </c>
      <c r="R93" s="1">
        <f t="shared" ca="1" si="69"/>
        <v>807</v>
      </c>
      <c r="S93" s="1"/>
      <c r="T93" s="1">
        <f t="shared" ca="1" si="70"/>
        <v>0.17403755486079445</v>
      </c>
      <c r="U93" s="1">
        <f t="shared" ca="1" si="71"/>
        <v>343</v>
      </c>
      <c r="V93" s="1">
        <f t="shared" ca="1" si="72"/>
        <v>4</v>
      </c>
      <c r="W93" s="1"/>
      <c r="X93" s="1">
        <f t="shared" ca="1" si="73"/>
        <v>3.8246958573212351</v>
      </c>
      <c r="Y93" s="1">
        <f t="shared" ca="1" si="74"/>
        <v>0.45645926811032833</v>
      </c>
      <c r="Z93" s="1">
        <f t="shared" ca="1" si="75"/>
        <v>213</v>
      </c>
      <c r="AB93" s="1">
        <f t="shared" ca="1" si="76"/>
        <v>0.69416414006996185</v>
      </c>
      <c r="AC93" s="1">
        <f t="shared" ca="1" si="77"/>
        <v>906</v>
      </c>
      <c r="AD93" s="1">
        <f t="shared" ca="1" si="78"/>
        <v>4.2458761856913217E-3</v>
      </c>
      <c r="AE93" s="1"/>
      <c r="AF93" s="1">
        <f t="shared" ca="1" si="79"/>
        <v>0.26506187198980657</v>
      </c>
      <c r="AG93" s="1">
        <f t="shared" ca="1" si="80"/>
        <v>185</v>
      </c>
      <c r="AH93" s="1">
        <f t="shared" ca="1" si="81"/>
        <v>6.7996835776762297E-3</v>
      </c>
      <c r="AJ93" s="1">
        <f t="shared" ca="1" si="82"/>
        <v>0.64048811340692524</v>
      </c>
      <c r="AK93" s="1">
        <f t="shared" ca="1" si="83"/>
        <v>2.2029419041910778E-4</v>
      </c>
      <c r="AL93" s="1"/>
      <c r="AM93" s="1">
        <f t="shared" ca="1" si="84"/>
        <v>5.7009578214925485E-2</v>
      </c>
      <c r="AN93" s="1">
        <f t="shared" ca="1" si="85"/>
        <v>21</v>
      </c>
      <c r="AO93" s="1">
        <f t="shared" ca="1" si="86"/>
        <v>19</v>
      </c>
      <c r="AQ93" s="1">
        <f t="shared" ca="1" si="87"/>
        <v>191</v>
      </c>
      <c r="AR93" s="1">
        <f t="shared" ca="1" si="88"/>
        <v>7</v>
      </c>
      <c r="AS93" s="1">
        <f t="shared" ca="1" si="89"/>
        <v>56</v>
      </c>
      <c r="AU93" s="1">
        <f t="shared" ca="1" si="90"/>
        <v>119</v>
      </c>
      <c r="AV93" s="1">
        <f t="shared" ca="1" si="91"/>
        <v>10</v>
      </c>
      <c r="AW93" s="1">
        <f t="shared" ca="1" si="92"/>
        <v>8.0568892290956082E-2</v>
      </c>
      <c r="AY93" s="1">
        <f t="shared" ca="1" si="93"/>
        <v>1.4185917740557819</v>
      </c>
      <c r="AZ93" s="1">
        <f t="shared" ca="1" si="94"/>
        <v>396</v>
      </c>
      <c r="BA93" s="1">
        <f t="shared" ca="1" si="95"/>
        <v>1.8616870757487774E-3</v>
      </c>
      <c r="BV93" s="1">
        <f t="shared" ca="1" si="96"/>
        <v>5.1812441659572765E-2</v>
      </c>
      <c r="BW93" s="1">
        <f t="shared" ca="1" si="97"/>
        <v>462</v>
      </c>
      <c r="BX93" s="1">
        <f t="shared" ca="1" si="98"/>
        <v>2.2286872283396137E-3</v>
      </c>
      <c r="BY93" s="1">
        <f t="shared" ca="1" si="99"/>
        <v>4.8248719414266887E-2</v>
      </c>
      <c r="BZ93" s="1">
        <f t="shared" ca="1" si="100"/>
        <v>0.33872082204573128</v>
      </c>
      <c r="CB93" s="1">
        <f t="shared" ca="1" si="101"/>
        <v>339</v>
      </c>
      <c r="CC93" s="1">
        <f t="shared" ca="1" si="102"/>
        <v>7</v>
      </c>
      <c r="CD93" s="1">
        <f t="shared" ca="1" si="103"/>
        <v>9.4859394540104322E-2</v>
      </c>
      <c r="CE93" s="1">
        <f t="shared" ca="1" si="104"/>
        <v>0.68222081910291377</v>
      </c>
      <c r="CF93" s="1">
        <f t="shared" ca="1" si="104"/>
        <v>0.74517718053880055</v>
      </c>
      <c r="CH93" s="3">
        <f t="shared" ca="1" si="105"/>
        <v>0.94747448964099157</v>
      </c>
      <c r="CI93" s="3">
        <f t="shared" ca="1" si="106"/>
        <v>0.31222651018700887</v>
      </c>
      <c r="CJ93" s="3">
        <f t="shared" ca="1" si="107"/>
        <v>214</v>
      </c>
      <c r="CK93" s="3">
        <f t="shared" ca="1" si="108"/>
        <v>2.4839615178473247E-3</v>
      </c>
      <c r="CL93" s="3">
        <f t="shared" ca="1" si="109"/>
        <v>1</v>
      </c>
      <c r="CM93" s="3"/>
      <c r="CN93" s="1">
        <f t="shared" ca="1" si="110"/>
        <v>17.25264221009019</v>
      </c>
      <c r="CO93" s="1">
        <f t="shared" ca="1" si="111"/>
        <v>0.24549524856234844</v>
      </c>
      <c r="CP93" s="1">
        <f t="shared" ca="1" si="112"/>
        <v>1</v>
      </c>
    </row>
    <row r="94" spans="2:94" x14ac:dyDescent="0.25">
      <c r="B94">
        <f t="shared" ca="1" si="57"/>
        <v>731</v>
      </c>
      <c r="C94">
        <f t="shared" ca="1" si="58"/>
        <v>31</v>
      </c>
      <c r="D94">
        <f t="shared" ca="1" si="59"/>
        <v>7.8354443003136473E-2</v>
      </c>
      <c r="F94" s="1">
        <f t="shared" ca="1" si="60"/>
        <v>48</v>
      </c>
      <c r="G94" s="1">
        <f t="shared" ca="1" si="61"/>
        <v>26</v>
      </c>
      <c r="H94" s="1">
        <f t="shared" ca="1" si="62"/>
        <v>9</v>
      </c>
      <c r="I94" s="1"/>
      <c r="J94" s="1">
        <f t="shared" ca="1" si="63"/>
        <v>26</v>
      </c>
      <c r="K94" s="1">
        <f t="shared" ca="1" si="64"/>
        <v>1.1361688255124924</v>
      </c>
      <c r="L94" s="1">
        <f t="shared" ca="1" si="65"/>
        <v>29</v>
      </c>
      <c r="M94" s="1"/>
      <c r="N94" s="1">
        <f t="shared" ca="1" si="66"/>
        <v>277</v>
      </c>
      <c r="O94" s="1">
        <f t="shared" ca="1" si="67"/>
        <v>50</v>
      </c>
      <c r="P94" s="1"/>
      <c r="Q94" s="1">
        <f t="shared" ca="1" si="68"/>
        <v>0.2721599166510521</v>
      </c>
      <c r="R94" s="1">
        <f t="shared" ca="1" si="69"/>
        <v>767</v>
      </c>
      <c r="S94" s="1"/>
      <c r="T94" s="1">
        <f t="shared" ca="1" si="70"/>
        <v>9.3088516481288561E-2</v>
      </c>
      <c r="U94" s="1">
        <f t="shared" ca="1" si="71"/>
        <v>245</v>
      </c>
      <c r="V94" s="1">
        <f t="shared" ca="1" si="72"/>
        <v>42</v>
      </c>
      <c r="W94" s="1"/>
      <c r="X94" s="1">
        <f t="shared" ca="1" si="73"/>
        <v>9.5087352826192078</v>
      </c>
      <c r="Y94" s="1">
        <f t="shared" ca="1" si="74"/>
        <v>0.26967663687700566</v>
      </c>
      <c r="Z94" s="1">
        <f t="shared" ca="1" si="75"/>
        <v>628</v>
      </c>
      <c r="AB94" s="1">
        <f t="shared" ca="1" si="76"/>
        <v>0.19476888965810454</v>
      </c>
      <c r="AC94" s="1">
        <f t="shared" ca="1" si="77"/>
        <v>272</v>
      </c>
      <c r="AD94" s="1">
        <f t="shared" ca="1" si="78"/>
        <v>4.2756060144038552E-3</v>
      </c>
      <c r="AE94" s="1"/>
      <c r="AF94" s="1">
        <f t="shared" ca="1" si="79"/>
        <v>0.74326669651164801</v>
      </c>
      <c r="AG94" s="1">
        <f t="shared" ca="1" si="80"/>
        <v>264</v>
      </c>
      <c r="AH94" s="1">
        <f t="shared" ca="1" si="81"/>
        <v>9.6718995913127253E-5</v>
      </c>
      <c r="AJ94" s="1">
        <f t="shared" ca="1" si="82"/>
        <v>0.96769713073753949</v>
      </c>
      <c r="AK94" s="1">
        <f t="shared" ca="1" si="83"/>
        <v>7.2777323724955122E-3</v>
      </c>
      <c r="AL94" s="1"/>
      <c r="AM94" s="1">
        <f t="shared" ca="1" si="84"/>
        <v>0.11005329317652703</v>
      </c>
      <c r="AN94" s="1">
        <f t="shared" ca="1" si="85"/>
        <v>53</v>
      </c>
      <c r="AO94" s="1">
        <f t="shared" ca="1" si="86"/>
        <v>0</v>
      </c>
      <c r="AQ94" s="1">
        <f t="shared" ca="1" si="87"/>
        <v>142</v>
      </c>
      <c r="AR94" s="1">
        <f t="shared" ca="1" si="88"/>
        <v>10</v>
      </c>
      <c r="AS94" s="1">
        <f t="shared" ca="1" si="89"/>
        <v>30</v>
      </c>
      <c r="AU94" s="1">
        <f t="shared" ca="1" si="90"/>
        <v>354</v>
      </c>
      <c r="AV94" s="1">
        <f t="shared" ca="1" si="91"/>
        <v>6</v>
      </c>
      <c r="AW94" s="1">
        <f t="shared" ca="1" si="92"/>
        <v>0.11264530266245967</v>
      </c>
      <c r="AY94" s="1">
        <f t="shared" ca="1" si="93"/>
        <v>1.8201740878224721</v>
      </c>
      <c r="AZ94" s="1">
        <f t="shared" ca="1" si="94"/>
        <v>434</v>
      </c>
      <c r="BA94" s="1">
        <f t="shared" ca="1" si="95"/>
        <v>4.8165616971770735E-3</v>
      </c>
      <c r="BV94" s="1">
        <f t="shared" ca="1" si="96"/>
        <v>0.97922418762597074</v>
      </c>
      <c r="BW94" s="1">
        <f t="shared" ca="1" si="97"/>
        <v>905</v>
      </c>
      <c r="BX94" s="1">
        <f t="shared" ca="1" si="98"/>
        <v>8.4869608406455965E-3</v>
      </c>
      <c r="BY94" s="1">
        <f t="shared" ca="1" si="99"/>
        <v>5.6893724802221636E-2</v>
      </c>
      <c r="BZ94" s="1">
        <f t="shared" ca="1" si="100"/>
        <v>0.90815712458512121</v>
      </c>
      <c r="CB94" s="1">
        <f t="shared" ca="1" si="101"/>
        <v>131</v>
      </c>
      <c r="CC94" s="1">
        <f t="shared" ca="1" si="102"/>
        <v>13</v>
      </c>
      <c r="CD94" s="1">
        <f t="shared" ca="1" si="103"/>
        <v>0.19452077980570656</v>
      </c>
      <c r="CE94" s="1">
        <f t="shared" ca="1" si="104"/>
        <v>0.7874260895307581</v>
      </c>
      <c r="CF94" s="1">
        <f t="shared" ca="1" si="104"/>
        <v>0.78080369497356961</v>
      </c>
      <c r="CH94" s="3">
        <f t="shared" ca="1" si="105"/>
        <v>0.46701695338868743</v>
      </c>
      <c r="CI94" s="3">
        <f t="shared" ca="1" si="106"/>
        <v>0.34861599718134445</v>
      </c>
      <c r="CJ94" s="3">
        <f t="shared" ca="1" si="107"/>
        <v>1338</v>
      </c>
      <c r="CK94" s="3">
        <f t="shared" ca="1" si="108"/>
        <v>6.0458266188924232E-3</v>
      </c>
      <c r="CL94" s="3">
        <f t="shared" ca="1" si="109"/>
        <v>1</v>
      </c>
      <c r="CM94" s="3"/>
      <c r="CN94" s="1">
        <f t="shared" ca="1" si="110"/>
        <v>17.623697399341737</v>
      </c>
      <c r="CO94" s="1">
        <f t="shared" ca="1" si="111"/>
        <v>0.2874250622703492</v>
      </c>
      <c r="CP94" s="1">
        <f t="shared" ca="1" si="112"/>
        <v>5</v>
      </c>
    </row>
    <row r="95" spans="2:94" x14ac:dyDescent="0.25">
      <c r="B95">
        <f t="shared" ca="1" si="57"/>
        <v>840</v>
      </c>
      <c r="C95">
        <f t="shared" ca="1" si="58"/>
        <v>2</v>
      </c>
      <c r="D95">
        <f t="shared" ca="1" si="59"/>
        <v>0.14728200827092819</v>
      </c>
      <c r="F95" s="1">
        <f t="shared" ca="1" si="60"/>
        <v>16</v>
      </c>
      <c r="G95" s="1">
        <f t="shared" ca="1" si="61"/>
        <v>9</v>
      </c>
      <c r="H95" s="1">
        <f t="shared" ca="1" si="62"/>
        <v>6</v>
      </c>
      <c r="I95" s="1"/>
      <c r="J95" s="1">
        <f t="shared" ca="1" si="63"/>
        <v>18</v>
      </c>
      <c r="K95" s="1">
        <f t="shared" ca="1" si="64"/>
        <v>1.1488059381129365</v>
      </c>
      <c r="L95" s="1">
        <f t="shared" ca="1" si="65"/>
        <v>11</v>
      </c>
      <c r="M95" s="1"/>
      <c r="N95" s="1">
        <f t="shared" ca="1" si="66"/>
        <v>387</v>
      </c>
      <c r="O95" s="1">
        <f t="shared" ca="1" si="67"/>
        <v>6</v>
      </c>
      <c r="P95" s="1"/>
      <c r="Q95" s="1">
        <f t="shared" ca="1" si="68"/>
        <v>4.202906786753223</v>
      </c>
      <c r="R95" s="1">
        <f t="shared" ca="1" si="69"/>
        <v>563</v>
      </c>
      <c r="S95" s="1"/>
      <c r="T95" s="1">
        <f t="shared" ca="1" si="70"/>
        <v>0.19447539229452529</v>
      </c>
      <c r="U95" s="1">
        <f t="shared" ca="1" si="71"/>
        <v>308</v>
      </c>
      <c r="V95" s="1">
        <f t="shared" ca="1" si="72"/>
        <v>41</v>
      </c>
      <c r="W95" s="1"/>
      <c r="X95" s="1">
        <f t="shared" ca="1" si="73"/>
        <v>6.6659008893086229</v>
      </c>
      <c r="Y95" s="1">
        <f t="shared" ca="1" si="74"/>
        <v>0.9985850050628331</v>
      </c>
      <c r="Z95" s="1">
        <f t="shared" ca="1" si="75"/>
        <v>986</v>
      </c>
      <c r="AB95" s="1">
        <f t="shared" ca="1" si="76"/>
        <v>0.30339186218817132</v>
      </c>
      <c r="AC95" s="1">
        <f t="shared" ca="1" si="77"/>
        <v>541</v>
      </c>
      <c r="AD95" s="1">
        <f t="shared" ca="1" si="78"/>
        <v>5.1210833505166732E-3</v>
      </c>
      <c r="AE95" s="1"/>
      <c r="AF95" s="1">
        <f t="shared" ca="1" si="79"/>
        <v>0.25936489179956662</v>
      </c>
      <c r="AG95" s="1">
        <f t="shared" ca="1" si="80"/>
        <v>330</v>
      </c>
      <c r="AH95" s="1">
        <f t="shared" ca="1" si="81"/>
        <v>2.2892397281390146E-3</v>
      </c>
      <c r="AJ95" s="1">
        <f t="shared" ca="1" si="82"/>
        <v>0.11992063227059413</v>
      </c>
      <c r="AK95" s="1">
        <f t="shared" ca="1" si="83"/>
        <v>2.0509595277455124E-3</v>
      </c>
      <c r="AL95" s="1"/>
      <c r="AM95" s="1">
        <f t="shared" ca="1" si="84"/>
        <v>5.271844000010565E-2</v>
      </c>
      <c r="AN95" s="1">
        <f t="shared" ca="1" si="85"/>
        <v>34</v>
      </c>
      <c r="AO95" s="1">
        <f t="shared" ca="1" si="86"/>
        <v>8</v>
      </c>
      <c r="AQ95" s="1">
        <f t="shared" ca="1" si="87"/>
        <v>163</v>
      </c>
      <c r="AR95" s="1">
        <f t="shared" ca="1" si="88"/>
        <v>4</v>
      </c>
      <c r="AS95" s="1">
        <f t="shared" ca="1" si="89"/>
        <v>93</v>
      </c>
      <c r="AU95" s="1">
        <f t="shared" ca="1" si="90"/>
        <v>262</v>
      </c>
      <c r="AV95" s="1">
        <f t="shared" ca="1" si="91"/>
        <v>5</v>
      </c>
      <c r="AW95" s="1">
        <f t="shared" ca="1" si="92"/>
        <v>0.13013012413397412</v>
      </c>
      <c r="AY95" s="1">
        <f t="shared" ca="1" si="93"/>
        <v>1.567675366208213</v>
      </c>
      <c r="AZ95" s="1">
        <f t="shared" ca="1" si="94"/>
        <v>172</v>
      </c>
      <c r="BA95" s="1">
        <f t="shared" ca="1" si="95"/>
        <v>7.8569653140038425E-3</v>
      </c>
      <c r="BV95" s="1">
        <f t="shared" ca="1" si="96"/>
        <v>0.65044834222599979</v>
      </c>
      <c r="BW95" s="1">
        <f t="shared" ca="1" si="97"/>
        <v>205</v>
      </c>
      <c r="BX95" s="1">
        <f t="shared" ca="1" si="98"/>
        <v>8.1901978692041875E-3</v>
      </c>
      <c r="BY95" s="1">
        <f t="shared" ca="1" si="99"/>
        <v>3.5439283944522885E-2</v>
      </c>
      <c r="BZ95" s="1">
        <f t="shared" ca="1" si="100"/>
        <v>0.31089254580007408</v>
      </c>
      <c r="CB95" s="1">
        <f t="shared" ca="1" si="101"/>
        <v>56</v>
      </c>
      <c r="CC95" s="1">
        <f t="shared" ca="1" si="102"/>
        <v>9</v>
      </c>
      <c r="CD95" s="1">
        <f t="shared" ca="1" si="103"/>
        <v>0.12813679565609751</v>
      </c>
      <c r="CE95" s="1">
        <f t="shared" ca="1" si="104"/>
        <v>0.63938416075574556</v>
      </c>
      <c r="CF95" s="1">
        <f t="shared" ca="1" si="104"/>
        <v>0.61813567075065778</v>
      </c>
      <c r="CH95" s="3">
        <f t="shared" ca="1" si="105"/>
        <v>0.85016446660162304</v>
      </c>
      <c r="CI95" s="3">
        <f t="shared" ca="1" si="106"/>
        <v>0.21588166213096738</v>
      </c>
      <c r="CJ95" s="3">
        <f t="shared" ca="1" si="107"/>
        <v>1342</v>
      </c>
      <c r="CK95" s="3">
        <f t="shared" ca="1" si="108"/>
        <v>3.2676816599729744E-3</v>
      </c>
      <c r="CL95" s="3">
        <f t="shared" ca="1" si="109"/>
        <v>1</v>
      </c>
      <c r="CM95" s="3"/>
      <c r="CN95" s="1">
        <f t="shared" ca="1" si="110"/>
        <v>16.331016569826357</v>
      </c>
      <c r="CO95" s="1">
        <f t="shared" ca="1" si="111"/>
        <v>0.20161297676831702</v>
      </c>
      <c r="CP95" s="1">
        <f t="shared" ca="1" si="112"/>
        <v>3</v>
      </c>
    </row>
    <row r="96" spans="2:94" x14ac:dyDescent="0.25">
      <c r="B96">
        <f t="shared" ca="1" si="57"/>
        <v>535</v>
      </c>
      <c r="C96">
        <f t="shared" ca="1" si="58"/>
        <v>11</v>
      </c>
      <c r="D96">
        <f t="shared" ca="1" si="59"/>
        <v>0.27645101893461588</v>
      </c>
      <c r="F96" s="1">
        <f t="shared" ca="1" si="60"/>
        <v>20</v>
      </c>
      <c r="G96" s="1">
        <f t="shared" ca="1" si="61"/>
        <v>12</v>
      </c>
      <c r="H96" s="1">
        <f t="shared" ca="1" si="62"/>
        <v>5</v>
      </c>
      <c r="I96" s="1"/>
      <c r="J96" s="1">
        <f t="shared" ca="1" si="63"/>
        <v>33</v>
      </c>
      <c r="K96" s="1">
        <f t="shared" ca="1" si="64"/>
        <v>2.5090232748836039</v>
      </c>
      <c r="L96" s="1">
        <f t="shared" ca="1" si="65"/>
        <v>11</v>
      </c>
      <c r="M96" s="1"/>
      <c r="N96" s="1">
        <f t="shared" ca="1" si="66"/>
        <v>461</v>
      </c>
      <c r="O96" s="1">
        <f t="shared" ca="1" si="67"/>
        <v>23</v>
      </c>
      <c r="P96" s="1"/>
      <c r="Q96" s="1">
        <f t="shared" ca="1" si="68"/>
        <v>0.17832896975489046</v>
      </c>
      <c r="R96" s="1">
        <f t="shared" ca="1" si="69"/>
        <v>458</v>
      </c>
      <c r="S96" s="1"/>
      <c r="T96" s="1">
        <f t="shared" ca="1" si="70"/>
        <v>1.844479844764281E-2</v>
      </c>
      <c r="U96" s="1">
        <f t="shared" ca="1" si="71"/>
        <v>201</v>
      </c>
      <c r="V96" s="1">
        <f t="shared" ca="1" si="72"/>
        <v>48</v>
      </c>
      <c r="W96" s="1"/>
      <c r="X96" s="1">
        <f t="shared" ca="1" si="73"/>
        <v>7.302852913424652</v>
      </c>
      <c r="Y96" s="1">
        <f t="shared" ca="1" si="74"/>
        <v>0.72009926734543861</v>
      </c>
      <c r="Z96" s="1">
        <f t="shared" ca="1" si="75"/>
        <v>1703</v>
      </c>
      <c r="AB96" s="1">
        <f t="shared" ca="1" si="76"/>
        <v>0.90406449154237589</v>
      </c>
      <c r="AC96" s="1">
        <f t="shared" ca="1" si="77"/>
        <v>739</v>
      </c>
      <c r="AD96" s="1">
        <f t="shared" ca="1" si="78"/>
        <v>8.9949122460127354E-4</v>
      </c>
      <c r="AE96" s="1"/>
      <c r="AF96" s="1">
        <f t="shared" ca="1" si="79"/>
        <v>0.84875458884924049</v>
      </c>
      <c r="AG96" s="1">
        <f t="shared" ca="1" si="80"/>
        <v>989</v>
      </c>
      <c r="AH96" s="1">
        <f t="shared" ca="1" si="81"/>
        <v>8.285014099876439E-3</v>
      </c>
      <c r="AJ96" s="1">
        <f t="shared" ca="1" si="82"/>
        <v>0.80770684736094966</v>
      </c>
      <c r="AK96" s="1">
        <f t="shared" ca="1" si="83"/>
        <v>6.9523016519363635E-3</v>
      </c>
      <c r="AL96" s="1"/>
      <c r="AM96" s="1">
        <f t="shared" ca="1" si="84"/>
        <v>8.6597175637313825E-2</v>
      </c>
      <c r="AN96" s="1">
        <f t="shared" ca="1" si="85"/>
        <v>44</v>
      </c>
      <c r="AO96" s="1">
        <f t="shared" ca="1" si="86"/>
        <v>9</v>
      </c>
      <c r="AQ96" s="1">
        <f t="shared" ca="1" si="87"/>
        <v>42</v>
      </c>
      <c r="AR96" s="1">
        <f t="shared" ca="1" si="88"/>
        <v>8</v>
      </c>
      <c r="AS96" s="1">
        <f t="shared" ca="1" si="89"/>
        <v>98</v>
      </c>
      <c r="AU96" s="1">
        <f t="shared" ca="1" si="90"/>
        <v>159</v>
      </c>
      <c r="AV96" s="1">
        <f t="shared" ca="1" si="91"/>
        <v>2</v>
      </c>
      <c r="AW96" s="1">
        <f t="shared" ca="1" si="92"/>
        <v>0.17120701603286931</v>
      </c>
      <c r="AY96" s="1">
        <f t="shared" ca="1" si="93"/>
        <v>1.5180701441177566</v>
      </c>
      <c r="AZ96" s="1">
        <f t="shared" ca="1" si="94"/>
        <v>214</v>
      </c>
      <c r="BA96" s="1">
        <f t="shared" ca="1" si="95"/>
        <v>8.5610471867233959E-3</v>
      </c>
      <c r="BV96" s="1">
        <f t="shared" ca="1" si="96"/>
        <v>0.82366617497998695</v>
      </c>
      <c r="BW96" s="1">
        <f t="shared" ca="1" si="97"/>
        <v>734</v>
      </c>
      <c r="BX96" s="1">
        <f t="shared" ca="1" si="98"/>
        <v>7.7650131383677863E-3</v>
      </c>
      <c r="BY96" s="1">
        <f t="shared" ca="1" si="99"/>
        <v>1.6213057133000891E-2</v>
      </c>
      <c r="BZ96" s="1">
        <f t="shared" ca="1" si="100"/>
        <v>0.90840986258541667</v>
      </c>
      <c r="CB96" s="1">
        <f t="shared" ca="1" si="101"/>
        <v>484</v>
      </c>
      <c r="CC96" s="1">
        <f t="shared" ca="1" si="102"/>
        <v>13</v>
      </c>
      <c r="CD96" s="1">
        <f t="shared" ca="1" si="103"/>
        <v>7.2496316488381396E-2</v>
      </c>
      <c r="CE96" s="1">
        <f t="shared" ca="1" si="104"/>
        <v>0.76918611783877489</v>
      </c>
      <c r="CF96" s="1">
        <f t="shared" ca="1" si="104"/>
        <v>0.77626616470806264</v>
      </c>
      <c r="CH96" s="3">
        <f t="shared" ca="1" si="105"/>
        <v>0.59478438786736154</v>
      </c>
      <c r="CI96" s="3">
        <f t="shared" ca="1" si="106"/>
        <v>0.55181861936416265</v>
      </c>
      <c r="CJ96" s="3">
        <f t="shared" ca="1" si="107"/>
        <v>745</v>
      </c>
      <c r="CK96" s="3">
        <f t="shared" ca="1" si="108"/>
        <v>1.3746790370185336E-3</v>
      </c>
      <c r="CL96" s="3">
        <f t="shared" ca="1" si="109"/>
        <v>1</v>
      </c>
      <c r="CM96" s="3"/>
      <c r="CN96" s="1">
        <f t="shared" ca="1" si="110"/>
        <v>16.259581160967933</v>
      </c>
      <c r="CO96" s="1">
        <f t="shared" ca="1" si="111"/>
        <v>0.20459318153280895</v>
      </c>
      <c r="CP96" s="1">
        <f t="shared" ca="1" si="112"/>
        <v>2</v>
      </c>
    </row>
    <row r="97" spans="2:94" x14ac:dyDescent="0.25">
      <c r="B97">
        <f t="shared" ca="1" si="57"/>
        <v>163</v>
      </c>
      <c r="C97">
        <f t="shared" ca="1" si="58"/>
        <v>23</v>
      </c>
      <c r="D97">
        <f t="shared" ca="1" si="59"/>
        <v>0.20308350075065318</v>
      </c>
      <c r="F97" s="1">
        <f t="shared" ca="1" si="60"/>
        <v>15</v>
      </c>
      <c r="G97" s="1">
        <f t="shared" ca="1" si="61"/>
        <v>23</v>
      </c>
      <c r="H97" s="1">
        <f t="shared" ca="1" si="62"/>
        <v>9</v>
      </c>
      <c r="I97" s="1"/>
      <c r="J97" s="1">
        <f t="shared" ca="1" si="63"/>
        <v>35</v>
      </c>
      <c r="K97" s="1">
        <f t="shared" ca="1" si="64"/>
        <v>1.6350791182566486</v>
      </c>
      <c r="L97" s="1">
        <f t="shared" ca="1" si="65"/>
        <v>6</v>
      </c>
      <c r="M97" s="1"/>
      <c r="N97" s="1">
        <f t="shared" ca="1" si="66"/>
        <v>185</v>
      </c>
      <c r="O97" s="1">
        <f t="shared" ca="1" si="67"/>
        <v>42</v>
      </c>
      <c r="P97" s="1"/>
      <c r="Q97" s="1">
        <f t="shared" ca="1" si="68"/>
        <v>4.6966511607390062</v>
      </c>
      <c r="R97" s="1">
        <f t="shared" ca="1" si="69"/>
        <v>706</v>
      </c>
      <c r="S97" s="1"/>
      <c r="T97" s="1">
        <f t="shared" ca="1" si="70"/>
        <v>2.4747962831511504E-2</v>
      </c>
      <c r="U97" s="1">
        <f t="shared" ca="1" si="71"/>
        <v>210</v>
      </c>
      <c r="V97" s="1">
        <f t="shared" ca="1" si="72"/>
        <v>47</v>
      </c>
      <c r="W97" s="1"/>
      <c r="X97" s="1">
        <f t="shared" ca="1" si="73"/>
        <v>3.3932845837153911</v>
      </c>
      <c r="Y97" s="1">
        <f t="shared" ca="1" si="74"/>
        <v>0.45765721358885419</v>
      </c>
      <c r="Z97" s="1">
        <f t="shared" ca="1" si="75"/>
        <v>1341</v>
      </c>
      <c r="AB97" s="1">
        <f t="shared" ca="1" si="76"/>
        <v>3.0525555862308849E-2</v>
      </c>
      <c r="AC97" s="1">
        <f t="shared" ca="1" si="77"/>
        <v>384</v>
      </c>
      <c r="AD97" s="1">
        <f t="shared" ca="1" si="78"/>
        <v>4.4296476001255206E-3</v>
      </c>
      <c r="AE97" s="1"/>
      <c r="AF97" s="1">
        <f t="shared" ca="1" si="79"/>
        <v>0.44954150619380273</v>
      </c>
      <c r="AG97" s="1">
        <f t="shared" ca="1" si="80"/>
        <v>712</v>
      </c>
      <c r="AH97" s="1">
        <f t="shared" ca="1" si="81"/>
        <v>2.7049731468533709E-3</v>
      </c>
      <c r="AJ97" s="1">
        <f t="shared" ca="1" si="82"/>
        <v>0.51991432206710941</v>
      </c>
      <c r="AK97" s="1">
        <f t="shared" ca="1" si="83"/>
        <v>2.5871873772286968E-4</v>
      </c>
      <c r="AL97" s="1"/>
      <c r="AM97" s="1">
        <f t="shared" ca="1" si="84"/>
        <v>5.3664930305655348E-2</v>
      </c>
      <c r="AN97" s="1">
        <f t="shared" ca="1" si="85"/>
        <v>72</v>
      </c>
      <c r="AO97" s="1">
        <f t="shared" ca="1" si="86"/>
        <v>5</v>
      </c>
      <c r="AQ97" s="1">
        <f t="shared" ca="1" si="87"/>
        <v>65</v>
      </c>
      <c r="AR97" s="1">
        <f t="shared" ca="1" si="88"/>
        <v>1</v>
      </c>
      <c r="AS97" s="1">
        <f t="shared" ca="1" si="89"/>
        <v>87</v>
      </c>
      <c r="AU97" s="1">
        <f t="shared" ca="1" si="90"/>
        <v>210</v>
      </c>
      <c r="AV97" s="1">
        <f t="shared" ca="1" si="91"/>
        <v>10</v>
      </c>
      <c r="AW97" s="1">
        <f t="shared" ca="1" si="92"/>
        <v>0.11012536346262983</v>
      </c>
      <c r="AY97" s="1">
        <f t="shared" ca="1" si="93"/>
        <v>1.7218599519682458</v>
      </c>
      <c r="AZ97" s="1">
        <f t="shared" ca="1" si="94"/>
        <v>323</v>
      </c>
      <c r="BA97" s="1">
        <f t="shared" ca="1" si="95"/>
        <v>2.5570977779777104E-3</v>
      </c>
      <c r="BV97" s="1">
        <f t="shared" ca="1" si="96"/>
        <v>0.45390757028118922</v>
      </c>
      <c r="BW97" s="1">
        <f t="shared" ca="1" si="97"/>
        <v>233</v>
      </c>
      <c r="BX97" s="1">
        <f t="shared" ca="1" si="98"/>
        <v>7.248427666189482E-3</v>
      </c>
      <c r="BY97" s="1">
        <f t="shared" ca="1" si="99"/>
        <v>5.6157892357281886E-2</v>
      </c>
      <c r="BZ97" s="1">
        <f t="shared" ca="1" si="100"/>
        <v>0.4182841042635862</v>
      </c>
      <c r="CB97" s="1">
        <f t="shared" ca="1" si="101"/>
        <v>462</v>
      </c>
      <c r="CC97" s="1">
        <f t="shared" ca="1" si="102"/>
        <v>8</v>
      </c>
      <c r="CD97" s="1">
        <f t="shared" ca="1" si="103"/>
        <v>0.10456505646922107</v>
      </c>
      <c r="CE97" s="1">
        <f t="shared" ca="1" si="104"/>
        <v>0.88657302938874105</v>
      </c>
      <c r="CF97" s="1">
        <f t="shared" ca="1" si="104"/>
        <v>0.94655645666935495</v>
      </c>
      <c r="CH97" s="3">
        <f t="shared" ca="1" si="105"/>
        <v>0.17027371846961054</v>
      </c>
      <c r="CI97" s="3">
        <f t="shared" ca="1" si="106"/>
        <v>0.41445730634592209</v>
      </c>
      <c r="CJ97" s="3">
        <f t="shared" ca="1" si="107"/>
        <v>120</v>
      </c>
      <c r="CK97" s="3">
        <f t="shared" ca="1" si="108"/>
        <v>6.1317911774261607E-3</v>
      </c>
      <c r="CL97" s="3">
        <f t="shared" ca="1" si="109"/>
        <v>1</v>
      </c>
      <c r="CM97" s="3"/>
      <c r="CN97" s="1">
        <f t="shared" ca="1" si="110"/>
        <v>6.4780510705076813</v>
      </c>
      <c r="CO97" s="1">
        <f t="shared" ca="1" si="111"/>
        <v>0.20954819339315506</v>
      </c>
      <c r="CP97" s="1">
        <f t="shared" ca="1" si="112"/>
        <v>4</v>
      </c>
    </row>
    <row r="98" spans="2:94" x14ac:dyDescent="0.25">
      <c r="B98">
        <f t="shared" ca="1" si="57"/>
        <v>157</v>
      </c>
      <c r="C98">
        <f t="shared" ca="1" si="58"/>
        <v>40</v>
      </c>
      <c r="D98">
        <f t="shared" ca="1" si="59"/>
        <v>0.12123874351841459</v>
      </c>
      <c r="F98" s="1">
        <f t="shared" ca="1" si="60"/>
        <v>27</v>
      </c>
      <c r="G98" s="1">
        <f t="shared" ca="1" si="61"/>
        <v>8</v>
      </c>
      <c r="H98" s="1">
        <f t="shared" ca="1" si="62"/>
        <v>8</v>
      </c>
      <c r="I98" s="1"/>
      <c r="J98" s="1">
        <f t="shared" ca="1" si="63"/>
        <v>15</v>
      </c>
      <c r="K98" s="1">
        <f t="shared" ca="1" si="64"/>
        <v>2.5827449258257364</v>
      </c>
      <c r="L98" s="1">
        <f t="shared" ca="1" si="65"/>
        <v>34</v>
      </c>
      <c r="M98" s="1"/>
      <c r="N98" s="1">
        <f t="shared" ca="1" si="66"/>
        <v>199</v>
      </c>
      <c r="O98" s="1">
        <f t="shared" ca="1" si="67"/>
        <v>26</v>
      </c>
      <c r="P98" s="1"/>
      <c r="Q98" s="1">
        <f t="shared" ca="1" si="68"/>
        <v>1.9388359079107236</v>
      </c>
      <c r="R98" s="1">
        <f t="shared" ca="1" si="69"/>
        <v>374</v>
      </c>
      <c r="S98" s="1"/>
      <c r="T98" s="1">
        <f t="shared" ca="1" si="70"/>
        <v>9.742955849435575E-2</v>
      </c>
      <c r="U98" s="1">
        <f t="shared" ca="1" si="71"/>
        <v>313</v>
      </c>
      <c r="V98" s="1">
        <f t="shared" ca="1" si="72"/>
        <v>37</v>
      </c>
      <c r="W98" s="1"/>
      <c r="X98" s="1">
        <f t="shared" ca="1" si="73"/>
        <v>5.8488134566578927</v>
      </c>
      <c r="Y98" s="1">
        <f t="shared" ca="1" si="74"/>
        <v>0.80014475327033874</v>
      </c>
      <c r="Z98" s="1">
        <f t="shared" ca="1" si="75"/>
        <v>544</v>
      </c>
      <c r="AB98" s="1">
        <f t="shared" ca="1" si="76"/>
        <v>0.3895210938593846</v>
      </c>
      <c r="AC98" s="1">
        <f t="shared" ca="1" si="77"/>
        <v>891</v>
      </c>
      <c r="AD98" s="1">
        <f t="shared" ca="1" si="78"/>
        <v>6.1141806515682623E-3</v>
      </c>
      <c r="AE98" s="1"/>
      <c r="AF98" s="1">
        <f t="shared" ca="1" si="79"/>
        <v>0.65415107719355603</v>
      </c>
      <c r="AG98" s="1">
        <f t="shared" ca="1" si="80"/>
        <v>965</v>
      </c>
      <c r="AH98" s="1">
        <f t="shared" ca="1" si="81"/>
        <v>5.7359707499852527E-3</v>
      </c>
      <c r="AJ98" s="1">
        <f t="shared" ca="1" si="82"/>
        <v>0.94577708827984541</v>
      </c>
      <c r="AK98" s="1">
        <f t="shared" ca="1" si="83"/>
        <v>8.2349099672074984E-3</v>
      </c>
      <c r="AL98" s="1"/>
      <c r="AM98" s="1">
        <f t="shared" ca="1" si="84"/>
        <v>1.215060995819024E-2</v>
      </c>
      <c r="AN98" s="1">
        <f t="shared" ca="1" si="85"/>
        <v>80</v>
      </c>
      <c r="AO98" s="1">
        <f t="shared" ca="1" si="86"/>
        <v>11</v>
      </c>
      <c r="AQ98" s="1">
        <f t="shared" ca="1" si="87"/>
        <v>98</v>
      </c>
      <c r="AR98" s="1">
        <f t="shared" ca="1" si="88"/>
        <v>10</v>
      </c>
      <c r="AS98" s="1">
        <f t="shared" ca="1" si="89"/>
        <v>41</v>
      </c>
      <c r="AU98" s="1">
        <f t="shared" ca="1" si="90"/>
        <v>267</v>
      </c>
      <c r="AV98" s="1">
        <f t="shared" ca="1" si="91"/>
        <v>4</v>
      </c>
      <c r="AW98" s="1">
        <f t="shared" ca="1" si="92"/>
        <v>0.16518617244443479</v>
      </c>
      <c r="AY98" s="1">
        <f t="shared" ca="1" si="93"/>
        <v>1.5567586087753607</v>
      </c>
      <c r="AZ98" s="1">
        <f t="shared" ca="1" si="94"/>
        <v>273</v>
      </c>
      <c r="BA98" s="1">
        <f t="shared" ca="1" si="95"/>
        <v>3.3622184790909953E-3</v>
      </c>
      <c r="BV98" s="1">
        <f t="shared" ca="1" si="96"/>
        <v>0.49958755016392564</v>
      </c>
      <c r="BW98" s="1">
        <f t="shared" ca="1" si="97"/>
        <v>514</v>
      </c>
      <c r="BX98" s="1">
        <f t="shared" ca="1" si="98"/>
        <v>8.9365644604670579E-3</v>
      </c>
      <c r="BY98" s="1">
        <f t="shared" ca="1" si="99"/>
        <v>2.2230530987113962E-2</v>
      </c>
      <c r="BZ98" s="1">
        <f t="shared" ca="1" si="100"/>
        <v>2.2309628536436032E-2</v>
      </c>
      <c r="CB98" s="1">
        <f t="shared" ca="1" si="101"/>
        <v>301</v>
      </c>
      <c r="CC98" s="1">
        <f t="shared" ca="1" si="102"/>
        <v>5</v>
      </c>
      <c r="CD98" s="1">
        <f t="shared" ca="1" si="103"/>
        <v>0.14631429894565517</v>
      </c>
      <c r="CE98" s="1">
        <f t="shared" ca="1" si="104"/>
        <v>0.971790933663505</v>
      </c>
      <c r="CF98" s="1">
        <f t="shared" ca="1" si="104"/>
        <v>0.62787208166746256</v>
      </c>
      <c r="CH98" s="3">
        <f t="shared" ca="1" si="105"/>
        <v>0.72146011616544448</v>
      </c>
      <c r="CI98" s="3">
        <f t="shared" ca="1" si="106"/>
        <v>0.82139034147368439</v>
      </c>
      <c r="CJ98" s="3">
        <f t="shared" ca="1" si="107"/>
        <v>906</v>
      </c>
      <c r="CK98" s="3">
        <f t="shared" ca="1" si="108"/>
        <v>1.9630421114560227E-3</v>
      </c>
      <c r="CL98" s="3">
        <f t="shared" ca="1" si="109"/>
        <v>1</v>
      </c>
      <c r="CM98" s="3"/>
      <c r="CN98" s="1">
        <f t="shared" ca="1" si="110"/>
        <v>11.523199937402893</v>
      </c>
      <c r="CO98" s="1">
        <f t="shared" ca="1" si="111"/>
        <v>0.28920775211452965</v>
      </c>
      <c r="CP98" s="1">
        <f t="shared" ca="1" si="112"/>
        <v>2</v>
      </c>
    </row>
    <row r="99" spans="2:94" x14ac:dyDescent="0.25">
      <c r="B99">
        <f t="shared" ca="1" si="57"/>
        <v>902</v>
      </c>
      <c r="C99">
        <f t="shared" ca="1" si="58"/>
        <v>24</v>
      </c>
      <c r="D99">
        <f t="shared" ca="1" si="59"/>
        <v>9.3953324931157822E-2</v>
      </c>
      <c r="F99" s="1">
        <f t="shared" ca="1" si="60"/>
        <v>10</v>
      </c>
      <c r="G99" s="1">
        <f t="shared" ca="1" si="61"/>
        <v>11</v>
      </c>
      <c r="H99" s="1">
        <f t="shared" ca="1" si="62"/>
        <v>11</v>
      </c>
      <c r="I99" s="1"/>
      <c r="J99" s="1">
        <f t="shared" ca="1" si="63"/>
        <v>31</v>
      </c>
      <c r="K99" s="1">
        <f t="shared" ca="1" si="64"/>
        <v>2.7940260207471095</v>
      </c>
      <c r="L99" s="1">
        <f t="shared" ca="1" si="65"/>
        <v>33</v>
      </c>
      <c r="M99" s="1"/>
      <c r="N99" s="1">
        <f t="shared" ca="1" si="66"/>
        <v>269</v>
      </c>
      <c r="O99" s="1">
        <f t="shared" ca="1" si="67"/>
        <v>36</v>
      </c>
      <c r="P99" s="1"/>
      <c r="Q99" s="1">
        <f t="shared" ca="1" si="68"/>
        <v>2.7595060704060685</v>
      </c>
      <c r="R99" s="1">
        <f t="shared" ca="1" si="69"/>
        <v>503</v>
      </c>
      <c r="S99" s="1"/>
      <c r="T99" s="1">
        <f t="shared" ca="1" si="70"/>
        <v>0.12267608085545018</v>
      </c>
      <c r="U99" s="1">
        <f t="shared" ca="1" si="71"/>
        <v>149</v>
      </c>
      <c r="V99" s="1">
        <f t="shared" ca="1" si="72"/>
        <v>43</v>
      </c>
      <c r="W99" s="1"/>
      <c r="X99" s="1">
        <f t="shared" ca="1" si="73"/>
        <v>4.3784604831185225</v>
      </c>
      <c r="Y99" s="1">
        <f t="shared" ca="1" si="74"/>
        <v>0.38738791127585914</v>
      </c>
      <c r="Z99" s="1">
        <f t="shared" ca="1" si="75"/>
        <v>1595</v>
      </c>
      <c r="AB99" s="1">
        <f t="shared" ca="1" si="76"/>
        <v>0.15643953911685005</v>
      </c>
      <c r="AC99" s="1">
        <f t="shared" ca="1" si="77"/>
        <v>974</v>
      </c>
      <c r="AD99" s="1">
        <f t="shared" ca="1" si="78"/>
        <v>4.6954436788267297E-3</v>
      </c>
      <c r="AE99" s="1"/>
      <c r="AF99" s="1">
        <f t="shared" ca="1" si="79"/>
        <v>0.43616455884015815</v>
      </c>
      <c r="AG99" s="1">
        <f t="shared" ca="1" si="80"/>
        <v>120</v>
      </c>
      <c r="AH99" s="1">
        <f t="shared" ca="1" si="81"/>
        <v>3.781800635191766E-3</v>
      </c>
      <c r="AJ99" s="1">
        <f t="shared" ca="1" si="82"/>
        <v>0.96771818930257691</v>
      </c>
      <c r="AK99" s="1">
        <f t="shared" ca="1" si="83"/>
        <v>1.6648994271246105E-3</v>
      </c>
      <c r="AL99" s="1"/>
      <c r="AM99" s="1">
        <f t="shared" ca="1" si="84"/>
        <v>4.8353231562928554E-2</v>
      </c>
      <c r="AN99" s="1">
        <f t="shared" ca="1" si="85"/>
        <v>80</v>
      </c>
      <c r="AO99" s="1">
        <f t="shared" ca="1" si="86"/>
        <v>8</v>
      </c>
      <c r="AQ99" s="1">
        <f t="shared" ca="1" si="87"/>
        <v>108</v>
      </c>
      <c r="AR99" s="1">
        <f t="shared" ca="1" si="88"/>
        <v>0</v>
      </c>
      <c r="AS99" s="1">
        <f t="shared" ca="1" si="89"/>
        <v>75</v>
      </c>
      <c r="AU99" s="1">
        <f t="shared" ca="1" si="90"/>
        <v>105</v>
      </c>
      <c r="AV99" s="1">
        <f t="shared" ca="1" si="91"/>
        <v>6</v>
      </c>
      <c r="AW99" s="1">
        <f t="shared" ca="1" si="92"/>
        <v>0.108378918497853</v>
      </c>
      <c r="AY99" s="1">
        <f t="shared" ca="1" si="93"/>
        <v>1.6811796127967717</v>
      </c>
      <c r="AZ99" s="1">
        <f t="shared" ca="1" si="94"/>
        <v>395</v>
      </c>
      <c r="BA99" s="1">
        <f t="shared" ca="1" si="95"/>
        <v>9.3593981268676532E-3</v>
      </c>
      <c r="BV99" s="1">
        <f t="shared" ca="1" si="96"/>
        <v>0.85257936034642823</v>
      </c>
      <c r="BW99" s="1">
        <f t="shared" ca="1" si="97"/>
        <v>263</v>
      </c>
      <c r="BX99" s="1">
        <f t="shared" ca="1" si="98"/>
        <v>4.3811926611073658E-3</v>
      </c>
      <c r="BY99" s="1">
        <f t="shared" ca="1" si="99"/>
        <v>3.590102459467464E-2</v>
      </c>
      <c r="BZ99" s="1">
        <f t="shared" ca="1" si="100"/>
        <v>0.63930395157073605</v>
      </c>
      <c r="CB99" s="1">
        <f t="shared" ca="1" si="101"/>
        <v>59</v>
      </c>
      <c r="CC99" s="1">
        <f t="shared" ca="1" si="102"/>
        <v>3</v>
      </c>
      <c r="CD99" s="1">
        <f t="shared" ca="1" si="103"/>
        <v>5.8238994286455549E-2</v>
      </c>
      <c r="CE99" s="1">
        <f t="shared" ca="1" si="104"/>
        <v>0.59035864092787615</v>
      </c>
      <c r="CF99" s="1">
        <f t="shared" ca="1" si="104"/>
        <v>0.93620648188757771</v>
      </c>
      <c r="CH99" s="3">
        <f t="shared" ca="1" si="105"/>
        <v>0.37567296503725356</v>
      </c>
      <c r="CI99" s="3">
        <f t="shared" ca="1" si="106"/>
        <v>0.28255630029835127</v>
      </c>
      <c r="CJ99" s="3">
        <f t="shared" ca="1" si="107"/>
        <v>332</v>
      </c>
      <c r="CK99" s="3">
        <f t="shared" ca="1" si="108"/>
        <v>3.257636516869463E-3</v>
      </c>
      <c r="CL99" s="3">
        <f t="shared" ca="1" si="109"/>
        <v>1</v>
      </c>
      <c r="CM99" s="3"/>
      <c r="CN99" s="1">
        <f t="shared" ca="1" si="110"/>
        <v>7.6015923961613243</v>
      </c>
      <c r="CO99" s="1">
        <f t="shared" ca="1" si="111"/>
        <v>0.22082967070075704</v>
      </c>
      <c r="CP99" s="1">
        <f t="shared" ca="1" si="112"/>
        <v>2</v>
      </c>
    </row>
    <row r="100" spans="2:94" x14ac:dyDescent="0.25">
      <c r="B100">
        <f t="shared" ca="1" si="57"/>
        <v>979</v>
      </c>
      <c r="C100">
        <f t="shared" ca="1" si="58"/>
        <v>30</v>
      </c>
      <c r="D100">
        <f t="shared" ca="1" si="59"/>
        <v>0.1398057041743202</v>
      </c>
      <c r="F100" s="1">
        <f t="shared" ca="1" si="60"/>
        <v>27</v>
      </c>
      <c r="G100" s="1">
        <f t="shared" ca="1" si="61"/>
        <v>17</v>
      </c>
      <c r="H100" s="1">
        <f t="shared" ca="1" si="62"/>
        <v>10</v>
      </c>
      <c r="I100" s="1"/>
      <c r="J100" s="1">
        <f t="shared" ca="1" si="63"/>
        <v>29</v>
      </c>
      <c r="K100" s="1">
        <f t="shared" ca="1" si="64"/>
        <v>2.187733584717674</v>
      </c>
      <c r="L100" s="1">
        <f t="shared" ca="1" si="65"/>
        <v>24</v>
      </c>
      <c r="M100" s="1"/>
      <c r="N100" s="1">
        <f t="shared" ca="1" si="66"/>
        <v>601</v>
      </c>
      <c r="O100" s="1">
        <f t="shared" ca="1" si="67"/>
        <v>21</v>
      </c>
      <c r="P100" s="1"/>
      <c r="Q100" s="1">
        <f t="shared" ca="1" si="68"/>
        <v>1.2765977551630041</v>
      </c>
      <c r="R100" s="1">
        <f t="shared" ca="1" si="69"/>
        <v>977</v>
      </c>
      <c r="S100" s="1"/>
      <c r="T100" s="1">
        <f t="shared" ca="1" si="70"/>
        <v>0.14557977473051814</v>
      </c>
      <c r="U100" s="1">
        <f t="shared" ca="1" si="71"/>
        <v>442</v>
      </c>
      <c r="V100" s="1">
        <f t="shared" ca="1" si="72"/>
        <v>36</v>
      </c>
      <c r="W100" s="1"/>
      <c r="X100" s="1">
        <f t="shared" ca="1" si="73"/>
        <v>3.4078560663676618</v>
      </c>
      <c r="Y100" s="1">
        <f t="shared" ca="1" si="74"/>
        <v>0.64948024629557932</v>
      </c>
      <c r="Z100" s="1">
        <f t="shared" ca="1" si="75"/>
        <v>1810</v>
      </c>
      <c r="AB100" s="1">
        <f t="shared" ca="1" si="76"/>
        <v>0.53253912857281027</v>
      </c>
      <c r="AC100" s="1">
        <f t="shared" ca="1" si="77"/>
        <v>875</v>
      </c>
      <c r="AD100" s="1">
        <f t="shared" ca="1" si="78"/>
        <v>3.470480363875008E-3</v>
      </c>
      <c r="AE100" s="1"/>
      <c r="AF100" s="1">
        <f t="shared" ca="1" si="79"/>
        <v>0.43258095489348825</v>
      </c>
      <c r="AG100" s="1">
        <f t="shared" ca="1" si="80"/>
        <v>786</v>
      </c>
      <c r="AH100" s="1">
        <f t="shared" ca="1" si="81"/>
        <v>6.2547462464292566E-3</v>
      </c>
      <c r="AJ100" s="1">
        <f t="shared" ca="1" si="82"/>
        <v>0.91036628775443618</v>
      </c>
      <c r="AK100" s="1">
        <f t="shared" ca="1" si="83"/>
        <v>3.2174476868800329E-3</v>
      </c>
      <c r="AL100" s="1"/>
      <c r="AM100" s="1">
        <f t="shared" ca="1" si="84"/>
        <v>0.19880889991578338</v>
      </c>
      <c r="AN100" s="1">
        <f t="shared" ca="1" si="85"/>
        <v>41</v>
      </c>
      <c r="AO100" s="1">
        <f t="shared" ca="1" si="86"/>
        <v>0</v>
      </c>
      <c r="AQ100" s="1">
        <f t="shared" ca="1" si="87"/>
        <v>137</v>
      </c>
      <c r="AR100" s="1">
        <f t="shared" ca="1" si="88"/>
        <v>5</v>
      </c>
      <c r="AS100" s="1">
        <f t="shared" ca="1" si="89"/>
        <v>80</v>
      </c>
      <c r="AU100" s="1">
        <f t="shared" ca="1" si="90"/>
        <v>345</v>
      </c>
      <c r="AV100" s="1">
        <f t="shared" ca="1" si="91"/>
        <v>3</v>
      </c>
      <c r="AW100" s="1">
        <f t="shared" ca="1" si="92"/>
        <v>0.17617211829171533</v>
      </c>
      <c r="AY100" s="1">
        <f t="shared" ca="1" si="93"/>
        <v>1.7887320272949345</v>
      </c>
      <c r="AZ100" s="1">
        <f t="shared" ca="1" si="94"/>
        <v>257</v>
      </c>
      <c r="BA100" s="1">
        <f t="shared" ca="1" si="95"/>
        <v>6.851823318679476E-3</v>
      </c>
      <c r="BV100" s="1">
        <f t="shared" ca="1" si="96"/>
        <v>0.93076636930708601</v>
      </c>
      <c r="BW100" s="1">
        <f t="shared" ca="1" si="97"/>
        <v>247</v>
      </c>
      <c r="BX100" s="1">
        <f t="shared" ca="1" si="98"/>
        <v>5.7975338386837914E-3</v>
      </c>
      <c r="BY100" s="1">
        <f t="shared" ca="1" si="99"/>
        <v>2.5328564608287266E-2</v>
      </c>
      <c r="BZ100" s="1">
        <f t="shared" ca="1" si="100"/>
        <v>0.58885341482948172</v>
      </c>
      <c r="CB100" s="1">
        <f t="shared" ca="1" si="101"/>
        <v>108</v>
      </c>
      <c r="CC100" s="1">
        <f t="shared" ca="1" si="102"/>
        <v>11</v>
      </c>
      <c r="CD100" s="1">
        <f t="shared" ca="1" si="103"/>
        <v>0.12666219273449089</v>
      </c>
      <c r="CE100" s="1">
        <f t="shared" ref="CE100:CF131" ca="1" si="113">RAND()*(1-0.5)+0.5</f>
        <v>0.63343589243524845</v>
      </c>
      <c r="CF100" s="1">
        <f t="shared" ca="1" si="113"/>
        <v>0.58178002736728429</v>
      </c>
      <c r="CH100" s="3">
        <f t="shared" ca="1" si="105"/>
        <v>0.83006816425575369</v>
      </c>
      <c r="CI100" s="3">
        <f t="shared" ca="1" si="106"/>
        <v>0.8632701089702931</v>
      </c>
      <c r="CJ100" s="3">
        <f t="shared" ca="1" si="107"/>
        <v>1675</v>
      </c>
      <c r="CK100" s="3">
        <f t="shared" ca="1" si="108"/>
        <v>7.7242035120287655E-3</v>
      </c>
      <c r="CL100" s="3">
        <f t="shared" ca="1" si="109"/>
        <v>0</v>
      </c>
      <c r="CM100" s="3"/>
      <c r="CN100" s="1">
        <f t="shared" ca="1" si="110"/>
        <v>3.4015201278907266</v>
      </c>
      <c r="CO100" s="1">
        <f t="shared" ca="1" si="111"/>
        <v>1.2600580071253257E-2</v>
      </c>
      <c r="CP100" s="1">
        <f t="shared" ca="1" si="112"/>
        <v>2</v>
      </c>
    </row>
    <row r="101" spans="2:94" x14ac:dyDescent="0.25">
      <c r="B101">
        <f t="shared" ca="1" si="57"/>
        <v>248</v>
      </c>
      <c r="C101">
        <f t="shared" ca="1" si="58"/>
        <v>50</v>
      </c>
      <c r="D101">
        <f t="shared" ca="1" si="59"/>
        <v>0.17665961428612612</v>
      </c>
      <c r="F101" s="1">
        <f t="shared" ca="1" si="60"/>
        <v>38</v>
      </c>
      <c r="G101" s="1">
        <f t="shared" ca="1" si="61"/>
        <v>2</v>
      </c>
      <c r="H101" s="1">
        <f t="shared" ca="1" si="62"/>
        <v>11</v>
      </c>
      <c r="I101" s="1"/>
      <c r="J101" s="1">
        <f t="shared" ca="1" si="63"/>
        <v>14</v>
      </c>
      <c r="K101" s="1">
        <f t="shared" ca="1" si="64"/>
        <v>1.0548934597070074</v>
      </c>
      <c r="L101" s="1">
        <f t="shared" ca="1" si="65"/>
        <v>5</v>
      </c>
      <c r="M101" s="1"/>
      <c r="N101" s="1">
        <f t="shared" ca="1" si="66"/>
        <v>334</v>
      </c>
      <c r="O101" s="1">
        <f t="shared" ca="1" si="67"/>
        <v>25</v>
      </c>
      <c r="P101" s="1"/>
      <c r="Q101" s="1">
        <f t="shared" ca="1" si="68"/>
        <v>1.7220154942801351</v>
      </c>
      <c r="R101" s="1">
        <f t="shared" ca="1" si="69"/>
        <v>378</v>
      </c>
      <c r="S101" s="1"/>
      <c r="T101" s="1">
        <f t="shared" ca="1" si="70"/>
        <v>5.4406943317795983E-2</v>
      </c>
      <c r="U101" s="1">
        <f t="shared" ca="1" si="71"/>
        <v>95</v>
      </c>
      <c r="V101" s="1">
        <f t="shared" ca="1" si="72"/>
        <v>3</v>
      </c>
      <c r="W101" s="1"/>
      <c r="X101" s="1">
        <f t="shared" ca="1" si="73"/>
        <v>4.7316282665029563</v>
      </c>
      <c r="Y101" s="1">
        <f t="shared" ca="1" si="74"/>
        <v>0.8905959132157879</v>
      </c>
      <c r="Z101" s="1">
        <f t="shared" ca="1" si="75"/>
        <v>671</v>
      </c>
      <c r="AB101" s="1">
        <f t="shared" ca="1" si="76"/>
        <v>0.13684811823597837</v>
      </c>
      <c r="AC101" s="1">
        <f t="shared" ca="1" si="77"/>
        <v>517</v>
      </c>
      <c r="AD101" s="1">
        <f t="shared" ca="1" si="78"/>
        <v>9.3923772891393656E-3</v>
      </c>
      <c r="AE101" s="1"/>
      <c r="AF101" s="1">
        <f t="shared" ca="1" si="79"/>
        <v>0.58287093656062672</v>
      </c>
      <c r="AG101" s="1">
        <f t="shared" ca="1" si="80"/>
        <v>715</v>
      </c>
      <c r="AH101" s="1">
        <f t="shared" ca="1" si="81"/>
        <v>9.3760827694272415E-3</v>
      </c>
      <c r="AJ101" s="1">
        <f t="shared" ca="1" si="82"/>
        <v>5.8772047074411526E-2</v>
      </c>
      <c r="AK101" s="1">
        <f t="shared" ca="1" si="83"/>
        <v>2.5103573057532937E-3</v>
      </c>
      <c r="AL101" s="1"/>
      <c r="AM101" s="1">
        <f t="shared" ca="1" si="84"/>
        <v>3.25234177802705E-2</v>
      </c>
      <c r="AN101" s="1">
        <f t="shared" ca="1" si="85"/>
        <v>66</v>
      </c>
      <c r="AO101" s="1">
        <f t="shared" ca="1" si="86"/>
        <v>10</v>
      </c>
      <c r="AQ101" s="1">
        <f t="shared" ca="1" si="87"/>
        <v>145</v>
      </c>
      <c r="AR101" s="1">
        <f t="shared" ca="1" si="88"/>
        <v>1</v>
      </c>
      <c r="AS101" s="1">
        <f t="shared" ca="1" si="89"/>
        <v>96</v>
      </c>
      <c r="AU101" s="1">
        <f t="shared" ca="1" si="90"/>
        <v>80</v>
      </c>
      <c r="AV101" s="1">
        <f t="shared" ca="1" si="91"/>
        <v>6</v>
      </c>
      <c r="AW101" s="1">
        <f t="shared" ca="1" si="92"/>
        <v>1.9733619443366619E-2</v>
      </c>
      <c r="AY101" s="1">
        <f t="shared" ca="1" si="93"/>
        <v>1.8662776927994269</v>
      </c>
      <c r="AZ101" s="1">
        <f t="shared" ca="1" si="94"/>
        <v>220</v>
      </c>
      <c r="BA101" s="1">
        <f t="shared" ca="1" si="95"/>
        <v>8.5527349490855569E-4</v>
      </c>
      <c r="BV101" s="1">
        <f t="shared" ca="1" si="96"/>
        <v>0.14507607774199843</v>
      </c>
      <c r="BW101" s="1">
        <f t="shared" ca="1" si="97"/>
        <v>201</v>
      </c>
      <c r="BX101" s="1">
        <f t="shared" ca="1" si="98"/>
        <v>5.7533554390199371E-4</v>
      </c>
      <c r="BY101" s="1">
        <f t="shared" ca="1" si="99"/>
        <v>3.105646048859315E-2</v>
      </c>
      <c r="BZ101" s="1">
        <f t="shared" ca="1" si="100"/>
        <v>0.40807989519498333</v>
      </c>
      <c r="CB101" s="1">
        <f t="shared" ca="1" si="101"/>
        <v>164</v>
      </c>
      <c r="CC101" s="1">
        <f t="shared" ca="1" si="102"/>
        <v>10</v>
      </c>
      <c r="CD101" s="1">
        <f t="shared" ca="1" si="103"/>
        <v>6.6369443696038574E-2</v>
      </c>
      <c r="CE101" s="1">
        <f t="shared" ca="1" si="113"/>
        <v>0.78581315960969156</v>
      </c>
      <c r="CF101" s="1">
        <f t="shared" ca="1" si="113"/>
        <v>0.63486726757379097</v>
      </c>
      <c r="CH101" s="3">
        <f t="shared" ca="1" si="105"/>
        <v>0.95839346647485824</v>
      </c>
      <c r="CI101" s="3">
        <f t="shared" ca="1" si="106"/>
        <v>0.54939112665363021</v>
      </c>
      <c r="CJ101" s="3">
        <f t="shared" ca="1" si="107"/>
        <v>1622</v>
      </c>
      <c r="CK101" s="3">
        <f t="shared" ca="1" si="108"/>
        <v>6.1954927747257423E-3</v>
      </c>
      <c r="CL101" s="3">
        <f t="shared" ca="1" si="109"/>
        <v>1</v>
      </c>
      <c r="CM101" s="3"/>
      <c r="CN101" s="1">
        <f t="shared" ca="1" si="110"/>
        <v>11.143606756649877</v>
      </c>
      <c r="CO101" s="1">
        <f t="shared" ca="1" si="111"/>
        <v>0.31286581170751365</v>
      </c>
      <c r="CP101" s="1">
        <f t="shared" ca="1" si="112"/>
        <v>1</v>
      </c>
    </row>
    <row r="102" spans="2:94" x14ac:dyDescent="0.25">
      <c r="B102">
        <f t="shared" ca="1" si="57"/>
        <v>433</v>
      </c>
      <c r="C102">
        <f t="shared" ca="1" si="58"/>
        <v>48</v>
      </c>
      <c r="D102">
        <f t="shared" ca="1" si="59"/>
        <v>0.27877931893341534</v>
      </c>
      <c r="F102" s="1">
        <f t="shared" ca="1" si="60"/>
        <v>13</v>
      </c>
      <c r="G102" s="1">
        <f t="shared" ca="1" si="61"/>
        <v>2</v>
      </c>
      <c r="H102" s="1">
        <f t="shared" ca="1" si="62"/>
        <v>10</v>
      </c>
      <c r="I102" s="1"/>
      <c r="J102" s="1">
        <f t="shared" ca="1" si="63"/>
        <v>25</v>
      </c>
      <c r="K102" s="1">
        <f t="shared" ca="1" si="64"/>
        <v>2.2559083441814369</v>
      </c>
      <c r="L102" s="1">
        <f t="shared" ca="1" si="65"/>
        <v>9</v>
      </c>
      <c r="M102" s="1"/>
      <c r="N102" s="1">
        <f t="shared" ca="1" si="66"/>
        <v>392</v>
      </c>
      <c r="O102" s="1">
        <f t="shared" ca="1" si="67"/>
        <v>30</v>
      </c>
      <c r="P102" s="1"/>
      <c r="Q102" s="1">
        <f t="shared" ca="1" si="68"/>
        <v>4.3383834280873215</v>
      </c>
      <c r="R102" s="1">
        <f t="shared" ca="1" si="69"/>
        <v>262</v>
      </c>
      <c r="S102" s="1"/>
      <c r="T102" s="1">
        <f t="shared" ca="1" si="70"/>
        <v>0.12838889958612174</v>
      </c>
      <c r="U102" s="1">
        <f t="shared" ca="1" si="71"/>
        <v>269</v>
      </c>
      <c r="V102" s="1">
        <f t="shared" ca="1" si="72"/>
        <v>44</v>
      </c>
      <c r="W102" s="1"/>
      <c r="X102" s="1">
        <f t="shared" ca="1" si="73"/>
        <v>3.8962789101756865</v>
      </c>
      <c r="Y102" s="1">
        <f t="shared" ca="1" si="74"/>
        <v>0.43904157649525882</v>
      </c>
      <c r="Z102" s="1">
        <f t="shared" ca="1" si="75"/>
        <v>986</v>
      </c>
      <c r="AB102" s="1">
        <f t="shared" ca="1" si="76"/>
        <v>7.9389623464884984E-3</v>
      </c>
      <c r="AC102" s="1">
        <f t="shared" ca="1" si="77"/>
        <v>122</v>
      </c>
      <c r="AD102" s="1">
        <f t="shared" ca="1" si="78"/>
        <v>4.9816156654111411E-3</v>
      </c>
      <c r="AE102" s="1"/>
      <c r="AF102" s="1">
        <f t="shared" ca="1" si="79"/>
        <v>0.61587286521254159</v>
      </c>
      <c r="AG102" s="1">
        <f t="shared" ca="1" si="80"/>
        <v>929</v>
      </c>
      <c r="AH102" s="1">
        <f t="shared" ca="1" si="81"/>
        <v>7.2148681752746552E-3</v>
      </c>
      <c r="AJ102" s="1">
        <f t="shared" ca="1" si="82"/>
        <v>0.47194746377064301</v>
      </c>
      <c r="AK102" s="1">
        <f t="shared" ca="1" si="83"/>
        <v>1.0303141123499278E-3</v>
      </c>
      <c r="AL102" s="1"/>
      <c r="AM102" s="1">
        <f t="shared" ca="1" si="84"/>
        <v>7.3400786873937862E-2</v>
      </c>
      <c r="AN102" s="1">
        <f t="shared" ca="1" si="85"/>
        <v>21</v>
      </c>
      <c r="AO102" s="1">
        <f t="shared" ca="1" si="86"/>
        <v>3</v>
      </c>
      <c r="AQ102" s="1">
        <f t="shared" ca="1" si="87"/>
        <v>42</v>
      </c>
      <c r="AR102" s="1">
        <f t="shared" ca="1" si="88"/>
        <v>3</v>
      </c>
      <c r="AS102" s="1">
        <f t="shared" ca="1" si="89"/>
        <v>38</v>
      </c>
      <c r="AU102" s="1">
        <f t="shared" ca="1" si="90"/>
        <v>104</v>
      </c>
      <c r="AV102" s="1">
        <f t="shared" ca="1" si="91"/>
        <v>2</v>
      </c>
      <c r="AW102" s="1">
        <f t="shared" ca="1" si="92"/>
        <v>0.14147111097007159</v>
      </c>
      <c r="AY102" s="1">
        <f t="shared" ca="1" si="93"/>
        <v>1.4943803030877261</v>
      </c>
      <c r="AZ102" s="1">
        <f t="shared" ca="1" si="94"/>
        <v>70</v>
      </c>
      <c r="BA102" s="1">
        <f t="shared" ca="1" si="95"/>
        <v>8.7849546740716017E-3</v>
      </c>
      <c r="BV102" s="1">
        <f t="shared" ca="1" si="96"/>
        <v>0.26319026730977318</v>
      </c>
      <c r="BW102" s="1">
        <f t="shared" ca="1" si="97"/>
        <v>285</v>
      </c>
      <c r="BX102" s="1">
        <f t="shared" ca="1" si="98"/>
        <v>3.2277190613994242E-3</v>
      </c>
      <c r="BY102" s="1">
        <f t="shared" ca="1" si="99"/>
        <v>5.9333413973592646E-2</v>
      </c>
      <c r="BZ102" s="1">
        <f t="shared" ca="1" si="100"/>
        <v>0.40173690827349684</v>
      </c>
      <c r="CB102" s="1">
        <f t="shared" ca="1" si="101"/>
        <v>102</v>
      </c>
      <c r="CC102" s="1">
        <f t="shared" ca="1" si="102"/>
        <v>13</v>
      </c>
      <c r="CD102" s="1">
        <f t="shared" ca="1" si="103"/>
        <v>0.10131317357627688</v>
      </c>
      <c r="CE102" s="1">
        <f t="shared" ca="1" si="113"/>
        <v>0.88180946287065476</v>
      </c>
      <c r="CF102" s="1">
        <f t="shared" ca="1" si="113"/>
        <v>0.80469070281560728</v>
      </c>
      <c r="CH102" s="3">
        <f t="shared" ca="1" si="105"/>
        <v>0.62013634964054209</v>
      </c>
      <c r="CI102" s="3">
        <f t="shared" ca="1" si="106"/>
        <v>0.22138141055726016</v>
      </c>
      <c r="CJ102" s="3">
        <f t="shared" ca="1" si="107"/>
        <v>962</v>
      </c>
      <c r="CK102" s="3">
        <f t="shared" ca="1" si="108"/>
        <v>9.6408702157822056E-3</v>
      </c>
      <c r="CL102" s="3">
        <f t="shared" ca="1" si="109"/>
        <v>0</v>
      </c>
      <c r="CM102" s="3"/>
      <c r="CN102" s="1">
        <f t="shared" ca="1" si="110"/>
        <v>17.28487288516023</v>
      </c>
      <c r="CO102" s="1">
        <f t="shared" ca="1" si="111"/>
        <v>0.23484031305808864</v>
      </c>
      <c r="CP102" s="1">
        <f t="shared" ca="1" si="112"/>
        <v>1</v>
      </c>
    </row>
    <row r="103" spans="2:94" x14ac:dyDescent="0.25">
      <c r="B103">
        <f t="shared" ca="1" si="57"/>
        <v>334</v>
      </c>
      <c r="C103">
        <f t="shared" ca="1" si="58"/>
        <v>24</v>
      </c>
      <c r="D103">
        <f t="shared" ca="1" si="59"/>
        <v>0.25324727564178695</v>
      </c>
      <c r="F103" s="1">
        <f t="shared" ca="1" si="60"/>
        <v>38</v>
      </c>
      <c r="G103" s="1">
        <f t="shared" ca="1" si="61"/>
        <v>8</v>
      </c>
      <c r="H103" s="1">
        <f t="shared" ca="1" si="62"/>
        <v>2</v>
      </c>
      <c r="I103" s="1"/>
      <c r="J103" s="1">
        <f t="shared" ca="1" si="63"/>
        <v>28</v>
      </c>
      <c r="K103" s="1">
        <f t="shared" ca="1" si="64"/>
        <v>2.1998430795383865</v>
      </c>
      <c r="L103" s="1">
        <f t="shared" ca="1" si="65"/>
        <v>10</v>
      </c>
      <c r="M103" s="1"/>
      <c r="N103" s="1">
        <f t="shared" ca="1" si="66"/>
        <v>712</v>
      </c>
      <c r="O103" s="1">
        <f t="shared" ca="1" si="67"/>
        <v>16</v>
      </c>
      <c r="P103" s="1"/>
      <c r="Q103" s="1">
        <f t="shared" ca="1" si="68"/>
        <v>0.50468738406365543</v>
      </c>
      <c r="R103" s="1">
        <f t="shared" ca="1" si="69"/>
        <v>984</v>
      </c>
      <c r="S103" s="1"/>
      <c r="T103" s="1">
        <f t="shared" ca="1" si="70"/>
        <v>0.15017345110411112</v>
      </c>
      <c r="U103" s="1">
        <f t="shared" ca="1" si="71"/>
        <v>443</v>
      </c>
      <c r="V103" s="1">
        <f t="shared" ca="1" si="72"/>
        <v>52</v>
      </c>
      <c r="W103" s="1"/>
      <c r="X103" s="1">
        <f t="shared" ca="1" si="73"/>
        <v>7.185754723335692</v>
      </c>
      <c r="Y103" s="1">
        <f t="shared" ca="1" si="74"/>
        <v>0.48188613898675592</v>
      </c>
      <c r="Z103" s="1">
        <f t="shared" ca="1" si="75"/>
        <v>1562</v>
      </c>
      <c r="AB103" s="1">
        <f t="shared" ca="1" si="76"/>
        <v>0.42849775273402246</v>
      </c>
      <c r="AC103" s="1">
        <f t="shared" ca="1" si="77"/>
        <v>136</v>
      </c>
      <c r="AD103" s="1">
        <f t="shared" ca="1" si="78"/>
        <v>6.897152039472749E-3</v>
      </c>
      <c r="AE103" s="1"/>
      <c r="AF103" s="1">
        <f t="shared" ca="1" si="79"/>
        <v>0.29732533481352591</v>
      </c>
      <c r="AG103" s="1">
        <f t="shared" ca="1" si="80"/>
        <v>742</v>
      </c>
      <c r="AH103" s="1">
        <f t="shared" ca="1" si="81"/>
        <v>5.3969298041705591E-3</v>
      </c>
      <c r="AJ103" s="1">
        <f t="shared" ca="1" si="82"/>
        <v>0.76785104386500336</v>
      </c>
      <c r="AK103" s="1">
        <f t="shared" ca="1" si="83"/>
        <v>3.712782126675509E-3</v>
      </c>
      <c r="AL103" s="1"/>
      <c r="AM103" s="1">
        <f t="shared" ca="1" si="84"/>
        <v>1.8330115997607383E-2</v>
      </c>
      <c r="AN103" s="1">
        <f t="shared" ca="1" si="85"/>
        <v>77</v>
      </c>
      <c r="AO103" s="1">
        <f t="shared" ca="1" si="86"/>
        <v>20</v>
      </c>
      <c r="AQ103" s="1">
        <f t="shared" ca="1" si="87"/>
        <v>48</v>
      </c>
      <c r="AR103" s="1">
        <f t="shared" ca="1" si="88"/>
        <v>9</v>
      </c>
      <c r="AS103" s="1">
        <f t="shared" ca="1" si="89"/>
        <v>48</v>
      </c>
      <c r="AU103" s="1">
        <f t="shared" ca="1" si="90"/>
        <v>126</v>
      </c>
      <c r="AV103" s="1">
        <f t="shared" ca="1" si="91"/>
        <v>6</v>
      </c>
      <c r="AW103" s="1">
        <f t="shared" ca="1" si="92"/>
        <v>7.4425220287135871E-2</v>
      </c>
      <c r="AY103" s="1">
        <f t="shared" ca="1" si="93"/>
        <v>1.1594237784820214</v>
      </c>
      <c r="AZ103" s="1">
        <f t="shared" ca="1" si="94"/>
        <v>315</v>
      </c>
      <c r="BA103" s="1">
        <f t="shared" ca="1" si="95"/>
        <v>4.109324311281407E-3</v>
      </c>
      <c r="BV103" s="1">
        <f t="shared" ca="1" si="96"/>
        <v>0.40121132502095391</v>
      </c>
      <c r="BW103" s="1">
        <f t="shared" ca="1" si="97"/>
        <v>829</v>
      </c>
      <c r="BX103" s="1">
        <f t="shared" ca="1" si="98"/>
        <v>8.2898608049835547E-4</v>
      </c>
      <c r="BY103" s="1">
        <f t="shared" ca="1" si="99"/>
        <v>4.6117531370536376E-2</v>
      </c>
      <c r="BZ103" s="1">
        <f t="shared" ca="1" si="100"/>
        <v>0.89050228273098031</v>
      </c>
      <c r="CB103" s="1">
        <f t="shared" ca="1" si="101"/>
        <v>101</v>
      </c>
      <c r="CC103" s="1">
        <f t="shared" ca="1" si="102"/>
        <v>7</v>
      </c>
      <c r="CD103" s="1">
        <f t="shared" ca="1" si="103"/>
        <v>0.2726981410231073</v>
      </c>
      <c r="CE103" s="1">
        <f t="shared" ca="1" si="113"/>
        <v>0.72509720560757063</v>
      </c>
      <c r="CF103" s="1">
        <f t="shared" ca="1" si="113"/>
        <v>0.7767072991415005</v>
      </c>
      <c r="CH103" s="3">
        <f t="shared" ca="1" si="105"/>
        <v>0.41009486376835286</v>
      </c>
      <c r="CI103" s="3">
        <f t="shared" ca="1" si="106"/>
        <v>0.54204428020512607</v>
      </c>
      <c r="CJ103" s="3">
        <f t="shared" ca="1" si="107"/>
        <v>1102</v>
      </c>
      <c r="CK103" s="3">
        <f t="shared" ca="1" si="108"/>
        <v>3.7651204299703868E-3</v>
      </c>
      <c r="CL103" s="3">
        <f t="shared" ca="1" si="109"/>
        <v>1</v>
      </c>
      <c r="CM103" s="3"/>
      <c r="CN103" s="1">
        <f t="shared" ca="1" si="110"/>
        <v>10.898797989430815</v>
      </c>
      <c r="CO103" s="1">
        <f t="shared" ca="1" si="111"/>
        <v>0.48146654813242262</v>
      </c>
      <c r="CP103" s="1">
        <f t="shared" ca="1" si="112"/>
        <v>2</v>
      </c>
    </row>
    <row r="104" spans="2:94" x14ac:dyDescent="0.25">
      <c r="B104">
        <f t="shared" ca="1" si="57"/>
        <v>104</v>
      </c>
      <c r="C104">
        <f t="shared" ca="1" si="58"/>
        <v>6</v>
      </c>
      <c r="D104">
        <f t="shared" ca="1" si="59"/>
        <v>0.21429148710339349</v>
      </c>
      <c r="F104" s="1">
        <f t="shared" ca="1" si="60"/>
        <v>52</v>
      </c>
      <c r="G104" s="1">
        <f t="shared" ca="1" si="61"/>
        <v>18</v>
      </c>
      <c r="H104" s="1">
        <f t="shared" ca="1" si="62"/>
        <v>14</v>
      </c>
      <c r="I104" s="1"/>
      <c r="J104" s="1">
        <f t="shared" ca="1" si="63"/>
        <v>5</v>
      </c>
      <c r="K104" s="1">
        <f t="shared" ca="1" si="64"/>
        <v>2.4398818733988294</v>
      </c>
      <c r="L104" s="1">
        <f t="shared" ca="1" si="65"/>
        <v>12</v>
      </c>
      <c r="M104" s="1"/>
      <c r="N104" s="1">
        <f t="shared" ca="1" si="66"/>
        <v>269</v>
      </c>
      <c r="O104" s="1">
        <f t="shared" ca="1" si="67"/>
        <v>38</v>
      </c>
      <c r="P104" s="1"/>
      <c r="Q104" s="1">
        <f t="shared" ca="1" si="68"/>
        <v>2.5380091449035733</v>
      </c>
      <c r="R104" s="1">
        <f t="shared" ca="1" si="69"/>
        <v>425</v>
      </c>
      <c r="S104" s="1"/>
      <c r="T104" s="1">
        <f t="shared" ca="1" si="70"/>
        <v>0.12966743859578758</v>
      </c>
      <c r="U104" s="1">
        <f t="shared" ca="1" si="71"/>
        <v>107</v>
      </c>
      <c r="V104" s="1">
        <f t="shared" ca="1" si="72"/>
        <v>25</v>
      </c>
      <c r="W104" s="1"/>
      <c r="X104" s="1">
        <f t="shared" ca="1" si="73"/>
        <v>1.279462259468009</v>
      </c>
      <c r="Y104" s="1">
        <f t="shared" ca="1" si="74"/>
        <v>0.17696609929840287</v>
      </c>
      <c r="Z104" s="1">
        <f t="shared" ca="1" si="75"/>
        <v>1236</v>
      </c>
      <c r="AB104" s="1">
        <f t="shared" ca="1" si="76"/>
        <v>0.12384315504400031</v>
      </c>
      <c r="AC104" s="1">
        <f t="shared" ca="1" si="77"/>
        <v>218</v>
      </c>
      <c r="AD104" s="1">
        <f t="shared" ca="1" si="78"/>
        <v>1.4601689892874156E-3</v>
      </c>
      <c r="AE104" s="1"/>
      <c r="AF104" s="1">
        <f t="shared" ca="1" si="79"/>
        <v>0.24426499997427797</v>
      </c>
      <c r="AG104" s="1">
        <f t="shared" ca="1" si="80"/>
        <v>183</v>
      </c>
      <c r="AH104" s="1">
        <f t="shared" ca="1" si="81"/>
        <v>9.7655780085448458E-3</v>
      </c>
      <c r="AJ104" s="1">
        <f t="shared" ca="1" si="82"/>
        <v>0.55852729629466491</v>
      </c>
      <c r="AK104" s="1">
        <f t="shared" ca="1" si="83"/>
        <v>9.7071387978976374E-3</v>
      </c>
      <c r="AL104" s="1"/>
      <c r="AM104" s="1">
        <f t="shared" ca="1" si="84"/>
        <v>3.0748474654531715E-2</v>
      </c>
      <c r="AN104" s="1">
        <f t="shared" ca="1" si="85"/>
        <v>28</v>
      </c>
      <c r="AO104" s="1">
        <f t="shared" ca="1" si="86"/>
        <v>18</v>
      </c>
      <c r="AQ104" s="1">
        <f t="shared" ca="1" si="87"/>
        <v>46</v>
      </c>
      <c r="AR104" s="1">
        <f t="shared" ca="1" si="88"/>
        <v>8</v>
      </c>
      <c r="AS104" s="1">
        <f t="shared" ca="1" si="89"/>
        <v>2</v>
      </c>
      <c r="AU104" s="1">
        <f t="shared" ca="1" si="90"/>
        <v>179</v>
      </c>
      <c r="AV104" s="1">
        <f t="shared" ca="1" si="91"/>
        <v>2</v>
      </c>
      <c r="AW104" s="1">
        <f t="shared" ca="1" si="92"/>
        <v>4.240060832604995E-2</v>
      </c>
      <c r="AY104" s="1">
        <f t="shared" ca="1" si="93"/>
        <v>1.6384040903228234</v>
      </c>
      <c r="AZ104" s="1">
        <f t="shared" ca="1" si="94"/>
        <v>443</v>
      </c>
      <c r="BA104" s="1">
        <f t="shared" ca="1" si="95"/>
        <v>6.149235865181406E-3</v>
      </c>
      <c r="BV104" s="1">
        <f t="shared" ca="1" si="96"/>
        <v>0.26272926916412254</v>
      </c>
      <c r="BW104" s="1">
        <f t="shared" ca="1" si="97"/>
        <v>393</v>
      </c>
      <c r="BX104" s="1">
        <f t="shared" ca="1" si="98"/>
        <v>3.3939895441224524E-3</v>
      </c>
      <c r="BY104" s="1">
        <f t="shared" ca="1" si="99"/>
        <v>1.7158158668251489E-2</v>
      </c>
      <c r="BZ104" s="1">
        <f t="shared" ca="1" si="100"/>
        <v>0.96529236311419764</v>
      </c>
      <c r="CB104" s="1">
        <f t="shared" ca="1" si="101"/>
        <v>266</v>
      </c>
      <c r="CC104" s="1">
        <f t="shared" ca="1" si="102"/>
        <v>13</v>
      </c>
      <c r="CD104" s="1">
        <f t="shared" ca="1" si="103"/>
        <v>0.21939135793699355</v>
      </c>
      <c r="CE104" s="1">
        <f t="shared" ca="1" si="113"/>
        <v>0.75086001125117463</v>
      </c>
      <c r="CF104" s="1">
        <f t="shared" ca="1" si="113"/>
        <v>0.91095781575395285</v>
      </c>
      <c r="CH104" s="3">
        <f t="shared" ca="1" si="105"/>
        <v>0.33861115298462352</v>
      </c>
      <c r="CI104" s="3">
        <f t="shared" ca="1" si="106"/>
        <v>0.68423442048355609</v>
      </c>
      <c r="CJ104" s="3">
        <f t="shared" ca="1" si="107"/>
        <v>644</v>
      </c>
      <c r="CK104" s="3">
        <f t="shared" ca="1" si="108"/>
        <v>8.4960351112627706E-3</v>
      </c>
      <c r="CL104" s="3">
        <f t="shared" ca="1" si="109"/>
        <v>0</v>
      </c>
      <c r="CM104" s="3"/>
      <c r="CN104" s="1">
        <f t="shared" ca="1" si="110"/>
        <v>15.622039883945289</v>
      </c>
      <c r="CO104" s="1">
        <f t="shared" ca="1" si="111"/>
        <v>0.45943282179770517</v>
      </c>
      <c r="CP104" s="1">
        <f t="shared" ca="1" si="112"/>
        <v>1</v>
      </c>
    </row>
    <row r="105" spans="2:94" x14ac:dyDescent="0.25">
      <c r="B105">
        <f t="shared" ca="1" si="57"/>
        <v>776</v>
      </c>
      <c r="C105">
        <f t="shared" ca="1" si="58"/>
        <v>25</v>
      </c>
      <c r="D105">
        <f t="shared" ca="1" si="59"/>
        <v>7.0045737013859119E-2</v>
      </c>
      <c r="F105" s="1">
        <f t="shared" ca="1" si="60"/>
        <v>8</v>
      </c>
      <c r="G105" s="1">
        <f t="shared" ca="1" si="61"/>
        <v>21</v>
      </c>
      <c r="H105" s="1">
        <f t="shared" ca="1" si="62"/>
        <v>9</v>
      </c>
      <c r="I105" s="1"/>
      <c r="J105" s="1">
        <f t="shared" ca="1" si="63"/>
        <v>29</v>
      </c>
      <c r="K105" s="1">
        <f t="shared" ca="1" si="64"/>
        <v>1.6560365432332766</v>
      </c>
      <c r="L105" s="1">
        <f t="shared" ca="1" si="65"/>
        <v>22</v>
      </c>
      <c r="M105" s="1"/>
      <c r="N105" s="1">
        <f t="shared" ca="1" si="66"/>
        <v>227</v>
      </c>
      <c r="O105" s="1">
        <f t="shared" ca="1" si="67"/>
        <v>49</v>
      </c>
      <c r="P105" s="1"/>
      <c r="Q105" s="1">
        <f t="shared" ca="1" si="68"/>
        <v>2.9631084230392393</v>
      </c>
      <c r="R105" s="1">
        <f t="shared" ca="1" si="69"/>
        <v>1037</v>
      </c>
      <c r="S105" s="1"/>
      <c r="T105" s="1">
        <f t="shared" ca="1" si="70"/>
        <v>0.18300359092344989</v>
      </c>
      <c r="U105" s="1">
        <f t="shared" ca="1" si="71"/>
        <v>153</v>
      </c>
      <c r="V105" s="1">
        <f t="shared" ca="1" si="72"/>
        <v>43</v>
      </c>
      <c r="W105" s="1"/>
      <c r="X105" s="1">
        <f t="shared" ca="1" si="73"/>
        <v>8.0478608631163322</v>
      </c>
      <c r="Y105" s="1">
        <f t="shared" ca="1" si="74"/>
        <v>0.77599998386395019</v>
      </c>
      <c r="Z105" s="1">
        <f t="shared" ca="1" si="75"/>
        <v>1703</v>
      </c>
      <c r="AB105" s="1">
        <f t="shared" ca="1" si="76"/>
        <v>0.29907160606283112</v>
      </c>
      <c r="AC105" s="1">
        <f t="shared" ca="1" si="77"/>
        <v>554</v>
      </c>
      <c r="AD105" s="1">
        <f t="shared" ca="1" si="78"/>
        <v>5.1529437275773049E-3</v>
      </c>
      <c r="AE105" s="1"/>
      <c r="AF105" s="1">
        <f t="shared" ca="1" si="79"/>
        <v>0.53324251123738986</v>
      </c>
      <c r="AG105" s="1">
        <f t="shared" ca="1" si="80"/>
        <v>606</v>
      </c>
      <c r="AH105" s="1">
        <f t="shared" ca="1" si="81"/>
        <v>3.7014295925151541E-3</v>
      </c>
      <c r="AJ105" s="1">
        <f t="shared" ca="1" si="82"/>
        <v>0.4740350783118823</v>
      </c>
      <c r="AK105" s="1">
        <f t="shared" ca="1" si="83"/>
        <v>7.3637259023822694E-3</v>
      </c>
      <c r="AL105" s="1"/>
      <c r="AM105" s="1">
        <f t="shared" ca="1" si="84"/>
        <v>0.18427303630857489</v>
      </c>
      <c r="AN105" s="1">
        <f t="shared" ca="1" si="85"/>
        <v>30</v>
      </c>
      <c r="AO105" s="1">
        <f t="shared" ca="1" si="86"/>
        <v>16</v>
      </c>
      <c r="AQ105" s="1">
        <f t="shared" ca="1" si="87"/>
        <v>42</v>
      </c>
      <c r="AR105" s="1">
        <f t="shared" ca="1" si="88"/>
        <v>2</v>
      </c>
      <c r="AS105" s="1">
        <f t="shared" ca="1" si="89"/>
        <v>98</v>
      </c>
      <c r="AU105" s="1">
        <f t="shared" ca="1" si="90"/>
        <v>400</v>
      </c>
      <c r="AV105" s="1">
        <f t="shared" ca="1" si="91"/>
        <v>8</v>
      </c>
      <c r="AW105" s="1">
        <f t="shared" ca="1" si="92"/>
        <v>7.5269283668897791E-2</v>
      </c>
      <c r="AY105" s="1">
        <f t="shared" ca="1" si="93"/>
        <v>1.6205038106047729</v>
      </c>
      <c r="AZ105" s="1">
        <f t="shared" ca="1" si="94"/>
        <v>312</v>
      </c>
      <c r="BA105" s="1">
        <f t="shared" ca="1" si="95"/>
        <v>6.113600903441388E-3</v>
      </c>
      <c r="BV105" s="1">
        <f t="shared" ca="1" si="96"/>
        <v>0.90081978828425202</v>
      </c>
      <c r="BW105" s="1">
        <f t="shared" ca="1" si="97"/>
        <v>764</v>
      </c>
      <c r="BX105" s="1">
        <f t="shared" ca="1" si="98"/>
        <v>7.2260107360796796E-3</v>
      </c>
      <c r="BY105" s="1">
        <f t="shared" ca="1" si="99"/>
        <v>9.9627599245086018E-2</v>
      </c>
      <c r="BZ105" s="1">
        <f t="shared" ca="1" si="100"/>
        <v>0.28959082204858744</v>
      </c>
      <c r="CB105" s="1">
        <f t="shared" ca="1" si="101"/>
        <v>358</v>
      </c>
      <c r="CC105" s="1">
        <f t="shared" ca="1" si="102"/>
        <v>11</v>
      </c>
      <c r="CD105" s="1">
        <f t="shared" ca="1" si="103"/>
        <v>8.3221930309804529E-2</v>
      </c>
      <c r="CE105" s="1">
        <f t="shared" ca="1" si="113"/>
        <v>0.62227116046006459</v>
      </c>
      <c r="CF105" s="1">
        <f t="shared" ca="1" si="113"/>
        <v>0.71298437498429879</v>
      </c>
      <c r="CH105" s="3">
        <f t="shared" ca="1" si="105"/>
        <v>0.58649860900922479</v>
      </c>
      <c r="CI105" s="3">
        <f t="shared" ca="1" si="106"/>
        <v>0.14514236053965177</v>
      </c>
      <c r="CJ105" s="3">
        <f t="shared" ca="1" si="107"/>
        <v>1878</v>
      </c>
      <c r="CK105" s="3">
        <f t="shared" ca="1" si="108"/>
        <v>6.6192662460202029E-3</v>
      </c>
      <c r="CL105" s="3">
        <f t="shared" ca="1" si="109"/>
        <v>1</v>
      </c>
      <c r="CM105" s="3"/>
      <c r="CN105" s="1">
        <f t="shared" ca="1" si="110"/>
        <v>12.614615616560014</v>
      </c>
      <c r="CO105" s="1">
        <f t="shared" ca="1" si="111"/>
        <v>0.47858400905937976</v>
      </c>
      <c r="CP105" s="1">
        <f t="shared" ca="1" si="112"/>
        <v>3</v>
      </c>
    </row>
    <row r="106" spans="2:94" x14ac:dyDescent="0.25">
      <c r="B106">
        <f t="shared" ca="1" si="57"/>
        <v>848</v>
      </c>
      <c r="C106">
        <f t="shared" ca="1" si="58"/>
        <v>37</v>
      </c>
      <c r="D106">
        <f t="shared" ca="1" si="59"/>
        <v>0.26139339014354868</v>
      </c>
      <c r="F106" s="1">
        <f t="shared" ca="1" si="60"/>
        <v>6</v>
      </c>
      <c r="G106" s="1">
        <f t="shared" ca="1" si="61"/>
        <v>29</v>
      </c>
      <c r="H106" s="1">
        <f t="shared" ca="1" si="62"/>
        <v>1</v>
      </c>
      <c r="I106" s="1"/>
      <c r="J106" s="1">
        <f t="shared" ca="1" si="63"/>
        <v>30</v>
      </c>
      <c r="K106" s="1">
        <f t="shared" ca="1" si="64"/>
        <v>2.4967456392360887</v>
      </c>
      <c r="L106" s="1">
        <f t="shared" ca="1" si="65"/>
        <v>17</v>
      </c>
      <c r="M106" s="1"/>
      <c r="N106" s="1">
        <f t="shared" ca="1" si="66"/>
        <v>931</v>
      </c>
      <c r="O106" s="1">
        <f t="shared" ca="1" si="67"/>
        <v>51</v>
      </c>
      <c r="P106" s="1"/>
      <c r="Q106" s="1">
        <f t="shared" ca="1" si="68"/>
        <v>1.5972294866027064</v>
      </c>
      <c r="R106" s="1">
        <f t="shared" ca="1" si="69"/>
        <v>452</v>
      </c>
      <c r="S106" s="1"/>
      <c r="T106" s="1">
        <f t="shared" ca="1" si="70"/>
        <v>0.12878564672939269</v>
      </c>
      <c r="U106" s="1">
        <f t="shared" ca="1" si="71"/>
        <v>180</v>
      </c>
      <c r="V106" s="1">
        <f t="shared" ca="1" si="72"/>
        <v>2</v>
      </c>
      <c r="W106" s="1"/>
      <c r="X106" s="1">
        <f t="shared" ca="1" si="73"/>
        <v>4.8277006875767885</v>
      </c>
      <c r="Y106" s="1">
        <f t="shared" ca="1" si="74"/>
        <v>0.27742778165615373</v>
      </c>
      <c r="Z106" s="1">
        <f t="shared" ca="1" si="75"/>
        <v>483</v>
      </c>
      <c r="AB106" s="1">
        <f t="shared" ca="1" si="76"/>
        <v>0.66346324972302928</v>
      </c>
      <c r="AC106" s="1">
        <f t="shared" ca="1" si="77"/>
        <v>146</v>
      </c>
      <c r="AD106" s="1">
        <f t="shared" ca="1" si="78"/>
        <v>9.3565225240428741E-3</v>
      </c>
      <c r="AE106" s="1"/>
      <c r="AF106" s="1">
        <f t="shared" ca="1" si="79"/>
        <v>0.66509837872192468</v>
      </c>
      <c r="AG106" s="1">
        <f t="shared" ca="1" si="80"/>
        <v>813</v>
      </c>
      <c r="AH106" s="1">
        <f t="shared" ca="1" si="81"/>
        <v>1.0049088244761062E-3</v>
      </c>
      <c r="AJ106" s="1">
        <f t="shared" ca="1" si="82"/>
        <v>0.47800854253061975</v>
      </c>
      <c r="AK106" s="1">
        <f t="shared" ca="1" si="83"/>
        <v>6.424980740839659E-3</v>
      </c>
      <c r="AL106" s="1"/>
      <c r="AM106" s="1">
        <f t="shared" ca="1" si="84"/>
        <v>0.1365481633429956</v>
      </c>
      <c r="AN106" s="1">
        <f t="shared" ca="1" si="85"/>
        <v>19</v>
      </c>
      <c r="AO106" s="1">
        <f t="shared" ca="1" si="86"/>
        <v>12</v>
      </c>
      <c r="AQ106" s="1">
        <f t="shared" ca="1" si="87"/>
        <v>100</v>
      </c>
      <c r="AR106" s="1">
        <f t="shared" ca="1" si="88"/>
        <v>5</v>
      </c>
      <c r="AS106" s="1">
        <f t="shared" ca="1" si="89"/>
        <v>2</v>
      </c>
      <c r="AU106" s="1">
        <f t="shared" ca="1" si="90"/>
        <v>331</v>
      </c>
      <c r="AV106" s="1">
        <f t="shared" ca="1" si="91"/>
        <v>7</v>
      </c>
      <c r="AW106" s="1">
        <f t="shared" ca="1" si="92"/>
        <v>0.12071322458092004</v>
      </c>
      <c r="AY106" s="1">
        <f t="shared" ca="1" si="93"/>
        <v>1.1048740311813929</v>
      </c>
      <c r="AZ106" s="1">
        <f t="shared" ca="1" si="94"/>
        <v>180</v>
      </c>
      <c r="BA106" s="1">
        <f t="shared" ca="1" si="95"/>
        <v>5.4147250169609973E-3</v>
      </c>
      <c r="BV106" s="1">
        <f t="shared" ca="1" si="96"/>
        <v>0.7622807944364911</v>
      </c>
      <c r="BW106" s="1">
        <f t="shared" ca="1" si="97"/>
        <v>528</v>
      </c>
      <c r="BX106" s="1">
        <f t="shared" ca="1" si="98"/>
        <v>5.2068095886060423E-4</v>
      </c>
      <c r="BY106" s="1">
        <f t="shared" ca="1" si="99"/>
        <v>1.5798559951011787E-2</v>
      </c>
      <c r="BZ106" s="1">
        <f t="shared" ca="1" si="100"/>
        <v>0.91119107525306908</v>
      </c>
      <c r="CB106" s="1">
        <f t="shared" ca="1" si="101"/>
        <v>321</v>
      </c>
      <c r="CC106" s="1">
        <f t="shared" ca="1" si="102"/>
        <v>8</v>
      </c>
      <c r="CD106" s="1">
        <f t="shared" ca="1" si="103"/>
        <v>0.25836382713376932</v>
      </c>
      <c r="CE106" s="1">
        <f t="shared" ca="1" si="113"/>
        <v>0.57225692137256778</v>
      </c>
      <c r="CF106" s="1">
        <f t="shared" ca="1" si="113"/>
        <v>0.55090143907426903</v>
      </c>
      <c r="CH106" s="3">
        <f t="shared" ca="1" si="105"/>
        <v>0.31978920378583398</v>
      </c>
      <c r="CI106" s="3">
        <f t="shared" ca="1" si="106"/>
        <v>0.17788718884505667</v>
      </c>
      <c r="CJ106" s="3">
        <f t="shared" ca="1" si="107"/>
        <v>1452</v>
      </c>
      <c r="CK106" s="3">
        <f t="shared" ca="1" si="108"/>
        <v>2.2561306363851441E-3</v>
      </c>
      <c r="CL106" s="3">
        <f t="shared" ca="1" si="109"/>
        <v>1</v>
      </c>
      <c r="CM106" s="3"/>
      <c r="CN106" s="1">
        <f t="shared" ca="1" si="110"/>
        <v>0.87406313946130998</v>
      </c>
      <c r="CO106" s="1">
        <f t="shared" ca="1" si="111"/>
        <v>0.45757280026621416</v>
      </c>
      <c r="CP106" s="1">
        <f t="shared" ca="1" si="112"/>
        <v>3</v>
      </c>
    </row>
    <row r="107" spans="2:94" x14ac:dyDescent="0.25">
      <c r="B107">
        <f t="shared" ca="1" si="57"/>
        <v>440</v>
      </c>
      <c r="C107">
        <f t="shared" ca="1" si="58"/>
        <v>34</v>
      </c>
      <c r="D107">
        <f t="shared" ca="1" si="59"/>
        <v>5.3006131069846384E-2</v>
      </c>
      <c r="F107" s="1">
        <f t="shared" ca="1" si="60"/>
        <v>38</v>
      </c>
      <c r="G107" s="1">
        <f t="shared" ca="1" si="61"/>
        <v>18</v>
      </c>
      <c r="H107" s="1">
        <f t="shared" ca="1" si="62"/>
        <v>4</v>
      </c>
      <c r="I107" s="1"/>
      <c r="J107" s="1">
        <f t="shared" ca="1" si="63"/>
        <v>8</v>
      </c>
      <c r="K107" s="1">
        <f t="shared" ca="1" si="64"/>
        <v>1.1150178080016355</v>
      </c>
      <c r="L107" s="1">
        <f t="shared" ca="1" si="65"/>
        <v>20</v>
      </c>
      <c r="M107" s="1"/>
      <c r="N107" s="1">
        <f t="shared" ca="1" si="66"/>
        <v>645</v>
      </c>
      <c r="O107" s="1">
        <f t="shared" ca="1" si="67"/>
        <v>15</v>
      </c>
      <c r="P107" s="1"/>
      <c r="Q107" s="1">
        <f t="shared" ca="1" si="68"/>
        <v>2.2287390753687366</v>
      </c>
      <c r="R107" s="1">
        <f t="shared" ca="1" si="69"/>
        <v>697</v>
      </c>
      <c r="S107" s="1"/>
      <c r="T107" s="1">
        <f t="shared" ca="1" si="70"/>
        <v>0.12227274304002259</v>
      </c>
      <c r="U107" s="1">
        <f t="shared" ca="1" si="71"/>
        <v>272</v>
      </c>
      <c r="V107" s="1">
        <f t="shared" ca="1" si="72"/>
        <v>24</v>
      </c>
      <c r="W107" s="1"/>
      <c r="X107" s="1">
        <f t="shared" ca="1" si="73"/>
        <v>6.569151281873884</v>
      </c>
      <c r="Y107" s="1">
        <f t="shared" ca="1" si="74"/>
        <v>0.2583269413120387</v>
      </c>
      <c r="Z107" s="1">
        <f t="shared" ca="1" si="75"/>
        <v>862</v>
      </c>
      <c r="AB107" s="1">
        <f t="shared" ca="1" si="76"/>
        <v>0.19367514428083887</v>
      </c>
      <c r="AC107" s="1">
        <f t="shared" ca="1" si="77"/>
        <v>162</v>
      </c>
      <c r="AD107" s="1">
        <f t="shared" ca="1" si="78"/>
        <v>7.9415030268746849E-4</v>
      </c>
      <c r="AE107" s="1"/>
      <c r="AF107" s="1">
        <f t="shared" ca="1" si="79"/>
        <v>0.75660223709271146</v>
      </c>
      <c r="AG107" s="1">
        <f t="shared" ca="1" si="80"/>
        <v>821</v>
      </c>
      <c r="AH107" s="1">
        <f t="shared" ca="1" si="81"/>
        <v>3.0858770287246415E-3</v>
      </c>
      <c r="AJ107" s="1">
        <f t="shared" ca="1" si="82"/>
        <v>0.64730407691529002</v>
      </c>
      <c r="AK107" s="1">
        <f t="shared" ca="1" si="83"/>
        <v>2.6208470748210924E-3</v>
      </c>
      <c r="AL107" s="1"/>
      <c r="AM107" s="1">
        <f t="shared" ca="1" si="84"/>
        <v>0.18298727547396001</v>
      </c>
      <c r="AN107" s="1">
        <f t="shared" ca="1" si="85"/>
        <v>31</v>
      </c>
      <c r="AO107" s="1">
        <f t="shared" ca="1" si="86"/>
        <v>17</v>
      </c>
      <c r="AQ107" s="1">
        <f t="shared" ca="1" si="87"/>
        <v>48</v>
      </c>
      <c r="AR107" s="1">
        <f t="shared" ca="1" si="88"/>
        <v>5</v>
      </c>
      <c r="AS107" s="1">
        <f t="shared" ca="1" si="89"/>
        <v>71</v>
      </c>
      <c r="AU107" s="1">
        <f t="shared" ca="1" si="90"/>
        <v>172</v>
      </c>
      <c r="AV107" s="1">
        <f t="shared" ca="1" si="91"/>
        <v>8</v>
      </c>
      <c r="AW107" s="1">
        <f t="shared" ca="1" si="92"/>
        <v>5.8385823962374871E-2</v>
      </c>
      <c r="AY107" s="1">
        <f t="shared" ca="1" si="93"/>
        <v>1.5934449813957332</v>
      </c>
      <c r="AZ107" s="1">
        <f t="shared" ca="1" si="94"/>
        <v>284</v>
      </c>
      <c r="BA107" s="1">
        <f t="shared" ca="1" si="95"/>
        <v>9.6721516630023773E-3</v>
      </c>
      <c r="BV107" s="1">
        <f t="shared" ca="1" si="96"/>
        <v>0.64065447703536593</v>
      </c>
      <c r="BW107" s="1">
        <f t="shared" ca="1" si="97"/>
        <v>608</v>
      </c>
      <c r="BX107" s="1">
        <f t="shared" ca="1" si="98"/>
        <v>6.1129874060455065E-3</v>
      </c>
      <c r="BY107" s="1">
        <f t="shared" ca="1" si="99"/>
        <v>9.0301994303205374E-2</v>
      </c>
      <c r="BZ107" s="1">
        <f t="shared" ca="1" si="100"/>
        <v>0.90034991476969717</v>
      </c>
      <c r="CB107" s="1">
        <f t="shared" ca="1" si="101"/>
        <v>378</v>
      </c>
      <c r="CC107" s="1">
        <f t="shared" ca="1" si="102"/>
        <v>11</v>
      </c>
      <c r="CD107" s="1">
        <f t="shared" ca="1" si="103"/>
        <v>0.27322539601780388</v>
      </c>
      <c r="CE107" s="1">
        <f t="shared" ca="1" si="113"/>
        <v>0.71298398372577843</v>
      </c>
      <c r="CF107" s="1">
        <f t="shared" ca="1" si="113"/>
        <v>0.51188151155972428</v>
      </c>
      <c r="CH107" s="3">
        <f t="shared" ca="1" si="105"/>
        <v>0.89771851783857159</v>
      </c>
      <c r="CI107" s="3">
        <f t="shared" ca="1" si="106"/>
        <v>0.69947656402351122</v>
      </c>
      <c r="CJ107" s="3">
        <f t="shared" ca="1" si="107"/>
        <v>433</v>
      </c>
      <c r="CK107" s="3">
        <f t="shared" ca="1" si="108"/>
        <v>9.1068511267325212E-3</v>
      </c>
      <c r="CL107" s="3">
        <f t="shared" ca="1" si="109"/>
        <v>0</v>
      </c>
      <c r="CM107" s="3"/>
      <c r="CN107" s="1">
        <f t="shared" ca="1" si="110"/>
        <v>1.8916259464611342</v>
      </c>
      <c r="CO107" s="1">
        <f t="shared" ca="1" si="111"/>
        <v>0.44311597896818927</v>
      </c>
      <c r="CP107" s="1">
        <f t="shared" ca="1" si="112"/>
        <v>1</v>
      </c>
    </row>
    <row r="108" spans="2:94" x14ac:dyDescent="0.25">
      <c r="B108">
        <f t="shared" ca="1" si="57"/>
        <v>610</v>
      </c>
      <c r="C108">
        <f t="shared" ca="1" si="58"/>
        <v>36</v>
      </c>
      <c r="D108">
        <f t="shared" ca="1" si="59"/>
        <v>0.26555766030025846</v>
      </c>
      <c r="F108" s="1">
        <f t="shared" ca="1" si="60"/>
        <v>47</v>
      </c>
      <c r="G108" s="1">
        <f t="shared" ca="1" si="61"/>
        <v>6</v>
      </c>
      <c r="H108" s="1">
        <f t="shared" ca="1" si="62"/>
        <v>8</v>
      </c>
      <c r="I108" s="1"/>
      <c r="J108" s="1">
        <f t="shared" ca="1" si="63"/>
        <v>32</v>
      </c>
      <c r="K108" s="1">
        <f t="shared" ca="1" si="64"/>
        <v>2.8496497914452519</v>
      </c>
      <c r="L108" s="1">
        <f t="shared" ca="1" si="65"/>
        <v>24</v>
      </c>
      <c r="M108" s="1"/>
      <c r="N108" s="1">
        <f t="shared" ca="1" si="66"/>
        <v>916</v>
      </c>
      <c r="O108" s="1">
        <f t="shared" ca="1" si="67"/>
        <v>35</v>
      </c>
      <c r="P108" s="1"/>
      <c r="Q108" s="1">
        <f t="shared" ca="1" si="68"/>
        <v>4.6774752190668414</v>
      </c>
      <c r="R108" s="1">
        <f t="shared" ca="1" si="69"/>
        <v>621</v>
      </c>
      <c r="S108" s="1"/>
      <c r="T108" s="1">
        <f t="shared" ca="1" si="70"/>
        <v>4.659240389486969E-2</v>
      </c>
      <c r="U108" s="1">
        <f t="shared" ca="1" si="71"/>
        <v>279</v>
      </c>
      <c r="V108" s="1">
        <f t="shared" ca="1" si="72"/>
        <v>45</v>
      </c>
      <c r="W108" s="1"/>
      <c r="X108" s="1">
        <f t="shared" ca="1" si="73"/>
        <v>6.8563328371644514E-2</v>
      </c>
      <c r="Y108" s="1">
        <f t="shared" ca="1" si="74"/>
        <v>0.89207244148665932</v>
      </c>
      <c r="Z108" s="1">
        <f t="shared" ca="1" si="75"/>
        <v>875</v>
      </c>
      <c r="AB108" s="1">
        <f t="shared" ca="1" si="76"/>
        <v>0.81967448501928064</v>
      </c>
      <c r="AC108" s="1">
        <f t="shared" ca="1" si="77"/>
        <v>565</v>
      </c>
      <c r="AD108" s="1">
        <f t="shared" ca="1" si="78"/>
        <v>8.0064852445061278E-3</v>
      </c>
      <c r="AE108" s="1"/>
      <c r="AF108" s="1">
        <f t="shared" ca="1" si="79"/>
        <v>0.80973548812932716</v>
      </c>
      <c r="AG108" s="1">
        <f t="shared" ca="1" si="80"/>
        <v>747</v>
      </c>
      <c r="AH108" s="1">
        <f t="shared" ca="1" si="81"/>
        <v>8.0496255442951241E-3</v>
      </c>
      <c r="AJ108" s="1">
        <f t="shared" ca="1" si="82"/>
        <v>0.51298417881405534</v>
      </c>
      <c r="AK108" s="1">
        <f t="shared" ca="1" si="83"/>
        <v>6.8244825675588417E-3</v>
      </c>
      <c r="AL108" s="1"/>
      <c r="AM108" s="1">
        <f t="shared" ca="1" si="84"/>
        <v>0.15780167544509982</v>
      </c>
      <c r="AN108" s="1">
        <f t="shared" ca="1" si="85"/>
        <v>32</v>
      </c>
      <c r="AO108" s="1">
        <f t="shared" ca="1" si="86"/>
        <v>6</v>
      </c>
      <c r="AQ108" s="1">
        <f t="shared" ca="1" si="87"/>
        <v>93</v>
      </c>
      <c r="AR108" s="1">
        <f t="shared" ca="1" si="88"/>
        <v>5</v>
      </c>
      <c r="AS108" s="1">
        <f t="shared" ca="1" si="89"/>
        <v>79</v>
      </c>
      <c r="AU108" s="1">
        <f t="shared" ca="1" si="90"/>
        <v>68</v>
      </c>
      <c r="AV108" s="1">
        <f t="shared" ca="1" si="91"/>
        <v>10</v>
      </c>
      <c r="AW108" s="1">
        <f t="shared" ca="1" si="92"/>
        <v>0.12493413458332875</v>
      </c>
      <c r="AY108" s="1">
        <f t="shared" ca="1" si="93"/>
        <v>1.3208588645435291</v>
      </c>
      <c r="AZ108" s="1">
        <f t="shared" ca="1" si="94"/>
        <v>303</v>
      </c>
      <c r="BA108" s="1">
        <f t="shared" ca="1" si="95"/>
        <v>9.6202616998917224E-3</v>
      </c>
      <c r="BV108" s="1">
        <f t="shared" ca="1" si="96"/>
        <v>0.27824268791794238</v>
      </c>
      <c r="BW108" s="1">
        <f t="shared" ca="1" si="97"/>
        <v>297</v>
      </c>
      <c r="BX108" s="1">
        <f t="shared" ca="1" si="98"/>
        <v>8.9795256382105247E-3</v>
      </c>
      <c r="BY108" s="1">
        <f t="shared" ca="1" si="99"/>
        <v>1.5105806278443558E-2</v>
      </c>
      <c r="BZ108" s="1">
        <f t="shared" ca="1" si="100"/>
        <v>0.34428878654596551</v>
      </c>
      <c r="CB108" s="1">
        <f t="shared" ca="1" si="101"/>
        <v>493</v>
      </c>
      <c r="CC108" s="1">
        <f t="shared" ca="1" si="102"/>
        <v>13</v>
      </c>
      <c r="CD108" s="1">
        <f t="shared" ca="1" si="103"/>
        <v>6.7142953688676135E-2</v>
      </c>
      <c r="CE108" s="1">
        <f t="shared" ca="1" si="113"/>
        <v>0.60393213403314294</v>
      </c>
      <c r="CF108" s="1">
        <f t="shared" ca="1" si="113"/>
        <v>0.74172507600682736</v>
      </c>
      <c r="CH108" s="3">
        <f t="shared" ca="1" si="105"/>
        <v>0.65285487326232372</v>
      </c>
      <c r="CI108" s="3">
        <f t="shared" ca="1" si="106"/>
        <v>0.9192125912054403</v>
      </c>
      <c r="CJ108" s="3">
        <f t="shared" ca="1" si="107"/>
        <v>449</v>
      </c>
      <c r="CK108" s="3">
        <f t="shared" ca="1" si="108"/>
        <v>3.8572988122207107E-3</v>
      </c>
      <c r="CL108" s="3">
        <f t="shared" ca="1" si="109"/>
        <v>1</v>
      </c>
      <c r="CM108" s="3"/>
      <c r="CN108" s="1">
        <f t="shared" ca="1" si="110"/>
        <v>15.577022756172488</v>
      </c>
      <c r="CO108" s="1">
        <f t="shared" ca="1" si="111"/>
        <v>0.48232295675330872</v>
      </c>
      <c r="CP108" s="1">
        <f t="shared" ca="1" si="112"/>
        <v>5</v>
      </c>
    </row>
    <row r="109" spans="2:94" x14ac:dyDescent="0.25">
      <c r="B109">
        <f t="shared" ca="1" si="57"/>
        <v>454</v>
      </c>
      <c r="C109">
        <f t="shared" ca="1" si="58"/>
        <v>31</v>
      </c>
      <c r="D109">
        <f t="shared" ca="1" si="59"/>
        <v>0.1148581446178272</v>
      </c>
      <c r="F109" s="1">
        <f t="shared" ca="1" si="60"/>
        <v>36</v>
      </c>
      <c r="G109" s="1">
        <f t="shared" ca="1" si="61"/>
        <v>28</v>
      </c>
      <c r="H109" s="1">
        <f t="shared" ca="1" si="62"/>
        <v>1</v>
      </c>
      <c r="I109" s="1"/>
      <c r="J109" s="1">
        <f t="shared" ca="1" si="63"/>
        <v>12</v>
      </c>
      <c r="K109" s="1">
        <f t="shared" ca="1" si="64"/>
        <v>2.6510944558510463</v>
      </c>
      <c r="L109" s="1">
        <f t="shared" ca="1" si="65"/>
        <v>19</v>
      </c>
      <c r="M109" s="1"/>
      <c r="N109" s="1">
        <f t="shared" ca="1" si="66"/>
        <v>61</v>
      </c>
      <c r="O109" s="1">
        <f t="shared" ca="1" si="67"/>
        <v>24</v>
      </c>
      <c r="P109" s="1"/>
      <c r="Q109" s="1">
        <f t="shared" ca="1" si="68"/>
        <v>3.0707932184100152E-2</v>
      </c>
      <c r="R109" s="1">
        <f t="shared" ca="1" si="69"/>
        <v>1058</v>
      </c>
      <c r="S109" s="1"/>
      <c r="T109" s="1">
        <f t="shared" ca="1" si="70"/>
        <v>0.17818503147350068</v>
      </c>
      <c r="U109" s="1">
        <f t="shared" ca="1" si="71"/>
        <v>377</v>
      </c>
      <c r="V109" s="1">
        <f t="shared" ca="1" si="72"/>
        <v>12</v>
      </c>
      <c r="W109" s="1"/>
      <c r="X109" s="1">
        <f t="shared" ca="1" si="73"/>
        <v>6.771675877067989</v>
      </c>
      <c r="Y109" s="1">
        <f t="shared" ca="1" si="74"/>
        <v>0.99389904515573835</v>
      </c>
      <c r="Z109" s="1">
        <f t="shared" ca="1" si="75"/>
        <v>1421</v>
      </c>
      <c r="AB109" s="1">
        <f t="shared" ca="1" si="76"/>
        <v>0.48709518915667699</v>
      </c>
      <c r="AC109" s="1">
        <f t="shared" ca="1" si="77"/>
        <v>942</v>
      </c>
      <c r="AD109" s="1">
        <f t="shared" ca="1" si="78"/>
        <v>4.8853826299218601E-3</v>
      </c>
      <c r="AE109" s="1"/>
      <c r="AF109" s="1">
        <f t="shared" ca="1" si="79"/>
        <v>0.82041591590429475</v>
      </c>
      <c r="AG109" s="1">
        <f t="shared" ca="1" si="80"/>
        <v>579</v>
      </c>
      <c r="AH109" s="1">
        <f t="shared" ca="1" si="81"/>
        <v>7.7718924569955342E-3</v>
      </c>
      <c r="AJ109" s="1">
        <f t="shared" ca="1" si="82"/>
        <v>0.38717481709411694</v>
      </c>
      <c r="AK109" s="1">
        <f t="shared" ca="1" si="83"/>
        <v>3.2189191783902429E-3</v>
      </c>
      <c r="AL109" s="1"/>
      <c r="AM109" s="1">
        <f t="shared" ca="1" si="84"/>
        <v>2.4965985224647574E-2</v>
      </c>
      <c r="AN109" s="1">
        <f t="shared" ca="1" si="85"/>
        <v>67</v>
      </c>
      <c r="AO109" s="1">
        <f t="shared" ca="1" si="86"/>
        <v>9</v>
      </c>
      <c r="AQ109" s="1">
        <f t="shared" ca="1" si="87"/>
        <v>53</v>
      </c>
      <c r="AR109" s="1">
        <f t="shared" ca="1" si="88"/>
        <v>2</v>
      </c>
      <c r="AS109" s="1">
        <f t="shared" ca="1" si="89"/>
        <v>66</v>
      </c>
      <c r="AU109" s="1">
        <f t="shared" ca="1" si="90"/>
        <v>54</v>
      </c>
      <c r="AV109" s="1">
        <f t="shared" ca="1" si="91"/>
        <v>7</v>
      </c>
      <c r="AW109" s="1">
        <f t="shared" ca="1" si="92"/>
        <v>6.9711195233092868E-2</v>
      </c>
      <c r="AY109" s="1">
        <f t="shared" ca="1" si="93"/>
        <v>1.61804566240817</v>
      </c>
      <c r="AZ109" s="1">
        <f t="shared" ca="1" si="94"/>
        <v>424</v>
      </c>
      <c r="BA109" s="1">
        <f t="shared" ca="1" si="95"/>
        <v>6.3375083525710335E-3</v>
      </c>
      <c r="BV109" s="1">
        <f t="shared" ca="1" si="96"/>
        <v>0.44996248747790429</v>
      </c>
      <c r="BW109" s="1">
        <f t="shared" ca="1" si="97"/>
        <v>845</v>
      </c>
      <c r="BX109" s="1">
        <f t="shared" ca="1" si="98"/>
        <v>4.3676704107476465E-3</v>
      </c>
      <c r="BY109" s="1">
        <f t="shared" ca="1" si="99"/>
        <v>9.9517106425685287E-2</v>
      </c>
      <c r="BZ109" s="1">
        <f t="shared" ca="1" si="100"/>
        <v>0.19879170421229286</v>
      </c>
      <c r="CB109" s="1">
        <f t="shared" ca="1" si="101"/>
        <v>480</v>
      </c>
      <c r="CC109" s="1">
        <f t="shared" ca="1" si="102"/>
        <v>13</v>
      </c>
      <c r="CD109" s="1">
        <f t="shared" ca="1" si="103"/>
        <v>0.20328555723074093</v>
      </c>
      <c r="CE109" s="1">
        <f t="shared" ca="1" si="113"/>
        <v>0.92982186484785401</v>
      </c>
      <c r="CF109" s="1">
        <f t="shared" ca="1" si="113"/>
        <v>0.888833783254938</v>
      </c>
      <c r="CH109" s="3">
        <f t="shared" ca="1" si="105"/>
        <v>0.23295429974882115</v>
      </c>
      <c r="CI109" s="3">
        <f t="shared" ca="1" si="106"/>
        <v>0.34806649120544708</v>
      </c>
      <c r="CJ109" s="3">
        <f t="shared" ca="1" si="107"/>
        <v>340</v>
      </c>
      <c r="CK109" s="3">
        <f t="shared" ca="1" si="108"/>
        <v>3.1507740753984039E-3</v>
      </c>
      <c r="CL109" s="3">
        <f t="shared" ca="1" si="109"/>
        <v>0</v>
      </c>
      <c r="CM109" s="3"/>
      <c r="CN109" s="1">
        <f t="shared" ca="1" si="110"/>
        <v>1.6108599848371392</v>
      </c>
      <c r="CO109" s="1">
        <f t="shared" ca="1" si="111"/>
        <v>0.11161225710810066</v>
      </c>
      <c r="CP109" s="1">
        <f t="shared" ca="1" si="112"/>
        <v>4</v>
      </c>
    </row>
    <row r="110" spans="2:94" x14ac:dyDescent="0.25">
      <c r="B110">
        <f t="shared" ca="1" si="57"/>
        <v>578</v>
      </c>
      <c r="C110">
        <f t="shared" ca="1" si="58"/>
        <v>13</v>
      </c>
      <c r="D110">
        <f t="shared" ca="1" si="59"/>
        <v>0.18277737125159632</v>
      </c>
      <c r="F110" s="1">
        <f t="shared" ca="1" si="60"/>
        <v>5</v>
      </c>
      <c r="G110" s="1">
        <f t="shared" ca="1" si="61"/>
        <v>3</v>
      </c>
      <c r="H110" s="1">
        <f t="shared" ca="1" si="62"/>
        <v>5</v>
      </c>
      <c r="I110" s="1"/>
      <c r="J110" s="1">
        <f t="shared" ca="1" si="63"/>
        <v>1</v>
      </c>
      <c r="K110" s="1">
        <f t="shared" ca="1" si="64"/>
        <v>2.0737662253321925</v>
      </c>
      <c r="L110" s="1">
        <f t="shared" ca="1" si="65"/>
        <v>24</v>
      </c>
      <c r="M110" s="1"/>
      <c r="N110" s="1">
        <f t="shared" ca="1" si="66"/>
        <v>214</v>
      </c>
      <c r="O110" s="1">
        <f t="shared" ca="1" si="67"/>
        <v>21</v>
      </c>
      <c r="P110" s="1"/>
      <c r="Q110" s="1">
        <f t="shared" ca="1" si="68"/>
        <v>4.6990088422093441</v>
      </c>
      <c r="R110" s="1">
        <f t="shared" ca="1" si="69"/>
        <v>472</v>
      </c>
      <c r="S110" s="1"/>
      <c r="T110" s="1">
        <f t="shared" ca="1" si="70"/>
        <v>3.1067343706823132E-2</v>
      </c>
      <c r="U110" s="1">
        <f t="shared" ca="1" si="71"/>
        <v>236</v>
      </c>
      <c r="V110" s="1">
        <f t="shared" ca="1" si="72"/>
        <v>42</v>
      </c>
      <c r="W110" s="1"/>
      <c r="X110" s="1">
        <f t="shared" ca="1" si="73"/>
        <v>0.30878155955988446</v>
      </c>
      <c r="Y110" s="1">
        <f t="shared" ca="1" si="74"/>
        <v>0.71344624546870883</v>
      </c>
      <c r="Z110" s="1">
        <f t="shared" ca="1" si="75"/>
        <v>254</v>
      </c>
      <c r="AB110" s="1">
        <f t="shared" ca="1" si="76"/>
        <v>0.56235659430256935</v>
      </c>
      <c r="AC110" s="1">
        <f t="shared" ca="1" si="77"/>
        <v>760</v>
      </c>
      <c r="AD110" s="1">
        <f t="shared" ca="1" si="78"/>
        <v>7.6655756889562679E-3</v>
      </c>
      <c r="AE110" s="1"/>
      <c r="AF110" s="1">
        <f t="shared" ca="1" si="79"/>
        <v>0.10908144702807397</v>
      </c>
      <c r="AG110" s="1">
        <f t="shared" ca="1" si="80"/>
        <v>482</v>
      </c>
      <c r="AH110" s="1">
        <f t="shared" ca="1" si="81"/>
        <v>9.2598750131669388E-3</v>
      </c>
      <c r="AJ110" s="1">
        <f t="shared" ca="1" si="82"/>
        <v>5.6112866061857836E-2</v>
      </c>
      <c r="AK110" s="1">
        <f t="shared" ca="1" si="83"/>
        <v>7.3370026222263265E-3</v>
      </c>
      <c r="AL110" s="1"/>
      <c r="AM110" s="1">
        <f t="shared" ca="1" si="84"/>
        <v>9.2163228720500909E-2</v>
      </c>
      <c r="AN110" s="1">
        <f t="shared" ca="1" si="85"/>
        <v>76</v>
      </c>
      <c r="AO110" s="1">
        <f t="shared" ca="1" si="86"/>
        <v>7</v>
      </c>
      <c r="AQ110" s="1">
        <f t="shared" ca="1" si="87"/>
        <v>121</v>
      </c>
      <c r="AR110" s="1">
        <f t="shared" ca="1" si="88"/>
        <v>3</v>
      </c>
      <c r="AS110" s="1">
        <f t="shared" ca="1" si="89"/>
        <v>57</v>
      </c>
      <c r="AU110" s="1">
        <f t="shared" ca="1" si="90"/>
        <v>100</v>
      </c>
      <c r="AV110" s="1">
        <f t="shared" ca="1" si="91"/>
        <v>8</v>
      </c>
      <c r="AW110" s="1">
        <f t="shared" ca="1" si="92"/>
        <v>3.9131647503777636E-2</v>
      </c>
      <c r="AY110" s="1">
        <f t="shared" ca="1" si="93"/>
        <v>1.4770115426939543</v>
      </c>
      <c r="AZ110" s="1">
        <f t="shared" ca="1" si="94"/>
        <v>317</v>
      </c>
      <c r="BA110" s="1">
        <f t="shared" ca="1" si="95"/>
        <v>5.3125311532566092E-5</v>
      </c>
      <c r="BV110" s="1">
        <f t="shared" ca="1" si="96"/>
        <v>5.2183080957886957E-2</v>
      </c>
      <c r="BW110" s="1">
        <f t="shared" ca="1" si="97"/>
        <v>178</v>
      </c>
      <c r="BX110" s="1">
        <f t="shared" ca="1" si="98"/>
        <v>2.4774588557391294E-3</v>
      </c>
      <c r="BY110" s="1">
        <f t="shared" ca="1" si="99"/>
        <v>5.0142316282610282E-2</v>
      </c>
      <c r="BZ110" s="1">
        <f t="shared" ca="1" si="100"/>
        <v>1.0747540529582711E-2</v>
      </c>
      <c r="CB110" s="1">
        <f t="shared" ca="1" si="101"/>
        <v>229</v>
      </c>
      <c r="CC110" s="1">
        <f t="shared" ca="1" si="102"/>
        <v>11</v>
      </c>
      <c r="CD110" s="1">
        <f t="shared" ca="1" si="103"/>
        <v>2.4494610808922648E-2</v>
      </c>
      <c r="CE110" s="1">
        <f t="shared" ca="1" si="113"/>
        <v>0.68112759422643609</v>
      </c>
      <c r="CF110" s="1">
        <f t="shared" ca="1" si="113"/>
        <v>0.51851545382925535</v>
      </c>
      <c r="CH110" s="3">
        <f t="shared" ca="1" si="105"/>
        <v>0.28880235105623187</v>
      </c>
      <c r="CI110" s="3">
        <f t="shared" ca="1" si="106"/>
        <v>7.5467243509592663E-2</v>
      </c>
      <c r="CJ110" s="3">
        <f t="shared" ca="1" si="107"/>
        <v>1834</v>
      </c>
      <c r="CK110" s="3">
        <f t="shared" ca="1" si="108"/>
        <v>8.6161744964828903E-3</v>
      </c>
      <c r="CL110" s="3">
        <f t="shared" ca="1" si="109"/>
        <v>1</v>
      </c>
      <c r="CM110" s="3"/>
      <c r="CN110" s="1">
        <f t="shared" ca="1" si="110"/>
        <v>0.64343190462437316</v>
      </c>
      <c r="CO110" s="1">
        <f t="shared" ca="1" si="111"/>
        <v>3.931903000640366E-2</v>
      </c>
      <c r="CP110" s="1">
        <f t="shared" ca="1" si="112"/>
        <v>5</v>
      </c>
    </row>
    <row r="111" spans="2:94" x14ac:dyDescent="0.25">
      <c r="B111">
        <f t="shared" ca="1" si="57"/>
        <v>546</v>
      </c>
      <c r="C111">
        <f t="shared" ca="1" si="58"/>
        <v>30</v>
      </c>
      <c r="D111">
        <f t="shared" ca="1" si="59"/>
        <v>0.26819548325245657</v>
      </c>
      <c r="F111" s="1">
        <f t="shared" ca="1" si="60"/>
        <v>14</v>
      </c>
      <c r="G111" s="1">
        <f t="shared" ca="1" si="61"/>
        <v>15</v>
      </c>
      <c r="H111" s="1">
        <f t="shared" ca="1" si="62"/>
        <v>2</v>
      </c>
      <c r="I111" s="1"/>
      <c r="J111" s="1">
        <f t="shared" ca="1" si="63"/>
        <v>34</v>
      </c>
      <c r="K111" s="1">
        <f t="shared" ca="1" si="64"/>
        <v>2.8339500372073054</v>
      </c>
      <c r="L111" s="1">
        <f t="shared" ca="1" si="65"/>
        <v>8</v>
      </c>
      <c r="M111" s="1"/>
      <c r="N111" s="1">
        <f t="shared" ca="1" si="66"/>
        <v>798</v>
      </c>
      <c r="O111" s="1">
        <f t="shared" ca="1" si="67"/>
        <v>33</v>
      </c>
      <c r="P111" s="1"/>
      <c r="Q111" s="1">
        <f t="shared" ca="1" si="68"/>
        <v>2.1892031243438277</v>
      </c>
      <c r="R111" s="1">
        <f t="shared" ca="1" si="69"/>
        <v>211</v>
      </c>
      <c r="S111" s="1"/>
      <c r="T111" s="1">
        <f t="shared" ca="1" si="70"/>
        <v>2.590319202903564E-2</v>
      </c>
      <c r="U111" s="1">
        <f t="shared" ca="1" si="71"/>
        <v>274</v>
      </c>
      <c r="V111" s="1">
        <f t="shared" ca="1" si="72"/>
        <v>3</v>
      </c>
      <c r="W111" s="1"/>
      <c r="X111" s="1">
        <f t="shared" ca="1" si="73"/>
        <v>8.0858405057063134</v>
      </c>
      <c r="Y111" s="1">
        <f t="shared" ca="1" si="74"/>
        <v>0.38438399911113535</v>
      </c>
      <c r="Z111" s="1">
        <f t="shared" ca="1" si="75"/>
        <v>795</v>
      </c>
      <c r="AB111" s="1">
        <f t="shared" ca="1" si="76"/>
        <v>0.63283239359581323</v>
      </c>
      <c r="AC111" s="1">
        <f t="shared" ca="1" si="77"/>
        <v>203</v>
      </c>
      <c r="AD111" s="1">
        <f t="shared" ca="1" si="78"/>
        <v>9.1175394284413183E-4</v>
      </c>
      <c r="AE111" s="1"/>
      <c r="AF111" s="1">
        <f t="shared" ca="1" si="79"/>
        <v>0.82558398607627848</v>
      </c>
      <c r="AG111" s="1">
        <f t="shared" ca="1" si="80"/>
        <v>767</v>
      </c>
      <c r="AH111" s="1">
        <f t="shared" ca="1" si="81"/>
        <v>6.4671893942957696E-3</v>
      </c>
      <c r="AJ111" s="1">
        <f t="shared" ca="1" si="82"/>
        <v>4.6206822422905858E-2</v>
      </c>
      <c r="AK111" s="1">
        <f t="shared" ca="1" si="83"/>
        <v>6.5668670776868846E-4</v>
      </c>
      <c r="AL111" s="1"/>
      <c r="AM111" s="1">
        <f t="shared" ca="1" si="84"/>
        <v>6.3975988636051084E-2</v>
      </c>
      <c r="AN111" s="1">
        <f t="shared" ca="1" si="85"/>
        <v>76</v>
      </c>
      <c r="AO111" s="1">
        <f t="shared" ca="1" si="86"/>
        <v>15</v>
      </c>
      <c r="AQ111" s="1">
        <f t="shared" ca="1" si="87"/>
        <v>25</v>
      </c>
      <c r="AR111" s="1">
        <f t="shared" ca="1" si="88"/>
        <v>1</v>
      </c>
      <c r="AS111" s="1">
        <f t="shared" ca="1" si="89"/>
        <v>90</v>
      </c>
      <c r="AU111" s="1">
        <f t="shared" ca="1" si="90"/>
        <v>369</v>
      </c>
      <c r="AV111" s="1">
        <f t="shared" ca="1" si="91"/>
        <v>2</v>
      </c>
      <c r="AW111" s="1">
        <f t="shared" ca="1" si="92"/>
        <v>5.4746586596151427E-2</v>
      </c>
      <c r="AY111" s="1">
        <f t="shared" ca="1" si="93"/>
        <v>1.9345295039101491</v>
      </c>
      <c r="AZ111" s="1">
        <f t="shared" ca="1" si="94"/>
        <v>470</v>
      </c>
      <c r="BA111" s="1">
        <f t="shared" ca="1" si="95"/>
        <v>2.2133798473085125E-4</v>
      </c>
      <c r="BV111" s="1">
        <f t="shared" ca="1" si="96"/>
        <v>1.8941024266434698E-2</v>
      </c>
      <c r="BW111" s="1">
        <f t="shared" ca="1" si="97"/>
        <v>484</v>
      </c>
      <c r="BX111" s="1">
        <f t="shared" ca="1" si="98"/>
        <v>7.8758938876115781E-3</v>
      </c>
      <c r="BY111" s="1">
        <f t="shared" ca="1" si="99"/>
        <v>4.843293441490934E-2</v>
      </c>
      <c r="BZ111" s="1">
        <f t="shared" ca="1" si="100"/>
        <v>0.49940194077786182</v>
      </c>
      <c r="CB111" s="1">
        <f t="shared" ca="1" si="101"/>
        <v>130</v>
      </c>
      <c r="CC111" s="1">
        <f t="shared" ca="1" si="102"/>
        <v>9</v>
      </c>
      <c r="CD111" s="1">
        <f t="shared" ca="1" si="103"/>
        <v>0.15020417079481038</v>
      </c>
      <c r="CE111" s="1">
        <f t="shared" ca="1" si="113"/>
        <v>0.56184289884775462</v>
      </c>
      <c r="CF111" s="1">
        <f t="shared" ca="1" si="113"/>
        <v>0.79237819373660634</v>
      </c>
      <c r="CH111" s="3">
        <f t="shared" ca="1" si="105"/>
        <v>0.60788590537776754</v>
      </c>
      <c r="CI111" s="3">
        <f t="shared" ca="1" si="106"/>
        <v>0.32188045576106433</v>
      </c>
      <c r="CJ111" s="3">
        <f t="shared" ca="1" si="107"/>
        <v>269</v>
      </c>
      <c r="CK111" s="3">
        <f t="shared" ca="1" si="108"/>
        <v>5.7860157016218078E-3</v>
      </c>
      <c r="CL111" s="3">
        <f t="shared" ca="1" si="109"/>
        <v>0</v>
      </c>
      <c r="CM111" s="3"/>
      <c r="CN111" s="1">
        <f t="shared" ca="1" si="110"/>
        <v>11.605983977175233</v>
      </c>
      <c r="CO111" s="1">
        <f t="shared" ca="1" si="111"/>
        <v>0.23032811132644998</v>
      </c>
      <c r="CP111" s="1">
        <f t="shared" ca="1" si="112"/>
        <v>4</v>
      </c>
    </row>
    <row r="112" spans="2:94" x14ac:dyDescent="0.25">
      <c r="B112">
        <f t="shared" ca="1" si="57"/>
        <v>549</v>
      </c>
      <c r="C112">
        <f t="shared" ca="1" si="58"/>
        <v>42</v>
      </c>
      <c r="D112">
        <f t="shared" ca="1" si="59"/>
        <v>0.27754125616903697</v>
      </c>
      <c r="F112" s="1">
        <f t="shared" ca="1" si="60"/>
        <v>26</v>
      </c>
      <c r="G112" s="1">
        <f t="shared" ca="1" si="61"/>
        <v>17</v>
      </c>
      <c r="H112" s="1">
        <f t="shared" ca="1" si="62"/>
        <v>14</v>
      </c>
      <c r="I112" s="1"/>
      <c r="J112" s="1">
        <f t="shared" ca="1" si="63"/>
        <v>27</v>
      </c>
      <c r="K112" s="1">
        <f t="shared" ca="1" si="64"/>
        <v>2.3983176027990099</v>
      </c>
      <c r="L112" s="1">
        <f t="shared" ca="1" si="65"/>
        <v>6</v>
      </c>
      <c r="M112" s="1"/>
      <c r="N112" s="1">
        <f t="shared" ca="1" si="66"/>
        <v>219</v>
      </c>
      <c r="O112" s="1">
        <f t="shared" ca="1" si="67"/>
        <v>23</v>
      </c>
      <c r="P112" s="1"/>
      <c r="Q112" s="1">
        <f t="shared" ca="1" si="68"/>
        <v>0.93439350922449305</v>
      </c>
      <c r="R112" s="1">
        <f t="shared" ca="1" si="69"/>
        <v>821</v>
      </c>
      <c r="S112" s="1"/>
      <c r="T112" s="1">
        <f t="shared" ca="1" si="70"/>
        <v>1.7173692575082049E-2</v>
      </c>
      <c r="U112" s="1">
        <f t="shared" ca="1" si="71"/>
        <v>201</v>
      </c>
      <c r="V112" s="1">
        <f t="shared" ca="1" si="72"/>
        <v>18</v>
      </c>
      <c r="W112" s="1"/>
      <c r="X112" s="1">
        <f t="shared" ca="1" si="73"/>
        <v>4.407557581147648</v>
      </c>
      <c r="Y112" s="1">
        <f t="shared" ca="1" si="74"/>
        <v>0.80010571730181634</v>
      </c>
      <c r="Z112" s="1">
        <f t="shared" ca="1" si="75"/>
        <v>597</v>
      </c>
      <c r="AB112" s="1">
        <f t="shared" ca="1" si="76"/>
        <v>0.66010573326852884</v>
      </c>
      <c r="AC112" s="1">
        <f t="shared" ca="1" si="77"/>
        <v>312</v>
      </c>
      <c r="AD112" s="1">
        <f t="shared" ca="1" si="78"/>
        <v>4.2957423344514468E-4</v>
      </c>
      <c r="AE112" s="1"/>
      <c r="AF112" s="1">
        <f t="shared" ca="1" si="79"/>
        <v>0.83954960613346197</v>
      </c>
      <c r="AG112" s="1">
        <f t="shared" ca="1" si="80"/>
        <v>926</v>
      </c>
      <c r="AH112" s="1">
        <f t="shared" ca="1" si="81"/>
        <v>9.8457720641100862E-3</v>
      </c>
      <c r="AJ112" s="1">
        <f t="shared" ca="1" si="82"/>
        <v>0.41334361280527643</v>
      </c>
      <c r="AK112" s="1">
        <f t="shared" ca="1" si="83"/>
        <v>1.3478753224095196E-3</v>
      </c>
      <c r="AL112" s="1"/>
      <c r="AM112" s="1">
        <f t="shared" ca="1" si="84"/>
        <v>8.493466117200521E-2</v>
      </c>
      <c r="AN112" s="1">
        <f t="shared" ca="1" si="85"/>
        <v>10</v>
      </c>
      <c r="AO112" s="1">
        <f t="shared" ca="1" si="86"/>
        <v>15</v>
      </c>
      <c r="AQ112" s="1">
        <f t="shared" ca="1" si="87"/>
        <v>75</v>
      </c>
      <c r="AR112" s="1">
        <f t="shared" ca="1" si="88"/>
        <v>7</v>
      </c>
      <c r="AS112" s="1">
        <f t="shared" ca="1" si="89"/>
        <v>67</v>
      </c>
      <c r="AU112" s="1">
        <f t="shared" ca="1" si="90"/>
        <v>158</v>
      </c>
      <c r="AV112" s="1">
        <f t="shared" ca="1" si="91"/>
        <v>5</v>
      </c>
      <c r="AW112" s="1">
        <f t="shared" ca="1" si="92"/>
        <v>0.14037855199873339</v>
      </c>
      <c r="AY112" s="1">
        <f t="shared" ca="1" si="93"/>
        <v>1.8001536680533505</v>
      </c>
      <c r="AZ112" s="1">
        <f t="shared" ca="1" si="94"/>
        <v>331</v>
      </c>
      <c r="BA112" s="1">
        <f t="shared" ca="1" si="95"/>
        <v>6.7848498770627574E-3</v>
      </c>
      <c r="BV112" s="1">
        <f t="shared" ca="1" si="96"/>
        <v>0.73007747785269472</v>
      </c>
      <c r="BW112" s="1">
        <f t="shared" ca="1" si="97"/>
        <v>498</v>
      </c>
      <c r="BX112" s="1">
        <f t="shared" ca="1" si="98"/>
        <v>1.7364799089660157E-3</v>
      </c>
      <c r="BY112" s="1">
        <f t="shared" ca="1" si="99"/>
        <v>3.5655226497509976E-2</v>
      </c>
      <c r="BZ112" s="1">
        <f t="shared" ca="1" si="100"/>
        <v>0.40111146657232077</v>
      </c>
      <c r="CB112" s="1">
        <f t="shared" ca="1" si="101"/>
        <v>157</v>
      </c>
      <c r="CC112" s="1">
        <f t="shared" ca="1" si="102"/>
        <v>10</v>
      </c>
      <c r="CD112" s="1">
        <f t="shared" ca="1" si="103"/>
        <v>0.25373830392998603</v>
      </c>
      <c r="CE112" s="1">
        <f t="shared" ca="1" si="113"/>
        <v>0.9011273717280921</v>
      </c>
      <c r="CF112" s="1">
        <f t="shared" ca="1" si="113"/>
        <v>0.62821457528869706</v>
      </c>
      <c r="CH112" s="3">
        <f t="shared" ca="1" si="105"/>
        <v>0.84816604732239997</v>
      </c>
      <c r="CI112" s="3">
        <f t="shared" ca="1" si="106"/>
        <v>0.93271241162205487</v>
      </c>
      <c r="CJ112" s="3">
        <f t="shared" ca="1" si="107"/>
        <v>1413</v>
      </c>
      <c r="CK112" s="3">
        <f t="shared" ca="1" si="108"/>
        <v>2.809884007423187E-3</v>
      </c>
      <c r="CL112" s="3">
        <f t="shared" ca="1" si="109"/>
        <v>0</v>
      </c>
      <c r="CM112" s="3"/>
      <c r="CN112" s="1">
        <f t="shared" ca="1" si="110"/>
        <v>2.8971766214365058</v>
      </c>
      <c r="CO112" s="1">
        <f t="shared" ca="1" si="111"/>
        <v>2.0147126983425193E-2</v>
      </c>
      <c r="CP112" s="1">
        <f t="shared" ca="1" si="112"/>
        <v>1</v>
      </c>
    </row>
    <row r="113" spans="2:94" x14ac:dyDescent="0.25">
      <c r="B113">
        <f t="shared" ca="1" si="57"/>
        <v>68</v>
      </c>
      <c r="C113">
        <f t="shared" ca="1" si="58"/>
        <v>17</v>
      </c>
      <c r="D113">
        <f t="shared" ca="1" si="59"/>
        <v>0.13746817127914393</v>
      </c>
      <c r="F113" s="1">
        <f t="shared" ca="1" si="60"/>
        <v>41</v>
      </c>
      <c r="G113" s="1">
        <f t="shared" ca="1" si="61"/>
        <v>14</v>
      </c>
      <c r="H113" s="1">
        <f t="shared" ca="1" si="62"/>
        <v>10</v>
      </c>
      <c r="I113" s="1"/>
      <c r="J113" s="1">
        <f t="shared" ca="1" si="63"/>
        <v>12</v>
      </c>
      <c r="K113" s="1">
        <f t="shared" ca="1" si="64"/>
        <v>1.2233741381398897</v>
      </c>
      <c r="L113" s="1">
        <f t="shared" ca="1" si="65"/>
        <v>18</v>
      </c>
      <c r="M113" s="1"/>
      <c r="N113" s="1">
        <f t="shared" ca="1" si="66"/>
        <v>127</v>
      </c>
      <c r="O113" s="1">
        <f t="shared" ca="1" si="67"/>
        <v>44</v>
      </c>
      <c r="P113" s="1"/>
      <c r="Q113" s="1">
        <f t="shared" ca="1" si="68"/>
        <v>1.2135343010354647</v>
      </c>
      <c r="R113" s="1">
        <f t="shared" ca="1" si="69"/>
        <v>445</v>
      </c>
      <c r="S113" s="1"/>
      <c r="T113" s="1">
        <f t="shared" ca="1" si="70"/>
        <v>0.14384283260517017</v>
      </c>
      <c r="U113" s="1">
        <f t="shared" ca="1" si="71"/>
        <v>358</v>
      </c>
      <c r="V113" s="1">
        <f t="shared" ca="1" si="72"/>
        <v>35</v>
      </c>
      <c r="W113" s="1"/>
      <c r="X113" s="1">
        <f t="shared" ca="1" si="73"/>
        <v>0.13261028922049978</v>
      </c>
      <c r="Y113" s="1">
        <f t="shared" ca="1" si="74"/>
        <v>0.92256343344183378</v>
      </c>
      <c r="Z113" s="1">
        <f t="shared" ca="1" si="75"/>
        <v>1616</v>
      </c>
      <c r="AB113" s="1">
        <f t="shared" ca="1" si="76"/>
        <v>0.41303134412625342</v>
      </c>
      <c r="AC113" s="1">
        <f t="shared" ca="1" si="77"/>
        <v>729</v>
      </c>
      <c r="AD113" s="1">
        <f t="shared" ca="1" si="78"/>
        <v>7.7785763738757886E-3</v>
      </c>
      <c r="AE113" s="1"/>
      <c r="AF113" s="1">
        <f t="shared" ca="1" si="79"/>
        <v>0.56225539217134102</v>
      </c>
      <c r="AG113" s="1">
        <f t="shared" ca="1" si="80"/>
        <v>898</v>
      </c>
      <c r="AH113" s="1">
        <f t="shared" ca="1" si="81"/>
        <v>1.0365725870910187E-3</v>
      </c>
      <c r="AJ113" s="1">
        <f t="shared" ca="1" si="82"/>
        <v>0.82301056788378524</v>
      </c>
      <c r="AK113" s="1">
        <f t="shared" ca="1" si="83"/>
        <v>8.5449201234312072E-3</v>
      </c>
      <c r="AL113" s="1"/>
      <c r="AM113" s="1">
        <f t="shared" ca="1" si="84"/>
        <v>8.1667560652571275E-2</v>
      </c>
      <c r="AN113" s="1">
        <f t="shared" ca="1" si="85"/>
        <v>29</v>
      </c>
      <c r="AO113" s="1">
        <f t="shared" ca="1" si="86"/>
        <v>14</v>
      </c>
      <c r="AQ113" s="1">
        <f t="shared" ca="1" si="87"/>
        <v>181</v>
      </c>
      <c r="AR113" s="1">
        <f t="shared" ca="1" si="88"/>
        <v>9</v>
      </c>
      <c r="AS113" s="1">
        <f t="shared" ca="1" si="89"/>
        <v>15</v>
      </c>
      <c r="AU113" s="1">
        <f t="shared" ca="1" si="90"/>
        <v>190</v>
      </c>
      <c r="AV113" s="1">
        <f t="shared" ca="1" si="91"/>
        <v>10</v>
      </c>
      <c r="AW113" s="1">
        <f t="shared" ca="1" si="92"/>
        <v>5.0504148085526598E-2</v>
      </c>
      <c r="AY113" s="1">
        <f t="shared" ca="1" si="93"/>
        <v>1.3547416823268745</v>
      </c>
      <c r="AZ113" s="1">
        <f t="shared" ca="1" si="94"/>
        <v>129</v>
      </c>
      <c r="BA113" s="1">
        <f t="shared" ca="1" si="95"/>
        <v>4.757158240814627E-3</v>
      </c>
      <c r="BV113" s="1">
        <f t="shared" ca="1" si="96"/>
        <v>0.92245584125320779</v>
      </c>
      <c r="BW113" s="1">
        <f t="shared" ca="1" si="97"/>
        <v>706</v>
      </c>
      <c r="BX113" s="1">
        <f t="shared" ca="1" si="98"/>
        <v>9.1910583859812368E-3</v>
      </c>
      <c r="BY113" s="1">
        <f t="shared" ca="1" si="99"/>
        <v>6.8408576309632402E-2</v>
      </c>
      <c r="BZ113" s="1">
        <f t="shared" ca="1" si="100"/>
        <v>0.19583232775476989</v>
      </c>
      <c r="CB113" s="1">
        <f t="shared" ca="1" si="101"/>
        <v>236</v>
      </c>
      <c r="CC113" s="1">
        <f t="shared" ca="1" si="102"/>
        <v>3</v>
      </c>
      <c r="CD113" s="1">
        <f t="shared" ca="1" si="103"/>
        <v>0.19331151985863876</v>
      </c>
      <c r="CE113" s="1">
        <f t="shared" ca="1" si="113"/>
        <v>0.68309681433183345</v>
      </c>
      <c r="CF113" s="1">
        <f t="shared" ca="1" si="113"/>
        <v>0.56657308076743274</v>
      </c>
      <c r="CH113" s="3">
        <f t="shared" ca="1" si="105"/>
        <v>0.10718262217842647</v>
      </c>
      <c r="CI113" s="3">
        <f t="shared" ca="1" si="106"/>
        <v>0.16446102050211911</v>
      </c>
      <c r="CJ113" s="3">
        <f t="shared" ca="1" si="107"/>
        <v>1889</v>
      </c>
      <c r="CK113" s="3">
        <f t="shared" ca="1" si="108"/>
        <v>3.3280774002779523E-3</v>
      </c>
      <c r="CL113" s="3">
        <f t="shared" ca="1" si="109"/>
        <v>1</v>
      </c>
      <c r="CM113" s="3"/>
      <c r="CN113" s="1">
        <f t="shared" ca="1" si="110"/>
        <v>1.5861206950437228</v>
      </c>
      <c r="CO113" s="1">
        <f t="shared" ca="1" si="111"/>
        <v>0.13718438845841635</v>
      </c>
      <c r="CP113" s="1">
        <f t="shared" ca="1" si="112"/>
        <v>4</v>
      </c>
    </row>
    <row r="114" spans="2:94" x14ac:dyDescent="0.25">
      <c r="B114">
        <f t="shared" ca="1" si="57"/>
        <v>144</v>
      </c>
      <c r="C114">
        <f t="shared" ca="1" si="58"/>
        <v>9</v>
      </c>
      <c r="D114">
        <f t="shared" ca="1" si="59"/>
        <v>0.17036410895635062</v>
      </c>
      <c r="F114" s="1">
        <f t="shared" ca="1" si="60"/>
        <v>24</v>
      </c>
      <c r="G114" s="1">
        <f t="shared" ca="1" si="61"/>
        <v>3</v>
      </c>
      <c r="H114" s="1">
        <f t="shared" ca="1" si="62"/>
        <v>9</v>
      </c>
      <c r="I114" s="1"/>
      <c r="J114" s="1">
        <f t="shared" ca="1" si="63"/>
        <v>18</v>
      </c>
      <c r="K114" s="1">
        <f t="shared" ca="1" si="64"/>
        <v>1.2160024345409088</v>
      </c>
      <c r="L114" s="1">
        <f t="shared" ca="1" si="65"/>
        <v>34</v>
      </c>
      <c r="M114" s="1"/>
      <c r="N114" s="1">
        <f t="shared" ca="1" si="66"/>
        <v>211</v>
      </c>
      <c r="O114" s="1">
        <f t="shared" ca="1" si="67"/>
        <v>19</v>
      </c>
      <c r="P114" s="1"/>
      <c r="Q114" s="1">
        <f t="shared" ca="1" si="68"/>
        <v>2.704149646949138</v>
      </c>
      <c r="R114" s="1">
        <f t="shared" ca="1" si="69"/>
        <v>897</v>
      </c>
      <c r="S114" s="1"/>
      <c r="T114" s="1">
        <f t="shared" ca="1" si="70"/>
        <v>0.13898899589779845</v>
      </c>
      <c r="U114" s="1">
        <f t="shared" ca="1" si="71"/>
        <v>295</v>
      </c>
      <c r="V114" s="1">
        <f t="shared" ca="1" si="72"/>
        <v>20</v>
      </c>
      <c r="W114" s="1"/>
      <c r="X114" s="1">
        <f t="shared" ca="1" si="73"/>
        <v>9.7419360382070348</v>
      </c>
      <c r="Y114" s="1">
        <f t="shared" ca="1" si="74"/>
        <v>0.63953219340345979</v>
      </c>
      <c r="Z114" s="1">
        <f t="shared" ca="1" si="75"/>
        <v>1077</v>
      </c>
      <c r="AB114" s="1">
        <f t="shared" ca="1" si="76"/>
        <v>0.4534196756384814</v>
      </c>
      <c r="AC114" s="1">
        <f t="shared" ca="1" si="77"/>
        <v>989</v>
      </c>
      <c r="AD114" s="1">
        <f t="shared" ca="1" si="78"/>
        <v>4.8274076902133506E-3</v>
      </c>
      <c r="AE114" s="1"/>
      <c r="AF114" s="1">
        <f t="shared" ca="1" si="79"/>
        <v>0.53212657614117287</v>
      </c>
      <c r="AG114" s="1">
        <f t="shared" ca="1" si="80"/>
        <v>597</v>
      </c>
      <c r="AH114" s="1">
        <f t="shared" ca="1" si="81"/>
        <v>1.3561987716365566E-3</v>
      </c>
      <c r="AJ114" s="1">
        <f t="shared" ca="1" si="82"/>
        <v>0.49299225849519335</v>
      </c>
      <c r="AK114" s="1">
        <f t="shared" ca="1" si="83"/>
        <v>9.8453538205153616E-3</v>
      </c>
      <c r="AL114" s="1"/>
      <c r="AM114" s="1">
        <f t="shared" ca="1" si="84"/>
        <v>0.19232494935172179</v>
      </c>
      <c r="AN114" s="1">
        <f t="shared" ca="1" si="85"/>
        <v>56</v>
      </c>
      <c r="AO114" s="1">
        <f t="shared" ca="1" si="86"/>
        <v>11</v>
      </c>
      <c r="AQ114" s="1">
        <f t="shared" ca="1" si="87"/>
        <v>69</v>
      </c>
      <c r="AR114" s="1">
        <f t="shared" ca="1" si="88"/>
        <v>1</v>
      </c>
      <c r="AS114" s="1">
        <f t="shared" ca="1" si="89"/>
        <v>70</v>
      </c>
      <c r="AU114" s="1">
        <f t="shared" ca="1" si="90"/>
        <v>397</v>
      </c>
      <c r="AV114" s="1">
        <f t="shared" ca="1" si="91"/>
        <v>7</v>
      </c>
      <c r="AW114" s="1">
        <f t="shared" ca="1" si="92"/>
        <v>1.2068966629147526E-2</v>
      </c>
      <c r="AY114" s="1">
        <f t="shared" ca="1" si="93"/>
        <v>1.1726804963014792</v>
      </c>
      <c r="AZ114" s="1">
        <f t="shared" ca="1" si="94"/>
        <v>119</v>
      </c>
      <c r="BA114" s="1">
        <f t="shared" ca="1" si="95"/>
        <v>5.5866876059615048E-3</v>
      </c>
      <c r="BV114" s="1">
        <f t="shared" ca="1" si="96"/>
        <v>0.37642509153238357</v>
      </c>
      <c r="BW114" s="1">
        <f t="shared" ca="1" si="97"/>
        <v>242</v>
      </c>
      <c r="BX114" s="1">
        <f t="shared" ca="1" si="98"/>
        <v>7.7367400868945347E-3</v>
      </c>
      <c r="BY114" s="1">
        <f t="shared" ca="1" si="99"/>
        <v>8.1592859125691225E-2</v>
      </c>
      <c r="BZ114" s="1">
        <f t="shared" ca="1" si="100"/>
        <v>0.238281210359092</v>
      </c>
      <c r="CB114" s="1">
        <f t="shared" ca="1" si="101"/>
        <v>378</v>
      </c>
      <c r="CC114" s="1">
        <f t="shared" ca="1" si="102"/>
        <v>5</v>
      </c>
      <c r="CD114" s="1">
        <f t="shared" ca="1" si="103"/>
        <v>0.24270479922284952</v>
      </c>
      <c r="CE114" s="1">
        <f t="shared" ca="1" si="113"/>
        <v>0.89971495079627273</v>
      </c>
      <c r="CF114" s="1">
        <f t="shared" ca="1" si="113"/>
        <v>0.90304216055713604</v>
      </c>
      <c r="CH114" s="3">
        <f t="shared" ca="1" si="105"/>
        <v>4.7080871439156381E-2</v>
      </c>
      <c r="CI114" s="3">
        <f t="shared" ca="1" si="106"/>
        <v>0.94016576660729667</v>
      </c>
      <c r="CJ114" s="3">
        <f t="shared" ca="1" si="107"/>
        <v>1973</v>
      </c>
      <c r="CK114" s="3">
        <f t="shared" ca="1" si="108"/>
        <v>1.9668900400045207E-3</v>
      </c>
      <c r="CL114" s="3">
        <f t="shared" ca="1" si="109"/>
        <v>0</v>
      </c>
      <c r="CM114" s="3"/>
      <c r="CN114" s="1">
        <f t="shared" ca="1" si="110"/>
        <v>17.466431741661737</v>
      </c>
      <c r="CO114" s="1">
        <f t="shared" ca="1" si="111"/>
        <v>0.15403517056748961</v>
      </c>
      <c r="CP114" s="1">
        <f t="shared" ca="1" si="112"/>
        <v>1</v>
      </c>
    </row>
    <row r="115" spans="2:94" x14ac:dyDescent="0.25">
      <c r="B115">
        <f t="shared" ca="1" si="57"/>
        <v>890</v>
      </c>
      <c r="C115">
        <f t="shared" ca="1" si="58"/>
        <v>24</v>
      </c>
      <c r="D115">
        <f t="shared" ca="1" si="59"/>
        <v>0.22665639657006079</v>
      </c>
      <c r="F115" s="1">
        <f t="shared" ca="1" si="60"/>
        <v>11</v>
      </c>
      <c r="G115" s="1">
        <f t="shared" ca="1" si="61"/>
        <v>30</v>
      </c>
      <c r="H115" s="1">
        <f t="shared" ca="1" si="62"/>
        <v>7</v>
      </c>
      <c r="I115" s="1"/>
      <c r="J115" s="1">
        <f t="shared" ca="1" si="63"/>
        <v>27</v>
      </c>
      <c r="K115" s="1">
        <f t="shared" ca="1" si="64"/>
        <v>1.5885571809822239</v>
      </c>
      <c r="L115" s="1">
        <f t="shared" ca="1" si="65"/>
        <v>19</v>
      </c>
      <c r="M115" s="1"/>
      <c r="N115" s="1">
        <f t="shared" ca="1" si="66"/>
        <v>265</v>
      </c>
      <c r="O115" s="1">
        <f t="shared" ca="1" si="67"/>
        <v>2</v>
      </c>
      <c r="P115" s="1"/>
      <c r="Q115" s="1">
        <f t="shared" ca="1" si="68"/>
        <v>1.3701310568002942</v>
      </c>
      <c r="R115" s="1">
        <f t="shared" ca="1" si="69"/>
        <v>468</v>
      </c>
      <c r="S115" s="1"/>
      <c r="T115" s="1">
        <f t="shared" ca="1" si="70"/>
        <v>0.12280065426783417</v>
      </c>
      <c r="U115" s="1">
        <f t="shared" ca="1" si="71"/>
        <v>417</v>
      </c>
      <c r="V115" s="1">
        <f t="shared" ca="1" si="72"/>
        <v>33</v>
      </c>
      <c r="W115" s="1"/>
      <c r="X115" s="1">
        <f t="shared" ca="1" si="73"/>
        <v>7.6779218014634925</v>
      </c>
      <c r="Y115" s="1">
        <f t="shared" ca="1" si="74"/>
        <v>0.54009420862756585</v>
      </c>
      <c r="Z115" s="1">
        <f t="shared" ca="1" si="75"/>
        <v>1071</v>
      </c>
      <c r="AB115" s="1">
        <f t="shared" ca="1" si="76"/>
        <v>0.10545398609830489</v>
      </c>
      <c r="AC115" s="1">
        <f t="shared" ca="1" si="77"/>
        <v>217</v>
      </c>
      <c r="AD115" s="1">
        <f t="shared" ca="1" si="78"/>
        <v>5.4661711967355199E-3</v>
      </c>
      <c r="AE115" s="1"/>
      <c r="AF115" s="1">
        <f t="shared" ca="1" si="79"/>
        <v>0.71662472005582323</v>
      </c>
      <c r="AG115" s="1">
        <f t="shared" ca="1" si="80"/>
        <v>848</v>
      </c>
      <c r="AH115" s="1">
        <f t="shared" ca="1" si="81"/>
        <v>3.1255895961002571E-3</v>
      </c>
      <c r="AJ115" s="1">
        <f t="shared" ca="1" si="82"/>
        <v>0.77301099526106087</v>
      </c>
      <c r="AK115" s="1">
        <f t="shared" ca="1" si="83"/>
        <v>6.4177355728579997E-3</v>
      </c>
      <c r="AL115" s="1"/>
      <c r="AM115" s="1">
        <f t="shared" ca="1" si="84"/>
        <v>0.1131758154259131</v>
      </c>
      <c r="AN115" s="1">
        <f t="shared" ca="1" si="85"/>
        <v>21</v>
      </c>
      <c r="AO115" s="1">
        <f t="shared" ca="1" si="86"/>
        <v>12</v>
      </c>
      <c r="AQ115" s="1">
        <f t="shared" ca="1" si="87"/>
        <v>186</v>
      </c>
      <c r="AR115" s="1">
        <f t="shared" ca="1" si="88"/>
        <v>10</v>
      </c>
      <c r="AS115" s="1">
        <f t="shared" ca="1" si="89"/>
        <v>91</v>
      </c>
      <c r="AU115" s="1">
        <f t="shared" ca="1" si="90"/>
        <v>318</v>
      </c>
      <c r="AV115" s="1">
        <f t="shared" ca="1" si="91"/>
        <v>4</v>
      </c>
      <c r="AW115" s="1">
        <f t="shared" ca="1" si="92"/>
        <v>8.516590690540625E-2</v>
      </c>
      <c r="AY115" s="1">
        <f t="shared" ca="1" si="93"/>
        <v>1.7425528802016488</v>
      </c>
      <c r="AZ115" s="1">
        <f t="shared" ca="1" si="94"/>
        <v>125</v>
      </c>
      <c r="BA115" s="1">
        <f t="shared" ca="1" si="95"/>
        <v>8.096595228849774E-3</v>
      </c>
      <c r="BV115" s="1">
        <f t="shared" ca="1" si="96"/>
        <v>0.46902230641486892</v>
      </c>
      <c r="BW115" s="1">
        <f t="shared" ca="1" si="97"/>
        <v>530</v>
      </c>
      <c r="BX115" s="1">
        <f t="shared" ca="1" si="98"/>
        <v>8.4424457128954369E-3</v>
      </c>
      <c r="BY115" s="1">
        <f t="shared" ca="1" si="99"/>
        <v>4.100926951734328E-3</v>
      </c>
      <c r="BZ115" s="1">
        <f t="shared" ca="1" si="100"/>
        <v>0.27209517805442929</v>
      </c>
      <c r="CB115" s="1">
        <f t="shared" ca="1" si="101"/>
        <v>51</v>
      </c>
      <c r="CC115" s="1">
        <f t="shared" ca="1" si="102"/>
        <v>8</v>
      </c>
      <c r="CD115" s="1">
        <f t="shared" ca="1" si="103"/>
        <v>0.16985073133103096</v>
      </c>
      <c r="CE115" s="1">
        <f t="shared" ca="1" si="113"/>
        <v>0.97514252156088044</v>
      </c>
      <c r="CF115" s="1">
        <f t="shared" ca="1" si="113"/>
        <v>0.56282748967119844</v>
      </c>
      <c r="CH115" s="3">
        <f t="shared" ca="1" si="105"/>
        <v>0.45686519754004157</v>
      </c>
      <c r="CI115" s="3">
        <f t="shared" ca="1" si="106"/>
        <v>0.20463367472643115</v>
      </c>
      <c r="CJ115" s="3">
        <f t="shared" ca="1" si="107"/>
        <v>627</v>
      </c>
      <c r="CK115" s="3">
        <f t="shared" ca="1" si="108"/>
        <v>3.223674517009494E-3</v>
      </c>
      <c r="CL115" s="3">
        <f t="shared" ca="1" si="109"/>
        <v>1</v>
      </c>
      <c r="CM115" s="3"/>
      <c r="CN115" s="1">
        <f t="shared" ca="1" si="110"/>
        <v>17.394275394223595</v>
      </c>
      <c r="CO115" s="1">
        <f t="shared" ca="1" si="111"/>
        <v>0.30788846483898297</v>
      </c>
      <c r="CP115" s="1">
        <f t="shared" ca="1" si="112"/>
        <v>1</v>
      </c>
    </row>
    <row r="116" spans="2:94" x14ac:dyDescent="0.25">
      <c r="B116">
        <f t="shared" ca="1" si="57"/>
        <v>516</v>
      </c>
      <c r="C116">
        <f t="shared" ca="1" si="58"/>
        <v>51</v>
      </c>
      <c r="D116">
        <f t="shared" ca="1" si="59"/>
        <v>0.12055602268872626</v>
      </c>
      <c r="F116" s="1">
        <f t="shared" ca="1" si="60"/>
        <v>47</v>
      </c>
      <c r="G116" s="1">
        <f t="shared" ca="1" si="61"/>
        <v>24</v>
      </c>
      <c r="H116" s="1">
        <f t="shared" ca="1" si="62"/>
        <v>10</v>
      </c>
      <c r="I116" s="1"/>
      <c r="J116" s="1">
        <f t="shared" ca="1" si="63"/>
        <v>23</v>
      </c>
      <c r="K116" s="1">
        <f t="shared" ca="1" si="64"/>
        <v>1.3566781326514112</v>
      </c>
      <c r="L116" s="1">
        <f t="shared" ca="1" si="65"/>
        <v>4</v>
      </c>
      <c r="M116" s="1"/>
      <c r="N116" s="1">
        <f t="shared" ca="1" si="66"/>
        <v>933</v>
      </c>
      <c r="O116" s="1">
        <f t="shared" ca="1" si="67"/>
        <v>17</v>
      </c>
      <c r="P116" s="1"/>
      <c r="Q116" s="1">
        <f t="shared" ca="1" si="68"/>
        <v>1.838187793994166</v>
      </c>
      <c r="R116" s="1">
        <f t="shared" ca="1" si="69"/>
        <v>452</v>
      </c>
      <c r="S116" s="1"/>
      <c r="T116" s="1">
        <f t="shared" ca="1" si="70"/>
        <v>8.6855391592134859E-2</v>
      </c>
      <c r="U116" s="1">
        <f t="shared" ca="1" si="71"/>
        <v>264</v>
      </c>
      <c r="V116" s="1">
        <f t="shared" ca="1" si="72"/>
        <v>33</v>
      </c>
      <c r="W116" s="1"/>
      <c r="X116" s="1">
        <f t="shared" ca="1" si="73"/>
        <v>0.7939623335221363</v>
      </c>
      <c r="Y116" s="1">
        <f t="shared" ca="1" si="74"/>
        <v>0.48089850160556374</v>
      </c>
      <c r="Z116" s="1">
        <f t="shared" ca="1" si="75"/>
        <v>830</v>
      </c>
      <c r="AB116" s="1">
        <f t="shared" ca="1" si="76"/>
        <v>0.45861153042914965</v>
      </c>
      <c r="AC116" s="1">
        <f t="shared" ca="1" si="77"/>
        <v>536</v>
      </c>
      <c r="AD116" s="1">
        <f t="shared" ca="1" si="78"/>
        <v>3.6342261527927831E-3</v>
      </c>
      <c r="AE116" s="1"/>
      <c r="AF116" s="1">
        <f t="shared" ca="1" si="79"/>
        <v>0.22301233419533456</v>
      </c>
      <c r="AG116" s="1">
        <f t="shared" ca="1" si="80"/>
        <v>864</v>
      </c>
      <c r="AH116" s="1">
        <f t="shared" ca="1" si="81"/>
        <v>5.7576991139750028E-3</v>
      </c>
      <c r="AJ116" s="1">
        <f t="shared" ca="1" si="82"/>
        <v>0.1292782187871131</v>
      </c>
      <c r="AK116" s="1">
        <f t="shared" ca="1" si="83"/>
        <v>2.1881823319989668E-3</v>
      </c>
      <c r="AL116" s="1"/>
      <c r="AM116" s="1">
        <f t="shared" ca="1" si="84"/>
        <v>0.12923619776730741</v>
      </c>
      <c r="AN116" s="1">
        <f t="shared" ca="1" si="85"/>
        <v>29</v>
      </c>
      <c r="AO116" s="1">
        <f t="shared" ca="1" si="86"/>
        <v>1</v>
      </c>
      <c r="AQ116" s="1">
        <f t="shared" ca="1" si="87"/>
        <v>49</v>
      </c>
      <c r="AR116" s="1">
        <f t="shared" ca="1" si="88"/>
        <v>0</v>
      </c>
      <c r="AS116" s="1">
        <f t="shared" ca="1" si="89"/>
        <v>75</v>
      </c>
      <c r="AU116" s="1">
        <f t="shared" ca="1" si="90"/>
        <v>272</v>
      </c>
      <c r="AV116" s="1">
        <f t="shared" ca="1" si="91"/>
        <v>2</v>
      </c>
      <c r="AW116" s="1">
        <f t="shared" ca="1" si="92"/>
        <v>0.13244183501898163</v>
      </c>
      <c r="AY116" s="1">
        <f t="shared" ca="1" si="93"/>
        <v>1.9724940470320518</v>
      </c>
      <c r="AZ116" s="1">
        <f t="shared" ca="1" si="94"/>
        <v>130</v>
      </c>
      <c r="BA116" s="1">
        <f t="shared" ca="1" si="95"/>
        <v>2.4690603797621031E-4</v>
      </c>
      <c r="BV116" s="1">
        <f t="shared" ca="1" si="96"/>
        <v>0.45798587408614411</v>
      </c>
      <c r="BW116" s="1">
        <f t="shared" ca="1" si="97"/>
        <v>261</v>
      </c>
      <c r="BX116" s="1">
        <f t="shared" ca="1" si="98"/>
        <v>3.0631032535875717E-3</v>
      </c>
      <c r="BY116" s="1">
        <f t="shared" ca="1" si="99"/>
        <v>7.3593533931955973E-2</v>
      </c>
      <c r="BZ116" s="1">
        <f t="shared" ca="1" si="100"/>
        <v>0.74499267087419152</v>
      </c>
      <c r="CB116" s="1">
        <f t="shared" ca="1" si="101"/>
        <v>352</v>
      </c>
      <c r="CC116" s="1">
        <f t="shared" ca="1" si="102"/>
        <v>15</v>
      </c>
      <c r="CD116" s="1">
        <f t="shared" ca="1" si="103"/>
        <v>0.15112790464752038</v>
      </c>
      <c r="CE116" s="1">
        <f t="shared" ca="1" si="113"/>
        <v>0.73877053556235495</v>
      </c>
      <c r="CF116" s="1">
        <f t="shared" ca="1" si="113"/>
        <v>0.77771525594482194</v>
      </c>
      <c r="CH116" s="3">
        <f t="shared" ca="1" si="105"/>
        <v>0.78073164992674682</v>
      </c>
      <c r="CI116" s="3">
        <f t="shared" ca="1" si="106"/>
        <v>0.58220563884825116</v>
      </c>
      <c r="CJ116" s="3">
        <f t="shared" ca="1" si="107"/>
        <v>517</v>
      </c>
      <c r="CK116" s="3">
        <f t="shared" ca="1" si="108"/>
        <v>3.4788659691622312E-3</v>
      </c>
      <c r="CL116" s="3">
        <f t="shared" ca="1" si="109"/>
        <v>0</v>
      </c>
      <c r="CM116" s="3"/>
      <c r="CN116" s="1">
        <f t="shared" ca="1" si="110"/>
        <v>14.489251162557009</v>
      </c>
      <c r="CO116" s="1">
        <f t="shared" ca="1" si="111"/>
        <v>0.48413702443045714</v>
      </c>
      <c r="CP116" s="1">
        <f t="shared" ca="1" si="112"/>
        <v>4</v>
      </c>
    </row>
    <row r="117" spans="2:94" x14ac:dyDescent="0.25">
      <c r="B117">
        <f t="shared" ca="1" si="57"/>
        <v>436</v>
      </c>
      <c r="C117">
        <f t="shared" ca="1" si="58"/>
        <v>30</v>
      </c>
      <c r="D117">
        <f t="shared" ca="1" si="59"/>
        <v>0.26705122235518014</v>
      </c>
      <c r="F117" s="1">
        <f t="shared" ca="1" si="60"/>
        <v>20</v>
      </c>
      <c r="G117" s="1">
        <f t="shared" ca="1" si="61"/>
        <v>15</v>
      </c>
      <c r="H117" s="1">
        <f t="shared" ca="1" si="62"/>
        <v>12</v>
      </c>
      <c r="I117" s="1"/>
      <c r="J117" s="1">
        <f t="shared" ca="1" si="63"/>
        <v>15</v>
      </c>
      <c r="K117" s="1">
        <f t="shared" ca="1" si="64"/>
        <v>2.5904153254421551</v>
      </c>
      <c r="L117" s="1">
        <f t="shared" ca="1" si="65"/>
        <v>14</v>
      </c>
      <c r="M117" s="1"/>
      <c r="N117" s="1">
        <f t="shared" ca="1" si="66"/>
        <v>897</v>
      </c>
      <c r="O117" s="1">
        <f t="shared" ca="1" si="67"/>
        <v>24</v>
      </c>
      <c r="P117" s="1"/>
      <c r="Q117" s="1">
        <f t="shared" ca="1" si="68"/>
        <v>2.6657503571132013</v>
      </c>
      <c r="R117" s="1">
        <f t="shared" ca="1" si="69"/>
        <v>1071</v>
      </c>
      <c r="S117" s="1"/>
      <c r="T117" s="1">
        <f t="shared" ca="1" si="70"/>
        <v>8.8801516163689698E-2</v>
      </c>
      <c r="U117" s="1">
        <f t="shared" ca="1" si="71"/>
        <v>68</v>
      </c>
      <c r="V117" s="1">
        <f t="shared" ca="1" si="72"/>
        <v>41</v>
      </c>
      <c r="W117" s="1"/>
      <c r="X117" s="1">
        <f t="shared" ca="1" si="73"/>
        <v>7.8506043773483967</v>
      </c>
      <c r="Y117" s="1">
        <f t="shared" ca="1" si="74"/>
        <v>0.91601405721804507</v>
      </c>
      <c r="Z117" s="1">
        <f t="shared" ca="1" si="75"/>
        <v>579</v>
      </c>
      <c r="AB117" s="1">
        <f t="shared" ca="1" si="76"/>
        <v>0.63286876717563934</v>
      </c>
      <c r="AC117" s="1">
        <f t="shared" ca="1" si="77"/>
        <v>489</v>
      </c>
      <c r="AD117" s="1">
        <f t="shared" ca="1" si="78"/>
        <v>8.7307910713117151E-3</v>
      </c>
      <c r="AE117" s="1"/>
      <c r="AF117" s="1">
        <f t="shared" ca="1" si="79"/>
        <v>0.87161926127351996</v>
      </c>
      <c r="AG117" s="1">
        <f t="shared" ca="1" si="80"/>
        <v>775</v>
      </c>
      <c r="AH117" s="1">
        <f t="shared" ca="1" si="81"/>
        <v>6.490107936048272E-3</v>
      </c>
      <c r="AJ117" s="1">
        <f t="shared" ca="1" si="82"/>
        <v>0.75575780484736943</v>
      </c>
      <c r="AK117" s="1">
        <f t="shared" ca="1" si="83"/>
        <v>4.9121559391996483E-3</v>
      </c>
      <c r="AL117" s="1"/>
      <c r="AM117" s="1">
        <f t="shared" ca="1" si="84"/>
        <v>0.16582680457561721</v>
      </c>
      <c r="AN117" s="1">
        <f t="shared" ca="1" si="85"/>
        <v>34</v>
      </c>
      <c r="AO117" s="1">
        <f t="shared" ca="1" si="86"/>
        <v>4</v>
      </c>
      <c r="AQ117" s="1">
        <f t="shared" ca="1" si="87"/>
        <v>127</v>
      </c>
      <c r="AR117" s="1">
        <f t="shared" ca="1" si="88"/>
        <v>6</v>
      </c>
      <c r="AS117" s="1">
        <f t="shared" ca="1" si="89"/>
        <v>22</v>
      </c>
      <c r="AU117" s="1">
        <f t="shared" ca="1" si="90"/>
        <v>316</v>
      </c>
      <c r="AV117" s="1">
        <f t="shared" ca="1" si="91"/>
        <v>7</v>
      </c>
      <c r="AW117" s="1">
        <f t="shared" ca="1" si="92"/>
        <v>1.1172423870849973E-2</v>
      </c>
      <c r="AY117" s="1">
        <f t="shared" ca="1" si="93"/>
        <v>1.6940558044528706</v>
      </c>
      <c r="AZ117" s="1">
        <f t="shared" ca="1" si="94"/>
        <v>68</v>
      </c>
      <c r="BA117" s="1">
        <f t="shared" ca="1" si="95"/>
        <v>5.2362080882219211E-3</v>
      </c>
      <c r="BV117" s="1">
        <f t="shared" ca="1" si="96"/>
        <v>0.88025918563855021</v>
      </c>
      <c r="BW117" s="1">
        <f t="shared" ca="1" si="97"/>
        <v>756</v>
      </c>
      <c r="BX117" s="1">
        <f t="shared" ca="1" si="98"/>
        <v>4.0299176170949949E-3</v>
      </c>
      <c r="BY117" s="1">
        <f t="shared" ca="1" si="99"/>
        <v>6.7604515564228224E-2</v>
      </c>
      <c r="BZ117" s="1">
        <f t="shared" ca="1" si="100"/>
        <v>0.25927326892493685</v>
      </c>
      <c r="CB117" s="1">
        <f t="shared" ca="1" si="101"/>
        <v>447</v>
      </c>
      <c r="CC117" s="1">
        <f t="shared" ca="1" si="102"/>
        <v>14</v>
      </c>
      <c r="CD117" s="1">
        <f t="shared" ca="1" si="103"/>
        <v>0.29385186044410805</v>
      </c>
      <c r="CE117" s="1">
        <f t="shared" ca="1" si="113"/>
        <v>0.60642754891878869</v>
      </c>
      <c r="CF117" s="1">
        <f t="shared" ca="1" si="113"/>
        <v>0.6011438442532534</v>
      </c>
      <c r="CH117" s="3">
        <f t="shared" ca="1" si="105"/>
        <v>0.87047806053444376</v>
      </c>
      <c r="CI117" s="3">
        <f t="shared" ca="1" si="106"/>
        <v>0.1315986392819736</v>
      </c>
      <c r="CJ117" s="3">
        <f t="shared" ca="1" si="107"/>
        <v>1555</v>
      </c>
      <c r="CK117" s="3">
        <f t="shared" ca="1" si="108"/>
        <v>9.4526732207651197E-3</v>
      </c>
      <c r="CL117" s="3">
        <f t="shared" ca="1" si="109"/>
        <v>0</v>
      </c>
      <c r="CM117" s="3"/>
      <c r="CN117" s="1">
        <f t="shared" ca="1" si="110"/>
        <v>1.7108021652680816</v>
      </c>
      <c r="CO117" s="1">
        <f t="shared" ca="1" si="111"/>
        <v>0.10220242770549498</v>
      </c>
      <c r="CP117" s="1">
        <f t="shared" ca="1" si="112"/>
        <v>3</v>
      </c>
    </row>
    <row r="118" spans="2:94" x14ac:dyDescent="0.25">
      <c r="B118">
        <f t="shared" ca="1" si="57"/>
        <v>231</v>
      </c>
      <c r="C118">
        <f t="shared" ca="1" si="58"/>
        <v>14</v>
      </c>
      <c r="D118">
        <f t="shared" ca="1" si="59"/>
        <v>2.5329303365789424E-2</v>
      </c>
      <c r="F118" s="1">
        <f t="shared" ca="1" si="60"/>
        <v>13</v>
      </c>
      <c r="G118" s="1">
        <f t="shared" ca="1" si="61"/>
        <v>11</v>
      </c>
      <c r="H118" s="1">
        <f t="shared" ca="1" si="62"/>
        <v>6</v>
      </c>
      <c r="I118" s="1"/>
      <c r="J118" s="1">
        <f t="shared" ca="1" si="63"/>
        <v>14</v>
      </c>
      <c r="K118" s="1">
        <f t="shared" ca="1" si="64"/>
        <v>2.1753087496986927</v>
      </c>
      <c r="L118" s="1">
        <f t="shared" ca="1" si="65"/>
        <v>25</v>
      </c>
      <c r="M118" s="1"/>
      <c r="N118" s="1">
        <f t="shared" ca="1" si="66"/>
        <v>921</v>
      </c>
      <c r="O118" s="1">
        <f t="shared" ca="1" si="67"/>
        <v>14</v>
      </c>
      <c r="P118" s="1"/>
      <c r="Q118" s="1">
        <f t="shared" ca="1" si="68"/>
        <v>1.75442532872468</v>
      </c>
      <c r="R118" s="1">
        <f t="shared" ca="1" si="69"/>
        <v>1180</v>
      </c>
      <c r="S118" s="1"/>
      <c r="T118" s="1">
        <f t="shared" ca="1" si="70"/>
        <v>6.5837358801148618E-2</v>
      </c>
      <c r="U118" s="1">
        <f t="shared" ca="1" si="71"/>
        <v>143</v>
      </c>
      <c r="V118" s="1">
        <f t="shared" ca="1" si="72"/>
        <v>5</v>
      </c>
      <c r="W118" s="1"/>
      <c r="X118" s="1">
        <f t="shared" ca="1" si="73"/>
        <v>5.6632901767682533</v>
      </c>
      <c r="Y118" s="1">
        <f t="shared" ca="1" si="74"/>
        <v>0.7692383606874148</v>
      </c>
      <c r="Z118" s="1">
        <f t="shared" ca="1" si="75"/>
        <v>1952</v>
      </c>
      <c r="AB118" s="1">
        <f t="shared" ca="1" si="76"/>
        <v>9.9008769327582263E-2</v>
      </c>
      <c r="AC118" s="1">
        <f t="shared" ca="1" si="77"/>
        <v>278</v>
      </c>
      <c r="AD118" s="1">
        <f t="shared" ca="1" si="78"/>
        <v>8.5399536545726299E-3</v>
      </c>
      <c r="AE118" s="1"/>
      <c r="AF118" s="1">
        <f t="shared" ca="1" si="79"/>
        <v>0.49134534670136698</v>
      </c>
      <c r="AG118" s="1">
        <f t="shared" ca="1" si="80"/>
        <v>640</v>
      </c>
      <c r="AH118" s="1">
        <f t="shared" ca="1" si="81"/>
        <v>2.8905597438250229E-3</v>
      </c>
      <c r="AJ118" s="1">
        <f t="shared" ca="1" si="82"/>
        <v>5.6776751803694459E-2</v>
      </c>
      <c r="AK118" s="1">
        <f t="shared" ca="1" si="83"/>
        <v>9.6279958525438223E-3</v>
      </c>
      <c r="AL118" s="1"/>
      <c r="AM118" s="1">
        <f t="shared" ca="1" si="84"/>
        <v>7.6260669068803189E-2</v>
      </c>
      <c r="AN118" s="1">
        <f t="shared" ca="1" si="85"/>
        <v>44</v>
      </c>
      <c r="AO118" s="1">
        <f t="shared" ca="1" si="86"/>
        <v>2</v>
      </c>
      <c r="AQ118" s="1">
        <f t="shared" ca="1" si="87"/>
        <v>74</v>
      </c>
      <c r="AR118" s="1">
        <f t="shared" ca="1" si="88"/>
        <v>3</v>
      </c>
      <c r="AS118" s="1">
        <f t="shared" ca="1" si="89"/>
        <v>1</v>
      </c>
      <c r="AU118" s="1">
        <f t="shared" ca="1" si="90"/>
        <v>290</v>
      </c>
      <c r="AV118" s="1">
        <f t="shared" ca="1" si="91"/>
        <v>2</v>
      </c>
      <c r="AW118" s="1">
        <f t="shared" ca="1" si="92"/>
        <v>6.0444182939646859E-2</v>
      </c>
      <c r="AY118" s="1">
        <f t="shared" ca="1" si="93"/>
        <v>1.951763172932389</v>
      </c>
      <c r="AZ118" s="1">
        <f t="shared" ca="1" si="94"/>
        <v>191</v>
      </c>
      <c r="BA118" s="1">
        <f t="shared" ca="1" si="95"/>
        <v>1.6352596668957969E-3</v>
      </c>
      <c r="BV118" s="1">
        <f t="shared" ca="1" si="96"/>
        <v>3.4253601537152512E-3</v>
      </c>
      <c r="BW118" s="1">
        <f t="shared" ca="1" si="97"/>
        <v>903</v>
      </c>
      <c r="BX118" s="1">
        <f t="shared" ca="1" si="98"/>
        <v>5.1658361957340557E-3</v>
      </c>
      <c r="BY118" s="1">
        <f t="shared" ca="1" si="99"/>
        <v>7.7450870365771501E-2</v>
      </c>
      <c r="BZ118" s="1">
        <f t="shared" ca="1" si="100"/>
        <v>0.57893073623672597</v>
      </c>
      <c r="CB118" s="1">
        <f t="shared" ca="1" si="101"/>
        <v>77</v>
      </c>
      <c r="CC118" s="1">
        <f t="shared" ca="1" si="102"/>
        <v>15</v>
      </c>
      <c r="CD118" s="1">
        <f t="shared" ca="1" si="103"/>
        <v>0.14080622832533041</v>
      </c>
      <c r="CE118" s="1">
        <f t="shared" ca="1" si="113"/>
        <v>0.72997874333360802</v>
      </c>
      <c r="CF118" s="1">
        <f t="shared" ca="1" si="113"/>
        <v>0.64248667460292364</v>
      </c>
      <c r="CH118" s="3">
        <f t="shared" ca="1" si="105"/>
        <v>0.45414826180635354</v>
      </c>
      <c r="CI118" s="3">
        <f t="shared" ca="1" si="106"/>
        <v>4.9928880619920284E-2</v>
      </c>
      <c r="CJ118" s="3">
        <f t="shared" ca="1" si="107"/>
        <v>277</v>
      </c>
      <c r="CK118" s="3">
        <f t="shared" ca="1" si="108"/>
        <v>6.0875769025061407E-5</v>
      </c>
      <c r="CL118" s="3">
        <f t="shared" ca="1" si="109"/>
        <v>1</v>
      </c>
      <c r="CM118" s="3"/>
      <c r="CN118" s="1">
        <f t="shared" ca="1" si="110"/>
        <v>4.4568421841568071</v>
      </c>
      <c r="CO118" s="1">
        <f t="shared" ca="1" si="111"/>
        <v>0.20323188067861983</v>
      </c>
      <c r="CP118" s="1">
        <f t="shared" ca="1" si="112"/>
        <v>3</v>
      </c>
    </row>
    <row r="119" spans="2:94" x14ac:dyDescent="0.25">
      <c r="B119">
        <f t="shared" ca="1" si="57"/>
        <v>225</v>
      </c>
      <c r="C119">
        <f t="shared" ca="1" si="58"/>
        <v>28</v>
      </c>
      <c r="D119">
        <f t="shared" ca="1" si="59"/>
        <v>0.24917424311929345</v>
      </c>
      <c r="F119" s="1">
        <f t="shared" ca="1" si="60"/>
        <v>37</v>
      </c>
      <c r="G119" s="1">
        <f t="shared" ca="1" si="61"/>
        <v>12</v>
      </c>
      <c r="H119" s="1">
        <f t="shared" ca="1" si="62"/>
        <v>14</v>
      </c>
      <c r="I119" s="1"/>
      <c r="J119" s="1">
        <f t="shared" ca="1" si="63"/>
        <v>7</v>
      </c>
      <c r="K119" s="1">
        <f t="shared" ca="1" si="64"/>
        <v>1.5029184137840288</v>
      </c>
      <c r="L119" s="1">
        <f t="shared" ca="1" si="65"/>
        <v>25</v>
      </c>
      <c r="M119" s="1"/>
      <c r="N119" s="1">
        <f t="shared" ca="1" si="66"/>
        <v>987</v>
      </c>
      <c r="O119" s="1">
        <f t="shared" ca="1" si="67"/>
        <v>37</v>
      </c>
      <c r="P119" s="1"/>
      <c r="Q119" s="1">
        <f t="shared" ca="1" si="68"/>
        <v>1.0536683230557218</v>
      </c>
      <c r="R119" s="1">
        <f t="shared" ca="1" si="69"/>
        <v>819</v>
      </c>
      <c r="S119" s="1"/>
      <c r="T119" s="1">
        <f t="shared" ca="1" si="70"/>
        <v>0.18113892824244923</v>
      </c>
      <c r="U119" s="1">
        <f t="shared" ca="1" si="71"/>
        <v>143</v>
      </c>
      <c r="V119" s="1">
        <f t="shared" ca="1" si="72"/>
        <v>8</v>
      </c>
      <c r="W119" s="1"/>
      <c r="X119" s="1">
        <f t="shared" ca="1" si="73"/>
        <v>7.2906246359637006</v>
      </c>
      <c r="Y119" s="1">
        <f t="shared" ca="1" si="74"/>
        <v>0.34551100573574456</v>
      </c>
      <c r="Z119" s="1">
        <f t="shared" ca="1" si="75"/>
        <v>1456</v>
      </c>
      <c r="AB119" s="1">
        <f t="shared" ca="1" si="76"/>
        <v>0.48362013369537471</v>
      </c>
      <c r="AC119" s="1">
        <f t="shared" ca="1" si="77"/>
        <v>788</v>
      </c>
      <c r="AD119" s="1">
        <f t="shared" ca="1" si="78"/>
        <v>3.911805855573958E-3</v>
      </c>
      <c r="AE119" s="1"/>
      <c r="AF119" s="1">
        <f t="shared" ca="1" si="79"/>
        <v>0.79439154411577217</v>
      </c>
      <c r="AG119" s="1">
        <f t="shared" ca="1" si="80"/>
        <v>808</v>
      </c>
      <c r="AH119" s="1">
        <f t="shared" ca="1" si="81"/>
        <v>9.7860485365713779E-3</v>
      </c>
      <c r="AJ119" s="1">
        <f t="shared" ca="1" si="82"/>
        <v>0.96728669741365714</v>
      </c>
      <c r="AK119" s="1">
        <f t="shared" ca="1" si="83"/>
        <v>5.7537088262504237E-3</v>
      </c>
      <c r="AL119" s="1"/>
      <c r="AM119" s="1">
        <f t="shared" ca="1" si="84"/>
        <v>1.775667226091316E-2</v>
      </c>
      <c r="AN119" s="1">
        <f t="shared" ca="1" si="85"/>
        <v>18</v>
      </c>
      <c r="AO119" s="1">
        <f t="shared" ca="1" si="86"/>
        <v>4</v>
      </c>
      <c r="AQ119" s="1">
        <f t="shared" ca="1" si="87"/>
        <v>10</v>
      </c>
      <c r="AR119" s="1">
        <f t="shared" ca="1" si="88"/>
        <v>2</v>
      </c>
      <c r="AS119" s="1">
        <f t="shared" ca="1" si="89"/>
        <v>91</v>
      </c>
      <c r="AU119" s="1">
        <f t="shared" ca="1" si="90"/>
        <v>58</v>
      </c>
      <c r="AV119" s="1">
        <f t="shared" ca="1" si="91"/>
        <v>4</v>
      </c>
      <c r="AW119" s="1">
        <f t="shared" ca="1" si="92"/>
        <v>0.1351723935766608</v>
      </c>
      <c r="AY119" s="1">
        <f t="shared" ca="1" si="93"/>
        <v>1.7117177770192902</v>
      </c>
      <c r="AZ119" s="1">
        <f t="shared" ca="1" si="94"/>
        <v>65</v>
      </c>
      <c r="BA119" s="1">
        <f t="shared" ca="1" si="95"/>
        <v>4.1505449402671132E-3</v>
      </c>
      <c r="BV119" s="1">
        <f t="shared" ca="1" si="96"/>
        <v>0.14153402208330718</v>
      </c>
      <c r="BW119" s="1">
        <f t="shared" ca="1" si="97"/>
        <v>673</v>
      </c>
      <c r="BX119" s="1">
        <f t="shared" ca="1" si="98"/>
        <v>2.7940915008205338E-3</v>
      </c>
      <c r="BY119" s="1">
        <f t="shared" ca="1" si="99"/>
        <v>7.569583642796128E-2</v>
      </c>
      <c r="BZ119" s="1">
        <f t="shared" ca="1" si="100"/>
        <v>0.22963389839340087</v>
      </c>
      <c r="CB119" s="1">
        <f t="shared" ca="1" si="101"/>
        <v>230</v>
      </c>
      <c r="CC119" s="1">
        <f t="shared" ca="1" si="102"/>
        <v>5</v>
      </c>
      <c r="CD119" s="1">
        <f t="shared" ca="1" si="103"/>
        <v>7.7439899243130564E-2</v>
      </c>
      <c r="CE119" s="1">
        <f t="shared" ca="1" si="113"/>
        <v>0.5387202547105242</v>
      </c>
      <c r="CF119" s="1">
        <f t="shared" ca="1" si="113"/>
        <v>0.61913098934894595</v>
      </c>
      <c r="CH119" s="3">
        <f t="shared" ca="1" si="105"/>
        <v>0.33012417610731293</v>
      </c>
      <c r="CI119" s="3">
        <f t="shared" ca="1" si="106"/>
        <v>0.85729132579568124</v>
      </c>
      <c r="CJ119" s="3">
        <f t="shared" ca="1" si="107"/>
        <v>951</v>
      </c>
      <c r="CK119" s="3">
        <f t="shared" ca="1" si="108"/>
        <v>1.542758714080623E-3</v>
      </c>
      <c r="CL119" s="3">
        <f t="shared" ca="1" si="109"/>
        <v>1</v>
      </c>
      <c r="CM119" s="3"/>
      <c r="CN119" s="1">
        <f t="shared" ca="1" si="110"/>
        <v>5.3498444431687444</v>
      </c>
      <c r="CO119" s="1">
        <f t="shared" ca="1" si="111"/>
        <v>0.20568277997860157</v>
      </c>
      <c r="CP119" s="1">
        <f t="shared" ca="1" si="112"/>
        <v>1</v>
      </c>
    </row>
    <row r="120" spans="2:94" x14ac:dyDescent="0.25">
      <c r="B120">
        <f t="shared" ca="1" si="57"/>
        <v>658</v>
      </c>
      <c r="C120">
        <f t="shared" ca="1" si="58"/>
        <v>28</v>
      </c>
      <c r="D120">
        <f t="shared" ca="1" si="59"/>
        <v>0.29966051702524682</v>
      </c>
      <c r="F120" s="1">
        <f t="shared" ca="1" si="60"/>
        <v>43</v>
      </c>
      <c r="G120" s="1">
        <f t="shared" ca="1" si="61"/>
        <v>6</v>
      </c>
      <c r="H120" s="1">
        <f t="shared" ca="1" si="62"/>
        <v>7</v>
      </c>
      <c r="I120" s="1"/>
      <c r="J120" s="1">
        <f t="shared" ca="1" si="63"/>
        <v>19</v>
      </c>
      <c r="K120" s="1">
        <f t="shared" ca="1" si="64"/>
        <v>1.1131409436765092</v>
      </c>
      <c r="L120" s="1">
        <f t="shared" ca="1" si="65"/>
        <v>29</v>
      </c>
      <c r="M120" s="1"/>
      <c r="N120" s="1">
        <f t="shared" ca="1" si="66"/>
        <v>682</v>
      </c>
      <c r="O120" s="1">
        <f t="shared" ca="1" si="67"/>
        <v>40</v>
      </c>
      <c r="P120" s="1"/>
      <c r="Q120" s="1">
        <f t="shared" ca="1" si="68"/>
        <v>3.627316025229125</v>
      </c>
      <c r="R120" s="1">
        <f t="shared" ca="1" si="69"/>
        <v>440</v>
      </c>
      <c r="S120" s="1"/>
      <c r="T120" s="1">
        <f t="shared" ca="1" si="70"/>
        <v>0.13043630130477116</v>
      </c>
      <c r="U120" s="1">
        <f t="shared" ca="1" si="71"/>
        <v>119</v>
      </c>
      <c r="V120" s="1">
        <f t="shared" ca="1" si="72"/>
        <v>37</v>
      </c>
      <c r="W120" s="1"/>
      <c r="X120" s="1">
        <f t="shared" ca="1" si="73"/>
        <v>1.10689605913012</v>
      </c>
      <c r="Y120" s="1">
        <f t="shared" ca="1" si="74"/>
        <v>0.61422341869197394</v>
      </c>
      <c r="Z120" s="1">
        <f t="shared" ca="1" si="75"/>
        <v>1258</v>
      </c>
      <c r="AB120" s="1">
        <f t="shared" ca="1" si="76"/>
        <v>0.78337524766393873</v>
      </c>
      <c r="AC120" s="1">
        <f t="shared" ca="1" si="77"/>
        <v>171</v>
      </c>
      <c r="AD120" s="1">
        <f t="shared" ca="1" si="78"/>
        <v>1.3168791503161907E-3</v>
      </c>
      <c r="AE120" s="1"/>
      <c r="AF120" s="1">
        <f t="shared" ca="1" si="79"/>
        <v>0.34605007975940782</v>
      </c>
      <c r="AG120" s="1">
        <f t="shared" ca="1" si="80"/>
        <v>551</v>
      </c>
      <c r="AH120" s="1">
        <f t="shared" ca="1" si="81"/>
        <v>3.3567802351373963E-3</v>
      </c>
      <c r="AJ120" s="1">
        <f t="shared" ca="1" si="82"/>
        <v>0.54038061341377064</v>
      </c>
      <c r="AK120" s="1">
        <f t="shared" ca="1" si="83"/>
        <v>1.3071351270749724E-3</v>
      </c>
      <c r="AL120" s="1"/>
      <c r="AM120" s="1">
        <f t="shared" ca="1" si="84"/>
        <v>8.922587525686336E-2</v>
      </c>
      <c r="AN120" s="1">
        <f t="shared" ca="1" si="85"/>
        <v>62</v>
      </c>
      <c r="AO120" s="1">
        <f t="shared" ca="1" si="86"/>
        <v>17</v>
      </c>
      <c r="AQ120" s="1">
        <f t="shared" ca="1" si="87"/>
        <v>34</v>
      </c>
      <c r="AR120" s="1">
        <f t="shared" ca="1" si="88"/>
        <v>4</v>
      </c>
      <c r="AS120" s="1">
        <f t="shared" ca="1" si="89"/>
        <v>20</v>
      </c>
      <c r="AU120" s="1">
        <f t="shared" ca="1" si="90"/>
        <v>135</v>
      </c>
      <c r="AV120" s="1">
        <f t="shared" ca="1" si="91"/>
        <v>10</v>
      </c>
      <c r="AW120" s="1">
        <f t="shared" ca="1" si="92"/>
        <v>0.13150382965550106</v>
      </c>
      <c r="AY120" s="1">
        <f t="shared" ca="1" si="93"/>
        <v>1.2617325398148238</v>
      </c>
      <c r="AZ120" s="1">
        <f t="shared" ca="1" si="94"/>
        <v>327</v>
      </c>
      <c r="BA120" s="1">
        <f t="shared" ca="1" si="95"/>
        <v>9.7303817992788356E-3</v>
      </c>
      <c r="BV120" s="1">
        <f t="shared" ca="1" si="96"/>
        <v>0.65450202019511816</v>
      </c>
      <c r="BW120" s="1">
        <f t="shared" ca="1" si="97"/>
        <v>845</v>
      </c>
      <c r="BX120" s="1">
        <f t="shared" ca="1" si="98"/>
        <v>3.1931825756126549E-3</v>
      </c>
      <c r="BY120" s="1">
        <f t="shared" ca="1" si="99"/>
        <v>8.1451771944731036E-2</v>
      </c>
      <c r="BZ120" s="1">
        <f t="shared" ca="1" si="100"/>
        <v>6.5138528477032276E-3</v>
      </c>
      <c r="CB120" s="1">
        <f t="shared" ca="1" si="101"/>
        <v>427</v>
      </c>
      <c r="CC120" s="1">
        <f t="shared" ca="1" si="102"/>
        <v>10</v>
      </c>
      <c r="CD120" s="1">
        <f t="shared" ca="1" si="103"/>
        <v>0.28413190785504205</v>
      </c>
      <c r="CE120" s="1">
        <f t="shared" ca="1" si="113"/>
        <v>0.99038910917244127</v>
      </c>
      <c r="CF120" s="1">
        <f t="shared" ca="1" si="113"/>
        <v>0.75235832816380965</v>
      </c>
      <c r="CH120" s="3">
        <f t="shared" ca="1" si="105"/>
        <v>0.9697889695668217</v>
      </c>
      <c r="CI120" s="3">
        <f t="shared" ca="1" si="106"/>
        <v>0.63671356457306327</v>
      </c>
      <c r="CJ120" s="3">
        <f t="shared" ca="1" si="107"/>
        <v>1033</v>
      </c>
      <c r="CK120" s="3">
        <f t="shared" ca="1" si="108"/>
        <v>8.3326085001406373E-3</v>
      </c>
      <c r="CL120" s="3">
        <f t="shared" ca="1" si="109"/>
        <v>0</v>
      </c>
      <c r="CM120" s="3"/>
      <c r="CN120" s="1">
        <f t="shared" ca="1" si="110"/>
        <v>6.2005995680016346</v>
      </c>
      <c r="CO120" s="1">
        <f t="shared" ca="1" si="111"/>
        <v>0.39598931772903434</v>
      </c>
      <c r="CP120" s="1">
        <f t="shared" ca="1" si="112"/>
        <v>2</v>
      </c>
    </row>
    <row r="121" spans="2:94" x14ac:dyDescent="0.25">
      <c r="B121">
        <f t="shared" ca="1" si="57"/>
        <v>60</v>
      </c>
      <c r="C121">
        <f t="shared" ca="1" si="58"/>
        <v>25</v>
      </c>
      <c r="D121">
        <f t="shared" ca="1" si="59"/>
        <v>0.27608877410925842</v>
      </c>
      <c r="F121" s="1">
        <f t="shared" ca="1" si="60"/>
        <v>50</v>
      </c>
      <c r="G121" s="1">
        <f t="shared" ca="1" si="61"/>
        <v>12</v>
      </c>
      <c r="H121" s="1">
        <f t="shared" ca="1" si="62"/>
        <v>10</v>
      </c>
      <c r="I121" s="1"/>
      <c r="J121" s="1">
        <f t="shared" ca="1" si="63"/>
        <v>9</v>
      </c>
      <c r="K121" s="1">
        <f t="shared" ca="1" si="64"/>
        <v>1.9218769715569883</v>
      </c>
      <c r="L121" s="1">
        <f t="shared" ca="1" si="65"/>
        <v>27</v>
      </c>
      <c r="M121" s="1"/>
      <c r="N121" s="1">
        <f t="shared" ca="1" si="66"/>
        <v>230</v>
      </c>
      <c r="O121" s="1">
        <f t="shared" ca="1" si="67"/>
        <v>11</v>
      </c>
      <c r="P121" s="1"/>
      <c r="Q121" s="1">
        <f t="shared" ca="1" si="68"/>
        <v>0.97944645548547693</v>
      </c>
      <c r="R121" s="1">
        <f t="shared" ca="1" si="69"/>
        <v>617</v>
      </c>
      <c r="S121" s="1"/>
      <c r="T121" s="1">
        <f t="shared" ca="1" si="70"/>
        <v>0.17060922476337445</v>
      </c>
      <c r="U121" s="1">
        <f t="shared" ca="1" si="71"/>
        <v>67</v>
      </c>
      <c r="V121" s="1">
        <f t="shared" ca="1" si="72"/>
        <v>52</v>
      </c>
      <c r="W121" s="1"/>
      <c r="X121" s="1">
        <f t="shared" ca="1" si="73"/>
        <v>6.0672677630720351</v>
      </c>
      <c r="Y121" s="1">
        <f t="shared" ca="1" si="74"/>
        <v>0.29481960007749208</v>
      </c>
      <c r="Z121" s="1">
        <f t="shared" ca="1" si="75"/>
        <v>386</v>
      </c>
      <c r="AB121" s="1">
        <f t="shared" ca="1" si="76"/>
        <v>0.26709724808295948</v>
      </c>
      <c r="AC121" s="1">
        <f t="shared" ca="1" si="77"/>
        <v>418</v>
      </c>
      <c r="AD121" s="1">
        <f t="shared" ca="1" si="78"/>
        <v>7.1908139198390885E-3</v>
      </c>
      <c r="AE121" s="1"/>
      <c r="AF121" s="1">
        <f t="shared" ca="1" si="79"/>
        <v>0.41589914477169276</v>
      </c>
      <c r="AG121" s="1">
        <f t="shared" ca="1" si="80"/>
        <v>780</v>
      </c>
      <c r="AH121" s="1">
        <f t="shared" ca="1" si="81"/>
        <v>7.9577569527494538E-3</v>
      </c>
      <c r="AJ121" s="1">
        <f t="shared" ca="1" si="82"/>
        <v>0.93211127826772833</v>
      </c>
      <c r="AK121" s="1">
        <f t="shared" ca="1" si="83"/>
        <v>5.6238732058555107E-4</v>
      </c>
      <c r="AL121" s="1"/>
      <c r="AM121" s="1">
        <f t="shared" ca="1" si="84"/>
        <v>2.8339244329150314E-2</v>
      </c>
      <c r="AN121" s="1">
        <f t="shared" ca="1" si="85"/>
        <v>53</v>
      </c>
      <c r="AO121" s="1">
        <f t="shared" ca="1" si="86"/>
        <v>19</v>
      </c>
      <c r="AQ121" s="1">
        <f t="shared" ca="1" si="87"/>
        <v>52</v>
      </c>
      <c r="AR121" s="1">
        <f t="shared" ca="1" si="88"/>
        <v>4</v>
      </c>
      <c r="AS121" s="1">
        <f t="shared" ca="1" si="89"/>
        <v>35</v>
      </c>
      <c r="AU121" s="1">
        <f t="shared" ca="1" si="90"/>
        <v>281</v>
      </c>
      <c r="AV121" s="1">
        <f t="shared" ca="1" si="91"/>
        <v>2</v>
      </c>
      <c r="AW121" s="1">
        <f t="shared" ca="1" si="92"/>
        <v>8.237914676357222E-2</v>
      </c>
      <c r="AY121" s="1">
        <f t="shared" ca="1" si="93"/>
        <v>1.1270495367516686</v>
      </c>
      <c r="AZ121" s="1">
        <f t="shared" ca="1" si="94"/>
        <v>387</v>
      </c>
      <c r="BA121" s="1">
        <f t="shared" ca="1" si="95"/>
        <v>6.3261887244216728E-3</v>
      </c>
      <c r="BV121" s="1">
        <f t="shared" ca="1" si="96"/>
        <v>0.95260273321346456</v>
      </c>
      <c r="BW121" s="1">
        <f t="shared" ca="1" si="97"/>
        <v>616</v>
      </c>
      <c r="BX121" s="1">
        <f t="shared" ca="1" si="98"/>
        <v>3.2553054735636041E-3</v>
      </c>
      <c r="BY121" s="1">
        <f t="shared" ca="1" si="99"/>
        <v>1.6196003414630082E-3</v>
      </c>
      <c r="BZ121" s="1">
        <f t="shared" ca="1" si="100"/>
        <v>0.26122909277535999</v>
      </c>
      <c r="CB121" s="1">
        <f t="shared" ca="1" si="101"/>
        <v>378</v>
      </c>
      <c r="CC121" s="1">
        <f t="shared" ca="1" si="102"/>
        <v>9</v>
      </c>
      <c r="CD121" s="1">
        <f t="shared" ca="1" si="103"/>
        <v>0.16696866920112111</v>
      </c>
      <c r="CE121" s="1">
        <f t="shared" ca="1" si="113"/>
        <v>0.87931470140159007</v>
      </c>
      <c r="CF121" s="1">
        <f t="shared" ca="1" si="113"/>
        <v>0.70883480925005082</v>
      </c>
      <c r="CH121" s="3">
        <f t="shared" ca="1" si="105"/>
        <v>0.79615287825377756</v>
      </c>
      <c r="CI121" s="3">
        <f t="shared" ca="1" si="106"/>
        <v>0.75682078297733124</v>
      </c>
      <c r="CJ121" s="3">
        <f t="shared" ca="1" si="107"/>
        <v>362</v>
      </c>
      <c r="CK121" s="3">
        <f t="shared" ca="1" si="108"/>
        <v>3.5553677084087885E-3</v>
      </c>
      <c r="CL121" s="3">
        <f t="shared" ca="1" si="109"/>
        <v>0</v>
      </c>
      <c r="CM121" s="3"/>
      <c r="CN121" s="1">
        <f t="shared" ca="1" si="110"/>
        <v>3.7353292933167537</v>
      </c>
      <c r="CO121" s="1">
        <f t="shared" ca="1" si="111"/>
        <v>0.29089317645909585</v>
      </c>
      <c r="CP121" s="1">
        <f t="shared" ca="1" si="112"/>
        <v>1</v>
      </c>
    </row>
    <row r="122" spans="2:94" x14ac:dyDescent="0.25">
      <c r="B122">
        <f t="shared" ca="1" si="57"/>
        <v>162</v>
      </c>
      <c r="C122">
        <f t="shared" ca="1" si="58"/>
        <v>25</v>
      </c>
      <c r="D122">
        <f t="shared" ca="1" si="59"/>
        <v>0.2621630547627703</v>
      </c>
      <c r="F122" s="1">
        <f t="shared" ca="1" si="60"/>
        <v>9</v>
      </c>
      <c r="G122" s="1">
        <f t="shared" ca="1" si="61"/>
        <v>11</v>
      </c>
      <c r="H122" s="1">
        <f t="shared" ca="1" si="62"/>
        <v>1</v>
      </c>
      <c r="I122" s="1"/>
      <c r="J122" s="1">
        <f t="shared" ca="1" si="63"/>
        <v>7</v>
      </c>
      <c r="K122" s="1">
        <f t="shared" ca="1" si="64"/>
        <v>1.1062330072888071</v>
      </c>
      <c r="L122" s="1">
        <f t="shared" ca="1" si="65"/>
        <v>17</v>
      </c>
      <c r="M122" s="1"/>
      <c r="N122" s="1">
        <f t="shared" ca="1" si="66"/>
        <v>970</v>
      </c>
      <c r="O122" s="1">
        <f t="shared" ca="1" si="67"/>
        <v>2</v>
      </c>
      <c r="P122" s="1"/>
      <c r="Q122" s="1">
        <f t="shared" ca="1" si="68"/>
        <v>3.9604036138132654</v>
      </c>
      <c r="R122" s="1">
        <f t="shared" ca="1" si="69"/>
        <v>209</v>
      </c>
      <c r="S122" s="1"/>
      <c r="T122" s="1">
        <f t="shared" ca="1" si="70"/>
        <v>7.0434062131974701E-2</v>
      </c>
      <c r="U122" s="1">
        <f t="shared" ca="1" si="71"/>
        <v>359</v>
      </c>
      <c r="V122" s="1">
        <f t="shared" ca="1" si="72"/>
        <v>26</v>
      </c>
      <c r="W122" s="1"/>
      <c r="X122" s="1">
        <f t="shared" ca="1" si="73"/>
        <v>9.2828020482902307</v>
      </c>
      <c r="Y122" s="1">
        <f t="shared" ca="1" si="74"/>
        <v>0.16150399408721164</v>
      </c>
      <c r="Z122" s="1">
        <f t="shared" ca="1" si="75"/>
        <v>219</v>
      </c>
      <c r="AB122" s="1">
        <f t="shared" ca="1" si="76"/>
        <v>0.70132145877424479</v>
      </c>
      <c r="AC122" s="1">
        <f t="shared" ca="1" si="77"/>
        <v>837</v>
      </c>
      <c r="AD122" s="1">
        <f t="shared" ca="1" si="78"/>
        <v>7.8393770180566168E-3</v>
      </c>
      <c r="AE122" s="1"/>
      <c r="AF122" s="1">
        <f t="shared" ca="1" si="79"/>
        <v>0.6563509407407182</v>
      </c>
      <c r="AG122" s="1">
        <f t="shared" ca="1" si="80"/>
        <v>231</v>
      </c>
      <c r="AH122" s="1">
        <f t="shared" ca="1" si="81"/>
        <v>9.5672033523726552E-3</v>
      </c>
      <c r="AJ122" s="1">
        <f t="shared" ca="1" si="82"/>
        <v>0.37751571152791508</v>
      </c>
      <c r="AK122" s="1">
        <f t="shared" ca="1" si="83"/>
        <v>2.7991241211118693E-3</v>
      </c>
      <c r="AL122" s="1"/>
      <c r="AM122" s="1">
        <f t="shared" ca="1" si="84"/>
        <v>0.1599969891521032</v>
      </c>
      <c r="AN122" s="1">
        <f t="shared" ca="1" si="85"/>
        <v>21</v>
      </c>
      <c r="AO122" s="1">
        <f t="shared" ca="1" si="86"/>
        <v>11</v>
      </c>
      <c r="AQ122" s="1">
        <f t="shared" ca="1" si="87"/>
        <v>47</v>
      </c>
      <c r="AR122" s="1">
        <f t="shared" ca="1" si="88"/>
        <v>10</v>
      </c>
      <c r="AS122" s="1">
        <f t="shared" ca="1" si="89"/>
        <v>55</v>
      </c>
      <c r="AU122" s="1">
        <f t="shared" ca="1" si="90"/>
        <v>100</v>
      </c>
      <c r="AV122" s="1">
        <f t="shared" ca="1" si="91"/>
        <v>7</v>
      </c>
      <c r="AW122" s="1">
        <f t="shared" ca="1" si="92"/>
        <v>0.12273939984280839</v>
      </c>
      <c r="AY122" s="1">
        <f t="shared" ca="1" si="93"/>
        <v>1.8455380217728299</v>
      </c>
      <c r="AZ122" s="1">
        <f t="shared" ca="1" si="94"/>
        <v>441</v>
      </c>
      <c r="BA122" s="1">
        <f t="shared" ca="1" si="95"/>
        <v>1.7368576141298143E-3</v>
      </c>
      <c r="BV122" s="1">
        <f t="shared" ca="1" si="96"/>
        <v>0.18061952694515734</v>
      </c>
      <c r="BW122" s="1">
        <f t="shared" ca="1" si="97"/>
        <v>755</v>
      </c>
      <c r="BX122" s="1">
        <f t="shared" ca="1" si="98"/>
        <v>5.2548324524319817E-3</v>
      </c>
      <c r="BY122" s="1">
        <f t="shared" ca="1" si="99"/>
        <v>9.3049785888956224E-2</v>
      </c>
      <c r="BZ122" s="1">
        <f t="shared" ca="1" si="100"/>
        <v>0.85175520077261579</v>
      </c>
      <c r="CB122" s="1">
        <f t="shared" ca="1" si="101"/>
        <v>454</v>
      </c>
      <c r="CC122" s="1">
        <f t="shared" ca="1" si="102"/>
        <v>5</v>
      </c>
      <c r="CD122" s="1">
        <f t="shared" ca="1" si="103"/>
        <v>1.4371945247009705E-2</v>
      </c>
      <c r="CE122" s="1">
        <f t="shared" ca="1" si="113"/>
        <v>0.62699933344550218</v>
      </c>
      <c r="CF122" s="1">
        <f t="shared" ca="1" si="113"/>
        <v>0.57333527089325764</v>
      </c>
      <c r="CH122" s="3">
        <f t="shared" ca="1" si="105"/>
        <v>0.51009122672314233</v>
      </c>
      <c r="CI122" s="3">
        <f t="shared" ca="1" si="106"/>
        <v>0.50167108750892586</v>
      </c>
      <c r="CJ122" s="3">
        <f t="shared" ca="1" si="107"/>
        <v>124</v>
      </c>
      <c r="CK122" s="3">
        <f t="shared" ca="1" si="108"/>
        <v>3.4519140360397258E-3</v>
      </c>
      <c r="CL122" s="3">
        <f t="shared" ca="1" si="109"/>
        <v>0</v>
      </c>
      <c r="CM122" s="3"/>
      <c r="CN122" s="1">
        <f t="shared" ca="1" si="110"/>
        <v>9.1054180062480885</v>
      </c>
      <c r="CO122" s="1">
        <f t="shared" ca="1" si="111"/>
        <v>0.35841018203203739</v>
      </c>
      <c r="CP122" s="1">
        <f t="shared" ca="1" si="112"/>
        <v>4</v>
      </c>
    </row>
    <row r="123" spans="2:94" x14ac:dyDescent="0.25">
      <c r="B123">
        <f t="shared" ca="1" si="57"/>
        <v>336</v>
      </c>
      <c r="C123">
        <f t="shared" ca="1" si="58"/>
        <v>44</v>
      </c>
      <c r="D123">
        <f t="shared" ca="1" si="59"/>
        <v>0.2194618306955177</v>
      </c>
      <c r="F123" s="1">
        <f t="shared" ca="1" si="60"/>
        <v>24</v>
      </c>
      <c r="G123" s="1">
        <f t="shared" ca="1" si="61"/>
        <v>19</v>
      </c>
      <c r="H123" s="1">
        <f t="shared" ca="1" si="62"/>
        <v>8</v>
      </c>
      <c r="I123" s="1"/>
      <c r="J123" s="1">
        <f t="shared" ca="1" si="63"/>
        <v>32</v>
      </c>
      <c r="K123" s="1">
        <f t="shared" ca="1" si="64"/>
        <v>2.6733994200007412</v>
      </c>
      <c r="L123" s="1">
        <f t="shared" ca="1" si="65"/>
        <v>25</v>
      </c>
      <c r="M123" s="1"/>
      <c r="N123" s="1">
        <f t="shared" ca="1" si="66"/>
        <v>300</v>
      </c>
      <c r="O123" s="1">
        <f t="shared" ca="1" si="67"/>
        <v>31</v>
      </c>
      <c r="P123" s="1"/>
      <c r="Q123" s="1">
        <f t="shared" ca="1" si="68"/>
        <v>1.5422100069644558</v>
      </c>
      <c r="R123" s="1">
        <f t="shared" ca="1" si="69"/>
        <v>724</v>
      </c>
      <c r="S123" s="1"/>
      <c r="T123" s="1">
        <f t="shared" ca="1" si="70"/>
        <v>0.19286732496995879</v>
      </c>
      <c r="U123" s="1">
        <f t="shared" ca="1" si="71"/>
        <v>365</v>
      </c>
      <c r="V123" s="1">
        <f t="shared" ca="1" si="72"/>
        <v>4</v>
      </c>
      <c r="W123" s="1"/>
      <c r="X123" s="1">
        <f t="shared" ca="1" si="73"/>
        <v>8.0967272006596467</v>
      </c>
      <c r="Y123" s="1">
        <f t="shared" ca="1" si="74"/>
        <v>0.42123665187601278</v>
      </c>
      <c r="Z123" s="1">
        <f t="shared" ca="1" si="75"/>
        <v>785</v>
      </c>
      <c r="AB123" s="1">
        <f t="shared" ca="1" si="76"/>
        <v>0.97433818772435987</v>
      </c>
      <c r="AC123" s="1">
        <f t="shared" ca="1" si="77"/>
        <v>612</v>
      </c>
      <c r="AD123" s="1">
        <f t="shared" ca="1" si="78"/>
        <v>3.5715570320684095E-3</v>
      </c>
      <c r="AE123" s="1"/>
      <c r="AF123" s="1">
        <f t="shared" ca="1" si="79"/>
        <v>0.72112097643009088</v>
      </c>
      <c r="AG123" s="1">
        <f t="shared" ca="1" si="80"/>
        <v>977</v>
      </c>
      <c r="AH123" s="1">
        <f t="shared" ca="1" si="81"/>
        <v>4.74347975591311E-3</v>
      </c>
      <c r="AJ123" s="1">
        <f t="shared" ca="1" si="82"/>
        <v>0.7074848735996041</v>
      </c>
      <c r="AK123" s="1">
        <f t="shared" ca="1" si="83"/>
        <v>7.7510272587335517E-3</v>
      </c>
      <c r="AL123" s="1"/>
      <c r="AM123" s="1">
        <f t="shared" ca="1" si="84"/>
        <v>6.2538901701476537E-2</v>
      </c>
      <c r="AN123" s="1">
        <f t="shared" ca="1" si="85"/>
        <v>25</v>
      </c>
      <c r="AO123" s="1">
        <f t="shared" ca="1" si="86"/>
        <v>17</v>
      </c>
      <c r="AQ123" s="1">
        <f t="shared" ca="1" si="87"/>
        <v>49</v>
      </c>
      <c r="AR123" s="1">
        <f t="shared" ca="1" si="88"/>
        <v>3</v>
      </c>
      <c r="AS123" s="1">
        <f t="shared" ca="1" si="89"/>
        <v>90</v>
      </c>
      <c r="AU123" s="1">
        <f t="shared" ca="1" si="90"/>
        <v>271</v>
      </c>
      <c r="AV123" s="1">
        <f t="shared" ca="1" si="91"/>
        <v>7</v>
      </c>
      <c r="AW123" s="1">
        <f t="shared" ca="1" si="92"/>
        <v>1.3287972189977742E-2</v>
      </c>
      <c r="AY123" s="1">
        <f t="shared" ca="1" si="93"/>
        <v>1.5199461630291091</v>
      </c>
      <c r="AZ123" s="1">
        <f t="shared" ca="1" si="94"/>
        <v>255</v>
      </c>
      <c r="BA123" s="1">
        <f t="shared" ca="1" si="95"/>
        <v>2.4040783460236833E-3</v>
      </c>
      <c r="BV123" s="1">
        <f t="shared" ca="1" si="96"/>
        <v>0.81618193767431135</v>
      </c>
      <c r="BW123" s="1">
        <f t="shared" ca="1" si="97"/>
        <v>695</v>
      </c>
      <c r="BX123" s="1">
        <f t="shared" ca="1" si="98"/>
        <v>1.7775501315866953E-4</v>
      </c>
      <c r="BY123" s="1">
        <f t="shared" ca="1" si="99"/>
        <v>2.1845399087202393E-2</v>
      </c>
      <c r="BZ123" s="1">
        <f t="shared" ca="1" si="100"/>
        <v>0.40541654172833186</v>
      </c>
      <c r="CB123" s="1">
        <f t="shared" ca="1" si="101"/>
        <v>267</v>
      </c>
      <c r="CC123" s="1">
        <f t="shared" ca="1" si="102"/>
        <v>9</v>
      </c>
      <c r="CD123" s="1">
        <f t="shared" ca="1" si="103"/>
        <v>7.9598272457466465E-2</v>
      </c>
      <c r="CE123" s="1">
        <f t="shared" ca="1" si="113"/>
        <v>0.99248787350390999</v>
      </c>
      <c r="CF123" s="1">
        <f t="shared" ca="1" si="113"/>
        <v>0.55168937753833391</v>
      </c>
      <c r="CH123" s="3">
        <f t="shared" ca="1" si="105"/>
        <v>9.6714800724197001E-3</v>
      </c>
      <c r="CI123" s="3">
        <f t="shared" ca="1" si="106"/>
        <v>0.48534966698562226</v>
      </c>
      <c r="CJ123" s="3">
        <f t="shared" ca="1" si="107"/>
        <v>1043</v>
      </c>
      <c r="CK123" s="3">
        <f t="shared" ca="1" si="108"/>
        <v>4.2248747971591729E-3</v>
      </c>
      <c r="CL123" s="3">
        <f t="shared" ca="1" si="109"/>
        <v>1</v>
      </c>
      <c r="CM123" s="3"/>
      <c r="CN123" s="1">
        <f t="shared" ca="1" si="110"/>
        <v>0.85301612136524951</v>
      </c>
      <c r="CO123" s="1">
        <f t="shared" ca="1" si="111"/>
        <v>9.9437611709593546E-2</v>
      </c>
      <c r="CP123" s="1">
        <f t="shared" ca="1" si="112"/>
        <v>3</v>
      </c>
    </row>
    <row r="124" spans="2:94" x14ac:dyDescent="0.25">
      <c r="B124">
        <f t="shared" ca="1" si="57"/>
        <v>681</v>
      </c>
      <c r="C124">
        <f t="shared" ca="1" si="58"/>
        <v>20</v>
      </c>
      <c r="D124">
        <f t="shared" ca="1" si="59"/>
        <v>0.14231701937804481</v>
      </c>
      <c r="F124" s="1">
        <f t="shared" ca="1" si="60"/>
        <v>19</v>
      </c>
      <c r="G124" s="1">
        <f t="shared" ca="1" si="61"/>
        <v>14</v>
      </c>
      <c r="H124" s="1">
        <f t="shared" ca="1" si="62"/>
        <v>1</v>
      </c>
      <c r="I124" s="1"/>
      <c r="J124" s="1">
        <f t="shared" ca="1" si="63"/>
        <v>7</v>
      </c>
      <c r="K124" s="1">
        <f t="shared" ca="1" si="64"/>
        <v>1.6239727429324717</v>
      </c>
      <c r="L124" s="1">
        <f t="shared" ca="1" si="65"/>
        <v>4</v>
      </c>
      <c r="M124" s="1"/>
      <c r="N124" s="1">
        <f t="shared" ca="1" si="66"/>
        <v>537</v>
      </c>
      <c r="O124" s="1">
        <f t="shared" ca="1" si="67"/>
        <v>31</v>
      </c>
      <c r="P124" s="1"/>
      <c r="Q124" s="1">
        <f t="shared" ca="1" si="68"/>
        <v>4.8484747196404312</v>
      </c>
      <c r="R124" s="1">
        <f t="shared" ca="1" si="69"/>
        <v>479</v>
      </c>
      <c r="S124" s="1"/>
      <c r="T124" s="1">
        <f t="shared" ca="1" si="70"/>
        <v>2.3386499439214888E-2</v>
      </c>
      <c r="U124" s="1">
        <f t="shared" ca="1" si="71"/>
        <v>338</v>
      </c>
      <c r="V124" s="1">
        <f t="shared" ca="1" si="72"/>
        <v>2</v>
      </c>
      <c r="W124" s="1"/>
      <c r="X124" s="1">
        <f t="shared" ca="1" si="73"/>
        <v>0.32111606814174565</v>
      </c>
      <c r="Y124" s="1">
        <f t="shared" ca="1" si="74"/>
        <v>0.29957559599446759</v>
      </c>
      <c r="Z124" s="1">
        <f t="shared" ca="1" si="75"/>
        <v>1610</v>
      </c>
      <c r="AB124" s="1">
        <f t="shared" ca="1" si="76"/>
        <v>0.9827696064019511</v>
      </c>
      <c r="AC124" s="1">
        <f t="shared" ca="1" si="77"/>
        <v>528</v>
      </c>
      <c r="AD124" s="1">
        <f t="shared" ca="1" si="78"/>
        <v>1.543937670941401E-3</v>
      </c>
      <c r="AE124" s="1"/>
      <c r="AF124" s="1">
        <f t="shared" ca="1" si="79"/>
        <v>0.87001993008958456</v>
      </c>
      <c r="AG124" s="1">
        <f t="shared" ca="1" si="80"/>
        <v>338</v>
      </c>
      <c r="AH124" s="1">
        <f t="shared" ca="1" si="81"/>
        <v>8.2904185123610658E-3</v>
      </c>
      <c r="AJ124" s="1">
        <f t="shared" ca="1" si="82"/>
        <v>0.30362895429063896</v>
      </c>
      <c r="AK124" s="1">
        <f t="shared" ca="1" si="83"/>
        <v>3.0830744780277293E-3</v>
      </c>
      <c r="AL124" s="1"/>
      <c r="AM124" s="1">
        <f t="shared" ca="1" si="84"/>
        <v>4.3098816131892814E-2</v>
      </c>
      <c r="AN124" s="1">
        <f t="shared" ca="1" si="85"/>
        <v>68</v>
      </c>
      <c r="AO124" s="1">
        <f t="shared" ca="1" si="86"/>
        <v>14</v>
      </c>
      <c r="AQ124" s="1">
        <f t="shared" ca="1" si="87"/>
        <v>119</v>
      </c>
      <c r="AR124" s="1">
        <f t="shared" ca="1" si="88"/>
        <v>10</v>
      </c>
      <c r="AS124" s="1">
        <f t="shared" ca="1" si="89"/>
        <v>13</v>
      </c>
      <c r="AU124" s="1">
        <f t="shared" ca="1" si="90"/>
        <v>199</v>
      </c>
      <c r="AV124" s="1">
        <f t="shared" ca="1" si="91"/>
        <v>9</v>
      </c>
      <c r="AW124" s="1">
        <f t="shared" ca="1" si="92"/>
        <v>9.0394116862745802E-2</v>
      </c>
      <c r="AY124" s="1">
        <f t="shared" ca="1" si="93"/>
        <v>1.4012901671273668</v>
      </c>
      <c r="AZ124" s="1">
        <f t="shared" ca="1" si="94"/>
        <v>123</v>
      </c>
      <c r="BA124" s="1">
        <f t="shared" ca="1" si="95"/>
        <v>3.9960500564283153E-3</v>
      </c>
      <c r="BV124" s="1">
        <f t="shared" ca="1" si="96"/>
        <v>0.72670327465698736</v>
      </c>
      <c r="BW124" s="1">
        <f t="shared" ca="1" si="97"/>
        <v>373</v>
      </c>
      <c r="BX124" s="1">
        <f t="shared" ca="1" si="98"/>
        <v>3.9244396991463737E-3</v>
      </c>
      <c r="BY124" s="1">
        <f t="shared" ca="1" si="99"/>
        <v>5.8069844582693264E-3</v>
      </c>
      <c r="BZ124" s="1">
        <f t="shared" ca="1" si="100"/>
        <v>0.56934162579500758</v>
      </c>
      <c r="CB124" s="1">
        <f t="shared" ca="1" si="101"/>
        <v>50</v>
      </c>
      <c r="CC124" s="1">
        <f t="shared" ca="1" si="102"/>
        <v>9</v>
      </c>
      <c r="CD124" s="1">
        <f t="shared" ca="1" si="103"/>
        <v>0.20299869436363524</v>
      </c>
      <c r="CE124" s="1">
        <f t="shared" ca="1" si="113"/>
        <v>0.77355435064035283</v>
      </c>
      <c r="CF124" s="1">
        <f t="shared" ca="1" si="113"/>
        <v>0.83125923678899727</v>
      </c>
      <c r="CH124" s="3">
        <f t="shared" ca="1" si="105"/>
        <v>0.3102227301360565</v>
      </c>
      <c r="CI124" s="3">
        <f t="shared" ca="1" si="106"/>
        <v>0.73609605595910155</v>
      </c>
      <c r="CJ124" s="3">
        <f t="shared" ca="1" si="107"/>
        <v>1321</v>
      </c>
      <c r="CK124" s="3">
        <f t="shared" ca="1" si="108"/>
        <v>7.0289299844380482E-3</v>
      </c>
      <c r="CL124" s="3">
        <f t="shared" ca="1" si="109"/>
        <v>1</v>
      </c>
      <c r="CM124" s="3"/>
      <c r="CN124" s="1">
        <f t="shared" ca="1" si="110"/>
        <v>19.55816709938642</v>
      </c>
      <c r="CO124" s="1">
        <f t="shared" ca="1" si="111"/>
        <v>0.19182396195983029</v>
      </c>
      <c r="CP124" s="1">
        <f t="shared" ca="1" si="112"/>
        <v>3</v>
      </c>
    </row>
    <row r="125" spans="2:94" x14ac:dyDescent="0.25">
      <c r="B125">
        <f t="shared" ca="1" si="57"/>
        <v>478</v>
      </c>
      <c r="C125">
        <f t="shared" ca="1" si="58"/>
        <v>44</v>
      </c>
      <c r="D125">
        <f t="shared" ca="1" si="59"/>
        <v>8.2341512768913536E-2</v>
      </c>
      <c r="F125" s="1">
        <f t="shared" ca="1" si="60"/>
        <v>17</v>
      </c>
      <c r="G125" s="1">
        <f t="shared" ca="1" si="61"/>
        <v>12</v>
      </c>
      <c r="H125" s="1">
        <f t="shared" ca="1" si="62"/>
        <v>15</v>
      </c>
      <c r="I125" s="1"/>
      <c r="J125" s="1">
        <f t="shared" ca="1" si="63"/>
        <v>30</v>
      </c>
      <c r="K125" s="1">
        <f t="shared" ca="1" si="64"/>
        <v>1.758527030448386</v>
      </c>
      <c r="L125" s="1">
        <f t="shared" ca="1" si="65"/>
        <v>24</v>
      </c>
      <c r="M125" s="1"/>
      <c r="N125" s="1">
        <f t="shared" ca="1" si="66"/>
        <v>629</v>
      </c>
      <c r="O125" s="1">
        <f t="shared" ca="1" si="67"/>
        <v>25</v>
      </c>
      <c r="P125" s="1"/>
      <c r="Q125" s="1">
        <f t="shared" ca="1" si="68"/>
        <v>1.380974556773455</v>
      </c>
      <c r="R125" s="1">
        <f t="shared" ca="1" si="69"/>
        <v>407</v>
      </c>
      <c r="S125" s="1"/>
      <c r="T125" s="1">
        <f t="shared" ca="1" si="70"/>
        <v>0.14294543214471087</v>
      </c>
      <c r="U125" s="1">
        <f t="shared" ca="1" si="71"/>
        <v>71</v>
      </c>
      <c r="V125" s="1">
        <f t="shared" ca="1" si="72"/>
        <v>50</v>
      </c>
      <c r="W125" s="1"/>
      <c r="X125" s="1">
        <f t="shared" ca="1" si="73"/>
        <v>2.2879279690671037</v>
      </c>
      <c r="Y125" s="1">
        <f t="shared" ca="1" si="74"/>
        <v>0.21343492462356423</v>
      </c>
      <c r="Z125" s="1">
        <f t="shared" ca="1" si="75"/>
        <v>1999</v>
      </c>
      <c r="AB125" s="1">
        <f t="shared" ca="1" si="76"/>
        <v>0.85224604010962379</v>
      </c>
      <c r="AC125" s="1">
        <f t="shared" ca="1" si="77"/>
        <v>609</v>
      </c>
      <c r="AD125" s="1">
        <f t="shared" ca="1" si="78"/>
        <v>9.0122233676264134E-3</v>
      </c>
      <c r="AE125" s="1"/>
      <c r="AF125" s="1">
        <f t="shared" ca="1" si="79"/>
        <v>0.75524344825140488</v>
      </c>
      <c r="AG125" s="1">
        <f t="shared" ca="1" si="80"/>
        <v>558</v>
      </c>
      <c r="AH125" s="1">
        <f t="shared" ca="1" si="81"/>
        <v>4.4828840928605113E-3</v>
      </c>
      <c r="AJ125" s="1">
        <f t="shared" ca="1" si="82"/>
        <v>0.9213346740905678</v>
      </c>
      <c r="AK125" s="1">
        <f t="shared" ca="1" si="83"/>
        <v>4.9446494123593524E-4</v>
      </c>
      <c r="AL125" s="1"/>
      <c r="AM125" s="1">
        <f t="shared" ca="1" si="84"/>
        <v>0.13585153860637336</v>
      </c>
      <c r="AN125" s="1">
        <f t="shared" ca="1" si="85"/>
        <v>26</v>
      </c>
      <c r="AO125" s="1">
        <f t="shared" ca="1" si="86"/>
        <v>13</v>
      </c>
      <c r="AQ125" s="1">
        <f t="shared" ca="1" si="87"/>
        <v>129</v>
      </c>
      <c r="AR125" s="1">
        <f t="shared" ca="1" si="88"/>
        <v>7</v>
      </c>
      <c r="AS125" s="1">
        <f t="shared" ca="1" si="89"/>
        <v>86</v>
      </c>
      <c r="AU125" s="1">
        <f t="shared" ca="1" si="90"/>
        <v>54</v>
      </c>
      <c r="AV125" s="1">
        <f t="shared" ca="1" si="91"/>
        <v>6</v>
      </c>
      <c r="AW125" s="1">
        <f t="shared" ca="1" si="92"/>
        <v>0.15061827590533855</v>
      </c>
      <c r="AY125" s="1">
        <f t="shared" ca="1" si="93"/>
        <v>1.5554416156281001</v>
      </c>
      <c r="AZ125" s="1">
        <f t="shared" ca="1" si="94"/>
        <v>276</v>
      </c>
      <c r="BA125" s="1">
        <f t="shared" ca="1" si="95"/>
        <v>4.6115284641238986E-5</v>
      </c>
      <c r="BV125" s="1">
        <f t="shared" ca="1" si="96"/>
        <v>0.95727496262707945</v>
      </c>
      <c r="BW125" s="1">
        <f t="shared" ca="1" si="97"/>
        <v>842</v>
      </c>
      <c r="BX125" s="1">
        <f t="shared" ca="1" si="98"/>
        <v>7.1034953822552167E-3</v>
      </c>
      <c r="BY125" s="1">
        <f t="shared" ca="1" si="99"/>
        <v>7.9727129246255662E-2</v>
      </c>
      <c r="BZ125" s="1">
        <f t="shared" ca="1" si="100"/>
        <v>0.62658077998372108</v>
      </c>
      <c r="CB125" s="1">
        <f t="shared" ca="1" si="101"/>
        <v>169</v>
      </c>
      <c r="CC125" s="1">
        <f t="shared" ca="1" si="102"/>
        <v>12</v>
      </c>
      <c r="CD125" s="1">
        <f t="shared" ca="1" si="103"/>
        <v>0.20902911546502323</v>
      </c>
      <c r="CE125" s="1">
        <f t="shared" ca="1" si="113"/>
        <v>0.92201738491968055</v>
      </c>
      <c r="CF125" s="1">
        <f t="shared" ca="1" si="113"/>
        <v>0.70513274006889648</v>
      </c>
      <c r="CH125" s="3">
        <f t="shared" ca="1" si="105"/>
        <v>0.72408600822410107</v>
      </c>
      <c r="CI125" s="3">
        <f t="shared" ca="1" si="106"/>
        <v>0.36507265885109014</v>
      </c>
      <c r="CJ125" s="3">
        <f t="shared" ca="1" si="107"/>
        <v>276</v>
      </c>
      <c r="CK125" s="3">
        <f t="shared" ca="1" si="108"/>
        <v>2.4001996294660061E-4</v>
      </c>
      <c r="CL125" s="3">
        <f t="shared" ca="1" si="109"/>
        <v>1</v>
      </c>
      <c r="CM125" s="3"/>
      <c r="CN125" s="1">
        <f t="shared" ca="1" si="110"/>
        <v>9.3599674072482308</v>
      </c>
      <c r="CO125" s="1">
        <f t="shared" ca="1" si="111"/>
        <v>0.49969772943137825</v>
      </c>
      <c r="CP125" s="1">
        <f t="shared" ca="1" si="112"/>
        <v>3</v>
      </c>
    </row>
    <row r="126" spans="2:94" x14ac:dyDescent="0.25">
      <c r="B126">
        <f t="shared" ca="1" si="57"/>
        <v>446</v>
      </c>
      <c r="C126">
        <f t="shared" ca="1" si="58"/>
        <v>46</v>
      </c>
      <c r="D126">
        <f t="shared" ca="1" si="59"/>
        <v>5.5773698889888951E-2</v>
      </c>
      <c r="F126" s="1">
        <f t="shared" ca="1" si="60"/>
        <v>37</v>
      </c>
      <c r="G126" s="1">
        <f t="shared" ca="1" si="61"/>
        <v>16</v>
      </c>
      <c r="H126" s="1">
        <f t="shared" ca="1" si="62"/>
        <v>7</v>
      </c>
      <c r="I126" s="1"/>
      <c r="J126" s="1">
        <f t="shared" ca="1" si="63"/>
        <v>7</v>
      </c>
      <c r="K126" s="1">
        <f t="shared" ca="1" si="64"/>
        <v>2.4716922051237571</v>
      </c>
      <c r="L126" s="1">
        <f t="shared" ca="1" si="65"/>
        <v>11</v>
      </c>
      <c r="M126" s="1"/>
      <c r="N126" s="1">
        <f t="shared" ca="1" si="66"/>
        <v>742</v>
      </c>
      <c r="O126" s="1">
        <f t="shared" ca="1" si="67"/>
        <v>10</v>
      </c>
      <c r="P126" s="1"/>
      <c r="Q126" s="1">
        <f t="shared" ca="1" si="68"/>
        <v>4.9584655372983137</v>
      </c>
      <c r="R126" s="1">
        <f t="shared" ca="1" si="69"/>
        <v>881</v>
      </c>
      <c r="S126" s="1"/>
      <c r="T126" s="1">
        <f t="shared" ca="1" si="70"/>
        <v>0.12615242244596697</v>
      </c>
      <c r="U126" s="1">
        <f t="shared" ca="1" si="71"/>
        <v>181</v>
      </c>
      <c r="V126" s="1">
        <f t="shared" ca="1" si="72"/>
        <v>10</v>
      </c>
      <c r="W126" s="1"/>
      <c r="X126" s="1">
        <f t="shared" ca="1" si="73"/>
        <v>0.56950066287189582</v>
      </c>
      <c r="Y126" s="1">
        <f t="shared" ca="1" si="74"/>
        <v>0.96894824034959093</v>
      </c>
      <c r="Z126" s="1">
        <f t="shared" ca="1" si="75"/>
        <v>294</v>
      </c>
      <c r="AB126" s="1">
        <f t="shared" ca="1" si="76"/>
        <v>0.72647486737188993</v>
      </c>
      <c r="AC126" s="1">
        <f t="shared" ca="1" si="77"/>
        <v>732</v>
      </c>
      <c r="AD126" s="1">
        <f t="shared" ca="1" si="78"/>
        <v>2.0613402584363006E-3</v>
      </c>
      <c r="AE126" s="1"/>
      <c r="AF126" s="1">
        <f t="shared" ca="1" si="79"/>
        <v>0.51436112005726498</v>
      </c>
      <c r="AG126" s="1">
        <f t="shared" ca="1" si="80"/>
        <v>653</v>
      </c>
      <c r="AH126" s="1">
        <f t="shared" ca="1" si="81"/>
        <v>5.6473991570625114E-3</v>
      </c>
      <c r="AJ126" s="1">
        <f t="shared" ca="1" si="82"/>
        <v>0.54777341799316515</v>
      </c>
      <c r="AK126" s="1">
        <f t="shared" ca="1" si="83"/>
        <v>8.9652967315317477E-3</v>
      </c>
      <c r="AL126" s="1"/>
      <c r="AM126" s="1">
        <f t="shared" ca="1" si="84"/>
        <v>9.7797794081939213E-2</v>
      </c>
      <c r="AN126" s="1">
        <f t="shared" ca="1" si="85"/>
        <v>40</v>
      </c>
      <c r="AO126" s="1">
        <f t="shared" ca="1" si="86"/>
        <v>4</v>
      </c>
      <c r="AQ126" s="1">
        <f t="shared" ca="1" si="87"/>
        <v>72</v>
      </c>
      <c r="AR126" s="1">
        <f t="shared" ca="1" si="88"/>
        <v>10</v>
      </c>
      <c r="AS126" s="1">
        <f t="shared" ca="1" si="89"/>
        <v>29</v>
      </c>
      <c r="AU126" s="1">
        <f t="shared" ca="1" si="90"/>
        <v>133</v>
      </c>
      <c r="AV126" s="1">
        <f t="shared" ca="1" si="91"/>
        <v>3</v>
      </c>
      <c r="AW126" s="1">
        <f t="shared" ca="1" si="92"/>
        <v>1.7297730907839592E-2</v>
      </c>
      <c r="AY126" s="1">
        <f t="shared" ca="1" si="93"/>
        <v>1.7143558536801518</v>
      </c>
      <c r="AZ126" s="1">
        <f t="shared" ca="1" si="94"/>
        <v>113</v>
      </c>
      <c r="BA126" s="1">
        <f t="shared" ca="1" si="95"/>
        <v>9.4173895741322625E-3</v>
      </c>
      <c r="BV126" s="1">
        <f t="shared" ca="1" si="96"/>
        <v>0.36846151405592137</v>
      </c>
      <c r="BW126" s="1">
        <f t="shared" ca="1" si="97"/>
        <v>284</v>
      </c>
      <c r="BX126" s="1">
        <f t="shared" ca="1" si="98"/>
        <v>9.9042045199893899E-3</v>
      </c>
      <c r="BY126" s="1">
        <f t="shared" ca="1" si="99"/>
        <v>8.6517419280409957E-2</v>
      </c>
      <c r="BZ126" s="1">
        <f t="shared" ca="1" si="100"/>
        <v>0.94004880367932853</v>
      </c>
      <c r="CB126" s="1">
        <f t="shared" ca="1" si="101"/>
        <v>477</v>
      </c>
      <c r="CC126" s="1">
        <f t="shared" ca="1" si="102"/>
        <v>15</v>
      </c>
      <c r="CD126" s="1">
        <f t="shared" ca="1" si="103"/>
        <v>8.9197088964803717E-2</v>
      </c>
      <c r="CE126" s="1">
        <f t="shared" ca="1" si="113"/>
        <v>0.67904963510769156</v>
      </c>
      <c r="CF126" s="1">
        <f t="shared" ca="1" si="113"/>
        <v>0.7202810178171215</v>
      </c>
      <c r="CH126" s="3">
        <f t="shared" ca="1" si="105"/>
        <v>0.21037063939113029</v>
      </c>
      <c r="CI126" s="3">
        <f t="shared" ca="1" si="106"/>
        <v>0.57760905491654835</v>
      </c>
      <c r="CJ126" s="3">
        <f t="shared" ca="1" si="107"/>
        <v>543</v>
      </c>
      <c r="CK126" s="3">
        <f t="shared" ca="1" si="108"/>
        <v>1.4393676399320811E-3</v>
      </c>
      <c r="CL126" s="3">
        <f t="shared" ca="1" si="109"/>
        <v>0</v>
      </c>
      <c r="CM126" s="3"/>
      <c r="CN126" s="1">
        <f t="shared" ca="1" si="110"/>
        <v>11.496142445557659</v>
      </c>
      <c r="CO126" s="1">
        <f t="shared" ca="1" si="111"/>
        <v>2.5898345470921812E-2</v>
      </c>
      <c r="CP126" s="1">
        <f t="shared" ca="1" si="112"/>
        <v>4</v>
      </c>
    </row>
    <row r="127" spans="2:94" x14ac:dyDescent="0.25">
      <c r="B127">
        <f t="shared" ca="1" si="57"/>
        <v>42</v>
      </c>
      <c r="C127">
        <f t="shared" ca="1" si="58"/>
        <v>49</v>
      </c>
      <c r="D127">
        <f t="shared" ca="1" si="59"/>
        <v>7.564241413228727E-2</v>
      </c>
      <c r="F127" s="1">
        <f t="shared" ca="1" si="60"/>
        <v>32</v>
      </c>
      <c r="G127" s="1">
        <f t="shared" ca="1" si="61"/>
        <v>11</v>
      </c>
      <c r="H127" s="1">
        <f t="shared" ca="1" si="62"/>
        <v>11</v>
      </c>
      <c r="I127" s="1"/>
      <c r="J127" s="1">
        <f t="shared" ca="1" si="63"/>
        <v>13</v>
      </c>
      <c r="K127" s="1">
        <f t="shared" ca="1" si="64"/>
        <v>2.9416730568565592</v>
      </c>
      <c r="L127" s="1">
        <f t="shared" ca="1" si="65"/>
        <v>19</v>
      </c>
      <c r="M127" s="1"/>
      <c r="N127" s="1">
        <f t="shared" ca="1" si="66"/>
        <v>583</v>
      </c>
      <c r="O127" s="1">
        <f t="shared" ca="1" si="67"/>
        <v>10</v>
      </c>
      <c r="P127" s="1"/>
      <c r="Q127" s="1">
        <f t="shared" ca="1" si="68"/>
        <v>1.5407144464156279</v>
      </c>
      <c r="R127" s="1">
        <f t="shared" ca="1" si="69"/>
        <v>691</v>
      </c>
      <c r="S127" s="1"/>
      <c r="T127" s="1">
        <f t="shared" ca="1" si="70"/>
        <v>5.3321951861728487E-2</v>
      </c>
      <c r="U127" s="1">
        <f t="shared" ca="1" si="71"/>
        <v>417</v>
      </c>
      <c r="V127" s="1">
        <f t="shared" ca="1" si="72"/>
        <v>43</v>
      </c>
      <c r="W127" s="1"/>
      <c r="X127" s="1">
        <f t="shared" ca="1" si="73"/>
        <v>9.1060384690003815</v>
      </c>
      <c r="Y127" s="1">
        <f t="shared" ca="1" si="74"/>
        <v>0.82891655339641945</v>
      </c>
      <c r="Z127" s="1">
        <f t="shared" ca="1" si="75"/>
        <v>1860</v>
      </c>
      <c r="AB127" s="1">
        <f t="shared" ca="1" si="76"/>
        <v>4.5305768427340506E-2</v>
      </c>
      <c r="AC127" s="1">
        <f t="shared" ca="1" si="77"/>
        <v>411</v>
      </c>
      <c r="AD127" s="1">
        <f t="shared" ca="1" si="78"/>
        <v>1.4670566401823741E-3</v>
      </c>
      <c r="AE127" s="1"/>
      <c r="AF127" s="1">
        <f t="shared" ca="1" si="79"/>
        <v>0.15796504073482709</v>
      </c>
      <c r="AG127" s="1">
        <f t="shared" ca="1" si="80"/>
        <v>272</v>
      </c>
      <c r="AH127" s="1">
        <f t="shared" ca="1" si="81"/>
        <v>7.0140439661056859E-4</v>
      </c>
      <c r="AJ127" s="1">
        <f t="shared" ca="1" si="82"/>
        <v>1.1042962281901936E-2</v>
      </c>
      <c r="AK127" s="1">
        <f t="shared" ca="1" si="83"/>
        <v>9.5194457892717344E-3</v>
      </c>
      <c r="AL127" s="1"/>
      <c r="AM127" s="1">
        <f t="shared" ca="1" si="84"/>
        <v>0.17599599329381302</v>
      </c>
      <c r="AN127" s="1">
        <f t="shared" ca="1" si="85"/>
        <v>52</v>
      </c>
      <c r="AO127" s="1">
        <f t="shared" ca="1" si="86"/>
        <v>5</v>
      </c>
      <c r="AQ127" s="1">
        <f t="shared" ca="1" si="87"/>
        <v>84</v>
      </c>
      <c r="AR127" s="1">
        <f t="shared" ca="1" si="88"/>
        <v>3</v>
      </c>
      <c r="AS127" s="1">
        <f t="shared" ca="1" si="89"/>
        <v>32</v>
      </c>
      <c r="AU127" s="1">
        <f t="shared" ca="1" si="90"/>
        <v>143</v>
      </c>
      <c r="AV127" s="1">
        <f t="shared" ca="1" si="91"/>
        <v>5</v>
      </c>
      <c r="AW127" s="1">
        <f t="shared" ca="1" si="92"/>
        <v>0.10995134094377375</v>
      </c>
      <c r="AY127" s="1">
        <f t="shared" ca="1" si="93"/>
        <v>1.771458262243077</v>
      </c>
      <c r="AZ127" s="1">
        <f t="shared" ca="1" si="94"/>
        <v>380</v>
      </c>
      <c r="BA127" s="1">
        <f t="shared" ca="1" si="95"/>
        <v>9.6932640226291618E-4</v>
      </c>
      <c r="BV127" s="1">
        <f t="shared" ca="1" si="96"/>
        <v>8.6562533179840154E-2</v>
      </c>
      <c r="BW127" s="1">
        <f t="shared" ca="1" si="97"/>
        <v>195</v>
      </c>
      <c r="BX127" s="1">
        <f t="shared" ca="1" si="98"/>
        <v>7.0483135984399613E-3</v>
      </c>
      <c r="BY127" s="1">
        <f t="shared" ca="1" si="99"/>
        <v>2.5076192664355085E-2</v>
      </c>
      <c r="BZ127" s="1">
        <f t="shared" ca="1" si="100"/>
        <v>0.68350344079474823</v>
      </c>
      <c r="CB127" s="1">
        <f t="shared" ca="1" si="101"/>
        <v>418</v>
      </c>
      <c r="CC127" s="1">
        <f t="shared" ca="1" si="102"/>
        <v>15</v>
      </c>
      <c r="CD127" s="1">
        <f t="shared" ca="1" si="103"/>
        <v>3.2200759320622482E-2</v>
      </c>
      <c r="CE127" s="1">
        <f t="shared" ca="1" si="113"/>
        <v>0.76703240921545834</v>
      </c>
      <c r="CF127" s="1">
        <f t="shared" ca="1" si="113"/>
        <v>0.89057819769933433</v>
      </c>
      <c r="CH127" s="3">
        <f t="shared" ca="1" si="105"/>
        <v>0.52526591794186728</v>
      </c>
      <c r="CI127" s="3">
        <f t="shared" ca="1" si="106"/>
        <v>0.64757819355884227</v>
      </c>
      <c r="CJ127" s="3">
        <f t="shared" ca="1" si="107"/>
        <v>370</v>
      </c>
      <c r="CK127" s="3">
        <f t="shared" ca="1" si="108"/>
        <v>3.6599688837272385E-3</v>
      </c>
      <c r="CL127" s="3">
        <f t="shared" ca="1" si="109"/>
        <v>0</v>
      </c>
      <c r="CM127" s="3"/>
      <c r="CN127" s="1">
        <f t="shared" ca="1" si="110"/>
        <v>8.3580133537359202</v>
      </c>
      <c r="CO127" s="1">
        <f t="shared" ca="1" si="111"/>
        <v>0.42043103644099872</v>
      </c>
      <c r="CP127" s="1">
        <f t="shared" ca="1" si="112"/>
        <v>3</v>
      </c>
    </row>
    <row r="128" spans="2:94" x14ac:dyDescent="0.25">
      <c r="B128">
        <f t="shared" ca="1" si="57"/>
        <v>884</v>
      </c>
      <c r="C128">
        <f t="shared" ca="1" si="58"/>
        <v>44</v>
      </c>
      <c r="D128">
        <f t="shared" ca="1" si="59"/>
        <v>5.8839546559698912E-2</v>
      </c>
      <c r="F128" s="1">
        <f t="shared" ca="1" si="60"/>
        <v>26</v>
      </c>
      <c r="G128" s="1">
        <f t="shared" ca="1" si="61"/>
        <v>4</v>
      </c>
      <c r="H128" s="1">
        <f t="shared" ca="1" si="62"/>
        <v>14</v>
      </c>
      <c r="I128" s="1"/>
      <c r="J128" s="1">
        <f t="shared" ca="1" si="63"/>
        <v>22</v>
      </c>
      <c r="K128" s="1">
        <f t="shared" ca="1" si="64"/>
        <v>2.6030488393885274</v>
      </c>
      <c r="L128" s="1">
        <f t="shared" ca="1" si="65"/>
        <v>3</v>
      </c>
      <c r="M128" s="1"/>
      <c r="N128" s="1">
        <f t="shared" ca="1" si="66"/>
        <v>755</v>
      </c>
      <c r="O128" s="1">
        <f t="shared" ca="1" si="67"/>
        <v>28</v>
      </c>
      <c r="P128" s="1"/>
      <c r="Q128" s="1">
        <f t="shared" ca="1" si="68"/>
        <v>2.5792041513572705</v>
      </c>
      <c r="R128" s="1">
        <f t="shared" ca="1" si="69"/>
        <v>275</v>
      </c>
      <c r="S128" s="1"/>
      <c r="T128" s="1">
        <f t="shared" ca="1" si="70"/>
        <v>0.12347089053926345</v>
      </c>
      <c r="U128" s="1">
        <f t="shared" ca="1" si="71"/>
        <v>337</v>
      </c>
      <c r="V128" s="1">
        <f t="shared" ca="1" si="72"/>
        <v>3</v>
      </c>
      <c r="W128" s="1"/>
      <c r="X128" s="1">
        <f t="shared" ca="1" si="73"/>
        <v>7.1370109208887698</v>
      </c>
      <c r="Y128" s="1">
        <f t="shared" ca="1" si="74"/>
        <v>7.0168392378661557E-2</v>
      </c>
      <c r="Z128" s="1">
        <f t="shared" ca="1" si="75"/>
        <v>543</v>
      </c>
      <c r="AB128" s="1">
        <f t="shared" ca="1" si="76"/>
        <v>0.59017445135706825</v>
      </c>
      <c r="AC128" s="1">
        <f t="shared" ca="1" si="77"/>
        <v>720</v>
      </c>
      <c r="AD128" s="1">
        <f t="shared" ca="1" si="78"/>
        <v>3.5284280897344635E-3</v>
      </c>
      <c r="AE128" s="1"/>
      <c r="AF128" s="1">
        <f t="shared" ca="1" si="79"/>
        <v>0.2196798969459878</v>
      </c>
      <c r="AG128" s="1">
        <f t="shared" ca="1" si="80"/>
        <v>892</v>
      </c>
      <c r="AH128" s="1">
        <f t="shared" ca="1" si="81"/>
        <v>4.7115973950199461E-3</v>
      </c>
      <c r="AJ128" s="1">
        <f t="shared" ca="1" si="82"/>
        <v>0.98749033208815851</v>
      </c>
      <c r="AK128" s="1">
        <f t="shared" ca="1" si="83"/>
        <v>9.252176861703645E-3</v>
      </c>
      <c r="AL128" s="1"/>
      <c r="AM128" s="1">
        <f t="shared" ca="1" si="84"/>
        <v>1.5947630044644914E-2</v>
      </c>
      <c r="AN128" s="1">
        <f t="shared" ca="1" si="85"/>
        <v>73</v>
      </c>
      <c r="AO128" s="1">
        <f t="shared" ca="1" si="86"/>
        <v>18</v>
      </c>
      <c r="AQ128" s="1">
        <f t="shared" ca="1" si="87"/>
        <v>181</v>
      </c>
      <c r="AR128" s="1">
        <f t="shared" ca="1" si="88"/>
        <v>6</v>
      </c>
      <c r="AS128" s="1">
        <f t="shared" ca="1" si="89"/>
        <v>51</v>
      </c>
      <c r="AU128" s="1">
        <f t="shared" ca="1" si="90"/>
        <v>67</v>
      </c>
      <c r="AV128" s="1">
        <f t="shared" ca="1" si="91"/>
        <v>4</v>
      </c>
      <c r="AW128" s="1">
        <f t="shared" ca="1" si="92"/>
        <v>8.275855176832711E-2</v>
      </c>
      <c r="AY128" s="1">
        <f t="shared" ca="1" si="93"/>
        <v>1.2485743501480582</v>
      </c>
      <c r="AZ128" s="1">
        <f t="shared" ca="1" si="94"/>
        <v>348</v>
      </c>
      <c r="BA128" s="1">
        <f t="shared" ca="1" si="95"/>
        <v>5.9455007366275049E-3</v>
      </c>
      <c r="BV128" s="1">
        <f t="shared" ca="1" si="96"/>
        <v>0.17601396402352576</v>
      </c>
      <c r="BW128" s="1">
        <f t="shared" ca="1" si="97"/>
        <v>657</v>
      </c>
      <c r="BX128" s="1">
        <f t="shared" ca="1" si="98"/>
        <v>6.0504485842620493E-3</v>
      </c>
      <c r="BY128" s="1">
        <f t="shared" ca="1" si="99"/>
        <v>1.8225389625294165E-2</v>
      </c>
      <c r="BZ128" s="1">
        <f t="shared" ca="1" si="100"/>
        <v>0.81438615514287649</v>
      </c>
      <c r="CB128" s="1">
        <f t="shared" ca="1" si="101"/>
        <v>297</v>
      </c>
      <c r="CC128" s="1">
        <f t="shared" ca="1" si="102"/>
        <v>11</v>
      </c>
      <c r="CD128" s="1">
        <f t="shared" ca="1" si="103"/>
        <v>0.24047665101830901</v>
      </c>
      <c r="CE128" s="1">
        <f t="shared" ca="1" si="113"/>
        <v>0.64050303577942413</v>
      </c>
      <c r="CF128" s="1">
        <f t="shared" ca="1" si="113"/>
        <v>0.87104272910653457</v>
      </c>
      <c r="CH128" s="3">
        <f t="shared" ca="1" si="105"/>
        <v>0.77752939050034353</v>
      </c>
      <c r="CI128" s="3">
        <f t="shared" ca="1" si="106"/>
        <v>0.87560801159784241</v>
      </c>
      <c r="CJ128" s="3">
        <f t="shared" ca="1" si="107"/>
        <v>494</v>
      </c>
      <c r="CK128" s="3">
        <f t="shared" ca="1" si="108"/>
        <v>7.4075417470634746E-3</v>
      </c>
      <c r="CL128" s="3">
        <f t="shared" ca="1" si="109"/>
        <v>1</v>
      </c>
      <c r="CM128" s="3"/>
      <c r="CN128" s="1">
        <f t="shared" ca="1" si="110"/>
        <v>4.9774098956637598</v>
      </c>
      <c r="CO128" s="1">
        <f t="shared" ca="1" si="111"/>
        <v>7.1566822351501566E-2</v>
      </c>
      <c r="CP128" s="1">
        <f t="shared" ca="1" si="112"/>
        <v>5</v>
      </c>
    </row>
    <row r="129" spans="2:94" x14ac:dyDescent="0.25">
      <c r="B129">
        <f t="shared" ca="1" si="57"/>
        <v>691</v>
      </c>
      <c r="C129">
        <f t="shared" ca="1" si="58"/>
        <v>13</v>
      </c>
      <c r="D129">
        <f t="shared" ca="1" si="59"/>
        <v>0.24821639603128887</v>
      </c>
      <c r="F129" s="1">
        <f t="shared" ca="1" si="60"/>
        <v>22</v>
      </c>
      <c r="G129" s="1">
        <f t="shared" ca="1" si="61"/>
        <v>3</v>
      </c>
      <c r="H129" s="1">
        <f t="shared" ca="1" si="62"/>
        <v>8</v>
      </c>
      <c r="I129" s="1"/>
      <c r="J129" s="1">
        <f t="shared" ca="1" si="63"/>
        <v>12</v>
      </c>
      <c r="K129" s="1">
        <f t="shared" ca="1" si="64"/>
        <v>1.8675068599561973</v>
      </c>
      <c r="L129" s="1">
        <f t="shared" ca="1" si="65"/>
        <v>17</v>
      </c>
      <c r="M129" s="1"/>
      <c r="N129" s="1">
        <f t="shared" ca="1" si="66"/>
        <v>241</v>
      </c>
      <c r="O129" s="1">
        <f t="shared" ca="1" si="67"/>
        <v>21</v>
      </c>
      <c r="P129" s="1"/>
      <c r="Q129" s="1">
        <f t="shared" ca="1" si="68"/>
        <v>3.8979849080741156</v>
      </c>
      <c r="R129" s="1">
        <f t="shared" ca="1" si="69"/>
        <v>1143</v>
      </c>
      <c r="S129" s="1"/>
      <c r="T129" s="1">
        <f t="shared" ca="1" si="70"/>
        <v>9.9724346600634728E-2</v>
      </c>
      <c r="U129" s="1">
        <f t="shared" ca="1" si="71"/>
        <v>84</v>
      </c>
      <c r="V129" s="1">
        <f t="shared" ca="1" si="72"/>
        <v>50</v>
      </c>
      <c r="W129" s="1"/>
      <c r="X129" s="1">
        <f t="shared" ca="1" si="73"/>
        <v>8.3698341488631485</v>
      </c>
      <c r="Y129" s="1">
        <f t="shared" ca="1" si="74"/>
        <v>0.22983662599593915</v>
      </c>
      <c r="Z129" s="1">
        <f t="shared" ca="1" si="75"/>
        <v>318</v>
      </c>
      <c r="AB129" s="1">
        <f t="shared" ca="1" si="76"/>
        <v>0.73545819809334612</v>
      </c>
      <c r="AC129" s="1">
        <f t="shared" ca="1" si="77"/>
        <v>956</v>
      </c>
      <c r="AD129" s="1">
        <f t="shared" ca="1" si="78"/>
        <v>3.1588275244197597E-3</v>
      </c>
      <c r="AE129" s="1"/>
      <c r="AF129" s="1">
        <f t="shared" ca="1" si="79"/>
        <v>0.59357871385044936</v>
      </c>
      <c r="AG129" s="1">
        <f t="shared" ca="1" si="80"/>
        <v>911</v>
      </c>
      <c r="AH129" s="1">
        <f t="shared" ca="1" si="81"/>
        <v>2.8863059730060563E-5</v>
      </c>
      <c r="AJ129" s="1">
        <f t="shared" ca="1" si="82"/>
        <v>0.18122994420838179</v>
      </c>
      <c r="AK129" s="1">
        <f t="shared" ca="1" si="83"/>
        <v>3.5799976009783037E-3</v>
      </c>
      <c r="AL129" s="1"/>
      <c r="AM129" s="1">
        <f t="shared" ca="1" si="84"/>
        <v>0.17386374492126264</v>
      </c>
      <c r="AN129" s="1">
        <f t="shared" ca="1" si="85"/>
        <v>61</v>
      </c>
      <c r="AO129" s="1">
        <f t="shared" ca="1" si="86"/>
        <v>1</v>
      </c>
      <c r="AQ129" s="1">
        <f t="shared" ca="1" si="87"/>
        <v>132</v>
      </c>
      <c r="AR129" s="1">
        <f t="shared" ca="1" si="88"/>
        <v>10</v>
      </c>
      <c r="AS129" s="1">
        <f t="shared" ca="1" si="89"/>
        <v>71</v>
      </c>
      <c r="AU129" s="1">
        <f t="shared" ca="1" si="90"/>
        <v>318</v>
      </c>
      <c r="AV129" s="1">
        <f t="shared" ca="1" si="91"/>
        <v>3</v>
      </c>
      <c r="AW129" s="1">
        <f t="shared" ca="1" si="92"/>
        <v>3.922696662895972E-2</v>
      </c>
      <c r="AY129" s="1">
        <f t="shared" ca="1" si="93"/>
        <v>1.7483805004265589</v>
      </c>
      <c r="AZ129" s="1">
        <f t="shared" ca="1" si="94"/>
        <v>131</v>
      </c>
      <c r="BA129" s="1">
        <f t="shared" ca="1" si="95"/>
        <v>6.5936898430202385E-3</v>
      </c>
      <c r="BV129" s="1">
        <f t="shared" ca="1" si="96"/>
        <v>0.51531287882590615</v>
      </c>
      <c r="BW129" s="1">
        <f t="shared" ca="1" si="97"/>
        <v>948</v>
      </c>
      <c r="BX129" s="1">
        <f t="shared" ca="1" si="98"/>
        <v>7.48188329822523E-3</v>
      </c>
      <c r="BY129" s="1">
        <f t="shared" ca="1" si="99"/>
        <v>2.7947764454819817E-2</v>
      </c>
      <c r="BZ129" s="1">
        <f t="shared" ca="1" si="100"/>
        <v>0.16133686508694378</v>
      </c>
      <c r="CB129" s="1">
        <f t="shared" ca="1" si="101"/>
        <v>84</v>
      </c>
      <c r="CC129" s="1">
        <f t="shared" ca="1" si="102"/>
        <v>3</v>
      </c>
      <c r="CD129" s="1">
        <f t="shared" ca="1" si="103"/>
        <v>0.10246738425346377</v>
      </c>
      <c r="CE129" s="1">
        <f t="shared" ca="1" si="113"/>
        <v>0.99474579333029967</v>
      </c>
      <c r="CF129" s="1">
        <f t="shared" ca="1" si="113"/>
        <v>0.93102524670759101</v>
      </c>
      <c r="CH129" s="3">
        <f t="shared" ca="1" si="105"/>
        <v>0.73114280558537581</v>
      </c>
      <c r="CI129" s="3">
        <f t="shared" ca="1" si="106"/>
        <v>0.32179403878487917</v>
      </c>
      <c r="CJ129" s="3">
        <f t="shared" ca="1" si="107"/>
        <v>752</v>
      </c>
      <c r="CK129" s="3">
        <f t="shared" ca="1" si="108"/>
        <v>6.0371090729218688E-3</v>
      </c>
      <c r="CL129" s="3">
        <f t="shared" ca="1" si="109"/>
        <v>1</v>
      </c>
      <c r="CM129" s="3"/>
      <c r="CN129" s="1">
        <f t="shared" ca="1" si="110"/>
        <v>5.0941810391435354</v>
      </c>
      <c r="CO129" s="1">
        <f t="shared" ca="1" si="111"/>
        <v>0.36588573510563732</v>
      </c>
      <c r="CP129" s="1">
        <f t="shared" ca="1" si="112"/>
        <v>2</v>
      </c>
    </row>
    <row r="130" spans="2:94" x14ac:dyDescent="0.25">
      <c r="B130">
        <f t="shared" ca="1" si="57"/>
        <v>337</v>
      </c>
      <c r="C130">
        <f t="shared" ca="1" si="58"/>
        <v>3</v>
      </c>
      <c r="D130">
        <f t="shared" ca="1" si="59"/>
        <v>0.19145946074933112</v>
      </c>
      <c r="F130" s="1">
        <f t="shared" ca="1" si="60"/>
        <v>42</v>
      </c>
      <c r="G130" s="1">
        <f t="shared" ca="1" si="61"/>
        <v>2</v>
      </c>
      <c r="H130" s="1">
        <f t="shared" ca="1" si="62"/>
        <v>8</v>
      </c>
      <c r="I130" s="1"/>
      <c r="J130" s="1">
        <f t="shared" ca="1" si="63"/>
        <v>6</v>
      </c>
      <c r="K130" s="1">
        <f t="shared" ca="1" si="64"/>
        <v>1.4391030289262061</v>
      </c>
      <c r="L130" s="1">
        <f t="shared" ca="1" si="65"/>
        <v>23</v>
      </c>
      <c r="M130" s="1"/>
      <c r="N130" s="1">
        <f t="shared" ca="1" si="66"/>
        <v>638</v>
      </c>
      <c r="O130" s="1">
        <f t="shared" ca="1" si="67"/>
        <v>41</v>
      </c>
      <c r="P130" s="1"/>
      <c r="Q130" s="1">
        <f t="shared" ca="1" si="68"/>
        <v>0.63597462078351974</v>
      </c>
      <c r="R130" s="1">
        <f t="shared" ca="1" si="69"/>
        <v>947</v>
      </c>
      <c r="S130" s="1"/>
      <c r="T130" s="1">
        <f t="shared" ca="1" si="70"/>
        <v>2.9690063346210549E-2</v>
      </c>
      <c r="U130" s="1">
        <f t="shared" ca="1" si="71"/>
        <v>444</v>
      </c>
      <c r="V130" s="1">
        <f t="shared" ca="1" si="72"/>
        <v>41</v>
      </c>
      <c r="W130" s="1"/>
      <c r="X130" s="1">
        <f t="shared" ca="1" si="73"/>
        <v>9.0211045692975329</v>
      </c>
      <c r="Y130" s="1">
        <f t="shared" ca="1" si="74"/>
        <v>0.45000884229808552</v>
      </c>
      <c r="Z130" s="1">
        <f t="shared" ca="1" si="75"/>
        <v>1263</v>
      </c>
      <c r="AB130" s="1">
        <f t="shared" ca="1" si="76"/>
        <v>0.73277741571302479</v>
      </c>
      <c r="AC130" s="1">
        <f t="shared" ca="1" si="77"/>
        <v>737</v>
      </c>
      <c r="AD130" s="1">
        <f t="shared" ca="1" si="78"/>
        <v>6.404834892415774E-3</v>
      </c>
      <c r="AE130" s="1"/>
      <c r="AF130" s="1">
        <f t="shared" ca="1" si="79"/>
        <v>0.1005135927037256</v>
      </c>
      <c r="AG130" s="1">
        <f t="shared" ca="1" si="80"/>
        <v>918</v>
      </c>
      <c r="AH130" s="1">
        <f t="shared" ca="1" si="81"/>
        <v>7.735682936024414E-3</v>
      </c>
      <c r="AJ130" s="1">
        <f t="shared" ca="1" si="82"/>
        <v>3.7434636324458648E-2</v>
      </c>
      <c r="AK130" s="1">
        <f t="shared" ca="1" si="83"/>
        <v>2.9156657507282994E-3</v>
      </c>
      <c r="AL130" s="1"/>
      <c r="AM130" s="1">
        <f t="shared" ca="1" si="84"/>
        <v>0.11520568332524372</v>
      </c>
      <c r="AN130" s="1">
        <f t="shared" ca="1" si="85"/>
        <v>21</v>
      </c>
      <c r="AO130" s="1">
        <f t="shared" ca="1" si="86"/>
        <v>9</v>
      </c>
      <c r="AQ130" s="1">
        <f t="shared" ca="1" si="87"/>
        <v>72</v>
      </c>
      <c r="AR130" s="1">
        <f t="shared" ca="1" si="88"/>
        <v>8</v>
      </c>
      <c r="AS130" s="1">
        <f t="shared" ca="1" si="89"/>
        <v>57</v>
      </c>
      <c r="AU130" s="1">
        <f t="shared" ca="1" si="90"/>
        <v>313</v>
      </c>
      <c r="AV130" s="1">
        <f t="shared" ca="1" si="91"/>
        <v>10</v>
      </c>
      <c r="AW130" s="1">
        <f t="shared" ca="1" si="92"/>
        <v>0.12946237908016228</v>
      </c>
      <c r="AY130" s="1">
        <f t="shared" ca="1" si="93"/>
        <v>1.1980620487247702</v>
      </c>
      <c r="AZ130" s="1">
        <f t="shared" ca="1" si="94"/>
        <v>57</v>
      </c>
      <c r="BA130" s="1">
        <f t="shared" ca="1" si="95"/>
        <v>9.3233606684393188E-3</v>
      </c>
      <c r="BV130" s="1">
        <f t="shared" ca="1" si="96"/>
        <v>5.9552610069009353E-2</v>
      </c>
      <c r="BW130" s="1">
        <f t="shared" ca="1" si="97"/>
        <v>695</v>
      </c>
      <c r="BX130" s="1">
        <f t="shared" ca="1" si="98"/>
        <v>1.5505189780968764E-3</v>
      </c>
      <c r="BY130" s="1">
        <f t="shared" ca="1" si="99"/>
        <v>3.648195631441107E-2</v>
      </c>
      <c r="BZ130" s="1">
        <f t="shared" ca="1" si="100"/>
        <v>0.86534037626597515</v>
      </c>
      <c r="CB130" s="1">
        <f t="shared" ca="1" si="101"/>
        <v>467</v>
      </c>
      <c r="CC130" s="1">
        <f t="shared" ca="1" si="102"/>
        <v>11</v>
      </c>
      <c r="CD130" s="1">
        <f t="shared" ca="1" si="103"/>
        <v>0.12897668167489768</v>
      </c>
      <c r="CE130" s="1">
        <f t="shared" ca="1" si="113"/>
        <v>0.62425975745853224</v>
      </c>
      <c r="CF130" s="1">
        <f t="shared" ca="1" si="113"/>
        <v>0.63021435652226621</v>
      </c>
      <c r="CH130" s="3">
        <f t="shared" ca="1" si="105"/>
        <v>0.60856478405607151</v>
      </c>
      <c r="CI130" s="3">
        <f t="shared" ca="1" si="106"/>
        <v>7.8206833793142E-2</v>
      </c>
      <c r="CJ130" s="3">
        <f t="shared" ca="1" si="107"/>
        <v>1333</v>
      </c>
      <c r="CK130" s="3">
        <f t="shared" ca="1" si="108"/>
        <v>2.3764355797843881E-3</v>
      </c>
      <c r="CL130" s="3">
        <f t="shared" ca="1" si="109"/>
        <v>0</v>
      </c>
      <c r="CM130" s="3"/>
      <c r="CN130" s="1">
        <f t="shared" ca="1" si="110"/>
        <v>17.164377045191682</v>
      </c>
      <c r="CO130" s="1">
        <f t="shared" ca="1" si="111"/>
        <v>4.5098394087691784E-2</v>
      </c>
      <c r="CP130" s="1">
        <f t="shared" ca="1" si="112"/>
        <v>2</v>
      </c>
    </row>
    <row r="131" spans="2:94" x14ac:dyDescent="0.25">
      <c r="B131">
        <f t="shared" ca="1" si="57"/>
        <v>620</v>
      </c>
      <c r="C131">
        <f t="shared" ca="1" si="58"/>
        <v>6</v>
      </c>
      <c r="D131">
        <f t="shared" ca="1" si="59"/>
        <v>0.10839625963720259</v>
      </c>
      <c r="F131" s="1">
        <f t="shared" ca="1" si="60"/>
        <v>5</v>
      </c>
      <c r="G131" s="1">
        <f t="shared" ca="1" si="61"/>
        <v>19</v>
      </c>
      <c r="H131" s="1">
        <f t="shared" ca="1" si="62"/>
        <v>14</v>
      </c>
      <c r="I131" s="1"/>
      <c r="J131" s="1">
        <f t="shared" ca="1" si="63"/>
        <v>11</v>
      </c>
      <c r="K131" s="1">
        <f t="shared" ca="1" si="64"/>
        <v>2.7072602773883681</v>
      </c>
      <c r="L131" s="1">
        <f t="shared" ca="1" si="65"/>
        <v>28</v>
      </c>
      <c r="M131" s="1"/>
      <c r="N131" s="1">
        <f t="shared" ca="1" si="66"/>
        <v>297</v>
      </c>
      <c r="O131" s="1">
        <f t="shared" ca="1" si="67"/>
        <v>40</v>
      </c>
      <c r="P131" s="1"/>
      <c r="Q131" s="1">
        <f t="shared" ca="1" si="68"/>
        <v>0.47487455330974915</v>
      </c>
      <c r="R131" s="1">
        <f t="shared" ca="1" si="69"/>
        <v>876</v>
      </c>
      <c r="S131" s="1"/>
      <c r="T131" s="1">
        <f t="shared" ca="1" si="70"/>
        <v>6.3437445263823805E-2</v>
      </c>
      <c r="U131" s="1">
        <f t="shared" ca="1" si="71"/>
        <v>278</v>
      </c>
      <c r="V131" s="1">
        <f t="shared" ca="1" si="72"/>
        <v>45</v>
      </c>
      <c r="W131" s="1"/>
      <c r="X131" s="1">
        <f t="shared" ca="1" si="73"/>
        <v>3.1922011803233512</v>
      </c>
      <c r="Y131" s="1">
        <f t="shared" ca="1" si="74"/>
        <v>0.81826177187566584</v>
      </c>
      <c r="Z131" s="1">
        <f t="shared" ca="1" si="75"/>
        <v>644</v>
      </c>
      <c r="AB131" s="1">
        <f t="shared" ca="1" si="76"/>
        <v>0.86372892801369483</v>
      </c>
      <c r="AC131" s="1">
        <f t="shared" ca="1" si="77"/>
        <v>234</v>
      </c>
      <c r="AD131" s="1">
        <f t="shared" ca="1" si="78"/>
        <v>4.3655525438775367E-3</v>
      </c>
      <c r="AE131" s="1"/>
      <c r="AF131" s="1">
        <f t="shared" ca="1" si="79"/>
        <v>0.85898088374582582</v>
      </c>
      <c r="AG131" s="1">
        <f t="shared" ca="1" si="80"/>
        <v>931</v>
      </c>
      <c r="AH131" s="1">
        <f t="shared" ca="1" si="81"/>
        <v>4.083009798740829E-3</v>
      </c>
      <c r="AJ131" s="1">
        <f t="shared" ca="1" si="82"/>
        <v>0.54479038896097842</v>
      </c>
      <c r="AK131" s="1">
        <f t="shared" ca="1" si="83"/>
        <v>7.3832456990284645E-3</v>
      </c>
      <c r="AL131" s="1"/>
      <c r="AM131" s="1">
        <f t="shared" ca="1" si="84"/>
        <v>5.7168818443881213E-2</v>
      </c>
      <c r="AN131" s="1">
        <f t="shared" ca="1" si="85"/>
        <v>48</v>
      </c>
      <c r="AO131" s="1">
        <f t="shared" ca="1" si="86"/>
        <v>11</v>
      </c>
      <c r="AQ131" s="1">
        <f t="shared" ca="1" si="87"/>
        <v>142</v>
      </c>
      <c r="AR131" s="1">
        <f t="shared" ca="1" si="88"/>
        <v>8</v>
      </c>
      <c r="AS131" s="1">
        <f t="shared" ca="1" si="89"/>
        <v>99</v>
      </c>
      <c r="AU131" s="1">
        <f t="shared" ca="1" si="90"/>
        <v>199</v>
      </c>
      <c r="AV131" s="1">
        <f t="shared" ca="1" si="91"/>
        <v>8</v>
      </c>
      <c r="AW131" s="1">
        <f t="shared" ca="1" si="92"/>
        <v>8.5027834306823341E-2</v>
      </c>
      <c r="AY131" s="1">
        <f t="shared" ca="1" si="93"/>
        <v>1.8740075603925264</v>
      </c>
      <c r="AZ131" s="1">
        <f t="shared" ca="1" si="94"/>
        <v>291</v>
      </c>
      <c r="BA131" s="1">
        <f t="shared" ca="1" si="95"/>
        <v>4.6328202217850419E-3</v>
      </c>
      <c r="BV131" s="1">
        <f t="shared" ca="1" si="96"/>
        <v>5.8115887564147185E-2</v>
      </c>
      <c r="BW131" s="1">
        <f t="shared" ca="1" si="97"/>
        <v>331</v>
      </c>
      <c r="BX131" s="1">
        <f t="shared" ca="1" si="98"/>
        <v>3.1532846207791925E-4</v>
      </c>
      <c r="BY131" s="1">
        <f t="shared" ca="1" si="99"/>
        <v>1.0927701304365694E-2</v>
      </c>
      <c r="BZ131" s="1">
        <f t="shared" ca="1" si="100"/>
        <v>0.20683723625650363</v>
      </c>
      <c r="CB131" s="1">
        <f t="shared" ca="1" si="101"/>
        <v>120</v>
      </c>
      <c r="CC131" s="1">
        <f t="shared" ca="1" si="102"/>
        <v>4</v>
      </c>
      <c r="CD131" s="1">
        <f t="shared" ca="1" si="103"/>
        <v>0.17934763239157825</v>
      </c>
      <c r="CE131" s="1">
        <f t="shared" ca="1" si="113"/>
        <v>0.89037940384823755</v>
      </c>
      <c r="CF131" s="1">
        <f t="shared" ca="1" si="113"/>
        <v>0.57776432755536233</v>
      </c>
      <c r="CH131" s="3">
        <f t="shared" ca="1" si="105"/>
        <v>0.46597067348715521</v>
      </c>
      <c r="CI131" s="3">
        <f t="shared" ca="1" si="106"/>
        <v>8.0139861824297054E-2</v>
      </c>
      <c r="CJ131" s="3">
        <f t="shared" ca="1" si="107"/>
        <v>1146</v>
      </c>
      <c r="CK131" s="3">
        <f t="shared" ca="1" si="108"/>
        <v>8.5605298391265919E-3</v>
      </c>
      <c r="CL131" s="3">
        <f t="shared" ca="1" si="109"/>
        <v>1</v>
      </c>
      <c r="CM131" s="3"/>
      <c r="CN131" s="1">
        <f t="shared" ca="1" si="110"/>
        <v>8.8175181967218954</v>
      </c>
      <c r="CO131" s="1">
        <f t="shared" ca="1" si="111"/>
        <v>5.6056091955841457E-2</v>
      </c>
      <c r="CP131" s="1">
        <f t="shared" ca="1" si="112"/>
        <v>2</v>
      </c>
    </row>
    <row r="132" spans="2:94" x14ac:dyDescent="0.25">
      <c r="B132">
        <f t="shared" ref="B132:B195" ca="1" si="114">RANDBETWEEN(15,1000)</f>
        <v>489</v>
      </c>
      <c r="C132">
        <f t="shared" ref="C132:C195" ca="1" si="115">RANDBETWEEN(2,52)</f>
        <v>41</v>
      </c>
      <c r="D132">
        <f t="shared" ref="D132:D195" ca="1" si="116">RAND()*(0.3-0.01)+0.01</f>
        <v>0.13095117677221468</v>
      </c>
      <c r="F132" s="1">
        <f t="shared" ref="F132:F195" ca="1" si="117">RANDBETWEEN(2,52)</f>
        <v>22</v>
      </c>
      <c r="G132" s="1">
        <f t="shared" ref="G132:G195" ca="1" si="118">RANDBETWEEN(2,30)</f>
        <v>20</v>
      </c>
      <c r="H132" s="1">
        <f t="shared" ref="H132:H195" ca="1" si="119">RANDBETWEEN(1,15)</f>
        <v>15</v>
      </c>
      <c r="I132" s="1"/>
      <c r="J132" s="1">
        <f t="shared" ref="J132:J195" ca="1" si="120">RANDBETWEEN(1,39)</f>
        <v>18</v>
      </c>
      <c r="K132" s="1">
        <f t="shared" ref="K132:K195" ca="1" si="121">RAND()*(3-1)+1</f>
        <v>2.8644307576042367</v>
      </c>
      <c r="L132" s="1">
        <f t="shared" ref="L132:L195" ca="1" si="122">RANDBETWEEN(2,35)</f>
        <v>16</v>
      </c>
      <c r="M132" s="1"/>
      <c r="N132" s="1">
        <f t="shared" ref="N132:N195" ca="1" si="123">RANDBETWEEN(15,1000)</f>
        <v>269</v>
      </c>
      <c r="O132" s="1">
        <f t="shared" ref="O132:O195" ca="1" si="124">RANDBETWEEN(2,52)</f>
        <v>33</v>
      </c>
      <c r="P132" s="1"/>
      <c r="Q132" s="1">
        <f t="shared" ref="Q132:Q195" ca="1" si="125">RAND()*(5-0.01)+0.01</f>
        <v>4.5546991073711034</v>
      </c>
      <c r="R132" s="1">
        <f t="shared" ref="R132:R195" ca="1" si="126">RANDBETWEEN(200,1200)</f>
        <v>255</v>
      </c>
      <c r="S132" s="1"/>
      <c r="T132" s="1">
        <f t="shared" ref="T132:T195" ca="1" si="127">RAND()*(0.2-0.01)+0.01</f>
        <v>7.497655246686323E-2</v>
      </c>
      <c r="U132" s="1">
        <f t="shared" ref="U132:U195" ca="1" si="128">RANDBETWEEN(50,450)</f>
        <v>379</v>
      </c>
      <c r="V132" s="1">
        <f t="shared" ref="V132:V195" ca="1" si="129">RANDBETWEEN(2,52)</f>
        <v>28</v>
      </c>
      <c r="W132" s="1"/>
      <c r="X132" s="1">
        <f t="shared" ref="X132:X195" ca="1" si="130">RAND()*(10-0.01)+0.01</f>
        <v>2.9046870760303416</v>
      </c>
      <c r="Y132" s="1">
        <f t="shared" ref="Y132:Y195" ca="1" si="131">RAND()*(1-0.0001)+0.0001</f>
        <v>0.51652477965418353</v>
      </c>
      <c r="Z132" s="1">
        <f t="shared" ref="Z132:Z195" ca="1" si="132">RANDBETWEEN(100,2000)</f>
        <v>412</v>
      </c>
      <c r="AB132" s="1">
        <f t="shared" ref="AB132:AB195" ca="1" si="133">RAND()*(1-0.0001)+0.0001</f>
        <v>0.79732176654037668</v>
      </c>
      <c r="AC132" s="1">
        <f t="shared" ref="AC132:AC195" ca="1" si="134">RANDBETWEEN(100,1000)</f>
        <v>697</v>
      </c>
      <c r="AD132" s="1">
        <f t="shared" ref="AD132:AD195" ca="1" si="135">RAND()*(0.01-0.00001)+0.00001</f>
        <v>1.9685734000772104E-3</v>
      </c>
      <c r="AE132" s="1"/>
      <c r="AF132" s="1">
        <f t="shared" ref="AF132:AF195" ca="1" si="136">RAND()*(0.9-0.1)+0.1</f>
        <v>0.39321380359153435</v>
      </c>
      <c r="AG132" s="1">
        <f t="shared" ref="AG132:AG195" ca="1" si="137">RANDBETWEEN(100,1000)</f>
        <v>735</v>
      </c>
      <c r="AH132" s="1">
        <f t="shared" ref="AH132:AH195" ca="1" si="138">RAND()*(0.01-0.00001)+0.00001</f>
        <v>5.5488197598786313E-3</v>
      </c>
      <c r="AJ132" s="1">
        <f t="shared" ref="AJ132:AJ195" ca="1" si="139">RAND()*(1-0)+0</f>
        <v>0.68124471740903114</v>
      </c>
      <c r="AK132" s="1">
        <f t="shared" ref="AK132:AK195" ca="1" si="140">RAND()*(0.01-0.00001)+0.00001</f>
        <v>9.2200581197071554E-3</v>
      </c>
      <c r="AL132" s="1"/>
      <c r="AM132" s="1">
        <f t="shared" ref="AM132:AM195" ca="1" si="141">RAND()*(0.2-0.005)+0.005</f>
        <v>0.10389812321890801</v>
      </c>
      <c r="AN132" s="1">
        <f t="shared" ref="AN132:AN195" ca="1" si="142">RANDBETWEEN(10,80)</f>
        <v>48</v>
      </c>
      <c r="AO132" s="1">
        <f t="shared" ref="AO132:AO195" ca="1" si="143">RANDBETWEEN(-1,20)</f>
        <v>0</v>
      </c>
      <c r="AQ132" s="1">
        <f t="shared" ref="AQ132:AQ195" ca="1" si="144">RANDBETWEEN(10,200)</f>
        <v>97</v>
      </c>
      <c r="AR132" s="1">
        <f t="shared" ref="AR132:AR195" ca="1" si="145">RANDBETWEEN(0,10)</f>
        <v>8</v>
      </c>
      <c r="AS132" s="1">
        <f t="shared" ref="AS132:AS195" ca="1" si="146">RANDBETWEEN(1,100)</f>
        <v>18</v>
      </c>
      <c r="AU132" s="1">
        <f t="shared" ref="AU132:AU195" ca="1" si="147">RANDBETWEEN(50,400)</f>
        <v>389</v>
      </c>
      <c r="AV132" s="1">
        <f t="shared" ref="AV132:AV195" ca="1" si="148">RANDBETWEEN(2,10)</f>
        <v>8</v>
      </c>
      <c r="AW132" s="1">
        <f t="shared" ref="AW132:AW195" ca="1" si="149">RAND()*(0.2-0.01)+0.01</f>
        <v>3.5208751892927229E-2</v>
      </c>
      <c r="AY132" s="1">
        <f t="shared" ref="AY132:AY195" ca="1" si="150">RAND()*(2-1.1)+1.1</f>
        <v>1.6028918415386828</v>
      </c>
      <c r="AZ132" s="1">
        <f t="shared" ref="AZ132:AZ195" ca="1" si="151">RANDBETWEEN(50,500)</f>
        <v>140</v>
      </c>
      <c r="BA132" s="1">
        <f t="shared" ref="BA132:BA195" ca="1" si="152">RAND()*(0.01-0.00001)+0.00001</f>
        <v>5.5663436740211831E-3</v>
      </c>
      <c r="BV132" s="1">
        <f t="shared" ref="BV132:BV195" ca="1" si="153">RAND()*(1-0.0001)+0.0001</f>
        <v>0.99436531655258975</v>
      </c>
      <c r="BW132" s="1">
        <f t="shared" ref="BW132:BW195" ca="1" si="154">RANDBETWEEN(100,1000)</f>
        <v>797</v>
      </c>
      <c r="BX132" s="1">
        <f t="shared" ref="BX132:BX195" ca="1" si="155">RAND()*(0.01-0.00001)+0.00001</f>
        <v>4.1224206177111582E-3</v>
      </c>
      <c r="BY132" s="1">
        <f t="shared" ref="BY132:BY195" ca="1" si="156">RAND()*(0.1-0.0001)+0.0001</f>
        <v>6.8068470577030665E-2</v>
      </c>
      <c r="BZ132" s="1">
        <f t="shared" ref="BZ132:BZ195" ca="1" si="157">RAND()*(1-0)+0</f>
        <v>0.69698758934651528</v>
      </c>
      <c r="CB132" s="1">
        <f t="shared" ref="CB132:CB195" ca="1" si="158">RANDBETWEEN(50,500)</f>
        <v>192</v>
      </c>
      <c r="CC132" s="1">
        <f t="shared" ref="CC132:CC195" ca="1" si="159">RANDBETWEEN(3,15)</f>
        <v>9</v>
      </c>
      <c r="CD132" s="1">
        <f t="shared" ref="CD132:CD195" ca="1" si="160">RAND()*(0.3-0.01)+0.01</f>
        <v>0.2920027880685665</v>
      </c>
      <c r="CE132" s="1">
        <f t="shared" ref="CE132:CF163" ca="1" si="161">RAND()*(1-0.5)+0.5</f>
        <v>0.63062147718835582</v>
      </c>
      <c r="CF132" s="1">
        <f t="shared" ca="1" si="161"/>
        <v>0.60902877810398803</v>
      </c>
      <c r="CH132" s="3">
        <f t="shared" ref="CH132:CH195" ca="1" si="162">RAND()*(1-0.0001)+0.0001</f>
        <v>0.29124682341182423</v>
      </c>
      <c r="CI132" s="3">
        <f t="shared" ref="CI132:CI195" ca="1" si="163">RAND()*(0.99-0.01)+0.01</f>
        <v>0.82281848425746629</v>
      </c>
      <c r="CJ132" s="3">
        <f t="shared" ref="CJ132:CJ195" ca="1" si="164">RANDBETWEEN(100,2000)</f>
        <v>1189</v>
      </c>
      <c r="CK132" s="3">
        <f t="shared" ref="CK132:CK195" ca="1" si="165">RAND()*(0.01-0.000001)+0.000001</f>
        <v>2.248337730490248E-4</v>
      </c>
      <c r="CL132" s="3">
        <f t="shared" ref="CL132:CL195" ca="1" si="166">RANDBETWEEN(0,1)</f>
        <v>1</v>
      </c>
      <c r="CM132" s="3"/>
      <c r="CN132" s="1">
        <f t="shared" ref="CN132:CN195" ca="1" si="167">RAND()*(20-0.1)+0.1</f>
        <v>18.829955329597333</v>
      </c>
      <c r="CO132" s="1">
        <f t="shared" ref="CO132:CO195" ca="1" si="168">RAND()*(0.5-0.001)+0.001</f>
        <v>0.41936843241358723</v>
      </c>
      <c r="CP132" s="1">
        <f t="shared" ref="CP132:CP195" ca="1" si="169">RANDBETWEEN(1,5)</f>
        <v>5</v>
      </c>
    </row>
    <row r="133" spans="2:94" x14ac:dyDescent="0.25">
      <c r="B133">
        <f t="shared" ca="1" si="114"/>
        <v>482</v>
      </c>
      <c r="C133">
        <f t="shared" ca="1" si="115"/>
        <v>47</v>
      </c>
      <c r="D133">
        <f t="shared" ca="1" si="116"/>
        <v>0.16570152693522805</v>
      </c>
      <c r="F133" s="1">
        <f t="shared" ca="1" si="117"/>
        <v>2</v>
      </c>
      <c r="G133" s="1">
        <f t="shared" ca="1" si="118"/>
        <v>12</v>
      </c>
      <c r="H133" s="1">
        <f t="shared" ca="1" si="119"/>
        <v>4</v>
      </c>
      <c r="I133" s="1"/>
      <c r="J133" s="1">
        <f t="shared" ca="1" si="120"/>
        <v>29</v>
      </c>
      <c r="K133" s="1">
        <f t="shared" ca="1" si="121"/>
        <v>2.1727050329086275</v>
      </c>
      <c r="L133" s="1">
        <f t="shared" ca="1" si="122"/>
        <v>7</v>
      </c>
      <c r="M133" s="1"/>
      <c r="N133" s="1">
        <f t="shared" ca="1" si="123"/>
        <v>446</v>
      </c>
      <c r="O133" s="1">
        <f t="shared" ca="1" si="124"/>
        <v>29</v>
      </c>
      <c r="P133" s="1"/>
      <c r="Q133" s="1">
        <f t="shared" ca="1" si="125"/>
        <v>3.9029611591846018</v>
      </c>
      <c r="R133" s="1">
        <f t="shared" ca="1" si="126"/>
        <v>628</v>
      </c>
      <c r="S133" s="1"/>
      <c r="T133" s="1">
        <f t="shared" ca="1" si="127"/>
        <v>0.12296772714341646</v>
      </c>
      <c r="U133" s="1">
        <f t="shared" ca="1" si="128"/>
        <v>388</v>
      </c>
      <c r="V133" s="1">
        <f t="shared" ca="1" si="129"/>
        <v>39</v>
      </c>
      <c r="W133" s="1"/>
      <c r="X133" s="1">
        <f t="shared" ca="1" si="130"/>
        <v>9.2754315013042596</v>
      </c>
      <c r="Y133" s="1">
        <f t="shared" ca="1" si="131"/>
        <v>0.30413606867654641</v>
      </c>
      <c r="Z133" s="1">
        <f t="shared" ca="1" si="132"/>
        <v>1373</v>
      </c>
      <c r="AB133" s="1">
        <f t="shared" ca="1" si="133"/>
        <v>0.99021434448296963</v>
      </c>
      <c r="AC133" s="1">
        <f t="shared" ca="1" si="134"/>
        <v>971</v>
      </c>
      <c r="AD133" s="1">
        <f t="shared" ca="1" si="135"/>
        <v>8.6715994840846668E-3</v>
      </c>
      <c r="AE133" s="1"/>
      <c r="AF133" s="1">
        <f t="shared" ca="1" si="136"/>
        <v>0.45987102984557182</v>
      </c>
      <c r="AG133" s="1">
        <f t="shared" ca="1" si="137"/>
        <v>395</v>
      </c>
      <c r="AH133" s="1">
        <f t="shared" ca="1" si="138"/>
        <v>3.5497528963384928E-3</v>
      </c>
      <c r="AJ133" s="1">
        <f t="shared" ca="1" si="139"/>
        <v>0.929151898783383</v>
      </c>
      <c r="AK133" s="1">
        <f t="shared" ca="1" si="140"/>
        <v>9.3271963601291902E-4</v>
      </c>
      <c r="AL133" s="1"/>
      <c r="AM133" s="1">
        <f t="shared" ca="1" si="141"/>
        <v>4.1309195826642775E-2</v>
      </c>
      <c r="AN133" s="1">
        <f t="shared" ca="1" si="142"/>
        <v>70</v>
      </c>
      <c r="AO133" s="1">
        <f t="shared" ca="1" si="143"/>
        <v>20</v>
      </c>
      <c r="AQ133" s="1">
        <f t="shared" ca="1" si="144"/>
        <v>185</v>
      </c>
      <c r="AR133" s="1">
        <f t="shared" ca="1" si="145"/>
        <v>9</v>
      </c>
      <c r="AS133" s="1">
        <f t="shared" ca="1" si="146"/>
        <v>29</v>
      </c>
      <c r="AU133" s="1">
        <f t="shared" ca="1" si="147"/>
        <v>388</v>
      </c>
      <c r="AV133" s="1">
        <f t="shared" ca="1" si="148"/>
        <v>4</v>
      </c>
      <c r="AW133" s="1">
        <f t="shared" ca="1" si="149"/>
        <v>0.17880370595672113</v>
      </c>
      <c r="AY133" s="1">
        <f t="shared" ca="1" si="150"/>
        <v>1.33631140426913</v>
      </c>
      <c r="AZ133" s="1">
        <f t="shared" ca="1" si="151"/>
        <v>460</v>
      </c>
      <c r="BA133" s="1">
        <f t="shared" ca="1" si="152"/>
        <v>3.9413855509126848E-3</v>
      </c>
      <c r="BV133" s="1">
        <f t="shared" ca="1" si="153"/>
        <v>0.57879963121735312</v>
      </c>
      <c r="BW133" s="1">
        <f t="shared" ca="1" si="154"/>
        <v>801</v>
      </c>
      <c r="BX133" s="1">
        <f t="shared" ca="1" si="155"/>
        <v>6.7416614428219626E-3</v>
      </c>
      <c r="BY133" s="1">
        <f t="shared" ca="1" si="156"/>
        <v>3.7296393554051843E-2</v>
      </c>
      <c r="BZ133" s="1">
        <f t="shared" ca="1" si="157"/>
        <v>0.59094876127919593</v>
      </c>
      <c r="CB133" s="1">
        <f t="shared" ca="1" si="158"/>
        <v>434</v>
      </c>
      <c r="CC133" s="1">
        <f t="shared" ca="1" si="159"/>
        <v>10</v>
      </c>
      <c r="CD133" s="1">
        <f t="shared" ca="1" si="160"/>
        <v>9.9109115007060211E-2</v>
      </c>
      <c r="CE133" s="1">
        <f t="shared" ca="1" si="161"/>
        <v>0.95978576643861624</v>
      </c>
      <c r="CF133" s="1">
        <f t="shared" ca="1" si="161"/>
        <v>0.68196435072498707</v>
      </c>
      <c r="CH133" s="3">
        <f t="shared" ca="1" si="162"/>
        <v>0.89254694594854933</v>
      </c>
      <c r="CI133" s="3">
        <f t="shared" ca="1" si="163"/>
        <v>0.77948261731059543</v>
      </c>
      <c r="CJ133" s="3">
        <f t="shared" ca="1" si="164"/>
        <v>1486</v>
      </c>
      <c r="CK133" s="3">
        <f t="shared" ca="1" si="165"/>
        <v>4.0822610427336033E-3</v>
      </c>
      <c r="CL133" s="3">
        <f t="shared" ca="1" si="166"/>
        <v>1</v>
      </c>
      <c r="CM133" s="3"/>
      <c r="CN133" s="1">
        <f t="shared" ca="1" si="167"/>
        <v>13.603636690364553</v>
      </c>
      <c r="CO133" s="1">
        <f t="shared" ca="1" si="168"/>
        <v>0.45169835888307391</v>
      </c>
      <c r="CP133" s="1">
        <f t="shared" ca="1" si="169"/>
        <v>5</v>
      </c>
    </row>
    <row r="134" spans="2:94" x14ac:dyDescent="0.25">
      <c r="B134">
        <f t="shared" ca="1" si="114"/>
        <v>134</v>
      </c>
      <c r="C134">
        <f t="shared" ca="1" si="115"/>
        <v>13</v>
      </c>
      <c r="D134">
        <f t="shared" ca="1" si="116"/>
        <v>9.0921317808234606E-2</v>
      </c>
      <c r="F134" s="1">
        <f t="shared" ca="1" si="117"/>
        <v>27</v>
      </c>
      <c r="G134" s="1">
        <f t="shared" ca="1" si="118"/>
        <v>10</v>
      </c>
      <c r="H134" s="1">
        <f t="shared" ca="1" si="119"/>
        <v>15</v>
      </c>
      <c r="I134" s="1"/>
      <c r="J134" s="1">
        <f t="shared" ca="1" si="120"/>
        <v>15</v>
      </c>
      <c r="K134" s="1">
        <f t="shared" ca="1" si="121"/>
        <v>2.5925972977764844</v>
      </c>
      <c r="L134" s="1">
        <f t="shared" ca="1" si="122"/>
        <v>28</v>
      </c>
      <c r="M134" s="1"/>
      <c r="N134" s="1">
        <f t="shared" ca="1" si="123"/>
        <v>862</v>
      </c>
      <c r="O134" s="1">
        <f t="shared" ca="1" si="124"/>
        <v>39</v>
      </c>
      <c r="P134" s="1"/>
      <c r="Q134" s="1">
        <f t="shared" ca="1" si="125"/>
        <v>0.72845506015022377</v>
      </c>
      <c r="R134" s="1">
        <f t="shared" ca="1" si="126"/>
        <v>366</v>
      </c>
      <c r="S134" s="1"/>
      <c r="T134" s="1">
        <f t="shared" ca="1" si="127"/>
        <v>4.0153106250240364E-2</v>
      </c>
      <c r="U134" s="1">
        <f t="shared" ca="1" si="128"/>
        <v>196</v>
      </c>
      <c r="V134" s="1">
        <f t="shared" ca="1" si="129"/>
        <v>28</v>
      </c>
      <c r="W134" s="1"/>
      <c r="X134" s="1">
        <f t="shared" ca="1" si="130"/>
        <v>4.2107755813830954</v>
      </c>
      <c r="Y134" s="1">
        <f t="shared" ca="1" si="131"/>
        <v>0.94360180822690987</v>
      </c>
      <c r="Z134" s="1">
        <f t="shared" ca="1" si="132"/>
        <v>1834</v>
      </c>
      <c r="AB134" s="1">
        <f t="shared" ca="1" si="133"/>
        <v>0.7905100763787356</v>
      </c>
      <c r="AC134" s="1">
        <f t="shared" ca="1" si="134"/>
        <v>331</v>
      </c>
      <c r="AD134" s="1">
        <f t="shared" ca="1" si="135"/>
        <v>2.4690311666177712E-3</v>
      </c>
      <c r="AE134" s="1"/>
      <c r="AF134" s="1">
        <f t="shared" ca="1" si="136"/>
        <v>0.86568908249219256</v>
      </c>
      <c r="AG134" s="1">
        <f t="shared" ca="1" si="137"/>
        <v>635</v>
      </c>
      <c r="AH134" s="1">
        <f t="shared" ca="1" si="138"/>
        <v>5.569499284876829E-3</v>
      </c>
      <c r="AJ134" s="1">
        <f t="shared" ca="1" si="139"/>
        <v>0.4187744976756026</v>
      </c>
      <c r="AK134" s="1">
        <f t="shared" ca="1" si="140"/>
        <v>5.9577841829671456E-3</v>
      </c>
      <c r="AL134" s="1"/>
      <c r="AM134" s="1">
        <f t="shared" ca="1" si="141"/>
        <v>8.9909616720880749E-3</v>
      </c>
      <c r="AN134" s="1">
        <f t="shared" ca="1" si="142"/>
        <v>52</v>
      </c>
      <c r="AO134" s="1">
        <f t="shared" ca="1" si="143"/>
        <v>19</v>
      </c>
      <c r="AQ134" s="1">
        <f t="shared" ca="1" si="144"/>
        <v>20</v>
      </c>
      <c r="AR134" s="1">
        <f t="shared" ca="1" si="145"/>
        <v>9</v>
      </c>
      <c r="AS134" s="1">
        <f t="shared" ca="1" si="146"/>
        <v>46</v>
      </c>
      <c r="AU134" s="1">
        <f t="shared" ca="1" si="147"/>
        <v>280</v>
      </c>
      <c r="AV134" s="1">
        <f t="shared" ca="1" si="148"/>
        <v>4</v>
      </c>
      <c r="AW134" s="1">
        <f t="shared" ca="1" si="149"/>
        <v>0.13006438452341154</v>
      </c>
      <c r="AY134" s="1">
        <f t="shared" ca="1" si="150"/>
        <v>1.9077592149528768</v>
      </c>
      <c r="AZ134" s="1">
        <f t="shared" ca="1" si="151"/>
        <v>316</v>
      </c>
      <c r="BA134" s="1">
        <f t="shared" ca="1" si="152"/>
        <v>8.9239922841477005E-3</v>
      </c>
      <c r="BV134" s="1">
        <f t="shared" ca="1" si="153"/>
        <v>0.89070580957823442</v>
      </c>
      <c r="BW134" s="1">
        <f t="shared" ca="1" si="154"/>
        <v>779</v>
      </c>
      <c r="BX134" s="1">
        <f t="shared" ca="1" si="155"/>
        <v>3.2666094376097252E-4</v>
      </c>
      <c r="BY134" s="1">
        <f t="shared" ca="1" si="156"/>
        <v>7.0136393318226187E-2</v>
      </c>
      <c r="BZ134" s="1">
        <f t="shared" ca="1" si="157"/>
        <v>0.96776742985523323</v>
      </c>
      <c r="CB134" s="1">
        <f t="shared" ca="1" si="158"/>
        <v>433</v>
      </c>
      <c r="CC134" s="1">
        <f t="shared" ca="1" si="159"/>
        <v>4</v>
      </c>
      <c r="CD134" s="1">
        <f t="shared" ca="1" si="160"/>
        <v>0.17792131245573145</v>
      </c>
      <c r="CE134" s="1">
        <f t="shared" ca="1" si="161"/>
        <v>0.90033094691270521</v>
      </c>
      <c r="CF134" s="1">
        <f t="shared" ca="1" si="161"/>
        <v>0.89548484552428309</v>
      </c>
      <c r="CH134" s="3">
        <f t="shared" ca="1" si="162"/>
        <v>0.75657114934221004</v>
      </c>
      <c r="CI134" s="3">
        <f t="shared" ca="1" si="163"/>
        <v>0.8154223093338111</v>
      </c>
      <c r="CJ134" s="3">
        <f t="shared" ca="1" si="164"/>
        <v>1751</v>
      </c>
      <c r="CK134" s="3">
        <f t="shared" ca="1" si="165"/>
        <v>6.9091100154562218E-3</v>
      </c>
      <c r="CL134" s="3">
        <f t="shared" ca="1" si="166"/>
        <v>0</v>
      </c>
      <c r="CM134" s="3"/>
      <c r="CN134" s="1">
        <f t="shared" ca="1" si="167"/>
        <v>3.6355788208146445</v>
      </c>
      <c r="CO134" s="1">
        <f t="shared" ca="1" si="168"/>
        <v>3.9370838330331469E-2</v>
      </c>
      <c r="CP134" s="1">
        <f t="shared" ca="1" si="169"/>
        <v>1</v>
      </c>
    </row>
    <row r="135" spans="2:94" x14ac:dyDescent="0.25">
      <c r="B135">
        <f t="shared" ca="1" si="114"/>
        <v>615</v>
      </c>
      <c r="C135">
        <f t="shared" ca="1" si="115"/>
        <v>10</v>
      </c>
      <c r="D135">
        <f t="shared" ca="1" si="116"/>
        <v>0.23766071032570055</v>
      </c>
      <c r="F135" s="1">
        <f t="shared" ca="1" si="117"/>
        <v>44</v>
      </c>
      <c r="G135" s="1">
        <f t="shared" ca="1" si="118"/>
        <v>6</v>
      </c>
      <c r="H135" s="1">
        <f t="shared" ca="1" si="119"/>
        <v>15</v>
      </c>
      <c r="I135" s="1"/>
      <c r="J135" s="1">
        <f t="shared" ca="1" si="120"/>
        <v>17</v>
      </c>
      <c r="K135" s="1">
        <f t="shared" ca="1" si="121"/>
        <v>1.0067948422059887</v>
      </c>
      <c r="L135" s="1">
        <f t="shared" ca="1" si="122"/>
        <v>27</v>
      </c>
      <c r="M135" s="1"/>
      <c r="N135" s="1">
        <f t="shared" ca="1" si="123"/>
        <v>40</v>
      </c>
      <c r="O135" s="1">
        <f t="shared" ca="1" si="124"/>
        <v>5</v>
      </c>
      <c r="P135" s="1"/>
      <c r="Q135" s="1">
        <f t="shared" ca="1" si="125"/>
        <v>1.2102736686054354</v>
      </c>
      <c r="R135" s="1">
        <f t="shared" ca="1" si="126"/>
        <v>598</v>
      </c>
      <c r="S135" s="1"/>
      <c r="T135" s="1">
        <f t="shared" ca="1" si="127"/>
        <v>0.10218781307590517</v>
      </c>
      <c r="U135" s="1">
        <f t="shared" ca="1" si="128"/>
        <v>160</v>
      </c>
      <c r="V135" s="1">
        <f t="shared" ca="1" si="129"/>
        <v>35</v>
      </c>
      <c r="W135" s="1"/>
      <c r="X135" s="1">
        <f t="shared" ca="1" si="130"/>
        <v>4.3032569734351638</v>
      </c>
      <c r="Y135" s="1">
        <f t="shared" ca="1" si="131"/>
        <v>0.57368610263188968</v>
      </c>
      <c r="Z135" s="1">
        <f t="shared" ca="1" si="132"/>
        <v>741</v>
      </c>
      <c r="AB135" s="1">
        <f t="shared" ca="1" si="133"/>
        <v>0.96389219478648691</v>
      </c>
      <c r="AC135" s="1">
        <f t="shared" ca="1" si="134"/>
        <v>643</v>
      </c>
      <c r="AD135" s="1">
        <f t="shared" ca="1" si="135"/>
        <v>8.0964099623539419E-3</v>
      </c>
      <c r="AE135" s="1"/>
      <c r="AF135" s="1">
        <f t="shared" ca="1" si="136"/>
        <v>0.65515354699700346</v>
      </c>
      <c r="AG135" s="1">
        <f t="shared" ca="1" si="137"/>
        <v>269</v>
      </c>
      <c r="AH135" s="1">
        <f t="shared" ca="1" si="138"/>
        <v>9.5312359272853205E-3</v>
      </c>
      <c r="AJ135" s="1">
        <f t="shared" ca="1" si="139"/>
        <v>5.4387367931497788E-2</v>
      </c>
      <c r="AK135" s="1">
        <f t="shared" ca="1" si="140"/>
        <v>7.1550281108676049E-3</v>
      </c>
      <c r="AL135" s="1"/>
      <c r="AM135" s="1">
        <f t="shared" ca="1" si="141"/>
        <v>0.16559469638824378</v>
      </c>
      <c r="AN135" s="1">
        <f t="shared" ca="1" si="142"/>
        <v>59</v>
      </c>
      <c r="AO135" s="1">
        <f t="shared" ca="1" si="143"/>
        <v>17</v>
      </c>
      <c r="AQ135" s="1">
        <f t="shared" ca="1" si="144"/>
        <v>13</v>
      </c>
      <c r="AR135" s="1">
        <f t="shared" ca="1" si="145"/>
        <v>4</v>
      </c>
      <c r="AS135" s="1">
        <f t="shared" ca="1" si="146"/>
        <v>4</v>
      </c>
      <c r="AU135" s="1">
        <f t="shared" ca="1" si="147"/>
        <v>65</v>
      </c>
      <c r="AV135" s="1">
        <f t="shared" ca="1" si="148"/>
        <v>5</v>
      </c>
      <c r="AW135" s="1">
        <f t="shared" ca="1" si="149"/>
        <v>7.5555079491997135E-2</v>
      </c>
      <c r="AY135" s="1">
        <f t="shared" ca="1" si="150"/>
        <v>1.9724780457399618</v>
      </c>
      <c r="AZ135" s="1">
        <f t="shared" ca="1" si="151"/>
        <v>160</v>
      </c>
      <c r="BA135" s="1">
        <f t="shared" ca="1" si="152"/>
        <v>7.5661540385115458E-3</v>
      </c>
      <c r="BV135" s="1">
        <f t="shared" ca="1" si="153"/>
        <v>0.43991387201261117</v>
      </c>
      <c r="BW135" s="1">
        <f t="shared" ca="1" si="154"/>
        <v>210</v>
      </c>
      <c r="BX135" s="1">
        <f t="shared" ca="1" si="155"/>
        <v>6.5287296564031701E-3</v>
      </c>
      <c r="BY135" s="1">
        <f t="shared" ca="1" si="156"/>
        <v>9.0799130714654785E-2</v>
      </c>
      <c r="BZ135" s="1">
        <f t="shared" ca="1" si="157"/>
        <v>0.68995884180027633</v>
      </c>
      <c r="CB135" s="1">
        <f t="shared" ca="1" si="158"/>
        <v>228</v>
      </c>
      <c r="CC135" s="1">
        <f t="shared" ca="1" si="159"/>
        <v>9</v>
      </c>
      <c r="CD135" s="1">
        <f t="shared" ca="1" si="160"/>
        <v>0.29812338745636163</v>
      </c>
      <c r="CE135" s="1">
        <f t="shared" ca="1" si="161"/>
        <v>0.58481896618222617</v>
      </c>
      <c r="CF135" s="1">
        <f t="shared" ca="1" si="161"/>
        <v>0.7120393190424994</v>
      </c>
      <c r="CH135" s="3">
        <f t="shared" ca="1" si="162"/>
        <v>0.35651857150048327</v>
      </c>
      <c r="CI135" s="3">
        <f t="shared" ca="1" si="163"/>
        <v>0.55810725605686617</v>
      </c>
      <c r="CJ135" s="3">
        <f t="shared" ca="1" si="164"/>
        <v>504</v>
      </c>
      <c r="CK135" s="3">
        <f t="shared" ca="1" si="165"/>
        <v>2.1607600040473456E-3</v>
      </c>
      <c r="CL135" s="3">
        <f t="shared" ca="1" si="166"/>
        <v>0</v>
      </c>
      <c r="CM135" s="3"/>
      <c r="CN135" s="1">
        <f t="shared" ca="1" si="167"/>
        <v>13.312037429643551</v>
      </c>
      <c r="CO135" s="1">
        <f t="shared" ca="1" si="168"/>
        <v>0.28876250233931361</v>
      </c>
      <c r="CP135" s="1">
        <f t="shared" ca="1" si="169"/>
        <v>4</v>
      </c>
    </row>
    <row r="136" spans="2:94" x14ac:dyDescent="0.25">
      <c r="B136">
        <f t="shared" ca="1" si="114"/>
        <v>529</v>
      </c>
      <c r="C136">
        <f t="shared" ca="1" si="115"/>
        <v>33</v>
      </c>
      <c r="D136">
        <f t="shared" ca="1" si="116"/>
        <v>0.20713493062480509</v>
      </c>
      <c r="F136" s="1">
        <f t="shared" ca="1" si="117"/>
        <v>46</v>
      </c>
      <c r="G136" s="1">
        <f t="shared" ca="1" si="118"/>
        <v>3</v>
      </c>
      <c r="H136" s="1">
        <f t="shared" ca="1" si="119"/>
        <v>3</v>
      </c>
      <c r="I136" s="1"/>
      <c r="J136" s="1">
        <f t="shared" ca="1" si="120"/>
        <v>17</v>
      </c>
      <c r="K136" s="1">
        <f t="shared" ca="1" si="121"/>
        <v>1.3657579563331181</v>
      </c>
      <c r="L136" s="1">
        <f t="shared" ca="1" si="122"/>
        <v>30</v>
      </c>
      <c r="M136" s="1"/>
      <c r="N136" s="1">
        <f t="shared" ca="1" si="123"/>
        <v>752</v>
      </c>
      <c r="O136" s="1">
        <f t="shared" ca="1" si="124"/>
        <v>4</v>
      </c>
      <c r="P136" s="1"/>
      <c r="Q136" s="1">
        <f t="shared" ca="1" si="125"/>
        <v>2.0069144861165715</v>
      </c>
      <c r="R136" s="1">
        <f t="shared" ca="1" si="126"/>
        <v>727</v>
      </c>
      <c r="S136" s="1"/>
      <c r="T136" s="1">
        <f t="shared" ca="1" si="127"/>
        <v>0.13406980495282816</v>
      </c>
      <c r="U136" s="1">
        <f t="shared" ca="1" si="128"/>
        <v>71</v>
      </c>
      <c r="V136" s="1">
        <f t="shared" ca="1" si="129"/>
        <v>22</v>
      </c>
      <c r="W136" s="1"/>
      <c r="X136" s="1">
        <f t="shared" ca="1" si="130"/>
        <v>3.3907569955238639</v>
      </c>
      <c r="Y136" s="1">
        <f t="shared" ca="1" si="131"/>
        <v>0.23928097891256908</v>
      </c>
      <c r="Z136" s="1">
        <f t="shared" ca="1" si="132"/>
        <v>1302</v>
      </c>
      <c r="AB136" s="1">
        <f t="shared" ca="1" si="133"/>
        <v>0.93115625559494031</v>
      </c>
      <c r="AC136" s="1">
        <f t="shared" ca="1" si="134"/>
        <v>235</v>
      </c>
      <c r="AD136" s="1">
        <f t="shared" ca="1" si="135"/>
        <v>4.1984831317699338E-3</v>
      </c>
      <c r="AE136" s="1"/>
      <c r="AF136" s="1">
        <f t="shared" ca="1" si="136"/>
        <v>0.59716908288965498</v>
      </c>
      <c r="AG136" s="1">
        <f t="shared" ca="1" si="137"/>
        <v>269</v>
      </c>
      <c r="AH136" s="1">
        <f t="shared" ca="1" si="138"/>
        <v>8.2672121485762428E-3</v>
      </c>
      <c r="AJ136" s="1">
        <f t="shared" ca="1" si="139"/>
        <v>0.9837218171107921</v>
      </c>
      <c r="AK136" s="1">
        <f t="shared" ca="1" si="140"/>
        <v>5.240538953423658E-3</v>
      </c>
      <c r="AL136" s="1"/>
      <c r="AM136" s="1">
        <f t="shared" ca="1" si="141"/>
        <v>0.12569668433624184</v>
      </c>
      <c r="AN136" s="1">
        <f t="shared" ca="1" si="142"/>
        <v>54</v>
      </c>
      <c r="AO136" s="1">
        <f t="shared" ca="1" si="143"/>
        <v>19</v>
      </c>
      <c r="AQ136" s="1">
        <f t="shared" ca="1" si="144"/>
        <v>97</v>
      </c>
      <c r="AR136" s="1">
        <f t="shared" ca="1" si="145"/>
        <v>5</v>
      </c>
      <c r="AS136" s="1">
        <f t="shared" ca="1" si="146"/>
        <v>74</v>
      </c>
      <c r="AU136" s="1">
        <f t="shared" ca="1" si="147"/>
        <v>274</v>
      </c>
      <c r="AV136" s="1">
        <f t="shared" ca="1" si="148"/>
        <v>3</v>
      </c>
      <c r="AW136" s="1">
        <f t="shared" ca="1" si="149"/>
        <v>1.4915358992778249E-2</v>
      </c>
      <c r="AY136" s="1">
        <f t="shared" ca="1" si="150"/>
        <v>1.130676597982921</v>
      </c>
      <c r="AZ136" s="1">
        <f t="shared" ca="1" si="151"/>
        <v>227</v>
      </c>
      <c r="BA136" s="1">
        <f t="shared" ca="1" si="152"/>
        <v>2.788468846295673E-3</v>
      </c>
      <c r="BV136" s="1">
        <f t="shared" ca="1" si="153"/>
        <v>6.2475497937983099E-2</v>
      </c>
      <c r="BW136" s="1">
        <f t="shared" ca="1" si="154"/>
        <v>290</v>
      </c>
      <c r="BX136" s="1">
        <f t="shared" ca="1" si="155"/>
        <v>2.1571036112338279E-3</v>
      </c>
      <c r="BY136" s="1">
        <f t="shared" ca="1" si="156"/>
        <v>2.7621289328010005E-2</v>
      </c>
      <c r="BZ136" s="1">
        <f t="shared" ca="1" si="157"/>
        <v>0.46234034542255298</v>
      </c>
      <c r="CB136" s="1">
        <f t="shared" ca="1" si="158"/>
        <v>385</v>
      </c>
      <c r="CC136" s="1">
        <f t="shared" ca="1" si="159"/>
        <v>11</v>
      </c>
      <c r="CD136" s="1">
        <f t="shared" ca="1" si="160"/>
        <v>0.26420238901449555</v>
      </c>
      <c r="CE136" s="1">
        <f t="shared" ca="1" si="161"/>
        <v>0.97649296445690958</v>
      </c>
      <c r="CF136" s="1">
        <f t="shared" ca="1" si="161"/>
        <v>0.83378443977954442</v>
      </c>
      <c r="CH136" s="3">
        <f t="shared" ca="1" si="162"/>
        <v>6.3787721022825475E-3</v>
      </c>
      <c r="CI136" s="3">
        <f t="shared" ca="1" si="163"/>
        <v>0.55468121249915725</v>
      </c>
      <c r="CJ136" s="3">
        <f t="shared" ca="1" si="164"/>
        <v>1165</v>
      </c>
      <c r="CK136" s="3">
        <f t="shared" ca="1" si="165"/>
        <v>4.996165088110311E-3</v>
      </c>
      <c r="CL136" s="3">
        <f t="shared" ca="1" si="166"/>
        <v>1</v>
      </c>
      <c r="CM136" s="3"/>
      <c r="CN136" s="1">
        <f t="shared" ca="1" si="167"/>
        <v>6.880588695508397</v>
      </c>
      <c r="CO136" s="1">
        <f t="shared" ca="1" si="168"/>
        <v>0.17459136545258314</v>
      </c>
      <c r="CP136" s="1">
        <f t="shared" ca="1" si="169"/>
        <v>1</v>
      </c>
    </row>
    <row r="137" spans="2:94" x14ac:dyDescent="0.25">
      <c r="B137">
        <f t="shared" ca="1" si="114"/>
        <v>707</v>
      </c>
      <c r="C137">
        <f t="shared" ca="1" si="115"/>
        <v>10</v>
      </c>
      <c r="D137">
        <f t="shared" ca="1" si="116"/>
        <v>0.23437529317095118</v>
      </c>
      <c r="F137" s="1">
        <f t="shared" ca="1" si="117"/>
        <v>27</v>
      </c>
      <c r="G137" s="1">
        <f t="shared" ca="1" si="118"/>
        <v>2</v>
      </c>
      <c r="H137" s="1">
        <f t="shared" ca="1" si="119"/>
        <v>7</v>
      </c>
      <c r="I137" s="1"/>
      <c r="J137" s="1">
        <f t="shared" ca="1" si="120"/>
        <v>37</v>
      </c>
      <c r="K137" s="1">
        <f t="shared" ca="1" si="121"/>
        <v>2.8502164672201094</v>
      </c>
      <c r="L137" s="1">
        <f t="shared" ca="1" si="122"/>
        <v>23</v>
      </c>
      <c r="M137" s="1"/>
      <c r="N137" s="1">
        <f t="shared" ca="1" si="123"/>
        <v>868</v>
      </c>
      <c r="O137" s="1">
        <f t="shared" ca="1" si="124"/>
        <v>49</v>
      </c>
      <c r="P137" s="1"/>
      <c r="Q137" s="1">
        <f t="shared" ca="1" si="125"/>
        <v>4.813744982879089</v>
      </c>
      <c r="R137" s="1">
        <f t="shared" ca="1" si="126"/>
        <v>1196</v>
      </c>
      <c r="S137" s="1"/>
      <c r="T137" s="1">
        <f t="shared" ca="1" si="127"/>
        <v>0.19501775498448071</v>
      </c>
      <c r="U137" s="1">
        <f t="shared" ca="1" si="128"/>
        <v>320</v>
      </c>
      <c r="V137" s="1">
        <f t="shared" ca="1" si="129"/>
        <v>38</v>
      </c>
      <c r="W137" s="1"/>
      <c r="X137" s="1">
        <f t="shared" ca="1" si="130"/>
        <v>8.9540152995288569</v>
      </c>
      <c r="Y137" s="1">
        <f t="shared" ca="1" si="131"/>
        <v>2.9983033449402792E-2</v>
      </c>
      <c r="Z137" s="1">
        <f t="shared" ca="1" si="132"/>
        <v>1491</v>
      </c>
      <c r="AB137" s="1">
        <f t="shared" ca="1" si="133"/>
        <v>0.72180193569262119</v>
      </c>
      <c r="AC137" s="1">
        <f t="shared" ca="1" si="134"/>
        <v>114</v>
      </c>
      <c r="AD137" s="1">
        <f t="shared" ca="1" si="135"/>
        <v>4.3071245363985374E-3</v>
      </c>
      <c r="AE137" s="1"/>
      <c r="AF137" s="1">
        <f t="shared" ca="1" si="136"/>
        <v>0.69830843921503905</v>
      </c>
      <c r="AG137" s="1">
        <f t="shared" ca="1" si="137"/>
        <v>982</v>
      </c>
      <c r="AH137" s="1">
        <f t="shared" ca="1" si="138"/>
        <v>6.433821087198417E-3</v>
      </c>
      <c r="AJ137" s="1">
        <f t="shared" ca="1" si="139"/>
        <v>0.60164283324258205</v>
      </c>
      <c r="AK137" s="1">
        <f t="shared" ca="1" si="140"/>
        <v>1.035011148341167E-3</v>
      </c>
      <c r="AL137" s="1"/>
      <c r="AM137" s="1">
        <f t="shared" ca="1" si="141"/>
        <v>0.13711755428891706</v>
      </c>
      <c r="AN137" s="1">
        <f t="shared" ca="1" si="142"/>
        <v>62</v>
      </c>
      <c r="AO137" s="1">
        <f t="shared" ca="1" si="143"/>
        <v>9</v>
      </c>
      <c r="AQ137" s="1">
        <f t="shared" ca="1" si="144"/>
        <v>116</v>
      </c>
      <c r="AR137" s="1">
        <f t="shared" ca="1" si="145"/>
        <v>8</v>
      </c>
      <c r="AS137" s="1">
        <f t="shared" ca="1" si="146"/>
        <v>41</v>
      </c>
      <c r="AU137" s="1">
        <f t="shared" ca="1" si="147"/>
        <v>318</v>
      </c>
      <c r="AV137" s="1">
        <f t="shared" ca="1" si="148"/>
        <v>9</v>
      </c>
      <c r="AW137" s="1">
        <f t="shared" ca="1" si="149"/>
        <v>0.17904817758642907</v>
      </c>
      <c r="AY137" s="1">
        <f t="shared" ca="1" si="150"/>
        <v>1.5990719841632048</v>
      </c>
      <c r="AZ137" s="1">
        <f t="shared" ca="1" si="151"/>
        <v>435</v>
      </c>
      <c r="BA137" s="1">
        <f t="shared" ca="1" si="152"/>
        <v>3.14287317942435E-3</v>
      </c>
      <c r="BV137" s="1">
        <f t="shared" ca="1" si="153"/>
        <v>0.57074822797878155</v>
      </c>
      <c r="BW137" s="1">
        <f t="shared" ca="1" si="154"/>
        <v>403</v>
      </c>
      <c r="BX137" s="1">
        <f t="shared" ca="1" si="155"/>
        <v>7.1021990220557964E-3</v>
      </c>
      <c r="BY137" s="1">
        <f t="shared" ca="1" si="156"/>
        <v>5.6143710159585339E-3</v>
      </c>
      <c r="BZ137" s="1">
        <f t="shared" ca="1" si="157"/>
        <v>0.47445076126294039</v>
      </c>
      <c r="CB137" s="1">
        <f t="shared" ca="1" si="158"/>
        <v>446</v>
      </c>
      <c r="CC137" s="1">
        <f t="shared" ca="1" si="159"/>
        <v>5</v>
      </c>
      <c r="CD137" s="1">
        <f t="shared" ca="1" si="160"/>
        <v>2.26407830539615E-2</v>
      </c>
      <c r="CE137" s="1">
        <f t="shared" ca="1" si="161"/>
        <v>0.68640932632423168</v>
      </c>
      <c r="CF137" s="1">
        <f t="shared" ca="1" si="161"/>
        <v>0.83903484438976161</v>
      </c>
      <c r="CH137" s="3">
        <f t="shared" ca="1" si="162"/>
        <v>0.60889821068380012</v>
      </c>
      <c r="CI137" s="3">
        <f t="shared" ca="1" si="163"/>
        <v>0.62270688135301167</v>
      </c>
      <c r="CJ137" s="3">
        <f t="shared" ca="1" si="164"/>
        <v>1363</v>
      </c>
      <c r="CK137" s="3">
        <f t="shared" ca="1" si="165"/>
        <v>1.6939283962970489E-3</v>
      </c>
      <c r="CL137" s="3">
        <f t="shared" ca="1" si="166"/>
        <v>1</v>
      </c>
      <c r="CM137" s="3"/>
      <c r="CN137" s="1">
        <f t="shared" ca="1" si="167"/>
        <v>13.421636065462035</v>
      </c>
      <c r="CO137" s="1">
        <f t="shared" ca="1" si="168"/>
        <v>0.43366589765664548</v>
      </c>
      <c r="CP137" s="1">
        <f t="shared" ca="1" si="169"/>
        <v>5</v>
      </c>
    </row>
    <row r="138" spans="2:94" x14ac:dyDescent="0.25">
      <c r="B138">
        <f t="shared" ca="1" si="114"/>
        <v>442</v>
      </c>
      <c r="C138">
        <f t="shared" ca="1" si="115"/>
        <v>25</v>
      </c>
      <c r="D138">
        <f t="shared" ca="1" si="116"/>
        <v>0.27358259334918855</v>
      </c>
      <c r="F138" s="1">
        <f t="shared" ca="1" si="117"/>
        <v>9</v>
      </c>
      <c r="G138" s="1">
        <f t="shared" ca="1" si="118"/>
        <v>19</v>
      </c>
      <c r="H138" s="1">
        <f t="shared" ca="1" si="119"/>
        <v>6</v>
      </c>
      <c r="I138" s="1"/>
      <c r="J138" s="1">
        <f t="shared" ca="1" si="120"/>
        <v>13</v>
      </c>
      <c r="K138" s="1">
        <f t="shared" ca="1" si="121"/>
        <v>2.7706645186211896</v>
      </c>
      <c r="L138" s="1">
        <f t="shared" ca="1" si="122"/>
        <v>23</v>
      </c>
      <c r="M138" s="1"/>
      <c r="N138" s="1">
        <f t="shared" ca="1" si="123"/>
        <v>507</v>
      </c>
      <c r="O138" s="1">
        <f t="shared" ca="1" si="124"/>
        <v>45</v>
      </c>
      <c r="P138" s="1"/>
      <c r="Q138" s="1">
        <f t="shared" ca="1" si="125"/>
        <v>4.1866128043270985</v>
      </c>
      <c r="R138" s="1">
        <f t="shared" ca="1" si="126"/>
        <v>904</v>
      </c>
      <c r="S138" s="1"/>
      <c r="T138" s="1">
        <f t="shared" ca="1" si="127"/>
        <v>7.4243552867199317E-2</v>
      </c>
      <c r="U138" s="1">
        <f t="shared" ca="1" si="128"/>
        <v>288</v>
      </c>
      <c r="V138" s="1">
        <f t="shared" ca="1" si="129"/>
        <v>51</v>
      </c>
      <c r="W138" s="1"/>
      <c r="X138" s="1">
        <f t="shared" ca="1" si="130"/>
        <v>3.1649852334486983</v>
      </c>
      <c r="Y138" s="1">
        <f t="shared" ca="1" si="131"/>
        <v>0.29655972310187995</v>
      </c>
      <c r="Z138" s="1">
        <f t="shared" ca="1" si="132"/>
        <v>444</v>
      </c>
      <c r="AB138" s="1">
        <f t="shared" ca="1" si="133"/>
        <v>0.51882722755749233</v>
      </c>
      <c r="AC138" s="1">
        <f t="shared" ca="1" si="134"/>
        <v>405</v>
      </c>
      <c r="AD138" s="1">
        <f t="shared" ca="1" si="135"/>
        <v>4.1706476517319267E-3</v>
      </c>
      <c r="AE138" s="1"/>
      <c r="AF138" s="1">
        <f t="shared" ca="1" si="136"/>
        <v>0.61311239896627701</v>
      </c>
      <c r="AG138" s="1">
        <f t="shared" ca="1" si="137"/>
        <v>495</v>
      </c>
      <c r="AH138" s="1">
        <f t="shared" ca="1" si="138"/>
        <v>2.5744959460041986E-3</v>
      </c>
      <c r="AJ138" s="1">
        <f t="shared" ca="1" si="139"/>
        <v>0.10727029218264661</v>
      </c>
      <c r="AK138" s="1">
        <f t="shared" ca="1" si="140"/>
        <v>3.481145700344938E-3</v>
      </c>
      <c r="AL138" s="1"/>
      <c r="AM138" s="1">
        <f t="shared" ca="1" si="141"/>
        <v>7.1414076258941393E-3</v>
      </c>
      <c r="AN138" s="1">
        <f t="shared" ca="1" si="142"/>
        <v>75</v>
      </c>
      <c r="AO138" s="1">
        <f t="shared" ca="1" si="143"/>
        <v>2</v>
      </c>
      <c r="AQ138" s="1">
        <f t="shared" ca="1" si="144"/>
        <v>16</v>
      </c>
      <c r="AR138" s="1">
        <f t="shared" ca="1" si="145"/>
        <v>6</v>
      </c>
      <c r="AS138" s="1">
        <f t="shared" ca="1" si="146"/>
        <v>42</v>
      </c>
      <c r="AU138" s="1">
        <f t="shared" ca="1" si="147"/>
        <v>132</v>
      </c>
      <c r="AV138" s="1">
        <f t="shared" ca="1" si="148"/>
        <v>10</v>
      </c>
      <c r="AW138" s="1">
        <f t="shared" ca="1" si="149"/>
        <v>5.2645654602206028E-2</v>
      </c>
      <c r="AY138" s="1">
        <f t="shared" ca="1" si="150"/>
        <v>1.8445271042012867</v>
      </c>
      <c r="AZ138" s="1">
        <f t="shared" ca="1" si="151"/>
        <v>192</v>
      </c>
      <c r="BA138" s="1">
        <f t="shared" ca="1" si="152"/>
        <v>8.6536284094311262E-3</v>
      </c>
      <c r="BV138" s="1">
        <f t="shared" ca="1" si="153"/>
        <v>6.4531597306935792E-2</v>
      </c>
      <c r="BW138" s="1">
        <f t="shared" ca="1" si="154"/>
        <v>803</v>
      </c>
      <c r="BX138" s="1">
        <f t="shared" ca="1" si="155"/>
        <v>7.8882847666994355E-3</v>
      </c>
      <c r="BY138" s="1">
        <f t="shared" ca="1" si="156"/>
        <v>5.7913751601103715E-2</v>
      </c>
      <c r="BZ138" s="1">
        <f t="shared" ca="1" si="157"/>
        <v>0.1495610516958914</v>
      </c>
      <c r="CB138" s="1">
        <f t="shared" ca="1" si="158"/>
        <v>160</v>
      </c>
      <c r="CC138" s="1">
        <f t="shared" ca="1" si="159"/>
        <v>7</v>
      </c>
      <c r="CD138" s="1">
        <f t="shared" ca="1" si="160"/>
        <v>0.14561879312769949</v>
      </c>
      <c r="CE138" s="1">
        <f t="shared" ca="1" si="161"/>
        <v>0.86640530971821961</v>
      </c>
      <c r="CF138" s="1">
        <f t="shared" ca="1" si="161"/>
        <v>0.55817533723885859</v>
      </c>
      <c r="CH138" s="3">
        <f t="shared" ca="1" si="162"/>
        <v>0.30780510834154035</v>
      </c>
      <c r="CI138" s="3">
        <f t="shared" ca="1" si="163"/>
        <v>0.51355894415793135</v>
      </c>
      <c r="CJ138" s="3">
        <f t="shared" ca="1" si="164"/>
        <v>340</v>
      </c>
      <c r="CK138" s="3">
        <f t="shared" ca="1" si="165"/>
        <v>8.1344107637509998E-3</v>
      </c>
      <c r="CL138" s="3">
        <f t="shared" ca="1" si="166"/>
        <v>0</v>
      </c>
      <c r="CM138" s="3"/>
      <c r="CN138" s="1">
        <f t="shared" ca="1" si="167"/>
        <v>6.3361775450462812</v>
      </c>
      <c r="CO138" s="1">
        <f t="shared" ca="1" si="168"/>
        <v>9.3685907648242986E-2</v>
      </c>
      <c r="CP138" s="1">
        <f t="shared" ca="1" si="169"/>
        <v>4</v>
      </c>
    </row>
    <row r="139" spans="2:94" x14ac:dyDescent="0.25">
      <c r="B139">
        <f t="shared" ca="1" si="114"/>
        <v>722</v>
      </c>
      <c r="C139">
        <f t="shared" ca="1" si="115"/>
        <v>2</v>
      </c>
      <c r="D139">
        <f t="shared" ca="1" si="116"/>
        <v>0.23942581797337911</v>
      </c>
      <c r="F139" s="1">
        <f t="shared" ca="1" si="117"/>
        <v>17</v>
      </c>
      <c r="G139" s="1">
        <f t="shared" ca="1" si="118"/>
        <v>11</v>
      </c>
      <c r="H139" s="1">
        <f t="shared" ca="1" si="119"/>
        <v>3</v>
      </c>
      <c r="I139" s="1"/>
      <c r="J139" s="1">
        <f t="shared" ca="1" si="120"/>
        <v>25</v>
      </c>
      <c r="K139" s="1">
        <f t="shared" ca="1" si="121"/>
        <v>2.521474788648761</v>
      </c>
      <c r="L139" s="1">
        <f t="shared" ca="1" si="122"/>
        <v>19</v>
      </c>
      <c r="M139" s="1"/>
      <c r="N139" s="1">
        <f t="shared" ca="1" si="123"/>
        <v>400</v>
      </c>
      <c r="O139" s="1">
        <f t="shared" ca="1" si="124"/>
        <v>46</v>
      </c>
      <c r="P139" s="1"/>
      <c r="Q139" s="1">
        <f t="shared" ca="1" si="125"/>
        <v>1.8070434310823931</v>
      </c>
      <c r="R139" s="1">
        <f t="shared" ca="1" si="126"/>
        <v>537</v>
      </c>
      <c r="S139" s="1"/>
      <c r="T139" s="1">
        <f t="shared" ca="1" si="127"/>
        <v>0.1422581011774377</v>
      </c>
      <c r="U139" s="1">
        <f t="shared" ca="1" si="128"/>
        <v>429</v>
      </c>
      <c r="V139" s="1">
        <f t="shared" ca="1" si="129"/>
        <v>14</v>
      </c>
      <c r="W139" s="1"/>
      <c r="X139" s="1">
        <f t="shared" ca="1" si="130"/>
        <v>4.0300912818200079</v>
      </c>
      <c r="Y139" s="1">
        <f t="shared" ca="1" si="131"/>
        <v>0.62331666431879817</v>
      </c>
      <c r="Z139" s="1">
        <f t="shared" ca="1" si="132"/>
        <v>1791</v>
      </c>
      <c r="AB139" s="1">
        <f t="shared" ca="1" si="133"/>
        <v>0.34537866050585186</v>
      </c>
      <c r="AC139" s="1">
        <f t="shared" ca="1" si="134"/>
        <v>635</v>
      </c>
      <c r="AD139" s="1">
        <f t="shared" ca="1" si="135"/>
        <v>2.3428675967693807E-3</v>
      </c>
      <c r="AE139" s="1"/>
      <c r="AF139" s="1">
        <f t="shared" ca="1" si="136"/>
        <v>0.7534073889271925</v>
      </c>
      <c r="AG139" s="1">
        <f t="shared" ca="1" si="137"/>
        <v>440</v>
      </c>
      <c r="AH139" s="1">
        <f t="shared" ca="1" si="138"/>
        <v>4.5059355853722307E-3</v>
      </c>
      <c r="AJ139" s="1">
        <f t="shared" ca="1" si="139"/>
        <v>6.3580664862852854E-2</v>
      </c>
      <c r="AK139" s="1">
        <f t="shared" ca="1" si="140"/>
        <v>5.0894755041993632E-3</v>
      </c>
      <c r="AL139" s="1"/>
      <c r="AM139" s="1">
        <f t="shared" ca="1" si="141"/>
        <v>7.1025937828378224E-2</v>
      </c>
      <c r="AN139" s="1">
        <f t="shared" ca="1" si="142"/>
        <v>26</v>
      </c>
      <c r="AO139" s="1">
        <f t="shared" ca="1" si="143"/>
        <v>10</v>
      </c>
      <c r="AQ139" s="1">
        <f t="shared" ca="1" si="144"/>
        <v>130</v>
      </c>
      <c r="AR139" s="1">
        <f t="shared" ca="1" si="145"/>
        <v>5</v>
      </c>
      <c r="AS139" s="1">
        <f t="shared" ca="1" si="146"/>
        <v>25</v>
      </c>
      <c r="AU139" s="1">
        <f t="shared" ca="1" si="147"/>
        <v>173</v>
      </c>
      <c r="AV139" s="1">
        <f t="shared" ca="1" si="148"/>
        <v>3</v>
      </c>
      <c r="AW139" s="1">
        <f t="shared" ca="1" si="149"/>
        <v>0.16690953007655421</v>
      </c>
      <c r="AY139" s="1">
        <f t="shared" ca="1" si="150"/>
        <v>1.378259633651145</v>
      </c>
      <c r="AZ139" s="1">
        <f t="shared" ca="1" si="151"/>
        <v>172</v>
      </c>
      <c r="BA139" s="1">
        <f t="shared" ca="1" si="152"/>
        <v>9.8431615657320875E-3</v>
      </c>
      <c r="BV139" s="1">
        <f t="shared" ca="1" si="153"/>
        <v>3.6270354927037798E-2</v>
      </c>
      <c r="BW139" s="1">
        <f t="shared" ca="1" si="154"/>
        <v>128</v>
      </c>
      <c r="BX139" s="1">
        <f t="shared" ca="1" si="155"/>
        <v>1.450227027074962E-3</v>
      </c>
      <c r="BY139" s="1">
        <f t="shared" ca="1" si="156"/>
        <v>2.7340614141960196E-2</v>
      </c>
      <c r="BZ139" s="1">
        <f t="shared" ca="1" si="157"/>
        <v>0.30217233614371497</v>
      </c>
      <c r="CB139" s="1">
        <f t="shared" ca="1" si="158"/>
        <v>328</v>
      </c>
      <c r="CC139" s="1">
        <f t="shared" ca="1" si="159"/>
        <v>6</v>
      </c>
      <c r="CD139" s="1">
        <f t="shared" ca="1" si="160"/>
        <v>7.3015903222593312E-2</v>
      </c>
      <c r="CE139" s="1">
        <f t="shared" ca="1" si="161"/>
        <v>0.8899188575928707</v>
      </c>
      <c r="CF139" s="1">
        <f t="shared" ca="1" si="161"/>
        <v>0.95196858027353926</v>
      </c>
      <c r="CH139" s="3">
        <f t="shared" ca="1" si="162"/>
        <v>8.323042171395198E-2</v>
      </c>
      <c r="CI139" s="3">
        <f t="shared" ca="1" si="163"/>
        <v>9.1235305790188501E-2</v>
      </c>
      <c r="CJ139" s="3">
        <f t="shared" ca="1" si="164"/>
        <v>1287</v>
      </c>
      <c r="CK139" s="3">
        <f t="shared" ca="1" si="165"/>
        <v>8.8695264837294809E-3</v>
      </c>
      <c r="CL139" s="3">
        <f t="shared" ca="1" si="166"/>
        <v>0</v>
      </c>
      <c r="CM139" s="3"/>
      <c r="CN139" s="1">
        <f t="shared" ca="1" si="167"/>
        <v>9.787761511247135</v>
      </c>
      <c r="CO139" s="1">
        <f t="shared" ca="1" si="168"/>
        <v>0.21575588146350896</v>
      </c>
      <c r="CP139" s="1">
        <f t="shared" ca="1" si="169"/>
        <v>2</v>
      </c>
    </row>
    <row r="140" spans="2:94" x14ac:dyDescent="0.25">
      <c r="B140">
        <f t="shared" ca="1" si="114"/>
        <v>455</v>
      </c>
      <c r="C140">
        <f t="shared" ca="1" si="115"/>
        <v>8</v>
      </c>
      <c r="D140">
        <f t="shared" ca="1" si="116"/>
        <v>0.12756257812171118</v>
      </c>
      <c r="F140" s="1">
        <f t="shared" ca="1" si="117"/>
        <v>42</v>
      </c>
      <c r="G140" s="1">
        <f t="shared" ca="1" si="118"/>
        <v>26</v>
      </c>
      <c r="H140" s="1">
        <f t="shared" ca="1" si="119"/>
        <v>9</v>
      </c>
      <c r="I140" s="1"/>
      <c r="J140" s="1">
        <f t="shared" ca="1" si="120"/>
        <v>33</v>
      </c>
      <c r="K140" s="1">
        <f t="shared" ca="1" si="121"/>
        <v>2.9560870609412491</v>
      </c>
      <c r="L140" s="1">
        <f t="shared" ca="1" si="122"/>
        <v>4</v>
      </c>
      <c r="M140" s="1"/>
      <c r="N140" s="1">
        <f t="shared" ca="1" si="123"/>
        <v>267</v>
      </c>
      <c r="O140" s="1">
        <f t="shared" ca="1" si="124"/>
        <v>12</v>
      </c>
      <c r="P140" s="1"/>
      <c r="Q140" s="1">
        <f t="shared" ca="1" si="125"/>
        <v>3.7012506058202845</v>
      </c>
      <c r="R140" s="1">
        <f t="shared" ca="1" si="126"/>
        <v>788</v>
      </c>
      <c r="S140" s="1"/>
      <c r="T140" s="1">
        <f t="shared" ca="1" si="127"/>
        <v>0.18286009956172677</v>
      </c>
      <c r="U140" s="1">
        <f t="shared" ca="1" si="128"/>
        <v>305</v>
      </c>
      <c r="V140" s="1">
        <f t="shared" ca="1" si="129"/>
        <v>20</v>
      </c>
      <c r="W140" s="1"/>
      <c r="X140" s="1">
        <f t="shared" ca="1" si="130"/>
        <v>6.9678594380478236</v>
      </c>
      <c r="Y140" s="1">
        <f t="shared" ca="1" si="131"/>
        <v>0.28724421436932934</v>
      </c>
      <c r="Z140" s="1">
        <f t="shared" ca="1" si="132"/>
        <v>1174</v>
      </c>
      <c r="AB140" s="1">
        <f t="shared" ca="1" si="133"/>
        <v>0.24616263556382995</v>
      </c>
      <c r="AC140" s="1">
        <f t="shared" ca="1" si="134"/>
        <v>879</v>
      </c>
      <c r="AD140" s="1">
        <f t="shared" ca="1" si="135"/>
        <v>1.2051774275448606E-3</v>
      </c>
      <c r="AE140" s="1"/>
      <c r="AF140" s="1">
        <f t="shared" ca="1" si="136"/>
        <v>0.73559269456183862</v>
      </c>
      <c r="AG140" s="1">
        <f t="shared" ca="1" si="137"/>
        <v>800</v>
      </c>
      <c r="AH140" s="1">
        <f t="shared" ca="1" si="138"/>
        <v>6.3452026332163382E-3</v>
      </c>
      <c r="AJ140" s="1">
        <f t="shared" ca="1" si="139"/>
        <v>0.40570873598539159</v>
      </c>
      <c r="AK140" s="1">
        <f t="shared" ca="1" si="140"/>
        <v>3.2330627926375668E-3</v>
      </c>
      <c r="AL140" s="1"/>
      <c r="AM140" s="1">
        <f t="shared" ca="1" si="141"/>
        <v>0.19475702535664693</v>
      </c>
      <c r="AN140" s="1">
        <f t="shared" ca="1" si="142"/>
        <v>69</v>
      </c>
      <c r="AO140" s="1">
        <f t="shared" ca="1" si="143"/>
        <v>12</v>
      </c>
      <c r="AQ140" s="1">
        <f t="shared" ca="1" si="144"/>
        <v>162</v>
      </c>
      <c r="AR140" s="1">
        <f t="shared" ca="1" si="145"/>
        <v>1</v>
      </c>
      <c r="AS140" s="1">
        <f t="shared" ca="1" si="146"/>
        <v>24</v>
      </c>
      <c r="AU140" s="1">
        <f t="shared" ca="1" si="147"/>
        <v>172</v>
      </c>
      <c r="AV140" s="1">
        <f t="shared" ca="1" si="148"/>
        <v>10</v>
      </c>
      <c r="AW140" s="1">
        <f t="shared" ca="1" si="149"/>
        <v>0.18758017712317854</v>
      </c>
      <c r="AY140" s="1">
        <f t="shared" ca="1" si="150"/>
        <v>1.5872235203788754</v>
      </c>
      <c r="AZ140" s="1">
        <f t="shared" ca="1" si="151"/>
        <v>279</v>
      </c>
      <c r="BA140" s="1">
        <f t="shared" ca="1" si="152"/>
        <v>5.758463437253072E-4</v>
      </c>
      <c r="BV140" s="1">
        <f t="shared" ca="1" si="153"/>
        <v>0.93779452845093925</v>
      </c>
      <c r="BW140" s="1">
        <f t="shared" ca="1" si="154"/>
        <v>323</v>
      </c>
      <c r="BX140" s="1">
        <f t="shared" ca="1" si="155"/>
        <v>2.606140204843252E-3</v>
      </c>
      <c r="BY140" s="1">
        <f t="shared" ca="1" si="156"/>
        <v>3.4161933034409488E-2</v>
      </c>
      <c r="BZ140" s="1">
        <f t="shared" ca="1" si="157"/>
        <v>0.58652658030263405</v>
      </c>
      <c r="CB140" s="1">
        <f t="shared" ca="1" si="158"/>
        <v>60</v>
      </c>
      <c r="CC140" s="1">
        <f t="shared" ca="1" si="159"/>
        <v>5</v>
      </c>
      <c r="CD140" s="1">
        <f t="shared" ca="1" si="160"/>
        <v>0.26142878906584094</v>
      </c>
      <c r="CE140" s="1">
        <f t="shared" ca="1" si="161"/>
        <v>0.75820504943345868</v>
      </c>
      <c r="CF140" s="1">
        <f t="shared" ca="1" si="161"/>
        <v>0.5448020884545024</v>
      </c>
      <c r="CH140" s="3">
        <f t="shared" ca="1" si="162"/>
        <v>0.15991576714845582</v>
      </c>
      <c r="CI140" s="3">
        <f t="shared" ca="1" si="163"/>
        <v>0.51002703204556987</v>
      </c>
      <c r="CJ140" s="3">
        <f t="shared" ca="1" si="164"/>
        <v>1270</v>
      </c>
      <c r="CK140" s="3">
        <f t="shared" ca="1" si="165"/>
        <v>1.6106371572571366E-3</v>
      </c>
      <c r="CL140" s="3">
        <f t="shared" ca="1" si="166"/>
        <v>0</v>
      </c>
      <c r="CM140" s="3"/>
      <c r="CN140" s="1">
        <f t="shared" ca="1" si="167"/>
        <v>14.934939594285312</v>
      </c>
      <c r="CO140" s="1">
        <f t="shared" ca="1" si="168"/>
        <v>0.3408896227668296</v>
      </c>
      <c r="CP140" s="1">
        <f t="shared" ca="1" si="169"/>
        <v>5</v>
      </c>
    </row>
    <row r="141" spans="2:94" x14ac:dyDescent="0.25">
      <c r="B141">
        <f t="shared" ca="1" si="114"/>
        <v>55</v>
      </c>
      <c r="C141">
        <f t="shared" ca="1" si="115"/>
        <v>35</v>
      </c>
      <c r="D141">
        <f t="shared" ca="1" si="116"/>
        <v>0.15356759506870959</v>
      </c>
      <c r="F141" s="1">
        <f t="shared" ca="1" si="117"/>
        <v>7</v>
      </c>
      <c r="G141" s="1">
        <f t="shared" ca="1" si="118"/>
        <v>29</v>
      </c>
      <c r="H141" s="1">
        <f t="shared" ca="1" si="119"/>
        <v>6</v>
      </c>
      <c r="I141" s="1"/>
      <c r="J141" s="1">
        <f t="shared" ca="1" si="120"/>
        <v>31</v>
      </c>
      <c r="K141" s="1">
        <f t="shared" ca="1" si="121"/>
        <v>2.3692925381893355</v>
      </c>
      <c r="L141" s="1">
        <f t="shared" ca="1" si="122"/>
        <v>26</v>
      </c>
      <c r="M141" s="1"/>
      <c r="N141" s="1">
        <f t="shared" ca="1" si="123"/>
        <v>653</v>
      </c>
      <c r="O141" s="1">
        <f t="shared" ca="1" si="124"/>
        <v>9</v>
      </c>
      <c r="P141" s="1"/>
      <c r="Q141" s="1">
        <f t="shared" ca="1" si="125"/>
        <v>2.4705262400682777</v>
      </c>
      <c r="R141" s="1">
        <f t="shared" ca="1" si="126"/>
        <v>934</v>
      </c>
      <c r="S141" s="1"/>
      <c r="T141" s="1">
        <f t="shared" ca="1" si="127"/>
        <v>9.1293053653701176E-2</v>
      </c>
      <c r="U141" s="1">
        <f t="shared" ca="1" si="128"/>
        <v>51</v>
      </c>
      <c r="V141" s="1">
        <f t="shared" ca="1" si="129"/>
        <v>22</v>
      </c>
      <c r="W141" s="1"/>
      <c r="X141" s="1">
        <f t="shared" ca="1" si="130"/>
        <v>0.43985605192592886</v>
      </c>
      <c r="Y141" s="1">
        <f t="shared" ca="1" si="131"/>
        <v>0.9666145509389299</v>
      </c>
      <c r="Z141" s="1">
        <f t="shared" ca="1" si="132"/>
        <v>1392</v>
      </c>
      <c r="AB141" s="1">
        <f t="shared" ca="1" si="133"/>
        <v>0.69612555929633146</v>
      </c>
      <c r="AC141" s="1">
        <f t="shared" ca="1" si="134"/>
        <v>791</v>
      </c>
      <c r="AD141" s="1">
        <f t="shared" ca="1" si="135"/>
        <v>3.8012694166471061E-3</v>
      </c>
      <c r="AE141" s="1"/>
      <c r="AF141" s="1">
        <f t="shared" ca="1" si="136"/>
        <v>0.85029411773157559</v>
      </c>
      <c r="AG141" s="1">
        <f t="shared" ca="1" si="137"/>
        <v>537</v>
      </c>
      <c r="AH141" s="1">
        <f t="shared" ca="1" si="138"/>
        <v>6.5525687041276268E-3</v>
      </c>
      <c r="AJ141" s="1">
        <f t="shared" ca="1" si="139"/>
        <v>0.43917598303517147</v>
      </c>
      <c r="AK141" s="1">
        <f t="shared" ca="1" si="140"/>
        <v>9.2587237768740407E-3</v>
      </c>
      <c r="AL141" s="1"/>
      <c r="AM141" s="1">
        <f t="shared" ca="1" si="141"/>
        <v>0.14550246641065726</v>
      </c>
      <c r="AN141" s="1">
        <f t="shared" ca="1" si="142"/>
        <v>53</v>
      </c>
      <c r="AO141" s="1">
        <f t="shared" ca="1" si="143"/>
        <v>10</v>
      </c>
      <c r="AQ141" s="1">
        <f t="shared" ca="1" si="144"/>
        <v>143</v>
      </c>
      <c r="AR141" s="1">
        <f t="shared" ca="1" si="145"/>
        <v>4</v>
      </c>
      <c r="AS141" s="1">
        <f t="shared" ca="1" si="146"/>
        <v>9</v>
      </c>
      <c r="AU141" s="1">
        <f t="shared" ca="1" si="147"/>
        <v>248</v>
      </c>
      <c r="AV141" s="1">
        <f t="shared" ca="1" si="148"/>
        <v>7</v>
      </c>
      <c r="AW141" s="1">
        <f t="shared" ca="1" si="149"/>
        <v>0.17266124496367491</v>
      </c>
      <c r="AY141" s="1">
        <f t="shared" ca="1" si="150"/>
        <v>1.1433175082285589</v>
      </c>
      <c r="AZ141" s="1">
        <f t="shared" ca="1" si="151"/>
        <v>390</v>
      </c>
      <c r="BA141" s="1">
        <f t="shared" ca="1" si="152"/>
        <v>3.5211021681223337E-3</v>
      </c>
      <c r="BV141" s="1">
        <f t="shared" ca="1" si="153"/>
        <v>0.40147030970396924</v>
      </c>
      <c r="BW141" s="1">
        <f t="shared" ca="1" si="154"/>
        <v>857</v>
      </c>
      <c r="BX141" s="1">
        <f t="shared" ca="1" si="155"/>
        <v>2.8784649881649924E-3</v>
      </c>
      <c r="BY141" s="1">
        <f t="shared" ca="1" si="156"/>
        <v>3.600812764533038E-2</v>
      </c>
      <c r="BZ141" s="1">
        <f t="shared" ca="1" si="157"/>
        <v>0.13220800269489907</v>
      </c>
      <c r="CB141" s="1">
        <f t="shared" ca="1" si="158"/>
        <v>287</v>
      </c>
      <c r="CC141" s="1">
        <f t="shared" ca="1" si="159"/>
        <v>12</v>
      </c>
      <c r="CD141" s="1">
        <f t="shared" ca="1" si="160"/>
        <v>5.176601481884515E-2</v>
      </c>
      <c r="CE141" s="1">
        <f t="shared" ca="1" si="161"/>
        <v>0.62704735572045056</v>
      </c>
      <c r="CF141" s="1">
        <f t="shared" ca="1" si="161"/>
        <v>0.83897609664647321</v>
      </c>
      <c r="CH141" s="3">
        <f t="shared" ca="1" si="162"/>
        <v>0.42214668656270538</v>
      </c>
      <c r="CI141" s="3">
        <f t="shared" ca="1" si="163"/>
        <v>0.61859604261804102</v>
      </c>
      <c r="CJ141" s="3">
        <f t="shared" ca="1" si="164"/>
        <v>243</v>
      </c>
      <c r="CK141" s="3">
        <f t="shared" ca="1" si="165"/>
        <v>6.7155433594282962E-3</v>
      </c>
      <c r="CL141" s="3">
        <f t="shared" ca="1" si="166"/>
        <v>1</v>
      </c>
      <c r="CM141" s="3"/>
      <c r="CN141" s="1">
        <f t="shared" ca="1" si="167"/>
        <v>3.3449527542244946</v>
      </c>
      <c r="CO141" s="1">
        <f t="shared" ca="1" si="168"/>
        <v>0.35562110070453185</v>
      </c>
      <c r="CP141" s="1">
        <f t="shared" ca="1" si="169"/>
        <v>4</v>
      </c>
    </row>
    <row r="142" spans="2:94" x14ac:dyDescent="0.25">
      <c r="B142">
        <f t="shared" ca="1" si="114"/>
        <v>301</v>
      </c>
      <c r="C142">
        <f t="shared" ca="1" si="115"/>
        <v>44</v>
      </c>
      <c r="D142">
        <f t="shared" ca="1" si="116"/>
        <v>7.4920166268026667E-2</v>
      </c>
      <c r="F142" s="1">
        <f t="shared" ca="1" si="117"/>
        <v>9</v>
      </c>
      <c r="G142" s="1">
        <f t="shared" ca="1" si="118"/>
        <v>13</v>
      </c>
      <c r="H142" s="1">
        <f t="shared" ca="1" si="119"/>
        <v>4</v>
      </c>
      <c r="I142" s="1"/>
      <c r="J142" s="1">
        <f t="shared" ca="1" si="120"/>
        <v>26</v>
      </c>
      <c r="K142" s="1">
        <f t="shared" ca="1" si="121"/>
        <v>1.4090904735976182</v>
      </c>
      <c r="L142" s="1">
        <f t="shared" ca="1" si="122"/>
        <v>33</v>
      </c>
      <c r="M142" s="1"/>
      <c r="N142" s="1">
        <f t="shared" ca="1" si="123"/>
        <v>868</v>
      </c>
      <c r="O142" s="1">
        <f t="shared" ca="1" si="124"/>
        <v>33</v>
      </c>
      <c r="P142" s="1"/>
      <c r="Q142" s="1">
        <f t="shared" ca="1" si="125"/>
        <v>4.8442505904532407</v>
      </c>
      <c r="R142" s="1">
        <f t="shared" ca="1" si="126"/>
        <v>1083</v>
      </c>
      <c r="S142" s="1"/>
      <c r="T142" s="1">
        <f t="shared" ca="1" si="127"/>
        <v>0.11995599877231075</v>
      </c>
      <c r="U142" s="1">
        <f t="shared" ca="1" si="128"/>
        <v>250</v>
      </c>
      <c r="V142" s="1">
        <f t="shared" ca="1" si="129"/>
        <v>38</v>
      </c>
      <c r="W142" s="1"/>
      <c r="X142" s="1">
        <f t="shared" ca="1" si="130"/>
        <v>3.5390289729550468</v>
      </c>
      <c r="Y142" s="1">
        <f t="shared" ca="1" si="131"/>
        <v>0.52795570897472432</v>
      </c>
      <c r="Z142" s="1">
        <f t="shared" ca="1" si="132"/>
        <v>1354</v>
      </c>
      <c r="AB142" s="1">
        <f t="shared" ca="1" si="133"/>
        <v>0.14390018167130042</v>
      </c>
      <c r="AC142" s="1">
        <f t="shared" ca="1" si="134"/>
        <v>367</v>
      </c>
      <c r="AD142" s="1">
        <f t="shared" ca="1" si="135"/>
        <v>3.334845865571332E-3</v>
      </c>
      <c r="AE142" s="1"/>
      <c r="AF142" s="1">
        <f t="shared" ca="1" si="136"/>
        <v>0.62280459747018213</v>
      </c>
      <c r="AG142" s="1">
        <f t="shared" ca="1" si="137"/>
        <v>916</v>
      </c>
      <c r="AH142" s="1">
        <f t="shared" ca="1" si="138"/>
        <v>1.4159872680855942E-3</v>
      </c>
      <c r="AJ142" s="1">
        <f t="shared" ca="1" si="139"/>
        <v>3.0466533816279506E-2</v>
      </c>
      <c r="AK142" s="1">
        <f t="shared" ca="1" si="140"/>
        <v>6.1022355985466204E-3</v>
      </c>
      <c r="AL142" s="1"/>
      <c r="AM142" s="1">
        <f t="shared" ca="1" si="141"/>
        <v>0.16728587456241406</v>
      </c>
      <c r="AN142" s="1">
        <f t="shared" ca="1" si="142"/>
        <v>12</v>
      </c>
      <c r="AO142" s="1">
        <f t="shared" ca="1" si="143"/>
        <v>15</v>
      </c>
      <c r="AQ142" s="1">
        <f t="shared" ca="1" si="144"/>
        <v>145</v>
      </c>
      <c r="AR142" s="1">
        <f t="shared" ca="1" si="145"/>
        <v>2</v>
      </c>
      <c r="AS142" s="1">
        <f t="shared" ca="1" si="146"/>
        <v>32</v>
      </c>
      <c r="AU142" s="1">
        <f t="shared" ca="1" si="147"/>
        <v>311</v>
      </c>
      <c r="AV142" s="1">
        <f t="shared" ca="1" si="148"/>
        <v>8</v>
      </c>
      <c r="AW142" s="1">
        <f t="shared" ca="1" si="149"/>
        <v>6.8236362336847975E-2</v>
      </c>
      <c r="AY142" s="1">
        <f t="shared" ca="1" si="150"/>
        <v>1.4990719484322541</v>
      </c>
      <c r="AZ142" s="1">
        <f t="shared" ca="1" si="151"/>
        <v>476</v>
      </c>
      <c r="BA142" s="1">
        <f t="shared" ca="1" si="152"/>
        <v>1.5088953296130952E-4</v>
      </c>
      <c r="BV142" s="1">
        <f t="shared" ca="1" si="153"/>
        <v>0.19841668400521831</v>
      </c>
      <c r="BW142" s="1">
        <f t="shared" ca="1" si="154"/>
        <v>795</v>
      </c>
      <c r="BX142" s="1">
        <f t="shared" ca="1" si="155"/>
        <v>8.4062718071875198E-3</v>
      </c>
      <c r="BY142" s="1">
        <f t="shared" ca="1" si="156"/>
        <v>2.2479550231771155E-2</v>
      </c>
      <c r="BZ142" s="1">
        <f t="shared" ca="1" si="157"/>
        <v>0.20575524368998654</v>
      </c>
      <c r="CB142" s="1">
        <f t="shared" ca="1" si="158"/>
        <v>219</v>
      </c>
      <c r="CC142" s="1">
        <f t="shared" ca="1" si="159"/>
        <v>5</v>
      </c>
      <c r="CD142" s="1">
        <f t="shared" ca="1" si="160"/>
        <v>0.11027892610321356</v>
      </c>
      <c r="CE142" s="1">
        <f t="shared" ca="1" si="161"/>
        <v>0.54057257823448035</v>
      </c>
      <c r="CF142" s="1">
        <f t="shared" ca="1" si="161"/>
        <v>0.74505626812447301</v>
      </c>
      <c r="CH142" s="3">
        <f t="shared" ca="1" si="162"/>
        <v>0.79681062022749982</v>
      </c>
      <c r="CI142" s="3">
        <f t="shared" ca="1" si="163"/>
        <v>0.81360365692357983</v>
      </c>
      <c r="CJ142" s="3">
        <f t="shared" ca="1" si="164"/>
        <v>763</v>
      </c>
      <c r="CK142" s="3">
        <f t="shared" ca="1" si="165"/>
        <v>6.2613500415787358E-3</v>
      </c>
      <c r="CL142" s="3">
        <f t="shared" ca="1" si="166"/>
        <v>1</v>
      </c>
      <c r="CM142" s="3"/>
      <c r="CN142" s="1">
        <f t="shared" ca="1" si="167"/>
        <v>8.9383669830031174</v>
      </c>
      <c r="CO142" s="1">
        <f t="shared" ca="1" si="168"/>
        <v>0.44644064210227252</v>
      </c>
      <c r="CP142" s="1">
        <f t="shared" ca="1" si="169"/>
        <v>5</v>
      </c>
    </row>
    <row r="143" spans="2:94" x14ac:dyDescent="0.25">
      <c r="B143">
        <f t="shared" ca="1" si="114"/>
        <v>378</v>
      </c>
      <c r="C143">
        <f t="shared" ca="1" si="115"/>
        <v>6</v>
      </c>
      <c r="D143">
        <f t="shared" ca="1" si="116"/>
        <v>0.11735921443772761</v>
      </c>
      <c r="F143" s="1">
        <f t="shared" ca="1" si="117"/>
        <v>47</v>
      </c>
      <c r="G143" s="1">
        <f t="shared" ca="1" si="118"/>
        <v>8</v>
      </c>
      <c r="H143" s="1">
        <f t="shared" ca="1" si="119"/>
        <v>14</v>
      </c>
      <c r="I143" s="1"/>
      <c r="J143" s="1">
        <f t="shared" ca="1" si="120"/>
        <v>35</v>
      </c>
      <c r="K143" s="1">
        <f t="shared" ca="1" si="121"/>
        <v>1.9956580979425587</v>
      </c>
      <c r="L143" s="1">
        <f t="shared" ca="1" si="122"/>
        <v>14</v>
      </c>
      <c r="M143" s="1"/>
      <c r="N143" s="1">
        <f t="shared" ca="1" si="123"/>
        <v>570</v>
      </c>
      <c r="O143" s="1">
        <f t="shared" ca="1" si="124"/>
        <v>39</v>
      </c>
      <c r="P143" s="1"/>
      <c r="Q143" s="1">
        <f t="shared" ca="1" si="125"/>
        <v>0.76204671058114426</v>
      </c>
      <c r="R143" s="1">
        <f t="shared" ca="1" si="126"/>
        <v>438</v>
      </c>
      <c r="S143" s="1"/>
      <c r="T143" s="1">
        <f t="shared" ca="1" si="127"/>
        <v>7.6171815373707111E-2</v>
      </c>
      <c r="U143" s="1">
        <f t="shared" ca="1" si="128"/>
        <v>54</v>
      </c>
      <c r="V143" s="1">
        <f t="shared" ca="1" si="129"/>
        <v>31</v>
      </c>
      <c r="W143" s="1"/>
      <c r="X143" s="1">
        <f t="shared" ca="1" si="130"/>
        <v>4.261187007364402</v>
      </c>
      <c r="Y143" s="1">
        <f t="shared" ca="1" si="131"/>
        <v>0.61886313689549255</v>
      </c>
      <c r="Z143" s="1">
        <f t="shared" ca="1" si="132"/>
        <v>536</v>
      </c>
      <c r="AB143" s="1">
        <f t="shared" ca="1" si="133"/>
        <v>0.865672003229493</v>
      </c>
      <c r="AC143" s="1">
        <f t="shared" ca="1" si="134"/>
        <v>556</v>
      </c>
      <c r="AD143" s="1">
        <f t="shared" ca="1" si="135"/>
        <v>9.5707620579049673E-3</v>
      </c>
      <c r="AE143" s="1"/>
      <c r="AF143" s="1">
        <f t="shared" ca="1" si="136"/>
        <v>0.37140549186737082</v>
      </c>
      <c r="AG143" s="1">
        <f t="shared" ca="1" si="137"/>
        <v>443</v>
      </c>
      <c r="AH143" s="1">
        <f t="shared" ca="1" si="138"/>
        <v>9.1225890479112754E-4</v>
      </c>
      <c r="AJ143" s="1">
        <f t="shared" ca="1" si="139"/>
        <v>0.83006001318132472</v>
      </c>
      <c r="AK143" s="1">
        <f t="shared" ca="1" si="140"/>
        <v>4.527176370171501E-3</v>
      </c>
      <c r="AL143" s="1"/>
      <c r="AM143" s="1">
        <f t="shared" ca="1" si="141"/>
        <v>1.6784738126706771E-2</v>
      </c>
      <c r="AN143" s="1">
        <f t="shared" ca="1" si="142"/>
        <v>48</v>
      </c>
      <c r="AO143" s="1">
        <f t="shared" ca="1" si="143"/>
        <v>15</v>
      </c>
      <c r="AQ143" s="1">
        <f t="shared" ca="1" si="144"/>
        <v>42</v>
      </c>
      <c r="AR143" s="1">
        <f t="shared" ca="1" si="145"/>
        <v>7</v>
      </c>
      <c r="AS143" s="1">
        <f t="shared" ca="1" si="146"/>
        <v>33</v>
      </c>
      <c r="AU143" s="1">
        <f t="shared" ca="1" si="147"/>
        <v>377</v>
      </c>
      <c r="AV143" s="1">
        <f t="shared" ca="1" si="148"/>
        <v>6</v>
      </c>
      <c r="AW143" s="1">
        <f t="shared" ca="1" si="149"/>
        <v>6.5587773079613554E-2</v>
      </c>
      <c r="AY143" s="1">
        <f t="shared" ca="1" si="150"/>
        <v>1.9729452287669931</v>
      </c>
      <c r="AZ143" s="1">
        <f t="shared" ca="1" si="151"/>
        <v>302</v>
      </c>
      <c r="BA143" s="1">
        <f t="shared" ca="1" si="152"/>
        <v>1.2926452754927276E-3</v>
      </c>
      <c r="BV143" s="1">
        <f t="shared" ca="1" si="153"/>
        <v>0.74932661457818361</v>
      </c>
      <c r="BW143" s="1">
        <f t="shared" ca="1" si="154"/>
        <v>356</v>
      </c>
      <c r="BX143" s="1">
        <f t="shared" ca="1" si="155"/>
        <v>1.4302648124940604E-3</v>
      </c>
      <c r="BY143" s="1">
        <f t="shared" ca="1" si="156"/>
        <v>2.7132501185880415E-2</v>
      </c>
      <c r="BZ143" s="1">
        <f t="shared" ca="1" si="157"/>
        <v>0.70182555010324232</v>
      </c>
      <c r="CB143" s="1">
        <f t="shared" ca="1" si="158"/>
        <v>395</v>
      </c>
      <c r="CC143" s="1">
        <f t="shared" ca="1" si="159"/>
        <v>14</v>
      </c>
      <c r="CD143" s="1">
        <f t="shared" ca="1" si="160"/>
        <v>6.236216570143973E-2</v>
      </c>
      <c r="CE143" s="1">
        <f t="shared" ca="1" si="161"/>
        <v>0.51475572323021546</v>
      </c>
      <c r="CF143" s="1">
        <f t="shared" ca="1" si="161"/>
        <v>0.91881768063820468</v>
      </c>
      <c r="CH143" s="3">
        <f t="shared" ca="1" si="162"/>
        <v>0.33018865871604275</v>
      </c>
      <c r="CI143" s="3">
        <f t="shared" ca="1" si="163"/>
        <v>0.3663041972728418</v>
      </c>
      <c r="CJ143" s="3">
        <f t="shared" ca="1" si="164"/>
        <v>1475</v>
      </c>
      <c r="CK143" s="3">
        <f t="shared" ca="1" si="165"/>
        <v>9.7214883530162138E-3</v>
      </c>
      <c r="CL143" s="3">
        <f t="shared" ca="1" si="166"/>
        <v>0</v>
      </c>
      <c r="CM143" s="3"/>
      <c r="CN143" s="1">
        <f t="shared" ca="1" si="167"/>
        <v>7.1808386406562308</v>
      </c>
      <c r="CO143" s="1">
        <f t="shared" ca="1" si="168"/>
        <v>7.7206203831641654E-3</v>
      </c>
      <c r="CP143" s="1">
        <f t="shared" ca="1" si="169"/>
        <v>5</v>
      </c>
    </row>
    <row r="144" spans="2:94" x14ac:dyDescent="0.25">
      <c r="B144">
        <f t="shared" ca="1" si="114"/>
        <v>191</v>
      </c>
      <c r="C144">
        <f t="shared" ca="1" si="115"/>
        <v>11</v>
      </c>
      <c r="D144">
        <f t="shared" ca="1" si="116"/>
        <v>0.18106251647565633</v>
      </c>
      <c r="F144" s="1">
        <f t="shared" ca="1" si="117"/>
        <v>28</v>
      </c>
      <c r="G144" s="1">
        <f t="shared" ca="1" si="118"/>
        <v>30</v>
      </c>
      <c r="H144" s="1">
        <f t="shared" ca="1" si="119"/>
        <v>6</v>
      </c>
      <c r="I144" s="1"/>
      <c r="J144" s="1">
        <f t="shared" ca="1" si="120"/>
        <v>36</v>
      </c>
      <c r="K144" s="1">
        <f t="shared" ca="1" si="121"/>
        <v>2.3440185461480061</v>
      </c>
      <c r="L144" s="1">
        <f t="shared" ca="1" si="122"/>
        <v>35</v>
      </c>
      <c r="M144" s="1"/>
      <c r="N144" s="1">
        <f t="shared" ca="1" si="123"/>
        <v>43</v>
      </c>
      <c r="O144" s="1">
        <f t="shared" ca="1" si="124"/>
        <v>50</v>
      </c>
      <c r="P144" s="1"/>
      <c r="Q144" s="1">
        <f t="shared" ca="1" si="125"/>
        <v>4.3914809170285594</v>
      </c>
      <c r="R144" s="1">
        <f t="shared" ca="1" si="126"/>
        <v>785</v>
      </c>
      <c r="S144" s="1"/>
      <c r="T144" s="1">
        <f t="shared" ca="1" si="127"/>
        <v>0.18166576946130744</v>
      </c>
      <c r="U144" s="1">
        <f t="shared" ca="1" si="128"/>
        <v>420</v>
      </c>
      <c r="V144" s="1">
        <f t="shared" ca="1" si="129"/>
        <v>52</v>
      </c>
      <c r="W144" s="1"/>
      <c r="X144" s="1">
        <f t="shared" ca="1" si="130"/>
        <v>3.499774386862339</v>
      </c>
      <c r="Y144" s="1">
        <f t="shared" ca="1" si="131"/>
        <v>0.30155023523954205</v>
      </c>
      <c r="Z144" s="1">
        <f t="shared" ca="1" si="132"/>
        <v>1956</v>
      </c>
      <c r="AB144" s="1">
        <f t="shared" ca="1" si="133"/>
        <v>0.61309281143448635</v>
      </c>
      <c r="AC144" s="1">
        <f t="shared" ca="1" si="134"/>
        <v>439</v>
      </c>
      <c r="AD144" s="1">
        <f t="shared" ca="1" si="135"/>
        <v>4.5108828543282374E-4</v>
      </c>
      <c r="AE144" s="1"/>
      <c r="AF144" s="1">
        <f t="shared" ca="1" si="136"/>
        <v>0.28704215123333487</v>
      </c>
      <c r="AG144" s="1">
        <f t="shared" ca="1" si="137"/>
        <v>827</v>
      </c>
      <c r="AH144" s="1">
        <f t="shared" ca="1" si="138"/>
        <v>9.3760636375397541E-3</v>
      </c>
      <c r="AJ144" s="1">
        <f t="shared" ca="1" si="139"/>
        <v>0.32969994421623516</v>
      </c>
      <c r="AK144" s="1">
        <f t="shared" ca="1" si="140"/>
        <v>5.4689421741168451E-3</v>
      </c>
      <c r="AL144" s="1"/>
      <c r="AM144" s="1">
        <f t="shared" ca="1" si="141"/>
        <v>0.19166077475179616</v>
      </c>
      <c r="AN144" s="1">
        <f t="shared" ca="1" si="142"/>
        <v>15</v>
      </c>
      <c r="AO144" s="1">
        <f t="shared" ca="1" si="143"/>
        <v>6</v>
      </c>
      <c r="AQ144" s="1">
        <f t="shared" ca="1" si="144"/>
        <v>97</v>
      </c>
      <c r="AR144" s="1">
        <f t="shared" ca="1" si="145"/>
        <v>9</v>
      </c>
      <c r="AS144" s="1">
        <f t="shared" ca="1" si="146"/>
        <v>13</v>
      </c>
      <c r="AU144" s="1">
        <f t="shared" ca="1" si="147"/>
        <v>329</v>
      </c>
      <c r="AV144" s="1">
        <f t="shared" ca="1" si="148"/>
        <v>7</v>
      </c>
      <c r="AW144" s="1">
        <f t="shared" ca="1" si="149"/>
        <v>0.18413854795598611</v>
      </c>
      <c r="AY144" s="1">
        <f t="shared" ca="1" si="150"/>
        <v>1.110338264824327</v>
      </c>
      <c r="AZ144" s="1">
        <f t="shared" ca="1" si="151"/>
        <v>372</v>
      </c>
      <c r="BA144" s="1">
        <f t="shared" ca="1" si="152"/>
        <v>3.9416846916087772E-3</v>
      </c>
      <c r="BV144" s="1">
        <f t="shared" ca="1" si="153"/>
        <v>0.47167347154671307</v>
      </c>
      <c r="BW144" s="1">
        <f t="shared" ca="1" si="154"/>
        <v>244</v>
      </c>
      <c r="BX144" s="1">
        <f t="shared" ca="1" si="155"/>
        <v>3.0296914697268369E-4</v>
      </c>
      <c r="BY144" s="1">
        <f t="shared" ca="1" si="156"/>
        <v>7.6481048136881821E-2</v>
      </c>
      <c r="BZ144" s="1">
        <f t="shared" ca="1" si="157"/>
        <v>0.13706268948753397</v>
      </c>
      <c r="CB144" s="1">
        <f t="shared" ca="1" si="158"/>
        <v>278</v>
      </c>
      <c r="CC144" s="1">
        <f t="shared" ca="1" si="159"/>
        <v>13</v>
      </c>
      <c r="CD144" s="1">
        <f t="shared" ca="1" si="160"/>
        <v>4.2563677742854251E-2</v>
      </c>
      <c r="CE144" s="1">
        <f t="shared" ca="1" si="161"/>
        <v>0.62847845727446816</v>
      </c>
      <c r="CF144" s="1">
        <f t="shared" ca="1" si="161"/>
        <v>0.67316730547633441</v>
      </c>
      <c r="CH144" s="3">
        <f t="shared" ca="1" si="162"/>
        <v>0.1957960281126869</v>
      </c>
      <c r="CI144" s="3">
        <f t="shared" ca="1" si="163"/>
        <v>0.87481984660606593</v>
      </c>
      <c r="CJ144" s="3">
        <f t="shared" ca="1" si="164"/>
        <v>1367</v>
      </c>
      <c r="CK144" s="3">
        <f t="shared" ca="1" si="165"/>
        <v>9.0869755250588546E-3</v>
      </c>
      <c r="CL144" s="3">
        <f t="shared" ca="1" si="166"/>
        <v>1</v>
      </c>
      <c r="CM144" s="3"/>
      <c r="CN144" s="1">
        <f t="shared" ca="1" si="167"/>
        <v>10.187502682462085</v>
      </c>
      <c r="CO144" s="1">
        <f t="shared" ca="1" si="168"/>
        <v>0.44649626411505172</v>
      </c>
      <c r="CP144" s="1">
        <f t="shared" ca="1" si="169"/>
        <v>5</v>
      </c>
    </row>
    <row r="145" spans="2:94" x14ac:dyDescent="0.25">
      <c r="B145">
        <f t="shared" ca="1" si="114"/>
        <v>530</v>
      </c>
      <c r="C145">
        <f t="shared" ca="1" si="115"/>
        <v>11</v>
      </c>
      <c r="D145">
        <f t="shared" ca="1" si="116"/>
        <v>0.1396564865782888</v>
      </c>
      <c r="F145" s="1">
        <f t="shared" ca="1" si="117"/>
        <v>4</v>
      </c>
      <c r="G145" s="1">
        <f t="shared" ca="1" si="118"/>
        <v>23</v>
      </c>
      <c r="H145" s="1">
        <f t="shared" ca="1" si="119"/>
        <v>9</v>
      </c>
      <c r="I145" s="1"/>
      <c r="J145" s="1">
        <f t="shared" ca="1" si="120"/>
        <v>28</v>
      </c>
      <c r="K145" s="1">
        <f t="shared" ca="1" si="121"/>
        <v>1.925131026589159</v>
      </c>
      <c r="L145" s="1">
        <f t="shared" ca="1" si="122"/>
        <v>35</v>
      </c>
      <c r="M145" s="1"/>
      <c r="N145" s="1">
        <f t="shared" ca="1" si="123"/>
        <v>519</v>
      </c>
      <c r="O145" s="1">
        <f t="shared" ca="1" si="124"/>
        <v>37</v>
      </c>
      <c r="P145" s="1"/>
      <c r="Q145" s="1">
        <f t="shared" ca="1" si="125"/>
        <v>0.49723273774849491</v>
      </c>
      <c r="R145" s="1">
        <f t="shared" ca="1" si="126"/>
        <v>279</v>
      </c>
      <c r="S145" s="1"/>
      <c r="T145" s="1">
        <f t="shared" ca="1" si="127"/>
        <v>0.1569000356112166</v>
      </c>
      <c r="U145" s="1">
        <f t="shared" ca="1" si="128"/>
        <v>226</v>
      </c>
      <c r="V145" s="1">
        <f t="shared" ca="1" si="129"/>
        <v>42</v>
      </c>
      <c r="W145" s="1"/>
      <c r="X145" s="1">
        <f t="shared" ca="1" si="130"/>
        <v>9.7539626356616527</v>
      </c>
      <c r="Y145" s="1">
        <f t="shared" ca="1" si="131"/>
        <v>0.85079492212001762</v>
      </c>
      <c r="Z145" s="1">
        <f t="shared" ca="1" si="132"/>
        <v>1827</v>
      </c>
      <c r="AB145" s="1">
        <f t="shared" ca="1" si="133"/>
        <v>0.59340287058013774</v>
      </c>
      <c r="AC145" s="1">
        <f t="shared" ca="1" si="134"/>
        <v>961</v>
      </c>
      <c r="AD145" s="1">
        <f t="shared" ca="1" si="135"/>
        <v>1.6169476947813946E-3</v>
      </c>
      <c r="AE145" s="1"/>
      <c r="AF145" s="1">
        <f t="shared" ca="1" si="136"/>
        <v>0.82087107131313142</v>
      </c>
      <c r="AG145" s="1">
        <f t="shared" ca="1" si="137"/>
        <v>249</v>
      </c>
      <c r="AH145" s="1">
        <f t="shared" ca="1" si="138"/>
        <v>8.6992618677435418E-3</v>
      </c>
      <c r="AJ145" s="1">
        <f t="shared" ca="1" si="139"/>
        <v>0.2961601701748563</v>
      </c>
      <c r="AK145" s="1">
        <f t="shared" ca="1" si="140"/>
        <v>9.3693412914395684E-3</v>
      </c>
      <c r="AL145" s="1"/>
      <c r="AM145" s="1">
        <f t="shared" ca="1" si="141"/>
        <v>9.7692578839907576E-2</v>
      </c>
      <c r="AN145" s="1">
        <f t="shared" ca="1" si="142"/>
        <v>52</v>
      </c>
      <c r="AO145" s="1">
        <f t="shared" ca="1" si="143"/>
        <v>7</v>
      </c>
      <c r="AQ145" s="1">
        <f t="shared" ca="1" si="144"/>
        <v>54</v>
      </c>
      <c r="AR145" s="1">
        <f t="shared" ca="1" si="145"/>
        <v>7</v>
      </c>
      <c r="AS145" s="1">
        <f t="shared" ca="1" si="146"/>
        <v>64</v>
      </c>
      <c r="AU145" s="1">
        <f t="shared" ca="1" si="147"/>
        <v>352</v>
      </c>
      <c r="AV145" s="1">
        <f t="shared" ca="1" si="148"/>
        <v>2</v>
      </c>
      <c r="AW145" s="1">
        <f t="shared" ca="1" si="149"/>
        <v>2.3759240009746507E-2</v>
      </c>
      <c r="AY145" s="1">
        <f t="shared" ca="1" si="150"/>
        <v>1.4670975966450128</v>
      </c>
      <c r="AZ145" s="1">
        <f t="shared" ca="1" si="151"/>
        <v>450</v>
      </c>
      <c r="BA145" s="1">
        <f t="shared" ca="1" si="152"/>
        <v>7.8247646620010543E-3</v>
      </c>
      <c r="BV145" s="1">
        <f t="shared" ca="1" si="153"/>
        <v>0.91428013091015081</v>
      </c>
      <c r="BW145" s="1">
        <f t="shared" ca="1" si="154"/>
        <v>845</v>
      </c>
      <c r="BX145" s="1">
        <f t="shared" ca="1" si="155"/>
        <v>9.0584678929444828E-3</v>
      </c>
      <c r="BY145" s="1">
        <f t="shared" ca="1" si="156"/>
        <v>7.6989549684712277E-2</v>
      </c>
      <c r="BZ145" s="1">
        <f t="shared" ca="1" si="157"/>
        <v>0.74286464065171365</v>
      </c>
      <c r="CB145" s="1">
        <f t="shared" ca="1" si="158"/>
        <v>78</v>
      </c>
      <c r="CC145" s="1">
        <f t="shared" ca="1" si="159"/>
        <v>10</v>
      </c>
      <c r="CD145" s="1">
        <f t="shared" ca="1" si="160"/>
        <v>7.3478509983438273E-2</v>
      </c>
      <c r="CE145" s="1">
        <f t="shared" ca="1" si="161"/>
        <v>0.71069368531787547</v>
      </c>
      <c r="CF145" s="1">
        <f t="shared" ca="1" si="161"/>
        <v>0.67794204928982293</v>
      </c>
      <c r="CH145" s="3">
        <f t="shared" ca="1" si="162"/>
        <v>0.66231765537800757</v>
      </c>
      <c r="CI145" s="3">
        <f t="shared" ca="1" si="163"/>
        <v>0.59509410701115029</v>
      </c>
      <c r="CJ145" s="3">
        <f t="shared" ca="1" si="164"/>
        <v>241</v>
      </c>
      <c r="CK145" s="3">
        <f t="shared" ca="1" si="165"/>
        <v>8.4583923649654853E-3</v>
      </c>
      <c r="CL145" s="3">
        <f t="shared" ca="1" si="166"/>
        <v>1</v>
      </c>
      <c r="CM145" s="3"/>
      <c r="CN145" s="1">
        <f t="shared" ca="1" si="167"/>
        <v>7.1092392991137263</v>
      </c>
      <c r="CO145" s="1">
        <f t="shared" ca="1" si="168"/>
        <v>0.42157005209240861</v>
      </c>
      <c r="CP145" s="1">
        <f t="shared" ca="1" si="169"/>
        <v>2</v>
      </c>
    </row>
    <row r="146" spans="2:94" x14ac:dyDescent="0.25">
      <c r="B146">
        <f t="shared" ca="1" si="114"/>
        <v>812</v>
      </c>
      <c r="C146">
        <f t="shared" ca="1" si="115"/>
        <v>23</v>
      </c>
      <c r="D146">
        <f t="shared" ca="1" si="116"/>
        <v>5.4138374515168182E-2</v>
      </c>
      <c r="F146" s="1">
        <f t="shared" ca="1" si="117"/>
        <v>16</v>
      </c>
      <c r="G146" s="1">
        <f t="shared" ca="1" si="118"/>
        <v>9</v>
      </c>
      <c r="H146" s="1">
        <f t="shared" ca="1" si="119"/>
        <v>2</v>
      </c>
      <c r="I146" s="1"/>
      <c r="J146" s="1">
        <f t="shared" ca="1" si="120"/>
        <v>23</v>
      </c>
      <c r="K146" s="1">
        <f t="shared" ca="1" si="121"/>
        <v>2.8601458311362986</v>
      </c>
      <c r="L146" s="1">
        <f t="shared" ca="1" si="122"/>
        <v>33</v>
      </c>
      <c r="M146" s="1"/>
      <c r="N146" s="1">
        <f t="shared" ca="1" si="123"/>
        <v>946</v>
      </c>
      <c r="O146" s="1">
        <f t="shared" ca="1" si="124"/>
        <v>2</v>
      </c>
      <c r="P146" s="1"/>
      <c r="Q146" s="1">
        <f t="shared" ca="1" si="125"/>
        <v>3.7228508105968285</v>
      </c>
      <c r="R146" s="1">
        <f t="shared" ca="1" si="126"/>
        <v>936</v>
      </c>
      <c r="S146" s="1"/>
      <c r="T146" s="1">
        <f t="shared" ca="1" si="127"/>
        <v>0.178810736852652</v>
      </c>
      <c r="U146" s="1">
        <f t="shared" ca="1" si="128"/>
        <v>344</v>
      </c>
      <c r="V146" s="1">
        <f t="shared" ca="1" si="129"/>
        <v>28</v>
      </c>
      <c r="W146" s="1"/>
      <c r="X146" s="1">
        <f t="shared" ca="1" si="130"/>
        <v>7.73049944781528</v>
      </c>
      <c r="Y146" s="1">
        <f t="shared" ca="1" si="131"/>
        <v>0.46685046865276103</v>
      </c>
      <c r="Z146" s="1">
        <f t="shared" ca="1" si="132"/>
        <v>1839</v>
      </c>
      <c r="AB146" s="1">
        <f t="shared" ca="1" si="133"/>
        <v>0.87488115802373989</v>
      </c>
      <c r="AC146" s="1">
        <f t="shared" ca="1" si="134"/>
        <v>902</v>
      </c>
      <c r="AD146" s="1">
        <f t="shared" ca="1" si="135"/>
        <v>9.7769176507044534E-3</v>
      </c>
      <c r="AE146" s="1"/>
      <c r="AF146" s="1">
        <f t="shared" ca="1" si="136"/>
        <v>0.70486010520085052</v>
      </c>
      <c r="AG146" s="1">
        <f t="shared" ca="1" si="137"/>
        <v>381</v>
      </c>
      <c r="AH146" s="1">
        <f t="shared" ca="1" si="138"/>
        <v>9.1889374304573584E-3</v>
      </c>
      <c r="AJ146" s="1">
        <f t="shared" ca="1" si="139"/>
        <v>6.0505001187806218E-2</v>
      </c>
      <c r="AK146" s="1">
        <f t="shared" ca="1" si="140"/>
        <v>5.52981523362381E-3</v>
      </c>
      <c r="AL146" s="1"/>
      <c r="AM146" s="1">
        <f t="shared" ca="1" si="141"/>
        <v>3.6151857076857884E-2</v>
      </c>
      <c r="AN146" s="1">
        <f t="shared" ca="1" si="142"/>
        <v>78</v>
      </c>
      <c r="AO146" s="1">
        <f t="shared" ca="1" si="143"/>
        <v>5</v>
      </c>
      <c r="AQ146" s="1">
        <f t="shared" ca="1" si="144"/>
        <v>37</v>
      </c>
      <c r="AR146" s="1">
        <f t="shared" ca="1" si="145"/>
        <v>8</v>
      </c>
      <c r="AS146" s="1">
        <f t="shared" ca="1" si="146"/>
        <v>7</v>
      </c>
      <c r="AU146" s="1">
        <f t="shared" ca="1" si="147"/>
        <v>365</v>
      </c>
      <c r="AV146" s="1">
        <f t="shared" ca="1" si="148"/>
        <v>5</v>
      </c>
      <c r="AW146" s="1">
        <f t="shared" ca="1" si="149"/>
        <v>4.1801058579384834E-2</v>
      </c>
      <c r="AY146" s="1">
        <f t="shared" ca="1" si="150"/>
        <v>1.4750212720084681</v>
      </c>
      <c r="AZ146" s="1">
        <f t="shared" ca="1" si="151"/>
        <v>75</v>
      </c>
      <c r="BA146" s="1">
        <f t="shared" ca="1" si="152"/>
        <v>2.8403489800801645E-3</v>
      </c>
      <c r="BV146" s="1">
        <f t="shared" ca="1" si="153"/>
        <v>8.6594094181386597E-2</v>
      </c>
      <c r="BW146" s="1">
        <f t="shared" ca="1" si="154"/>
        <v>152</v>
      </c>
      <c r="BX146" s="1">
        <f t="shared" ca="1" si="155"/>
        <v>6.3185154673334422E-3</v>
      </c>
      <c r="BY146" s="1">
        <f t="shared" ca="1" si="156"/>
        <v>3.732325158915302E-2</v>
      </c>
      <c r="BZ146" s="1">
        <f t="shared" ca="1" si="157"/>
        <v>2.40384350935684E-2</v>
      </c>
      <c r="CB146" s="1">
        <f t="shared" ca="1" si="158"/>
        <v>404</v>
      </c>
      <c r="CC146" s="1">
        <f t="shared" ca="1" si="159"/>
        <v>15</v>
      </c>
      <c r="CD146" s="1">
        <f t="shared" ca="1" si="160"/>
        <v>5.945465885609056E-2</v>
      </c>
      <c r="CE146" s="1">
        <f t="shared" ca="1" si="161"/>
        <v>0.68937226739304425</v>
      </c>
      <c r="CF146" s="1">
        <f t="shared" ca="1" si="161"/>
        <v>0.67463788314275819</v>
      </c>
      <c r="CH146" s="3">
        <f t="shared" ca="1" si="162"/>
        <v>0.45350214119996513</v>
      </c>
      <c r="CI146" s="3">
        <f t="shared" ca="1" si="163"/>
        <v>0.22877500168946702</v>
      </c>
      <c r="CJ146" s="3">
        <f t="shared" ca="1" si="164"/>
        <v>1542</v>
      </c>
      <c r="CK146" s="3">
        <f t="shared" ca="1" si="165"/>
        <v>6.2466489013044951E-3</v>
      </c>
      <c r="CL146" s="3">
        <f t="shared" ca="1" si="166"/>
        <v>1</v>
      </c>
      <c r="CM146" s="3"/>
      <c r="CN146" s="1">
        <f t="shared" ca="1" si="167"/>
        <v>18.859026957706519</v>
      </c>
      <c r="CO146" s="1">
        <f t="shared" ca="1" si="168"/>
        <v>0.39942856274019345</v>
      </c>
      <c r="CP146" s="1">
        <f t="shared" ca="1" si="169"/>
        <v>2</v>
      </c>
    </row>
    <row r="147" spans="2:94" x14ac:dyDescent="0.25">
      <c r="B147">
        <f t="shared" ca="1" si="114"/>
        <v>762</v>
      </c>
      <c r="C147">
        <f t="shared" ca="1" si="115"/>
        <v>18</v>
      </c>
      <c r="D147">
        <f t="shared" ca="1" si="116"/>
        <v>6.5351318643163944E-2</v>
      </c>
      <c r="F147" s="1">
        <f t="shared" ca="1" si="117"/>
        <v>48</v>
      </c>
      <c r="G147" s="1">
        <f t="shared" ca="1" si="118"/>
        <v>10</v>
      </c>
      <c r="H147" s="1">
        <f t="shared" ca="1" si="119"/>
        <v>11</v>
      </c>
      <c r="I147" s="1"/>
      <c r="J147" s="1">
        <f t="shared" ca="1" si="120"/>
        <v>16</v>
      </c>
      <c r="K147" s="1">
        <f t="shared" ca="1" si="121"/>
        <v>1.247643955792511</v>
      </c>
      <c r="L147" s="1">
        <f t="shared" ca="1" si="122"/>
        <v>20</v>
      </c>
      <c r="M147" s="1"/>
      <c r="N147" s="1">
        <f t="shared" ca="1" si="123"/>
        <v>383</v>
      </c>
      <c r="O147" s="1">
        <f t="shared" ca="1" si="124"/>
        <v>4</v>
      </c>
      <c r="P147" s="1"/>
      <c r="Q147" s="1">
        <f t="shared" ca="1" si="125"/>
        <v>3.1413769991523814</v>
      </c>
      <c r="R147" s="1">
        <f t="shared" ca="1" si="126"/>
        <v>486</v>
      </c>
      <c r="S147" s="1"/>
      <c r="T147" s="1">
        <f t="shared" ca="1" si="127"/>
        <v>0.11003982682677685</v>
      </c>
      <c r="U147" s="1">
        <f t="shared" ca="1" si="128"/>
        <v>251</v>
      </c>
      <c r="V147" s="1">
        <f t="shared" ca="1" si="129"/>
        <v>41</v>
      </c>
      <c r="W147" s="1"/>
      <c r="X147" s="1">
        <f t="shared" ca="1" si="130"/>
        <v>5.4956042858427221</v>
      </c>
      <c r="Y147" s="1">
        <f t="shared" ca="1" si="131"/>
        <v>0.85493770780038358</v>
      </c>
      <c r="Z147" s="1">
        <f t="shared" ca="1" si="132"/>
        <v>1930</v>
      </c>
      <c r="AB147" s="1">
        <f t="shared" ca="1" si="133"/>
        <v>6.5429371982524576E-2</v>
      </c>
      <c r="AC147" s="1">
        <f t="shared" ca="1" si="134"/>
        <v>384</v>
      </c>
      <c r="AD147" s="1">
        <f t="shared" ca="1" si="135"/>
        <v>5.5961958486253653E-3</v>
      </c>
      <c r="AE147" s="1"/>
      <c r="AF147" s="1">
        <f t="shared" ca="1" si="136"/>
        <v>0.78547619273122815</v>
      </c>
      <c r="AG147" s="1">
        <f t="shared" ca="1" si="137"/>
        <v>270</v>
      </c>
      <c r="AH147" s="1">
        <f t="shared" ca="1" si="138"/>
        <v>7.2608989249597321E-3</v>
      </c>
      <c r="AJ147" s="1">
        <f t="shared" ca="1" si="139"/>
        <v>7.3384149863199744E-2</v>
      </c>
      <c r="AK147" s="1">
        <f t="shared" ca="1" si="140"/>
        <v>9.3427904902194622E-4</v>
      </c>
      <c r="AL147" s="1"/>
      <c r="AM147" s="1">
        <f t="shared" ca="1" si="141"/>
        <v>5.2409345476505539E-2</v>
      </c>
      <c r="AN147" s="1">
        <f t="shared" ca="1" si="142"/>
        <v>21</v>
      </c>
      <c r="AO147" s="1">
        <f t="shared" ca="1" si="143"/>
        <v>13</v>
      </c>
      <c r="AQ147" s="1">
        <f t="shared" ca="1" si="144"/>
        <v>104</v>
      </c>
      <c r="AR147" s="1">
        <f t="shared" ca="1" si="145"/>
        <v>2</v>
      </c>
      <c r="AS147" s="1">
        <f t="shared" ca="1" si="146"/>
        <v>16</v>
      </c>
      <c r="AU147" s="1">
        <f t="shared" ca="1" si="147"/>
        <v>94</v>
      </c>
      <c r="AV147" s="1">
        <f t="shared" ca="1" si="148"/>
        <v>4</v>
      </c>
      <c r="AW147" s="1">
        <f t="shared" ca="1" si="149"/>
        <v>9.4428033802510788E-2</v>
      </c>
      <c r="AY147" s="1">
        <f t="shared" ca="1" si="150"/>
        <v>1.5838172458567863</v>
      </c>
      <c r="AZ147" s="1">
        <f t="shared" ca="1" si="151"/>
        <v>274</v>
      </c>
      <c r="BA147" s="1">
        <f t="shared" ca="1" si="152"/>
        <v>6.119052566625165E-3</v>
      </c>
      <c r="BV147" s="1">
        <f t="shared" ca="1" si="153"/>
        <v>0.48880538352092667</v>
      </c>
      <c r="BW147" s="1">
        <f t="shared" ca="1" si="154"/>
        <v>856</v>
      </c>
      <c r="BX147" s="1">
        <f t="shared" ca="1" si="155"/>
        <v>1.7273846363948925E-3</v>
      </c>
      <c r="BY147" s="1">
        <f t="shared" ca="1" si="156"/>
        <v>3.1814394979765515E-2</v>
      </c>
      <c r="BZ147" s="1">
        <f t="shared" ca="1" si="157"/>
        <v>0.21348612352341645</v>
      </c>
      <c r="CB147" s="1">
        <f t="shared" ca="1" si="158"/>
        <v>435</v>
      </c>
      <c r="CC147" s="1">
        <f t="shared" ca="1" si="159"/>
        <v>13</v>
      </c>
      <c r="CD147" s="1">
        <f t="shared" ca="1" si="160"/>
        <v>0.21673998726309332</v>
      </c>
      <c r="CE147" s="1">
        <f t="shared" ca="1" si="161"/>
        <v>0.649297918855126</v>
      </c>
      <c r="CF147" s="1">
        <f t="shared" ca="1" si="161"/>
        <v>0.67100450572068504</v>
      </c>
      <c r="CH147" s="3">
        <f t="shared" ca="1" si="162"/>
        <v>9.9641658397089272E-2</v>
      </c>
      <c r="CI147" s="3">
        <f t="shared" ca="1" si="163"/>
        <v>0.39217447421948631</v>
      </c>
      <c r="CJ147" s="3">
        <f t="shared" ca="1" si="164"/>
        <v>189</v>
      </c>
      <c r="CK147" s="3">
        <f t="shared" ca="1" si="165"/>
        <v>9.4871599041536185E-3</v>
      </c>
      <c r="CL147" s="3">
        <f t="shared" ca="1" si="166"/>
        <v>1</v>
      </c>
      <c r="CM147" s="3"/>
      <c r="CN147" s="1">
        <f t="shared" ca="1" si="167"/>
        <v>6.5074327836487145</v>
      </c>
      <c r="CO147" s="1">
        <f t="shared" ca="1" si="168"/>
        <v>0.16590763951436513</v>
      </c>
      <c r="CP147" s="1">
        <f t="shared" ca="1" si="169"/>
        <v>4</v>
      </c>
    </row>
    <row r="148" spans="2:94" x14ac:dyDescent="0.25">
      <c r="B148">
        <f t="shared" ca="1" si="114"/>
        <v>985</v>
      </c>
      <c r="C148">
        <f t="shared" ca="1" si="115"/>
        <v>7</v>
      </c>
      <c r="D148">
        <f t="shared" ca="1" si="116"/>
        <v>0.2832958852579408</v>
      </c>
      <c r="F148" s="1">
        <f t="shared" ca="1" si="117"/>
        <v>8</v>
      </c>
      <c r="G148" s="1">
        <f t="shared" ca="1" si="118"/>
        <v>27</v>
      </c>
      <c r="H148" s="1">
        <f t="shared" ca="1" si="119"/>
        <v>14</v>
      </c>
      <c r="I148" s="1"/>
      <c r="J148" s="1">
        <f t="shared" ca="1" si="120"/>
        <v>30</v>
      </c>
      <c r="K148" s="1">
        <f t="shared" ca="1" si="121"/>
        <v>2.5305321641317517</v>
      </c>
      <c r="L148" s="1">
        <f t="shared" ca="1" si="122"/>
        <v>27</v>
      </c>
      <c r="M148" s="1"/>
      <c r="N148" s="1">
        <f t="shared" ca="1" si="123"/>
        <v>667</v>
      </c>
      <c r="O148" s="1">
        <f t="shared" ca="1" si="124"/>
        <v>28</v>
      </c>
      <c r="P148" s="1"/>
      <c r="Q148" s="1">
        <f t="shared" ca="1" si="125"/>
        <v>1.5955484434770038</v>
      </c>
      <c r="R148" s="1">
        <f t="shared" ca="1" si="126"/>
        <v>712</v>
      </c>
      <c r="S148" s="1"/>
      <c r="T148" s="1">
        <f t="shared" ca="1" si="127"/>
        <v>0.10001560175074982</v>
      </c>
      <c r="U148" s="1">
        <f t="shared" ca="1" si="128"/>
        <v>198</v>
      </c>
      <c r="V148" s="1">
        <f t="shared" ca="1" si="129"/>
        <v>7</v>
      </c>
      <c r="W148" s="1"/>
      <c r="X148" s="1">
        <f t="shared" ca="1" si="130"/>
        <v>2.899902337467136</v>
      </c>
      <c r="Y148" s="1">
        <f t="shared" ca="1" si="131"/>
        <v>0.84532499016819129</v>
      </c>
      <c r="Z148" s="1">
        <f t="shared" ca="1" si="132"/>
        <v>371</v>
      </c>
      <c r="AB148" s="1">
        <f t="shared" ca="1" si="133"/>
        <v>0.86151654104115638</v>
      </c>
      <c r="AC148" s="1">
        <f t="shared" ca="1" si="134"/>
        <v>279</v>
      </c>
      <c r="AD148" s="1">
        <f t="shared" ca="1" si="135"/>
        <v>1.5994987873062991E-3</v>
      </c>
      <c r="AE148" s="1"/>
      <c r="AF148" s="1">
        <f t="shared" ca="1" si="136"/>
        <v>0.80481923508994857</v>
      </c>
      <c r="AG148" s="1">
        <f t="shared" ca="1" si="137"/>
        <v>178</v>
      </c>
      <c r="AH148" s="1">
        <f t="shared" ca="1" si="138"/>
        <v>1.9711674863027651E-4</v>
      </c>
      <c r="AJ148" s="1">
        <f t="shared" ca="1" si="139"/>
        <v>0.25928712111467345</v>
      </c>
      <c r="AK148" s="1">
        <f t="shared" ca="1" si="140"/>
        <v>6.2204798295997909E-3</v>
      </c>
      <c r="AL148" s="1"/>
      <c r="AM148" s="1">
        <f t="shared" ca="1" si="141"/>
        <v>5.3273314796066742E-2</v>
      </c>
      <c r="AN148" s="1">
        <f t="shared" ca="1" si="142"/>
        <v>67</v>
      </c>
      <c r="AO148" s="1">
        <f t="shared" ca="1" si="143"/>
        <v>10</v>
      </c>
      <c r="AQ148" s="1">
        <f t="shared" ca="1" si="144"/>
        <v>166</v>
      </c>
      <c r="AR148" s="1">
        <f t="shared" ca="1" si="145"/>
        <v>5</v>
      </c>
      <c r="AS148" s="1">
        <f t="shared" ca="1" si="146"/>
        <v>91</v>
      </c>
      <c r="AU148" s="1">
        <f t="shared" ca="1" si="147"/>
        <v>324</v>
      </c>
      <c r="AV148" s="1">
        <f t="shared" ca="1" si="148"/>
        <v>10</v>
      </c>
      <c r="AW148" s="1">
        <f t="shared" ca="1" si="149"/>
        <v>5.8132327534877001E-2</v>
      </c>
      <c r="AY148" s="1">
        <f t="shared" ca="1" si="150"/>
        <v>1.7407908103223328</v>
      </c>
      <c r="AZ148" s="1">
        <f t="shared" ca="1" si="151"/>
        <v>335</v>
      </c>
      <c r="BA148" s="1">
        <f t="shared" ca="1" si="152"/>
        <v>7.5694331343045757E-3</v>
      </c>
      <c r="BV148" s="1">
        <f t="shared" ca="1" si="153"/>
        <v>0.61678325213765417</v>
      </c>
      <c r="BW148" s="1">
        <f t="shared" ca="1" si="154"/>
        <v>591</v>
      </c>
      <c r="BX148" s="1">
        <f t="shared" ca="1" si="155"/>
        <v>4.4612576691079201E-5</v>
      </c>
      <c r="BY148" s="1">
        <f t="shared" ca="1" si="156"/>
        <v>3.6729100409825848E-2</v>
      </c>
      <c r="BZ148" s="1">
        <f t="shared" ca="1" si="157"/>
        <v>0.3719583945975623</v>
      </c>
      <c r="CB148" s="1">
        <f t="shared" ca="1" si="158"/>
        <v>79</v>
      </c>
      <c r="CC148" s="1">
        <f t="shared" ca="1" si="159"/>
        <v>3</v>
      </c>
      <c r="CD148" s="1">
        <f t="shared" ca="1" si="160"/>
        <v>0.22337424962719629</v>
      </c>
      <c r="CE148" s="1">
        <f t="shared" ca="1" si="161"/>
        <v>0.733769867633002</v>
      </c>
      <c r="CF148" s="1">
        <f t="shared" ca="1" si="161"/>
        <v>0.56091337873976577</v>
      </c>
      <c r="CH148" s="3">
        <f t="shared" ca="1" si="162"/>
        <v>0.26255324420849441</v>
      </c>
      <c r="CI148" s="3">
        <f t="shared" ca="1" si="163"/>
        <v>0.85442946369657968</v>
      </c>
      <c r="CJ148" s="3">
        <f t="shared" ca="1" si="164"/>
        <v>182</v>
      </c>
      <c r="CK148" s="3">
        <f t="shared" ca="1" si="165"/>
        <v>9.3846243860139459E-3</v>
      </c>
      <c r="CL148" s="3">
        <f t="shared" ca="1" si="166"/>
        <v>0</v>
      </c>
      <c r="CM148" s="3"/>
      <c r="CN148" s="1">
        <f t="shared" ca="1" si="167"/>
        <v>15.0989575141045</v>
      </c>
      <c r="CO148" s="1">
        <f t="shared" ca="1" si="168"/>
        <v>0.35089466276472303</v>
      </c>
      <c r="CP148" s="1">
        <f t="shared" ca="1" si="169"/>
        <v>4</v>
      </c>
    </row>
    <row r="149" spans="2:94" x14ac:dyDescent="0.25">
      <c r="B149">
        <f t="shared" ca="1" si="114"/>
        <v>528</v>
      </c>
      <c r="C149">
        <f t="shared" ca="1" si="115"/>
        <v>27</v>
      </c>
      <c r="D149">
        <f t="shared" ca="1" si="116"/>
        <v>1.5368917442490387E-2</v>
      </c>
      <c r="F149" s="1">
        <f t="shared" ca="1" si="117"/>
        <v>15</v>
      </c>
      <c r="G149" s="1">
        <f t="shared" ca="1" si="118"/>
        <v>5</v>
      </c>
      <c r="H149" s="1">
        <f t="shared" ca="1" si="119"/>
        <v>11</v>
      </c>
      <c r="I149" s="1"/>
      <c r="J149" s="1">
        <f t="shared" ca="1" si="120"/>
        <v>30</v>
      </c>
      <c r="K149" s="1">
        <f t="shared" ca="1" si="121"/>
        <v>1.1120233960641921</v>
      </c>
      <c r="L149" s="1">
        <f t="shared" ca="1" si="122"/>
        <v>32</v>
      </c>
      <c r="M149" s="1"/>
      <c r="N149" s="1">
        <f t="shared" ca="1" si="123"/>
        <v>230</v>
      </c>
      <c r="O149" s="1">
        <f t="shared" ca="1" si="124"/>
        <v>5</v>
      </c>
      <c r="P149" s="1"/>
      <c r="Q149" s="1">
        <f t="shared" ca="1" si="125"/>
        <v>1.1432079205062684</v>
      </c>
      <c r="R149" s="1">
        <f t="shared" ca="1" si="126"/>
        <v>1193</v>
      </c>
      <c r="S149" s="1"/>
      <c r="T149" s="1">
        <f t="shared" ca="1" si="127"/>
        <v>0.10267296563961341</v>
      </c>
      <c r="U149" s="1">
        <f t="shared" ca="1" si="128"/>
        <v>143</v>
      </c>
      <c r="V149" s="1">
        <f t="shared" ca="1" si="129"/>
        <v>30</v>
      </c>
      <c r="W149" s="1"/>
      <c r="X149" s="1">
        <f t="shared" ca="1" si="130"/>
        <v>9.1582906585771777</v>
      </c>
      <c r="Y149" s="1">
        <f t="shared" ca="1" si="131"/>
        <v>0.73483028386472105</v>
      </c>
      <c r="Z149" s="1">
        <f t="shared" ca="1" si="132"/>
        <v>353</v>
      </c>
      <c r="AB149" s="1">
        <f t="shared" ca="1" si="133"/>
        <v>7.6787249751722769E-2</v>
      </c>
      <c r="AC149" s="1">
        <f t="shared" ca="1" si="134"/>
        <v>386</v>
      </c>
      <c r="AD149" s="1">
        <f t="shared" ca="1" si="135"/>
        <v>3.2811145898222842E-3</v>
      </c>
      <c r="AE149" s="1"/>
      <c r="AF149" s="1">
        <f t="shared" ca="1" si="136"/>
        <v>0.10387966934517651</v>
      </c>
      <c r="AG149" s="1">
        <f t="shared" ca="1" si="137"/>
        <v>822</v>
      </c>
      <c r="AH149" s="1">
        <f t="shared" ca="1" si="138"/>
        <v>3.4280867750670551E-3</v>
      </c>
      <c r="AJ149" s="1">
        <f t="shared" ca="1" si="139"/>
        <v>0.81245528338816753</v>
      </c>
      <c r="AK149" s="1">
        <f t="shared" ca="1" si="140"/>
        <v>7.4432845514598132E-3</v>
      </c>
      <c r="AL149" s="1"/>
      <c r="AM149" s="1">
        <f t="shared" ca="1" si="141"/>
        <v>0.13907135252987587</v>
      </c>
      <c r="AN149" s="1">
        <f t="shared" ca="1" si="142"/>
        <v>23</v>
      </c>
      <c r="AO149" s="1">
        <f t="shared" ca="1" si="143"/>
        <v>13</v>
      </c>
      <c r="AQ149" s="1">
        <f t="shared" ca="1" si="144"/>
        <v>88</v>
      </c>
      <c r="AR149" s="1">
        <f t="shared" ca="1" si="145"/>
        <v>0</v>
      </c>
      <c r="AS149" s="1">
        <f t="shared" ca="1" si="146"/>
        <v>5</v>
      </c>
      <c r="AU149" s="1">
        <f t="shared" ca="1" si="147"/>
        <v>200</v>
      </c>
      <c r="AV149" s="1">
        <f t="shared" ca="1" si="148"/>
        <v>10</v>
      </c>
      <c r="AW149" s="1">
        <f t="shared" ca="1" si="149"/>
        <v>9.275666791802302E-2</v>
      </c>
      <c r="AY149" s="1">
        <f t="shared" ca="1" si="150"/>
        <v>1.7197496970724233</v>
      </c>
      <c r="AZ149" s="1">
        <f t="shared" ca="1" si="151"/>
        <v>199</v>
      </c>
      <c r="BA149" s="1">
        <f t="shared" ca="1" si="152"/>
        <v>1.0780476738302402E-3</v>
      </c>
      <c r="BV149" s="1">
        <f t="shared" ca="1" si="153"/>
        <v>0.75807060656390435</v>
      </c>
      <c r="BW149" s="1">
        <f t="shared" ca="1" si="154"/>
        <v>611</v>
      </c>
      <c r="BX149" s="1">
        <f t="shared" ca="1" si="155"/>
        <v>7.5979626208762313E-3</v>
      </c>
      <c r="BY149" s="1">
        <f t="shared" ca="1" si="156"/>
        <v>9.9328596092597365E-2</v>
      </c>
      <c r="BZ149" s="1">
        <f t="shared" ca="1" si="157"/>
        <v>0.53855751334964763</v>
      </c>
      <c r="CB149" s="1">
        <f t="shared" ca="1" si="158"/>
        <v>451</v>
      </c>
      <c r="CC149" s="1">
        <f t="shared" ca="1" si="159"/>
        <v>9</v>
      </c>
      <c r="CD149" s="1">
        <f t="shared" ca="1" si="160"/>
        <v>6.5175167307644985E-2</v>
      </c>
      <c r="CE149" s="1">
        <f t="shared" ca="1" si="161"/>
        <v>0.52483350850140242</v>
      </c>
      <c r="CF149" s="1">
        <f t="shared" ca="1" si="161"/>
        <v>0.74823505405037849</v>
      </c>
      <c r="CH149" s="3">
        <f t="shared" ca="1" si="162"/>
        <v>0.2381085422182754</v>
      </c>
      <c r="CI149" s="3">
        <f t="shared" ca="1" si="163"/>
        <v>0.838855003198686</v>
      </c>
      <c r="CJ149" s="3">
        <f t="shared" ca="1" si="164"/>
        <v>1847</v>
      </c>
      <c r="CK149" s="3">
        <f t="shared" ca="1" si="165"/>
        <v>6.846626148836259E-3</v>
      </c>
      <c r="CL149" s="3">
        <f t="shared" ca="1" si="166"/>
        <v>0</v>
      </c>
      <c r="CM149" s="3"/>
      <c r="CN149" s="1">
        <f t="shared" ca="1" si="167"/>
        <v>15.311316455846745</v>
      </c>
      <c r="CO149" s="1">
        <f t="shared" ca="1" si="168"/>
        <v>1.5630995934150867E-3</v>
      </c>
      <c r="CP149" s="1">
        <f t="shared" ca="1" si="169"/>
        <v>3</v>
      </c>
    </row>
    <row r="150" spans="2:94" x14ac:dyDescent="0.25">
      <c r="B150">
        <f t="shared" ca="1" si="114"/>
        <v>214</v>
      </c>
      <c r="C150">
        <f t="shared" ca="1" si="115"/>
        <v>31</v>
      </c>
      <c r="D150">
        <f t="shared" ca="1" si="116"/>
        <v>0.10407227344497702</v>
      </c>
      <c r="F150" s="1">
        <f t="shared" ca="1" si="117"/>
        <v>2</v>
      </c>
      <c r="G150" s="1">
        <f t="shared" ca="1" si="118"/>
        <v>28</v>
      </c>
      <c r="H150" s="1">
        <f t="shared" ca="1" si="119"/>
        <v>2</v>
      </c>
      <c r="I150" s="1"/>
      <c r="J150" s="1">
        <f t="shared" ca="1" si="120"/>
        <v>6</v>
      </c>
      <c r="K150" s="1">
        <f t="shared" ca="1" si="121"/>
        <v>2.7345566832852297</v>
      </c>
      <c r="L150" s="1">
        <f t="shared" ca="1" si="122"/>
        <v>12</v>
      </c>
      <c r="M150" s="1"/>
      <c r="N150" s="1">
        <f t="shared" ca="1" si="123"/>
        <v>664</v>
      </c>
      <c r="O150" s="1">
        <f t="shared" ca="1" si="124"/>
        <v>18</v>
      </c>
      <c r="P150" s="1"/>
      <c r="Q150" s="1">
        <f t="shared" ca="1" si="125"/>
        <v>2.9857803349253933</v>
      </c>
      <c r="R150" s="1">
        <f t="shared" ca="1" si="126"/>
        <v>1029</v>
      </c>
      <c r="S150" s="1"/>
      <c r="T150" s="1">
        <f t="shared" ca="1" si="127"/>
        <v>9.1281279073472318E-2</v>
      </c>
      <c r="U150" s="1">
        <f t="shared" ca="1" si="128"/>
        <v>352</v>
      </c>
      <c r="V150" s="1">
        <f t="shared" ca="1" si="129"/>
        <v>43</v>
      </c>
      <c r="W150" s="1"/>
      <c r="X150" s="1">
        <f t="shared" ca="1" si="130"/>
        <v>2.4739517409100733</v>
      </c>
      <c r="Y150" s="1">
        <f t="shared" ca="1" si="131"/>
        <v>0.82583403044370829</v>
      </c>
      <c r="Z150" s="1">
        <f t="shared" ca="1" si="132"/>
        <v>1231</v>
      </c>
      <c r="AB150" s="1">
        <f t="shared" ca="1" si="133"/>
        <v>0.7259996164870981</v>
      </c>
      <c r="AC150" s="1">
        <f t="shared" ca="1" si="134"/>
        <v>601</v>
      </c>
      <c r="AD150" s="1">
        <f t="shared" ca="1" si="135"/>
        <v>7.9988529026546636E-3</v>
      </c>
      <c r="AE150" s="1"/>
      <c r="AF150" s="1">
        <f t="shared" ca="1" si="136"/>
        <v>0.79699124093307006</v>
      </c>
      <c r="AG150" s="1">
        <f t="shared" ca="1" si="137"/>
        <v>442</v>
      </c>
      <c r="AH150" s="1">
        <f t="shared" ca="1" si="138"/>
        <v>7.0963775884212267E-3</v>
      </c>
      <c r="AJ150" s="1">
        <f t="shared" ca="1" si="139"/>
        <v>0.3164116715117794</v>
      </c>
      <c r="AK150" s="1">
        <f t="shared" ca="1" si="140"/>
        <v>3.9525041200422035E-3</v>
      </c>
      <c r="AL150" s="1"/>
      <c r="AM150" s="1">
        <f t="shared" ca="1" si="141"/>
        <v>0.12368719502860587</v>
      </c>
      <c r="AN150" s="1">
        <f t="shared" ca="1" si="142"/>
        <v>77</v>
      </c>
      <c r="AO150" s="1">
        <f t="shared" ca="1" si="143"/>
        <v>12</v>
      </c>
      <c r="AQ150" s="1">
        <f t="shared" ca="1" si="144"/>
        <v>119</v>
      </c>
      <c r="AR150" s="1">
        <f t="shared" ca="1" si="145"/>
        <v>6</v>
      </c>
      <c r="AS150" s="1">
        <f t="shared" ca="1" si="146"/>
        <v>12</v>
      </c>
      <c r="AU150" s="1">
        <f t="shared" ca="1" si="147"/>
        <v>233</v>
      </c>
      <c r="AV150" s="1">
        <f t="shared" ca="1" si="148"/>
        <v>7</v>
      </c>
      <c r="AW150" s="1">
        <f t="shared" ca="1" si="149"/>
        <v>0.15099426179016201</v>
      </c>
      <c r="AY150" s="1">
        <f t="shared" ca="1" si="150"/>
        <v>1.4174983810819894</v>
      </c>
      <c r="AZ150" s="1">
        <f t="shared" ca="1" si="151"/>
        <v>92</v>
      </c>
      <c r="BA150" s="1">
        <f t="shared" ca="1" si="152"/>
        <v>2.7739855361456327E-3</v>
      </c>
      <c r="BV150" s="1">
        <f t="shared" ca="1" si="153"/>
        <v>0.16088879887068266</v>
      </c>
      <c r="BW150" s="1">
        <f t="shared" ca="1" si="154"/>
        <v>294</v>
      </c>
      <c r="BX150" s="1">
        <f t="shared" ca="1" si="155"/>
        <v>6.1825377105691895E-3</v>
      </c>
      <c r="BY150" s="1">
        <f t="shared" ca="1" si="156"/>
        <v>4.2792200180530211E-2</v>
      </c>
      <c r="BZ150" s="1">
        <f t="shared" ca="1" si="157"/>
        <v>0.30889354371534472</v>
      </c>
      <c r="CB150" s="1">
        <f t="shared" ca="1" si="158"/>
        <v>365</v>
      </c>
      <c r="CC150" s="1">
        <f t="shared" ca="1" si="159"/>
        <v>8</v>
      </c>
      <c r="CD150" s="1">
        <f t="shared" ca="1" si="160"/>
        <v>0.29229401923661319</v>
      </c>
      <c r="CE150" s="1">
        <f t="shared" ca="1" si="161"/>
        <v>0.52451964143870122</v>
      </c>
      <c r="CF150" s="1">
        <f t="shared" ca="1" si="161"/>
        <v>0.6664426710804906</v>
      </c>
      <c r="CH150" s="3">
        <f t="shared" ca="1" si="162"/>
        <v>0.13922483025501367</v>
      </c>
      <c r="CI150" s="3">
        <f t="shared" ca="1" si="163"/>
        <v>0.54970870212727263</v>
      </c>
      <c r="CJ150" s="3">
        <f t="shared" ca="1" si="164"/>
        <v>1541</v>
      </c>
      <c r="CK150" s="3">
        <f t="shared" ca="1" si="165"/>
        <v>3.9131554828136152E-3</v>
      </c>
      <c r="CL150" s="3">
        <f t="shared" ca="1" si="166"/>
        <v>1</v>
      </c>
      <c r="CM150" s="3"/>
      <c r="CN150" s="1">
        <f t="shared" ca="1" si="167"/>
        <v>3.6492446795326527</v>
      </c>
      <c r="CO150" s="1">
        <f t="shared" ca="1" si="168"/>
        <v>9.6753912163346625E-2</v>
      </c>
      <c r="CP150" s="1">
        <f t="shared" ca="1" si="169"/>
        <v>4</v>
      </c>
    </row>
    <row r="151" spans="2:94" x14ac:dyDescent="0.25">
      <c r="B151">
        <f t="shared" ca="1" si="114"/>
        <v>24</v>
      </c>
      <c r="C151">
        <f t="shared" ca="1" si="115"/>
        <v>52</v>
      </c>
      <c r="D151">
        <f t="shared" ca="1" si="116"/>
        <v>3.7305332933706893E-2</v>
      </c>
      <c r="F151" s="1">
        <f t="shared" ca="1" si="117"/>
        <v>18</v>
      </c>
      <c r="G151" s="1">
        <f t="shared" ca="1" si="118"/>
        <v>7</v>
      </c>
      <c r="H151" s="1">
        <f t="shared" ca="1" si="119"/>
        <v>3</v>
      </c>
      <c r="I151" s="1"/>
      <c r="J151" s="1">
        <f t="shared" ca="1" si="120"/>
        <v>15</v>
      </c>
      <c r="K151" s="1">
        <f t="shared" ca="1" si="121"/>
        <v>2.179077826812164</v>
      </c>
      <c r="L151" s="1">
        <f t="shared" ca="1" si="122"/>
        <v>22</v>
      </c>
      <c r="M151" s="1"/>
      <c r="N151" s="1">
        <f t="shared" ca="1" si="123"/>
        <v>419</v>
      </c>
      <c r="O151" s="1">
        <f t="shared" ca="1" si="124"/>
        <v>28</v>
      </c>
      <c r="P151" s="1"/>
      <c r="Q151" s="1">
        <f t="shared" ca="1" si="125"/>
        <v>0.81629679648633147</v>
      </c>
      <c r="R151" s="1">
        <f t="shared" ca="1" si="126"/>
        <v>532</v>
      </c>
      <c r="S151" s="1"/>
      <c r="T151" s="1">
        <f t="shared" ca="1" si="127"/>
        <v>9.9635115905406621E-2</v>
      </c>
      <c r="U151" s="1">
        <f t="shared" ca="1" si="128"/>
        <v>121</v>
      </c>
      <c r="V151" s="1">
        <f t="shared" ca="1" si="129"/>
        <v>31</v>
      </c>
      <c r="W151" s="1"/>
      <c r="X151" s="1">
        <f t="shared" ca="1" si="130"/>
        <v>3.5521896332317029</v>
      </c>
      <c r="Y151" s="1">
        <f t="shared" ca="1" si="131"/>
        <v>0.23286020784091441</v>
      </c>
      <c r="Z151" s="1">
        <f t="shared" ca="1" si="132"/>
        <v>1466</v>
      </c>
      <c r="AB151" s="1">
        <f t="shared" ca="1" si="133"/>
        <v>0.8328164007877904</v>
      </c>
      <c r="AC151" s="1">
        <f t="shared" ca="1" si="134"/>
        <v>458</v>
      </c>
      <c r="AD151" s="1">
        <f t="shared" ca="1" si="135"/>
        <v>6.3813855518202308E-3</v>
      </c>
      <c r="AE151" s="1"/>
      <c r="AF151" s="1">
        <f t="shared" ca="1" si="136"/>
        <v>0.74396907931707046</v>
      </c>
      <c r="AG151" s="1">
        <f t="shared" ca="1" si="137"/>
        <v>205</v>
      </c>
      <c r="AH151" s="1">
        <f t="shared" ca="1" si="138"/>
        <v>2.6970061112136031E-3</v>
      </c>
      <c r="AJ151" s="1">
        <f t="shared" ca="1" si="139"/>
        <v>0.51366639211723431</v>
      </c>
      <c r="AK151" s="1">
        <f t="shared" ca="1" si="140"/>
        <v>2.2232722959782993E-3</v>
      </c>
      <c r="AL151" s="1"/>
      <c r="AM151" s="1">
        <f t="shared" ca="1" si="141"/>
        <v>0.12968656011437404</v>
      </c>
      <c r="AN151" s="1">
        <f t="shared" ca="1" si="142"/>
        <v>63</v>
      </c>
      <c r="AO151" s="1">
        <f t="shared" ca="1" si="143"/>
        <v>6</v>
      </c>
      <c r="AQ151" s="1">
        <f t="shared" ca="1" si="144"/>
        <v>139</v>
      </c>
      <c r="AR151" s="1">
        <f t="shared" ca="1" si="145"/>
        <v>8</v>
      </c>
      <c r="AS151" s="1">
        <f t="shared" ca="1" si="146"/>
        <v>62</v>
      </c>
      <c r="AU151" s="1">
        <f t="shared" ca="1" si="147"/>
        <v>321</v>
      </c>
      <c r="AV151" s="1">
        <f t="shared" ca="1" si="148"/>
        <v>7</v>
      </c>
      <c r="AW151" s="1">
        <f t="shared" ca="1" si="149"/>
        <v>9.3002889294928892E-2</v>
      </c>
      <c r="AY151" s="1">
        <f t="shared" ca="1" si="150"/>
        <v>1.7692705352746809</v>
      </c>
      <c r="AZ151" s="1">
        <f t="shared" ca="1" si="151"/>
        <v>96</v>
      </c>
      <c r="BA151" s="1">
        <f t="shared" ca="1" si="152"/>
        <v>6.6308031077206538E-3</v>
      </c>
      <c r="BV151" s="1">
        <f t="shared" ca="1" si="153"/>
        <v>7.7503456152429623E-2</v>
      </c>
      <c r="BW151" s="1">
        <f t="shared" ca="1" si="154"/>
        <v>730</v>
      </c>
      <c r="BX151" s="1">
        <f t="shared" ca="1" si="155"/>
        <v>1.7448335776072804E-4</v>
      </c>
      <c r="BY151" s="1">
        <f t="shared" ca="1" si="156"/>
        <v>8.1477232098293773E-2</v>
      </c>
      <c r="BZ151" s="1">
        <f t="shared" ca="1" si="157"/>
        <v>0.80781870009204682</v>
      </c>
      <c r="CB151" s="1">
        <f t="shared" ca="1" si="158"/>
        <v>180</v>
      </c>
      <c r="CC151" s="1">
        <f t="shared" ca="1" si="159"/>
        <v>12</v>
      </c>
      <c r="CD151" s="1">
        <f t="shared" ca="1" si="160"/>
        <v>9.4957077803143081E-2</v>
      </c>
      <c r="CE151" s="1">
        <f t="shared" ca="1" si="161"/>
        <v>0.92908011287322956</v>
      </c>
      <c r="CF151" s="1">
        <f t="shared" ca="1" si="161"/>
        <v>0.95682523488631888</v>
      </c>
      <c r="CH151" s="3">
        <f t="shared" ca="1" si="162"/>
        <v>0.41488192991192469</v>
      </c>
      <c r="CI151" s="3">
        <f t="shared" ca="1" si="163"/>
        <v>0.22386231216893496</v>
      </c>
      <c r="CJ151" s="3">
        <f t="shared" ca="1" si="164"/>
        <v>1235</v>
      </c>
      <c r="CK151" s="3">
        <f t="shared" ca="1" si="165"/>
        <v>2.5190348404745882E-3</v>
      </c>
      <c r="CL151" s="3">
        <f t="shared" ca="1" si="166"/>
        <v>1</v>
      </c>
      <c r="CM151" s="3"/>
      <c r="CN151" s="1">
        <f t="shared" ca="1" si="167"/>
        <v>17.93879974503032</v>
      </c>
      <c r="CO151" s="1">
        <f t="shared" ca="1" si="168"/>
        <v>0.32765386942128155</v>
      </c>
      <c r="CP151" s="1">
        <f t="shared" ca="1" si="169"/>
        <v>5</v>
      </c>
    </row>
    <row r="152" spans="2:94" x14ac:dyDescent="0.25">
      <c r="B152">
        <f t="shared" ca="1" si="114"/>
        <v>432</v>
      </c>
      <c r="C152">
        <f t="shared" ca="1" si="115"/>
        <v>2</v>
      </c>
      <c r="D152">
        <f t="shared" ca="1" si="116"/>
        <v>0.25141496579351991</v>
      </c>
      <c r="F152" s="1">
        <f t="shared" ca="1" si="117"/>
        <v>35</v>
      </c>
      <c r="G152" s="1">
        <f t="shared" ca="1" si="118"/>
        <v>11</v>
      </c>
      <c r="H152" s="1">
        <f t="shared" ca="1" si="119"/>
        <v>1</v>
      </c>
      <c r="I152" s="1"/>
      <c r="J152" s="1">
        <f t="shared" ca="1" si="120"/>
        <v>5</v>
      </c>
      <c r="K152" s="1">
        <f t="shared" ca="1" si="121"/>
        <v>2.1478720130634805</v>
      </c>
      <c r="L152" s="1">
        <f t="shared" ca="1" si="122"/>
        <v>12</v>
      </c>
      <c r="M152" s="1"/>
      <c r="N152" s="1">
        <f t="shared" ca="1" si="123"/>
        <v>421</v>
      </c>
      <c r="O152" s="1">
        <f t="shared" ca="1" si="124"/>
        <v>26</v>
      </c>
      <c r="P152" s="1"/>
      <c r="Q152" s="1">
        <f t="shared" ca="1" si="125"/>
        <v>4.9347132211770557</v>
      </c>
      <c r="R152" s="1">
        <f t="shared" ca="1" si="126"/>
        <v>305</v>
      </c>
      <c r="S152" s="1"/>
      <c r="T152" s="1">
        <f t="shared" ca="1" si="127"/>
        <v>0.14296705982441504</v>
      </c>
      <c r="U152" s="1">
        <f t="shared" ca="1" si="128"/>
        <v>432</v>
      </c>
      <c r="V152" s="1">
        <f t="shared" ca="1" si="129"/>
        <v>16</v>
      </c>
      <c r="W152" s="1"/>
      <c r="X152" s="1">
        <f t="shared" ca="1" si="130"/>
        <v>7.9094294150224593</v>
      </c>
      <c r="Y152" s="1">
        <f t="shared" ca="1" si="131"/>
        <v>0.6131754065108086</v>
      </c>
      <c r="Z152" s="1">
        <f t="shared" ca="1" si="132"/>
        <v>760</v>
      </c>
      <c r="AB152" s="1">
        <f t="shared" ca="1" si="133"/>
        <v>0.88518895373628703</v>
      </c>
      <c r="AC152" s="1">
        <f t="shared" ca="1" si="134"/>
        <v>308</v>
      </c>
      <c r="AD152" s="1">
        <f t="shared" ca="1" si="135"/>
        <v>1.153605227910011E-3</v>
      </c>
      <c r="AE152" s="1"/>
      <c r="AF152" s="1">
        <f t="shared" ca="1" si="136"/>
        <v>0.15637185838623494</v>
      </c>
      <c r="AG152" s="1">
        <f t="shared" ca="1" si="137"/>
        <v>285</v>
      </c>
      <c r="AH152" s="1">
        <f t="shared" ca="1" si="138"/>
        <v>1.6719064934838221E-3</v>
      </c>
      <c r="AJ152" s="1">
        <f t="shared" ca="1" si="139"/>
        <v>0.82054612572249053</v>
      </c>
      <c r="AK152" s="1">
        <f t="shared" ca="1" si="140"/>
        <v>5.3640142994501204E-3</v>
      </c>
      <c r="AL152" s="1"/>
      <c r="AM152" s="1">
        <f t="shared" ca="1" si="141"/>
        <v>5.2649003664261812E-2</v>
      </c>
      <c r="AN152" s="1">
        <f t="shared" ca="1" si="142"/>
        <v>15</v>
      </c>
      <c r="AO152" s="1">
        <f t="shared" ca="1" si="143"/>
        <v>12</v>
      </c>
      <c r="AQ152" s="1">
        <f t="shared" ca="1" si="144"/>
        <v>37</v>
      </c>
      <c r="AR152" s="1">
        <f t="shared" ca="1" si="145"/>
        <v>0</v>
      </c>
      <c r="AS152" s="1">
        <f t="shared" ca="1" si="146"/>
        <v>55</v>
      </c>
      <c r="AU152" s="1">
        <f t="shared" ca="1" si="147"/>
        <v>378</v>
      </c>
      <c r="AV152" s="1">
        <f t="shared" ca="1" si="148"/>
        <v>8</v>
      </c>
      <c r="AW152" s="1">
        <f t="shared" ca="1" si="149"/>
        <v>9.895549407555726E-2</v>
      </c>
      <c r="AY152" s="1">
        <f t="shared" ca="1" si="150"/>
        <v>1.1335198947546989</v>
      </c>
      <c r="AZ152" s="1">
        <f t="shared" ca="1" si="151"/>
        <v>316</v>
      </c>
      <c r="BA152" s="1">
        <f t="shared" ca="1" si="152"/>
        <v>2.3435689198055792E-3</v>
      </c>
      <c r="BV152" s="1">
        <f t="shared" ca="1" si="153"/>
        <v>0.98420166336441706</v>
      </c>
      <c r="BW152" s="1">
        <f t="shared" ca="1" si="154"/>
        <v>823</v>
      </c>
      <c r="BX152" s="1">
        <f t="shared" ca="1" si="155"/>
        <v>9.2533107228848655E-3</v>
      </c>
      <c r="BY152" s="1">
        <f t="shared" ca="1" si="156"/>
        <v>2.9936510350352469E-2</v>
      </c>
      <c r="BZ152" s="1">
        <f t="shared" ca="1" si="157"/>
        <v>0.81769179647187185</v>
      </c>
      <c r="CB152" s="1">
        <f t="shared" ca="1" si="158"/>
        <v>420</v>
      </c>
      <c r="CC152" s="1">
        <f t="shared" ca="1" si="159"/>
        <v>14</v>
      </c>
      <c r="CD152" s="1">
        <f t="shared" ca="1" si="160"/>
        <v>0.11799634372722881</v>
      </c>
      <c r="CE152" s="1">
        <f t="shared" ca="1" si="161"/>
        <v>0.52382136319302219</v>
      </c>
      <c r="CF152" s="1">
        <f t="shared" ca="1" si="161"/>
        <v>0.93171888151930315</v>
      </c>
      <c r="CH152" s="3">
        <f t="shared" ca="1" si="162"/>
        <v>0.63030895935908005</v>
      </c>
      <c r="CI152" s="3">
        <f t="shared" ca="1" si="163"/>
        <v>0.39880984114609236</v>
      </c>
      <c r="CJ152" s="3">
        <f t="shared" ca="1" si="164"/>
        <v>1003</v>
      </c>
      <c r="CK152" s="3">
        <f t="shared" ca="1" si="165"/>
        <v>9.3552034386951439E-3</v>
      </c>
      <c r="CL152" s="3">
        <f t="shared" ca="1" si="166"/>
        <v>0</v>
      </c>
      <c r="CM152" s="3"/>
      <c r="CN152" s="1">
        <f t="shared" ca="1" si="167"/>
        <v>2.9181307811638724</v>
      </c>
      <c r="CO152" s="1">
        <f t="shared" ca="1" si="168"/>
        <v>0.30432905020356171</v>
      </c>
      <c r="CP152" s="1">
        <f t="shared" ca="1" si="169"/>
        <v>5</v>
      </c>
    </row>
    <row r="153" spans="2:94" x14ac:dyDescent="0.25">
      <c r="B153">
        <f t="shared" ca="1" si="114"/>
        <v>645</v>
      </c>
      <c r="C153">
        <f t="shared" ca="1" si="115"/>
        <v>49</v>
      </c>
      <c r="D153">
        <f t="shared" ca="1" si="116"/>
        <v>0.24813608734530385</v>
      </c>
      <c r="F153" s="1">
        <f t="shared" ca="1" si="117"/>
        <v>14</v>
      </c>
      <c r="G153" s="1">
        <f t="shared" ca="1" si="118"/>
        <v>30</v>
      </c>
      <c r="H153" s="1">
        <f t="shared" ca="1" si="119"/>
        <v>11</v>
      </c>
      <c r="I153" s="1"/>
      <c r="J153" s="1">
        <f t="shared" ca="1" si="120"/>
        <v>6</v>
      </c>
      <c r="K153" s="1">
        <f t="shared" ca="1" si="121"/>
        <v>1.6878739105448324</v>
      </c>
      <c r="L153" s="1">
        <f t="shared" ca="1" si="122"/>
        <v>5</v>
      </c>
      <c r="M153" s="1"/>
      <c r="N153" s="1">
        <f t="shared" ca="1" si="123"/>
        <v>140</v>
      </c>
      <c r="O153" s="1">
        <f t="shared" ca="1" si="124"/>
        <v>23</v>
      </c>
      <c r="P153" s="1"/>
      <c r="Q153" s="1">
        <f t="shared" ca="1" si="125"/>
        <v>3.4106697214053843</v>
      </c>
      <c r="R153" s="1">
        <f t="shared" ca="1" si="126"/>
        <v>1199</v>
      </c>
      <c r="S153" s="1"/>
      <c r="T153" s="1">
        <f t="shared" ca="1" si="127"/>
        <v>4.3479348871443717E-2</v>
      </c>
      <c r="U153" s="1">
        <f t="shared" ca="1" si="128"/>
        <v>196</v>
      </c>
      <c r="V153" s="1">
        <f t="shared" ca="1" si="129"/>
        <v>17</v>
      </c>
      <c r="W153" s="1"/>
      <c r="X153" s="1">
        <f t="shared" ca="1" si="130"/>
        <v>2.4907555403555794</v>
      </c>
      <c r="Y153" s="1">
        <f t="shared" ca="1" si="131"/>
        <v>0.19875394679874736</v>
      </c>
      <c r="Z153" s="1">
        <f t="shared" ca="1" si="132"/>
        <v>951</v>
      </c>
      <c r="AB153" s="1">
        <f t="shared" ca="1" si="133"/>
        <v>0.66276855956501579</v>
      </c>
      <c r="AC153" s="1">
        <f t="shared" ca="1" si="134"/>
        <v>329</v>
      </c>
      <c r="AD153" s="1">
        <f t="shared" ca="1" si="135"/>
        <v>2.3955070362275586E-3</v>
      </c>
      <c r="AE153" s="1"/>
      <c r="AF153" s="1">
        <f t="shared" ca="1" si="136"/>
        <v>0.6549971669110819</v>
      </c>
      <c r="AG153" s="1">
        <f t="shared" ca="1" si="137"/>
        <v>973</v>
      </c>
      <c r="AH153" s="1">
        <f t="shared" ca="1" si="138"/>
        <v>6.9686233676466026E-3</v>
      </c>
      <c r="AJ153" s="1">
        <f t="shared" ca="1" si="139"/>
        <v>0.5423442044551694</v>
      </c>
      <c r="AK153" s="1">
        <f t="shared" ca="1" si="140"/>
        <v>2.5254986106316569E-3</v>
      </c>
      <c r="AL153" s="1"/>
      <c r="AM153" s="1">
        <f t="shared" ca="1" si="141"/>
        <v>0.17058442410562019</v>
      </c>
      <c r="AN153" s="1">
        <f t="shared" ca="1" si="142"/>
        <v>11</v>
      </c>
      <c r="AO153" s="1">
        <f t="shared" ca="1" si="143"/>
        <v>14</v>
      </c>
      <c r="AQ153" s="1">
        <f t="shared" ca="1" si="144"/>
        <v>86</v>
      </c>
      <c r="AR153" s="1">
        <f t="shared" ca="1" si="145"/>
        <v>3</v>
      </c>
      <c r="AS153" s="1">
        <f t="shared" ca="1" si="146"/>
        <v>51</v>
      </c>
      <c r="AU153" s="1">
        <f t="shared" ca="1" si="147"/>
        <v>121</v>
      </c>
      <c r="AV153" s="1">
        <f t="shared" ca="1" si="148"/>
        <v>8</v>
      </c>
      <c r="AW153" s="1">
        <f t="shared" ca="1" si="149"/>
        <v>0.11541783268483878</v>
      </c>
      <c r="AY153" s="1">
        <f t="shared" ca="1" si="150"/>
        <v>1.3046896176459484</v>
      </c>
      <c r="AZ153" s="1">
        <f t="shared" ca="1" si="151"/>
        <v>188</v>
      </c>
      <c r="BA153" s="1">
        <f t="shared" ca="1" si="152"/>
        <v>5.3752687486594366E-4</v>
      </c>
      <c r="BV153" s="1">
        <f t="shared" ca="1" si="153"/>
        <v>0.53461175409479733</v>
      </c>
      <c r="BW153" s="1">
        <f t="shared" ca="1" si="154"/>
        <v>552</v>
      </c>
      <c r="BX153" s="1">
        <f t="shared" ca="1" si="155"/>
        <v>2.7800819141038952E-3</v>
      </c>
      <c r="BY153" s="1">
        <f t="shared" ca="1" si="156"/>
        <v>2.5726239208007255E-2</v>
      </c>
      <c r="BZ153" s="1">
        <f t="shared" ca="1" si="157"/>
        <v>0.80180015515585723</v>
      </c>
      <c r="CB153" s="1">
        <f t="shared" ca="1" si="158"/>
        <v>131</v>
      </c>
      <c r="CC153" s="1">
        <f t="shared" ca="1" si="159"/>
        <v>14</v>
      </c>
      <c r="CD153" s="1">
        <f t="shared" ca="1" si="160"/>
        <v>0.16008111854210483</v>
      </c>
      <c r="CE153" s="1">
        <f t="shared" ca="1" si="161"/>
        <v>0.82540916144743359</v>
      </c>
      <c r="CF153" s="1">
        <f t="shared" ca="1" si="161"/>
        <v>0.89451430411583965</v>
      </c>
      <c r="CH153" s="3">
        <f t="shared" ca="1" si="162"/>
        <v>0.42867589940997247</v>
      </c>
      <c r="CI153" s="3">
        <f t="shared" ca="1" si="163"/>
        <v>0.34217551763196297</v>
      </c>
      <c r="CJ153" s="3">
        <f t="shared" ca="1" si="164"/>
        <v>917</v>
      </c>
      <c r="CK153" s="3">
        <f t="shared" ca="1" si="165"/>
        <v>6.0740803711698812E-3</v>
      </c>
      <c r="CL153" s="3">
        <f t="shared" ca="1" si="166"/>
        <v>1</v>
      </c>
      <c r="CM153" s="3"/>
      <c r="CN153" s="1">
        <f t="shared" ca="1" si="167"/>
        <v>17.169843152025376</v>
      </c>
      <c r="CO153" s="1">
        <f t="shared" ca="1" si="168"/>
        <v>5.3067912694810065E-2</v>
      </c>
      <c r="CP153" s="1">
        <f t="shared" ca="1" si="169"/>
        <v>5</v>
      </c>
    </row>
    <row r="154" spans="2:94" x14ac:dyDescent="0.25">
      <c r="B154">
        <f t="shared" ca="1" si="114"/>
        <v>193</v>
      </c>
      <c r="C154">
        <f t="shared" ca="1" si="115"/>
        <v>37</v>
      </c>
      <c r="D154">
        <f t="shared" ca="1" si="116"/>
        <v>7.2068945300409762E-2</v>
      </c>
      <c r="F154" s="1">
        <f t="shared" ca="1" si="117"/>
        <v>38</v>
      </c>
      <c r="G154" s="1">
        <f t="shared" ca="1" si="118"/>
        <v>27</v>
      </c>
      <c r="H154" s="1">
        <f t="shared" ca="1" si="119"/>
        <v>1</v>
      </c>
      <c r="I154" s="1"/>
      <c r="J154" s="1">
        <f t="shared" ca="1" si="120"/>
        <v>15</v>
      </c>
      <c r="K154" s="1">
        <f t="shared" ca="1" si="121"/>
        <v>1.5658571319021863</v>
      </c>
      <c r="L154" s="1">
        <f t="shared" ca="1" si="122"/>
        <v>15</v>
      </c>
      <c r="M154" s="1"/>
      <c r="N154" s="1">
        <f t="shared" ca="1" si="123"/>
        <v>360</v>
      </c>
      <c r="O154" s="1">
        <f t="shared" ca="1" si="124"/>
        <v>30</v>
      </c>
      <c r="P154" s="1"/>
      <c r="Q154" s="1">
        <f t="shared" ca="1" si="125"/>
        <v>2.9438506224171306</v>
      </c>
      <c r="R154" s="1">
        <f t="shared" ca="1" si="126"/>
        <v>931</v>
      </c>
      <c r="S154" s="1"/>
      <c r="T154" s="1">
        <f t="shared" ca="1" si="127"/>
        <v>3.8746897184855203E-2</v>
      </c>
      <c r="U154" s="1">
        <f t="shared" ca="1" si="128"/>
        <v>188</v>
      </c>
      <c r="V154" s="1">
        <f t="shared" ca="1" si="129"/>
        <v>47</v>
      </c>
      <c r="W154" s="1"/>
      <c r="X154" s="1">
        <f t="shared" ca="1" si="130"/>
        <v>9.5872245994617202</v>
      </c>
      <c r="Y154" s="1">
        <f t="shared" ca="1" si="131"/>
        <v>0.14986629807560722</v>
      </c>
      <c r="Z154" s="1">
        <f t="shared" ca="1" si="132"/>
        <v>1224</v>
      </c>
      <c r="AB154" s="1">
        <f t="shared" ca="1" si="133"/>
        <v>0.84805023007799862</v>
      </c>
      <c r="AC154" s="1">
        <f t="shared" ca="1" si="134"/>
        <v>621</v>
      </c>
      <c r="AD154" s="1">
        <f t="shared" ca="1" si="135"/>
        <v>4.1054423033172471E-3</v>
      </c>
      <c r="AE154" s="1"/>
      <c r="AF154" s="1">
        <f t="shared" ca="1" si="136"/>
        <v>0.78400539601319297</v>
      </c>
      <c r="AG154" s="1">
        <f t="shared" ca="1" si="137"/>
        <v>370</v>
      </c>
      <c r="AH154" s="1">
        <f t="shared" ca="1" si="138"/>
        <v>4.1923757761367008E-3</v>
      </c>
      <c r="AJ154" s="1">
        <f t="shared" ca="1" si="139"/>
        <v>0.3609262941348319</v>
      </c>
      <c r="AK154" s="1">
        <f t="shared" ca="1" si="140"/>
        <v>3.5496743525362403E-3</v>
      </c>
      <c r="AL154" s="1"/>
      <c r="AM154" s="1">
        <f t="shared" ca="1" si="141"/>
        <v>0.18053338308089392</v>
      </c>
      <c r="AN154" s="1">
        <f t="shared" ca="1" si="142"/>
        <v>23</v>
      </c>
      <c r="AO154" s="1">
        <f t="shared" ca="1" si="143"/>
        <v>10</v>
      </c>
      <c r="AQ154" s="1">
        <f t="shared" ca="1" si="144"/>
        <v>190</v>
      </c>
      <c r="AR154" s="1">
        <f t="shared" ca="1" si="145"/>
        <v>3</v>
      </c>
      <c r="AS154" s="1">
        <f t="shared" ca="1" si="146"/>
        <v>22</v>
      </c>
      <c r="AU154" s="1">
        <f t="shared" ca="1" si="147"/>
        <v>367</v>
      </c>
      <c r="AV154" s="1">
        <f t="shared" ca="1" si="148"/>
        <v>8</v>
      </c>
      <c r="AW154" s="1">
        <f t="shared" ca="1" si="149"/>
        <v>6.8376906218687E-2</v>
      </c>
      <c r="AY154" s="1">
        <f t="shared" ca="1" si="150"/>
        <v>1.5178120912855082</v>
      </c>
      <c r="AZ154" s="1">
        <f t="shared" ca="1" si="151"/>
        <v>63</v>
      </c>
      <c r="BA154" s="1">
        <f t="shared" ca="1" si="152"/>
        <v>2.2561785647092951E-3</v>
      </c>
      <c r="BV154" s="1">
        <f t="shared" ca="1" si="153"/>
        <v>0.75382969797944821</v>
      </c>
      <c r="BW154" s="1">
        <f t="shared" ca="1" si="154"/>
        <v>943</v>
      </c>
      <c r="BX154" s="1">
        <f t="shared" ca="1" si="155"/>
        <v>8.5354276675402192E-3</v>
      </c>
      <c r="BY154" s="1">
        <f t="shared" ca="1" si="156"/>
        <v>4.8562559008366014E-2</v>
      </c>
      <c r="BZ154" s="1">
        <f t="shared" ca="1" si="157"/>
        <v>0.85919689985101189</v>
      </c>
      <c r="CB154" s="1">
        <f t="shared" ca="1" si="158"/>
        <v>136</v>
      </c>
      <c r="CC154" s="1">
        <f t="shared" ca="1" si="159"/>
        <v>3</v>
      </c>
      <c r="CD154" s="1">
        <f t="shared" ca="1" si="160"/>
        <v>0.17359244446761285</v>
      </c>
      <c r="CE154" s="1">
        <f t="shared" ca="1" si="161"/>
        <v>0.89548295167735048</v>
      </c>
      <c r="CF154" s="1">
        <f t="shared" ca="1" si="161"/>
        <v>0.92819437807231231</v>
      </c>
      <c r="CH154" s="3">
        <f t="shared" ca="1" si="162"/>
        <v>0.51180727766360357</v>
      </c>
      <c r="CI154" s="3">
        <f t="shared" ca="1" si="163"/>
        <v>0.36505521734905194</v>
      </c>
      <c r="CJ154" s="3">
        <f t="shared" ca="1" si="164"/>
        <v>1618</v>
      </c>
      <c r="CK154" s="3">
        <f t="shared" ca="1" si="165"/>
        <v>1.5829411405806895E-3</v>
      </c>
      <c r="CL154" s="3">
        <f t="shared" ca="1" si="166"/>
        <v>0</v>
      </c>
      <c r="CM154" s="3"/>
      <c r="CN154" s="1">
        <f t="shared" ca="1" si="167"/>
        <v>16.748314056075998</v>
      </c>
      <c r="CO154" s="1">
        <f t="shared" ca="1" si="168"/>
        <v>0.32191361000412055</v>
      </c>
      <c r="CP154" s="1">
        <f t="shared" ca="1" si="169"/>
        <v>5</v>
      </c>
    </row>
    <row r="155" spans="2:94" x14ac:dyDescent="0.25">
      <c r="B155">
        <f t="shared" ca="1" si="114"/>
        <v>524</v>
      </c>
      <c r="C155">
        <f t="shared" ca="1" si="115"/>
        <v>39</v>
      </c>
      <c r="D155">
        <f t="shared" ca="1" si="116"/>
        <v>0.20201112095111298</v>
      </c>
      <c r="F155" s="1">
        <f t="shared" ca="1" si="117"/>
        <v>28</v>
      </c>
      <c r="G155" s="1">
        <f t="shared" ca="1" si="118"/>
        <v>21</v>
      </c>
      <c r="H155" s="1">
        <f t="shared" ca="1" si="119"/>
        <v>9</v>
      </c>
      <c r="I155" s="1"/>
      <c r="J155" s="1">
        <f t="shared" ca="1" si="120"/>
        <v>12</v>
      </c>
      <c r="K155" s="1">
        <f t="shared" ca="1" si="121"/>
        <v>2.7784422432976319</v>
      </c>
      <c r="L155" s="1">
        <f t="shared" ca="1" si="122"/>
        <v>14</v>
      </c>
      <c r="M155" s="1"/>
      <c r="N155" s="1">
        <f t="shared" ca="1" si="123"/>
        <v>412</v>
      </c>
      <c r="O155" s="1">
        <f t="shared" ca="1" si="124"/>
        <v>37</v>
      </c>
      <c r="P155" s="1"/>
      <c r="Q155" s="1">
        <f t="shared" ca="1" si="125"/>
        <v>3.4398335208241786</v>
      </c>
      <c r="R155" s="1">
        <f t="shared" ca="1" si="126"/>
        <v>802</v>
      </c>
      <c r="S155" s="1"/>
      <c r="T155" s="1">
        <f t="shared" ca="1" si="127"/>
        <v>3.0971116128337792E-2</v>
      </c>
      <c r="U155" s="1">
        <f t="shared" ca="1" si="128"/>
        <v>327</v>
      </c>
      <c r="V155" s="1">
        <f t="shared" ca="1" si="129"/>
        <v>19</v>
      </c>
      <c r="W155" s="1"/>
      <c r="X155" s="1">
        <f t="shared" ca="1" si="130"/>
        <v>7.6920309273091085</v>
      </c>
      <c r="Y155" s="1">
        <f t="shared" ca="1" si="131"/>
        <v>1.5987526792676468E-2</v>
      </c>
      <c r="Z155" s="1">
        <f t="shared" ca="1" si="132"/>
        <v>975</v>
      </c>
      <c r="AB155" s="1">
        <f t="shared" ca="1" si="133"/>
        <v>3.7474926905198457E-2</v>
      </c>
      <c r="AC155" s="1">
        <f t="shared" ca="1" si="134"/>
        <v>884</v>
      </c>
      <c r="AD155" s="1">
        <f t="shared" ca="1" si="135"/>
        <v>5.8805876933562653E-3</v>
      </c>
      <c r="AE155" s="1"/>
      <c r="AF155" s="1">
        <f t="shared" ca="1" si="136"/>
        <v>0.13292181740349998</v>
      </c>
      <c r="AG155" s="1">
        <f t="shared" ca="1" si="137"/>
        <v>684</v>
      </c>
      <c r="AH155" s="1">
        <f t="shared" ca="1" si="138"/>
        <v>7.462634318654621E-3</v>
      </c>
      <c r="AJ155" s="1">
        <f t="shared" ca="1" si="139"/>
        <v>0.14011532833735318</v>
      </c>
      <c r="AK155" s="1">
        <f t="shared" ca="1" si="140"/>
        <v>6.7939911832964016E-3</v>
      </c>
      <c r="AL155" s="1"/>
      <c r="AM155" s="1">
        <f t="shared" ca="1" si="141"/>
        <v>3.9383663984049133E-2</v>
      </c>
      <c r="AN155" s="1">
        <f t="shared" ca="1" si="142"/>
        <v>58</v>
      </c>
      <c r="AO155" s="1">
        <f t="shared" ca="1" si="143"/>
        <v>2</v>
      </c>
      <c r="AQ155" s="1">
        <f t="shared" ca="1" si="144"/>
        <v>64</v>
      </c>
      <c r="AR155" s="1">
        <f t="shared" ca="1" si="145"/>
        <v>8</v>
      </c>
      <c r="AS155" s="1">
        <f t="shared" ca="1" si="146"/>
        <v>87</v>
      </c>
      <c r="AU155" s="1">
        <f t="shared" ca="1" si="147"/>
        <v>64</v>
      </c>
      <c r="AV155" s="1">
        <f t="shared" ca="1" si="148"/>
        <v>7</v>
      </c>
      <c r="AW155" s="1">
        <f t="shared" ca="1" si="149"/>
        <v>0.13422792997674723</v>
      </c>
      <c r="AY155" s="1">
        <f t="shared" ca="1" si="150"/>
        <v>1.8053685981729402</v>
      </c>
      <c r="AZ155" s="1">
        <f t="shared" ca="1" si="151"/>
        <v>342</v>
      </c>
      <c r="BA155" s="1">
        <f t="shared" ca="1" si="152"/>
        <v>7.4041727823034188E-3</v>
      </c>
      <c r="BV155" s="1">
        <f t="shared" ca="1" si="153"/>
        <v>0.74851244430948916</v>
      </c>
      <c r="BW155" s="1">
        <f t="shared" ca="1" si="154"/>
        <v>490</v>
      </c>
      <c r="BX155" s="1">
        <f t="shared" ca="1" si="155"/>
        <v>1.3223495041080012E-3</v>
      </c>
      <c r="BY155" s="1">
        <f t="shared" ca="1" si="156"/>
        <v>9.4250808836175246E-2</v>
      </c>
      <c r="BZ155" s="1">
        <f t="shared" ca="1" si="157"/>
        <v>0.23968789830789416</v>
      </c>
      <c r="CB155" s="1">
        <f t="shared" ca="1" si="158"/>
        <v>189</v>
      </c>
      <c r="CC155" s="1">
        <f t="shared" ca="1" si="159"/>
        <v>15</v>
      </c>
      <c r="CD155" s="1">
        <f t="shared" ca="1" si="160"/>
        <v>2.4307869923197035E-2</v>
      </c>
      <c r="CE155" s="1">
        <f t="shared" ca="1" si="161"/>
        <v>0.90920938559365339</v>
      </c>
      <c r="CF155" s="1">
        <f t="shared" ca="1" si="161"/>
        <v>0.61879982100081643</v>
      </c>
      <c r="CH155" s="3">
        <f t="shared" ca="1" si="162"/>
        <v>0.14422281861361436</v>
      </c>
      <c r="CI155" s="3">
        <f t="shared" ca="1" si="163"/>
        <v>0.70513658114327793</v>
      </c>
      <c r="CJ155" s="3">
        <f t="shared" ca="1" si="164"/>
        <v>1369</v>
      </c>
      <c r="CK155" s="3">
        <f t="shared" ca="1" si="165"/>
        <v>5.7711194020856997E-3</v>
      </c>
      <c r="CL155" s="3">
        <f t="shared" ca="1" si="166"/>
        <v>1</v>
      </c>
      <c r="CM155" s="3"/>
      <c r="CN155" s="1">
        <f t="shared" ca="1" si="167"/>
        <v>4.7559458580686531</v>
      </c>
      <c r="CO155" s="1">
        <f t="shared" ca="1" si="168"/>
        <v>0.20930892742868529</v>
      </c>
      <c r="CP155" s="1">
        <f t="shared" ca="1" si="169"/>
        <v>5</v>
      </c>
    </row>
    <row r="156" spans="2:94" x14ac:dyDescent="0.25">
      <c r="B156">
        <f t="shared" ca="1" si="114"/>
        <v>868</v>
      </c>
      <c r="C156">
        <f t="shared" ca="1" si="115"/>
        <v>29</v>
      </c>
      <c r="D156">
        <f t="shared" ca="1" si="116"/>
        <v>7.5809511662723206E-2</v>
      </c>
      <c r="F156" s="1">
        <f t="shared" ca="1" si="117"/>
        <v>5</v>
      </c>
      <c r="G156" s="1">
        <f t="shared" ca="1" si="118"/>
        <v>17</v>
      </c>
      <c r="H156" s="1">
        <f t="shared" ca="1" si="119"/>
        <v>11</v>
      </c>
      <c r="I156" s="1"/>
      <c r="J156" s="1">
        <f t="shared" ca="1" si="120"/>
        <v>11</v>
      </c>
      <c r="K156" s="1">
        <f t="shared" ca="1" si="121"/>
        <v>1.6944851063382098</v>
      </c>
      <c r="L156" s="1">
        <f t="shared" ca="1" si="122"/>
        <v>20</v>
      </c>
      <c r="M156" s="1"/>
      <c r="N156" s="1">
        <f t="shared" ca="1" si="123"/>
        <v>21</v>
      </c>
      <c r="O156" s="1">
        <f t="shared" ca="1" si="124"/>
        <v>43</v>
      </c>
      <c r="P156" s="1"/>
      <c r="Q156" s="1">
        <f t="shared" ca="1" si="125"/>
        <v>0.14192465525713152</v>
      </c>
      <c r="R156" s="1">
        <f t="shared" ca="1" si="126"/>
        <v>665</v>
      </c>
      <c r="S156" s="1"/>
      <c r="T156" s="1">
        <f t="shared" ca="1" si="127"/>
        <v>0.15215734452206728</v>
      </c>
      <c r="U156" s="1">
        <f t="shared" ca="1" si="128"/>
        <v>156</v>
      </c>
      <c r="V156" s="1">
        <f t="shared" ca="1" si="129"/>
        <v>36</v>
      </c>
      <c r="W156" s="1"/>
      <c r="X156" s="1">
        <f t="shared" ca="1" si="130"/>
        <v>1.3249653261930834</v>
      </c>
      <c r="Y156" s="1">
        <f t="shared" ca="1" si="131"/>
        <v>0.32794348560357178</v>
      </c>
      <c r="Z156" s="1">
        <f t="shared" ca="1" si="132"/>
        <v>849</v>
      </c>
      <c r="AB156" s="1">
        <f t="shared" ca="1" si="133"/>
        <v>0.56486310133902851</v>
      </c>
      <c r="AC156" s="1">
        <f t="shared" ca="1" si="134"/>
        <v>677</v>
      </c>
      <c r="AD156" s="1">
        <f t="shared" ca="1" si="135"/>
        <v>8.1089603616837473E-3</v>
      </c>
      <c r="AE156" s="1"/>
      <c r="AF156" s="1">
        <f t="shared" ca="1" si="136"/>
        <v>0.76418458603062123</v>
      </c>
      <c r="AG156" s="1">
        <f t="shared" ca="1" si="137"/>
        <v>145</v>
      </c>
      <c r="AH156" s="1">
        <f t="shared" ca="1" si="138"/>
        <v>9.684160506506773E-3</v>
      </c>
      <c r="AJ156" s="1">
        <f t="shared" ca="1" si="139"/>
        <v>0.55029314166243548</v>
      </c>
      <c r="AK156" s="1">
        <f t="shared" ca="1" si="140"/>
        <v>7.7371062466367359E-3</v>
      </c>
      <c r="AL156" s="1"/>
      <c r="AM156" s="1">
        <f t="shared" ca="1" si="141"/>
        <v>9.6445989537548793E-2</v>
      </c>
      <c r="AN156" s="1">
        <f t="shared" ca="1" si="142"/>
        <v>12</v>
      </c>
      <c r="AO156" s="1">
        <f t="shared" ca="1" si="143"/>
        <v>19</v>
      </c>
      <c r="AQ156" s="1">
        <f t="shared" ca="1" si="144"/>
        <v>198</v>
      </c>
      <c r="AR156" s="1">
        <f t="shared" ca="1" si="145"/>
        <v>5</v>
      </c>
      <c r="AS156" s="1">
        <f t="shared" ca="1" si="146"/>
        <v>95</v>
      </c>
      <c r="AU156" s="1">
        <f t="shared" ca="1" si="147"/>
        <v>173</v>
      </c>
      <c r="AV156" s="1">
        <f t="shared" ca="1" si="148"/>
        <v>10</v>
      </c>
      <c r="AW156" s="1">
        <f t="shared" ca="1" si="149"/>
        <v>9.8453699999796834E-2</v>
      </c>
      <c r="AY156" s="1">
        <f t="shared" ca="1" si="150"/>
        <v>1.9438475483784206</v>
      </c>
      <c r="AZ156" s="1">
        <f t="shared" ca="1" si="151"/>
        <v>335</v>
      </c>
      <c r="BA156" s="1">
        <f t="shared" ca="1" si="152"/>
        <v>7.5577914527272839E-3</v>
      </c>
      <c r="BV156" s="1">
        <f t="shared" ca="1" si="153"/>
        <v>0.48157358459269978</v>
      </c>
      <c r="BW156" s="1">
        <f t="shared" ca="1" si="154"/>
        <v>410</v>
      </c>
      <c r="BX156" s="1">
        <f t="shared" ca="1" si="155"/>
        <v>2.8033368819239766E-3</v>
      </c>
      <c r="BY156" s="1">
        <f t="shared" ca="1" si="156"/>
        <v>8.7868108797948916E-2</v>
      </c>
      <c r="BZ156" s="1">
        <f t="shared" ca="1" si="157"/>
        <v>0.14223466611163438</v>
      </c>
      <c r="CB156" s="1">
        <f t="shared" ca="1" si="158"/>
        <v>241</v>
      </c>
      <c r="CC156" s="1">
        <f t="shared" ca="1" si="159"/>
        <v>9</v>
      </c>
      <c r="CD156" s="1">
        <f t="shared" ca="1" si="160"/>
        <v>0.14914980365540612</v>
      </c>
      <c r="CE156" s="1">
        <f t="shared" ca="1" si="161"/>
        <v>0.94249416026859789</v>
      </c>
      <c r="CF156" s="1">
        <f t="shared" ca="1" si="161"/>
        <v>0.64733701685746858</v>
      </c>
      <c r="CH156" s="3">
        <f t="shared" ca="1" si="162"/>
        <v>7.8604632444043462E-2</v>
      </c>
      <c r="CI156" s="3">
        <f t="shared" ca="1" si="163"/>
        <v>0.78998951747348567</v>
      </c>
      <c r="CJ156" s="3">
        <f t="shared" ca="1" si="164"/>
        <v>1156</v>
      </c>
      <c r="CK156" s="3">
        <f t="shared" ca="1" si="165"/>
        <v>2.9514582937278308E-3</v>
      </c>
      <c r="CL156" s="3">
        <f t="shared" ca="1" si="166"/>
        <v>1</v>
      </c>
      <c r="CM156" s="3"/>
      <c r="CN156" s="1">
        <f t="shared" ca="1" si="167"/>
        <v>13.91244903591682</v>
      </c>
      <c r="CO156" s="1">
        <f t="shared" ca="1" si="168"/>
        <v>0.18285736114858392</v>
      </c>
      <c r="CP156" s="1">
        <f t="shared" ca="1" si="169"/>
        <v>1</v>
      </c>
    </row>
    <row r="157" spans="2:94" x14ac:dyDescent="0.25">
      <c r="B157">
        <f t="shared" ca="1" si="114"/>
        <v>122</v>
      </c>
      <c r="C157">
        <f t="shared" ca="1" si="115"/>
        <v>45</v>
      </c>
      <c r="D157">
        <f t="shared" ca="1" si="116"/>
        <v>0.22356389770090582</v>
      </c>
      <c r="F157" s="1">
        <f t="shared" ca="1" si="117"/>
        <v>38</v>
      </c>
      <c r="G157" s="1">
        <f t="shared" ca="1" si="118"/>
        <v>5</v>
      </c>
      <c r="H157" s="1">
        <f t="shared" ca="1" si="119"/>
        <v>3</v>
      </c>
      <c r="I157" s="1"/>
      <c r="J157" s="1">
        <f t="shared" ca="1" si="120"/>
        <v>29</v>
      </c>
      <c r="K157" s="1">
        <f t="shared" ca="1" si="121"/>
        <v>2.4253088741263511</v>
      </c>
      <c r="L157" s="1">
        <f t="shared" ca="1" si="122"/>
        <v>33</v>
      </c>
      <c r="M157" s="1"/>
      <c r="N157" s="1">
        <f t="shared" ca="1" si="123"/>
        <v>104</v>
      </c>
      <c r="O157" s="1">
        <f t="shared" ca="1" si="124"/>
        <v>17</v>
      </c>
      <c r="P157" s="1"/>
      <c r="Q157" s="1">
        <f t="shared" ca="1" si="125"/>
        <v>1.6207861023872885</v>
      </c>
      <c r="R157" s="1">
        <f t="shared" ca="1" si="126"/>
        <v>204</v>
      </c>
      <c r="S157" s="1"/>
      <c r="T157" s="1">
        <f t="shared" ca="1" si="127"/>
        <v>7.8416879885454385E-2</v>
      </c>
      <c r="U157" s="1">
        <f t="shared" ca="1" si="128"/>
        <v>198</v>
      </c>
      <c r="V157" s="1">
        <f t="shared" ca="1" si="129"/>
        <v>22</v>
      </c>
      <c r="W157" s="1"/>
      <c r="X157" s="1">
        <f t="shared" ca="1" si="130"/>
        <v>4.584018109008082</v>
      </c>
      <c r="Y157" s="1">
        <f t="shared" ca="1" si="131"/>
        <v>3.7595281778170556E-3</v>
      </c>
      <c r="Z157" s="1">
        <f t="shared" ca="1" si="132"/>
        <v>424</v>
      </c>
      <c r="AB157" s="1">
        <f t="shared" ca="1" si="133"/>
        <v>8.135229639352512E-2</v>
      </c>
      <c r="AC157" s="1">
        <f t="shared" ca="1" si="134"/>
        <v>843</v>
      </c>
      <c r="AD157" s="1">
        <f t="shared" ca="1" si="135"/>
        <v>8.0944742677989331E-3</v>
      </c>
      <c r="AE157" s="1"/>
      <c r="AF157" s="1">
        <f t="shared" ca="1" si="136"/>
        <v>0.20696343674970299</v>
      </c>
      <c r="AG157" s="1">
        <f t="shared" ca="1" si="137"/>
        <v>561</v>
      </c>
      <c r="AH157" s="1">
        <f t="shared" ca="1" si="138"/>
        <v>4.8763662786574982E-3</v>
      </c>
      <c r="AJ157" s="1">
        <f t="shared" ca="1" si="139"/>
        <v>0.69790235582896654</v>
      </c>
      <c r="AK157" s="1">
        <f t="shared" ca="1" si="140"/>
        <v>9.2390809197879387E-3</v>
      </c>
      <c r="AL157" s="1"/>
      <c r="AM157" s="1">
        <f t="shared" ca="1" si="141"/>
        <v>5.9661818150728831E-2</v>
      </c>
      <c r="AN157" s="1">
        <f t="shared" ca="1" si="142"/>
        <v>36</v>
      </c>
      <c r="AO157" s="1">
        <f t="shared" ca="1" si="143"/>
        <v>3</v>
      </c>
      <c r="AQ157" s="1">
        <f t="shared" ca="1" si="144"/>
        <v>27</v>
      </c>
      <c r="AR157" s="1">
        <f t="shared" ca="1" si="145"/>
        <v>3</v>
      </c>
      <c r="AS157" s="1">
        <f t="shared" ca="1" si="146"/>
        <v>82</v>
      </c>
      <c r="AU157" s="1">
        <f t="shared" ca="1" si="147"/>
        <v>165</v>
      </c>
      <c r="AV157" s="1">
        <f t="shared" ca="1" si="148"/>
        <v>5</v>
      </c>
      <c r="AW157" s="1">
        <f t="shared" ca="1" si="149"/>
        <v>0.14631377656047603</v>
      </c>
      <c r="AY157" s="1">
        <f t="shared" ca="1" si="150"/>
        <v>1.1106841616791774</v>
      </c>
      <c r="AZ157" s="1">
        <f t="shared" ca="1" si="151"/>
        <v>394</v>
      </c>
      <c r="BA157" s="1">
        <f t="shared" ca="1" si="152"/>
        <v>6.0387414480323354E-3</v>
      </c>
      <c r="BV157" s="1">
        <f t="shared" ca="1" si="153"/>
        <v>0.10680980014142015</v>
      </c>
      <c r="BW157" s="1">
        <f t="shared" ca="1" si="154"/>
        <v>514</v>
      </c>
      <c r="BX157" s="1">
        <f t="shared" ca="1" si="155"/>
        <v>6.2015281735146588E-3</v>
      </c>
      <c r="BY157" s="1">
        <f t="shared" ca="1" si="156"/>
        <v>3.5213608769319289E-2</v>
      </c>
      <c r="BZ157" s="1">
        <f t="shared" ca="1" si="157"/>
        <v>0.78016199957538701</v>
      </c>
      <c r="CB157" s="1">
        <f t="shared" ca="1" si="158"/>
        <v>231</v>
      </c>
      <c r="CC157" s="1">
        <f t="shared" ca="1" si="159"/>
        <v>12</v>
      </c>
      <c r="CD157" s="1">
        <f t="shared" ca="1" si="160"/>
        <v>0.12627146400402781</v>
      </c>
      <c r="CE157" s="1">
        <f t="shared" ca="1" si="161"/>
        <v>0.64286907324048526</v>
      </c>
      <c r="CF157" s="1">
        <f t="shared" ca="1" si="161"/>
        <v>0.74623270584761414</v>
      </c>
      <c r="CH157" s="3">
        <f t="shared" ca="1" si="162"/>
        <v>0.58006862450364438</v>
      </c>
      <c r="CI157" s="3">
        <f t="shared" ca="1" si="163"/>
        <v>0.40890231083385636</v>
      </c>
      <c r="CJ157" s="3">
        <f t="shared" ca="1" si="164"/>
        <v>331</v>
      </c>
      <c r="CK157" s="3">
        <f t="shared" ca="1" si="165"/>
        <v>9.6787015453239766E-3</v>
      </c>
      <c r="CL157" s="3">
        <f t="shared" ca="1" si="166"/>
        <v>0</v>
      </c>
      <c r="CM157" s="3"/>
      <c r="CN157" s="1">
        <f t="shared" ca="1" si="167"/>
        <v>18.170461485582432</v>
      </c>
      <c r="CO157" s="1">
        <f t="shared" ca="1" si="168"/>
        <v>0.43583747483540303</v>
      </c>
      <c r="CP157" s="1">
        <f t="shared" ca="1" si="169"/>
        <v>3</v>
      </c>
    </row>
    <row r="158" spans="2:94" x14ac:dyDescent="0.25">
      <c r="B158">
        <f t="shared" ca="1" si="114"/>
        <v>686</v>
      </c>
      <c r="C158">
        <f t="shared" ca="1" si="115"/>
        <v>2</v>
      </c>
      <c r="D158">
        <f t="shared" ca="1" si="116"/>
        <v>0.10181495902847337</v>
      </c>
      <c r="F158" s="1">
        <f t="shared" ca="1" si="117"/>
        <v>31</v>
      </c>
      <c r="G158" s="1">
        <f t="shared" ca="1" si="118"/>
        <v>20</v>
      </c>
      <c r="H158" s="1">
        <f t="shared" ca="1" si="119"/>
        <v>10</v>
      </c>
      <c r="I158" s="1"/>
      <c r="J158" s="1">
        <f t="shared" ca="1" si="120"/>
        <v>22</v>
      </c>
      <c r="K158" s="1">
        <f t="shared" ca="1" si="121"/>
        <v>1.273029835495249</v>
      </c>
      <c r="L158" s="1">
        <f t="shared" ca="1" si="122"/>
        <v>21</v>
      </c>
      <c r="M158" s="1"/>
      <c r="N158" s="1">
        <f t="shared" ca="1" si="123"/>
        <v>547</v>
      </c>
      <c r="O158" s="1">
        <f t="shared" ca="1" si="124"/>
        <v>28</v>
      </c>
      <c r="P158" s="1"/>
      <c r="Q158" s="1">
        <f t="shared" ca="1" si="125"/>
        <v>1.2378748717598831</v>
      </c>
      <c r="R158" s="1">
        <f t="shared" ca="1" si="126"/>
        <v>1043</v>
      </c>
      <c r="S158" s="1"/>
      <c r="T158" s="1">
        <f t="shared" ca="1" si="127"/>
        <v>1.0036221767261761E-2</v>
      </c>
      <c r="U158" s="1">
        <f t="shared" ca="1" si="128"/>
        <v>426</v>
      </c>
      <c r="V158" s="1">
        <f t="shared" ca="1" si="129"/>
        <v>37</v>
      </c>
      <c r="W158" s="1"/>
      <c r="X158" s="1">
        <f t="shared" ca="1" si="130"/>
        <v>9.2597550994772178</v>
      </c>
      <c r="Y158" s="1">
        <f t="shared" ca="1" si="131"/>
        <v>6.4470068094967187E-3</v>
      </c>
      <c r="Z158" s="1">
        <f t="shared" ca="1" si="132"/>
        <v>1946</v>
      </c>
      <c r="AB158" s="1">
        <f t="shared" ca="1" si="133"/>
        <v>0.97569778163892729</v>
      </c>
      <c r="AC158" s="1">
        <f t="shared" ca="1" si="134"/>
        <v>572</v>
      </c>
      <c r="AD158" s="1">
        <f t="shared" ca="1" si="135"/>
        <v>7.7193466876431171E-3</v>
      </c>
      <c r="AE158" s="1"/>
      <c r="AF158" s="1">
        <f t="shared" ca="1" si="136"/>
        <v>0.46710757152298965</v>
      </c>
      <c r="AG158" s="1">
        <f t="shared" ca="1" si="137"/>
        <v>951</v>
      </c>
      <c r="AH158" s="1">
        <f t="shared" ca="1" si="138"/>
        <v>5.8979001173578459E-3</v>
      </c>
      <c r="AJ158" s="1">
        <f t="shared" ca="1" si="139"/>
        <v>0.35914151125610227</v>
      </c>
      <c r="AK158" s="1">
        <f t="shared" ca="1" si="140"/>
        <v>6.1331780600435426E-3</v>
      </c>
      <c r="AL158" s="1"/>
      <c r="AM158" s="1">
        <f t="shared" ca="1" si="141"/>
        <v>0.17492772743309679</v>
      </c>
      <c r="AN158" s="1">
        <f t="shared" ca="1" si="142"/>
        <v>12</v>
      </c>
      <c r="AO158" s="1">
        <f t="shared" ca="1" si="143"/>
        <v>18</v>
      </c>
      <c r="AQ158" s="1">
        <f t="shared" ca="1" si="144"/>
        <v>83</v>
      </c>
      <c r="AR158" s="1">
        <f t="shared" ca="1" si="145"/>
        <v>3</v>
      </c>
      <c r="AS158" s="1">
        <f t="shared" ca="1" si="146"/>
        <v>83</v>
      </c>
      <c r="AU158" s="1">
        <f t="shared" ca="1" si="147"/>
        <v>161</v>
      </c>
      <c r="AV158" s="1">
        <f t="shared" ca="1" si="148"/>
        <v>10</v>
      </c>
      <c r="AW158" s="1">
        <f t="shared" ca="1" si="149"/>
        <v>3.7031178261216859E-2</v>
      </c>
      <c r="AY158" s="1">
        <f t="shared" ca="1" si="150"/>
        <v>1.5602047584207768</v>
      </c>
      <c r="AZ158" s="1">
        <f t="shared" ca="1" si="151"/>
        <v>294</v>
      </c>
      <c r="BA158" s="1">
        <f t="shared" ca="1" si="152"/>
        <v>2.4324648818370175E-3</v>
      </c>
      <c r="BV158" s="1">
        <f t="shared" ca="1" si="153"/>
        <v>0.95946636991552203</v>
      </c>
      <c r="BW158" s="1">
        <f t="shared" ca="1" si="154"/>
        <v>831</v>
      </c>
      <c r="BX158" s="1">
        <f t="shared" ca="1" si="155"/>
        <v>1.4822178513644178E-3</v>
      </c>
      <c r="BY158" s="1">
        <f t="shared" ca="1" si="156"/>
        <v>7.985725141852118E-2</v>
      </c>
      <c r="BZ158" s="1">
        <f t="shared" ca="1" si="157"/>
        <v>5.9974589347709162E-2</v>
      </c>
      <c r="CB158" s="1">
        <f t="shared" ca="1" si="158"/>
        <v>422</v>
      </c>
      <c r="CC158" s="1">
        <f t="shared" ca="1" si="159"/>
        <v>9</v>
      </c>
      <c r="CD158" s="1">
        <f t="shared" ca="1" si="160"/>
        <v>0.29997674531980734</v>
      </c>
      <c r="CE158" s="1">
        <f t="shared" ca="1" si="161"/>
        <v>0.66359500045160325</v>
      </c>
      <c r="CF158" s="1">
        <f t="shared" ca="1" si="161"/>
        <v>0.89718970779852192</v>
      </c>
      <c r="CH158" s="3">
        <f t="shared" ca="1" si="162"/>
        <v>0.58506727332213737</v>
      </c>
      <c r="CI158" s="3">
        <f t="shared" ca="1" si="163"/>
        <v>0.38430347121251152</v>
      </c>
      <c r="CJ158" s="3">
        <f t="shared" ca="1" si="164"/>
        <v>965</v>
      </c>
      <c r="CK158" s="3">
        <f t="shared" ca="1" si="165"/>
        <v>5.5559890221336533E-3</v>
      </c>
      <c r="CL158" s="3">
        <f t="shared" ca="1" si="166"/>
        <v>1</v>
      </c>
      <c r="CM158" s="3"/>
      <c r="CN158" s="1">
        <f t="shared" ca="1" si="167"/>
        <v>4.2470530685793904</v>
      </c>
      <c r="CO158" s="1">
        <f t="shared" ca="1" si="168"/>
        <v>0.44149236124619123</v>
      </c>
      <c r="CP158" s="1">
        <f t="shared" ca="1" si="169"/>
        <v>2</v>
      </c>
    </row>
    <row r="159" spans="2:94" x14ac:dyDescent="0.25">
      <c r="B159">
        <f t="shared" ca="1" si="114"/>
        <v>724</v>
      </c>
      <c r="C159">
        <f t="shared" ca="1" si="115"/>
        <v>44</v>
      </c>
      <c r="D159">
        <f t="shared" ca="1" si="116"/>
        <v>1.2388809125754678E-2</v>
      </c>
      <c r="F159" s="1">
        <f t="shared" ca="1" si="117"/>
        <v>7</v>
      </c>
      <c r="G159" s="1">
        <f t="shared" ca="1" si="118"/>
        <v>6</v>
      </c>
      <c r="H159" s="1">
        <f t="shared" ca="1" si="119"/>
        <v>1</v>
      </c>
      <c r="I159" s="1"/>
      <c r="J159" s="1">
        <f t="shared" ca="1" si="120"/>
        <v>29</v>
      </c>
      <c r="K159" s="1">
        <f t="shared" ca="1" si="121"/>
        <v>1.8341011674241436</v>
      </c>
      <c r="L159" s="1">
        <f t="shared" ca="1" si="122"/>
        <v>25</v>
      </c>
      <c r="M159" s="1"/>
      <c r="N159" s="1">
        <f t="shared" ca="1" si="123"/>
        <v>653</v>
      </c>
      <c r="O159" s="1">
        <f t="shared" ca="1" si="124"/>
        <v>22</v>
      </c>
      <c r="P159" s="1"/>
      <c r="Q159" s="1">
        <f t="shared" ca="1" si="125"/>
        <v>1.4283194576283034</v>
      </c>
      <c r="R159" s="1">
        <f t="shared" ca="1" si="126"/>
        <v>252</v>
      </c>
      <c r="S159" s="1"/>
      <c r="T159" s="1">
        <f t="shared" ca="1" si="127"/>
        <v>0.1718576829836525</v>
      </c>
      <c r="U159" s="1">
        <f t="shared" ca="1" si="128"/>
        <v>438</v>
      </c>
      <c r="V159" s="1">
        <f t="shared" ca="1" si="129"/>
        <v>23</v>
      </c>
      <c r="W159" s="1"/>
      <c r="X159" s="1">
        <f t="shared" ca="1" si="130"/>
        <v>2.12352349606254</v>
      </c>
      <c r="Y159" s="1">
        <f t="shared" ca="1" si="131"/>
        <v>0.88180181407797897</v>
      </c>
      <c r="Z159" s="1">
        <f t="shared" ca="1" si="132"/>
        <v>398</v>
      </c>
      <c r="AB159" s="1">
        <f t="shared" ca="1" si="133"/>
        <v>0.76446791956916949</v>
      </c>
      <c r="AC159" s="1">
        <f t="shared" ca="1" si="134"/>
        <v>195</v>
      </c>
      <c r="AD159" s="1">
        <f t="shared" ca="1" si="135"/>
        <v>8.1822341954907642E-3</v>
      </c>
      <c r="AE159" s="1"/>
      <c r="AF159" s="1">
        <f t="shared" ca="1" si="136"/>
        <v>0.55649715857465665</v>
      </c>
      <c r="AG159" s="1">
        <f t="shared" ca="1" si="137"/>
        <v>291</v>
      </c>
      <c r="AH159" s="1">
        <f t="shared" ca="1" si="138"/>
        <v>5.4375759988653819E-3</v>
      </c>
      <c r="AJ159" s="1">
        <f t="shared" ca="1" si="139"/>
        <v>0.86748623606805708</v>
      </c>
      <c r="AK159" s="1">
        <f t="shared" ca="1" si="140"/>
        <v>6.9047056152478871E-3</v>
      </c>
      <c r="AL159" s="1"/>
      <c r="AM159" s="1">
        <f t="shared" ca="1" si="141"/>
        <v>2.1885568612047851E-2</v>
      </c>
      <c r="AN159" s="1">
        <f t="shared" ca="1" si="142"/>
        <v>47</v>
      </c>
      <c r="AO159" s="1">
        <f t="shared" ca="1" si="143"/>
        <v>20</v>
      </c>
      <c r="AQ159" s="1">
        <f t="shared" ca="1" si="144"/>
        <v>146</v>
      </c>
      <c r="AR159" s="1">
        <f t="shared" ca="1" si="145"/>
        <v>5</v>
      </c>
      <c r="AS159" s="1">
        <f t="shared" ca="1" si="146"/>
        <v>42</v>
      </c>
      <c r="AU159" s="1">
        <f t="shared" ca="1" si="147"/>
        <v>389</v>
      </c>
      <c r="AV159" s="1">
        <f t="shared" ca="1" si="148"/>
        <v>10</v>
      </c>
      <c r="AW159" s="1">
        <f t="shared" ca="1" si="149"/>
        <v>6.5093483957893203E-2</v>
      </c>
      <c r="AY159" s="1">
        <f t="shared" ca="1" si="150"/>
        <v>1.8850721080513853</v>
      </c>
      <c r="AZ159" s="1">
        <f t="shared" ca="1" si="151"/>
        <v>482</v>
      </c>
      <c r="BA159" s="1">
        <f t="shared" ca="1" si="152"/>
        <v>4.2738244102827694E-3</v>
      </c>
      <c r="BV159" s="1">
        <f t="shared" ca="1" si="153"/>
        <v>0.99630146376081896</v>
      </c>
      <c r="BW159" s="1">
        <f t="shared" ca="1" si="154"/>
        <v>779</v>
      </c>
      <c r="BX159" s="1">
        <f t="shared" ca="1" si="155"/>
        <v>7.7106507961534447E-3</v>
      </c>
      <c r="BY159" s="1">
        <f t="shared" ca="1" si="156"/>
        <v>4.4035581444139958E-2</v>
      </c>
      <c r="BZ159" s="1">
        <f t="shared" ca="1" si="157"/>
        <v>0.24953287897565224</v>
      </c>
      <c r="CB159" s="1">
        <f t="shared" ca="1" si="158"/>
        <v>244</v>
      </c>
      <c r="CC159" s="1">
        <f t="shared" ca="1" si="159"/>
        <v>13</v>
      </c>
      <c r="CD159" s="1">
        <f t="shared" ca="1" si="160"/>
        <v>9.9265621741489452E-2</v>
      </c>
      <c r="CE159" s="1">
        <f t="shared" ca="1" si="161"/>
        <v>0.52000469707754904</v>
      </c>
      <c r="CF159" s="1">
        <f t="shared" ca="1" si="161"/>
        <v>0.77857117562808342</v>
      </c>
      <c r="CH159" s="3">
        <f t="shared" ca="1" si="162"/>
        <v>0.91607484367264325</v>
      </c>
      <c r="CI159" s="3">
        <f t="shared" ca="1" si="163"/>
        <v>0.35863241796557666</v>
      </c>
      <c r="CJ159" s="3">
        <f t="shared" ca="1" si="164"/>
        <v>1210</v>
      </c>
      <c r="CK159" s="3">
        <f t="shared" ca="1" si="165"/>
        <v>9.0540116165233227E-3</v>
      </c>
      <c r="CL159" s="3">
        <f t="shared" ca="1" si="166"/>
        <v>1</v>
      </c>
      <c r="CM159" s="3"/>
      <c r="CN159" s="1">
        <f t="shared" ca="1" si="167"/>
        <v>7.3547334948458234</v>
      </c>
      <c r="CO159" s="1">
        <f t="shared" ca="1" si="168"/>
        <v>0.42694888949840798</v>
      </c>
      <c r="CP159" s="1">
        <f t="shared" ca="1" si="169"/>
        <v>1</v>
      </c>
    </row>
    <row r="160" spans="2:94" x14ac:dyDescent="0.25">
      <c r="B160">
        <f t="shared" ca="1" si="114"/>
        <v>635</v>
      </c>
      <c r="C160">
        <f t="shared" ca="1" si="115"/>
        <v>30</v>
      </c>
      <c r="D160">
        <f t="shared" ca="1" si="116"/>
        <v>0.13641110800523054</v>
      </c>
      <c r="F160" s="1">
        <f t="shared" ca="1" si="117"/>
        <v>35</v>
      </c>
      <c r="G160" s="1">
        <f t="shared" ca="1" si="118"/>
        <v>7</v>
      </c>
      <c r="H160" s="1">
        <f t="shared" ca="1" si="119"/>
        <v>11</v>
      </c>
      <c r="I160" s="1"/>
      <c r="J160" s="1">
        <f t="shared" ca="1" si="120"/>
        <v>10</v>
      </c>
      <c r="K160" s="1">
        <f t="shared" ca="1" si="121"/>
        <v>2.1649191886138839</v>
      </c>
      <c r="L160" s="1">
        <f t="shared" ca="1" si="122"/>
        <v>18</v>
      </c>
      <c r="M160" s="1"/>
      <c r="N160" s="1">
        <f t="shared" ca="1" si="123"/>
        <v>796</v>
      </c>
      <c r="O160" s="1">
        <f t="shared" ca="1" si="124"/>
        <v>36</v>
      </c>
      <c r="P160" s="1"/>
      <c r="Q160" s="1">
        <f t="shared" ca="1" si="125"/>
        <v>2.2219586817776622</v>
      </c>
      <c r="R160" s="1">
        <f t="shared" ca="1" si="126"/>
        <v>894</v>
      </c>
      <c r="S160" s="1"/>
      <c r="T160" s="1">
        <f t="shared" ca="1" si="127"/>
        <v>0.10091982570110408</v>
      </c>
      <c r="U160" s="1">
        <f t="shared" ca="1" si="128"/>
        <v>249</v>
      </c>
      <c r="V160" s="1">
        <f t="shared" ca="1" si="129"/>
        <v>37</v>
      </c>
      <c r="W160" s="1"/>
      <c r="X160" s="1">
        <f t="shared" ca="1" si="130"/>
        <v>9.3317478936701388</v>
      </c>
      <c r="Y160" s="1">
        <f t="shared" ca="1" si="131"/>
        <v>0.24362445092221163</v>
      </c>
      <c r="Z160" s="1">
        <f t="shared" ca="1" si="132"/>
        <v>1388</v>
      </c>
      <c r="AB160" s="1">
        <f t="shared" ca="1" si="133"/>
        <v>0.43368346409446712</v>
      </c>
      <c r="AC160" s="1">
        <f t="shared" ca="1" si="134"/>
        <v>577</v>
      </c>
      <c r="AD160" s="1">
        <f t="shared" ca="1" si="135"/>
        <v>5.0854762541425024E-3</v>
      </c>
      <c r="AE160" s="1"/>
      <c r="AF160" s="1">
        <f t="shared" ca="1" si="136"/>
        <v>0.1435769985389598</v>
      </c>
      <c r="AG160" s="1">
        <f t="shared" ca="1" si="137"/>
        <v>506</v>
      </c>
      <c r="AH160" s="1">
        <f t="shared" ca="1" si="138"/>
        <v>3.057949229758669E-3</v>
      </c>
      <c r="AJ160" s="1">
        <f t="shared" ca="1" si="139"/>
        <v>0.11775642988062784</v>
      </c>
      <c r="AK160" s="1">
        <f t="shared" ca="1" si="140"/>
        <v>9.0314579346644202E-3</v>
      </c>
      <c r="AL160" s="1"/>
      <c r="AM160" s="1">
        <f t="shared" ca="1" si="141"/>
        <v>4.0867650961932421E-2</v>
      </c>
      <c r="AN160" s="1">
        <f t="shared" ca="1" si="142"/>
        <v>58</v>
      </c>
      <c r="AO160" s="1">
        <f t="shared" ca="1" si="143"/>
        <v>11</v>
      </c>
      <c r="AQ160" s="1">
        <f t="shared" ca="1" si="144"/>
        <v>144</v>
      </c>
      <c r="AR160" s="1">
        <f t="shared" ca="1" si="145"/>
        <v>8</v>
      </c>
      <c r="AS160" s="1">
        <f t="shared" ca="1" si="146"/>
        <v>92</v>
      </c>
      <c r="AU160" s="1">
        <f t="shared" ca="1" si="147"/>
        <v>337</v>
      </c>
      <c r="AV160" s="1">
        <f t="shared" ca="1" si="148"/>
        <v>3</v>
      </c>
      <c r="AW160" s="1">
        <f t="shared" ca="1" si="149"/>
        <v>0.19246831973374984</v>
      </c>
      <c r="AY160" s="1">
        <f t="shared" ca="1" si="150"/>
        <v>1.8369332305918296</v>
      </c>
      <c r="AZ160" s="1">
        <f t="shared" ca="1" si="151"/>
        <v>207</v>
      </c>
      <c r="BA160" s="1">
        <f t="shared" ca="1" si="152"/>
        <v>6.4904129731014502E-3</v>
      </c>
      <c r="BV160" s="1">
        <f t="shared" ca="1" si="153"/>
        <v>0.49745105190261524</v>
      </c>
      <c r="BW160" s="1">
        <f t="shared" ca="1" si="154"/>
        <v>206</v>
      </c>
      <c r="BX160" s="1">
        <f t="shared" ca="1" si="155"/>
        <v>9.7983693326296885E-4</v>
      </c>
      <c r="BY160" s="1">
        <f t="shared" ca="1" si="156"/>
        <v>7.8917610718555783E-2</v>
      </c>
      <c r="BZ160" s="1">
        <f t="shared" ca="1" si="157"/>
        <v>0.14972245070217194</v>
      </c>
      <c r="CB160" s="1">
        <f t="shared" ca="1" si="158"/>
        <v>164</v>
      </c>
      <c r="CC160" s="1">
        <f t="shared" ca="1" si="159"/>
        <v>4</v>
      </c>
      <c r="CD160" s="1">
        <f t="shared" ca="1" si="160"/>
        <v>0.26462491029556917</v>
      </c>
      <c r="CE160" s="1">
        <f t="shared" ca="1" si="161"/>
        <v>0.82637681689743347</v>
      </c>
      <c r="CF160" s="1">
        <f t="shared" ca="1" si="161"/>
        <v>0.64442370045457298</v>
      </c>
      <c r="CH160" s="3">
        <f t="shared" ca="1" si="162"/>
        <v>0.42784026434241884</v>
      </c>
      <c r="CI160" s="3">
        <f t="shared" ca="1" si="163"/>
        <v>0.71745187120186216</v>
      </c>
      <c r="CJ160" s="3">
        <f t="shared" ca="1" si="164"/>
        <v>1750</v>
      </c>
      <c r="CK160" s="3">
        <f t="shared" ca="1" si="165"/>
        <v>4.8097762366479096E-3</v>
      </c>
      <c r="CL160" s="3">
        <f t="shared" ca="1" si="166"/>
        <v>0</v>
      </c>
      <c r="CM160" s="3"/>
      <c r="CN160" s="1">
        <f t="shared" ca="1" si="167"/>
        <v>2.6640473300226613</v>
      </c>
      <c r="CO160" s="1">
        <f t="shared" ca="1" si="168"/>
        <v>0.44029224534911371</v>
      </c>
      <c r="CP160" s="1">
        <f t="shared" ca="1" si="169"/>
        <v>1</v>
      </c>
    </row>
    <row r="161" spans="2:94" x14ac:dyDescent="0.25">
      <c r="B161">
        <f t="shared" ca="1" si="114"/>
        <v>92</v>
      </c>
      <c r="C161">
        <f t="shared" ca="1" si="115"/>
        <v>7</v>
      </c>
      <c r="D161">
        <f t="shared" ca="1" si="116"/>
        <v>0.12062170979334477</v>
      </c>
      <c r="F161" s="1">
        <f t="shared" ca="1" si="117"/>
        <v>40</v>
      </c>
      <c r="G161" s="1">
        <f t="shared" ca="1" si="118"/>
        <v>20</v>
      </c>
      <c r="H161" s="1">
        <f t="shared" ca="1" si="119"/>
        <v>8</v>
      </c>
      <c r="I161" s="1"/>
      <c r="J161" s="1">
        <f t="shared" ca="1" si="120"/>
        <v>20</v>
      </c>
      <c r="K161" s="1">
        <f t="shared" ca="1" si="121"/>
        <v>2.6808894496565969</v>
      </c>
      <c r="L161" s="1">
        <f t="shared" ca="1" si="122"/>
        <v>4</v>
      </c>
      <c r="M161" s="1"/>
      <c r="N161" s="1">
        <f t="shared" ca="1" si="123"/>
        <v>957</v>
      </c>
      <c r="O161" s="1">
        <f t="shared" ca="1" si="124"/>
        <v>8</v>
      </c>
      <c r="P161" s="1"/>
      <c r="Q161" s="1">
        <f t="shared" ca="1" si="125"/>
        <v>4.7711280144061661</v>
      </c>
      <c r="R161" s="1">
        <f t="shared" ca="1" si="126"/>
        <v>932</v>
      </c>
      <c r="S161" s="1"/>
      <c r="T161" s="1">
        <f t="shared" ca="1" si="127"/>
        <v>0.15358984020207225</v>
      </c>
      <c r="U161" s="1">
        <f t="shared" ca="1" si="128"/>
        <v>293</v>
      </c>
      <c r="V161" s="1">
        <f t="shared" ca="1" si="129"/>
        <v>25</v>
      </c>
      <c r="W161" s="1"/>
      <c r="X161" s="1">
        <f t="shared" ca="1" si="130"/>
        <v>0.49283208696171327</v>
      </c>
      <c r="Y161" s="1">
        <f t="shared" ca="1" si="131"/>
        <v>0.63845949541422442</v>
      </c>
      <c r="Z161" s="1">
        <f t="shared" ca="1" si="132"/>
        <v>445</v>
      </c>
      <c r="AB161" s="1">
        <f t="shared" ca="1" si="133"/>
        <v>0.4548328919711635</v>
      </c>
      <c r="AC161" s="1">
        <f t="shared" ca="1" si="134"/>
        <v>321</v>
      </c>
      <c r="AD161" s="1">
        <f t="shared" ca="1" si="135"/>
        <v>8.1821815503121985E-4</v>
      </c>
      <c r="AE161" s="1"/>
      <c r="AF161" s="1">
        <f t="shared" ca="1" si="136"/>
        <v>0.74686720684620977</v>
      </c>
      <c r="AG161" s="1">
        <f t="shared" ca="1" si="137"/>
        <v>688</v>
      </c>
      <c r="AH161" s="1">
        <f t="shared" ca="1" si="138"/>
        <v>8.7845063239339553E-3</v>
      </c>
      <c r="AJ161" s="1">
        <f t="shared" ca="1" si="139"/>
        <v>0.38159700620985415</v>
      </c>
      <c r="AK161" s="1">
        <f t="shared" ca="1" si="140"/>
        <v>1.1984068467160041E-3</v>
      </c>
      <c r="AL161" s="1"/>
      <c r="AM161" s="1">
        <f t="shared" ca="1" si="141"/>
        <v>0.10324551248022654</v>
      </c>
      <c r="AN161" s="1">
        <f t="shared" ca="1" si="142"/>
        <v>57</v>
      </c>
      <c r="AO161" s="1">
        <f t="shared" ca="1" si="143"/>
        <v>8</v>
      </c>
      <c r="AQ161" s="1">
        <f t="shared" ca="1" si="144"/>
        <v>38</v>
      </c>
      <c r="AR161" s="1">
        <f t="shared" ca="1" si="145"/>
        <v>3</v>
      </c>
      <c r="AS161" s="1">
        <f t="shared" ca="1" si="146"/>
        <v>98</v>
      </c>
      <c r="AU161" s="1">
        <f t="shared" ca="1" si="147"/>
        <v>203</v>
      </c>
      <c r="AV161" s="1">
        <f t="shared" ca="1" si="148"/>
        <v>9</v>
      </c>
      <c r="AW161" s="1">
        <f t="shared" ca="1" si="149"/>
        <v>0.11689684558114405</v>
      </c>
      <c r="AY161" s="1">
        <f t="shared" ca="1" si="150"/>
        <v>1.5921217724123009</v>
      </c>
      <c r="AZ161" s="1">
        <f t="shared" ca="1" si="151"/>
        <v>103</v>
      </c>
      <c r="BA161" s="1">
        <f t="shared" ca="1" si="152"/>
        <v>6.2907279478878137E-3</v>
      </c>
      <c r="BV161" s="1">
        <f t="shared" ca="1" si="153"/>
        <v>2.1188718938840917E-2</v>
      </c>
      <c r="BW161" s="1">
        <f t="shared" ca="1" si="154"/>
        <v>595</v>
      </c>
      <c r="BX161" s="1">
        <f t="shared" ca="1" si="155"/>
        <v>7.5086564588304153E-3</v>
      </c>
      <c r="BY161" s="1">
        <f t="shared" ca="1" si="156"/>
        <v>6.2715438722428074E-2</v>
      </c>
      <c r="BZ161" s="1">
        <f t="shared" ca="1" si="157"/>
        <v>0.56279808895542593</v>
      </c>
      <c r="CB161" s="1">
        <f t="shared" ca="1" si="158"/>
        <v>483</v>
      </c>
      <c r="CC161" s="1">
        <f t="shared" ca="1" si="159"/>
        <v>4</v>
      </c>
      <c r="CD161" s="1">
        <f t="shared" ca="1" si="160"/>
        <v>0.12673047850756203</v>
      </c>
      <c r="CE161" s="1">
        <f t="shared" ca="1" si="161"/>
        <v>0.63170435738657638</v>
      </c>
      <c r="CF161" s="1">
        <f t="shared" ca="1" si="161"/>
        <v>0.93799566326345141</v>
      </c>
      <c r="CH161" s="3">
        <f t="shared" ca="1" si="162"/>
        <v>0.86576832288243399</v>
      </c>
      <c r="CI161" s="3">
        <f t="shared" ca="1" si="163"/>
        <v>0.49763683021745925</v>
      </c>
      <c r="CJ161" s="3">
        <f t="shared" ca="1" si="164"/>
        <v>1845</v>
      </c>
      <c r="CK161" s="3">
        <f t="shared" ca="1" si="165"/>
        <v>8.2820216268475622E-3</v>
      </c>
      <c r="CL161" s="3">
        <f t="shared" ca="1" si="166"/>
        <v>0</v>
      </c>
      <c r="CM161" s="3"/>
      <c r="CN161" s="1">
        <f t="shared" ca="1" si="167"/>
        <v>13.225085167124812</v>
      </c>
      <c r="CO161" s="1">
        <f t="shared" ca="1" si="168"/>
        <v>0.27564986439006006</v>
      </c>
      <c r="CP161" s="1">
        <f t="shared" ca="1" si="169"/>
        <v>2</v>
      </c>
    </row>
    <row r="162" spans="2:94" x14ac:dyDescent="0.25">
      <c r="B162">
        <f t="shared" ca="1" si="114"/>
        <v>772</v>
      </c>
      <c r="C162">
        <f t="shared" ca="1" si="115"/>
        <v>8</v>
      </c>
      <c r="D162">
        <f t="shared" ca="1" si="116"/>
        <v>0.20024616670970449</v>
      </c>
      <c r="F162" s="1">
        <f t="shared" ca="1" si="117"/>
        <v>12</v>
      </c>
      <c r="G162" s="1">
        <f t="shared" ca="1" si="118"/>
        <v>21</v>
      </c>
      <c r="H162" s="1">
        <f t="shared" ca="1" si="119"/>
        <v>11</v>
      </c>
      <c r="I162" s="1"/>
      <c r="J162" s="1">
        <f t="shared" ca="1" si="120"/>
        <v>31</v>
      </c>
      <c r="K162" s="1">
        <f t="shared" ca="1" si="121"/>
        <v>2.9009297678381563</v>
      </c>
      <c r="L162" s="1">
        <f t="shared" ca="1" si="122"/>
        <v>16</v>
      </c>
      <c r="M162" s="1"/>
      <c r="N162" s="1">
        <f t="shared" ca="1" si="123"/>
        <v>428</v>
      </c>
      <c r="O162" s="1">
        <f t="shared" ca="1" si="124"/>
        <v>42</v>
      </c>
      <c r="P162" s="1"/>
      <c r="Q162" s="1">
        <f t="shared" ca="1" si="125"/>
        <v>3.1410772392933048</v>
      </c>
      <c r="R162" s="1">
        <f t="shared" ca="1" si="126"/>
        <v>631</v>
      </c>
      <c r="S162" s="1"/>
      <c r="T162" s="1">
        <f t="shared" ca="1" si="127"/>
        <v>0.14046227584284707</v>
      </c>
      <c r="U162" s="1">
        <f t="shared" ca="1" si="128"/>
        <v>105</v>
      </c>
      <c r="V162" s="1">
        <f t="shared" ca="1" si="129"/>
        <v>7</v>
      </c>
      <c r="W162" s="1"/>
      <c r="X162" s="1">
        <f t="shared" ca="1" si="130"/>
        <v>4.2047838674245934</v>
      </c>
      <c r="Y162" s="1">
        <f t="shared" ca="1" si="131"/>
        <v>0.70388910900936785</v>
      </c>
      <c r="Z162" s="1">
        <f t="shared" ca="1" si="132"/>
        <v>902</v>
      </c>
      <c r="AB162" s="1">
        <f t="shared" ca="1" si="133"/>
        <v>0.81334301659785813</v>
      </c>
      <c r="AC162" s="1">
        <f t="shared" ca="1" si="134"/>
        <v>248</v>
      </c>
      <c r="AD162" s="1">
        <f t="shared" ca="1" si="135"/>
        <v>8.158398422994444E-3</v>
      </c>
      <c r="AE162" s="1"/>
      <c r="AF162" s="1">
        <f t="shared" ca="1" si="136"/>
        <v>0.53531839132982961</v>
      </c>
      <c r="AG162" s="1">
        <f t="shared" ca="1" si="137"/>
        <v>938</v>
      </c>
      <c r="AH162" s="1">
        <f t="shared" ca="1" si="138"/>
        <v>2.5768939396919577E-4</v>
      </c>
      <c r="AJ162" s="1">
        <f t="shared" ca="1" si="139"/>
        <v>0.83787952140689048</v>
      </c>
      <c r="AK162" s="1">
        <f t="shared" ca="1" si="140"/>
        <v>3.5629240102972356E-3</v>
      </c>
      <c r="AL162" s="1"/>
      <c r="AM162" s="1">
        <f t="shared" ca="1" si="141"/>
        <v>0.18238084247445122</v>
      </c>
      <c r="AN162" s="1">
        <f t="shared" ca="1" si="142"/>
        <v>12</v>
      </c>
      <c r="AO162" s="1">
        <f t="shared" ca="1" si="143"/>
        <v>12</v>
      </c>
      <c r="AQ162" s="1">
        <f t="shared" ca="1" si="144"/>
        <v>79</v>
      </c>
      <c r="AR162" s="1">
        <f t="shared" ca="1" si="145"/>
        <v>0</v>
      </c>
      <c r="AS162" s="1">
        <f t="shared" ca="1" si="146"/>
        <v>62</v>
      </c>
      <c r="AU162" s="1">
        <f t="shared" ca="1" si="147"/>
        <v>345</v>
      </c>
      <c r="AV162" s="1">
        <f t="shared" ca="1" si="148"/>
        <v>5</v>
      </c>
      <c r="AW162" s="1">
        <f t="shared" ca="1" si="149"/>
        <v>0.12829722060224616</v>
      </c>
      <c r="AY162" s="1">
        <f t="shared" ca="1" si="150"/>
        <v>1.5609092087928935</v>
      </c>
      <c r="AZ162" s="1">
        <f t="shared" ca="1" si="151"/>
        <v>455</v>
      </c>
      <c r="BA162" s="1">
        <f t="shared" ca="1" si="152"/>
        <v>7.6286896864848769E-3</v>
      </c>
      <c r="BV162" s="1">
        <f t="shared" ca="1" si="153"/>
        <v>0.3518631670582642</v>
      </c>
      <c r="BW162" s="1">
        <f t="shared" ca="1" si="154"/>
        <v>263</v>
      </c>
      <c r="BX162" s="1">
        <f t="shared" ca="1" si="155"/>
        <v>6.4430985295932464E-3</v>
      </c>
      <c r="BY162" s="1">
        <f t="shared" ca="1" si="156"/>
        <v>8.1053258185909902E-2</v>
      </c>
      <c r="BZ162" s="1">
        <f t="shared" ca="1" si="157"/>
        <v>0.31997164724182636</v>
      </c>
      <c r="CB162" s="1">
        <f t="shared" ca="1" si="158"/>
        <v>308</v>
      </c>
      <c r="CC162" s="1">
        <f t="shared" ca="1" si="159"/>
        <v>9</v>
      </c>
      <c r="CD162" s="1">
        <f t="shared" ca="1" si="160"/>
        <v>0.25322090440450129</v>
      </c>
      <c r="CE162" s="1">
        <f t="shared" ca="1" si="161"/>
        <v>0.60814903395972342</v>
      </c>
      <c r="CF162" s="1">
        <f t="shared" ca="1" si="161"/>
        <v>0.96712393359428461</v>
      </c>
      <c r="CH162" s="3">
        <f t="shared" ca="1" si="162"/>
        <v>0.44418687886823077</v>
      </c>
      <c r="CI162" s="3">
        <f t="shared" ca="1" si="163"/>
        <v>0.59224126483156891</v>
      </c>
      <c r="CJ162" s="3">
        <f t="shared" ca="1" si="164"/>
        <v>411</v>
      </c>
      <c r="CK162" s="3">
        <f t="shared" ca="1" si="165"/>
        <v>2.3651898621831571E-3</v>
      </c>
      <c r="CL162" s="3">
        <f t="shared" ca="1" si="166"/>
        <v>1</v>
      </c>
      <c r="CM162" s="3"/>
      <c r="CN162" s="1">
        <f t="shared" ca="1" si="167"/>
        <v>17.949194584903328</v>
      </c>
      <c r="CO162" s="1">
        <f t="shared" ca="1" si="168"/>
        <v>0.41932817609794337</v>
      </c>
      <c r="CP162" s="1">
        <f t="shared" ca="1" si="169"/>
        <v>2</v>
      </c>
    </row>
    <row r="163" spans="2:94" x14ac:dyDescent="0.25">
      <c r="B163">
        <f t="shared" ca="1" si="114"/>
        <v>81</v>
      </c>
      <c r="C163">
        <f t="shared" ca="1" si="115"/>
        <v>40</v>
      </c>
      <c r="D163">
        <f t="shared" ca="1" si="116"/>
        <v>0.10206664610483114</v>
      </c>
      <c r="F163" s="1">
        <f t="shared" ca="1" si="117"/>
        <v>22</v>
      </c>
      <c r="G163" s="1">
        <f t="shared" ca="1" si="118"/>
        <v>8</v>
      </c>
      <c r="H163" s="1">
        <f t="shared" ca="1" si="119"/>
        <v>4</v>
      </c>
      <c r="I163" s="1"/>
      <c r="J163" s="1">
        <f t="shared" ca="1" si="120"/>
        <v>28</v>
      </c>
      <c r="K163" s="1">
        <f t="shared" ca="1" si="121"/>
        <v>1.8078499522321865</v>
      </c>
      <c r="L163" s="1">
        <f t="shared" ca="1" si="122"/>
        <v>20</v>
      </c>
      <c r="M163" s="1"/>
      <c r="N163" s="1">
        <f t="shared" ca="1" si="123"/>
        <v>534</v>
      </c>
      <c r="O163" s="1">
        <f t="shared" ca="1" si="124"/>
        <v>51</v>
      </c>
      <c r="P163" s="1"/>
      <c r="Q163" s="1">
        <f t="shared" ca="1" si="125"/>
        <v>1.1869159003163876</v>
      </c>
      <c r="R163" s="1">
        <f t="shared" ca="1" si="126"/>
        <v>310</v>
      </c>
      <c r="S163" s="1"/>
      <c r="T163" s="1">
        <f t="shared" ca="1" si="127"/>
        <v>0.10791042281005944</v>
      </c>
      <c r="U163" s="1">
        <f t="shared" ca="1" si="128"/>
        <v>283</v>
      </c>
      <c r="V163" s="1">
        <f t="shared" ca="1" si="129"/>
        <v>37</v>
      </c>
      <c r="W163" s="1"/>
      <c r="X163" s="1">
        <f t="shared" ca="1" si="130"/>
        <v>1.7316816582766001</v>
      </c>
      <c r="Y163" s="1">
        <f t="shared" ca="1" si="131"/>
        <v>0.44078690442682711</v>
      </c>
      <c r="Z163" s="1">
        <f t="shared" ca="1" si="132"/>
        <v>1266</v>
      </c>
      <c r="AB163" s="1">
        <f t="shared" ca="1" si="133"/>
        <v>0.12041069989738602</v>
      </c>
      <c r="AC163" s="1">
        <f t="shared" ca="1" si="134"/>
        <v>453</v>
      </c>
      <c r="AD163" s="1">
        <f t="shared" ca="1" si="135"/>
        <v>6.1854311998514426E-4</v>
      </c>
      <c r="AE163" s="1"/>
      <c r="AF163" s="1">
        <f t="shared" ca="1" si="136"/>
        <v>0.49009514186818048</v>
      </c>
      <c r="AG163" s="1">
        <f t="shared" ca="1" si="137"/>
        <v>943</v>
      </c>
      <c r="AH163" s="1">
        <f t="shared" ca="1" si="138"/>
        <v>7.758081213456316E-3</v>
      </c>
      <c r="AJ163" s="1">
        <f t="shared" ca="1" si="139"/>
        <v>0.64089559106825889</v>
      </c>
      <c r="AK163" s="1">
        <f t="shared" ca="1" si="140"/>
        <v>7.5975076264923318E-3</v>
      </c>
      <c r="AL163" s="1"/>
      <c r="AM163" s="1">
        <f t="shared" ca="1" si="141"/>
        <v>1.3157504212414795E-2</v>
      </c>
      <c r="AN163" s="1">
        <f t="shared" ca="1" si="142"/>
        <v>25</v>
      </c>
      <c r="AO163" s="1">
        <f t="shared" ca="1" si="143"/>
        <v>2</v>
      </c>
      <c r="AQ163" s="1">
        <f t="shared" ca="1" si="144"/>
        <v>11</v>
      </c>
      <c r="AR163" s="1">
        <f t="shared" ca="1" si="145"/>
        <v>3</v>
      </c>
      <c r="AS163" s="1">
        <f t="shared" ca="1" si="146"/>
        <v>6</v>
      </c>
      <c r="AU163" s="1">
        <f t="shared" ca="1" si="147"/>
        <v>104</v>
      </c>
      <c r="AV163" s="1">
        <f t="shared" ca="1" si="148"/>
        <v>3</v>
      </c>
      <c r="AW163" s="1">
        <f t="shared" ca="1" si="149"/>
        <v>9.9139718470541593E-2</v>
      </c>
      <c r="AY163" s="1">
        <f t="shared" ca="1" si="150"/>
        <v>1.8436370224426517</v>
      </c>
      <c r="AZ163" s="1">
        <f t="shared" ca="1" si="151"/>
        <v>349</v>
      </c>
      <c r="BA163" s="1">
        <f t="shared" ca="1" si="152"/>
        <v>2.8312776215770495E-3</v>
      </c>
      <c r="BV163" s="1">
        <f t="shared" ca="1" si="153"/>
        <v>0.42215841432669426</v>
      </c>
      <c r="BW163" s="1">
        <f t="shared" ca="1" si="154"/>
        <v>929</v>
      </c>
      <c r="BX163" s="1">
        <f t="shared" ca="1" si="155"/>
        <v>4.2967278577314152E-4</v>
      </c>
      <c r="BY163" s="1">
        <f t="shared" ca="1" si="156"/>
        <v>8.9185217513636811E-2</v>
      </c>
      <c r="BZ163" s="1">
        <f t="shared" ca="1" si="157"/>
        <v>0.71817740452658141</v>
      </c>
      <c r="CB163" s="1">
        <f t="shared" ca="1" si="158"/>
        <v>471</v>
      </c>
      <c r="CC163" s="1">
        <f t="shared" ca="1" si="159"/>
        <v>11</v>
      </c>
      <c r="CD163" s="1">
        <f t="shared" ca="1" si="160"/>
        <v>0.24826396913413279</v>
      </c>
      <c r="CE163" s="1">
        <f t="shared" ca="1" si="161"/>
        <v>0.87560586984239186</v>
      </c>
      <c r="CF163" s="1">
        <f t="shared" ca="1" si="161"/>
        <v>0.80203362238935161</v>
      </c>
      <c r="CH163" s="3">
        <f t="shared" ca="1" si="162"/>
        <v>0.39530840735347339</v>
      </c>
      <c r="CI163" s="3">
        <f t="shared" ca="1" si="163"/>
        <v>0.5100853854886146</v>
      </c>
      <c r="CJ163" s="3">
        <f t="shared" ca="1" si="164"/>
        <v>371</v>
      </c>
      <c r="CK163" s="3">
        <f t="shared" ca="1" si="165"/>
        <v>8.3778836961890084E-3</v>
      </c>
      <c r="CL163" s="3">
        <f t="shared" ca="1" si="166"/>
        <v>1</v>
      </c>
      <c r="CM163" s="3"/>
      <c r="CN163" s="1">
        <f t="shared" ca="1" si="167"/>
        <v>5.7328729785924599</v>
      </c>
      <c r="CO163" s="1">
        <f t="shared" ca="1" si="168"/>
        <v>0.42192617884803202</v>
      </c>
      <c r="CP163" s="1">
        <f t="shared" ca="1" si="169"/>
        <v>4</v>
      </c>
    </row>
    <row r="164" spans="2:94" x14ac:dyDescent="0.25">
      <c r="B164">
        <f t="shared" ca="1" si="114"/>
        <v>422</v>
      </c>
      <c r="C164">
        <f t="shared" ca="1" si="115"/>
        <v>5</v>
      </c>
      <c r="D164">
        <f t="shared" ca="1" si="116"/>
        <v>0.17874237940454271</v>
      </c>
      <c r="F164" s="1">
        <f t="shared" ca="1" si="117"/>
        <v>14</v>
      </c>
      <c r="G164" s="1">
        <f t="shared" ca="1" si="118"/>
        <v>16</v>
      </c>
      <c r="H164" s="1">
        <f t="shared" ca="1" si="119"/>
        <v>15</v>
      </c>
      <c r="I164" s="1"/>
      <c r="J164" s="1">
        <f t="shared" ca="1" si="120"/>
        <v>38</v>
      </c>
      <c r="K164" s="1">
        <f t="shared" ca="1" si="121"/>
        <v>2.5645825376892226</v>
      </c>
      <c r="L164" s="1">
        <f t="shared" ca="1" si="122"/>
        <v>32</v>
      </c>
      <c r="M164" s="1"/>
      <c r="N164" s="1">
        <f t="shared" ca="1" si="123"/>
        <v>125</v>
      </c>
      <c r="O164" s="1">
        <f t="shared" ca="1" si="124"/>
        <v>40</v>
      </c>
      <c r="P164" s="1"/>
      <c r="Q164" s="1">
        <f t="shared" ca="1" si="125"/>
        <v>2.3118007214701497</v>
      </c>
      <c r="R164" s="1">
        <f t="shared" ca="1" si="126"/>
        <v>209</v>
      </c>
      <c r="S164" s="1"/>
      <c r="T164" s="1">
        <f t="shared" ca="1" si="127"/>
        <v>0.11187194402503023</v>
      </c>
      <c r="U164" s="1">
        <f t="shared" ca="1" si="128"/>
        <v>79</v>
      </c>
      <c r="V164" s="1">
        <f t="shared" ca="1" si="129"/>
        <v>39</v>
      </c>
      <c r="W164" s="1"/>
      <c r="X164" s="1">
        <f t="shared" ca="1" si="130"/>
        <v>7.6304088238997236</v>
      </c>
      <c r="Y164" s="1">
        <f t="shared" ca="1" si="131"/>
        <v>3.2050110730012356E-2</v>
      </c>
      <c r="Z164" s="1">
        <f t="shared" ca="1" si="132"/>
        <v>1683</v>
      </c>
      <c r="AB164" s="1">
        <f t="shared" ca="1" si="133"/>
        <v>0.40218392377516915</v>
      </c>
      <c r="AC164" s="1">
        <f t="shared" ca="1" si="134"/>
        <v>886</v>
      </c>
      <c r="AD164" s="1">
        <f t="shared" ca="1" si="135"/>
        <v>3.3692692003482903E-3</v>
      </c>
      <c r="AE164" s="1"/>
      <c r="AF164" s="1">
        <f t="shared" ca="1" si="136"/>
        <v>0.86103836946369039</v>
      </c>
      <c r="AG164" s="1">
        <f t="shared" ca="1" si="137"/>
        <v>150</v>
      </c>
      <c r="AH164" s="1">
        <f t="shared" ca="1" si="138"/>
        <v>9.7102315761508802E-3</v>
      </c>
      <c r="AJ164" s="1">
        <f t="shared" ca="1" si="139"/>
        <v>0.12918667794065353</v>
      </c>
      <c r="AK164" s="1">
        <f t="shared" ca="1" si="140"/>
        <v>5.9035828011306758E-3</v>
      </c>
      <c r="AL164" s="1"/>
      <c r="AM164" s="1">
        <f t="shared" ca="1" si="141"/>
        <v>0.18925331565713271</v>
      </c>
      <c r="AN164" s="1">
        <f t="shared" ca="1" si="142"/>
        <v>77</v>
      </c>
      <c r="AO164" s="1">
        <f t="shared" ca="1" si="143"/>
        <v>9</v>
      </c>
      <c r="AQ164" s="1">
        <f t="shared" ca="1" si="144"/>
        <v>122</v>
      </c>
      <c r="AR164" s="1">
        <f t="shared" ca="1" si="145"/>
        <v>0</v>
      </c>
      <c r="AS164" s="1">
        <f t="shared" ca="1" si="146"/>
        <v>67</v>
      </c>
      <c r="AU164" s="1">
        <f t="shared" ca="1" si="147"/>
        <v>399</v>
      </c>
      <c r="AV164" s="1">
        <f t="shared" ca="1" si="148"/>
        <v>7</v>
      </c>
      <c r="AW164" s="1">
        <f t="shared" ca="1" si="149"/>
        <v>9.1582369656081158E-2</v>
      </c>
      <c r="AY164" s="1">
        <f t="shared" ca="1" si="150"/>
        <v>1.6483902482855091</v>
      </c>
      <c r="AZ164" s="1">
        <f t="shared" ca="1" si="151"/>
        <v>383</v>
      </c>
      <c r="BA164" s="1">
        <f t="shared" ca="1" si="152"/>
        <v>8.6113122511735571E-3</v>
      </c>
      <c r="BV164" s="1">
        <f t="shared" ca="1" si="153"/>
        <v>0.61334928187218718</v>
      </c>
      <c r="BW164" s="1">
        <f t="shared" ca="1" si="154"/>
        <v>971</v>
      </c>
      <c r="BX164" s="1">
        <f t="shared" ca="1" si="155"/>
        <v>9.3957049261975557E-3</v>
      </c>
      <c r="BY164" s="1">
        <f t="shared" ca="1" si="156"/>
        <v>1.2462861884810969E-3</v>
      </c>
      <c r="BZ164" s="1">
        <f t="shared" ca="1" si="157"/>
        <v>0.24968922972667706</v>
      </c>
      <c r="CB164" s="1">
        <f t="shared" ca="1" si="158"/>
        <v>362</v>
      </c>
      <c r="CC164" s="1">
        <f t="shared" ca="1" si="159"/>
        <v>15</v>
      </c>
      <c r="CD164" s="1">
        <f t="shared" ca="1" si="160"/>
        <v>0.11221124608833979</v>
      </c>
      <c r="CE164" s="1">
        <f t="shared" ref="CE164:CF202" ca="1" si="170">RAND()*(1-0.5)+0.5</f>
        <v>0.70967817228252994</v>
      </c>
      <c r="CF164" s="1">
        <f t="shared" ca="1" si="170"/>
        <v>0.815566118733979</v>
      </c>
      <c r="CH164" s="3">
        <f t="shared" ca="1" si="162"/>
        <v>0.75919943494940134</v>
      </c>
      <c r="CI164" s="3">
        <f t="shared" ca="1" si="163"/>
        <v>0.94366309307504781</v>
      </c>
      <c r="CJ164" s="3">
        <f t="shared" ca="1" si="164"/>
        <v>173</v>
      </c>
      <c r="CK164" s="3">
        <f t="shared" ca="1" si="165"/>
        <v>6.1935225937262651E-3</v>
      </c>
      <c r="CL164" s="3">
        <f t="shared" ca="1" si="166"/>
        <v>0</v>
      </c>
      <c r="CM164" s="3"/>
      <c r="CN164" s="1">
        <f t="shared" ca="1" si="167"/>
        <v>7.2581494133622932</v>
      </c>
      <c r="CO164" s="1">
        <f t="shared" ca="1" si="168"/>
        <v>2.8396605663901366E-2</v>
      </c>
      <c r="CP164" s="1">
        <f t="shared" ca="1" si="169"/>
        <v>2</v>
      </c>
    </row>
    <row r="165" spans="2:94" x14ac:dyDescent="0.25">
      <c r="B165">
        <f t="shared" ca="1" si="114"/>
        <v>388</v>
      </c>
      <c r="C165">
        <f t="shared" ca="1" si="115"/>
        <v>52</v>
      </c>
      <c r="D165">
        <f t="shared" ca="1" si="116"/>
        <v>0.15113486256944378</v>
      </c>
      <c r="F165" s="1">
        <f t="shared" ca="1" si="117"/>
        <v>33</v>
      </c>
      <c r="G165" s="1">
        <f t="shared" ca="1" si="118"/>
        <v>16</v>
      </c>
      <c r="H165" s="1">
        <f t="shared" ca="1" si="119"/>
        <v>7</v>
      </c>
      <c r="I165" s="1"/>
      <c r="J165" s="1">
        <f t="shared" ca="1" si="120"/>
        <v>7</v>
      </c>
      <c r="K165" s="1">
        <f t="shared" ca="1" si="121"/>
        <v>2.6457988841921098</v>
      </c>
      <c r="L165" s="1">
        <f t="shared" ca="1" si="122"/>
        <v>29</v>
      </c>
      <c r="M165" s="1"/>
      <c r="N165" s="1">
        <f t="shared" ca="1" si="123"/>
        <v>634</v>
      </c>
      <c r="O165" s="1">
        <f t="shared" ca="1" si="124"/>
        <v>35</v>
      </c>
      <c r="P165" s="1"/>
      <c r="Q165" s="1">
        <f t="shared" ca="1" si="125"/>
        <v>2.7955971139708362</v>
      </c>
      <c r="R165" s="1">
        <f t="shared" ca="1" si="126"/>
        <v>388</v>
      </c>
      <c r="S165" s="1"/>
      <c r="T165" s="1">
        <f t="shared" ca="1" si="127"/>
        <v>0.15936795268677711</v>
      </c>
      <c r="U165" s="1">
        <f t="shared" ca="1" si="128"/>
        <v>208</v>
      </c>
      <c r="V165" s="1">
        <f t="shared" ca="1" si="129"/>
        <v>21</v>
      </c>
      <c r="W165" s="1"/>
      <c r="X165" s="1">
        <f t="shared" ca="1" si="130"/>
        <v>9.9719846745270182</v>
      </c>
      <c r="Y165" s="1">
        <f t="shared" ca="1" si="131"/>
        <v>0.64990881491963681</v>
      </c>
      <c r="Z165" s="1">
        <f t="shared" ca="1" si="132"/>
        <v>180</v>
      </c>
      <c r="AB165" s="1">
        <f t="shared" ca="1" si="133"/>
        <v>0.69173578927063639</v>
      </c>
      <c r="AC165" s="1">
        <f t="shared" ca="1" si="134"/>
        <v>112</v>
      </c>
      <c r="AD165" s="1">
        <f t="shared" ca="1" si="135"/>
        <v>2.8751246698148483E-3</v>
      </c>
      <c r="AE165" s="1"/>
      <c r="AF165" s="1">
        <f t="shared" ca="1" si="136"/>
        <v>0.50739186700534988</v>
      </c>
      <c r="AG165" s="1">
        <f t="shared" ca="1" si="137"/>
        <v>358</v>
      </c>
      <c r="AH165" s="1">
        <f t="shared" ca="1" si="138"/>
        <v>1.1215809537440048E-3</v>
      </c>
      <c r="AJ165" s="1">
        <f t="shared" ca="1" si="139"/>
        <v>9.356566846506853E-2</v>
      </c>
      <c r="AK165" s="1">
        <f t="shared" ca="1" si="140"/>
        <v>1.304229558781641E-3</v>
      </c>
      <c r="AL165" s="1"/>
      <c r="AM165" s="1">
        <f t="shared" ca="1" si="141"/>
        <v>5.9256690030687072E-2</v>
      </c>
      <c r="AN165" s="1">
        <f t="shared" ca="1" si="142"/>
        <v>39</v>
      </c>
      <c r="AO165" s="1">
        <f t="shared" ca="1" si="143"/>
        <v>6</v>
      </c>
      <c r="AQ165" s="1">
        <f t="shared" ca="1" si="144"/>
        <v>15</v>
      </c>
      <c r="AR165" s="1">
        <f t="shared" ca="1" si="145"/>
        <v>10</v>
      </c>
      <c r="AS165" s="1">
        <f t="shared" ca="1" si="146"/>
        <v>68</v>
      </c>
      <c r="AU165" s="1">
        <f t="shared" ca="1" si="147"/>
        <v>177</v>
      </c>
      <c r="AV165" s="1">
        <f t="shared" ca="1" si="148"/>
        <v>4</v>
      </c>
      <c r="AW165" s="1">
        <f t="shared" ca="1" si="149"/>
        <v>0.14687728103730072</v>
      </c>
      <c r="AY165" s="1">
        <f t="shared" ca="1" si="150"/>
        <v>1.9422924392748215</v>
      </c>
      <c r="AZ165" s="1">
        <f t="shared" ca="1" si="151"/>
        <v>216</v>
      </c>
      <c r="BA165" s="1">
        <f t="shared" ca="1" si="152"/>
        <v>1.8532704854156139E-3</v>
      </c>
      <c r="BV165" s="1">
        <f t="shared" ca="1" si="153"/>
        <v>0.7820336287787385</v>
      </c>
      <c r="BW165" s="1">
        <f t="shared" ca="1" si="154"/>
        <v>818</v>
      </c>
      <c r="BX165" s="1">
        <f t="shared" ca="1" si="155"/>
        <v>4.2339996258403227E-3</v>
      </c>
      <c r="BY165" s="1">
        <f t="shared" ca="1" si="156"/>
        <v>4.7162589727679963E-2</v>
      </c>
      <c r="BZ165" s="1">
        <f t="shared" ca="1" si="157"/>
        <v>0.81230291599323234</v>
      </c>
      <c r="CB165" s="1">
        <f t="shared" ca="1" si="158"/>
        <v>387</v>
      </c>
      <c r="CC165" s="1">
        <f t="shared" ca="1" si="159"/>
        <v>14</v>
      </c>
      <c r="CD165" s="1">
        <f t="shared" ca="1" si="160"/>
        <v>0.108043288823783</v>
      </c>
      <c r="CE165" s="1">
        <f t="shared" ca="1" si="170"/>
        <v>0.6764909927444489</v>
      </c>
      <c r="CF165" s="1">
        <f t="shared" ca="1" si="170"/>
        <v>0.8230021666351619</v>
      </c>
      <c r="CH165" s="3">
        <f t="shared" ca="1" si="162"/>
        <v>0.84087496985972399</v>
      </c>
      <c r="CI165" s="3">
        <f t="shared" ca="1" si="163"/>
        <v>0.64543284394725164</v>
      </c>
      <c r="CJ165" s="3">
        <f t="shared" ca="1" si="164"/>
        <v>476</v>
      </c>
      <c r="CK165" s="3">
        <f t="shared" ca="1" si="165"/>
        <v>3.6265414264080782E-4</v>
      </c>
      <c r="CL165" s="3">
        <f t="shared" ca="1" si="166"/>
        <v>0</v>
      </c>
      <c r="CM165" s="3"/>
      <c r="CN165" s="1">
        <f t="shared" ca="1" si="167"/>
        <v>0.27039443247462663</v>
      </c>
      <c r="CO165" s="1">
        <f t="shared" ca="1" si="168"/>
        <v>0.22727426063822889</v>
      </c>
      <c r="CP165" s="1">
        <f t="shared" ca="1" si="169"/>
        <v>2</v>
      </c>
    </row>
    <row r="166" spans="2:94" x14ac:dyDescent="0.25">
      <c r="B166">
        <f t="shared" ca="1" si="114"/>
        <v>361</v>
      </c>
      <c r="C166">
        <f t="shared" ca="1" si="115"/>
        <v>19</v>
      </c>
      <c r="D166">
        <f t="shared" ca="1" si="116"/>
        <v>5.2030916327665017E-2</v>
      </c>
      <c r="F166" s="1">
        <f t="shared" ca="1" si="117"/>
        <v>29</v>
      </c>
      <c r="G166" s="1">
        <f t="shared" ca="1" si="118"/>
        <v>14</v>
      </c>
      <c r="H166" s="1">
        <f t="shared" ca="1" si="119"/>
        <v>12</v>
      </c>
      <c r="I166" s="1"/>
      <c r="J166" s="1">
        <f t="shared" ca="1" si="120"/>
        <v>26</v>
      </c>
      <c r="K166" s="1">
        <f t="shared" ca="1" si="121"/>
        <v>2.6679004195677187</v>
      </c>
      <c r="L166" s="1">
        <f t="shared" ca="1" si="122"/>
        <v>20</v>
      </c>
      <c r="M166" s="1"/>
      <c r="N166" s="1">
        <f t="shared" ca="1" si="123"/>
        <v>475</v>
      </c>
      <c r="O166" s="1">
        <f t="shared" ca="1" si="124"/>
        <v>17</v>
      </c>
      <c r="P166" s="1"/>
      <c r="Q166" s="1">
        <f t="shared" ca="1" si="125"/>
        <v>1.2985718446773238</v>
      </c>
      <c r="R166" s="1">
        <f t="shared" ca="1" si="126"/>
        <v>686</v>
      </c>
      <c r="S166" s="1"/>
      <c r="T166" s="1">
        <f t="shared" ca="1" si="127"/>
        <v>0.19341511662318769</v>
      </c>
      <c r="U166" s="1">
        <f t="shared" ca="1" si="128"/>
        <v>243</v>
      </c>
      <c r="V166" s="1">
        <f t="shared" ca="1" si="129"/>
        <v>43</v>
      </c>
      <c r="W166" s="1"/>
      <c r="X166" s="1">
        <f t="shared" ca="1" si="130"/>
        <v>9.5710069035904191</v>
      </c>
      <c r="Y166" s="1">
        <f t="shared" ca="1" si="131"/>
        <v>9.1445320285673398E-3</v>
      </c>
      <c r="Z166" s="1">
        <f t="shared" ca="1" si="132"/>
        <v>275</v>
      </c>
      <c r="AB166" s="1">
        <f t="shared" ca="1" si="133"/>
        <v>0.32951252635704481</v>
      </c>
      <c r="AC166" s="1">
        <f t="shared" ca="1" si="134"/>
        <v>520</v>
      </c>
      <c r="AD166" s="1">
        <f t="shared" ca="1" si="135"/>
        <v>1.7464423837976134E-3</v>
      </c>
      <c r="AE166" s="1"/>
      <c r="AF166" s="1">
        <f t="shared" ca="1" si="136"/>
        <v>0.35680467813993577</v>
      </c>
      <c r="AG166" s="1">
        <f t="shared" ca="1" si="137"/>
        <v>744</v>
      </c>
      <c r="AH166" s="1">
        <f t="shared" ca="1" si="138"/>
        <v>5.1112000406474409E-3</v>
      </c>
      <c r="AJ166" s="1">
        <f t="shared" ca="1" si="139"/>
        <v>0.71620844153575725</v>
      </c>
      <c r="AK166" s="1">
        <f t="shared" ca="1" si="140"/>
        <v>5.6084756140487848E-3</v>
      </c>
      <c r="AL166" s="1"/>
      <c r="AM166" s="1">
        <f t="shared" ca="1" si="141"/>
        <v>0.13031697699681863</v>
      </c>
      <c r="AN166" s="1">
        <f t="shared" ca="1" si="142"/>
        <v>48</v>
      </c>
      <c r="AO166" s="1">
        <f t="shared" ca="1" si="143"/>
        <v>5</v>
      </c>
      <c r="AQ166" s="1">
        <f t="shared" ca="1" si="144"/>
        <v>19</v>
      </c>
      <c r="AR166" s="1">
        <f t="shared" ca="1" si="145"/>
        <v>9</v>
      </c>
      <c r="AS166" s="1">
        <f t="shared" ca="1" si="146"/>
        <v>49</v>
      </c>
      <c r="AU166" s="1">
        <f t="shared" ca="1" si="147"/>
        <v>332</v>
      </c>
      <c r="AV166" s="1">
        <f t="shared" ca="1" si="148"/>
        <v>2</v>
      </c>
      <c r="AW166" s="1">
        <f t="shared" ca="1" si="149"/>
        <v>7.8367165572717778E-2</v>
      </c>
      <c r="AY166" s="1">
        <f t="shared" ca="1" si="150"/>
        <v>1.6363624607227132</v>
      </c>
      <c r="AZ166" s="1">
        <f t="shared" ca="1" si="151"/>
        <v>246</v>
      </c>
      <c r="BA166" s="1">
        <f t="shared" ca="1" si="152"/>
        <v>2.7499589557687704E-3</v>
      </c>
      <c r="BV166" s="1">
        <f t="shared" ca="1" si="153"/>
        <v>0.30834924035911332</v>
      </c>
      <c r="BW166" s="1">
        <f t="shared" ca="1" si="154"/>
        <v>743</v>
      </c>
      <c r="BX166" s="1">
        <f t="shared" ca="1" si="155"/>
        <v>9.5548214214547789E-3</v>
      </c>
      <c r="BY166" s="1">
        <f t="shared" ca="1" si="156"/>
        <v>5.8079843617409449E-2</v>
      </c>
      <c r="BZ166" s="1">
        <f t="shared" ca="1" si="157"/>
        <v>0.82483852661634616</v>
      </c>
      <c r="CB166" s="1">
        <f t="shared" ca="1" si="158"/>
        <v>441</v>
      </c>
      <c r="CC166" s="1">
        <f t="shared" ca="1" si="159"/>
        <v>12</v>
      </c>
      <c r="CD166" s="1">
        <f t="shared" ca="1" si="160"/>
        <v>3.2004152767815458E-2</v>
      </c>
      <c r="CE166" s="1">
        <f t="shared" ca="1" si="170"/>
        <v>0.91534699154408261</v>
      </c>
      <c r="CF166" s="1">
        <f t="shared" ca="1" si="170"/>
        <v>0.56772093895101672</v>
      </c>
      <c r="CH166" s="3">
        <f t="shared" ca="1" si="162"/>
        <v>0.42777031230813484</v>
      </c>
      <c r="CI166" s="3">
        <f t="shared" ca="1" si="163"/>
        <v>0.62213862304908296</v>
      </c>
      <c r="CJ166" s="3">
        <f t="shared" ca="1" si="164"/>
        <v>893</v>
      </c>
      <c r="CK166" s="3">
        <f t="shared" ca="1" si="165"/>
        <v>5.4176708582462148E-3</v>
      </c>
      <c r="CL166" s="3">
        <f t="shared" ca="1" si="166"/>
        <v>0</v>
      </c>
      <c r="CM166" s="3"/>
      <c r="CN166" s="1">
        <f t="shared" ca="1" si="167"/>
        <v>6.3403152423670788</v>
      </c>
      <c r="CO166" s="1">
        <f t="shared" ca="1" si="168"/>
        <v>0.10944911828399213</v>
      </c>
      <c r="CP166" s="1">
        <f t="shared" ca="1" si="169"/>
        <v>5</v>
      </c>
    </row>
    <row r="167" spans="2:94" x14ac:dyDescent="0.25">
      <c r="B167">
        <f t="shared" ca="1" si="114"/>
        <v>747</v>
      </c>
      <c r="C167">
        <f t="shared" ca="1" si="115"/>
        <v>39</v>
      </c>
      <c r="D167">
        <f t="shared" ca="1" si="116"/>
        <v>8.4216048793121209E-2</v>
      </c>
      <c r="F167" s="1">
        <f t="shared" ca="1" si="117"/>
        <v>27</v>
      </c>
      <c r="G167" s="1">
        <f t="shared" ca="1" si="118"/>
        <v>2</v>
      </c>
      <c r="H167" s="1">
        <f t="shared" ca="1" si="119"/>
        <v>6</v>
      </c>
      <c r="I167" s="1"/>
      <c r="J167" s="1">
        <f t="shared" ca="1" si="120"/>
        <v>29</v>
      </c>
      <c r="K167" s="1">
        <f t="shared" ca="1" si="121"/>
        <v>1.2273884604012479</v>
      </c>
      <c r="L167" s="1">
        <f t="shared" ca="1" si="122"/>
        <v>22</v>
      </c>
      <c r="M167" s="1"/>
      <c r="N167" s="1">
        <f t="shared" ca="1" si="123"/>
        <v>735</v>
      </c>
      <c r="O167" s="1">
        <f t="shared" ca="1" si="124"/>
        <v>25</v>
      </c>
      <c r="P167" s="1"/>
      <c r="Q167" s="1">
        <f t="shared" ca="1" si="125"/>
        <v>3.0403854112916626</v>
      </c>
      <c r="R167" s="1">
        <f t="shared" ca="1" si="126"/>
        <v>281</v>
      </c>
      <c r="S167" s="1"/>
      <c r="T167" s="1">
        <f t="shared" ca="1" si="127"/>
        <v>0.175031407021428</v>
      </c>
      <c r="U167" s="1">
        <f t="shared" ca="1" si="128"/>
        <v>165</v>
      </c>
      <c r="V167" s="1">
        <f t="shared" ca="1" si="129"/>
        <v>43</v>
      </c>
      <c r="W167" s="1"/>
      <c r="X167" s="1">
        <f t="shared" ca="1" si="130"/>
        <v>7.4196783158440933</v>
      </c>
      <c r="Y167" s="1">
        <f t="shared" ca="1" si="131"/>
        <v>0.1285420437770422</v>
      </c>
      <c r="Z167" s="1">
        <f t="shared" ca="1" si="132"/>
        <v>1331</v>
      </c>
      <c r="AB167" s="1">
        <f t="shared" ca="1" si="133"/>
        <v>0.40655369428996002</v>
      </c>
      <c r="AC167" s="1">
        <f t="shared" ca="1" si="134"/>
        <v>278</v>
      </c>
      <c r="AD167" s="1">
        <f t="shared" ca="1" si="135"/>
        <v>1.7469408864472628E-3</v>
      </c>
      <c r="AE167" s="1"/>
      <c r="AF167" s="1">
        <f t="shared" ca="1" si="136"/>
        <v>0.20622356399005357</v>
      </c>
      <c r="AG167" s="1">
        <f t="shared" ca="1" si="137"/>
        <v>226</v>
      </c>
      <c r="AH167" s="1">
        <f t="shared" ca="1" si="138"/>
        <v>7.8574004794615595E-3</v>
      </c>
      <c r="AJ167" s="1">
        <f t="shared" ca="1" si="139"/>
        <v>0.15330666312044527</v>
      </c>
      <c r="AK167" s="1">
        <f t="shared" ca="1" si="140"/>
        <v>2.1226139581063405E-3</v>
      </c>
      <c r="AL167" s="1"/>
      <c r="AM167" s="1">
        <f t="shared" ca="1" si="141"/>
        <v>0.15498761268582839</v>
      </c>
      <c r="AN167" s="1">
        <f t="shared" ca="1" si="142"/>
        <v>80</v>
      </c>
      <c r="AO167" s="1">
        <f t="shared" ca="1" si="143"/>
        <v>3</v>
      </c>
      <c r="AQ167" s="1">
        <f t="shared" ca="1" si="144"/>
        <v>93</v>
      </c>
      <c r="AR167" s="1">
        <f t="shared" ca="1" si="145"/>
        <v>7</v>
      </c>
      <c r="AS167" s="1">
        <f t="shared" ca="1" si="146"/>
        <v>66</v>
      </c>
      <c r="AU167" s="1">
        <f t="shared" ca="1" si="147"/>
        <v>154</v>
      </c>
      <c r="AV167" s="1">
        <f t="shared" ca="1" si="148"/>
        <v>2</v>
      </c>
      <c r="AW167" s="1">
        <f t="shared" ca="1" si="149"/>
        <v>4.6948181865326136E-2</v>
      </c>
      <c r="AY167" s="1">
        <f t="shared" ca="1" si="150"/>
        <v>1.1697532542755256</v>
      </c>
      <c r="AZ167" s="1">
        <f t="shared" ca="1" si="151"/>
        <v>188</v>
      </c>
      <c r="BA167" s="1">
        <f t="shared" ca="1" si="152"/>
        <v>9.476399845116357E-3</v>
      </c>
      <c r="BV167" s="1">
        <f t="shared" ca="1" si="153"/>
        <v>0.59420170095084801</v>
      </c>
      <c r="BW167" s="1">
        <f t="shared" ca="1" si="154"/>
        <v>514</v>
      </c>
      <c r="BX167" s="1">
        <f t="shared" ca="1" si="155"/>
        <v>6.5994044229773967E-3</v>
      </c>
      <c r="BY167" s="1">
        <f t="shared" ca="1" si="156"/>
        <v>4.3016427818836349E-2</v>
      </c>
      <c r="BZ167" s="1">
        <f t="shared" ca="1" si="157"/>
        <v>2.7970468494091016E-2</v>
      </c>
      <c r="CB167" s="1">
        <f t="shared" ca="1" si="158"/>
        <v>277</v>
      </c>
      <c r="CC167" s="1">
        <f t="shared" ca="1" si="159"/>
        <v>12</v>
      </c>
      <c r="CD167" s="1">
        <f t="shared" ca="1" si="160"/>
        <v>0.15706912904403211</v>
      </c>
      <c r="CE167" s="1">
        <f t="shared" ca="1" si="170"/>
        <v>0.91354754199048149</v>
      </c>
      <c r="CF167" s="1">
        <f t="shared" ca="1" si="170"/>
        <v>0.65310661971245554</v>
      </c>
      <c r="CH167" s="3">
        <f t="shared" ca="1" si="162"/>
        <v>0.58784883287125811</v>
      </c>
      <c r="CI167" s="3">
        <f t="shared" ca="1" si="163"/>
        <v>8.4009626768502474E-2</v>
      </c>
      <c r="CJ167" s="3">
        <f t="shared" ca="1" si="164"/>
        <v>695</v>
      </c>
      <c r="CK167" s="3">
        <f t="shared" ca="1" si="165"/>
        <v>1.3464124118978259E-3</v>
      </c>
      <c r="CL167" s="3">
        <f t="shared" ca="1" si="166"/>
        <v>0</v>
      </c>
      <c r="CM167" s="3"/>
      <c r="CN167" s="1">
        <f t="shared" ca="1" si="167"/>
        <v>4.7585023390034378</v>
      </c>
      <c r="CO167" s="1">
        <f t="shared" ca="1" si="168"/>
        <v>0.31979133016499323</v>
      </c>
      <c r="CP167" s="1">
        <f t="shared" ca="1" si="169"/>
        <v>2</v>
      </c>
    </row>
    <row r="168" spans="2:94" x14ac:dyDescent="0.25">
      <c r="B168">
        <f t="shared" ca="1" si="114"/>
        <v>48</v>
      </c>
      <c r="C168">
        <f t="shared" ca="1" si="115"/>
        <v>52</v>
      </c>
      <c r="D168">
        <f t="shared" ca="1" si="116"/>
        <v>0.20254716164279807</v>
      </c>
      <c r="F168" s="1">
        <f t="shared" ca="1" si="117"/>
        <v>29</v>
      </c>
      <c r="G168" s="1">
        <f t="shared" ca="1" si="118"/>
        <v>19</v>
      </c>
      <c r="H168" s="1">
        <f t="shared" ca="1" si="119"/>
        <v>9</v>
      </c>
      <c r="I168" s="1"/>
      <c r="J168" s="1">
        <f t="shared" ca="1" si="120"/>
        <v>25</v>
      </c>
      <c r="K168" s="1">
        <f t="shared" ca="1" si="121"/>
        <v>2.6577789525226949</v>
      </c>
      <c r="L168" s="1">
        <f t="shared" ca="1" si="122"/>
        <v>4</v>
      </c>
      <c r="M168" s="1"/>
      <c r="N168" s="1">
        <f t="shared" ca="1" si="123"/>
        <v>202</v>
      </c>
      <c r="O168" s="1">
        <f t="shared" ca="1" si="124"/>
        <v>15</v>
      </c>
      <c r="P168" s="1"/>
      <c r="Q168" s="1">
        <f t="shared" ca="1" si="125"/>
        <v>4.1219016070381391</v>
      </c>
      <c r="R168" s="1">
        <f t="shared" ca="1" si="126"/>
        <v>1190</v>
      </c>
      <c r="S168" s="1"/>
      <c r="T168" s="1">
        <f t="shared" ca="1" si="127"/>
        <v>1.7593276874369315E-2</v>
      </c>
      <c r="U168" s="1">
        <f t="shared" ca="1" si="128"/>
        <v>283</v>
      </c>
      <c r="V168" s="1">
        <f t="shared" ca="1" si="129"/>
        <v>22</v>
      </c>
      <c r="W168" s="1"/>
      <c r="X168" s="1">
        <f t="shared" ca="1" si="130"/>
        <v>6.6151269314778638</v>
      </c>
      <c r="Y168" s="1">
        <f t="shared" ca="1" si="131"/>
        <v>0.2136050094473764</v>
      </c>
      <c r="Z168" s="1">
        <f t="shared" ca="1" si="132"/>
        <v>1158</v>
      </c>
      <c r="AB168" s="1">
        <f t="shared" ca="1" si="133"/>
        <v>0.46267481829140078</v>
      </c>
      <c r="AC168" s="1">
        <f t="shared" ca="1" si="134"/>
        <v>914</v>
      </c>
      <c r="AD168" s="1">
        <f t="shared" ca="1" si="135"/>
        <v>7.2144721470497461E-3</v>
      </c>
      <c r="AE168" s="1"/>
      <c r="AF168" s="1">
        <f t="shared" ca="1" si="136"/>
        <v>0.46266607672788584</v>
      </c>
      <c r="AG168" s="1">
        <f t="shared" ca="1" si="137"/>
        <v>101</v>
      </c>
      <c r="AH168" s="1">
        <f t="shared" ca="1" si="138"/>
        <v>7.2903191518910752E-3</v>
      </c>
      <c r="AJ168" s="1">
        <f t="shared" ca="1" si="139"/>
        <v>0.29697151960458101</v>
      </c>
      <c r="AK168" s="1">
        <f t="shared" ca="1" si="140"/>
        <v>2.4505424644805144E-3</v>
      </c>
      <c r="AL168" s="1"/>
      <c r="AM168" s="1">
        <f t="shared" ca="1" si="141"/>
        <v>0.14682020313632785</v>
      </c>
      <c r="AN168" s="1">
        <f t="shared" ca="1" si="142"/>
        <v>37</v>
      </c>
      <c r="AO168" s="1">
        <f t="shared" ca="1" si="143"/>
        <v>13</v>
      </c>
      <c r="AQ168" s="1">
        <f t="shared" ca="1" si="144"/>
        <v>117</v>
      </c>
      <c r="AR168" s="1">
        <f t="shared" ca="1" si="145"/>
        <v>7</v>
      </c>
      <c r="AS168" s="1">
        <f t="shared" ca="1" si="146"/>
        <v>70</v>
      </c>
      <c r="AU168" s="1">
        <f t="shared" ca="1" si="147"/>
        <v>392</v>
      </c>
      <c r="AV168" s="1">
        <f t="shared" ca="1" si="148"/>
        <v>4</v>
      </c>
      <c r="AW168" s="1">
        <f t="shared" ca="1" si="149"/>
        <v>0.1651321900315337</v>
      </c>
      <c r="AY168" s="1">
        <f t="shared" ca="1" si="150"/>
        <v>1.4531339962957111</v>
      </c>
      <c r="AZ168" s="1">
        <f t="shared" ca="1" si="151"/>
        <v>180</v>
      </c>
      <c r="BA168" s="1">
        <f t="shared" ca="1" si="152"/>
        <v>5.9282193900755719E-3</v>
      </c>
      <c r="BV168" s="1">
        <f t="shared" ca="1" si="153"/>
        <v>0.34785878540048054</v>
      </c>
      <c r="BW168" s="1">
        <f t="shared" ca="1" si="154"/>
        <v>687</v>
      </c>
      <c r="BX168" s="1">
        <f t="shared" ca="1" si="155"/>
        <v>2.3912913417627867E-3</v>
      </c>
      <c r="BY168" s="1">
        <f t="shared" ca="1" si="156"/>
        <v>9.2664673378727316E-2</v>
      </c>
      <c r="BZ168" s="1">
        <f t="shared" ca="1" si="157"/>
        <v>0.77393804904773744</v>
      </c>
      <c r="CB168" s="1">
        <f t="shared" ca="1" si="158"/>
        <v>290</v>
      </c>
      <c r="CC168" s="1">
        <f t="shared" ca="1" si="159"/>
        <v>10</v>
      </c>
      <c r="CD168" s="1">
        <f t="shared" ca="1" si="160"/>
        <v>0.288502423993655</v>
      </c>
      <c r="CE168" s="1">
        <f t="shared" ca="1" si="170"/>
        <v>0.5273273495994466</v>
      </c>
      <c r="CF168" s="1">
        <f t="shared" ca="1" si="170"/>
        <v>0.96786011704208152</v>
      </c>
      <c r="CH168" s="3">
        <f t="shared" ca="1" si="162"/>
        <v>0.45403629823718561</v>
      </c>
      <c r="CI168" s="3">
        <f t="shared" ca="1" si="163"/>
        <v>0.60809887790524464</v>
      </c>
      <c r="CJ168" s="3">
        <f t="shared" ca="1" si="164"/>
        <v>918</v>
      </c>
      <c r="CK168" s="3">
        <f t="shared" ca="1" si="165"/>
        <v>7.7636878014068203E-3</v>
      </c>
      <c r="CL168" s="3">
        <f t="shared" ca="1" si="166"/>
        <v>0</v>
      </c>
      <c r="CM168" s="3"/>
      <c r="CN168" s="1">
        <f t="shared" ca="1" si="167"/>
        <v>12.692077121283482</v>
      </c>
      <c r="CO168" s="1">
        <f t="shared" ca="1" si="168"/>
        <v>0.4658386505024581</v>
      </c>
      <c r="CP168" s="1">
        <f t="shared" ca="1" si="169"/>
        <v>4</v>
      </c>
    </row>
    <row r="169" spans="2:94" x14ac:dyDescent="0.25">
      <c r="B169">
        <f t="shared" ca="1" si="114"/>
        <v>64</v>
      </c>
      <c r="C169">
        <f t="shared" ca="1" si="115"/>
        <v>52</v>
      </c>
      <c r="D169">
        <f t="shared" ca="1" si="116"/>
        <v>0.20849821188222348</v>
      </c>
      <c r="F169" s="1">
        <f t="shared" ca="1" si="117"/>
        <v>39</v>
      </c>
      <c r="G169" s="1">
        <f t="shared" ca="1" si="118"/>
        <v>8</v>
      </c>
      <c r="H169" s="1">
        <f t="shared" ca="1" si="119"/>
        <v>9</v>
      </c>
      <c r="I169" s="1"/>
      <c r="J169" s="1">
        <f t="shared" ca="1" si="120"/>
        <v>39</v>
      </c>
      <c r="K169" s="1">
        <f t="shared" ca="1" si="121"/>
        <v>1.2680525541942311</v>
      </c>
      <c r="L169" s="1">
        <f t="shared" ca="1" si="122"/>
        <v>23</v>
      </c>
      <c r="M169" s="1"/>
      <c r="N169" s="1">
        <f t="shared" ca="1" si="123"/>
        <v>814</v>
      </c>
      <c r="O169" s="1">
        <f t="shared" ca="1" si="124"/>
        <v>3</v>
      </c>
      <c r="P169" s="1"/>
      <c r="Q169" s="1">
        <f t="shared" ca="1" si="125"/>
        <v>3.1183217805459251</v>
      </c>
      <c r="R169" s="1">
        <f t="shared" ca="1" si="126"/>
        <v>585</v>
      </c>
      <c r="S169" s="1"/>
      <c r="T169" s="1">
        <f t="shared" ca="1" si="127"/>
        <v>9.7248555311466464E-2</v>
      </c>
      <c r="U169" s="1">
        <f t="shared" ca="1" si="128"/>
        <v>250</v>
      </c>
      <c r="V169" s="1">
        <f t="shared" ca="1" si="129"/>
        <v>24</v>
      </c>
      <c r="W169" s="1"/>
      <c r="X169" s="1">
        <f t="shared" ca="1" si="130"/>
        <v>7.11663000646341</v>
      </c>
      <c r="Y169" s="1">
        <f t="shared" ca="1" si="131"/>
        <v>0.16304880247748701</v>
      </c>
      <c r="Z169" s="1">
        <f t="shared" ca="1" si="132"/>
        <v>1968</v>
      </c>
      <c r="AB169" s="1">
        <f t="shared" ca="1" si="133"/>
        <v>0.8939492542986508</v>
      </c>
      <c r="AC169" s="1">
        <f t="shared" ca="1" si="134"/>
        <v>565</v>
      </c>
      <c r="AD169" s="1">
        <f t="shared" ca="1" si="135"/>
        <v>4.1935497611721136E-3</v>
      </c>
      <c r="AE169" s="1"/>
      <c r="AF169" s="1">
        <f t="shared" ca="1" si="136"/>
        <v>0.30962574290388939</v>
      </c>
      <c r="AG169" s="1">
        <f t="shared" ca="1" si="137"/>
        <v>922</v>
      </c>
      <c r="AH169" s="1">
        <f t="shared" ca="1" si="138"/>
        <v>2.8582987393699277E-3</v>
      </c>
      <c r="AJ169" s="1">
        <f t="shared" ca="1" si="139"/>
        <v>0.36960238734905948</v>
      </c>
      <c r="AK169" s="1">
        <f t="shared" ca="1" si="140"/>
        <v>8.9853541434675374E-3</v>
      </c>
      <c r="AL169" s="1"/>
      <c r="AM169" s="1">
        <f t="shared" ca="1" si="141"/>
        <v>0.15433477743632817</v>
      </c>
      <c r="AN169" s="1">
        <f t="shared" ca="1" si="142"/>
        <v>51</v>
      </c>
      <c r="AO169" s="1">
        <f t="shared" ca="1" si="143"/>
        <v>2</v>
      </c>
      <c r="AQ169" s="1">
        <f t="shared" ca="1" si="144"/>
        <v>104</v>
      </c>
      <c r="AR169" s="1">
        <f t="shared" ca="1" si="145"/>
        <v>8</v>
      </c>
      <c r="AS169" s="1">
        <f t="shared" ca="1" si="146"/>
        <v>9</v>
      </c>
      <c r="AU169" s="1">
        <f t="shared" ca="1" si="147"/>
        <v>195</v>
      </c>
      <c r="AV169" s="1">
        <f t="shared" ca="1" si="148"/>
        <v>3</v>
      </c>
      <c r="AW169" s="1">
        <f t="shared" ca="1" si="149"/>
        <v>0.19492433626476513</v>
      </c>
      <c r="AY169" s="1">
        <f t="shared" ca="1" si="150"/>
        <v>1.5872104950759789</v>
      </c>
      <c r="AZ169" s="1">
        <f t="shared" ca="1" si="151"/>
        <v>433</v>
      </c>
      <c r="BA169" s="1">
        <f t="shared" ca="1" si="152"/>
        <v>7.8047031231480886E-3</v>
      </c>
      <c r="BV169" s="1">
        <f t="shared" ca="1" si="153"/>
        <v>0.27450697784536432</v>
      </c>
      <c r="BW169" s="1">
        <f t="shared" ca="1" si="154"/>
        <v>923</v>
      </c>
      <c r="BX169" s="1">
        <f t="shared" ca="1" si="155"/>
        <v>5.6806620675340725E-3</v>
      </c>
      <c r="BY169" s="1">
        <f t="shared" ca="1" si="156"/>
        <v>6.7831231079250598E-3</v>
      </c>
      <c r="BZ169" s="1">
        <f t="shared" ca="1" si="157"/>
        <v>0.4220891177396392</v>
      </c>
      <c r="CB169" s="1">
        <f t="shared" ca="1" si="158"/>
        <v>378</v>
      </c>
      <c r="CC169" s="1">
        <f t="shared" ca="1" si="159"/>
        <v>3</v>
      </c>
      <c r="CD169" s="1">
        <f t="shared" ca="1" si="160"/>
        <v>0.25706123597724967</v>
      </c>
      <c r="CE169" s="1">
        <f t="shared" ca="1" si="170"/>
        <v>0.7055004790792152</v>
      </c>
      <c r="CF169" s="1">
        <f t="shared" ca="1" si="170"/>
        <v>0.75046549630707704</v>
      </c>
      <c r="CH169" s="3">
        <f t="shared" ca="1" si="162"/>
        <v>0.75918756274535781</v>
      </c>
      <c r="CI169" s="3">
        <f t="shared" ca="1" si="163"/>
        <v>0.67001494677293638</v>
      </c>
      <c r="CJ169" s="3">
        <f t="shared" ca="1" si="164"/>
        <v>1625</v>
      </c>
      <c r="CK169" s="3">
        <f t="shared" ca="1" si="165"/>
        <v>5.3084310446669791E-4</v>
      </c>
      <c r="CL169" s="3">
        <f t="shared" ca="1" si="166"/>
        <v>0</v>
      </c>
      <c r="CM169" s="3"/>
      <c r="CN169" s="1">
        <f t="shared" ca="1" si="167"/>
        <v>15.947852818501575</v>
      </c>
      <c r="CO169" s="1">
        <f t="shared" ca="1" si="168"/>
        <v>0.46367477728883655</v>
      </c>
      <c r="CP169" s="1">
        <f t="shared" ca="1" si="169"/>
        <v>4</v>
      </c>
    </row>
    <row r="170" spans="2:94" x14ac:dyDescent="0.25">
      <c r="B170">
        <f t="shared" ca="1" si="114"/>
        <v>512</v>
      </c>
      <c r="C170">
        <f t="shared" ca="1" si="115"/>
        <v>23</v>
      </c>
      <c r="D170">
        <f t="shared" ca="1" si="116"/>
        <v>0.19971533108669628</v>
      </c>
      <c r="F170" s="1">
        <f t="shared" ca="1" si="117"/>
        <v>45</v>
      </c>
      <c r="G170" s="1">
        <f t="shared" ca="1" si="118"/>
        <v>15</v>
      </c>
      <c r="H170" s="1">
        <f t="shared" ca="1" si="119"/>
        <v>4</v>
      </c>
      <c r="I170" s="1"/>
      <c r="J170" s="1">
        <f t="shared" ca="1" si="120"/>
        <v>8</v>
      </c>
      <c r="K170" s="1">
        <f t="shared" ca="1" si="121"/>
        <v>1.1656074136950143</v>
      </c>
      <c r="L170" s="1">
        <f t="shared" ca="1" si="122"/>
        <v>11</v>
      </c>
      <c r="M170" s="1"/>
      <c r="N170" s="1">
        <f t="shared" ca="1" si="123"/>
        <v>898</v>
      </c>
      <c r="O170" s="1">
        <f t="shared" ca="1" si="124"/>
        <v>28</v>
      </c>
      <c r="P170" s="1"/>
      <c r="Q170" s="1">
        <f t="shared" ca="1" si="125"/>
        <v>1.3823229303883082</v>
      </c>
      <c r="R170" s="1">
        <f t="shared" ca="1" si="126"/>
        <v>467</v>
      </c>
      <c r="S170" s="1"/>
      <c r="T170" s="1">
        <f t="shared" ca="1" si="127"/>
        <v>1.1123821404352488E-2</v>
      </c>
      <c r="U170" s="1">
        <f t="shared" ca="1" si="128"/>
        <v>443</v>
      </c>
      <c r="V170" s="1">
        <f t="shared" ca="1" si="129"/>
        <v>30</v>
      </c>
      <c r="W170" s="1"/>
      <c r="X170" s="1">
        <f t="shared" ca="1" si="130"/>
        <v>7.1196552226540479</v>
      </c>
      <c r="Y170" s="1">
        <f t="shared" ca="1" si="131"/>
        <v>0.41486370079609186</v>
      </c>
      <c r="Z170" s="1">
        <f t="shared" ca="1" si="132"/>
        <v>121</v>
      </c>
      <c r="AB170" s="1">
        <f t="shared" ca="1" si="133"/>
        <v>0.22758312930132021</v>
      </c>
      <c r="AC170" s="1">
        <f t="shared" ca="1" si="134"/>
        <v>972</v>
      </c>
      <c r="AD170" s="1">
        <f t="shared" ca="1" si="135"/>
        <v>4.6720363459659166E-3</v>
      </c>
      <c r="AE170" s="1"/>
      <c r="AF170" s="1">
        <f t="shared" ca="1" si="136"/>
        <v>0.33407159423478056</v>
      </c>
      <c r="AG170" s="1">
        <f t="shared" ca="1" si="137"/>
        <v>327</v>
      </c>
      <c r="AH170" s="1">
        <f t="shared" ca="1" si="138"/>
        <v>8.8112376620637003E-3</v>
      </c>
      <c r="AJ170" s="1">
        <f t="shared" ca="1" si="139"/>
        <v>0.85238266623945846</v>
      </c>
      <c r="AK170" s="1">
        <f t="shared" ca="1" si="140"/>
        <v>8.9040841647183983E-3</v>
      </c>
      <c r="AL170" s="1"/>
      <c r="AM170" s="1">
        <f t="shared" ca="1" si="141"/>
        <v>0.13406356074930065</v>
      </c>
      <c r="AN170" s="1">
        <f t="shared" ca="1" si="142"/>
        <v>14</v>
      </c>
      <c r="AO170" s="1">
        <f t="shared" ca="1" si="143"/>
        <v>18</v>
      </c>
      <c r="AQ170" s="1">
        <f t="shared" ca="1" si="144"/>
        <v>21</v>
      </c>
      <c r="AR170" s="1">
        <f t="shared" ca="1" si="145"/>
        <v>6</v>
      </c>
      <c r="AS170" s="1">
        <f t="shared" ca="1" si="146"/>
        <v>30</v>
      </c>
      <c r="AU170" s="1">
        <f t="shared" ca="1" si="147"/>
        <v>358</v>
      </c>
      <c r="AV170" s="1">
        <f t="shared" ca="1" si="148"/>
        <v>3</v>
      </c>
      <c r="AW170" s="1">
        <f t="shared" ca="1" si="149"/>
        <v>4.5281360289895593E-2</v>
      </c>
      <c r="AY170" s="1">
        <f t="shared" ca="1" si="150"/>
        <v>1.8679210203717869</v>
      </c>
      <c r="AZ170" s="1">
        <f t="shared" ca="1" si="151"/>
        <v>453</v>
      </c>
      <c r="BA170" s="1">
        <f t="shared" ca="1" si="152"/>
        <v>7.1417963433640591E-3</v>
      </c>
      <c r="BV170" s="1">
        <f t="shared" ca="1" si="153"/>
        <v>0.93829159143282059</v>
      </c>
      <c r="BW170" s="1">
        <f t="shared" ca="1" si="154"/>
        <v>487</v>
      </c>
      <c r="BX170" s="1">
        <f t="shared" ca="1" si="155"/>
        <v>6.4009779452962288E-3</v>
      </c>
      <c r="BY170" s="1">
        <f t="shared" ca="1" si="156"/>
        <v>8.4454653328431047E-3</v>
      </c>
      <c r="BZ170" s="1">
        <f t="shared" ca="1" si="157"/>
        <v>0.14278928550300296</v>
      </c>
      <c r="CB170" s="1">
        <f t="shared" ca="1" si="158"/>
        <v>387</v>
      </c>
      <c r="CC170" s="1">
        <f t="shared" ca="1" si="159"/>
        <v>15</v>
      </c>
      <c r="CD170" s="1">
        <f t="shared" ca="1" si="160"/>
        <v>0.29926421620557742</v>
      </c>
      <c r="CE170" s="1">
        <f t="shared" ca="1" si="170"/>
        <v>0.91021173802374122</v>
      </c>
      <c r="CF170" s="1">
        <f t="shared" ca="1" si="170"/>
        <v>0.61916409247221604</v>
      </c>
      <c r="CH170" s="3">
        <f t="shared" ca="1" si="162"/>
        <v>0.48605282265134253</v>
      </c>
      <c r="CI170" s="3">
        <f t="shared" ca="1" si="163"/>
        <v>0.41819262483259839</v>
      </c>
      <c r="CJ170" s="3">
        <f t="shared" ca="1" si="164"/>
        <v>1078</v>
      </c>
      <c r="CK170" s="3">
        <f t="shared" ca="1" si="165"/>
        <v>3.6553903037170334E-3</v>
      </c>
      <c r="CL170" s="3">
        <f t="shared" ca="1" si="166"/>
        <v>1</v>
      </c>
      <c r="CM170" s="3"/>
      <c r="CN170" s="1">
        <f t="shared" ca="1" si="167"/>
        <v>6.2425999741566667</v>
      </c>
      <c r="CO170" s="1">
        <f t="shared" ca="1" si="168"/>
        <v>7.3952237781889654E-2</v>
      </c>
      <c r="CP170" s="1">
        <f t="shared" ca="1" si="169"/>
        <v>1</v>
      </c>
    </row>
    <row r="171" spans="2:94" x14ac:dyDescent="0.25">
      <c r="B171">
        <f t="shared" ca="1" si="114"/>
        <v>284</v>
      </c>
      <c r="C171">
        <f t="shared" ca="1" si="115"/>
        <v>51</v>
      </c>
      <c r="D171">
        <f t="shared" ca="1" si="116"/>
        <v>0.21981525105069891</v>
      </c>
      <c r="F171" s="1">
        <f t="shared" ca="1" si="117"/>
        <v>34</v>
      </c>
      <c r="G171" s="1">
        <f t="shared" ca="1" si="118"/>
        <v>2</v>
      </c>
      <c r="H171" s="1">
        <f t="shared" ca="1" si="119"/>
        <v>6</v>
      </c>
      <c r="I171" s="1"/>
      <c r="J171" s="1">
        <f t="shared" ca="1" si="120"/>
        <v>28</v>
      </c>
      <c r="K171" s="1">
        <f t="shared" ca="1" si="121"/>
        <v>1.3027029419877783</v>
      </c>
      <c r="L171" s="1">
        <f t="shared" ca="1" si="122"/>
        <v>15</v>
      </c>
      <c r="M171" s="1"/>
      <c r="N171" s="1">
        <f t="shared" ca="1" si="123"/>
        <v>48</v>
      </c>
      <c r="O171" s="1">
        <f t="shared" ca="1" si="124"/>
        <v>19</v>
      </c>
      <c r="P171" s="1"/>
      <c r="Q171" s="1">
        <f t="shared" ca="1" si="125"/>
        <v>0.6371797087954536</v>
      </c>
      <c r="R171" s="1">
        <f t="shared" ca="1" si="126"/>
        <v>402</v>
      </c>
      <c r="S171" s="1"/>
      <c r="T171" s="1">
        <f t="shared" ca="1" si="127"/>
        <v>0.14146538082976892</v>
      </c>
      <c r="U171" s="1">
        <f t="shared" ca="1" si="128"/>
        <v>265</v>
      </c>
      <c r="V171" s="1">
        <f t="shared" ca="1" si="129"/>
        <v>41</v>
      </c>
      <c r="W171" s="1"/>
      <c r="X171" s="1">
        <f t="shared" ca="1" si="130"/>
        <v>2.2322112292630303</v>
      </c>
      <c r="Y171" s="1">
        <f t="shared" ca="1" si="131"/>
        <v>0.64056278839803749</v>
      </c>
      <c r="Z171" s="1">
        <f t="shared" ca="1" si="132"/>
        <v>1210</v>
      </c>
      <c r="AB171" s="1">
        <f t="shared" ca="1" si="133"/>
        <v>0.35748663593166946</v>
      </c>
      <c r="AC171" s="1">
        <f t="shared" ca="1" si="134"/>
        <v>579</v>
      </c>
      <c r="AD171" s="1">
        <f t="shared" ca="1" si="135"/>
        <v>6.9494352978177864E-3</v>
      </c>
      <c r="AE171" s="1"/>
      <c r="AF171" s="1">
        <f t="shared" ca="1" si="136"/>
        <v>0.27772792226588616</v>
      </c>
      <c r="AG171" s="1">
        <f t="shared" ca="1" si="137"/>
        <v>587</v>
      </c>
      <c r="AH171" s="1">
        <f t="shared" ca="1" si="138"/>
        <v>7.0246436246900537E-3</v>
      </c>
      <c r="AJ171" s="1">
        <f t="shared" ca="1" si="139"/>
        <v>0.25552185287254325</v>
      </c>
      <c r="AK171" s="1">
        <f t="shared" ca="1" si="140"/>
        <v>2.1330791398970626E-3</v>
      </c>
      <c r="AL171" s="1"/>
      <c r="AM171" s="1">
        <f t="shared" ca="1" si="141"/>
        <v>5.401601321309616E-2</v>
      </c>
      <c r="AN171" s="1">
        <f t="shared" ca="1" si="142"/>
        <v>76</v>
      </c>
      <c r="AO171" s="1">
        <f t="shared" ca="1" si="143"/>
        <v>18</v>
      </c>
      <c r="AQ171" s="1">
        <f t="shared" ca="1" si="144"/>
        <v>188</v>
      </c>
      <c r="AR171" s="1">
        <f t="shared" ca="1" si="145"/>
        <v>7</v>
      </c>
      <c r="AS171" s="1">
        <f t="shared" ca="1" si="146"/>
        <v>43</v>
      </c>
      <c r="AU171" s="1">
        <f t="shared" ca="1" si="147"/>
        <v>259</v>
      </c>
      <c r="AV171" s="1">
        <f t="shared" ca="1" si="148"/>
        <v>8</v>
      </c>
      <c r="AW171" s="1">
        <f t="shared" ca="1" si="149"/>
        <v>0.13355490621873381</v>
      </c>
      <c r="AY171" s="1">
        <f t="shared" ca="1" si="150"/>
        <v>1.2496406862694185</v>
      </c>
      <c r="AZ171" s="1">
        <f t="shared" ca="1" si="151"/>
        <v>337</v>
      </c>
      <c r="BA171" s="1">
        <f t="shared" ca="1" si="152"/>
        <v>4.4709935513934955E-3</v>
      </c>
      <c r="BV171" s="1">
        <f t="shared" ca="1" si="153"/>
        <v>0.18529028476367448</v>
      </c>
      <c r="BW171" s="1">
        <f t="shared" ca="1" si="154"/>
        <v>456</v>
      </c>
      <c r="BX171" s="1">
        <f t="shared" ca="1" si="155"/>
        <v>7.3028053158858625E-3</v>
      </c>
      <c r="BY171" s="1">
        <f t="shared" ca="1" si="156"/>
        <v>3.5554240109943368E-2</v>
      </c>
      <c r="BZ171" s="1">
        <f t="shared" ca="1" si="157"/>
        <v>0.64343847673859245</v>
      </c>
      <c r="CB171" s="1">
        <f t="shared" ca="1" si="158"/>
        <v>354</v>
      </c>
      <c r="CC171" s="1">
        <f t="shared" ca="1" si="159"/>
        <v>6</v>
      </c>
      <c r="CD171" s="1">
        <f t="shared" ca="1" si="160"/>
        <v>0.11415523957602151</v>
      </c>
      <c r="CE171" s="1">
        <f t="shared" ca="1" si="170"/>
        <v>0.51249858972938889</v>
      </c>
      <c r="CF171" s="1">
        <f t="shared" ca="1" si="170"/>
        <v>0.78847476657637183</v>
      </c>
      <c r="CH171" s="3">
        <f t="shared" ca="1" si="162"/>
        <v>0.71581469582861823</v>
      </c>
      <c r="CI171" s="3">
        <f t="shared" ca="1" si="163"/>
        <v>0.92446518095507502</v>
      </c>
      <c r="CJ171" s="3">
        <f t="shared" ca="1" si="164"/>
        <v>726</v>
      </c>
      <c r="CK171" s="3">
        <f t="shared" ca="1" si="165"/>
        <v>9.8008348134226587E-3</v>
      </c>
      <c r="CL171" s="3">
        <f t="shared" ca="1" si="166"/>
        <v>1</v>
      </c>
      <c r="CM171" s="3"/>
      <c r="CN171" s="1">
        <f t="shared" ca="1" si="167"/>
        <v>3.1154334117975426</v>
      </c>
      <c r="CO171" s="1">
        <f t="shared" ca="1" si="168"/>
        <v>0.13012847227166879</v>
      </c>
      <c r="CP171" s="1">
        <f t="shared" ca="1" si="169"/>
        <v>5</v>
      </c>
    </row>
    <row r="172" spans="2:94" x14ac:dyDescent="0.25">
      <c r="B172">
        <f t="shared" ca="1" si="114"/>
        <v>512</v>
      </c>
      <c r="C172">
        <f t="shared" ca="1" si="115"/>
        <v>29</v>
      </c>
      <c r="D172">
        <f t="shared" ca="1" si="116"/>
        <v>0.22879744294034818</v>
      </c>
      <c r="F172" s="1">
        <f t="shared" ca="1" si="117"/>
        <v>21</v>
      </c>
      <c r="G172" s="1">
        <f t="shared" ca="1" si="118"/>
        <v>19</v>
      </c>
      <c r="H172" s="1">
        <f t="shared" ca="1" si="119"/>
        <v>15</v>
      </c>
      <c r="I172" s="1"/>
      <c r="J172" s="1">
        <f t="shared" ca="1" si="120"/>
        <v>14</v>
      </c>
      <c r="K172" s="1">
        <f t="shared" ca="1" si="121"/>
        <v>1.9047992972679151</v>
      </c>
      <c r="L172" s="1">
        <f t="shared" ca="1" si="122"/>
        <v>8</v>
      </c>
      <c r="M172" s="1"/>
      <c r="N172" s="1">
        <f t="shared" ca="1" si="123"/>
        <v>205</v>
      </c>
      <c r="O172" s="1">
        <f t="shared" ca="1" si="124"/>
        <v>41</v>
      </c>
      <c r="P172" s="1"/>
      <c r="Q172" s="1">
        <f t="shared" ca="1" si="125"/>
        <v>4.5137222209224568</v>
      </c>
      <c r="R172" s="1">
        <f t="shared" ca="1" si="126"/>
        <v>472</v>
      </c>
      <c r="S172" s="1"/>
      <c r="T172" s="1">
        <f t="shared" ca="1" si="127"/>
        <v>0.13423117751007693</v>
      </c>
      <c r="U172" s="1">
        <f t="shared" ca="1" si="128"/>
        <v>256</v>
      </c>
      <c r="V172" s="1">
        <f t="shared" ca="1" si="129"/>
        <v>27</v>
      </c>
      <c r="W172" s="1"/>
      <c r="X172" s="1">
        <f t="shared" ca="1" si="130"/>
        <v>4.485586088867759</v>
      </c>
      <c r="Y172" s="1">
        <f t="shared" ca="1" si="131"/>
        <v>0.44842436806641522</v>
      </c>
      <c r="Z172" s="1">
        <f t="shared" ca="1" si="132"/>
        <v>1845</v>
      </c>
      <c r="AB172" s="1">
        <f t="shared" ca="1" si="133"/>
        <v>0.61689191147510769</v>
      </c>
      <c r="AC172" s="1">
        <f t="shared" ca="1" si="134"/>
        <v>812</v>
      </c>
      <c r="AD172" s="1">
        <f t="shared" ca="1" si="135"/>
        <v>5.0787794148067821E-3</v>
      </c>
      <c r="AE172" s="1"/>
      <c r="AF172" s="1">
        <f t="shared" ca="1" si="136"/>
        <v>0.70867904956488814</v>
      </c>
      <c r="AG172" s="1">
        <f t="shared" ca="1" si="137"/>
        <v>243</v>
      </c>
      <c r="AH172" s="1">
        <f t="shared" ca="1" si="138"/>
        <v>4.9141987707745152E-3</v>
      </c>
      <c r="AJ172" s="1">
        <f t="shared" ca="1" si="139"/>
        <v>0.25145156884330744</v>
      </c>
      <c r="AK172" s="1">
        <f t="shared" ca="1" si="140"/>
        <v>1.6427905875434708E-3</v>
      </c>
      <c r="AL172" s="1"/>
      <c r="AM172" s="1">
        <f t="shared" ca="1" si="141"/>
        <v>0.16829884392826089</v>
      </c>
      <c r="AN172" s="1">
        <f t="shared" ca="1" si="142"/>
        <v>79</v>
      </c>
      <c r="AO172" s="1">
        <f t="shared" ca="1" si="143"/>
        <v>19</v>
      </c>
      <c r="AQ172" s="1">
        <f t="shared" ca="1" si="144"/>
        <v>98</v>
      </c>
      <c r="AR172" s="1">
        <f t="shared" ca="1" si="145"/>
        <v>3</v>
      </c>
      <c r="AS172" s="1">
        <f t="shared" ca="1" si="146"/>
        <v>62</v>
      </c>
      <c r="AU172" s="1">
        <f t="shared" ca="1" si="147"/>
        <v>151</v>
      </c>
      <c r="AV172" s="1">
        <f t="shared" ca="1" si="148"/>
        <v>8</v>
      </c>
      <c r="AW172" s="1">
        <f t="shared" ca="1" si="149"/>
        <v>0.17103283760995366</v>
      </c>
      <c r="AY172" s="1">
        <f t="shared" ca="1" si="150"/>
        <v>1.8665877271178943</v>
      </c>
      <c r="AZ172" s="1">
        <f t="shared" ca="1" si="151"/>
        <v>286</v>
      </c>
      <c r="BA172" s="1">
        <f t="shared" ca="1" si="152"/>
        <v>1.8169556562231566E-3</v>
      </c>
      <c r="BV172" s="1">
        <f t="shared" ca="1" si="153"/>
        <v>0.8766793889963298</v>
      </c>
      <c r="BW172" s="1">
        <f t="shared" ca="1" si="154"/>
        <v>263</v>
      </c>
      <c r="BX172" s="1">
        <f t="shared" ca="1" si="155"/>
        <v>2.6411735108136606E-3</v>
      </c>
      <c r="BY172" s="1">
        <f t="shared" ca="1" si="156"/>
        <v>1.5498956978964511E-2</v>
      </c>
      <c r="BZ172" s="1">
        <f t="shared" ca="1" si="157"/>
        <v>0.35741626505467194</v>
      </c>
      <c r="CB172" s="1">
        <f t="shared" ca="1" si="158"/>
        <v>438</v>
      </c>
      <c r="CC172" s="1">
        <f t="shared" ca="1" si="159"/>
        <v>11</v>
      </c>
      <c r="CD172" s="1">
        <f t="shared" ca="1" si="160"/>
        <v>0.10544966364406602</v>
      </c>
      <c r="CE172" s="1">
        <f t="shared" ca="1" si="170"/>
        <v>0.94818403379344129</v>
      </c>
      <c r="CF172" s="1">
        <f t="shared" ca="1" si="170"/>
        <v>0.51641904829637642</v>
      </c>
      <c r="CH172" s="3">
        <f t="shared" ca="1" si="162"/>
        <v>5.2793993863188698E-3</v>
      </c>
      <c r="CI172" s="3">
        <f t="shared" ca="1" si="163"/>
        <v>0.78880470224878485</v>
      </c>
      <c r="CJ172" s="3">
        <f t="shared" ca="1" si="164"/>
        <v>1148</v>
      </c>
      <c r="CK172" s="3">
        <f t="shared" ca="1" si="165"/>
        <v>2.9988390877372473E-3</v>
      </c>
      <c r="CL172" s="3">
        <f t="shared" ca="1" si="166"/>
        <v>1</v>
      </c>
      <c r="CM172" s="3"/>
      <c r="CN172" s="1">
        <f t="shared" ca="1" si="167"/>
        <v>13.134393742943839</v>
      </c>
      <c r="CO172" s="1">
        <f t="shared" ca="1" si="168"/>
        <v>1.2050691447595973E-2</v>
      </c>
      <c r="CP172" s="1">
        <f t="shared" ca="1" si="169"/>
        <v>3</v>
      </c>
    </row>
    <row r="173" spans="2:94" x14ac:dyDescent="0.25">
      <c r="B173">
        <f t="shared" ca="1" si="114"/>
        <v>260</v>
      </c>
      <c r="C173">
        <f t="shared" ca="1" si="115"/>
        <v>35</v>
      </c>
      <c r="D173">
        <f t="shared" ca="1" si="116"/>
        <v>0.25654489616934806</v>
      </c>
      <c r="F173" s="1">
        <f t="shared" ca="1" si="117"/>
        <v>29</v>
      </c>
      <c r="G173" s="1">
        <f t="shared" ca="1" si="118"/>
        <v>14</v>
      </c>
      <c r="H173" s="1">
        <f t="shared" ca="1" si="119"/>
        <v>12</v>
      </c>
      <c r="I173" s="1"/>
      <c r="J173" s="1">
        <f t="shared" ca="1" si="120"/>
        <v>16</v>
      </c>
      <c r="K173" s="1">
        <f t="shared" ca="1" si="121"/>
        <v>2.1599891995782308</v>
      </c>
      <c r="L173" s="1">
        <f t="shared" ca="1" si="122"/>
        <v>2</v>
      </c>
      <c r="M173" s="1"/>
      <c r="N173" s="1">
        <f t="shared" ca="1" si="123"/>
        <v>874</v>
      </c>
      <c r="O173" s="1">
        <f t="shared" ca="1" si="124"/>
        <v>22</v>
      </c>
      <c r="P173" s="1"/>
      <c r="Q173" s="1">
        <f t="shared" ca="1" si="125"/>
        <v>2.2623557988104777</v>
      </c>
      <c r="R173" s="1">
        <f t="shared" ca="1" si="126"/>
        <v>379</v>
      </c>
      <c r="S173" s="1"/>
      <c r="T173" s="1">
        <f t="shared" ca="1" si="127"/>
        <v>9.9325654785425502E-2</v>
      </c>
      <c r="U173" s="1">
        <f t="shared" ca="1" si="128"/>
        <v>173</v>
      </c>
      <c r="V173" s="1">
        <f t="shared" ca="1" si="129"/>
        <v>34</v>
      </c>
      <c r="W173" s="1"/>
      <c r="X173" s="1">
        <f t="shared" ca="1" si="130"/>
        <v>0.30334961894798679</v>
      </c>
      <c r="Y173" s="1">
        <f t="shared" ca="1" si="131"/>
        <v>0.55922800518487725</v>
      </c>
      <c r="Z173" s="1">
        <f t="shared" ca="1" si="132"/>
        <v>1055</v>
      </c>
      <c r="AB173" s="1">
        <f t="shared" ca="1" si="133"/>
        <v>0.98761819255647254</v>
      </c>
      <c r="AC173" s="1">
        <f t="shared" ca="1" si="134"/>
        <v>132</v>
      </c>
      <c r="AD173" s="1">
        <f t="shared" ca="1" si="135"/>
        <v>7.1204739176259167E-3</v>
      </c>
      <c r="AE173" s="1"/>
      <c r="AF173" s="1">
        <f t="shared" ca="1" si="136"/>
        <v>0.38360096917886854</v>
      </c>
      <c r="AG173" s="1">
        <f t="shared" ca="1" si="137"/>
        <v>642</v>
      </c>
      <c r="AH173" s="1">
        <f t="shared" ca="1" si="138"/>
        <v>8.2051331112197347E-3</v>
      </c>
      <c r="AJ173" s="1">
        <f t="shared" ca="1" si="139"/>
        <v>0.22554878238477549</v>
      </c>
      <c r="AK173" s="1">
        <f t="shared" ca="1" si="140"/>
        <v>8.7553195046006244E-3</v>
      </c>
      <c r="AL173" s="1"/>
      <c r="AM173" s="1">
        <f t="shared" ca="1" si="141"/>
        <v>5.0170380689346344E-2</v>
      </c>
      <c r="AN173" s="1">
        <f t="shared" ca="1" si="142"/>
        <v>69</v>
      </c>
      <c r="AO173" s="1">
        <f t="shared" ca="1" si="143"/>
        <v>1</v>
      </c>
      <c r="AQ173" s="1">
        <f t="shared" ca="1" si="144"/>
        <v>77</v>
      </c>
      <c r="AR173" s="1">
        <f t="shared" ca="1" si="145"/>
        <v>1</v>
      </c>
      <c r="AS173" s="1">
        <f t="shared" ca="1" si="146"/>
        <v>17</v>
      </c>
      <c r="AU173" s="1">
        <f t="shared" ca="1" si="147"/>
        <v>192</v>
      </c>
      <c r="AV173" s="1">
        <f t="shared" ca="1" si="148"/>
        <v>3</v>
      </c>
      <c r="AW173" s="1">
        <f t="shared" ca="1" si="149"/>
        <v>0.15111807522966228</v>
      </c>
      <c r="AY173" s="1">
        <f t="shared" ca="1" si="150"/>
        <v>1.1038317085628464</v>
      </c>
      <c r="AZ173" s="1">
        <f t="shared" ca="1" si="151"/>
        <v>168</v>
      </c>
      <c r="BA173" s="1">
        <f t="shared" ca="1" si="152"/>
        <v>3.4721599084639094E-3</v>
      </c>
      <c r="BV173" s="1">
        <f t="shared" ca="1" si="153"/>
        <v>0.17081418248176231</v>
      </c>
      <c r="BW173" s="1">
        <f t="shared" ca="1" si="154"/>
        <v>830</v>
      </c>
      <c r="BX173" s="1">
        <f t="shared" ca="1" si="155"/>
        <v>2.5082889062764207E-3</v>
      </c>
      <c r="BY173" s="1">
        <f t="shared" ca="1" si="156"/>
        <v>8.0189084641756232E-3</v>
      </c>
      <c r="BZ173" s="1">
        <f t="shared" ca="1" si="157"/>
        <v>0.72871774758389662</v>
      </c>
      <c r="CB173" s="1">
        <f t="shared" ca="1" si="158"/>
        <v>443</v>
      </c>
      <c r="CC173" s="1">
        <f t="shared" ca="1" si="159"/>
        <v>8</v>
      </c>
      <c r="CD173" s="1">
        <f t="shared" ca="1" si="160"/>
        <v>7.178791485976091E-2</v>
      </c>
      <c r="CE173" s="1">
        <f t="shared" ca="1" si="170"/>
        <v>0.58831398287543779</v>
      </c>
      <c r="CF173" s="1">
        <f t="shared" ca="1" si="170"/>
        <v>0.81293267863803487</v>
      </c>
      <c r="CH173" s="3">
        <f t="shared" ca="1" si="162"/>
        <v>0.45720807696356081</v>
      </c>
      <c r="CI173" s="3">
        <f t="shared" ca="1" si="163"/>
        <v>0.94939751198550293</v>
      </c>
      <c r="CJ173" s="3">
        <f t="shared" ca="1" si="164"/>
        <v>1577</v>
      </c>
      <c r="CK173" s="3">
        <f t="shared" ca="1" si="165"/>
        <v>6.6966893305461647E-3</v>
      </c>
      <c r="CL173" s="3">
        <f t="shared" ca="1" si="166"/>
        <v>0</v>
      </c>
      <c r="CM173" s="3"/>
      <c r="CN173" s="1">
        <f t="shared" ca="1" si="167"/>
        <v>6.7003393841057024</v>
      </c>
      <c r="CO173" s="1">
        <f t="shared" ca="1" si="168"/>
        <v>8.0685308527847277E-2</v>
      </c>
      <c r="CP173" s="1">
        <f t="shared" ca="1" si="169"/>
        <v>5</v>
      </c>
    </row>
    <row r="174" spans="2:94" x14ac:dyDescent="0.25">
      <c r="B174">
        <f t="shared" ca="1" si="114"/>
        <v>371</v>
      </c>
      <c r="C174">
        <f t="shared" ca="1" si="115"/>
        <v>9</v>
      </c>
      <c r="D174">
        <f t="shared" ca="1" si="116"/>
        <v>0.2532308862243498</v>
      </c>
      <c r="F174" s="1">
        <f t="shared" ca="1" si="117"/>
        <v>27</v>
      </c>
      <c r="G174" s="1">
        <f t="shared" ca="1" si="118"/>
        <v>23</v>
      </c>
      <c r="H174" s="1">
        <f t="shared" ca="1" si="119"/>
        <v>8</v>
      </c>
      <c r="I174" s="1"/>
      <c r="J174" s="1">
        <f t="shared" ca="1" si="120"/>
        <v>32</v>
      </c>
      <c r="K174" s="1">
        <f t="shared" ca="1" si="121"/>
        <v>1.8862472437348916</v>
      </c>
      <c r="L174" s="1">
        <f t="shared" ca="1" si="122"/>
        <v>10</v>
      </c>
      <c r="M174" s="1"/>
      <c r="N174" s="1">
        <f t="shared" ca="1" si="123"/>
        <v>476</v>
      </c>
      <c r="O174" s="1">
        <f t="shared" ca="1" si="124"/>
        <v>18</v>
      </c>
      <c r="P174" s="1"/>
      <c r="Q174" s="1">
        <f t="shared" ca="1" si="125"/>
        <v>1.5180850212802168</v>
      </c>
      <c r="R174" s="1">
        <f t="shared" ca="1" si="126"/>
        <v>945</v>
      </c>
      <c r="S174" s="1"/>
      <c r="T174" s="1">
        <f t="shared" ca="1" si="127"/>
        <v>0.10200565197726334</v>
      </c>
      <c r="U174" s="1">
        <f t="shared" ca="1" si="128"/>
        <v>331</v>
      </c>
      <c r="V174" s="1">
        <f t="shared" ca="1" si="129"/>
        <v>30</v>
      </c>
      <c r="W174" s="1"/>
      <c r="X174" s="1">
        <f t="shared" ca="1" si="130"/>
        <v>4.7392072833605345</v>
      </c>
      <c r="Y174" s="1">
        <f t="shared" ca="1" si="131"/>
        <v>0.33265267365772688</v>
      </c>
      <c r="Z174" s="1">
        <f t="shared" ca="1" si="132"/>
        <v>374</v>
      </c>
      <c r="AB174" s="1">
        <f t="shared" ca="1" si="133"/>
        <v>0.94006796064241827</v>
      </c>
      <c r="AC174" s="1">
        <f t="shared" ca="1" si="134"/>
        <v>339</v>
      </c>
      <c r="AD174" s="1">
        <f t="shared" ca="1" si="135"/>
        <v>9.7369775971514767E-3</v>
      </c>
      <c r="AE174" s="1"/>
      <c r="AF174" s="1">
        <f t="shared" ca="1" si="136"/>
        <v>0.52522303175674556</v>
      </c>
      <c r="AG174" s="1">
        <f t="shared" ca="1" si="137"/>
        <v>830</v>
      </c>
      <c r="AH174" s="1">
        <f t="shared" ca="1" si="138"/>
        <v>3.8966141615123066E-3</v>
      </c>
      <c r="AJ174" s="1">
        <f t="shared" ca="1" si="139"/>
        <v>0.10878087345890775</v>
      </c>
      <c r="AK174" s="1">
        <f t="shared" ca="1" si="140"/>
        <v>1.009838538897769E-3</v>
      </c>
      <c r="AL174" s="1"/>
      <c r="AM174" s="1">
        <f t="shared" ca="1" si="141"/>
        <v>6.6899800439929158E-2</v>
      </c>
      <c r="AN174" s="1">
        <f t="shared" ca="1" si="142"/>
        <v>57</v>
      </c>
      <c r="AO174" s="1">
        <f t="shared" ca="1" si="143"/>
        <v>18</v>
      </c>
      <c r="AQ174" s="1">
        <f t="shared" ca="1" si="144"/>
        <v>137</v>
      </c>
      <c r="AR174" s="1">
        <f t="shared" ca="1" si="145"/>
        <v>5</v>
      </c>
      <c r="AS174" s="1">
        <f t="shared" ca="1" si="146"/>
        <v>16</v>
      </c>
      <c r="AU174" s="1">
        <f t="shared" ca="1" si="147"/>
        <v>160</v>
      </c>
      <c r="AV174" s="1">
        <f t="shared" ca="1" si="148"/>
        <v>8</v>
      </c>
      <c r="AW174" s="1">
        <f t="shared" ca="1" si="149"/>
        <v>0.164050891811443</v>
      </c>
      <c r="AY174" s="1">
        <f t="shared" ca="1" si="150"/>
        <v>1.7119744521640439</v>
      </c>
      <c r="AZ174" s="1">
        <f t="shared" ca="1" si="151"/>
        <v>100</v>
      </c>
      <c r="BA174" s="1">
        <f t="shared" ca="1" si="152"/>
        <v>2.5126527405826765E-3</v>
      </c>
      <c r="BV174" s="1">
        <f t="shared" ca="1" si="153"/>
        <v>0.73961425075347875</v>
      </c>
      <c r="BW174" s="1">
        <f t="shared" ca="1" si="154"/>
        <v>785</v>
      </c>
      <c r="BX174" s="1">
        <f t="shared" ca="1" si="155"/>
        <v>1.6387863505330942E-3</v>
      </c>
      <c r="BY174" s="1">
        <f t="shared" ca="1" si="156"/>
        <v>9.6885075056054898E-2</v>
      </c>
      <c r="BZ174" s="1">
        <f t="shared" ca="1" si="157"/>
        <v>0.9165889358115874</v>
      </c>
      <c r="CB174" s="1">
        <f t="shared" ca="1" si="158"/>
        <v>125</v>
      </c>
      <c r="CC174" s="1">
        <f t="shared" ca="1" si="159"/>
        <v>9</v>
      </c>
      <c r="CD174" s="1">
        <f t="shared" ca="1" si="160"/>
        <v>7.0799991946019131E-2</v>
      </c>
      <c r="CE174" s="1">
        <f t="shared" ca="1" si="170"/>
        <v>0.58623324428626611</v>
      </c>
      <c r="CF174" s="1">
        <f t="shared" ca="1" si="170"/>
        <v>0.80253290856419612</v>
      </c>
      <c r="CH174" s="3">
        <f t="shared" ca="1" si="162"/>
        <v>0.47250663862404746</v>
      </c>
      <c r="CI174" s="3">
        <f t="shared" ca="1" si="163"/>
        <v>0.76413331552689379</v>
      </c>
      <c r="CJ174" s="3">
        <f t="shared" ca="1" si="164"/>
        <v>761</v>
      </c>
      <c r="CK174" s="3">
        <f t="shared" ca="1" si="165"/>
        <v>7.7212170368270577E-3</v>
      </c>
      <c r="CL174" s="3">
        <f t="shared" ca="1" si="166"/>
        <v>0</v>
      </c>
      <c r="CM174" s="3"/>
      <c r="CN174" s="1">
        <f t="shared" ca="1" si="167"/>
        <v>15.908280487526877</v>
      </c>
      <c r="CO174" s="1">
        <f t="shared" ca="1" si="168"/>
        <v>0.34284505820461886</v>
      </c>
      <c r="CP174" s="1">
        <f t="shared" ca="1" si="169"/>
        <v>3</v>
      </c>
    </row>
    <row r="175" spans="2:94" x14ac:dyDescent="0.25">
      <c r="B175">
        <f t="shared" ca="1" si="114"/>
        <v>484</v>
      </c>
      <c r="C175">
        <f t="shared" ca="1" si="115"/>
        <v>46</v>
      </c>
      <c r="D175">
        <f t="shared" ca="1" si="116"/>
        <v>0.27470374779603979</v>
      </c>
      <c r="F175" s="1">
        <f t="shared" ca="1" si="117"/>
        <v>12</v>
      </c>
      <c r="G175" s="1">
        <f t="shared" ca="1" si="118"/>
        <v>6</v>
      </c>
      <c r="H175" s="1">
        <f t="shared" ca="1" si="119"/>
        <v>11</v>
      </c>
      <c r="I175" s="1"/>
      <c r="J175" s="1">
        <f t="shared" ca="1" si="120"/>
        <v>10</v>
      </c>
      <c r="K175" s="1">
        <f t="shared" ca="1" si="121"/>
        <v>2.1197753706752223</v>
      </c>
      <c r="L175" s="1">
        <f t="shared" ca="1" si="122"/>
        <v>29</v>
      </c>
      <c r="M175" s="1"/>
      <c r="N175" s="1">
        <f t="shared" ca="1" si="123"/>
        <v>64</v>
      </c>
      <c r="O175" s="1">
        <f t="shared" ca="1" si="124"/>
        <v>32</v>
      </c>
      <c r="P175" s="1"/>
      <c r="Q175" s="1">
        <f t="shared" ca="1" si="125"/>
        <v>0.18479072826387696</v>
      </c>
      <c r="R175" s="1">
        <f t="shared" ca="1" si="126"/>
        <v>934</v>
      </c>
      <c r="S175" s="1"/>
      <c r="T175" s="1">
        <f t="shared" ca="1" si="127"/>
        <v>2.6170081567657835E-2</v>
      </c>
      <c r="U175" s="1">
        <f t="shared" ca="1" si="128"/>
        <v>357</v>
      </c>
      <c r="V175" s="1">
        <f t="shared" ca="1" si="129"/>
        <v>6</v>
      </c>
      <c r="W175" s="1"/>
      <c r="X175" s="1">
        <f t="shared" ca="1" si="130"/>
        <v>5.4536317628465536</v>
      </c>
      <c r="Y175" s="1">
        <f t="shared" ca="1" si="131"/>
        <v>0.54668689401557402</v>
      </c>
      <c r="Z175" s="1">
        <f t="shared" ca="1" si="132"/>
        <v>877</v>
      </c>
      <c r="AB175" s="1">
        <f t="shared" ca="1" si="133"/>
        <v>0.24955478129901576</v>
      </c>
      <c r="AC175" s="1">
        <f t="shared" ca="1" si="134"/>
        <v>952</v>
      </c>
      <c r="AD175" s="1">
        <f t="shared" ca="1" si="135"/>
        <v>9.3383761672478725E-3</v>
      </c>
      <c r="AE175" s="1"/>
      <c r="AF175" s="1">
        <f t="shared" ca="1" si="136"/>
        <v>0.5459349389305338</v>
      </c>
      <c r="AG175" s="1">
        <f t="shared" ca="1" si="137"/>
        <v>487</v>
      </c>
      <c r="AH175" s="1">
        <f t="shared" ca="1" si="138"/>
        <v>5.0055798658888958E-3</v>
      </c>
      <c r="AJ175" s="1">
        <f t="shared" ca="1" si="139"/>
        <v>0.60768794759890599</v>
      </c>
      <c r="AK175" s="1">
        <f t="shared" ca="1" si="140"/>
        <v>7.1459249101214449E-3</v>
      </c>
      <c r="AL175" s="1"/>
      <c r="AM175" s="1">
        <f t="shared" ca="1" si="141"/>
        <v>0.16943506777260228</v>
      </c>
      <c r="AN175" s="1">
        <f t="shared" ca="1" si="142"/>
        <v>39</v>
      </c>
      <c r="AO175" s="1">
        <f t="shared" ca="1" si="143"/>
        <v>15</v>
      </c>
      <c r="AQ175" s="1">
        <f t="shared" ca="1" si="144"/>
        <v>127</v>
      </c>
      <c r="AR175" s="1">
        <f t="shared" ca="1" si="145"/>
        <v>0</v>
      </c>
      <c r="AS175" s="1">
        <f t="shared" ca="1" si="146"/>
        <v>17</v>
      </c>
      <c r="AU175" s="1">
        <f t="shared" ca="1" si="147"/>
        <v>82</v>
      </c>
      <c r="AV175" s="1">
        <f t="shared" ca="1" si="148"/>
        <v>7</v>
      </c>
      <c r="AW175" s="1">
        <f t="shared" ca="1" si="149"/>
        <v>9.5139562513716483E-2</v>
      </c>
      <c r="AY175" s="1">
        <f t="shared" ca="1" si="150"/>
        <v>1.7591071556058782</v>
      </c>
      <c r="AZ175" s="1">
        <f t="shared" ca="1" si="151"/>
        <v>300</v>
      </c>
      <c r="BA175" s="1">
        <f t="shared" ca="1" si="152"/>
        <v>3.2050600481932276E-3</v>
      </c>
      <c r="BV175" s="1">
        <f t="shared" ca="1" si="153"/>
        <v>0.82919902818671742</v>
      </c>
      <c r="BW175" s="1">
        <f t="shared" ca="1" si="154"/>
        <v>118</v>
      </c>
      <c r="BX175" s="1">
        <f t="shared" ca="1" si="155"/>
        <v>5.0562286298820522E-3</v>
      </c>
      <c r="BY175" s="1">
        <f t="shared" ca="1" si="156"/>
        <v>4.1903713766839143E-2</v>
      </c>
      <c r="BZ175" s="1">
        <f t="shared" ca="1" si="157"/>
        <v>0.59458155968303761</v>
      </c>
      <c r="CB175" s="1">
        <f t="shared" ca="1" si="158"/>
        <v>493</v>
      </c>
      <c r="CC175" s="1">
        <f t="shared" ca="1" si="159"/>
        <v>9</v>
      </c>
      <c r="CD175" s="1">
        <f t="shared" ca="1" si="160"/>
        <v>0.10633505892258933</v>
      </c>
      <c r="CE175" s="1">
        <f t="shared" ca="1" si="170"/>
        <v>0.58587835598499871</v>
      </c>
      <c r="CF175" s="1">
        <f t="shared" ca="1" si="170"/>
        <v>0.66027229157171452</v>
      </c>
      <c r="CH175" s="3">
        <f t="shared" ca="1" si="162"/>
        <v>0.60141626103035473</v>
      </c>
      <c r="CI175" s="3">
        <f t="shared" ca="1" si="163"/>
        <v>0.91209018041166201</v>
      </c>
      <c r="CJ175" s="3">
        <f t="shared" ca="1" si="164"/>
        <v>269</v>
      </c>
      <c r="CK175" s="3">
        <f t="shared" ca="1" si="165"/>
        <v>3.4806257994923211E-3</v>
      </c>
      <c r="CL175" s="3">
        <f t="shared" ca="1" si="166"/>
        <v>0</v>
      </c>
      <c r="CM175" s="3"/>
      <c r="CN175" s="1">
        <f t="shared" ca="1" si="167"/>
        <v>19.591225298316143</v>
      </c>
      <c r="CO175" s="1">
        <f t="shared" ca="1" si="168"/>
        <v>0.12537384228590653</v>
      </c>
      <c r="CP175" s="1">
        <f t="shared" ca="1" si="169"/>
        <v>3</v>
      </c>
    </row>
    <row r="176" spans="2:94" x14ac:dyDescent="0.25">
      <c r="B176">
        <f t="shared" ca="1" si="114"/>
        <v>752</v>
      </c>
      <c r="C176">
        <f t="shared" ca="1" si="115"/>
        <v>19</v>
      </c>
      <c r="D176">
        <f t="shared" ca="1" si="116"/>
        <v>0.14297876436255294</v>
      </c>
      <c r="F176" s="1">
        <f t="shared" ca="1" si="117"/>
        <v>51</v>
      </c>
      <c r="G176" s="1">
        <f t="shared" ca="1" si="118"/>
        <v>12</v>
      </c>
      <c r="H176" s="1">
        <f t="shared" ca="1" si="119"/>
        <v>1</v>
      </c>
      <c r="I176" s="1"/>
      <c r="J176" s="1">
        <f t="shared" ca="1" si="120"/>
        <v>22</v>
      </c>
      <c r="K176" s="1">
        <f t="shared" ca="1" si="121"/>
        <v>2.3531147693067691</v>
      </c>
      <c r="L176" s="1">
        <f t="shared" ca="1" si="122"/>
        <v>28</v>
      </c>
      <c r="M176" s="1"/>
      <c r="N176" s="1">
        <f t="shared" ca="1" si="123"/>
        <v>879</v>
      </c>
      <c r="O176" s="1">
        <f t="shared" ca="1" si="124"/>
        <v>22</v>
      </c>
      <c r="P176" s="1"/>
      <c r="Q176" s="1">
        <f t="shared" ca="1" si="125"/>
        <v>0.49481184877367484</v>
      </c>
      <c r="R176" s="1">
        <f t="shared" ca="1" si="126"/>
        <v>1140</v>
      </c>
      <c r="S176" s="1"/>
      <c r="T176" s="1">
        <f t="shared" ca="1" si="127"/>
        <v>0.10759507775925507</v>
      </c>
      <c r="U176" s="1">
        <f t="shared" ca="1" si="128"/>
        <v>243</v>
      </c>
      <c r="V176" s="1">
        <f t="shared" ca="1" si="129"/>
        <v>31</v>
      </c>
      <c r="W176" s="1"/>
      <c r="X176" s="1">
        <f t="shared" ca="1" si="130"/>
        <v>8.0089280078059293</v>
      </c>
      <c r="Y176" s="1">
        <f t="shared" ca="1" si="131"/>
        <v>0.53348136976982241</v>
      </c>
      <c r="Z176" s="1">
        <f t="shared" ca="1" si="132"/>
        <v>444</v>
      </c>
      <c r="AB176" s="1">
        <f t="shared" ca="1" si="133"/>
        <v>0.25247740242988659</v>
      </c>
      <c r="AC176" s="1">
        <f t="shared" ca="1" si="134"/>
        <v>476</v>
      </c>
      <c r="AD176" s="1">
        <f t="shared" ca="1" si="135"/>
        <v>5.1550317139794459E-3</v>
      </c>
      <c r="AE176" s="1"/>
      <c r="AF176" s="1">
        <f t="shared" ca="1" si="136"/>
        <v>0.40026836309075964</v>
      </c>
      <c r="AG176" s="1">
        <f t="shared" ca="1" si="137"/>
        <v>304</v>
      </c>
      <c r="AH176" s="1">
        <f t="shared" ca="1" si="138"/>
        <v>2.3189869690502943E-3</v>
      </c>
      <c r="AJ176" s="1">
        <f t="shared" ca="1" si="139"/>
        <v>0.23316733555788016</v>
      </c>
      <c r="AK176" s="1">
        <f t="shared" ca="1" si="140"/>
        <v>2.6587973382134985E-3</v>
      </c>
      <c r="AL176" s="1"/>
      <c r="AM176" s="1">
        <f t="shared" ca="1" si="141"/>
        <v>3.9263991357018677E-2</v>
      </c>
      <c r="AN176" s="1">
        <f t="shared" ca="1" si="142"/>
        <v>37</v>
      </c>
      <c r="AO176" s="1">
        <f t="shared" ca="1" si="143"/>
        <v>15</v>
      </c>
      <c r="AQ176" s="1">
        <f t="shared" ca="1" si="144"/>
        <v>49</v>
      </c>
      <c r="AR176" s="1">
        <f t="shared" ca="1" si="145"/>
        <v>9</v>
      </c>
      <c r="AS176" s="1">
        <f t="shared" ca="1" si="146"/>
        <v>64</v>
      </c>
      <c r="AU176" s="1">
        <f t="shared" ca="1" si="147"/>
        <v>365</v>
      </c>
      <c r="AV176" s="1">
        <f t="shared" ca="1" si="148"/>
        <v>9</v>
      </c>
      <c r="AW176" s="1">
        <f t="shared" ca="1" si="149"/>
        <v>9.586470699004003E-2</v>
      </c>
      <c r="AY176" s="1">
        <f t="shared" ca="1" si="150"/>
        <v>1.7137510662303446</v>
      </c>
      <c r="AZ176" s="1">
        <f t="shared" ca="1" si="151"/>
        <v>52</v>
      </c>
      <c r="BA176" s="1">
        <f t="shared" ca="1" si="152"/>
        <v>8.483308038113974E-3</v>
      </c>
      <c r="BV176" s="1">
        <f t="shared" ca="1" si="153"/>
        <v>2.1397175156682192E-2</v>
      </c>
      <c r="BW176" s="1">
        <f t="shared" ca="1" si="154"/>
        <v>986</v>
      </c>
      <c r="BX176" s="1">
        <f t="shared" ca="1" si="155"/>
        <v>6.7253976944522398E-3</v>
      </c>
      <c r="BY176" s="1">
        <f t="shared" ca="1" si="156"/>
        <v>1.7682849635402075E-2</v>
      </c>
      <c r="BZ176" s="1">
        <f t="shared" ca="1" si="157"/>
        <v>0.56800221677824825</v>
      </c>
      <c r="CB176" s="1">
        <f t="shared" ca="1" si="158"/>
        <v>217</v>
      </c>
      <c r="CC176" s="1">
        <f t="shared" ca="1" si="159"/>
        <v>10</v>
      </c>
      <c r="CD176" s="1">
        <f t="shared" ca="1" si="160"/>
        <v>6.6641720791453446E-2</v>
      </c>
      <c r="CE176" s="1">
        <f t="shared" ca="1" si="170"/>
        <v>0.64427950806697387</v>
      </c>
      <c r="CF176" s="1">
        <f t="shared" ca="1" si="170"/>
        <v>0.66036875345680346</v>
      </c>
      <c r="CH176" s="3">
        <f t="shared" ca="1" si="162"/>
        <v>0.90284680387742378</v>
      </c>
      <c r="CI176" s="3">
        <f t="shared" ca="1" si="163"/>
        <v>2.9228287199769325E-2</v>
      </c>
      <c r="CJ176" s="3">
        <f t="shared" ca="1" si="164"/>
        <v>185</v>
      </c>
      <c r="CK176" s="3">
        <f t="shared" ca="1" si="165"/>
        <v>4.9474283099561539E-3</v>
      </c>
      <c r="CL176" s="3">
        <f t="shared" ca="1" si="166"/>
        <v>1</v>
      </c>
      <c r="CM176" s="3"/>
      <c r="CN176" s="1">
        <f t="shared" ca="1" si="167"/>
        <v>4.4499884910449508</v>
      </c>
      <c r="CO176" s="1">
        <f t="shared" ca="1" si="168"/>
        <v>0.38917913223207118</v>
      </c>
      <c r="CP176" s="1">
        <f t="shared" ca="1" si="169"/>
        <v>3</v>
      </c>
    </row>
    <row r="177" spans="2:94" x14ac:dyDescent="0.25">
      <c r="B177">
        <f t="shared" ca="1" si="114"/>
        <v>110</v>
      </c>
      <c r="C177">
        <f t="shared" ca="1" si="115"/>
        <v>49</v>
      </c>
      <c r="D177">
        <f t="shared" ca="1" si="116"/>
        <v>5.2485636089292194E-2</v>
      </c>
      <c r="F177" s="1">
        <f t="shared" ca="1" si="117"/>
        <v>49</v>
      </c>
      <c r="G177" s="1">
        <f t="shared" ca="1" si="118"/>
        <v>14</v>
      </c>
      <c r="H177" s="1">
        <f t="shared" ca="1" si="119"/>
        <v>14</v>
      </c>
      <c r="I177" s="1"/>
      <c r="J177" s="1">
        <f t="shared" ca="1" si="120"/>
        <v>34</v>
      </c>
      <c r="K177" s="1">
        <f t="shared" ca="1" si="121"/>
        <v>1.5706211727009276</v>
      </c>
      <c r="L177" s="1">
        <f t="shared" ca="1" si="122"/>
        <v>14</v>
      </c>
      <c r="M177" s="1"/>
      <c r="N177" s="1">
        <f t="shared" ca="1" si="123"/>
        <v>726</v>
      </c>
      <c r="O177" s="1">
        <f t="shared" ca="1" si="124"/>
        <v>40</v>
      </c>
      <c r="P177" s="1"/>
      <c r="Q177" s="1">
        <f t="shared" ca="1" si="125"/>
        <v>0.46213145502856989</v>
      </c>
      <c r="R177" s="1">
        <f t="shared" ca="1" si="126"/>
        <v>228</v>
      </c>
      <c r="S177" s="1"/>
      <c r="T177" s="1">
        <f t="shared" ca="1" si="127"/>
        <v>2.3545512863196161E-2</v>
      </c>
      <c r="U177" s="1">
        <f t="shared" ca="1" si="128"/>
        <v>304</v>
      </c>
      <c r="V177" s="1">
        <f t="shared" ca="1" si="129"/>
        <v>26</v>
      </c>
      <c r="W177" s="1"/>
      <c r="X177" s="1">
        <f t="shared" ca="1" si="130"/>
        <v>7.9898011091546453</v>
      </c>
      <c r="Y177" s="1">
        <f t="shared" ca="1" si="131"/>
        <v>0.67512995437807044</v>
      </c>
      <c r="Z177" s="1">
        <f t="shared" ca="1" si="132"/>
        <v>370</v>
      </c>
      <c r="AB177" s="1">
        <f t="shared" ca="1" si="133"/>
        <v>0.61733132431120075</v>
      </c>
      <c r="AC177" s="1">
        <f t="shared" ca="1" si="134"/>
        <v>333</v>
      </c>
      <c r="AD177" s="1">
        <f t="shared" ca="1" si="135"/>
        <v>7.3273100144737946E-3</v>
      </c>
      <c r="AE177" s="1"/>
      <c r="AF177" s="1">
        <f t="shared" ca="1" si="136"/>
        <v>0.77847214106367724</v>
      </c>
      <c r="AG177" s="1">
        <f t="shared" ca="1" si="137"/>
        <v>986</v>
      </c>
      <c r="AH177" s="1">
        <f t="shared" ca="1" si="138"/>
        <v>5.0335951001126344E-3</v>
      </c>
      <c r="AJ177" s="1">
        <f t="shared" ca="1" si="139"/>
        <v>7.5518948296040334E-2</v>
      </c>
      <c r="AK177" s="1">
        <f t="shared" ca="1" si="140"/>
        <v>3.3828075519081184E-3</v>
      </c>
      <c r="AL177" s="1"/>
      <c r="AM177" s="1">
        <f t="shared" ca="1" si="141"/>
        <v>0.19677177046751657</v>
      </c>
      <c r="AN177" s="1">
        <f t="shared" ca="1" si="142"/>
        <v>66</v>
      </c>
      <c r="AO177" s="1">
        <f t="shared" ca="1" si="143"/>
        <v>11</v>
      </c>
      <c r="AQ177" s="1">
        <f t="shared" ca="1" si="144"/>
        <v>181</v>
      </c>
      <c r="AR177" s="1">
        <f t="shared" ca="1" si="145"/>
        <v>10</v>
      </c>
      <c r="AS177" s="1">
        <f t="shared" ca="1" si="146"/>
        <v>62</v>
      </c>
      <c r="AU177" s="1">
        <f t="shared" ca="1" si="147"/>
        <v>257</v>
      </c>
      <c r="AV177" s="1">
        <f t="shared" ca="1" si="148"/>
        <v>5</v>
      </c>
      <c r="AW177" s="1">
        <f t="shared" ca="1" si="149"/>
        <v>8.0693753487278364E-2</v>
      </c>
      <c r="AY177" s="1">
        <f t="shared" ca="1" si="150"/>
        <v>1.2869434859008475</v>
      </c>
      <c r="AZ177" s="1">
        <f t="shared" ca="1" si="151"/>
        <v>197</v>
      </c>
      <c r="BA177" s="1">
        <f t="shared" ca="1" si="152"/>
        <v>4.6681039774477831E-3</v>
      </c>
      <c r="BV177" s="1">
        <f t="shared" ca="1" si="153"/>
        <v>0.19643791344437622</v>
      </c>
      <c r="BW177" s="1">
        <f t="shared" ca="1" si="154"/>
        <v>558</v>
      </c>
      <c r="BX177" s="1">
        <f t="shared" ca="1" si="155"/>
        <v>9.764637661627263E-3</v>
      </c>
      <c r="BY177" s="1">
        <f t="shared" ca="1" si="156"/>
        <v>5.4676968440264357E-3</v>
      </c>
      <c r="BZ177" s="1">
        <f t="shared" ca="1" si="157"/>
        <v>0.23474076230628793</v>
      </c>
      <c r="CB177" s="1">
        <f t="shared" ca="1" si="158"/>
        <v>252</v>
      </c>
      <c r="CC177" s="1">
        <f t="shared" ca="1" si="159"/>
        <v>4</v>
      </c>
      <c r="CD177" s="1">
        <f t="shared" ca="1" si="160"/>
        <v>0.23834404497024453</v>
      </c>
      <c r="CE177" s="1">
        <f t="shared" ca="1" si="170"/>
        <v>0.72207497751128558</v>
      </c>
      <c r="CF177" s="1">
        <f t="shared" ca="1" si="170"/>
        <v>0.87886130649004179</v>
      </c>
      <c r="CH177" s="3">
        <f t="shared" ca="1" si="162"/>
        <v>0.85001496207789873</v>
      </c>
      <c r="CI177" s="3">
        <f t="shared" ca="1" si="163"/>
        <v>0.68126379012433103</v>
      </c>
      <c r="CJ177" s="3">
        <f t="shared" ca="1" si="164"/>
        <v>1050</v>
      </c>
      <c r="CK177" s="3">
        <f t="shared" ca="1" si="165"/>
        <v>5.6959289246138502E-3</v>
      </c>
      <c r="CL177" s="3">
        <f t="shared" ca="1" si="166"/>
        <v>0</v>
      </c>
      <c r="CM177" s="3"/>
      <c r="CN177" s="1">
        <f t="shared" ca="1" si="167"/>
        <v>15.780090792553471</v>
      </c>
      <c r="CO177" s="1">
        <f t="shared" ca="1" si="168"/>
        <v>4.6777463662867006E-3</v>
      </c>
      <c r="CP177" s="1">
        <f t="shared" ca="1" si="169"/>
        <v>2</v>
      </c>
    </row>
    <row r="178" spans="2:94" x14ac:dyDescent="0.25">
      <c r="B178">
        <f t="shared" ca="1" si="114"/>
        <v>843</v>
      </c>
      <c r="C178">
        <f t="shared" ca="1" si="115"/>
        <v>16</v>
      </c>
      <c r="D178">
        <f t="shared" ca="1" si="116"/>
        <v>0.12567902963887873</v>
      </c>
      <c r="F178" s="1">
        <f t="shared" ca="1" si="117"/>
        <v>4</v>
      </c>
      <c r="G178" s="1">
        <f t="shared" ca="1" si="118"/>
        <v>18</v>
      </c>
      <c r="H178" s="1">
        <f t="shared" ca="1" si="119"/>
        <v>7</v>
      </c>
      <c r="I178" s="1"/>
      <c r="J178" s="1">
        <f t="shared" ca="1" si="120"/>
        <v>11</v>
      </c>
      <c r="K178" s="1">
        <f t="shared" ca="1" si="121"/>
        <v>2.7377328083787349</v>
      </c>
      <c r="L178" s="1">
        <f t="shared" ca="1" si="122"/>
        <v>18</v>
      </c>
      <c r="M178" s="1"/>
      <c r="N178" s="1">
        <f t="shared" ca="1" si="123"/>
        <v>21</v>
      </c>
      <c r="O178" s="1">
        <f t="shared" ca="1" si="124"/>
        <v>46</v>
      </c>
      <c r="P178" s="1"/>
      <c r="Q178" s="1">
        <f t="shared" ca="1" si="125"/>
        <v>4.9315641073036325</v>
      </c>
      <c r="R178" s="1">
        <f t="shared" ca="1" si="126"/>
        <v>341</v>
      </c>
      <c r="S178" s="1"/>
      <c r="T178" s="1">
        <f t="shared" ca="1" si="127"/>
        <v>8.3927110493669146E-2</v>
      </c>
      <c r="U178" s="1">
        <f t="shared" ca="1" si="128"/>
        <v>349</v>
      </c>
      <c r="V178" s="1">
        <f t="shared" ca="1" si="129"/>
        <v>46</v>
      </c>
      <c r="W178" s="1"/>
      <c r="X178" s="1">
        <f t="shared" ca="1" si="130"/>
        <v>5.3534748635767633</v>
      </c>
      <c r="Y178" s="1">
        <f t="shared" ca="1" si="131"/>
        <v>0.12559209496659701</v>
      </c>
      <c r="Z178" s="1">
        <f t="shared" ca="1" si="132"/>
        <v>1247</v>
      </c>
      <c r="AB178" s="1">
        <f t="shared" ca="1" si="133"/>
        <v>0.57480123285379281</v>
      </c>
      <c r="AC178" s="1">
        <f t="shared" ca="1" si="134"/>
        <v>802</v>
      </c>
      <c r="AD178" s="1">
        <f t="shared" ca="1" si="135"/>
        <v>2.9719273847558553E-3</v>
      </c>
      <c r="AE178" s="1"/>
      <c r="AF178" s="1">
        <f t="shared" ca="1" si="136"/>
        <v>0.88435909650929234</v>
      </c>
      <c r="AG178" s="1">
        <f t="shared" ca="1" si="137"/>
        <v>142</v>
      </c>
      <c r="AH178" s="1">
        <f t="shared" ca="1" si="138"/>
        <v>2.260390688792887E-3</v>
      </c>
      <c r="AJ178" s="1">
        <f t="shared" ca="1" si="139"/>
        <v>0.39027446495223472</v>
      </c>
      <c r="AK178" s="1">
        <f t="shared" ca="1" si="140"/>
        <v>1.1633674906792301E-3</v>
      </c>
      <c r="AL178" s="1"/>
      <c r="AM178" s="1">
        <f t="shared" ca="1" si="141"/>
        <v>1.8746778608936615E-2</v>
      </c>
      <c r="AN178" s="1">
        <f t="shared" ca="1" si="142"/>
        <v>64</v>
      </c>
      <c r="AO178" s="1">
        <f t="shared" ca="1" si="143"/>
        <v>14</v>
      </c>
      <c r="AQ178" s="1">
        <f t="shared" ca="1" si="144"/>
        <v>56</v>
      </c>
      <c r="AR178" s="1">
        <f t="shared" ca="1" si="145"/>
        <v>0</v>
      </c>
      <c r="AS178" s="1">
        <f t="shared" ca="1" si="146"/>
        <v>31</v>
      </c>
      <c r="AU178" s="1">
        <f t="shared" ca="1" si="147"/>
        <v>350</v>
      </c>
      <c r="AV178" s="1">
        <f t="shared" ca="1" si="148"/>
        <v>6</v>
      </c>
      <c r="AW178" s="1">
        <f t="shared" ca="1" si="149"/>
        <v>0.17595678186806407</v>
      </c>
      <c r="AY178" s="1">
        <f t="shared" ca="1" si="150"/>
        <v>1.3807416916925854</v>
      </c>
      <c r="AZ178" s="1">
        <f t="shared" ca="1" si="151"/>
        <v>296</v>
      </c>
      <c r="BA178" s="1">
        <f t="shared" ca="1" si="152"/>
        <v>6.9767522580447593E-3</v>
      </c>
      <c r="BV178" s="1">
        <f t="shared" ca="1" si="153"/>
        <v>0.26868438749822704</v>
      </c>
      <c r="BW178" s="1">
        <f t="shared" ca="1" si="154"/>
        <v>982</v>
      </c>
      <c r="BX178" s="1">
        <f t="shared" ca="1" si="155"/>
        <v>5.4369075084322472E-3</v>
      </c>
      <c r="BY178" s="1">
        <f t="shared" ca="1" si="156"/>
        <v>5.6431192883519055E-2</v>
      </c>
      <c r="BZ178" s="1">
        <f t="shared" ca="1" si="157"/>
        <v>0.90419421023413737</v>
      </c>
      <c r="CB178" s="1">
        <f t="shared" ca="1" si="158"/>
        <v>422</v>
      </c>
      <c r="CC178" s="1">
        <f t="shared" ca="1" si="159"/>
        <v>12</v>
      </c>
      <c r="CD178" s="1">
        <f t="shared" ca="1" si="160"/>
        <v>0.10851493615474408</v>
      </c>
      <c r="CE178" s="1">
        <f t="shared" ca="1" si="170"/>
        <v>0.76287298220239919</v>
      </c>
      <c r="CF178" s="1">
        <f t="shared" ca="1" si="170"/>
        <v>0.80772073905018948</v>
      </c>
      <c r="CH178" s="3">
        <f t="shared" ca="1" si="162"/>
        <v>0.15715425159347365</v>
      </c>
      <c r="CI178" s="3">
        <f t="shared" ca="1" si="163"/>
        <v>0.62657948583462164</v>
      </c>
      <c r="CJ178" s="3">
        <f t="shared" ca="1" si="164"/>
        <v>907</v>
      </c>
      <c r="CK178" s="3">
        <f t="shared" ca="1" si="165"/>
        <v>9.0079539437301799E-3</v>
      </c>
      <c r="CL178" s="3">
        <f t="shared" ca="1" si="166"/>
        <v>1</v>
      </c>
      <c r="CM178" s="3"/>
      <c r="CN178" s="1">
        <f t="shared" ca="1" si="167"/>
        <v>6.4313710687450456</v>
      </c>
      <c r="CO178" s="1">
        <f t="shared" ca="1" si="168"/>
        <v>0.4249776719406344</v>
      </c>
      <c r="CP178" s="1">
        <f t="shared" ca="1" si="169"/>
        <v>2</v>
      </c>
    </row>
    <row r="179" spans="2:94" x14ac:dyDescent="0.25">
      <c r="B179">
        <f t="shared" ca="1" si="114"/>
        <v>59</v>
      </c>
      <c r="C179">
        <f t="shared" ca="1" si="115"/>
        <v>11</v>
      </c>
      <c r="D179">
        <f t="shared" ca="1" si="116"/>
        <v>0.13575964971101029</v>
      </c>
      <c r="F179" s="1">
        <f t="shared" ca="1" si="117"/>
        <v>40</v>
      </c>
      <c r="G179" s="1">
        <f t="shared" ca="1" si="118"/>
        <v>17</v>
      </c>
      <c r="H179" s="1">
        <f t="shared" ca="1" si="119"/>
        <v>4</v>
      </c>
      <c r="I179" s="1"/>
      <c r="J179" s="1">
        <f t="shared" ca="1" si="120"/>
        <v>25</v>
      </c>
      <c r="K179" s="1">
        <f t="shared" ca="1" si="121"/>
        <v>1.9275048934301273</v>
      </c>
      <c r="L179" s="1">
        <f t="shared" ca="1" si="122"/>
        <v>29</v>
      </c>
      <c r="M179" s="1"/>
      <c r="N179" s="1">
        <f t="shared" ca="1" si="123"/>
        <v>412</v>
      </c>
      <c r="O179" s="1">
        <f t="shared" ca="1" si="124"/>
        <v>12</v>
      </c>
      <c r="P179" s="1"/>
      <c r="Q179" s="1">
        <f t="shared" ca="1" si="125"/>
        <v>2.1436080840872567</v>
      </c>
      <c r="R179" s="1">
        <f t="shared" ca="1" si="126"/>
        <v>323</v>
      </c>
      <c r="S179" s="1"/>
      <c r="T179" s="1">
        <f t="shared" ca="1" si="127"/>
        <v>2.828277241377028E-2</v>
      </c>
      <c r="U179" s="1">
        <f t="shared" ca="1" si="128"/>
        <v>389</v>
      </c>
      <c r="V179" s="1">
        <f t="shared" ca="1" si="129"/>
        <v>17</v>
      </c>
      <c r="W179" s="1"/>
      <c r="X179" s="1">
        <f t="shared" ca="1" si="130"/>
        <v>9.3102174856945652</v>
      </c>
      <c r="Y179" s="1">
        <f t="shared" ca="1" si="131"/>
        <v>0.6287773775570783</v>
      </c>
      <c r="Z179" s="1">
        <f t="shared" ca="1" si="132"/>
        <v>1825</v>
      </c>
      <c r="AB179" s="1">
        <f t="shared" ca="1" si="133"/>
        <v>0.77210848873008708</v>
      </c>
      <c r="AC179" s="1">
        <f t="shared" ca="1" si="134"/>
        <v>276</v>
      </c>
      <c r="AD179" s="1">
        <f t="shared" ca="1" si="135"/>
        <v>5.6328360994823152E-3</v>
      </c>
      <c r="AE179" s="1"/>
      <c r="AF179" s="1">
        <f t="shared" ca="1" si="136"/>
        <v>0.30543382922735529</v>
      </c>
      <c r="AG179" s="1">
        <f t="shared" ca="1" si="137"/>
        <v>105</v>
      </c>
      <c r="AH179" s="1">
        <f t="shared" ca="1" si="138"/>
        <v>2.7189631430192826E-3</v>
      </c>
      <c r="AJ179" s="1">
        <f t="shared" ca="1" si="139"/>
        <v>0.44344720853621722</v>
      </c>
      <c r="AK179" s="1">
        <f t="shared" ca="1" si="140"/>
        <v>8.5052379243041598E-3</v>
      </c>
      <c r="AL179" s="1"/>
      <c r="AM179" s="1">
        <f t="shared" ca="1" si="141"/>
        <v>3.9551934314658525E-2</v>
      </c>
      <c r="AN179" s="1">
        <f t="shared" ca="1" si="142"/>
        <v>57</v>
      </c>
      <c r="AO179" s="1">
        <f t="shared" ca="1" si="143"/>
        <v>16</v>
      </c>
      <c r="AQ179" s="1">
        <f t="shared" ca="1" si="144"/>
        <v>54</v>
      </c>
      <c r="AR179" s="1">
        <f t="shared" ca="1" si="145"/>
        <v>6</v>
      </c>
      <c r="AS179" s="1">
        <f t="shared" ca="1" si="146"/>
        <v>94</v>
      </c>
      <c r="AU179" s="1">
        <f t="shared" ca="1" si="147"/>
        <v>280</v>
      </c>
      <c r="AV179" s="1">
        <f t="shared" ca="1" si="148"/>
        <v>6</v>
      </c>
      <c r="AW179" s="1">
        <f t="shared" ca="1" si="149"/>
        <v>0.15019985318764359</v>
      </c>
      <c r="AY179" s="1">
        <f t="shared" ca="1" si="150"/>
        <v>1.8489825489453624</v>
      </c>
      <c r="AZ179" s="1">
        <f t="shared" ca="1" si="151"/>
        <v>204</v>
      </c>
      <c r="BA179" s="1">
        <f t="shared" ca="1" si="152"/>
        <v>5.2396865062887344E-3</v>
      </c>
      <c r="BV179" s="1">
        <f t="shared" ca="1" si="153"/>
        <v>0.81913569694422228</v>
      </c>
      <c r="BW179" s="1">
        <f t="shared" ca="1" si="154"/>
        <v>501</v>
      </c>
      <c r="BX179" s="1">
        <f t="shared" ca="1" si="155"/>
        <v>9.6102431239339682E-3</v>
      </c>
      <c r="BY179" s="1">
        <f t="shared" ca="1" si="156"/>
        <v>7.5741704290190906E-2</v>
      </c>
      <c r="BZ179" s="1">
        <f t="shared" ca="1" si="157"/>
        <v>0.24983179863255189</v>
      </c>
      <c r="CB179" s="1">
        <f t="shared" ca="1" si="158"/>
        <v>293</v>
      </c>
      <c r="CC179" s="1">
        <f t="shared" ca="1" si="159"/>
        <v>11</v>
      </c>
      <c r="CD179" s="1">
        <f t="shared" ca="1" si="160"/>
        <v>0.25709959484614342</v>
      </c>
      <c r="CE179" s="1">
        <f t="shared" ca="1" si="170"/>
        <v>0.85301276505054102</v>
      </c>
      <c r="CF179" s="1">
        <f t="shared" ca="1" si="170"/>
        <v>0.97186166285189013</v>
      </c>
      <c r="CH179" s="3">
        <f t="shared" ca="1" si="162"/>
        <v>0.71526336499829402</v>
      </c>
      <c r="CI179" s="3">
        <f t="shared" ca="1" si="163"/>
        <v>0.97475885720475219</v>
      </c>
      <c r="CJ179" s="3">
        <f t="shared" ca="1" si="164"/>
        <v>193</v>
      </c>
      <c r="CK179" s="3">
        <f t="shared" ca="1" si="165"/>
        <v>2.1466249638922246E-4</v>
      </c>
      <c r="CL179" s="3">
        <f t="shared" ca="1" si="166"/>
        <v>1</v>
      </c>
      <c r="CM179" s="3"/>
      <c r="CN179" s="1">
        <f t="shared" ca="1" si="167"/>
        <v>4.438962070414755</v>
      </c>
      <c r="CO179" s="1">
        <f t="shared" ca="1" si="168"/>
        <v>0.35461534627892671</v>
      </c>
      <c r="CP179" s="1">
        <f t="shared" ca="1" si="169"/>
        <v>3</v>
      </c>
    </row>
    <row r="180" spans="2:94" x14ac:dyDescent="0.25">
      <c r="B180">
        <f t="shared" ca="1" si="114"/>
        <v>583</v>
      </c>
      <c r="C180">
        <f t="shared" ca="1" si="115"/>
        <v>5</v>
      </c>
      <c r="D180">
        <f t="shared" ca="1" si="116"/>
        <v>0.28400300789661648</v>
      </c>
      <c r="F180" s="1">
        <f t="shared" ca="1" si="117"/>
        <v>33</v>
      </c>
      <c r="G180" s="1">
        <f t="shared" ca="1" si="118"/>
        <v>3</v>
      </c>
      <c r="H180" s="1">
        <f t="shared" ca="1" si="119"/>
        <v>14</v>
      </c>
      <c r="I180" s="1"/>
      <c r="J180" s="1">
        <f t="shared" ca="1" si="120"/>
        <v>28</v>
      </c>
      <c r="K180" s="1">
        <f t="shared" ca="1" si="121"/>
        <v>2.5612375196365549</v>
      </c>
      <c r="L180" s="1">
        <f t="shared" ca="1" si="122"/>
        <v>32</v>
      </c>
      <c r="M180" s="1"/>
      <c r="N180" s="1">
        <f t="shared" ca="1" si="123"/>
        <v>718</v>
      </c>
      <c r="O180" s="1">
        <f t="shared" ca="1" si="124"/>
        <v>44</v>
      </c>
      <c r="P180" s="1"/>
      <c r="Q180" s="1">
        <f t="shared" ca="1" si="125"/>
        <v>2.6358958795998921</v>
      </c>
      <c r="R180" s="1">
        <f t="shared" ca="1" si="126"/>
        <v>1133</v>
      </c>
      <c r="S180" s="1"/>
      <c r="T180" s="1">
        <f t="shared" ca="1" si="127"/>
        <v>4.1107745018841971E-2</v>
      </c>
      <c r="U180" s="1">
        <f t="shared" ca="1" si="128"/>
        <v>67</v>
      </c>
      <c r="V180" s="1">
        <f t="shared" ca="1" si="129"/>
        <v>14</v>
      </c>
      <c r="W180" s="1"/>
      <c r="X180" s="1">
        <f t="shared" ca="1" si="130"/>
        <v>6.4513758643173063</v>
      </c>
      <c r="Y180" s="1">
        <f t="shared" ca="1" si="131"/>
        <v>0.18939895004182264</v>
      </c>
      <c r="Z180" s="1">
        <f t="shared" ca="1" si="132"/>
        <v>1141</v>
      </c>
      <c r="AB180" s="1">
        <f t="shared" ca="1" si="133"/>
        <v>0.90173533477374856</v>
      </c>
      <c r="AC180" s="1">
        <f t="shared" ca="1" si="134"/>
        <v>371</v>
      </c>
      <c r="AD180" s="1">
        <f t="shared" ca="1" si="135"/>
        <v>4.7869258267164965E-3</v>
      </c>
      <c r="AE180" s="1"/>
      <c r="AF180" s="1">
        <f t="shared" ca="1" si="136"/>
        <v>0.82715809278583996</v>
      </c>
      <c r="AG180" s="1">
        <f t="shared" ca="1" si="137"/>
        <v>313</v>
      </c>
      <c r="AH180" s="1">
        <f t="shared" ca="1" si="138"/>
        <v>1.5396955834668705E-3</v>
      </c>
      <c r="AJ180" s="1">
        <f t="shared" ca="1" si="139"/>
        <v>0.74703236399161288</v>
      </c>
      <c r="AK180" s="1">
        <f t="shared" ca="1" si="140"/>
        <v>1.4383690104313074E-3</v>
      </c>
      <c r="AL180" s="1"/>
      <c r="AM180" s="1">
        <f t="shared" ca="1" si="141"/>
        <v>0.12669017409665725</v>
      </c>
      <c r="AN180" s="1">
        <f t="shared" ca="1" si="142"/>
        <v>43</v>
      </c>
      <c r="AO180" s="1">
        <f t="shared" ca="1" si="143"/>
        <v>2</v>
      </c>
      <c r="AQ180" s="1">
        <f t="shared" ca="1" si="144"/>
        <v>191</v>
      </c>
      <c r="AR180" s="1">
        <f t="shared" ca="1" si="145"/>
        <v>5</v>
      </c>
      <c r="AS180" s="1">
        <f t="shared" ca="1" si="146"/>
        <v>28</v>
      </c>
      <c r="AU180" s="1">
        <f t="shared" ca="1" si="147"/>
        <v>182</v>
      </c>
      <c r="AV180" s="1">
        <f t="shared" ca="1" si="148"/>
        <v>2</v>
      </c>
      <c r="AW180" s="1">
        <f t="shared" ca="1" si="149"/>
        <v>0.15949643530157398</v>
      </c>
      <c r="AY180" s="1">
        <f t="shared" ca="1" si="150"/>
        <v>1.5371835983633135</v>
      </c>
      <c r="AZ180" s="1">
        <f t="shared" ca="1" si="151"/>
        <v>231</v>
      </c>
      <c r="BA180" s="1">
        <f t="shared" ca="1" si="152"/>
        <v>5.898518425779836E-3</v>
      </c>
      <c r="BV180" s="1">
        <f t="shared" ca="1" si="153"/>
        <v>2.3965815333872948E-2</v>
      </c>
      <c r="BW180" s="1">
        <f t="shared" ca="1" si="154"/>
        <v>289</v>
      </c>
      <c r="BX180" s="1">
        <f t="shared" ca="1" si="155"/>
        <v>4.7052303989509065E-3</v>
      </c>
      <c r="BY180" s="1">
        <f t="shared" ca="1" si="156"/>
        <v>5.2184374572709857E-2</v>
      </c>
      <c r="BZ180" s="1">
        <f t="shared" ca="1" si="157"/>
        <v>0.60187871515039715</v>
      </c>
      <c r="CB180" s="1">
        <f t="shared" ca="1" si="158"/>
        <v>182</v>
      </c>
      <c r="CC180" s="1">
        <f t="shared" ca="1" si="159"/>
        <v>11</v>
      </c>
      <c r="CD180" s="1">
        <f t="shared" ca="1" si="160"/>
        <v>0.12174867763319824</v>
      </c>
      <c r="CE180" s="1">
        <f t="shared" ca="1" si="170"/>
        <v>0.66616422879609105</v>
      </c>
      <c r="CF180" s="1">
        <f t="shared" ca="1" si="170"/>
        <v>0.96851258064420809</v>
      </c>
      <c r="CH180" s="3">
        <f t="shared" ca="1" si="162"/>
        <v>0.15060697131600712</v>
      </c>
      <c r="CI180" s="3">
        <f t="shared" ca="1" si="163"/>
        <v>0.76800103972655176</v>
      </c>
      <c r="CJ180" s="3">
        <f t="shared" ca="1" si="164"/>
        <v>1614</v>
      </c>
      <c r="CK180" s="3">
        <f t="shared" ca="1" si="165"/>
        <v>9.6906892563951019E-3</v>
      </c>
      <c r="CL180" s="3">
        <f t="shared" ca="1" si="166"/>
        <v>0</v>
      </c>
      <c r="CM180" s="3"/>
      <c r="CN180" s="1">
        <f t="shared" ca="1" si="167"/>
        <v>13.475307154092773</v>
      </c>
      <c r="CO180" s="1">
        <f t="shared" ca="1" si="168"/>
        <v>0.42053464115651229</v>
      </c>
      <c r="CP180" s="1">
        <f t="shared" ca="1" si="169"/>
        <v>5</v>
      </c>
    </row>
    <row r="181" spans="2:94" x14ac:dyDescent="0.25">
      <c r="B181">
        <f t="shared" ca="1" si="114"/>
        <v>323</v>
      </c>
      <c r="C181">
        <f t="shared" ca="1" si="115"/>
        <v>23</v>
      </c>
      <c r="D181">
        <f t="shared" ca="1" si="116"/>
        <v>0.14019923395030273</v>
      </c>
      <c r="F181" s="1">
        <f t="shared" ca="1" si="117"/>
        <v>28</v>
      </c>
      <c r="G181" s="1">
        <f t="shared" ca="1" si="118"/>
        <v>25</v>
      </c>
      <c r="H181" s="1">
        <f t="shared" ca="1" si="119"/>
        <v>5</v>
      </c>
      <c r="I181" s="1"/>
      <c r="J181" s="1">
        <f t="shared" ca="1" si="120"/>
        <v>36</v>
      </c>
      <c r="K181" s="1">
        <f t="shared" ca="1" si="121"/>
        <v>2.6818133827440169</v>
      </c>
      <c r="L181" s="1">
        <f t="shared" ca="1" si="122"/>
        <v>32</v>
      </c>
      <c r="M181" s="1"/>
      <c r="N181" s="1">
        <f t="shared" ca="1" si="123"/>
        <v>916</v>
      </c>
      <c r="O181" s="1">
        <f t="shared" ca="1" si="124"/>
        <v>17</v>
      </c>
      <c r="P181" s="1"/>
      <c r="Q181" s="1">
        <f t="shared" ca="1" si="125"/>
        <v>4.9975693652600306</v>
      </c>
      <c r="R181" s="1">
        <f t="shared" ca="1" si="126"/>
        <v>964</v>
      </c>
      <c r="S181" s="1"/>
      <c r="T181" s="1">
        <f t="shared" ca="1" si="127"/>
        <v>0.10219011172580232</v>
      </c>
      <c r="U181" s="1">
        <f t="shared" ca="1" si="128"/>
        <v>85</v>
      </c>
      <c r="V181" s="1">
        <f t="shared" ca="1" si="129"/>
        <v>42</v>
      </c>
      <c r="W181" s="1"/>
      <c r="X181" s="1">
        <f t="shared" ca="1" si="130"/>
        <v>5.5523909685730892</v>
      </c>
      <c r="Y181" s="1">
        <f t="shared" ca="1" si="131"/>
        <v>0.42921406110173571</v>
      </c>
      <c r="Z181" s="1">
        <f t="shared" ca="1" si="132"/>
        <v>1997</v>
      </c>
      <c r="AB181" s="1">
        <f t="shared" ca="1" si="133"/>
        <v>0.32244346159448145</v>
      </c>
      <c r="AC181" s="1">
        <f t="shared" ca="1" si="134"/>
        <v>183</v>
      </c>
      <c r="AD181" s="1">
        <f t="shared" ca="1" si="135"/>
        <v>4.0198005674849579E-3</v>
      </c>
      <c r="AE181" s="1"/>
      <c r="AF181" s="1">
        <f t="shared" ca="1" si="136"/>
        <v>0.73073746723620558</v>
      </c>
      <c r="AG181" s="1">
        <f t="shared" ca="1" si="137"/>
        <v>938</v>
      </c>
      <c r="AH181" s="1">
        <f t="shared" ca="1" si="138"/>
        <v>8.6970671931397223E-3</v>
      </c>
      <c r="AJ181" s="1">
        <f t="shared" ca="1" si="139"/>
        <v>0.62391758716321644</v>
      </c>
      <c r="AK181" s="1">
        <f t="shared" ca="1" si="140"/>
        <v>1.6981643950760058E-3</v>
      </c>
      <c r="AL181" s="1"/>
      <c r="AM181" s="1">
        <f t="shared" ca="1" si="141"/>
        <v>0.17058307813759369</v>
      </c>
      <c r="AN181" s="1">
        <f t="shared" ca="1" si="142"/>
        <v>67</v>
      </c>
      <c r="AO181" s="1">
        <f t="shared" ca="1" si="143"/>
        <v>5</v>
      </c>
      <c r="AQ181" s="1">
        <f t="shared" ca="1" si="144"/>
        <v>184</v>
      </c>
      <c r="AR181" s="1">
        <f t="shared" ca="1" si="145"/>
        <v>5</v>
      </c>
      <c r="AS181" s="1">
        <f t="shared" ca="1" si="146"/>
        <v>75</v>
      </c>
      <c r="AU181" s="1">
        <f t="shared" ca="1" si="147"/>
        <v>248</v>
      </c>
      <c r="AV181" s="1">
        <f t="shared" ca="1" si="148"/>
        <v>8</v>
      </c>
      <c r="AW181" s="1">
        <f t="shared" ca="1" si="149"/>
        <v>9.321890719947061E-2</v>
      </c>
      <c r="AY181" s="1">
        <f t="shared" ca="1" si="150"/>
        <v>1.7677846169479761</v>
      </c>
      <c r="AZ181" s="1">
        <f t="shared" ca="1" si="151"/>
        <v>136</v>
      </c>
      <c r="BA181" s="1">
        <f t="shared" ca="1" si="152"/>
        <v>4.033941248560882E-3</v>
      </c>
      <c r="BV181" s="1">
        <f t="shared" ca="1" si="153"/>
        <v>0.10611673087208183</v>
      </c>
      <c r="BW181" s="1">
        <f t="shared" ca="1" si="154"/>
        <v>127</v>
      </c>
      <c r="BX181" s="1">
        <f t="shared" ca="1" si="155"/>
        <v>1.7279250723433533E-3</v>
      </c>
      <c r="BY181" s="1">
        <f t="shared" ca="1" si="156"/>
        <v>7.9252362370031262E-2</v>
      </c>
      <c r="BZ181" s="1">
        <f t="shared" ca="1" si="157"/>
        <v>0.19920199749091427</v>
      </c>
      <c r="CB181" s="1">
        <f t="shared" ca="1" si="158"/>
        <v>456</v>
      </c>
      <c r="CC181" s="1">
        <f t="shared" ca="1" si="159"/>
        <v>8</v>
      </c>
      <c r="CD181" s="1">
        <f t="shared" ca="1" si="160"/>
        <v>4.5001448259532312E-2</v>
      </c>
      <c r="CE181" s="1">
        <f t="shared" ca="1" si="170"/>
        <v>0.51934563148706581</v>
      </c>
      <c r="CF181" s="1">
        <f t="shared" ca="1" si="170"/>
        <v>0.85829035093522443</v>
      </c>
      <c r="CH181" s="3">
        <f t="shared" ca="1" si="162"/>
        <v>0.99757643632126791</v>
      </c>
      <c r="CI181" s="3">
        <f t="shared" ca="1" si="163"/>
        <v>0.2492556781924298</v>
      </c>
      <c r="CJ181" s="3">
        <f t="shared" ca="1" si="164"/>
        <v>1212</v>
      </c>
      <c r="CK181" s="3">
        <f t="shared" ca="1" si="165"/>
        <v>7.1143034164759394E-3</v>
      </c>
      <c r="CL181" s="3">
        <f t="shared" ca="1" si="166"/>
        <v>0</v>
      </c>
      <c r="CM181" s="3"/>
      <c r="CN181" s="1">
        <f t="shared" ca="1" si="167"/>
        <v>18.74867069654081</v>
      </c>
      <c r="CO181" s="1">
        <f t="shared" ca="1" si="168"/>
        <v>2.6292602276017828E-2</v>
      </c>
      <c r="CP181" s="1">
        <f t="shared" ca="1" si="169"/>
        <v>3</v>
      </c>
    </row>
    <row r="182" spans="2:94" x14ac:dyDescent="0.25">
      <c r="B182">
        <f t="shared" ca="1" si="114"/>
        <v>672</v>
      </c>
      <c r="C182">
        <f t="shared" ca="1" si="115"/>
        <v>43</v>
      </c>
      <c r="D182">
        <f t="shared" ca="1" si="116"/>
        <v>0.12589074097159433</v>
      </c>
      <c r="F182" s="1">
        <f t="shared" ca="1" si="117"/>
        <v>22</v>
      </c>
      <c r="G182" s="1">
        <f t="shared" ca="1" si="118"/>
        <v>3</v>
      </c>
      <c r="H182" s="1">
        <f t="shared" ca="1" si="119"/>
        <v>10</v>
      </c>
      <c r="I182" s="1"/>
      <c r="J182" s="1">
        <f t="shared" ca="1" si="120"/>
        <v>24</v>
      </c>
      <c r="K182" s="1">
        <f t="shared" ca="1" si="121"/>
        <v>1.4359114294647346</v>
      </c>
      <c r="L182" s="1">
        <f t="shared" ca="1" si="122"/>
        <v>7</v>
      </c>
      <c r="M182" s="1"/>
      <c r="N182" s="1">
        <f t="shared" ca="1" si="123"/>
        <v>90</v>
      </c>
      <c r="O182" s="1">
        <f t="shared" ca="1" si="124"/>
        <v>52</v>
      </c>
      <c r="P182" s="1"/>
      <c r="Q182" s="1">
        <f t="shared" ca="1" si="125"/>
        <v>4.9745884954641602</v>
      </c>
      <c r="R182" s="1">
        <f t="shared" ca="1" si="126"/>
        <v>432</v>
      </c>
      <c r="S182" s="1"/>
      <c r="T182" s="1">
        <f t="shared" ca="1" si="127"/>
        <v>0.19639828223085753</v>
      </c>
      <c r="U182" s="1">
        <f t="shared" ca="1" si="128"/>
        <v>199</v>
      </c>
      <c r="V182" s="1">
        <f t="shared" ca="1" si="129"/>
        <v>50</v>
      </c>
      <c r="W182" s="1"/>
      <c r="X182" s="1">
        <f t="shared" ca="1" si="130"/>
        <v>3.5243832696766919</v>
      </c>
      <c r="Y182" s="1">
        <f t="shared" ca="1" si="131"/>
        <v>0.1349009977650783</v>
      </c>
      <c r="Z182" s="1">
        <f t="shared" ca="1" si="132"/>
        <v>566</v>
      </c>
      <c r="AB182" s="1">
        <f t="shared" ca="1" si="133"/>
        <v>0.18907965184953088</v>
      </c>
      <c r="AC182" s="1">
        <f t="shared" ca="1" si="134"/>
        <v>448</v>
      </c>
      <c r="AD182" s="1">
        <f t="shared" ca="1" si="135"/>
        <v>6.6147229921111527E-3</v>
      </c>
      <c r="AE182" s="1"/>
      <c r="AF182" s="1">
        <f t="shared" ca="1" si="136"/>
        <v>0.55028727623703</v>
      </c>
      <c r="AG182" s="1">
        <f t="shared" ca="1" si="137"/>
        <v>197</v>
      </c>
      <c r="AH182" s="1">
        <f t="shared" ca="1" si="138"/>
        <v>9.7686908385771643E-3</v>
      </c>
      <c r="AJ182" s="1">
        <f t="shared" ca="1" si="139"/>
        <v>0.69713086651362999</v>
      </c>
      <c r="AK182" s="1">
        <f t="shared" ca="1" si="140"/>
        <v>8.182825463883896E-3</v>
      </c>
      <c r="AL182" s="1"/>
      <c r="AM182" s="1">
        <f t="shared" ca="1" si="141"/>
        <v>0.16857968992708877</v>
      </c>
      <c r="AN182" s="1">
        <f t="shared" ca="1" si="142"/>
        <v>80</v>
      </c>
      <c r="AO182" s="1">
        <f t="shared" ca="1" si="143"/>
        <v>2</v>
      </c>
      <c r="AQ182" s="1">
        <f t="shared" ca="1" si="144"/>
        <v>106</v>
      </c>
      <c r="AR182" s="1">
        <f t="shared" ca="1" si="145"/>
        <v>4</v>
      </c>
      <c r="AS182" s="1">
        <f t="shared" ca="1" si="146"/>
        <v>97</v>
      </c>
      <c r="AU182" s="1">
        <f t="shared" ca="1" si="147"/>
        <v>180</v>
      </c>
      <c r="AV182" s="1">
        <f t="shared" ca="1" si="148"/>
        <v>5</v>
      </c>
      <c r="AW182" s="1">
        <f t="shared" ca="1" si="149"/>
        <v>0.10998909444704717</v>
      </c>
      <c r="AY182" s="1">
        <f t="shared" ca="1" si="150"/>
        <v>1.6984380742885958</v>
      </c>
      <c r="AZ182" s="1">
        <f t="shared" ca="1" si="151"/>
        <v>264</v>
      </c>
      <c r="BA182" s="1">
        <f t="shared" ca="1" si="152"/>
        <v>8.4148338159392381E-3</v>
      </c>
      <c r="BV182" s="1">
        <f t="shared" ca="1" si="153"/>
        <v>0.78277548829965049</v>
      </c>
      <c r="BW182" s="1">
        <f t="shared" ca="1" si="154"/>
        <v>509</v>
      </c>
      <c r="BX182" s="1">
        <f t="shared" ca="1" si="155"/>
        <v>7.1047266087908266E-4</v>
      </c>
      <c r="BY182" s="1">
        <f t="shared" ca="1" si="156"/>
        <v>9.0749154041414509E-2</v>
      </c>
      <c r="BZ182" s="1">
        <f t="shared" ca="1" si="157"/>
        <v>0.23812208632682152</v>
      </c>
      <c r="CB182" s="1">
        <f t="shared" ca="1" si="158"/>
        <v>216</v>
      </c>
      <c r="CC182" s="1">
        <f t="shared" ca="1" si="159"/>
        <v>15</v>
      </c>
      <c r="CD182" s="1">
        <f t="shared" ca="1" si="160"/>
        <v>0.22728564061519832</v>
      </c>
      <c r="CE182" s="1">
        <f t="shared" ca="1" si="170"/>
        <v>0.72686066098987245</v>
      </c>
      <c r="CF182" s="1">
        <f t="shared" ca="1" si="170"/>
        <v>0.57854218597280638</v>
      </c>
      <c r="CH182" s="3">
        <f t="shared" ca="1" si="162"/>
        <v>3.4736304704667473E-2</v>
      </c>
      <c r="CI182" s="3">
        <f t="shared" ca="1" si="163"/>
        <v>0.62773858435418117</v>
      </c>
      <c r="CJ182" s="3">
        <f t="shared" ca="1" si="164"/>
        <v>421</v>
      </c>
      <c r="CK182" s="3">
        <f t="shared" ca="1" si="165"/>
        <v>6.876191228383486E-3</v>
      </c>
      <c r="CL182" s="3">
        <f t="shared" ca="1" si="166"/>
        <v>0</v>
      </c>
      <c r="CM182" s="3"/>
      <c r="CN182" s="1">
        <f t="shared" ca="1" si="167"/>
        <v>9.8495131123795119</v>
      </c>
      <c r="CO182" s="1">
        <f t="shared" ca="1" si="168"/>
        <v>0.36762756892267173</v>
      </c>
      <c r="CP182" s="1">
        <f t="shared" ca="1" si="169"/>
        <v>2</v>
      </c>
    </row>
    <row r="183" spans="2:94" x14ac:dyDescent="0.25">
      <c r="B183">
        <f t="shared" ca="1" si="114"/>
        <v>463</v>
      </c>
      <c r="C183">
        <f t="shared" ca="1" si="115"/>
        <v>44</v>
      </c>
      <c r="D183">
        <f t="shared" ca="1" si="116"/>
        <v>0.28782028953794053</v>
      </c>
      <c r="F183" s="1">
        <f t="shared" ca="1" si="117"/>
        <v>14</v>
      </c>
      <c r="G183" s="1">
        <f t="shared" ca="1" si="118"/>
        <v>5</v>
      </c>
      <c r="H183" s="1">
        <f t="shared" ca="1" si="119"/>
        <v>15</v>
      </c>
      <c r="I183" s="1"/>
      <c r="J183" s="1">
        <f t="shared" ca="1" si="120"/>
        <v>23</v>
      </c>
      <c r="K183" s="1">
        <f t="shared" ca="1" si="121"/>
        <v>2.426420189675615</v>
      </c>
      <c r="L183" s="1">
        <f t="shared" ca="1" si="122"/>
        <v>15</v>
      </c>
      <c r="M183" s="1"/>
      <c r="N183" s="1">
        <f t="shared" ca="1" si="123"/>
        <v>648</v>
      </c>
      <c r="O183" s="1">
        <f t="shared" ca="1" si="124"/>
        <v>6</v>
      </c>
      <c r="P183" s="1"/>
      <c r="Q183" s="1">
        <f t="shared" ca="1" si="125"/>
        <v>4.4900394034879589</v>
      </c>
      <c r="R183" s="1">
        <f t="shared" ca="1" si="126"/>
        <v>599</v>
      </c>
      <c r="S183" s="1"/>
      <c r="T183" s="1">
        <f t="shared" ca="1" si="127"/>
        <v>0.13980676990783231</v>
      </c>
      <c r="U183" s="1">
        <f t="shared" ca="1" si="128"/>
        <v>151</v>
      </c>
      <c r="V183" s="1">
        <f t="shared" ca="1" si="129"/>
        <v>13</v>
      </c>
      <c r="W183" s="1"/>
      <c r="X183" s="1">
        <f t="shared" ca="1" si="130"/>
        <v>7.6334190308438021</v>
      </c>
      <c r="Y183" s="1">
        <f t="shared" ca="1" si="131"/>
        <v>0.6558618427358951</v>
      </c>
      <c r="Z183" s="1">
        <f t="shared" ca="1" si="132"/>
        <v>602</v>
      </c>
      <c r="AB183" s="1">
        <f t="shared" ca="1" si="133"/>
        <v>0.92594736919803378</v>
      </c>
      <c r="AC183" s="1">
        <f t="shared" ca="1" si="134"/>
        <v>868</v>
      </c>
      <c r="AD183" s="1">
        <f t="shared" ca="1" si="135"/>
        <v>2.5043748204131018E-3</v>
      </c>
      <c r="AE183" s="1"/>
      <c r="AF183" s="1">
        <f t="shared" ca="1" si="136"/>
        <v>0.85244421694676453</v>
      </c>
      <c r="AG183" s="1">
        <f t="shared" ca="1" si="137"/>
        <v>851</v>
      </c>
      <c r="AH183" s="1">
        <f t="shared" ca="1" si="138"/>
        <v>6.5365447255367661E-3</v>
      </c>
      <c r="AJ183" s="1">
        <f t="shared" ca="1" si="139"/>
        <v>1.7285611661070455E-2</v>
      </c>
      <c r="AK183" s="1">
        <f t="shared" ca="1" si="140"/>
        <v>8.0692183618272691E-3</v>
      </c>
      <c r="AL183" s="1"/>
      <c r="AM183" s="1">
        <f t="shared" ca="1" si="141"/>
        <v>0.15334004292656772</v>
      </c>
      <c r="AN183" s="1">
        <f t="shared" ca="1" si="142"/>
        <v>24</v>
      </c>
      <c r="AO183" s="1">
        <f t="shared" ca="1" si="143"/>
        <v>19</v>
      </c>
      <c r="AQ183" s="1">
        <f t="shared" ca="1" si="144"/>
        <v>190</v>
      </c>
      <c r="AR183" s="1">
        <f t="shared" ca="1" si="145"/>
        <v>3</v>
      </c>
      <c r="AS183" s="1">
        <f t="shared" ca="1" si="146"/>
        <v>25</v>
      </c>
      <c r="AU183" s="1">
        <f t="shared" ca="1" si="147"/>
        <v>303</v>
      </c>
      <c r="AV183" s="1">
        <f t="shared" ca="1" si="148"/>
        <v>3</v>
      </c>
      <c r="AW183" s="1">
        <f t="shared" ca="1" si="149"/>
        <v>0.15015956980113856</v>
      </c>
      <c r="AY183" s="1">
        <f t="shared" ca="1" si="150"/>
        <v>1.4913921730830486</v>
      </c>
      <c r="AZ183" s="1">
        <f t="shared" ca="1" si="151"/>
        <v>127</v>
      </c>
      <c r="BA183" s="1">
        <f t="shared" ca="1" si="152"/>
        <v>4.1125441090022823E-4</v>
      </c>
      <c r="BV183" s="1">
        <f t="shared" ca="1" si="153"/>
        <v>0.47818175629304716</v>
      </c>
      <c r="BW183" s="1">
        <f t="shared" ca="1" si="154"/>
        <v>250</v>
      </c>
      <c r="BX183" s="1">
        <f t="shared" ca="1" si="155"/>
        <v>5.4882572074173462E-3</v>
      </c>
      <c r="BY183" s="1">
        <f t="shared" ca="1" si="156"/>
        <v>8.1751081731478367E-2</v>
      </c>
      <c r="BZ183" s="1">
        <f t="shared" ca="1" si="157"/>
        <v>8.6679427415560895E-2</v>
      </c>
      <c r="CB183" s="1">
        <f t="shared" ca="1" si="158"/>
        <v>57</v>
      </c>
      <c r="CC183" s="1">
        <f t="shared" ca="1" si="159"/>
        <v>4</v>
      </c>
      <c r="CD183" s="1">
        <f t="shared" ca="1" si="160"/>
        <v>0.2916112314650694</v>
      </c>
      <c r="CE183" s="1">
        <f t="shared" ca="1" si="170"/>
        <v>0.96349946934310016</v>
      </c>
      <c r="CF183" s="1">
        <f t="shared" ca="1" si="170"/>
        <v>0.929935285093338</v>
      </c>
      <c r="CH183" s="3">
        <f t="shared" ca="1" si="162"/>
        <v>0.29631142083237683</v>
      </c>
      <c r="CI183" s="3">
        <f t="shared" ca="1" si="163"/>
        <v>0.45165158595425381</v>
      </c>
      <c r="CJ183" s="3">
        <f t="shared" ca="1" si="164"/>
        <v>260</v>
      </c>
      <c r="CK183" s="3">
        <f t="shared" ca="1" si="165"/>
        <v>2.6954176556747258E-3</v>
      </c>
      <c r="CL183" s="3">
        <f t="shared" ca="1" si="166"/>
        <v>1</v>
      </c>
      <c r="CM183" s="3"/>
      <c r="CN183" s="1">
        <f t="shared" ca="1" si="167"/>
        <v>6.6548121810138339</v>
      </c>
      <c r="CO183" s="1">
        <f t="shared" ca="1" si="168"/>
        <v>0.43251451194411411</v>
      </c>
      <c r="CP183" s="1">
        <f t="shared" ca="1" si="169"/>
        <v>2</v>
      </c>
    </row>
    <row r="184" spans="2:94" x14ac:dyDescent="0.25">
      <c r="B184">
        <f t="shared" ca="1" si="114"/>
        <v>514</v>
      </c>
      <c r="C184">
        <f t="shared" ca="1" si="115"/>
        <v>29</v>
      </c>
      <c r="D184">
        <f t="shared" ca="1" si="116"/>
        <v>7.8665954800329396E-2</v>
      </c>
      <c r="F184" s="1">
        <f t="shared" ca="1" si="117"/>
        <v>45</v>
      </c>
      <c r="G184" s="1">
        <f t="shared" ca="1" si="118"/>
        <v>18</v>
      </c>
      <c r="H184" s="1">
        <f t="shared" ca="1" si="119"/>
        <v>2</v>
      </c>
      <c r="I184" s="1"/>
      <c r="J184" s="1">
        <f t="shared" ca="1" si="120"/>
        <v>34</v>
      </c>
      <c r="K184" s="1">
        <f t="shared" ca="1" si="121"/>
        <v>1.7837796703256568</v>
      </c>
      <c r="L184" s="1">
        <f t="shared" ca="1" si="122"/>
        <v>13</v>
      </c>
      <c r="M184" s="1"/>
      <c r="N184" s="1">
        <f t="shared" ca="1" si="123"/>
        <v>919</v>
      </c>
      <c r="O184" s="1">
        <f t="shared" ca="1" si="124"/>
        <v>3</v>
      </c>
      <c r="P184" s="1"/>
      <c r="Q184" s="1">
        <f t="shared" ca="1" si="125"/>
        <v>3.354329823044226</v>
      </c>
      <c r="R184" s="1">
        <f t="shared" ca="1" si="126"/>
        <v>779</v>
      </c>
      <c r="S184" s="1"/>
      <c r="T184" s="1">
        <f t="shared" ca="1" si="127"/>
        <v>0.18056353266230554</v>
      </c>
      <c r="U184" s="1">
        <f t="shared" ca="1" si="128"/>
        <v>314</v>
      </c>
      <c r="V184" s="1">
        <f t="shared" ca="1" si="129"/>
        <v>20</v>
      </c>
      <c r="W184" s="1"/>
      <c r="X184" s="1">
        <f t="shared" ca="1" si="130"/>
        <v>2.1559103176731615</v>
      </c>
      <c r="Y184" s="1">
        <f t="shared" ca="1" si="131"/>
        <v>0.35872531044630307</v>
      </c>
      <c r="Z184" s="1">
        <f t="shared" ca="1" si="132"/>
        <v>1914</v>
      </c>
      <c r="AB184" s="1">
        <f t="shared" ca="1" si="133"/>
        <v>0.16930034097865759</v>
      </c>
      <c r="AC184" s="1">
        <f t="shared" ca="1" si="134"/>
        <v>925</v>
      </c>
      <c r="AD184" s="1">
        <f t="shared" ca="1" si="135"/>
        <v>7.3701259525667797E-3</v>
      </c>
      <c r="AE184" s="1"/>
      <c r="AF184" s="1">
        <f t="shared" ca="1" si="136"/>
        <v>0.74476684042756791</v>
      </c>
      <c r="AG184" s="1">
        <f t="shared" ca="1" si="137"/>
        <v>551</v>
      </c>
      <c r="AH184" s="1">
        <f t="shared" ca="1" si="138"/>
        <v>7.2817212107651093E-4</v>
      </c>
      <c r="AJ184" s="1">
        <f t="shared" ca="1" si="139"/>
        <v>0.22870217100941437</v>
      </c>
      <c r="AK184" s="1">
        <f t="shared" ca="1" si="140"/>
        <v>7.6198906962915494E-3</v>
      </c>
      <c r="AL184" s="1"/>
      <c r="AM184" s="1">
        <f t="shared" ca="1" si="141"/>
        <v>9.3093877262094726E-2</v>
      </c>
      <c r="AN184" s="1">
        <f t="shared" ca="1" si="142"/>
        <v>17</v>
      </c>
      <c r="AO184" s="1">
        <f t="shared" ca="1" si="143"/>
        <v>12</v>
      </c>
      <c r="AQ184" s="1">
        <f t="shared" ca="1" si="144"/>
        <v>97</v>
      </c>
      <c r="AR184" s="1">
        <f t="shared" ca="1" si="145"/>
        <v>10</v>
      </c>
      <c r="AS184" s="1">
        <f t="shared" ca="1" si="146"/>
        <v>6</v>
      </c>
      <c r="AU184" s="1">
        <f t="shared" ca="1" si="147"/>
        <v>368</v>
      </c>
      <c r="AV184" s="1">
        <f t="shared" ca="1" si="148"/>
        <v>6</v>
      </c>
      <c r="AW184" s="1">
        <f t="shared" ca="1" si="149"/>
        <v>0.15019918673206703</v>
      </c>
      <c r="AY184" s="1">
        <f t="shared" ca="1" si="150"/>
        <v>1.8591046550889554</v>
      </c>
      <c r="AZ184" s="1">
        <f t="shared" ca="1" si="151"/>
        <v>50</v>
      </c>
      <c r="BA184" s="1">
        <f t="shared" ca="1" si="152"/>
        <v>1.6724366242296888E-4</v>
      </c>
      <c r="BV184" s="1">
        <f t="shared" ca="1" si="153"/>
        <v>0.14089474127870386</v>
      </c>
      <c r="BW184" s="1">
        <f t="shared" ca="1" si="154"/>
        <v>321</v>
      </c>
      <c r="BX184" s="1">
        <f t="shared" ca="1" si="155"/>
        <v>7.7759118130374819E-3</v>
      </c>
      <c r="BY184" s="1">
        <f t="shared" ca="1" si="156"/>
        <v>8.8777224625948115E-2</v>
      </c>
      <c r="BZ184" s="1">
        <f t="shared" ca="1" si="157"/>
        <v>0.32546731816670682</v>
      </c>
      <c r="CB184" s="1">
        <f t="shared" ca="1" si="158"/>
        <v>437</v>
      </c>
      <c r="CC184" s="1">
        <f t="shared" ca="1" si="159"/>
        <v>6</v>
      </c>
      <c r="CD184" s="1">
        <f t="shared" ca="1" si="160"/>
        <v>0.13608851110861792</v>
      </c>
      <c r="CE184" s="1">
        <f t="shared" ca="1" si="170"/>
        <v>0.5637273500812483</v>
      </c>
      <c r="CF184" s="1">
        <f t="shared" ca="1" si="170"/>
        <v>0.99261077537189035</v>
      </c>
      <c r="CH184" s="3">
        <f t="shared" ca="1" si="162"/>
        <v>0.22874318010654868</v>
      </c>
      <c r="CI184" s="3">
        <f t="shared" ca="1" si="163"/>
        <v>0.87848503072230943</v>
      </c>
      <c r="CJ184" s="3">
        <f t="shared" ca="1" si="164"/>
        <v>635</v>
      </c>
      <c r="CK184" s="3">
        <f t="shared" ca="1" si="165"/>
        <v>7.0325359737390134E-3</v>
      </c>
      <c r="CL184" s="3">
        <f t="shared" ca="1" si="166"/>
        <v>1</v>
      </c>
      <c r="CM184" s="3"/>
      <c r="CN184" s="1">
        <f t="shared" ca="1" si="167"/>
        <v>6.1835619643767643</v>
      </c>
      <c r="CO184" s="1">
        <f t="shared" ca="1" si="168"/>
        <v>0.20528897173424401</v>
      </c>
      <c r="CP184" s="1">
        <f t="shared" ca="1" si="169"/>
        <v>3</v>
      </c>
    </row>
    <row r="185" spans="2:94" x14ac:dyDescent="0.25">
      <c r="B185">
        <f t="shared" ca="1" si="114"/>
        <v>286</v>
      </c>
      <c r="C185">
        <f t="shared" ca="1" si="115"/>
        <v>2</v>
      </c>
      <c r="D185">
        <f t="shared" ca="1" si="116"/>
        <v>0.1191153249633517</v>
      </c>
      <c r="F185" s="1">
        <f t="shared" ca="1" si="117"/>
        <v>22</v>
      </c>
      <c r="G185" s="1">
        <f t="shared" ca="1" si="118"/>
        <v>29</v>
      </c>
      <c r="H185" s="1">
        <f t="shared" ca="1" si="119"/>
        <v>1</v>
      </c>
      <c r="I185" s="1"/>
      <c r="J185" s="1">
        <f t="shared" ca="1" si="120"/>
        <v>7</v>
      </c>
      <c r="K185" s="1">
        <f t="shared" ca="1" si="121"/>
        <v>1.3729147515148481</v>
      </c>
      <c r="L185" s="1">
        <f t="shared" ca="1" si="122"/>
        <v>7</v>
      </c>
      <c r="M185" s="1"/>
      <c r="N185" s="1">
        <f t="shared" ca="1" si="123"/>
        <v>84</v>
      </c>
      <c r="O185" s="1">
        <f t="shared" ca="1" si="124"/>
        <v>2</v>
      </c>
      <c r="P185" s="1"/>
      <c r="Q185" s="1">
        <f t="shared" ca="1" si="125"/>
        <v>4.0946582968844289</v>
      </c>
      <c r="R185" s="1">
        <f t="shared" ca="1" si="126"/>
        <v>374</v>
      </c>
      <c r="S185" s="1"/>
      <c r="T185" s="1">
        <f t="shared" ca="1" si="127"/>
        <v>0.15153193853720032</v>
      </c>
      <c r="U185" s="1">
        <f t="shared" ca="1" si="128"/>
        <v>76</v>
      </c>
      <c r="V185" s="1">
        <f t="shared" ca="1" si="129"/>
        <v>9</v>
      </c>
      <c r="W185" s="1"/>
      <c r="X185" s="1">
        <f t="shared" ca="1" si="130"/>
        <v>2.7592477055663323</v>
      </c>
      <c r="Y185" s="1">
        <f t="shared" ca="1" si="131"/>
        <v>0.58030106513677271</v>
      </c>
      <c r="Z185" s="1">
        <f t="shared" ca="1" si="132"/>
        <v>126</v>
      </c>
      <c r="AB185" s="1">
        <f t="shared" ca="1" si="133"/>
        <v>0.76096800568069167</v>
      </c>
      <c r="AC185" s="1">
        <f t="shared" ca="1" si="134"/>
        <v>107</v>
      </c>
      <c r="AD185" s="1">
        <f t="shared" ca="1" si="135"/>
        <v>9.1069914016321911E-3</v>
      </c>
      <c r="AE185" s="1"/>
      <c r="AF185" s="1">
        <f t="shared" ca="1" si="136"/>
        <v>0.16763126582325666</v>
      </c>
      <c r="AG185" s="1">
        <f t="shared" ca="1" si="137"/>
        <v>272</v>
      </c>
      <c r="AH185" s="1">
        <f t="shared" ca="1" si="138"/>
        <v>5.2553144066841929E-3</v>
      </c>
      <c r="AJ185" s="1">
        <f t="shared" ca="1" si="139"/>
        <v>0.93418539168338566</v>
      </c>
      <c r="AK185" s="1">
        <f t="shared" ca="1" si="140"/>
        <v>5.0352443054796818E-3</v>
      </c>
      <c r="AL185" s="1"/>
      <c r="AM185" s="1">
        <f t="shared" ca="1" si="141"/>
        <v>9.3108248347447478E-2</v>
      </c>
      <c r="AN185" s="1">
        <f t="shared" ca="1" si="142"/>
        <v>34</v>
      </c>
      <c r="AO185" s="1">
        <f t="shared" ca="1" si="143"/>
        <v>16</v>
      </c>
      <c r="AQ185" s="1">
        <f t="shared" ca="1" si="144"/>
        <v>50</v>
      </c>
      <c r="AR185" s="1">
        <f t="shared" ca="1" si="145"/>
        <v>3</v>
      </c>
      <c r="AS185" s="1">
        <f t="shared" ca="1" si="146"/>
        <v>63</v>
      </c>
      <c r="AU185" s="1">
        <f t="shared" ca="1" si="147"/>
        <v>322</v>
      </c>
      <c r="AV185" s="1">
        <f t="shared" ca="1" si="148"/>
        <v>3</v>
      </c>
      <c r="AW185" s="1">
        <f t="shared" ca="1" si="149"/>
        <v>0.14815834053244004</v>
      </c>
      <c r="AY185" s="1">
        <f t="shared" ca="1" si="150"/>
        <v>1.7788936141616181</v>
      </c>
      <c r="AZ185" s="1">
        <f t="shared" ca="1" si="151"/>
        <v>384</v>
      </c>
      <c r="BA185" s="1">
        <f t="shared" ca="1" si="152"/>
        <v>7.5376821535948421E-3</v>
      </c>
      <c r="BV185" s="1">
        <f t="shared" ca="1" si="153"/>
        <v>0.86450680887786002</v>
      </c>
      <c r="BW185" s="1">
        <f t="shared" ca="1" si="154"/>
        <v>716</v>
      </c>
      <c r="BX185" s="1">
        <f t="shared" ca="1" si="155"/>
        <v>2.6207728950438367E-3</v>
      </c>
      <c r="BY185" s="1">
        <f t="shared" ca="1" si="156"/>
        <v>8.8914492629609737E-2</v>
      </c>
      <c r="BZ185" s="1">
        <f t="shared" ca="1" si="157"/>
        <v>0.50606693809480874</v>
      </c>
      <c r="CB185" s="1">
        <f t="shared" ca="1" si="158"/>
        <v>169</v>
      </c>
      <c r="CC185" s="1">
        <f t="shared" ca="1" si="159"/>
        <v>7</v>
      </c>
      <c r="CD185" s="1">
        <f t="shared" ca="1" si="160"/>
        <v>0.25008500211590567</v>
      </c>
      <c r="CE185" s="1">
        <f t="shared" ca="1" si="170"/>
        <v>0.58667362048993887</v>
      </c>
      <c r="CF185" s="1">
        <f t="shared" ca="1" si="170"/>
        <v>0.81980097079422443</v>
      </c>
      <c r="CH185" s="3">
        <f t="shared" ca="1" si="162"/>
        <v>0.52570264527599897</v>
      </c>
      <c r="CI185" s="3">
        <f t="shared" ca="1" si="163"/>
        <v>0.19809189695529067</v>
      </c>
      <c r="CJ185" s="3">
        <f t="shared" ca="1" si="164"/>
        <v>1979</v>
      </c>
      <c r="CK185" s="3">
        <f t="shared" ca="1" si="165"/>
        <v>8.7252356799716931E-3</v>
      </c>
      <c r="CL185" s="3">
        <f t="shared" ca="1" si="166"/>
        <v>1</v>
      </c>
      <c r="CM185" s="3"/>
      <c r="CN185" s="1">
        <f t="shared" ca="1" si="167"/>
        <v>18.067043432909685</v>
      </c>
      <c r="CO185" s="1">
        <f t="shared" ca="1" si="168"/>
        <v>0.27904393894881008</v>
      </c>
      <c r="CP185" s="1">
        <f t="shared" ca="1" si="169"/>
        <v>5</v>
      </c>
    </row>
    <row r="186" spans="2:94" x14ac:dyDescent="0.25">
      <c r="B186">
        <f t="shared" ca="1" si="114"/>
        <v>788</v>
      </c>
      <c r="C186">
        <f t="shared" ca="1" si="115"/>
        <v>9</v>
      </c>
      <c r="D186">
        <f t="shared" ca="1" si="116"/>
        <v>3.0189613176593341E-2</v>
      </c>
      <c r="F186" s="1">
        <f t="shared" ca="1" si="117"/>
        <v>35</v>
      </c>
      <c r="G186" s="1">
        <f t="shared" ca="1" si="118"/>
        <v>3</v>
      </c>
      <c r="H186" s="1">
        <f t="shared" ca="1" si="119"/>
        <v>3</v>
      </c>
      <c r="I186" s="1"/>
      <c r="J186" s="1">
        <f t="shared" ca="1" si="120"/>
        <v>36</v>
      </c>
      <c r="K186" s="1">
        <f t="shared" ca="1" si="121"/>
        <v>1.7408278022770554</v>
      </c>
      <c r="L186" s="1">
        <f t="shared" ca="1" si="122"/>
        <v>10</v>
      </c>
      <c r="M186" s="1"/>
      <c r="N186" s="1">
        <f t="shared" ca="1" si="123"/>
        <v>539</v>
      </c>
      <c r="O186" s="1">
        <f t="shared" ca="1" si="124"/>
        <v>22</v>
      </c>
      <c r="P186" s="1"/>
      <c r="Q186" s="1">
        <f t="shared" ca="1" si="125"/>
        <v>3.6411754711390776</v>
      </c>
      <c r="R186" s="1">
        <f t="shared" ca="1" si="126"/>
        <v>710</v>
      </c>
      <c r="S186" s="1"/>
      <c r="T186" s="1">
        <f t="shared" ca="1" si="127"/>
        <v>0.13385448435566383</v>
      </c>
      <c r="U186" s="1">
        <f t="shared" ca="1" si="128"/>
        <v>237</v>
      </c>
      <c r="V186" s="1">
        <f t="shared" ca="1" si="129"/>
        <v>43</v>
      </c>
      <c r="W186" s="1"/>
      <c r="X186" s="1">
        <f t="shared" ca="1" si="130"/>
        <v>0.26930197647051624</v>
      </c>
      <c r="Y186" s="1">
        <f t="shared" ca="1" si="131"/>
        <v>0.50565336805737415</v>
      </c>
      <c r="Z186" s="1">
        <f t="shared" ca="1" si="132"/>
        <v>117</v>
      </c>
      <c r="AB186" s="1">
        <f t="shared" ca="1" si="133"/>
        <v>0.69986398268247219</v>
      </c>
      <c r="AC186" s="1">
        <f t="shared" ca="1" si="134"/>
        <v>739</v>
      </c>
      <c r="AD186" s="1">
        <f t="shared" ca="1" si="135"/>
        <v>7.0462323014446812E-3</v>
      </c>
      <c r="AE186" s="1"/>
      <c r="AF186" s="1">
        <f t="shared" ca="1" si="136"/>
        <v>0.35095201346608207</v>
      </c>
      <c r="AG186" s="1">
        <f t="shared" ca="1" si="137"/>
        <v>639</v>
      </c>
      <c r="AH186" s="1">
        <f t="shared" ca="1" si="138"/>
        <v>8.3080942117205671E-4</v>
      </c>
      <c r="AJ186" s="1">
        <f t="shared" ca="1" si="139"/>
        <v>0.48690400672919676</v>
      </c>
      <c r="AK186" s="1">
        <f t="shared" ca="1" si="140"/>
        <v>1.0111095081599612E-3</v>
      </c>
      <c r="AL186" s="1"/>
      <c r="AM186" s="1">
        <f t="shared" ca="1" si="141"/>
        <v>6.0365568681929292E-2</v>
      </c>
      <c r="AN186" s="1">
        <f t="shared" ca="1" si="142"/>
        <v>55</v>
      </c>
      <c r="AO186" s="1">
        <f t="shared" ca="1" si="143"/>
        <v>9</v>
      </c>
      <c r="AQ186" s="1">
        <f t="shared" ca="1" si="144"/>
        <v>179</v>
      </c>
      <c r="AR186" s="1">
        <f t="shared" ca="1" si="145"/>
        <v>2</v>
      </c>
      <c r="AS186" s="1">
        <f t="shared" ca="1" si="146"/>
        <v>34</v>
      </c>
      <c r="AU186" s="1">
        <f t="shared" ca="1" si="147"/>
        <v>108</v>
      </c>
      <c r="AV186" s="1">
        <f t="shared" ca="1" si="148"/>
        <v>10</v>
      </c>
      <c r="AW186" s="1">
        <f t="shared" ca="1" si="149"/>
        <v>8.8957316605639436E-2</v>
      </c>
      <c r="AY186" s="1">
        <f t="shared" ca="1" si="150"/>
        <v>1.9889769141909934</v>
      </c>
      <c r="AZ186" s="1">
        <f t="shared" ca="1" si="151"/>
        <v>125</v>
      </c>
      <c r="BA186" s="1">
        <f t="shared" ca="1" si="152"/>
        <v>2.5501526706846098E-3</v>
      </c>
      <c r="BV186" s="1">
        <f t="shared" ca="1" si="153"/>
        <v>0.67462122070549801</v>
      </c>
      <c r="BW186" s="1">
        <f t="shared" ca="1" si="154"/>
        <v>943</v>
      </c>
      <c r="BX186" s="1">
        <f t="shared" ca="1" si="155"/>
        <v>4.3882798698824518E-3</v>
      </c>
      <c r="BY186" s="1">
        <f t="shared" ca="1" si="156"/>
        <v>7.6394439464459077E-2</v>
      </c>
      <c r="BZ186" s="1">
        <f t="shared" ca="1" si="157"/>
        <v>0.59983885677869042</v>
      </c>
      <c r="CB186" s="1">
        <f t="shared" ca="1" si="158"/>
        <v>287</v>
      </c>
      <c r="CC186" s="1">
        <f t="shared" ca="1" si="159"/>
        <v>12</v>
      </c>
      <c r="CD186" s="1">
        <f t="shared" ca="1" si="160"/>
        <v>0.25763908579549927</v>
      </c>
      <c r="CE186" s="1">
        <f t="shared" ca="1" si="170"/>
        <v>0.9217329771814553</v>
      </c>
      <c r="CF186" s="1">
        <f t="shared" ca="1" si="170"/>
        <v>0.56634601027402887</v>
      </c>
      <c r="CH186" s="3">
        <f t="shared" ca="1" si="162"/>
        <v>0.64097536459210236</v>
      </c>
      <c r="CI186" s="3">
        <f t="shared" ca="1" si="163"/>
        <v>0.29239653964446166</v>
      </c>
      <c r="CJ186" s="3">
        <f t="shared" ca="1" si="164"/>
        <v>1370</v>
      </c>
      <c r="CK186" s="3">
        <f t="shared" ca="1" si="165"/>
        <v>4.0186489275597153E-3</v>
      </c>
      <c r="CL186" s="3">
        <f t="shared" ca="1" si="166"/>
        <v>1</v>
      </c>
      <c r="CM186" s="3"/>
      <c r="CN186" s="1">
        <f t="shared" ca="1" si="167"/>
        <v>7.0902658665593083</v>
      </c>
      <c r="CO186" s="1">
        <f t="shared" ca="1" si="168"/>
        <v>0.12703019340580424</v>
      </c>
      <c r="CP186" s="1">
        <f t="shared" ca="1" si="169"/>
        <v>1</v>
      </c>
    </row>
    <row r="187" spans="2:94" x14ac:dyDescent="0.25">
      <c r="B187">
        <f t="shared" ca="1" si="114"/>
        <v>937</v>
      </c>
      <c r="C187">
        <f t="shared" ca="1" si="115"/>
        <v>27</v>
      </c>
      <c r="D187">
        <f t="shared" ca="1" si="116"/>
        <v>0.15543675714364918</v>
      </c>
      <c r="F187" s="1">
        <f t="shared" ca="1" si="117"/>
        <v>13</v>
      </c>
      <c r="G187" s="1">
        <f t="shared" ca="1" si="118"/>
        <v>6</v>
      </c>
      <c r="H187" s="1">
        <f t="shared" ca="1" si="119"/>
        <v>10</v>
      </c>
      <c r="I187" s="1"/>
      <c r="J187" s="1">
        <f t="shared" ca="1" si="120"/>
        <v>4</v>
      </c>
      <c r="K187" s="1">
        <f t="shared" ca="1" si="121"/>
        <v>2.5799431503698944</v>
      </c>
      <c r="L187" s="1">
        <f t="shared" ca="1" si="122"/>
        <v>5</v>
      </c>
      <c r="M187" s="1"/>
      <c r="N187" s="1">
        <f t="shared" ca="1" si="123"/>
        <v>689</v>
      </c>
      <c r="O187" s="1">
        <f t="shared" ca="1" si="124"/>
        <v>8</v>
      </c>
      <c r="P187" s="1"/>
      <c r="Q187" s="1">
        <f t="shared" ca="1" si="125"/>
        <v>0.26376393828850692</v>
      </c>
      <c r="R187" s="1">
        <f t="shared" ca="1" si="126"/>
        <v>796</v>
      </c>
      <c r="S187" s="1"/>
      <c r="T187" s="1">
        <f t="shared" ca="1" si="127"/>
        <v>0.1620491228038661</v>
      </c>
      <c r="U187" s="1">
        <f t="shared" ca="1" si="128"/>
        <v>94</v>
      </c>
      <c r="V187" s="1">
        <f t="shared" ca="1" si="129"/>
        <v>47</v>
      </c>
      <c r="W187" s="1"/>
      <c r="X187" s="1">
        <f t="shared" ca="1" si="130"/>
        <v>2.1864950117488227</v>
      </c>
      <c r="Y187" s="1">
        <f t="shared" ca="1" si="131"/>
        <v>0.66586184865236409</v>
      </c>
      <c r="Z187" s="1">
        <f t="shared" ca="1" si="132"/>
        <v>826</v>
      </c>
      <c r="AB187" s="1">
        <f t="shared" ca="1" si="133"/>
        <v>0.82152264513012507</v>
      </c>
      <c r="AC187" s="1">
        <f t="shared" ca="1" si="134"/>
        <v>183</v>
      </c>
      <c r="AD187" s="1">
        <f t="shared" ca="1" si="135"/>
        <v>6.9021570303167438E-3</v>
      </c>
      <c r="AE187" s="1"/>
      <c r="AF187" s="1">
        <f t="shared" ca="1" si="136"/>
        <v>0.82036721364044596</v>
      </c>
      <c r="AG187" s="1">
        <f t="shared" ca="1" si="137"/>
        <v>636</v>
      </c>
      <c r="AH187" s="1">
        <f t="shared" ca="1" si="138"/>
        <v>4.4147419755949093E-3</v>
      </c>
      <c r="AJ187" s="1">
        <f t="shared" ca="1" si="139"/>
        <v>0.11504876989307578</v>
      </c>
      <c r="AK187" s="1">
        <f t="shared" ca="1" si="140"/>
        <v>9.8449692516298995E-3</v>
      </c>
      <c r="AL187" s="1"/>
      <c r="AM187" s="1">
        <f t="shared" ca="1" si="141"/>
        <v>4.53821979516289E-2</v>
      </c>
      <c r="AN187" s="1">
        <f t="shared" ca="1" si="142"/>
        <v>69</v>
      </c>
      <c r="AO187" s="1">
        <f t="shared" ca="1" si="143"/>
        <v>6</v>
      </c>
      <c r="AQ187" s="1">
        <f t="shared" ca="1" si="144"/>
        <v>187</v>
      </c>
      <c r="AR187" s="1">
        <f t="shared" ca="1" si="145"/>
        <v>0</v>
      </c>
      <c r="AS187" s="1">
        <f t="shared" ca="1" si="146"/>
        <v>70</v>
      </c>
      <c r="AU187" s="1">
        <f t="shared" ca="1" si="147"/>
        <v>394</v>
      </c>
      <c r="AV187" s="1">
        <f t="shared" ca="1" si="148"/>
        <v>5</v>
      </c>
      <c r="AW187" s="1">
        <f t="shared" ca="1" si="149"/>
        <v>1.1341496869905774E-2</v>
      </c>
      <c r="AY187" s="1">
        <f t="shared" ca="1" si="150"/>
        <v>1.5105569842835795</v>
      </c>
      <c r="AZ187" s="1">
        <f t="shared" ca="1" si="151"/>
        <v>459</v>
      </c>
      <c r="BA187" s="1">
        <f t="shared" ca="1" si="152"/>
        <v>8.6395083532147708E-4</v>
      </c>
      <c r="BV187" s="1">
        <f t="shared" ca="1" si="153"/>
        <v>0.9061689902484199</v>
      </c>
      <c r="BW187" s="1">
        <f t="shared" ca="1" si="154"/>
        <v>829</v>
      </c>
      <c r="BX187" s="1">
        <f t="shared" ca="1" si="155"/>
        <v>4.6558028904453863E-4</v>
      </c>
      <c r="BY187" s="1">
        <f t="shared" ca="1" si="156"/>
        <v>7.5338701442812628E-2</v>
      </c>
      <c r="BZ187" s="1">
        <f t="shared" ca="1" si="157"/>
        <v>0.78982809320377589</v>
      </c>
      <c r="CB187" s="1">
        <f t="shared" ca="1" si="158"/>
        <v>51</v>
      </c>
      <c r="CC187" s="1">
        <f t="shared" ca="1" si="159"/>
        <v>5</v>
      </c>
      <c r="CD187" s="1">
        <f t="shared" ca="1" si="160"/>
        <v>9.6138777508513587E-2</v>
      </c>
      <c r="CE187" s="1">
        <f t="shared" ca="1" si="170"/>
        <v>0.6273000179499213</v>
      </c>
      <c r="CF187" s="1">
        <f t="shared" ca="1" si="170"/>
        <v>0.68936752614156238</v>
      </c>
      <c r="CH187" s="3">
        <f t="shared" ca="1" si="162"/>
        <v>0.32301158217772646</v>
      </c>
      <c r="CI187" s="3">
        <f t="shared" ca="1" si="163"/>
        <v>1.2057885339287209E-2</v>
      </c>
      <c r="CJ187" s="3">
        <f t="shared" ca="1" si="164"/>
        <v>370</v>
      </c>
      <c r="CK187" s="3">
        <f t="shared" ca="1" si="165"/>
        <v>9.1633523614765844E-3</v>
      </c>
      <c r="CL187" s="3">
        <f t="shared" ca="1" si="166"/>
        <v>1</v>
      </c>
      <c r="CM187" s="3"/>
      <c r="CN187" s="1">
        <f t="shared" ca="1" si="167"/>
        <v>7.8557664558431286</v>
      </c>
      <c r="CO187" s="1">
        <f t="shared" ca="1" si="168"/>
        <v>0.28444854813212544</v>
      </c>
      <c r="CP187" s="1">
        <f t="shared" ca="1" si="169"/>
        <v>1</v>
      </c>
    </row>
    <row r="188" spans="2:94" x14ac:dyDescent="0.25">
      <c r="B188">
        <f t="shared" ca="1" si="114"/>
        <v>644</v>
      </c>
      <c r="C188">
        <f t="shared" ca="1" si="115"/>
        <v>6</v>
      </c>
      <c r="D188">
        <f t="shared" ca="1" si="116"/>
        <v>0.14002815154714454</v>
      </c>
      <c r="F188" s="1">
        <f t="shared" ca="1" si="117"/>
        <v>42</v>
      </c>
      <c r="G188" s="1">
        <f t="shared" ca="1" si="118"/>
        <v>4</v>
      </c>
      <c r="H188" s="1">
        <f t="shared" ca="1" si="119"/>
        <v>9</v>
      </c>
      <c r="I188" s="1"/>
      <c r="J188" s="1">
        <f t="shared" ca="1" si="120"/>
        <v>13</v>
      </c>
      <c r="K188" s="1">
        <f t="shared" ca="1" si="121"/>
        <v>2.8459061610360807</v>
      </c>
      <c r="L188" s="1">
        <f t="shared" ca="1" si="122"/>
        <v>2</v>
      </c>
      <c r="M188" s="1"/>
      <c r="N188" s="1">
        <f t="shared" ca="1" si="123"/>
        <v>96</v>
      </c>
      <c r="O188" s="1">
        <f t="shared" ca="1" si="124"/>
        <v>14</v>
      </c>
      <c r="P188" s="1"/>
      <c r="Q188" s="1">
        <f t="shared" ca="1" si="125"/>
        <v>2.5436097785576308</v>
      </c>
      <c r="R188" s="1">
        <f t="shared" ca="1" si="126"/>
        <v>284</v>
      </c>
      <c r="S188" s="1"/>
      <c r="T188" s="1">
        <f t="shared" ca="1" si="127"/>
        <v>0.10599975115715175</v>
      </c>
      <c r="U188" s="1">
        <f t="shared" ca="1" si="128"/>
        <v>383</v>
      </c>
      <c r="V188" s="1">
        <f t="shared" ca="1" si="129"/>
        <v>10</v>
      </c>
      <c r="W188" s="1"/>
      <c r="X188" s="1">
        <f t="shared" ca="1" si="130"/>
        <v>5.7372202680152453</v>
      </c>
      <c r="Y188" s="1">
        <f t="shared" ca="1" si="131"/>
        <v>0.7513064869533107</v>
      </c>
      <c r="Z188" s="1">
        <f t="shared" ca="1" si="132"/>
        <v>1982</v>
      </c>
      <c r="AB188" s="1">
        <f t="shared" ca="1" si="133"/>
        <v>0.8957038558827185</v>
      </c>
      <c r="AC188" s="1">
        <f t="shared" ca="1" si="134"/>
        <v>248</v>
      </c>
      <c r="AD188" s="1">
        <f t="shared" ca="1" si="135"/>
        <v>5.0608018746614216E-3</v>
      </c>
      <c r="AE188" s="1"/>
      <c r="AF188" s="1">
        <f t="shared" ca="1" si="136"/>
        <v>0.33868917541615284</v>
      </c>
      <c r="AG188" s="1">
        <f t="shared" ca="1" si="137"/>
        <v>852</v>
      </c>
      <c r="AH188" s="1">
        <f t="shared" ca="1" si="138"/>
        <v>1.6678222449815932E-4</v>
      </c>
      <c r="AJ188" s="1">
        <f t="shared" ca="1" si="139"/>
        <v>0.96230400899264812</v>
      </c>
      <c r="AK188" s="1">
        <f t="shared" ca="1" si="140"/>
        <v>6.3320624522738862E-3</v>
      </c>
      <c r="AL188" s="1"/>
      <c r="AM188" s="1">
        <f t="shared" ca="1" si="141"/>
        <v>0.10575771376551805</v>
      </c>
      <c r="AN188" s="1">
        <f t="shared" ca="1" si="142"/>
        <v>62</v>
      </c>
      <c r="AO188" s="1">
        <f t="shared" ca="1" si="143"/>
        <v>14</v>
      </c>
      <c r="AQ188" s="1">
        <f t="shared" ca="1" si="144"/>
        <v>67</v>
      </c>
      <c r="AR188" s="1">
        <f t="shared" ca="1" si="145"/>
        <v>5</v>
      </c>
      <c r="AS188" s="1">
        <f t="shared" ca="1" si="146"/>
        <v>99</v>
      </c>
      <c r="AU188" s="1">
        <f t="shared" ca="1" si="147"/>
        <v>131</v>
      </c>
      <c r="AV188" s="1">
        <f t="shared" ca="1" si="148"/>
        <v>7</v>
      </c>
      <c r="AW188" s="1">
        <f t="shared" ca="1" si="149"/>
        <v>2.8370850325481978E-2</v>
      </c>
      <c r="AY188" s="1">
        <f t="shared" ca="1" si="150"/>
        <v>1.742311448570274</v>
      </c>
      <c r="AZ188" s="1">
        <f t="shared" ca="1" si="151"/>
        <v>67</v>
      </c>
      <c r="BA188" s="1">
        <f t="shared" ca="1" si="152"/>
        <v>2.3262812706654587E-3</v>
      </c>
      <c r="BV188" s="1">
        <f t="shared" ca="1" si="153"/>
        <v>0.41147493982184441</v>
      </c>
      <c r="BW188" s="1">
        <f t="shared" ca="1" si="154"/>
        <v>333</v>
      </c>
      <c r="BX188" s="1">
        <f t="shared" ca="1" si="155"/>
        <v>8.1896317854958985E-3</v>
      </c>
      <c r="BY188" s="1">
        <f t="shared" ca="1" si="156"/>
        <v>6.03692564478961E-3</v>
      </c>
      <c r="BZ188" s="1">
        <f t="shared" ca="1" si="157"/>
        <v>4.9581608467560323E-2</v>
      </c>
      <c r="CB188" s="1">
        <f t="shared" ca="1" si="158"/>
        <v>306</v>
      </c>
      <c r="CC188" s="1">
        <f t="shared" ca="1" si="159"/>
        <v>11</v>
      </c>
      <c r="CD188" s="1">
        <f t="shared" ca="1" si="160"/>
        <v>0.21461224137209672</v>
      </c>
      <c r="CE188" s="1">
        <f t="shared" ca="1" si="170"/>
        <v>0.91803877308863335</v>
      </c>
      <c r="CF188" s="1">
        <f t="shared" ca="1" si="170"/>
        <v>0.78585046872160591</v>
      </c>
      <c r="CH188" s="3">
        <f t="shared" ca="1" si="162"/>
        <v>0.6778640048505461</v>
      </c>
      <c r="CI188" s="3">
        <f t="shared" ca="1" si="163"/>
        <v>0.63879495709164724</v>
      </c>
      <c r="CJ188" s="3">
        <f t="shared" ca="1" si="164"/>
        <v>1668</v>
      </c>
      <c r="CK188" s="3">
        <f t="shared" ca="1" si="165"/>
        <v>9.3155823858395593E-3</v>
      </c>
      <c r="CL188" s="3">
        <f t="shared" ca="1" si="166"/>
        <v>0</v>
      </c>
      <c r="CM188" s="3"/>
      <c r="CN188" s="1">
        <f t="shared" ca="1" si="167"/>
        <v>14.362866824577319</v>
      </c>
      <c r="CO188" s="1">
        <f t="shared" ca="1" si="168"/>
        <v>0.48931761808569668</v>
      </c>
      <c r="CP188" s="1">
        <f t="shared" ca="1" si="169"/>
        <v>5</v>
      </c>
    </row>
    <row r="189" spans="2:94" x14ac:dyDescent="0.25">
      <c r="B189">
        <f t="shared" ca="1" si="114"/>
        <v>422</v>
      </c>
      <c r="C189">
        <f t="shared" ca="1" si="115"/>
        <v>28</v>
      </c>
      <c r="D189">
        <f t="shared" ca="1" si="116"/>
        <v>0.14972173651598789</v>
      </c>
      <c r="F189" s="1">
        <f t="shared" ca="1" si="117"/>
        <v>51</v>
      </c>
      <c r="G189" s="1">
        <f t="shared" ca="1" si="118"/>
        <v>15</v>
      </c>
      <c r="H189" s="1">
        <f t="shared" ca="1" si="119"/>
        <v>6</v>
      </c>
      <c r="I189" s="1"/>
      <c r="J189" s="1">
        <f t="shared" ca="1" si="120"/>
        <v>34</v>
      </c>
      <c r="K189" s="1">
        <f t="shared" ca="1" si="121"/>
        <v>2.8050796476924678</v>
      </c>
      <c r="L189" s="1">
        <f t="shared" ca="1" si="122"/>
        <v>28</v>
      </c>
      <c r="M189" s="1"/>
      <c r="N189" s="1">
        <f t="shared" ca="1" si="123"/>
        <v>181</v>
      </c>
      <c r="O189" s="1">
        <f t="shared" ca="1" si="124"/>
        <v>18</v>
      </c>
      <c r="P189" s="1"/>
      <c r="Q189" s="1">
        <f t="shared" ca="1" si="125"/>
        <v>3.3140821539201424</v>
      </c>
      <c r="R189" s="1">
        <f t="shared" ca="1" si="126"/>
        <v>686</v>
      </c>
      <c r="S189" s="1"/>
      <c r="T189" s="1">
        <f t="shared" ca="1" si="127"/>
        <v>0.12483183830177048</v>
      </c>
      <c r="U189" s="1">
        <f t="shared" ca="1" si="128"/>
        <v>188</v>
      </c>
      <c r="V189" s="1">
        <f t="shared" ca="1" si="129"/>
        <v>38</v>
      </c>
      <c r="W189" s="1"/>
      <c r="X189" s="1">
        <f t="shared" ca="1" si="130"/>
        <v>2.9641286388611348</v>
      </c>
      <c r="Y189" s="1">
        <f t="shared" ca="1" si="131"/>
        <v>7.8891473813194099E-2</v>
      </c>
      <c r="Z189" s="1">
        <f t="shared" ca="1" si="132"/>
        <v>1288</v>
      </c>
      <c r="AB189" s="1">
        <f t="shared" ca="1" si="133"/>
        <v>0.62540315456789464</v>
      </c>
      <c r="AC189" s="1">
        <f t="shared" ca="1" si="134"/>
        <v>205</v>
      </c>
      <c r="AD189" s="1">
        <f t="shared" ca="1" si="135"/>
        <v>6.4145890057502788E-3</v>
      </c>
      <c r="AE189" s="1"/>
      <c r="AF189" s="1">
        <f t="shared" ca="1" si="136"/>
        <v>0.31226236792076972</v>
      </c>
      <c r="AG189" s="1">
        <f t="shared" ca="1" si="137"/>
        <v>535</v>
      </c>
      <c r="AH189" s="1">
        <f t="shared" ca="1" si="138"/>
        <v>5.816723024646378E-3</v>
      </c>
      <c r="AJ189" s="1">
        <f t="shared" ca="1" si="139"/>
        <v>0.18544343716548095</v>
      </c>
      <c r="AK189" s="1">
        <f t="shared" ca="1" si="140"/>
        <v>4.401520424235002E-5</v>
      </c>
      <c r="AL189" s="1"/>
      <c r="AM189" s="1">
        <f t="shared" ca="1" si="141"/>
        <v>0.16876012103610843</v>
      </c>
      <c r="AN189" s="1">
        <f t="shared" ca="1" si="142"/>
        <v>50</v>
      </c>
      <c r="AO189" s="1">
        <f t="shared" ca="1" si="143"/>
        <v>15</v>
      </c>
      <c r="AQ189" s="1">
        <f t="shared" ca="1" si="144"/>
        <v>135</v>
      </c>
      <c r="AR189" s="1">
        <f t="shared" ca="1" si="145"/>
        <v>2</v>
      </c>
      <c r="AS189" s="1">
        <f t="shared" ca="1" si="146"/>
        <v>98</v>
      </c>
      <c r="AU189" s="1">
        <f t="shared" ca="1" si="147"/>
        <v>215</v>
      </c>
      <c r="AV189" s="1">
        <f t="shared" ca="1" si="148"/>
        <v>9</v>
      </c>
      <c r="AW189" s="1">
        <f t="shared" ca="1" si="149"/>
        <v>0.16746029563875031</v>
      </c>
      <c r="AY189" s="1">
        <f t="shared" ca="1" si="150"/>
        <v>1.1936722305982195</v>
      </c>
      <c r="AZ189" s="1">
        <f t="shared" ca="1" si="151"/>
        <v>202</v>
      </c>
      <c r="BA189" s="1">
        <f t="shared" ca="1" si="152"/>
        <v>7.0706773911188396E-3</v>
      </c>
      <c r="BV189" s="1">
        <f t="shared" ca="1" si="153"/>
        <v>0.4705085940612912</v>
      </c>
      <c r="BW189" s="1">
        <f t="shared" ca="1" si="154"/>
        <v>116</v>
      </c>
      <c r="BX189" s="1">
        <f t="shared" ca="1" si="155"/>
        <v>6.8829989856492753E-3</v>
      </c>
      <c r="BY189" s="1">
        <f t="shared" ca="1" si="156"/>
        <v>5.2024349218104386E-2</v>
      </c>
      <c r="BZ189" s="1">
        <f t="shared" ca="1" si="157"/>
        <v>0.34179502576507703</v>
      </c>
      <c r="CB189" s="1">
        <f t="shared" ca="1" si="158"/>
        <v>471</v>
      </c>
      <c r="CC189" s="1">
        <f t="shared" ca="1" si="159"/>
        <v>9</v>
      </c>
      <c r="CD189" s="1">
        <f t="shared" ca="1" si="160"/>
        <v>0.28230007230794174</v>
      </c>
      <c r="CE189" s="1">
        <f t="shared" ca="1" si="170"/>
        <v>0.77822157820345983</v>
      </c>
      <c r="CF189" s="1">
        <f t="shared" ca="1" si="170"/>
        <v>0.51392338252849934</v>
      </c>
      <c r="CH189" s="3">
        <f t="shared" ca="1" si="162"/>
        <v>0.35238389849461871</v>
      </c>
      <c r="CI189" s="3">
        <f t="shared" ca="1" si="163"/>
        <v>0.8516267631872475</v>
      </c>
      <c r="CJ189" s="3">
        <f t="shared" ca="1" si="164"/>
        <v>1632</v>
      </c>
      <c r="CK189" s="3">
        <f t="shared" ca="1" si="165"/>
        <v>6.3929720630568753E-4</v>
      </c>
      <c r="CL189" s="3">
        <f t="shared" ca="1" si="166"/>
        <v>0</v>
      </c>
      <c r="CM189" s="3"/>
      <c r="CN189" s="1">
        <f t="shared" ca="1" si="167"/>
        <v>18.321323792426981</v>
      </c>
      <c r="CO189" s="1">
        <f t="shared" ca="1" si="168"/>
        <v>0.31909865892834333</v>
      </c>
      <c r="CP189" s="1">
        <f t="shared" ca="1" si="169"/>
        <v>2</v>
      </c>
    </row>
    <row r="190" spans="2:94" x14ac:dyDescent="0.25">
      <c r="B190">
        <f t="shared" ca="1" si="114"/>
        <v>794</v>
      </c>
      <c r="C190">
        <f t="shared" ca="1" si="115"/>
        <v>10</v>
      </c>
      <c r="D190">
        <f t="shared" ca="1" si="116"/>
        <v>0.20377264910024226</v>
      </c>
      <c r="F190" s="1">
        <f t="shared" ca="1" si="117"/>
        <v>26</v>
      </c>
      <c r="G190" s="1">
        <f t="shared" ca="1" si="118"/>
        <v>12</v>
      </c>
      <c r="H190" s="1">
        <f t="shared" ca="1" si="119"/>
        <v>14</v>
      </c>
      <c r="I190" s="1"/>
      <c r="J190" s="1">
        <f t="shared" ca="1" si="120"/>
        <v>14</v>
      </c>
      <c r="K190" s="1">
        <f t="shared" ca="1" si="121"/>
        <v>2.9546345720818534</v>
      </c>
      <c r="L190" s="1">
        <f t="shared" ca="1" si="122"/>
        <v>15</v>
      </c>
      <c r="M190" s="1"/>
      <c r="N190" s="1">
        <f t="shared" ca="1" si="123"/>
        <v>182</v>
      </c>
      <c r="O190" s="1">
        <f t="shared" ca="1" si="124"/>
        <v>18</v>
      </c>
      <c r="P190" s="1"/>
      <c r="Q190" s="1">
        <f t="shared" ca="1" si="125"/>
        <v>4.9000290495903984</v>
      </c>
      <c r="R190" s="1">
        <f t="shared" ca="1" si="126"/>
        <v>239</v>
      </c>
      <c r="S190" s="1"/>
      <c r="T190" s="1">
        <f t="shared" ca="1" si="127"/>
        <v>0.12228812482746615</v>
      </c>
      <c r="U190" s="1">
        <f t="shared" ca="1" si="128"/>
        <v>117</v>
      </c>
      <c r="V190" s="1">
        <f t="shared" ca="1" si="129"/>
        <v>28</v>
      </c>
      <c r="W190" s="1"/>
      <c r="X190" s="1">
        <f t="shared" ca="1" si="130"/>
        <v>1.6642686496108654</v>
      </c>
      <c r="Y190" s="1">
        <f t="shared" ca="1" si="131"/>
        <v>0.43435842839449706</v>
      </c>
      <c r="Z190" s="1">
        <f t="shared" ca="1" si="132"/>
        <v>1402</v>
      </c>
      <c r="AB190" s="1">
        <f t="shared" ca="1" si="133"/>
        <v>2.9584751399541306E-2</v>
      </c>
      <c r="AC190" s="1">
        <f t="shared" ca="1" si="134"/>
        <v>321</v>
      </c>
      <c r="AD190" s="1">
        <f t="shared" ca="1" si="135"/>
        <v>1.137502995335463E-3</v>
      </c>
      <c r="AE190" s="1"/>
      <c r="AF190" s="1">
        <f t="shared" ca="1" si="136"/>
        <v>0.54925194065166849</v>
      </c>
      <c r="AG190" s="1">
        <f t="shared" ca="1" si="137"/>
        <v>581</v>
      </c>
      <c r="AH190" s="1">
        <f t="shared" ca="1" si="138"/>
        <v>4.9254076529462376E-3</v>
      </c>
      <c r="AJ190" s="1">
        <f t="shared" ca="1" si="139"/>
        <v>0.46321804134782241</v>
      </c>
      <c r="AK190" s="1">
        <f t="shared" ca="1" si="140"/>
        <v>1.2413152144552899E-4</v>
      </c>
      <c r="AL190" s="1"/>
      <c r="AM190" s="1">
        <f t="shared" ca="1" si="141"/>
        <v>5.330692151779013E-2</v>
      </c>
      <c r="AN190" s="1">
        <f t="shared" ca="1" si="142"/>
        <v>21</v>
      </c>
      <c r="AO190" s="1">
        <f t="shared" ca="1" si="143"/>
        <v>11</v>
      </c>
      <c r="AQ190" s="1">
        <f t="shared" ca="1" si="144"/>
        <v>13</v>
      </c>
      <c r="AR190" s="1">
        <f t="shared" ca="1" si="145"/>
        <v>10</v>
      </c>
      <c r="AS190" s="1">
        <f t="shared" ca="1" si="146"/>
        <v>76</v>
      </c>
      <c r="AU190" s="1">
        <f t="shared" ca="1" si="147"/>
        <v>140</v>
      </c>
      <c r="AV190" s="1">
        <f t="shared" ca="1" si="148"/>
        <v>9</v>
      </c>
      <c r="AW190" s="1">
        <f t="shared" ca="1" si="149"/>
        <v>7.6823418901012852E-2</v>
      </c>
      <c r="AY190" s="1">
        <f t="shared" ca="1" si="150"/>
        <v>1.425102561657551</v>
      </c>
      <c r="AZ190" s="1">
        <f t="shared" ca="1" si="151"/>
        <v>135</v>
      </c>
      <c r="BA190" s="1">
        <f t="shared" ca="1" si="152"/>
        <v>1.6740542373753383E-3</v>
      </c>
      <c r="BV190" s="1">
        <f t="shared" ca="1" si="153"/>
        <v>0.7748985819846359</v>
      </c>
      <c r="BW190" s="1">
        <f t="shared" ca="1" si="154"/>
        <v>524</v>
      </c>
      <c r="BX190" s="1">
        <f t="shared" ca="1" si="155"/>
        <v>3.6237835437840007E-3</v>
      </c>
      <c r="BY190" s="1">
        <f t="shared" ca="1" si="156"/>
        <v>8.6034389997759461E-2</v>
      </c>
      <c r="BZ190" s="1">
        <f t="shared" ca="1" si="157"/>
        <v>7.9798915670932113E-2</v>
      </c>
      <c r="CB190" s="1">
        <f t="shared" ca="1" si="158"/>
        <v>318</v>
      </c>
      <c r="CC190" s="1">
        <f t="shared" ca="1" si="159"/>
        <v>5</v>
      </c>
      <c r="CD190" s="1">
        <f t="shared" ca="1" si="160"/>
        <v>9.8880902883075522E-2</v>
      </c>
      <c r="CE190" s="1">
        <f t="shared" ca="1" si="170"/>
        <v>0.5521574937809155</v>
      </c>
      <c r="CF190" s="1">
        <f t="shared" ca="1" si="170"/>
        <v>0.81697881173188458</v>
      </c>
      <c r="CH190" s="3">
        <f t="shared" ca="1" si="162"/>
        <v>0.42757164723401758</v>
      </c>
      <c r="CI190" s="3">
        <f t="shared" ca="1" si="163"/>
        <v>0.55635423163687059</v>
      </c>
      <c r="CJ190" s="3">
        <f t="shared" ca="1" si="164"/>
        <v>685</v>
      </c>
      <c r="CK190" s="3">
        <f t="shared" ca="1" si="165"/>
        <v>2.8056501075884453E-3</v>
      </c>
      <c r="CL190" s="3">
        <f t="shared" ca="1" si="166"/>
        <v>1</v>
      </c>
      <c r="CM190" s="3"/>
      <c r="CN190" s="1">
        <f t="shared" ca="1" si="167"/>
        <v>7.9096888373671206</v>
      </c>
      <c r="CO190" s="1">
        <f t="shared" ca="1" si="168"/>
        <v>0.15977098059299241</v>
      </c>
      <c r="CP190" s="1">
        <f t="shared" ca="1" si="169"/>
        <v>5</v>
      </c>
    </row>
    <row r="191" spans="2:94" x14ac:dyDescent="0.25">
      <c r="B191">
        <f t="shared" ca="1" si="114"/>
        <v>958</v>
      </c>
      <c r="C191">
        <f t="shared" ca="1" si="115"/>
        <v>41</v>
      </c>
      <c r="D191">
        <f t="shared" ca="1" si="116"/>
        <v>0.29559600010524434</v>
      </c>
      <c r="F191" s="1">
        <f t="shared" ca="1" si="117"/>
        <v>13</v>
      </c>
      <c r="G191" s="1">
        <f t="shared" ca="1" si="118"/>
        <v>19</v>
      </c>
      <c r="H191" s="1">
        <f t="shared" ca="1" si="119"/>
        <v>8</v>
      </c>
      <c r="I191" s="1"/>
      <c r="J191" s="1">
        <f t="shared" ca="1" si="120"/>
        <v>6</v>
      </c>
      <c r="K191" s="1">
        <f t="shared" ca="1" si="121"/>
        <v>2.5638884217151068</v>
      </c>
      <c r="L191" s="1">
        <f t="shared" ca="1" si="122"/>
        <v>2</v>
      </c>
      <c r="M191" s="1"/>
      <c r="N191" s="1">
        <f t="shared" ca="1" si="123"/>
        <v>988</v>
      </c>
      <c r="O191" s="1">
        <f t="shared" ca="1" si="124"/>
        <v>4</v>
      </c>
      <c r="P191" s="1"/>
      <c r="Q191" s="1">
        <f t="shared" ca="1" si="125"/>
        <v>0.41350859455512617</v>
      </c>
      <c r="R191" s="1">
        <f t="shared" ca="1" si="126"/>
        <v>625</v>
      </c>
      <c r="S191" s="1"/>
      <c r="T191" s="1">
        <f t="shared" ca="1" si="127"/>
        <v>0.19402244262333709</v>
      </c>
      <c r="U191" s="1">
        <f t="shared" ca="1" si="128"/>
        <v>445</v>
      </c>
      <c r="V191" s="1">
        <f t="shared" ca="1" si="129"/>
        <v>8</v>
      </c>
      <c r="W191" s="1"/>
      <c r="X191" s="1">
        <f t="shared" ca="1" si="130"/>
        <v>2.040353989412508</v>
      </c>
      <c r="Y191" s="1">
        <f t="shared" ca="1" si="131"/>
        <v>0.39113677395173679</v>
      </c>
      <c r="Z191" s="1">
        <f t="shared" ca="1" si="132"/>
        <v>1994</v>
      </c>
      <c r="AB191" s="1">
        <f t="shared" ca="1" si="133"/>
        <v>7.0135655920237974E-2</v>
      </c>
      <c r="AC191" s="1">
        <f t="shared" ca="1" si="134"/>
        <v>748</v>
      </c>
      <c r="AD191" s="1">
        <f t="shared" ca="1" si="135"/>
        <v>2.3287111804575155E-3</v>
      </c>
      <c r="AE191" s="1"/>
      <c r="AF191" s="1">
        <f t="shared" ca="1" si="136"/>
        <v>0.1548052880838765</v>
      </c>
      <c r="AG191" s="1">
        <f t="shared" ca="1" si="137"/>
        <v>418</v>
      </c>
      <c r="AH191" s="1">
        <f t="shared" ca="1" si="138"/>
        <v>5.638942945086608E-3</v>
      </c>
      <c r="AJ191" s="1">
        <f t="shared" ca="1" si="139"/>
        <v>0.43605391462053777</v>
      </c>
      <c r="AK191" s="1">
        <f t="shared" ca="1" si="140"/>
        <v>5.8903818736780597E-3</v>
      </c>
      <c r="AL191" s="1"/>
      <c r="AM191" s="1">
        <f t="shared" ca="1" si="141"/>
        <v>0.15224895528854154</v>
      </c>
      <c r="AN191" s="1">
        <f t="shared" ca="1" si="142"/>
        <v>36</v>
      </c>
      <c r="AO191" s="1">
        <f t="shared" ca="1" si="143"/>
        <v>16</v>
      </c>
      <c r="AQ191" s="1">
        <f t="shared" ca="1" si="144"/>
        <v>195</v>
      </c>
      <c r="AR191" s="1">
        <f t="shared" ca="1" si="145"/>
        <v>6</v>
      </c>
      <c r="AS191" s="1">
        <f t="shared" ca="1" si="146"/>
        <v>50</v>
      </c>
      <c r="AU191" s="1">
        <f t="shared" ca="1" si="147"/>
        <v>233</v>
      </c>
      <c r="AV191" s="1">
        <f t="shared" ca="1" si="148"/>
        <v>6</v>
      </c>
      <c r="AW191" s="1">
        <f t="shared" ca="1" si="149"/>
        <v>9.2689159266852672E-2</v>
      </c>
      <c r="AY191" s="1">
        <f t="shared" ca="1" si="150"/>
        <v>1.3241447412149521</v>
      </c>
      <c r="AZ191" s="1">
        <f t="shared" ca="1" si="151"/>
        <v>197</v>
      </c>
      <c r="BA191" s="1">
        <f t="shared" ca="1" si="152"/>
        <v>1.1232215415887942E-3</v>
      </c>
      <c r="BV191" s="1">
        <f t="shared" ca="1" si="153"/>
        <v>0.68855925847431487</v>
      </c>
      <c r="BW191" s="1">
        <f t="shared" ca="1" si="154"/>
        <v>620</v>
      </c>
      <c r="BX191" s="1">
        <f t="shared" ca="1" si="155"/>
        <v>9.5630084466473975E-3</v>
      </c>
      <c r="BY191" s="1">
        <f t="shared" ca="1" si="156"/>
        <v>9.5824688000454128E-2</v>
      </c>
      <c r="BZ191" s="1">
        <f t="shared" ca="1" si="157"/>
        <v>0.34272960846684719</v>
      </c>
      <c r="CB191" s="1">
        <f t="shared" ca="1" si="158"/>
        <v>230</v>
      </c>
      <c r="CC191" s="1">
        <f t="shared" ca="1" si="159"/>
        <v>9</v>
      </c>
      <c r="CD191" s="1">
        <f t="shared" ca="1" si="160"/>
        <v>2.3486025196383594E-2</v>
      </c>
      <c r="CE191" s="1">
        <f t="shared" ca="1" si="170"/>
        <v>0.51661010985068578</v>
      </c>
      <c r="CF191" s="1">
        <f t="shared" ca="1" si="170"/>
        <v>0.73430456236344654</v>
      </c>
      <c r="CH191" s="3">
        <f t="shared" ca="1" si="162"/>
        <v>6.8892924507163708E-2</v>
      </c>
      <c r="CI191" s="3">
        <f t="shared" ca="1" si="163"/>
        <v>0.46938089505973252</v>
      </c>
      <c r="CJ191" s="3">
        <f t="shared" ca="1" si="164"/>
        <v>1401</v>
      </c>
      <c r="CK191" s="3">
        <f t="shared" ca="1" si="165"/>
        <v>6.8964373476758023E-3</v>
      </c>
      <c r="CL191" s="3">
        <f t="shared" ca="1" si="166"/>
        <v>0</v>
      </c>
      <c r="CM191" s="3"/>
      <c r="CN191" s="1">
        <f t="shared" ca="1" si="167"/>
        <v>18.254754199473414</v>
      </c>
      <c r="CO191" s="1">
        <f t="shared" ca="1" si="168"/>
        <v>0.31615455157134786</v>
      </c>
      <c r="CP191" s="1">
        <f t="shared" ca="1" si="169"/>
        <v>4</v>
      </c>
    </row>
    <row r="192" spans="2:94" x14ac:dyDescent="0.25">
      <c r="B192">
        <f t="shared" ca="1" si="114"/>
        <v>450</v>
      </c>
      <c r="C192">
        <f t="shared" ca="1" si="115"/>
        <v>34</v>
      </c>
      <c r="D192">
        <f t="shared" ca="1" si="116"/>
        <v>0.1494376087581159</v>
      </c>
      <c r="F192" s="1">
        <f t="shared" ca="1" si="117"/>
        <v>52</v>
      </c>
      <c r="G192" s="1">
        <f t="shared" ca="1" si="118"/>
        <v>13</v>
      </c>
      <c r="H192" s="1">
        <f t="shared" ca="1" si="119"/>
        <v>6</v>
      </c>
      <c r="I192" s="1"/>
      <c r="J192" s="1">
        <f t="shared" ca="1" si="120"/>
        <v>29</v>
      </c>
      <c r="K192" s="1">
        <f t="shared" ca="1" si="121"/>
        <v>2.696060289264302</v>
      </c>
      <c r="L192" s="1">
        <f t="shared" ca="1" si="122"/>
        <v>34</v>
      </c>
      <c r="M192" s="1"/>
      <c r="N192" s="1">
        <f t="shared" ca="1" si="123"/>
        <v>658</v>
      </c>
      <c r="O192" s="1">
        <f t="shared" ca="1" si="124"/>
        <v>41</v>
      </c>
      <c r="P192" s="1"/>
      <c r="Q192" s="1">
        <f t="shared" ca="1" si="125"/>
        <v>4.863196654149637</v>
      </c>
      <c r="R192" s="1">
        <f t="shared" ca="1" si="126"/>
        <v>242</v>
      </c>
      <c r="S192" s="1"/>
      <c r="T192" s="1">
        <f t="shared" ca="1" si="127"/>
        <v>2.4114732861502914E-2</v>
      </c>
      <c r="U192" s="1">
        <f t="shared" ca="1" si="128"/>
        <v>271</v>
      </c>
      <c r="V192" s="1">
        <f t="shared" ca="1" si="129"/>
        <v>34</v>
      </c>
      <c r="W192" s="1"/>
      <c r="X192" s="1">
        <f t="shared" ca="1" si="130"/>
        <v>8.1816586939746401</v>
      </c>
      <c r="Y192" s="1">
        <f t="shared" ca="1" si="131"/>
        <v>0.75455214842098017</v>
      </c>
      <c r="Z192" s="1">
        <f t="shared" ca="1" si="132"/>
        <v>1241</v>
      </c>
      <c r="AB192" s="1">
        <f t="shared" ca="1" si="133"/>
        <v>0.88719935760598756</v>
      </c>
      <c r="AC192" s="1">
        <f t="shared" ca="1" si="134"/>
        <v>533</v>
      </c>
      <c r="AD192" s="1">
        <f t="shared" ca="1" si="135"/>
        <v>1.2569554683363596E-3</v>
      </c>
      <c r="AE192" s="1"/>
      <c r="AF192" s="1">
        <f t="shared" ca="1" si="136"/>
        <v>0.80411879836634226</v>
      </c>
      <c r="AG192" s="1">
        <f t="shared" ca="1" si="137"/>
        <v>510</v>
      </c>
      <c r="AH192" s="1">
        <f t="shared" ca="1" si="138"/>
        <v>2.6734690785999016E-4</v>
      </c>
      <c r="AJ192" s="1">
        <f t="shared" ca="1" si="139"/>
        <v>0.33674510239601663</v>
      </c>
      <c r="AK192" s="1">
        <f t="shared" ca="1" si="140"/>
        <v>5.1857485919043871E-3</v>
      </c>
      <c r="AL192" s="1"/>
      <c r="AM192" s="1">
        <f t="shared" ca="1" si="141"/>
        <v>0.19556240516545609</v>
      </c>
      <c r="AN192" s="1">
        <f t="shared" ca="1" si="142"/>
        <v>31</v>
      </c>
      <c r="AO192" s="1">
        <f t="shared" ca="1" si="143"/>
        <v>18</v>
      </c>
      <c r="AQ192" s="1">
        <f t="shared" ca="1" si="144"/>
        <v>189</v>
      </c>
      <c r="AR192" s="1">
        <f t="shared" ca="1" si="145"/>
        <v>3</v>
      </c>
      <c r="AS192" s="1">
        <f t="shared" ca="1" si="146"/>
        <v>47</v>
      </c>
      <c r="AU192" s="1">
        <f t="shared" ca="1" si="147"/>
        <v>123</v>
      </c>
      <c r="AV192" s="1">
        <f t="shared" ca="1" si="148"/>
        <v>10</v>
      </c>
      <c r="AW192" s="1">
        <f t="shared" ca="1" si="149"/>
        <v>0.1066881270144191</v>
      </c>
      <c r="AY192" s="1">
        <f t="shared" ca="1" si="150"/>
        <v>1.6936133122918073</v>
      </c>
      <c r="AZ192" s="1">
        <f t="shared" ca="1" si="151"/>
        <v>270</v>
      </c>
      <c r="BA192" s="1">
        <f t="shared" ca="1" si="152"/>
        <v>7.6702625751500098E-3</v>
      </c>
      <c r="BV192" s="1">
        <f t="shared" ca="1" si="153"/>
        <v>0.89023722404630012</v>
      </c>
      <c r="BW192" s="1">
        <f t="shared" ca="1" si="154"/>
        <v>587</v>
      </c>
      <c r="BX192" s="1">
        <f t="shared" ca="1" si="155"/>
        <v>1.9431665620543183E-3</v>
      </c>
      <c r="BY192" s="1">
        <f t="shared" ca="1" si="156"/>
        <v>8.2366131565915809E-2</v>
      </c>
      <c r="BZ192" s="1">
        <f t="shared" ca="1" si="157"/>
        <v>0.40863839030665394</v>
      </c>
      <c r="CB192" s="1">
        <f t="shared" ca="1" si="158"/>
        <v>149</v>
      </c>
      <c r="CC192" s="1">
        <f t="shared" ca="1" si="159"/>
        <v>9</v>
      </c>
      <c r="CD192" s="1">
        <f t="shared" ca="1" si="160"/>
        <v>0.10686530870512476</v>
      </c>
      <c r="CE192" s="1">
        <f t="shared" ca="1" si="170"/>
        <v>0.83449245729170329</v>
      </c>
      <c r="CF192" s="1">
        <f t="shared" ca="1" si="170"/>
        <v>0.52883976636652763</v>
      </c>
      <c r="CH192" s="3">
        <f t="shared" ca="1" si="162"/>
        <v>0.61748378782581648</v>
      </c>
      <c r="CI192" s="3">
        <f t="shared" ca="1" si="163"/>
        <v>0.20043802071818362</v>
      </c>
      <c r="CJ192" s="3">
        <f t="shared" ca="1" si="164"/>
        <v>878</v>
      </c>
      <c r="CK192" s="3">
        <f t="shared" ca="1" si="165"/>
        <v>4.3929470903925306E-3</v>
      </c>
      <c r="CL192" s="3">
        <f t="shared" ca="1" si="166"/>
        <v>0</v>
      </c>
      <c r="CM192" s="3"/>
      <c r="CN192" s="1">
        <f t="shared" ca="1" si="167"/>
        <v>6.5779752525252695</v>
      </c>
      <c r="CO192" s="1">
        <f t="shared" ca="1" si="168"/>
        <v>0.16754238618991638</v>
      </c>
      <c r="CP192" s="1">
        <f t="shared" ca="1" si="169"/>
        <v>3</v>
      </c>
    </row>
    <row r="193" spans="2:94" x14ac:dyDescent="0.25">
      <c r="B193">
        <f t="shared" ca="1" si="114"/>
        <v>351</v>
      </c>
      <c r="C193">
        <f t="shared" ca="1" si="115"/>
        <v>19</v>
      </c>
      <c r="D193">
        <f t="shared" ca="1" si="116"/>
        <v>0.18143545562609284</v>
      </c>
      <c r="F193" s="1">
        <f t="shared" ca="1" si="117"/>
        <v>13</v>
      </c>
      <c r="G193" s="1">
        <f t="shared" ca="1" si="118"/>
        <v>6</v>
      </c>
      <c r="H193" s="1">
        <f t="shared" ca="1" si="119"/>
        <v>13</v>
      </c>
      <c r="I193" s="1"/>
      <c r="J193" s="1">
        <f t="shared" ca="1" si="120"/>
        <v>29</v>
      </c>
      <c r="K193" s="1">
        <f t="shared" ca="1" si="121"/>
        <v>1.531002153158713</v>
      </c>
      <c r="L193" s="1">
        <f t="shared" ca="1" si="122"/>
        <v>6</v>
      </c>
      <c r="M193" s="1"/>
      <c r="N193" s="1">
        <f t="shared" ca="1" si="123"/>
        <v>295</v>
      </c>
      <c r="O193" s="1">
        <f t="shared" ca="1" si="124"/>
        <v>22</v>
      </c>
      <c r="P193" s="1"/>
      <c r="Q193" s="1">
        <f t="shared" ca="1" si="125"/>
        <v>0.84501233089435146</v>
      </c>
      <c r="R193" s="1">
        <f t="shared" ca="1" si="126"/>
        <v>969</v>
      </c>
      <c r="S193" s="1"/>
      <c r="T193" s="1">
        <f t="shared" ca="1" si="127"/>
        <v>0.10396682660393446</v>
      </c>
      <c r="U193" s="1">
        <f t="shared" ca="1" si="128"/>
        <v>266</v>
      </c>
      <c r="V193" s="1">
        <f t="shared" ca="1" si="129"/>
        <v>14</v>
      </c>
      <c r="W193" s="1"/>
      <c r="X193" s="1">
        <f t="shared" ca="1" si="130"/>
        <v>4.2098551240647488</v>
      </c>
      <c r="Y193" s="1">
        <f t="shared" ca="1" si="131"/>
        <v>0.2915287220273724</v>
      </c>
      <c r="Z193" s="1">
        <f t="shared" ca="1" si="132"/>
        <v>1446</v>
      </c>
      <c r="AB193" s="1">
        <f t="shared" ca="1" si="133"/>
        <v>0.18456061149552067</v>
      </c>
      <c r="AC193" s="1">
        <f t="shared" ca="1" si="134"/>
        <v>233</v>
      </c>
      <c r="AD193" s="1">
        <f t="shared" ca="1" si="135"/>
        <v>4.4166178375669354E-3</v>
      </c>
      <c r="AE193" s="1"/>
      <c r="AF193" s="1">
        <f t="shared" ca="1" si="136"/>
        <v>0.86648759297778666</v>
      </c>
      <c r="AG193" s="1">
        <f t="shared" ca="1" si="137"/>
        <v>624</v>
      </c>
      <c r="AH193" s="1">
        <f t="shared" ca="1" si="138"/>
        <v>4.7310824785900636E-3</v>
      </c>
      <c r="AJ193" s="1">
        <f t="shared" ca="1" si="139"/>
        <v>0.95804396767151512</v>
      </c>
      <c r="AK193" s="1">
        <f t="shared" ca="1" si="140"/>
        <v>5.7352933324096465E-3</v>
      </c>
      <c r="AL193" s="1"/>
      <c r="AM193" s="1">
        <f t="shared" ca="1" si="141"/>
        <v>0.16763613288559381</v>
      </c>
      <c r="AN193" s="1">
        <f t="shared" ca="1" si="142"/>
        <v>30</v>
      </c>
      <c r="AO193" s="1">
        <f t="shared" ca="1" si="143"/>
        <v>16</v>
      </c>
      <c r="AQ193" s="1">
        <f t="shared" ca="1" si="144"/>
        <v>173</v>
      </c>
      <c r="AR193" s="1">
        <f t="shared" ca="1" si="145"/>
        <v>1</v>
      </c>
      <c r="AS193" s="1">
        <f t="shared" ca="1" si="146"/>
        <v>94</v>
      </c>
      <c r="AU193" s="1">
        <f t="shared" ca="1" si="147"/>
        <v>74</v>
      </c>
      <c r="AV193" s="1">
        <f t="shared" ca="1" si="148"/>
        <v>5</v>
      </c>
      <c r="AW193" s="1">
        <f t="shared" ca="1" si="149"/>
        <v>3.9706246900542808E-2</v>
      </c>
      <c r="AY193" s="1">
        <f t="shared" ca="1" si="150"/>
        <v>1.2700279073360399</v>
      </c>
      <c r="AZ193" s="1">
        <f t="shared" ca="1" si="151"/>
        <v>193</v>
      </c>
      <c r="BA193" s="1">
        <f t="shared" ca="1" si="152"/>
        <v>3.0629312728015076E-3</v>
      </c>
      <c r="BV193" s="1">
        <f t="shared" ca="1" si="153"/>
        <v>9.8112034323063591E-2</v>
      </c>
      <c r="BW193" s="1">
        <f t="shared" ca="1" si="154"/>
        <v>338</v>
      </c>
      <c r="BX193" s="1">
        <f t="shared" ca="1" si="155"/>
        <v>2.3461816899273285E-3</v>
      </c>
      <c r="BY193" s="1">
        <f t="shared" ca="1" si="156"/>
        <v>4.4292540630509969E-2</v>
      </c>
      <c r="BZ193" s="1">
        <f t="shared" ca="1" si="157"/>
        <v>0.9676928215884959</v>
      </c>
      <c r="CB193" s="1">
        <f t="shared" ca="1" si="158"/>
        <v>421</v>
      </c>
      <c r="CC193" s="1">
        <f t="shared" ca="1" si="159"/>
        <v>11</v>
      </c>
      <c r="CD193" s="1">
        <f t="shared" ca="1" si="160"/>
        <v>0.25014652549512689</v>
      </c>
      <c r="CE193" s="1">
        <f t="shared" ca="1" si="170"/>
        <v>0.87946277952263241</v>
      </c>
      <c r="CF193" s="1">
        <f t="shared" ca="1" si="170"/>
        <v>0.95291276542130388</v>
      </c>
      <c r="CH193" s="3">
        <f t="shared" ca="1" si="162"/>
        <v>0.43334858588686465</v>
      </c>
      <c r="CI193" s="3">
        <f t="shared" ca="1" si="163"/>
        <v>0.87847004829418884</v>
      </c>
      <c r="CJ193" s="3">
        <f t="shared" ca="1" si="164"/>
        <v>1069</v>
      </c>
      <c r="CK193" s="3">
        <f t="shared" ca="1" si="165"/>
        <v>2.4722095409976949E-3</v>
      </c>
      <c r="CL193" s="3">
        <f t="shared" ca="1" si="166"/>
        <v>1</v>
      </c>
      <c r="CM193" s="3"/>
      <c r="CN193" s="1">
        <f t="shared" ca="1" si="167"/>
        <v>2.033580815934743</v>
      </c>
      <c r="CO193" s="1">
        <f t="shared" ca="1" si="168"/>
        <v>0.41639301824502351</v>
      </c>
      <c r="CP193" s="1">
        <f t="shared" ca="1" si="169"/>
        <v>2</v>
      </c>
    </row>
    <row r="194" spans="2:94" x14ac:dyDescent="0.25">
      <c r="B194">
        <f t="shared" ca="1" si="114"/>
        <v>148</v>
      </c>
      <c r="C194">
        <f t="shared" ca="1" si="115"/>
        <v>32</v>
      </c>
      <c r="D194">
        <f t="shared" ca="1" si="116"/>
        <v>0.18155368881642878</v>
      </c>
      <c r="F194" s="1">
        <f t="shared" ca="1" si="117"/>
        <v>10</v>
      </c>
      <c r="G194" s="1">
        <f t="shared" ca="1" si="118"/>
        <v>24</v>
      </c>
      <c r="H194" s="1">
        <f t="shared" ca="1" si="119"/>
        <v>15</v>
      </c>
      <c r="I194" s="1"/>
      <c r="J194" s="1">
        <f t="shared" ca="1" si="120"/>
        <v>38</v>
      </c>
      <c r="K194" s="1">
        <f t="shared" ca="1" si="121"/>
        <v>1.80589012135314</v>
      </c>
      <c r="L194" s="1">
        <f t="shared" ca="1" si="122"/>
        <v>19</v>
      </c>
      <c r="M194" s="1"/>
      <c r="N194" s="1">
        <f t="shared" ca="1" si="123"/>
        <v>444</v>
      </c>
      <c r="O194" s="1">
        <f t="shared" ca="1" si="124"/>
        <v>51</v>
      </c>
      <c r="P194" s="1"/>
      <c r="Q194" s="1">
        <f t="shared" ca="1" si="125"/>
        <v>1.6250789730341177</v>
      </c>
      <c r="R194" s="1">
        <f t="shared" ca="1" si="126"/>
        <v>1080</v>
      </c>
      <c r="S194" s="1"/>
      <c r="T194" s="1">
        <f t="shared" ca="1" si="127"/>
        <v>8.4483804332986009E-2</v>
      </c>
      <c r="U194" s="1">
        <f t="shared" ca="1" si="128"/>
        <v>385</v>
      </c>
      <c r="V194" s="1">
        <f t="shared" ca="1" si="129"/>
        <v>23</v>
      </c>
      <c r="W194" s="1"/>
      <c r="X194" s="1">
        <f t="shared" ca="1" si="130"/>
        <v>4.7628995544835036</v>
      </c>
      <c r="Y194" s="1">
        <f t="shared" ca="1" si="131"/>
        <v>0.36621222162056549</v>
      </c>
      <c r="Z194" s="1">
        <f t="shared" ca="1" si="132"/>
        <v>183</v>
      </c>
      <c r="AB194" s="1">
        <f t="shared" ca="1" si="133"/>
        <v>0.29838555221742996</v>
      </c>
      <c r="AC194" s="1">
        <f t="shared" ca="1" si="134"/>
        <v>682</v>
      </c>
      <c r="AD194" s="1">
        <f t="shared" ca="1" si="135"/>
        <v>9.9986996924100757E-4</v>
      </c>
      <c r="AE194" s="1"/>
      <c r="AF194" s="1">
        <f t="shared" ca="1" si="136"/>
        <v>0.59686031459546873</v>
      </c>
      <c r="AG194" s="1">
        <f t="shared" ca="1" si="137"/>
        <v>251</v>
      </c>
      <c r="AH194" s="1">
        <f t="shared" ca="1" si="138"/>
        <v>8.9831198589578089E-3</v>
      </c>
      <c r="AJ194" s="1">
        <f t="shared" ca="1" si="139"/>
        <v>0.57759059957172676</v>
      </c>
      <c r="AK194" s="1">
        <f t="shared" ca="1" si="140"/>
        <v>3.1807845391041418E-3</v>
      </c>
      <c r="AL194" s="1"/>
      <c r="AM194" s="1">
        <f t="shared" ca="1" si="141"/>
        <v>9.1376255658407443E-2</v>
      </c>
      <c r="AN194" s="1">
        <f t="shared" ca="1" si="142"/>
        <v>66</v>
      </c>
      <c r="AO194" s="1">
        <f t="shared" ca="1" si="143"/>
        <v>3</v>
      </c>
      <c r="AQ194" s="1">
        <f t="shared" ca="1" si="144"/>
        <v>166</v>
      </c>
      <c r="AR194" s="1">
        <f t="shared" ca="1" si="145"/>
        <v>4</v>
      </c>
      <c r="AS194" s="1">
        <f t="shared" ca="1" si="146"/>
        <v>53</v>
      </c>
      <c r="AU194" s="1">
        <f t="shared" ca="1" si="147"/>
        <v>294</v>
      </c>
      <c r="AV194" s="1">
        <f t="shared" ca="1" si="148"/>
        <v>4</v>
      </c>
      <c r="AW194" s="1">
        <f t="shared" ca="1" si="149"/>
        <v>0.12473972933114637</v>
      </c>
      <c r="AY194" s="1">
        <f t="shared" ca="1" si="150"/>
        <v>1.7792355712782393</v>
      </c>
      <c r="AZ194" s="1">
        <f t="shared" ca="1" si="151"/>
        <v>321</v>
      </c>
      <c r="BA194" s="1">
        <f t="shared" ca="1" si="152"/>
        <v>4.2200948140598635E-3</v>
      </c>
      <c r="BV194" s="1">
        <f t="shared" ca="1" si="153"/>
        <v>0.97970035902090724</v>
      </c>
      <c r="BW194" s="1">
        <f t="shared" ca="1" si="154"/>
        <v>359</v>
      </c>
      <c r="BX194" s="1">
        <f t="shared" ca="1" si="155"/>
        <v>7.0602435066004767E-3</v>
      </c>
      <c r="BY194" s="1">
        <f t="shared" ca="1" si="156"/>
        <v>6.287595282124149E-2</v>
      </c>
      <c r="BZ194" s="1">
        <f t="shared" ca="1" si="157"/>
        <v>0.37959732860350237</v>
      </c>
      <c r="CB194" s="1">
        <f t="shared" ca="1" si="158"/>
        <v>486</v>
      </c>
      <c r="CC194" s="1">
        <f t="shared" ca="1" si="159"/>
        <v>13</v>
      </c>
      <c r="CD194" s="1">
        <f t="shared" ca="1" si="160"/>
        <v>5.8492161340009591E-2</v>
      </c>
      <c r="CE194" s="1">
        <f t="shared" ca="1" si="170"/>
        <v>0.94980295009889915</v>
      </c>
      <c r="CF194" s="1">
        <f t="shared" ca="1" si="170"/>
        <v>0.51862481811691574</v>
      </c>
      <c r="CH194" s="3">
        <f t="shared" ca="1" si="162"/>
        <v>0.16806605815615902</v>
      </c>
      <c r="CI194" s="3">
        <f t="shared" ca="1" si="163"/>
        <v>0.34264276294824547</v>
      </c>
      <c r="CJ194" s="3">
        <f t="shared" ca="1" si="164"/>
        <v>1098</v>
      </c>
      <c r="CK194" s="3">
        <f t="shared" ca="1" si="165"/>
        <v>1.0341869266744467E-3</v>
      </c>
      <c r="CL194" s="3">
        <f t="shared" ca="1" si="166"/>
        <v>0</v>
      </c>
      <c r="CM194" s="3"/>
      <c r="CN194" s="1">
        <f t="shared" ca="1" si="167"/>
        <v>2.1536357913541062</v>
      </c>
      <c r="CO194" s="1">
        <f t="shared" ca="1" si="168"/>
        <v>7.2830266840678781E-2</v>
      </c>
      <c r="CP194" s="1">
        <f t="shared" ca="1" si="169"/>
        <v>3</v>
      </c>
    </row>
    <row r="195" spans="2:94" x14ac:dyDescent="0.25">
      <c r="B195">
        <f t="shared" ca="1" si="114"/>
        <v>997</v>
      </c>
      <c r="C195">
        <f t="shared" ca="1" si="115"/>
        <v>9</v>
      </c>
      <c r="D195">
        <f t="shared" ca="1" si="116"/>
        <v>0.18579841471016992</v>
      </c>
      <c r="F195" s="1">
        <f t="shared" ca="1" si="117"/>
        <v>7</v>
      </c>
      <c r="G195" s="1">
        <f t="shared" ca="1" si="118"/>
        <v>5</v>
      </c>
      <c r="H195" s="1">
        <f t="shared" ca="1" si="119"/>
        <v>7</v>
      </c>
      <c r="I195" s="1"/>
      <c r="J195" s="1">
        <f t="shared" ca="1" si="120"/>
        <v>13</v>
      </c>
      <c r="K195" s="1">
        <f t="shared" ca="1" si="121"/>
        <v>1.8563380478521871</v>
      </c>
      <c r="L195" s="1">
        <f t="shared" ca="1" si="122"/>
        <v>26</v>
      </c>
      <c r="M195" s="1"/>
      <c r="N195" s="1">
        <f t="shared" ca="1" si="123"/>
        <v>606</v>
      </c>
      <c r="O195" s="1">
        <f t="shared" ca="1" si="124"/>
        <v>21</v>
      </c>
      <c r="P195" s="1"/>
      <c r="Q195" s="1">
        <f t="shared" ca="1" si="125"/>
        <v>2.244365459612887</v>
      </c>
      <c r="R195" s="1">
        <f t="shared" ca="1" si="126"/>
        <v>304</v>
      </c>
      <c r="S195" s="1"/>
      <c r="T195" s="1">
        <f t="shared" ca="1" si="127"/>
        <v>6.8391734412943286E-2</v>
      </c>
      <c r="U195" s="1">
        <f t="shared" ca="1" si="128"/>
        <v>287</v>
      </c>
      <c r="V195" s="1">
        <f t="shared" ca="1" si="129"/>
        <v>44</v>
      </c>
      <c r="W195" s="1"/>
      <c r="X195" s="1">
        <f t="shared" ca="1" si="130"/>
        <v>2.0309949718948062</v>
      </c>
      <c r="Y195" s="1">
        <f t="shared" ca="1" si="131"/>
        <v>0.27904621446301753</v>
      </c>
      <c r="Z195" s="1">
        <f t="shared" ca="1" si="132"/>
        <v>1475</v>
      </c>
      <c r="AB195" s="1">
        <f t="shared" ca="1" si="133"/>
        <v>0.41030448466588298</v>
      </c>
      <c r="AC195" s="1">
        <f t="shared" ca="1" si="134"/>
        <v>675</v>
      </c>
      <c r="AD195" s="1">
        <f t="shared" ca="1" si="135"/>
        <v>8.2508727841797309E-3</v>
      </c>
      <c r="AE195" s="1"/>
      <c r="AF195" s="1">
        <f t="shared" ca="1" si="136"/>
        <v>0.2734429577025641</v>
      </c>
      <c r="AG195" s="1">
        <f t="shared" ca="1" si="137"/>
        <v>826</v>
      </c>
      <c r="AH195" s="1">
        <f t="shared" ca="1" si="138"/>
        <v>9.450489769795312E-3</v>
      </c>
      <c r="AJ195" s="1">
        <f t="shared" ca="1" si="139"/>
        <v>0.61052517524545369</v>
      </c>
      <c r="AK195" s="1">
        <f t="shared" ca="1" si="140"/>
        <v>1.7127238648200031E-3</v>
      </c>
      <c r="AL195" s="1"/>
      <c r="AM195" s="1">
        <f t="shared" ca="1" si="141"/>
        <v>4.8864951391437678E-2</v>
      </c>
      <c r="AN195" s="1">
        <f t="shared" ca="1" si="142"/>
        <v>29</v>
      </c>
      <c r="AO195" s="1">
        <f t="shared" ca="1" si="143"/>
        <v>0</v>
      </c>
      <c r="AQ195" s="1">
        <f t="shared" ca="1" si="144"/>
        <v>24</v>
      </c>
      <c r="AR195" s="1">
        <f t="shared" ca="1" si="145"/>
        <v>6</v>
      </c>
      <c r="AS195" s="1">
        <f t="shared" ca="1" si="146"/>
        <v>20</v>
      </c>
      <c r="AU195" s="1">
        <f t="shared" ca="1" si="147"/>
        <v>324</v>
      </c>
      <c r="AV195" s="1">
        <f t="shared" ca="1" si="148"/>
        <v>8</v>
      </c>
      <c r="AW195" s="1">
        <f t="shared" ca="1" si="149"/>
        <v>0.11036558867738511</v>
      </c>
      <c r="AY195" s="1">
        <f t="shared" ca="1" si="150"/>
        <v>1.1054316079399551</v>
      </c>
      <c r="AZ195" s="1">
        <f t="shared" ca="1" si="151"/>
        <v>170</v>
      </c>
      <c r="BA195" s="1">
        <f t="shared" ca="1" si="152"/>
        <v>2.3665211207002375E-3</v>
      </c>
      <c r="BV195" s="1">
        <f t="shared" ca="1" si="153"/>
        <v>0.12907179559582863</v>
      </c>
      <c r="BW195" s="1">
        <f t="shared" ca="1" si="154"/>
        <v>988</v>
      </c>
      <c r="BX195" s="1">
        <f t="shared" ca="1" si="155"/>
        <v>2.3388936413880125E-3</v>
      </c>
      <c r="BY195" s="1">
        <f t="shared" ca="1" si="156"/>
        <v>4.1305373895046057E-2</v>
      </c>
      <c r="BZ195" s="1">
        <f t="shared" ca="1" si="157"/>
        <v>0.6287650765516084</v>
      </c>
      <c r="CB195" s="1">
        <f t="shared" ca="1" si="158"/>
        <v>390</v>
      </c>
      <c r="CC195" s="1">
        <f t="shared" ca="1" si="159"/>
        <v>11</v>
      </c>
      <c r="CD195" s="1">
        <f t="shared" ca="1" si="160"/>
        <v>0.13111794101108487</v>
      </c>
      <c r="CE195" s="1">
        <f t="shared" ca="1" si="170"/>
        <v>0.6237726371812452</v>
      </c>
      <c r="CF195" s="1">
        <f t="shared" ca="1" si="170"/>
        <v>0.56957685473541053</v>
      </c>
      <c r="CH195" s="3">
        <f t="shared" ca="1" si="162"/>
        <v>0.46415972497949115</v>
      </c>
      <c r="CI195" s="3">
        <f t="shared" ca="1" si="163"/>
        <v>0.90520866454261428</v>
      </c>
      <c r="CJ195" s="3">
        <f t="shared" ca="1" si="164"/>
        <v>1093</v>
      </c>
      <c r="CK195" s="3">
        <f t="shared" ca="1" si="165"/>
        <v>7.9670867357012707E-3</v>
      </c>
      <c r="CL195" s="3">
        <f t="shared" ca="1" si="166"/>
        <v>1</v>
      </c>
      <c r="CM195" s="3"/>
      <c r="CN195" s="1">
        <f t="shared" ca="1" si="167"/>
        <v>17.180010192833187</v>
      </c>
      <c r="CO195" s="1">
        <f t="shared" ca="1" si="168"/>
        <v>0.47358613126415355</v>
      </c>
      <c r="CP195" s="1">
        <f t="shared" ca="1" si="169"/>
        <v>1</v>
      </c>
    </row>
    <row r="196" spans="2:94" x14ac:dyDescent="0.25">
      <c r="B196">
        <f t="shared" ref="B196:B202" ca="1" si="171">RANDBETWEEN(15,1000)</f>
        <v>334</v>
      </c>
      <c r="C196">
        <f t="shared" ref="C196:C202" ca="1" si="172">RANDBETWEEN(2,52)</f>
        <v>6</v>
      </c>
      <c r="D196">
        <f t="shared" ref="D196:D202" ca="1" si="173">RAND()*(0.3-0.01)+0.01</f>
        <v>7.5136995453973607E-2</v>
      </c>
      <c r="F196" s="1">
        <f t="shared" ref="F196:F202" ca="1" si="174">RANDBETWEEN(2,52)</f>
        <v>41</v>
      </c>
      <c r="G196" s="1">
        <f t="shared" ref="G196:G202" ca="1" si="175">RANDBETWEEN(2,30)</f>
        <v>19</v>
      </c>
      <c r="H196" s="1">
        <f t="shared" ref="H196:H202" ca="1" si="176">RANDBETWEEN(1,15)</f>
        <v>3</v>
      </c>
      <c r="I196" s="1"/>
      <c r="J196" s="1">
        <f t="shared" ref="J196:J202" ca="1" si="177">RANDBETWEEN(1,39)</f>
        <v>3</v>
      </c>
      <c r="K196" s="1">
        <f t="shared" ref="K196:K202" ca="1" si="178">RAND()*(3-1)+1</f>
        <v>1.4761192472935756</v>
      </c>
      <c r="L196" s="1">
        <f t="shared" ref="L196:L202" ca="1" si="179">RANDBETWEEN(2,35)</f>
        <v>27</v>
      </c>
      <c r="M196" s="1"/>
      <c r="N196" s="1">
        <f t="shared" ref="N196:N202" ca="1" si="180">RANDBETWEEN(15,1000)</f>
        <v>240</v>
      </c>
      <c r="O196" s="1">
        <f t="shared" ref="O196:O202" ca="1" si="181">RANDBETWEEN(2,52)</f>
        <v>37</v>
      </c>
      <c r="P196" s="1"/>
      <c r="Q196" s="1">
        <f t="shared" ref="Q196:Q202" ca="1" si="182">RAND()*(5-0.01)+0.01</f>
        <v>4.5894294569458403</v>
      </c>
      <c r="R196" s="1">
        <f t="shared" ref="R196:R202" ca="1" si="183">RANDBETWEEN(200,1200)</f>
        <v>1144</v>
      </c>
      <c r="S196" s="1"/>
      <c r="T196" s="1">
        <f t="shared" ref="T196:T202" ca="1" si="184">RAND()*(0.2-0.01)+0.01</f>
        <v>0.17463481032725703</v>
      </c>
      <c r="U196" s="1">
        <f t="shared" ref="U196:U202" ca="1" si="185">RANDBETWEEN(50,450)</f>
        <v>359</v>
      </c>
      <c r="V196" s="1">
        <f t="shared" ref="V196:V202" ca="1" si="186">RANDBETWEEN(2,52)</f>
        <v>30</v>
      </c>
      <c r="W196" s="1"/>
      <c r="X196" s="1">
        <f t="shared" ref="X196:X202" ca="1" si="187">RAND()*(10-0.01)+0.01</f>
        <v>4.7060107416423937</v>
      </c>
      <c r="Y196" s="1">
        <f t="shared" ref="Y196:Y202" ca="1" si="188">RAND()*(1-0.0001)+0.0001</f>
        <v>0.80214084740395808</v>
      </c>
      <c r="Z196" s="1">
        <f t="shared" ref="Z196:Z202" ca="1" si="189">RANDBETWEEN(100,2000)</f>
        <v>611</v>
      </c>
      <c r="AB196" s="1">
        <f t="shared" ref="AB196:AB202" ca="1" si="190">RAND()*(1-0.0001)+0.0001</f>
        <v>0.35795869889309784</v>
      </c>
      <c r="AC196" s="1">
        <f t="shared" ref="AC196:AC202" ca="1" si="191">RANDBETWEEN(100,1000)</f>
        <v>877</v>
      </c>
      <c r="AD196" s="1">
        <f t="shared" ref="AD196:AD202" ca="1" si="192">RAND()*(0.01-0.00001)+0.00001</f>
        <v>3.5344600196563773E-3</v>
      </c>
      <c r="AE196" s="1"/>
      <c r="AF196" s="1">
        <f t="shared" ref="AF196:AF202" ca="1" si="193">RAND()*(0.9-0.1)+0.1</f>
        <v>0.34179479751705699</v>
      </c>
      <c r="AG196" s="1">
        <f t="shared" ref="AG196:AG202" ca="1" si="194">RANDBETWEEN(100,1000)</f>
        <v>524</v>
      </c>
      <c r="AH196" s="1">
        <f t="shared" ref="AH196:AH202" ca="1" si="195">RAND()*(0.01-0.00001)+0.00001</f>
        <v>7.2752476813651955E-3</v>
      </c>
      <c r="AJ196" s="1">
        <f t="shared" ref="AJ196:AJ202" ca="1" si="196">RAND()*(1-0)+0</f>
        <v>0.43639200457520022</v>
      </c>
      <c r="AK196" s="1">
        <f t="shared" ref="AK196:AK202" ca="1" si="197">RAND()*(0.01-0.00001)+0.00001</f>
        <v>3.6746042175286628E-3</v>
      </c>
      <c r="AL196" s="1"/>
      <c r="AM196" s="1">
        <f t="shared" ref="AM196:AM202" ca="1" si="198">RAND()*(0.2-0.005)+0.005</f>
        <v>7.9016570296970082E-2</v>
      </c>
      <c r="AN196" s="1">
        <f t="shared" ref="AN196:AN202" ca="1" si="199">RANDBETWEEN(10,80)</f>
        <v>55</v>
      </c>
      <c r="AO196" s="1">
        <f t="shared" ref="AO196:AO202" ca="1" si="200">RANDBETWEEN(-1,20)</f>
        <v>1</v>
      </c>
      <c r="AQ196" s="1">
        <f t="shared" ref="AQ196:AQ202" ca="1" si="201">RANDBETWEEN(10,200)</f>
        <v>83</v>
      </c>
      <c r="AR196" s="1">
        <f t="shared" ref="AR196:AR202" ca="1" si="202">RANDBETWEEN(0,10)</f>
        <v>0</v>
      </c>
      <c r="AS196" s="1">
        <f t="shared" ref="AS196:AS202" ca="1" si="203">RANDBETWEEN(1,100)</f>
        <v>45</v>
      </c>
      <c r="AU196" s="1">
        <f t="shared" ref="AU196:AU202" ca="1" si="204">RANDBETWEEN(50,400)</f>
        <v>356</v>
      </c>
      <c r="AV196" s="1">
        <f t="shared" ref="AV196:AV202" ca="1" si="205">RANDBETWEEN(2,10)</f>
        <v>2</v>
      </c>
      <c r="AW196" s="1">
        <f t="shared" ref="AW196:AW202" ca="1" si="206">RAND()*(0.2-0.01)+0.01</f>
        <v>0.11380485822549882</v>
      </c>
      <c r="AY196" s="1">
        <f t="shared" ref="AY196:AY202" ca="1" si="207">RAND()*(2-1.1)+1.1</f>
        <v>1.948667069225011</v>
      </c>
      <c r="AZ196" s="1">
        <f t="shared" ref="AZ196:AZ202" ca="1" si="208">RANDBETWEEN(50,500)</f>
        <v>208</v>
      </c>
      <c r="BA196" s="1">
        <f t="shared" ref="BA196:BA202" ca="1" si="209">RAND()*(0.01-0.00001)+0.00001</f>
        <v>8.2269037572076063E-3</v>
      </c>
      <c r="BV196" s="1">
        <f t="shared" ref="BV196:BV202" ca="1" si="210">RAND()*(1-0.0001)+0.0001</f>
        <v>0.24773680253450098</v>
      </c>
      <c r="BW196" s="1">
        <f t="shared" ref="BW196:BW202" ca="1" si="211">RANDBETWEEN(100,1000)</f>
        <v>750</v>
      </c>
      <c r="BX196" s="1">
        <f t="shared" ref="BX196:BX202" ca="1" si="212">RAND()*(0.01-0.00001)+0.00001</f>
        <v>4.1473584718419963E-3</v>
      </c>
      <c r="BY196" s="1">
        <f t="shared" ref="BY196:BY202" ca="1" si="213">RAND()*(0.1-0.0001)+0.0001</f>
        <v>1.8826987697694773E-2</v>
      </c>
      <c r="BZ196" s="1">
        <f t="shared" ref="BZ196:BZ202" ca="1" si="214">RAND()*(1-0)+0</f>
        <v>2.0802451125296995E-2</v>
      </c>
      <c r="CB196" s="1">
        <f t="shared" ref="CB196:CB202" ca="1" si="215">RANDBETWEEN(50,500)</f>
        <v>194</v>
      </c>
      <c r="CC196" s="1">
        <f t="shared" ref="CC196:CC202" ca="1" si="216">RANDBETWEEN(3,15)</f>
        <v>8</v>
      </c>
      <c r="CD196" s="1">
        <f t="shared" ref="CD196:CD202" ca="1" si="217">RAND()*(0.3-0.01)+0.01</f>
        <v>0.214100043715925</v>
      </c>
      <c r="CE196" s="1">
        <f t="shared" ca="1" si="170"/>
        <v>0.67191197436070649</v>
      </c>
      <c r="CF196" s="1">
        <f t="shared" ca="1" si="170"/>
        <v>0.83415192156122508</v>
      </c>
      <c r="CH196" s="3">
        <f t="shared" ref="CH196:CH202" ca="1" si="218">RAND()*(1-0.0001)+0.0001</f>
        <v>0.44670233166005252</v>
      </c>
      <c r="CI196" s="3">
        <f t="shared" ref="CI196:CI202" ca="1" si="219">RAND()*(0.99-0.01)+0.01</f>
        <v>0.27040914161390189</v>
      </c>
      <c r="CJ196" s="3">
        <f t="shared" ref="CJ196:CJ202" ca="1" si="220">RANDBETWEEN(100,2000)</f>
        <v>1957</v>
      </c>
      <c r="CK196" s="3">
        <f t="shared" ref="CK196:CK202" ca="1" si="221">RAND()*(0.01-0.000001)+0.000001</f>
        <v>8.7957352582472698E-3</v>
      </c>
      <c r="CL196" s="3">
        <f t="shared" ref="CL196:CL202" ca="1" si="222">RANDBETWEEN(0,1)</f>
        <v>1</v>
      </c>
      <c r="CM196" s="3"/>
      <c r="CN196" s="1">
        <f t="shared" ref="CN196:CN202" ca="1" si="223">RAND()*(20-0.1)+0.1</f>
        <v>4.5356648197984644</v>
      </c>
      <c r="CO196" s="1">
        <f t="shared" ref="CO196:CO202" ca="1" si="224">RAND()*(0.5-0.001)+0.001</f>
        <v>7.0921373254299713E-3</v>
      </c>
      <c r="CP196" s="1">
        <f t="shared" ref="CP196:CP202" ca="1" si="225">RANDBETWEEN(1,5)</f>
        <v>2</v>
      </c>
    </row>
    <row r="197" spans="2:94" x14ac:dyDescent="0.25">
      <c r="B197">
        <f t="shared" ca="1" si="171"/>
        <v>342</v>
      </c>
      <c r="C197">
        <f t="shared" ca="1" si="172"/>
        <v>43</v>
      </c>
      <c r="D197">
        <f t="shared" ca="1" si="173"/>
        <v>0.15412095764615943</v>
      </c>
      <c r="F197" s="1">
        <f t="shared" ca="1" si="174"/>
        <v>24</v>
      </c>
      <c r="G197" s="1">
        <f t="shared" ca="1" si="175"/>
        <v>12</v>
      </c>
      <c r="H197" s="1">
        <f t="shared" ca="1" si="176"/>
        <v>14</v>
      </c>
      <c r="I197" s="1"/>
      <c r="J197" s="1">
        <f t="shared" ca="1" si="177"/>
        <v>16</v>
      </c>
      <c r="K197" s="1">
        <f t="shared" ca="1" si="178"/>
        <v>1.610496276181085</v>
      </c>
      <c r="L197" s="1">
        <f t="shared" ca="1" si="179"/>
        <v>5</v>
      </c>
      <c r="M197" s="1"/>
      <c r="N197" s="1">
        <f t="shared" ca="1" si="180"/>
        <v>971</v>
      </c>
      <c r="O197" s="1">
        <f t="shared" ca="1" si="181"/>
        <v>23</v>
      </c>
      <c r="P197" s="1"/>
      <c r="Q197" s="1">
        <f t="shared" ca="1" si="182"/>
        <v>3.1528420970895521</v>
      </c>
      <c r="R197" s="1">
        <f t="shared" ca="1" si="183"/>
        <v>751</v>
      </c>
      <c r="S197" s="1"/>
      <c r="T197" s="1">
        <f t="shared" ca="1" si="184"/>
        <v>9.5162800309423784E-2</v>
      </c>
      <c r="U197" s="1">
        <f t="shared" ca="1" si="185"/>
        <v>224</v>
      </c>
      <c r="V197" s="1">
        <f t="shared" ca="1" si="186"/>
        <v>44</v>
      </c>
      <c r="W197" s="1"/>
      <c r="X197" s="1">
        <f t="shared" ca="1" si="187"/>
        <v>0.38986065499707745</v>
      </c>
      <c r="Y197" s="1">
        <f t="shared" ca="1" si="188"/>
        <v>0.99020266290093162</v>
      </c>
      <c r="Z197" s="1">
        <f t="shared" ca="1" si="189"/>
        <v>528</v>
      </c>
      <c r="AB197" s="1">
        <f t="shared" ca="1" si="190"/>
        <v>0.83630746303573589</v>
      </c>
      <c r="AC197" s="1">
        <f t="shared" ca="1" si="191"/>
        <v>156</v>
      </c>
      <c r="AD197" s="1">
        <f t="shared" ca="1" si="192"/>
        <v>5.6322899370675828E-3</v>
      </c>
      <c r="AE197" s="1"/>
      <c r="AF197" s="1">
        <f t="shared" ca="1" si="193"/>
        <v>0.81163247493168889</v>
      </c>
      <c r="AG197" s="1">
        <f t="shared" ca="1" si="194"/>
        <v>831</v>
      </c>
      <c r="AH197" s="1">
        <f t="shared" ca="1" si="195"/>
        <v>2.4479817201185933E-3</v>
      </c>
      <c r="AJ197" s="1">
        <f t="shared" ca="1" si="196"/>
        <v>0.25002977360224465</v>
      </c>
      <c r="AK197" s="1">
        <f t="shared" ca="1" si="197"/>
        <v>9.9299503864288619E-4</v>
      </c>
      <c r="AL197" s="1"/>
      <c r="AM197" s="1">
        <f t="shared" ca="1" si="198"/>
        <v>0.17057395793904712</v>
      </c>
      <c r="AN197" s="1">
        <f t="shared" ca="1" si="199"/>
        <v>27</v>
      </c>
      <c r="AO197" s="1">
        <f t="shared" ca="1" si="200"/>
        <v>6</v>
      </c>
      <c r="AQ197" s="1">
        <f t="shared" ca="1" si="201"/>
        <v>22</v>
      </c>
      <c r="AR197" s="1">
        <f t="shared" ca="1" si="202"/>
        <v>8</v>
      </c>
      <c r="AS197" s="1">
        <f t="shared" ca="1" si="203"/>
        <v>43</v>
      </c>
      <c r="AU197" s="1">
        <f t="shared" ca="1" si="204"/>
        <v>58</v>
      </c>
      <c r="AV197" s="1">
        <f t="shared" ca="1" si="205"/>
        <v>7</v>
      </c>
      <c r="AW197" s="1">
        <f t="shared" ca="1" si="206"/>
        <v>3.9894559632644301E-2</v>
      </c>
      <c r="AY197" s="1">
        <f t="shared" ca="1" si="207"/>
        <v>1.6035092510157594</v>
      </c>
      <c r="AZ197" s="1">
        <f t="shared" ca="1" si="208"/>
        <v>70</v>
      </c>
      <c r="BA197" s="1">
        <f t="shared" ca="1" si="209"/>
        <v>4.4754276367653875E-3</v>
      </c>
      <c r="BV197" s="1">
        <f t="shared" ca="1" si="210"/>
        <v>0.39163297134835845</v>
      </c>
      <c r="BW197" s="1">
        <f t="shared" ca="1" si="211"/>
        <v>865</v>
      </c>
      <c r="BX197" s="1">
        <f t="shared" ca="1" si="212"/>
        <v>2.6360791972612381E-3</v>
      </c>
      <c r="BY197" s="1">
        <f t="shared" ca="1" si="213"/>
        <v>9.5632713279145978E-2</v>
      </c>
      <c r="BZ197" s="1">
        <f t="shared" ca="1" si="214"/>
        <v>0.47580526765600883</v>
      </c>
      <c r="CB197" s="1">
        <f t="shared" ca="1" si="215"/>
        <v>153</v>
      </c>
      <c r="CC197" s="1">
        <f t="shared" ca="1" si="216"/>
        <v>6</v>
      </c>
      <c r="CD197" s="1">
        <f t="shared" ca="1" si="217"/>
        <v>0.16343796024507884</v>
      </c>
      <c r="CE197" s="1">
        <f t="shared" ca="1" si="170"/>
        <v>0.86787475024702287</v>
      </c>
      <c r="CF197" s="1">
        <f t="shared" ca="1" si="170"/>
        <v>0.94680271739145572</v>
      </c>
      <c r="CH197" s="3">
        <f t="shared" ca="1" si="218"/>
        <v>0.92843267460174628</v>
      </c>
      <c r="CI197" s="3">
        <f t="shared" ca="1" si="219"/>
        <v>0.45944161940162576</v>
      </c>
      <c r="CJ197" s="3">
        <f t="shared" ca="1" si="220"/>
        <v>1319</v>
      </c>
      <c r="CK197" s="3">
        <f t="shared" ca="1" si="221"/>
        <v>5.3077719889652675E-3</v>
      </c>
      <c r="CL197" s="3">
        <f t="shared" ca="1" si="222"/>
        <v>0</v>
      </c>
      <c r="CM197" s="3"/>
      <c r="CN197" s="1">
        <f t="shared" ca="1" si="223"/>
        <v>4.7800598482322592</v>
      </c>
      <c r="CO197" s="1">
        <f t="shared" ca="1" si="224"/>
        <v>0.1737034782408631</v>
      </c>
      <c r="CP197" s="1">
        <f t="shared" ca="1" si="225"/>
        <v>5</v>
      </c>
    </row>
    <row r="198" spans="2:94" x14ac:dyDescent="0.25">
      <c r="B198">
        <f t="shared" ca="1" si="171"/>
        <v>324</v>
      </c>
      <c r="C198">
        <f t="shared" ca="1" si="172"/>
        <v>17</v>
      </c>
      <c r="D198">
        <f t="shared" ca="1" si="173"/>
        <v>7.775952896576277E-2</v>
      </c>
      <c r="F198" s="1">
        <f t="shared" ca="1" si="174"/>
        <v>37</v>
      </c>
      <c r="G198" s="1">
        <f t="shared" ca="1" si="175"/>
        <v>16</v>
      </c>
      <c r="H198" s="1">
        <f t="shared" ca="1" si="176"/>
        <v>8</v>
      </c>
      <c r="I198" s="1"/>
      <c r="J198" s="1">
        <f t="shared" ca="1" si="177"/>
        <v>8</v>
      </c>
      <c r="K198" s="1">
        <f t="shared" ca="1" si="178"/>
        <v>1.2542923476573102</v>
      </c>
      <c r="L198" s="1">
        <f t="shared" ca="1" si="179"/>
        <v>22</v>
      </c>
      <c r="M198" s="1"/>
      <c r="N198" s="1">
        <f t="shared" ca="1" si="180"/>
        <v>297</v>
      </c>
      <c r="O198" s="1">
        <f t="shared" ca="1" si="181"/>
        <v>26</v>
      </c>
      <c r="P198" s="1"/>
      <c r="Q198" s="1">
        <f t="shared" ca="1" si="182"/>
        <v>2.9573356739930352</v>
      </c>
      <c r="R198" s="1">
        <f t="shared" ca="1" si="183"/>
        <v>1068</v>
      </c>
      <c r="S198" s="1"/>
      <c r="T198" s="1">
        <f t="shared" ca="1" si="184"/>
        <v>0.16684813696551315</v>
      </c>
      <c r="U198" s="1">
        <f t="shared" ca="1" si="185"/>
        <v>78</v>
      </c>
      <c r="V198" s="1">
        <f t="shared" ca="1" si="186"/>
        <v>15</v>
      </c>
      <c r="W198" s="1"/>
      <c r="X198" s="1">
        <f t="shared" ca="1" si="187"/>
        <v>5.7757139909998747</v>
      </c>
      <c r="Y198" s="1">
        <f t="shared" ca="1" si="188"/>
        <v>0.1388045641903905</v>
      </c>
      <c r="Z198" s="1">
        <f t="shared" ca="1" si="189"/>
        <v>1432</v>
      </c>
      <c r="AB198" s="1">
        <f t="shared" ca="1" si="190"/>
        <v>0.37637171915449807</v>
      </c>
      <c r="AC198" s="1">
        <f t="shared" ca="1" si="191"/>
        <v>396</v>
      </c>
      <c r="AD198" s="1">
        <f t="shared" ca="1" si="192"/>
        <v>7.32572271252626E-3</v>
      </c>
      <c r="AE198" s="1"/>
      <c r="AF198" s="1">
        <f t="shared" ca="1" si="193"/>
        <v>0.27291715369260106</v>
      </c>
      <c r="AG198" s="1">
        <f t="shared" ca="1" si="194"/>
        <v>130</v>
      </c>
      <c r="AH198" s="1">
        <f t="shared" ca="1" si="195"/>
        <v>2.6234654136819912E-3</v>
      </c>
      <c r="AJ198" s="1">
        <f t="shared" ca="1" si="196"/>
        <v>0.3461631229508525</v>
      </c>
      <c r="AK198" s="1">
        <f t="shared" ca="1" si="197"/>
        <v>2.2685241371544788E-3</v>
      </c>
      <c r="AL198" s="1"/>
      <c r="AM198" s="1">
        <f t="shared" ca="1" si="198"/>
        <v>0.19137327080766561</v>
      </c>
      <c r="AN198" s="1">
        <f t="shared" ca="1" si="199"/>
        <v>40</v>
      </c>
      <c r="AO198" s="1">
        <f t="shared" ca="1" si="200"/>
        <v>19</v>
      </c>
      <c r="AQ198" s="1">
        <f t="shared" ca="1" si="201"/>
        <v>32</v>
      </c>
      <c r="AR198" s="1">
        <f t="shared" ca="1" si="202"/>
        <v>4</v>
      </c>
      <c r="AS198" s="1">
        <f t="shared" ca="1" si="203"/>
        <v>85</v>
      </c>
      <c r="AU198" s="1">
        <f t="shared" ca="1" si="204"/>
        <v>227</v>
      </c>
      <c r="AV198" s="1">
        <f t="shared" ca="1" si="205"/>
        <v>7</v>
      </c>
      <c r="AW198" s="1">
        <f t="shared" ca="1" si="206"/>
        <v>0.15693034975993619</v>
      </c>
      <c r="AY198" s="1">
        <f t="shared" ca="1" si="207"/>
        <v>1.1107215444472596</v>
      </c>
      <c r="AZ198" s="1">
        <f t="shared" ca="1" si="208"/>
        <v>436</v>
      </c>
      <c r="BA198" s="1">
        <f t="shared" ca="1" si="209"/>
        <v>8.9233146288640597E-3</v>
      </c>
      <c r="BV198" s="1">
        <f t="shared" ca="1" si="210"/>
        <v>0.89744731447418513</v>
      </c>
      <c r="BW198" s="1">
        <f t="shared" ca="1" si="211"/>
        <v>320</v>
      </c>
      <c r="BX198" s="1">
        <f t="shared" ca="1" si="212"/>
        <v>8.6301555662215701E-3</v>
      </c>
      <c r="BY198" s="1">
        <f t="shared" ca="1" si="213"/>
        <v>2.2219975952049668E-2</v>
      </c>
      <c r="BZ198" s="1">
        <f t="shared" ca="1" si="214"/>
        <v>0.3388454682459402</v>
      </c>
      <c r="CB198" s="1">
        <f t="shared" ca="1" si="215"/>
        <v>476</v>
      </c>
      <c r="CC198" s="1">
        <f t="shared" ca="1" si="216"/>
        <v>4</v>
      </c>
      <c r="CD198" s="1">
        <f t="shared" ca="1" si="217"/>
        <v>0.26445624295703485</v>
      </c>
      <c r="CE198" s="1">
        <f t="shared" ca="1" si="170"/>
        <v>0.6917363356697025</v>
      </c>
      <c r="CF198" s="1">
        <f t="shared" ca="1" si="170"/>
        <v>0.95158825057473673</v>
      </c>
      <c r="CH198" s="3">
        <f t="shared" ca="1" si="218"/>
        <v>0.70643642556218089</v>
      </c>
      <c r="CI198" s="3">
        <f t="shared" ca="1" si="219"/>
        <v>0.74286118145041868</v>
      </c>
      <c r="CJ198" s="3">
        <f t="shared" ca="1" si="220"/>
        <v>349</v>
      </c>
      <c r="CK198" s="3">
        <f t="shared" ca="1" si="221"/>
        <v>7.4454331102111922E-3</v>
      </c>
      <c r="CL198" s="3">
        <f t="shared" ca="1" si="222"/>
        <v>0</v>
      </c>
      <c r="CM198" s="3"/>
      <c r="CN198" s="1">
        <f t="shared" ca="1" si="223"/>
        <v>16.954326890463307</v>
      </c>
      <c r="CO198" s="1">
        <f t="shared" ca="1" si="224"/>
        <v>0.35500449437752069</v>
      </c>
      <c r="CP198" s="1">
        <f t="shared" ca="1" si="225"/>
        <v>5</v>
      </c>
    </row>
    <row r="199" spans="2:94" x14ac:dyDescent="0.25">
      <c r="B199">
        <f t="shared" ca="1" si="171"/>
        <v>372</v>
      </c>
      <c r="C199">
        <f t="shared" ca="1" si="172"/>
        <v>36</v>
      </c>
      <c r="D199">
        <f t="shared" ca="1" si="173"/>
        <v>1.5658742550866002E-2</v>
      </c>
      <c r="F199" s="1">
        <f t="shared" ca="1" si="174"/>
        <v>34</v>
      </c>
      <c r="G199" s="1">
        <f t="shared" ca="1" si="175"/>
        <v>23</v>
      </c>
      <c r="H199" s="1">
        <f t="shared" ca="1" si="176"/>
        <v>12</v>
      </c>
      <c r="I199" s="1"/>
      <c r="J199" s="1">
        <f t="shared" ca="1" si="177"/>
        <v>38</v>
      </c>
      <c r="K199" s="1">
        <f t="shared" ca="1" si="178"/>
        <v>2.1404560658714589</v>
      </c>
      <c r="L199" s="1">
        <f t="shared" ca="1" si="179"/>
        <v>27</v>
      </c>
      <c r="M199" s="1"/>
      <c r="N199" s="1">
        <f t="shared" ca="1" si="180"/>
        <v>489</v>
      </c>
      <c r="O199" s="1">
        <f t="shared" ca="1" si="181"/>
        <v>32</v>
      </c>
      <c r="P199" s="1"/>
      <c r="Q199" s="1">
        <f t="shared" ca="1" si="182"/>
        <v>0.65193649646251361</v>
      </c>
      <c r="R199" s="1">
        <f t="shared" ca="1" si="183"/>
        <v>202</v>
      </c>
      <c r="S199" s="1"/>
      <c r="T199" s="1">
        <f t="shared" ca="1" si="184"/>
        <v>2.7226829234412386E-2</v>
      </c>
      <c r="U199" s="1">
        <f t="shared" ca="1" si="185"/>
        <v>187</v>
      </c>
      <c r="V199" s="1">
        <f t="shared" ca="1" si="186"/>
        <v>9</v>
      </c>
      <c r="W199" s="1"/>
      <c r="X199" s="1">
        <f t="shared" ca="1" si="187"/>
        <v>3.9758160832828384</v>
      </c>
      <c r="Y199" s="1">
        <f t="shared" ca="1" si="188"/>
        <v>0.66436331642079349</v>
      </c>
      <c r="Z199" s="1">
        <f t="shared" ca="1" si="189"/>
        <v>332</v>
      </c>
      <c r="AB199" s="1">
        <f t="shared" ca="1" si="190"/>
        <v>0.26779004103180393</v>
      </c>
      <c r="AC199" s="1">
        <f t="shared" ca="1" si="191"/>
        <v>190</v>
      </c>
      <c r="AD199" s="1">
        <f t="shared" ca="1" si="192"/>
        <v>3.7067687194084287E-3</v>
      </c>
      <c r="AE199" s="1"/>
      <c r="AF199" s="1">
        <f t="shared" ca="1" si="193"/>
        <v>0.53456102207814038</v>
      </c>
      <c r="AG199" s="1">
        <f t="shared" ca="1" si="194"/>
        <v>274</v>
      </c>
      <c r="AH199" s="1">
        <f t="shared" ca="1" si="195"/>
        <v>7.9386742287714702E-3</v>
      </c>
      <c r="AJ199" s="1">
        <f t="shared" ca="1" si="196"/>
        <v>0.92331045180823723</v>
      </c>
      <c r="AK199" s="1">
        <f t="shared" ca="1" si="197"/>
        <v>7.2575624721739939E-3</v>
      </c>
      <c r="AL199" s="1"/>
      <c r="AM199" s="1">
        <f t="shared" ca="1" si="198"/>
        <v>3.9797945072190449E-2</v>
      </c>
      <c r="AN199" s="1">
        <f t="shared" ca="1" si="199"/>
        <v>19</v>
      </c>
      <c r="AO199" s="1">
        <f t="shared" ca="1" si="200"/>
        <v>13</v>
      </c>
      <c r="AQ199" s="1">
        <f t="shared" ca="1" si="201"/>
        <v>164</v>
      </c>
      <c r="AR199" s="1">
        <f t="shared" ca="1" si="202"/>
        <v>2</v>
      </c>
      <c r="AS199" s="1">
        <f t="shared" ca="1" si="203"/>
        <v>71</v>
      </c>
      <c r="AU199" s="1">
        <f t="shared" ca="1" si="204"/>
        <v>206</v>
      </c>
      <c r="AV199" s="1">
        <f t="shared" ca="1" si="205"/>
        <v>3</v>
      </c>
      <c r="AW199" s="1">
        <f t="shared" ca="1" si="206"/>
        <v>0.16474193567070461</v>
      </c>
      <c r="AY199" s="1">
        <f t="shared" ca="1" si="207"/>
        <v>1.3811618490846147</v>
      </c>
      <c r="AZ199" s="1">
        <f t="shared" ca="1" si="208"/>
        <v>120</v>
      </c>
      <c r="BA199" s="1">
        <f t="shared" ca="1" si="209"/>
        <v>1.6181418208571525E-3</v>
      </c>
      <c r="BV199" s="1">
        <f t="shared" ca="1" si="210"/>
        <v>0.81893078900339356</v>
      </c>
      <c r="BW199" s="1">
        <f t="shared" ca="1" si="211"/>
        <v>489</v>
      </c>
      <c r="BX199" s="1">
        <f t="shared" ca="1" si="212"/>
        <v>3.8273886356132189E-3</v>
      </c>
      <c r="BY199" s="1">
        <f t="shared" ca="1" si="213"/>
        <v>4.520645893202728E-2</v>
      </c>
      <c r="BZ199" s="1">
        <f t="shared" ca="1" si="214"/>
        <v>0.95498370675379451</v>
      </c>
      <c r="CB199" s="1">
        <f t="shared" ca="1" si="215"/>
        <v>398</v>
      </c>
      <c r="CC199" s="1">
        <f t="shared" ca="1" si="216"/>
        <v>12</v>
      </c>
      <c r="CD199" s="1">
        <f t="shared" ca="1" si="217"/>
        <v>0.13742944151398959</v>
      </c>
      <c r="CE199" s="1">
        <f t="shared" ca="1" si="170"/>
        <v>0.78561742486463093</v>
      </c>
      <c r="CF199" s="1">
        <f t="shared" ca="1" si="170"/>
        <v>0.69687739380796976</v>
      </c>
      <c r="CH199" s="3">
        <f t="shared" ca="1" si="218"/>
        <v>0.74791443539864788</v>
      </c>
      <c r="CI199" s="3">
        <f t="shared" ca="1" si="219"/>
        <v>0.23306785089554227</v>
      </c>
      <c r="CJ199" s="3">
        <f t="shared" ca="1" si="220"/>
        <v>1335</v>
      </c>
      <c r="CK199" s="3">
        <f t="shared" ca="1" si="221"/>
        <v>7.5899558129892478E-3</v>
      </c>
      <c r="CL199" s="3">
        <f t="shared" ca="1" si="222"/>
        <v>0</v>
      </c>
      <c r="CM199" s="3"/>
      <c r="CN199" s="1">
        <f t="shared" ca="1" si="223"/>
        <v>9.6370612122291632</v>
      </c>
      <c r="CO199" s="1">
        <f t="shared" ca="1" si="224"/>
        <v>0.11038719041551366</v>
      </c>
      <c r="CP199" s="1">
        <f t="shared" ca="1" si="225"/>
        <v>5</v>
      </c>
    </row>
    <row r="200" spans="2:94" x14ac:dyDescent="0.25">
      <c r="B200">
        <f t="shared" ca="1" si="171"/>
        <v>203</v>
      </c>
      <c r="C200">
        <f t="shared" ca="1" si="172"/>
        <v>38</v>
      </c>
      <c r="D200">
        <f t="shared" ca="1" si="173"/>
        <v>0.21129973883957218</v>
      </c>
      <c r="F200" s="1">
        <f t="shared" ca="1" si="174"/>
        <v>15</v>
      </c>
      <c r="G200" s="1">
        <f t="shared" ca="1" si="175"/>
        <v>24</v>
      </c>
      <c r="H200" s="1">
        <f t="shared" ca="1" si="176"/>
        <v>3</v>
      </c>
      <c r="I200" s="1"/>
      <c r="J200" s="1">
        <f t="shared" ca="1" si="177"/>
        <v>29</v>
      </c>
      <c r="K200" s="1">
        <f t="shared" ca="1" si="178"/>
        <v>1.7828168357949286</v>
      </c>
      <c r="L200" s="1">
        <f t="shared" ca="1" si="179"/>
        <v>14</v>
      </c>
      <c r="M200" s="1"/>
      <c r="N200" s="1">
        <f t="shared" ca="1" si="180"/>
        <v>120</v>
      </c>
      <c r="O200" s="1">
        <f t="shared" ca="1" si="181"/>
        <v>52</v>
      </c>
      <c r="P200" s="1"/>
      <c r="Q200" s="1">
        <f t="shared" ca="1" si="182"/>
        <v>3.6328761143475413E-2</v>
      </c>
      <c r="R200" s="1">
        <f t="shared" ca="1" si="183"/>
        <v>702</v>
      </c>
      <c r="S200" s="1"/>
      <c r="T200" s="1">
        <f t="shared" ca="1" si="184"/>
        <v>7.2181099452473502E-2</v>
      </c>
      <c r="U200" s="1">
        <f t="shared" ca="1" si="185"/>
        <v>241</v>
      </c>
      <c r="V200" s="1">
        <f t="shared" ca="1" si="186"/>
        <v>24</v>
      </c>
      <c r="W200" s="1"/>
      <c r="X200" s="1">
        <f t="shared" ca="1" si="187"/>
        <v>5.8069713790244553</v>
      </c>
      <c r="Y200" s="1">
        <f t="shared" ca="1" si="188"/>
        <v>9.3551775501842155E-2</v>
      </c>
      <c r="Z200" s="1">
        <f t="shared" ca="1" si="189"/>
        <v>174</v>
      </c>
      <c r="AB200" s="1">
        <f t="shared" ca="1" si="190"/>
        <v>2.3062529263125343E-2</v>
      </c>
      <c r="AC200" s="1">
        <f t="shared" ca="1" si="191"/>
        <v>216</v>
      </c>
      <c r="AD200" s="1">
        <f t="shared" ca="1" si="192"/>
        <v>3.4750557349393194E-3</v>
      </c>
      <c r="AE200" s="1"/>
      <c r="AF200" s="1">
        <f t="shared" ca="1" si="193"/>
        <v>0.79657465230181335</v>
      </c>
      <c r="AG200" s="1">
        <f t="shared" ca="1" si="194"/>
        <v>116</v>
      </c>
      <c r="AH200" s="1">
        <f t="shared" ca="1" si="195"/>
        <v>5.9746836581709923E-3</v>
      </c>
      <c r="AJ200" s="1">
        <f t="shared" ca="1" si="196"/>
        <v>0.91143939014891628</v>
      </c>
      <c r="AK200" s="1">
        <f t="shared" ca="1" si="197"/>
        <v>9.2936651640244099E-3</v>
      </c>
      <c r="AL200" s="1"/>
      <c r="AM200" s="1">
        <f t="shared" ca="1" si="198"/>
        <v>4.0085317579670578E-2</v>
      </c>
      <c r="AN200" s="1">
        <f t="shared" ca="1" si="199"/>
        <v>79</v>
      </c>
      <c r="AO200" s="1">
        <f t="shared" ca="1" si="200"/>
        <v>4</v>
      </c>
      <c r="AQ200" s="1">
        <f t="shared" ca="1" si="201"/>
        <v>109</v>
      </c>
      <c r="AR200" s="1">
        <f t="shared" ca="1" si="202"/>
        <v>6</v>
      </c>
      <c r="AS200" s="1">
        <f t="shared" ca="1" si="203"/>
        <v>90</v>
      </c>
      <c r="AU200" s="1">
        <f t="shared" ca="1" si="204"/>
        <v>252</v>
      </c>
      <c r="AV200" s="1">
        <f t="shared" ca="1" si="205"/>
        <v>9</v>
      </c>
      <c r="AW200" s="1">
        <f t="shared" ca="1" si="206"/>
        <v>1.0592041049605889E-2</v>
      </c>
      <c r="AY200" s="1">
        <f t="shared" ca="1" si="207"/>
        <v>1.2164398639859402</v>
      </c>
      <c r="AZ200" s="1">
        <f t="shared" ca="1" si="208"/>
        <v>138</v>
      </c>
      <c r="BA200" s="1">
        <f t="shared" ca="1" si="209"/>
        <v>4.6518436693151356E-3</v>
      </c>
      <c r="BV200" s="1">
        <f t="shared" ca="1" si="210"/>
        <v>0.67189763772410771</v>
      </c>
      <c r="BW200" s="1">
        <f t="shared" ca="1" si="211"/>
        <v>408</v>
      </c>
      <c r="BX200" s="1">
        <f t="shared" ca="1" si="212"/>
        <v>2.9269020844863774E-3</v>
      </c>
      <c r="BY200" s="1">
        <f t="shared" ca="1" si="213"/>
        <v>5.7974645153587856E-2</v>
      </c>
      <c r="BZ200" s="1">
        <f t="shared" ca="1" si="214"/>
        <v>0.91400442969221307</v>
      </c>
      <c r="CB200" s="1">
        <f t="shared" ca="1" si="215"/>
        <v>289</v>
      </c>
      <c r="CC200" s="1">
        <f t="shared" ca="1" si="216"/>
        <v>12</v>
      </c>
      <c r="CD200" s="1">
        <f t="shared" ca="1" si="217"/>
        <v>0.16442271692284779</v>
      </c>
      <c r="CE200" s="1">
        <f t="shared" ca="1" si="170"/>
        <v>0.80406554418739562</v>
      </c>
      <c r="CF200" s="1">
        <f t="shared" ca="1" si="170"/>
        <v>0.77334937761173617</v>
      </c>
      <c r="CH200" s="3">
        <f t="shared" ca="1" si="218"/>
        <v>0.83465930130207544</v>
      </c>
      <c r="CI200" s="3">
        <f t="shared" ca="1" si="219"/>
        <v>8.5878148900985912E-2</v>
      </c>
      <c r="CJ200" s="3">
        <f t="shared" ca="1" si="220"/>
        <v>853</v>
      </c>
      <c r="CK200" s="3">
        <f t="shared" ca="1" si="221"/>
        <v>1.4598703134429307E-3</v>
      </c>
      <c r="CL200" s="3">
        <f t="shared" ca="1" si="222"/>
        <v>0</v>
      </c>
      <c r="CM200" s="3"/>
      <c r="CN200" s="1">
        <f t="shared" ca="1" si="223"/>
        <v>3.2266717955443962</v>
      </c>
      <c r="CO200" s="1">
        <f t="shared" ca="1" si="224"/>
        <v>0.23024349616490228</v>
      </c>
      <c r="CP200" s="1">
        <f t="shared" ca="1" si="225"/>
        <v>5</v>
      </c>
    </row>
    <row r="201" spans="2:94" x14ac:dyDescent="0.25">
      <c r="B201">
        <f t="shared" ca="1" si="171"/>
        <v>321</v>
      </c>
      <c r="C201">
        <f t="shared" ca="1" si="172"/>
        <v>6</v>
      </c>
      <c r="D201">
        <f t="shared" ca="1" si="173"/>
        <v>0.23155067402211776</v>
      </c>
      <c r="F201" s="1">
        <f t="shared" ca="1" si="174"/>
        <v>5</v>
      </c>
      <c r="G201" s="1">
        <f t="shared" ca="1" si="175"/>
        <v>9</v>
      </c>
      <c r="H201" s="1">
        <f t="shared" ca="1" si="176"/>
        <v>4</v>
      </c>
      <c r="I201" s="1"/>
      <c r="J201" s="1">
        <f t="shared" ca="1" si="177"/>
        <v>33</v>
      </c>
      <c r="K201" s="1">
        <f t="shared" ca="1" si="178"/>
        <v>1.6373554046747509</v>
      </c>
      <c r="L201" s="1">
        <f t="shared" ca="1" si="179"/>
        <v>29</v>
      </c>
      <c r="M201" s="1"/>
      <c r="N201" s="1">
        <f t="shared" ca="1" si="180"/>
        <v>881</v>
      </c>
      <c r="O201" s="1">
        <f t="shared" ca="1" si="181"/>
        <v>9</v>
      </c>
      <c r="P201" s="1"/>
      <c r="Q201" s="1">
        <f t="shared" ca="1" si="182"/>
        <v>1.8409086456874892</v>
      </c>
      <c r="R201" s="1">
        <f t="shared" ca="1" si="183"/>
        <v>1005</v>
      </c>
      <c r="S201" s="1"/>
      <c r="T201" s="1">
        <f t="shared" ca="1" si="184"/>
        <v>0.11515472364223016</v>
      </c>
      <c r="U201" s="1">
        <f t="shared" ca="1" si="185"/>
        <v>94</v>
      </c>
      <c r="V201" s="1">
        <f t="shared" ca="1" si="186"/>
        <v>27</v>
      </c>
      <c r="W201" s="1"/>
      <c r="X201" s="1">
        <f t="shared" ca="1" si="187"/>
        <v>7.6373388806417708</v>
      </c>
      <c r="Y201" s="1">
        <f t="shared" ca="1" si="188"/>
        <v>0.39858623401557075</v>
      </c>
      <c r="Z201" s="1">
        <f t="shared" ca="1" si="189"/>
        <v>567</v>
      </c>
      <c r="AB201" s="1">
        <f t="shared" ca="1" si="190"/>
        <v>3.3812353073074626E-2</v>
      </c>
      <c r="AC201" s="1">
        <f t="shared" ca="1" si="191"/>
        <v>422</v>
      </c>
      <c r="AD201" s="1">
        <f t="shared" ca="1" si="192"/>
        <v>1.921576702623064E-3</v>
      </c>
      <c r="AE201" s="1"/>
      <c r="AF201" s="1">
        <f t="shared" ca="1" si="193"/>
        <v>0.26141006333523864</v>
      </c>
      <c r="AG201" s="1">
        <f t="shared" ca="1" si="194"/>
        <v>427</v>
      </c>
      <c r="AH201" s="1">
        <f t="shared" ca="1" si="195"/>
        <v>6.1859406372402927E-3</v>
      </c>
      <c r="AJ201" s="1">
        <f t="shared" ca="1" si="196"/>
        <v>0.23408495972617049</v>
      </c>
      <c r="AK201" s="1">
        <f t="shared" ca="1" si="197"/>
        <v>3.7292238098639297E-3</v>
      </c>
      <c r="AL201" s="1"/>
      <c r="AM201" s="1">
        <f t="shared" ca="1" si="198"/>
        <v>6.0685447191095997E-2</v>
      </c>
      <c r="AN201" s="1">
        <f t="shared" ca="1" si="199"/>
        <v>73</v>
      </c>
      <c r="AO201" s="1">
        <f t="shared" ca="1" si="200"/>
        <v>2</v>
      </c>
      <c r="AQ201" s="1">
        <f t="shared" ca="1" si="201"/>
        <v>188</v>
      </c>
      <c r="AR201" s="1">
        <f t="shared" ca="1" si="202"/>
        <v>6</v>
      </c>
      <c r="AS201" s="1">
        <f t="shared" ca="1" si="203"/>
        <v>63</v>
      </c>
      <c r="AU201" s="1">
        <f t="shared" ca="1" si="204"/>
        <v>337</v>
      </c>
      <c r="AV201" s="1">
        <f t="shared" ca="1" si="205"/>
        <v>9</v>
      </c>
      <c r="AW201" s="1">
        <f t="shared" ca="1" si="206"/>
        <v>0.15450303147524502</v>
      </c>
      <c r="AY201" s="1">
        <f t="shared" ca="1" si="207"/>
        <v>1.9543110434901654</v>
      </c>
      <c r="AZ201" s="1">
        <f t="shared" ca="1" si="208"/>
        <v>480</v>
      </c>
      <c r="BA201" s="1">
        <f t="shared" ca="1" si="209"/>
        <v>6.9821308436214839E-4</v>
      </c>
      <c r="BV201" s="1">
        <f t="shared" ca="1" si="210"/>
        <v>0.37503685628514638</v>
      </c>
      <c r="BW201" s="1">
        <f t="shared" ca="1" si="211"/>
        <v>461</v>
      </c>
      <c r="BX201" s="1">
        <f t="shared" ca="1" si="212"/>
        <v>7.0626617428136583E-3</v>
      </c>
      <c r="BY201" s="1">
        <f t="shared" ca="1" si="213"/>
        <v>4.6485679678246452E-3</v>
      </c>
      <c r="BZ201" s="1">
        <f t="shared" ca="1" si="214"/>
        <v>0.91833397519527971</v>
      </c>
      <c r="CB201" s="1">
        <f t="shared" ca="1" si="215"/>
        <v>454</v>
      </c>
      <c r="CC201" s="1">
        <f t="shared" ca="1" si="216"/>
        <v>3</v>
      </c>
      <c r="CD201" s="1">
        <f t="shared" ca="1" si="217"/>
        <v>0.20615313912951136</v>
      </c>
      <c r="CE201" s="1">
        <f t="shared" ca="1" si="170"/>
        <v>0.9178930888199347</v>
      </c>
      <c r="CF201" s="1">
        <f t="shared" ca="1" si="170"/>
        <v>0.79212367695261343</v>
      </c>
      <c r="CH201" s="3">
        <f t="shared" ca="1" si="218"/>
        <v>0.5613454800846821</v>
      </c>
      <c r="CI201" s="3">
        <f t="shared" ca="1" si="219"/>
        <v>0.72554172530574301</v>
      </c>
      <c r="CJ201" s="3">
        <f t="shared" ca="1" si="220"/>
        <v>175</v>
      </c>
      <c r="CK201" s="3">
        <f t="shared" ca="1" si="221"/>
        <v>2.0723610913226816E-3</v>
      </c>
      <c r="CL201" s="3">
        <f t="shared" ca="1" si="222"/>
        <v>1</v>
      </c>
      <c r="CM201" s="3"/>
      <c r="CN201" s="1">
        <f t="shared" ca="1" si="223"/>
        <v>16.47363300103704</v>
      </c>
      <c r="CO201" s="1">
        <f t="shared" ca="1" si="224"/>
        <v>0.10445747930613575</v>
      </c>
      <c r="CP201" s="1">
        <f t="shared" ca="1" si="225"/>
        <v>4</v>
      </c>
    </row>
    <row r="202" spans="2:94" x14ac:dyDescent="0.25">
      <c r="B202">
        <f t="shared" ca="1" si="171"/>
        <v>687</v>
      </c>
      <c r="C202">
        <f t="shared" ca="1" si="172"/>
        <v>47</v>
      </c>
      <c r="D202">
        <f t="shared" ca="1" si="173"/>
        <v>0.20426690051209984</v>
      </c>
      <c r="F202" s="1">
        <f t="shared" ca="1" si="174"/>
        <v>32</v>
      </c>
      <c r="G202" s="1">
        <f t="shared" ca="1" si="175"/>
        <v>13</v>
      </c>
      <c r="H202" s="1">
        <f t="shared" ca="1" si="176"/>
        <v>14</v>
      </c>
      <c r="I202" s="1"/>
      <c r="J202" s="1">
        <f t="shared" ca="1" si="177"/>
        <v>13</v>
      </c>
      <c r="K202" s="1">
        <f t="shared" ca="1" si="178"/>
        <v>2.1918396868332328</v>
      </c>
      <c r="L202" s="1">
        <f t="shared" ca="1" si="179"/>
        <v>25</v>
      </c>
      <c r="M202" s="1"/>
      <c r="N202" s="1">
        <f t="shared" ca="1" si="180"/>
        <v>585</v>
      </c>
      <c r="O202" s="1">
        <f t="shared" ca="1" si="181"/>
        <v>20</v>
      </c>
      <c r="P202" s="1"/>
      <c r="Q202" s="1">
        <f t="shared" ca="1" si="182"/>
        <v>2.843642880608066</v>
      </c>
      <c r="R202" s="1">
        <f t="shared" ca="1" si="183"/>
        <v>791</v>
      </c>
      <c r="S202" s="1"/>
      <c r="T202" s="1">
        <f t="shared" ca="1" si="184"/>
        <v>0.15774158403916916</v>
      </c>
      <c r="U202" s="1">
        <f t="shared" ca="1" si="185"/>
        <v>269</v>
      </c>
      <c r="V202" s="1">
        <f t="shared" ca="1" si="186"/>
        <v>51</v>
      </c>
      <c r="W202" s="1"/>
      <c r="X202" s="1">
        <f t="shared" ca="1" si="187"/>
        <v>2.846752091404074</v>
      </c>
      <c r="Y202" s="1">
        <f t="shared" ca="1" si="188"/>
        <v>0.75292365151511531</v>
      </c>
      <c r="Z202" s="1">
        <f t="shared" ca="1" si="189"/>
        <v>1654</v>
      </c>
      <c r="AB202" s="1">
        <f t="shared" ca="1" si="190"/>
        <v>0.89349552733816484</v>
      </c>
      <c r="AC202" s="1">
        <f t="shared" ca="1" si="191"/>
        <v>658</v>
      </c>
      <c r="AD202" s="1">
        <f t="shared" ca="1" si="192"/>
        <v>4.8362523923745843E-3</v>
      </c>
      <c r="AE202" s="1"/>
      <c r="AF202" s="1">
        <f t="shared" ca="1" si="193"/>
        <v>0.56290185688136851</v>
      </c>
      <c r="AG202" s="1">
        <f t="shared" ca="1" si="194"/>
        <v>591</v>
      </c>
      <c r="AH202" s="1">
        <f t="shared" ca="1" si="195"/>
        <v>8.367725059929906E-3</v>
      </c>
      <c r="AJ202" s="1">
        <f t="shared" ca="1" si="196"/>
        <v>0.38539848456320935</v>
      </c>
      <c r="AK202" s="1">
        <f t="shared" ca="1" si="197"/>
        <v>3.1799389918712867E-3</v>
      </c>
      <c r="AL202" s="1"/>
      <c r="AM202" s="1">
        <f t="shared" ca="1" si="198"/>
        <v>0.13206964904206719</v>
      </c>
      <c r="AN202" s="1">
        <f t="shared" ca="1" si="199"/>
        <v>40</v>
      </c>
      <c r="AO202" s="1">
        <f t="shared" ca="1" si="200"/>
        <v>6</v>
      </c>
      <c r="AQ202" s="1">
        <f t="shared" ca="1" si="201"/>
        <v>175</v>
      </c>
      <c r="AR202" s="1">
        <f t="shared" ca="1" si="202"/>
        <v>5</v>
      </c>
      <c r="AS202" s="1">
        <f t="shared" ca="1" si="203"/>
        <v>65</v>
      </c>
      <c r="AU202" s="1">
        <f t="shared" ca="1" si="204"/>
        <v>153</v>
      </c>
      <c r="AV202" s="1">
        <f t="shared" ca="1" si="205"/>
        <v>10</v>
      </c>
      <c r="AW202" s="1">
        <f t="shared" ca="1" si="206"/>
        <v>0.17076315574132581</v>
      </c>
      <c r="AY202" s="1">
        <f t="shared" ca="1" si="207"/>
        <v>1.3931456497699166</v>
      </c>
      <c r="AZ202" s="1">
        <f t="shared" ca="1" si="208"/>
        <v>109</v>
      </c>
      <c r="BA202" s="1">
        <f t="shared" ca="1" si="209"/>
        <v>4.8549372958742662E-3</v>
      </c>
      <c r="BV202" s="1">
        <f t="shared" ca="1" si="210"/>
        <v>0.69532203000612847</v>
      </c>
      <c r="BW202" s="1">
        <f t="shared" ca="1" si="211"/>
        <v>951</v>
      </c>
      <c r="BX202" s="1">
        <f t="shared" ca="1" si="212"/>
        <v>9.6943240062236577E-3</v>
      </c>
      <c r="BY202" s="1">
        <f t="shared" ca="1" si="213"/>
        <v>8.0383605316591208E-3</v>
      </c>
      <c r="BZ202" s="1">
        <f t="shared" ca="1" si="214"/>
        <v>0.68062234071417127</v>
      </c>
      <c r="CB202" s="1">
        <f t="shared" ca="1" si="215"/>
        <v>166</v>
      </c>
      <c r="CC202" s="1">
        <f t="shared" ca="1" si="216"/>
        <v>6</v>
      </c>
      <c r="CD202" s="1">
        <f t="shared" ca="1" si="217"/>
        <v>0.22102588946954599</v>
      </c>
      <c r="CE202" s="1">
        <f t="shared" ca="1" si="170"/>
        <v>0.9801099888171918</v>
      </c>
      <c r="CF202" s="1">
        <f t="shared" ca="1" si="170"/>
        <v>0.9436984412313163</v>
      </c>
      <c r="CH202" s="3">
        <f t="shared" ca="1" si="218"/>
        <v>0.38291540096726073</v>
      </c>
      <c r="CI202" s="3">
        <f t="shared" ca="1" si="219"/>
        <v>0.21132776412980889</v>
      </c>
      <c r="CJ202" s="3">
        <f t="shared" ca="1" si="220"/>
        <v>1072</v>
      </c>
      <c r="CK202" s="3">
        <f t="shared" ca="1" si="221"/>
        <v>9.9358306575003108E-3</v>
      </c>
      <c r="CL202" s="3">
        <f t="shared" ca="1" si="222"/>
        <v>1</v>
      </c>
      <c r="CM202" s="3"/>
      <c r="CN202" s="1">
        <f t="shared" ca="1" si="223"/>
        <v>15.682992244412409</v>
      </c>
      <c r="CO202" s="1">
        <f t="shared" ca="1" si="224"/>
        <v>0.32394112693016214</v>
      </c>
      <c r="CP202" s="1">
        <f t="shared" ca="1" si="225"/>
        <v>5</v>
      </c>
    </row>
  </sheetData>
  <mergeCells count="26">
    <mergeCell ref="CZ1:DB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  <mergeCell ref="CR1:CT1"/>
    <mergeCell ref="CV1:CX1"/>
    <mergeCell ref="T1:V1"/>
    <mergeCell ref="X1:Z1"/>
    <mergeCell ref="B1:D1"/>
    <mergeCell ref="F1:H1"/>
    <mergeCell ref="J1:L1"/>
    <mergeCell ref="N1:O1"/>
    <mergeCell ref="Q1:R1"/>
    <mergeCell ref="CN1:CP1"/>
    <mergeCell ref="AJ1:AK1"/>
    <mergeCell ref="AB1:AD1"/>
    <mergeCell ref="AF1:AH1"/>
    <mergeCell ref="AY1:BA1"/>
    <mergeCell ref="BC1:BE1"/>
    <mergeCell ref="CH1:CL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2026-06-11T08:38:57Z</dcterms:modified>
</cp:coreProperties>
</file>